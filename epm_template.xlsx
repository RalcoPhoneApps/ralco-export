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Information" sheetId="1" state="visible" r:id="rId1"/>
    <sheet xmlns:r="http://schemas.openxmlformats.org/officeDocument/2006/relationships" name="Master Dashboard" sheetId="2" state="visible" r:id="rId2"/>
    <sheet xmlns:r="http://schemas.openxmlformats.org/officeDocument/2006/relationships" name="Code Violations" sheetId="3" state="visible" r:id="rId3"/>
    <sheet xmlns:r="http://schemas.openxmlformats.org/officeDocument/2006/relationships" name="Infrared" sheetId="4" state="visible" r:id="rId4"/>
    <sheet xmlns:r="http://schemas.openxmlformats.org/officeDocument/2006/relationships" name="Ultrasonic" sheetId="5" state="visible" r:id="rId5"/>
    <sheet xmlns:r="http://schemas.openxmlformats.org/officeDocument/2006/relationships" name="Energized Data" sheetId="6" state="visible" r:id="rId6"/>
    <sheet xmlns:r="http://schemas.openxmlformats.org/officeDocument/2006/relationships" name="Hidden_Data" sheetId="7" state="hidden" r:id="rId7"/>
    <sheet xmlns:r="http://schemas.openxmlformats.org/officeDocument/2006/relationships" name="Insulation" sheetId="8" state="visible" r:id="rId8"/>
    <sheet xmlns:r="http://schemas.openxmlformats.org/officeDocument/2006/relationships" name="DLRO" sheetId="9" state="visible" r:id="rId9"/>
    <sheet xmlns:r="http://schemas.openxmlformats.org/officeDocument/2006/relationships" name="Torque" sheetId="10" state="visible" r:id="rId10"/>
  </sheets>
  <definedNames>
    <definedName name="List_Equip">'Hidden_Data'!$A$1:$A$27</definedName>
    <definedName name="List_PF">'Hidden_Data'!$B$1:$B$4</definedName>
    <definedName name="List_YN">'Hidden_Data'!$C$1:$C$2</definedName>
    <definedName name="List_Crit">'Hidden_Data'!$D$1:$D$5</definedName>
    <definedName name="List_Maint">'Hidden_Data'!$E$1:$E$3</definedName>
    <definedName name="List_NEC">'Hidden_Data'!$M$1:$M$166</definedName>
    <definedName name="List_Phase">'Hidden_Data'!$H$1:$H$3</definedName>
    <definedName name="List_Wire">'Hidden_Data'!$I$1:$I$3</definedName>
    <definedName name="List_Comp">'Hidden_Data'!$J$1:$J$9</definedName>
    <definedName name="List_US_Mode">'Hidden_Data'!$K$1:$K$6</definedName>
    <definedName name="List_IR_Phase">'Hidden_Data'!$L$1:$L$6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00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le_EquipmentInformation" displayName="Table_EquipmentInformation" ref="A1:M500" headerRowCount="1">
  <autoFilter ref="A1:M500"/>
  <tableColumns count="13">
    <tableColumn id="1" name="Asset Tag"/>
    <tableColumn id="2" name="Functional Name"/>
    <tableColumn id="3" name="Location"/>
    <tableColumn id="4" name="Equipment Type"/>
    <tableColumn id="5" name="Manufacturer"/>
    <tableColumn id="6" name="Model"/>
    <tableColumn id="7" name="Serial #"/>
    <tableColumn id="8" name="Voltage"/>
    <tableColumn id="9" name="Criticality"/>
    <tableColumn id="10" name="Maint. Status"/>
    <tableColumn id="11" name="Health Score"/>
    <tableColumn id="12" name="Program Status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asterDashboard" displayName="Table_MasterDashboard" ref="A1:L500" headerRowCount="1">
  <autoFilter ref="A1:L500"/>
  <tableColumns count="12">
    <tableColumn id="1" name="Asset Tag"/>
    <tableColumn id="2" name="Functional Name"/>
    <tableColumn id="3" name="Location"/>
    <tableColumn id="4" name="Equipment Type"/>
    <tableColumn id="5" name="Energized"/>
    <tableColumn id="6" name="Insul"/>
    <tableColumn id="7" name="DLRO"/>
    <tableColumn id="8" name="Torque"/>
    <tableColumn id="9" name="IR"/>
    <tableColumn id="10" name="US"/>
    <tableColumn id="11" name="Code"/>
    <tableColumn id="12" name="OVERALL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deViolations" displayName="Table_CodeViolations" ref="A1:V500" headerRowCount="1">
  <autoFilter ref="A1:V500"/>
  <tableColumns count="22">
    <tableColumn id="1" name="Tag"/>
    <tableColumn id="2" name="Name"/>
    <tableColumn id="3" name="Loc"/>
    <tableColumn id="4" name="Violation 1"/>
    <tableColumn id="5" name="Sev 1"/>
    <tableColumn id="6" name="Corr 1?"/>
    <tableColumn id="7" name="Violation 2"/>
    <tableColumn id="8" name="Sev 2"/>
    <tableColumn id="9" name="Corr 2?"/>
    <tableColumn id="10" name="Violation 3"/>
    <tableColumn id="11" name="Sev 3"/>
    <tableColumn id="12" name="Corr 3?"/>
    <tableColumn id="13" name="Violation 4"/>
    <tableColumn id="14" name="Sev 4"/>
    <tableColumn id="15" name="Corr 4?"/>
    <tableColumn id="16" name="Violation 5"/>
    <tableColumn id="17" name="Sev 5"/>
    <tableColumn id="18" name="Corr 5?"/>
    <tableColumn id="19" name="Notes"/>
    <tableColumn id="20" name="Net Points"/>
    <tableColumn id="21" name="Status"/>
    <tableColumn id="22" name="Res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Infrared" displayName="Table_Infrared" ref="A1:G500" headerRowCount="1">
  <autoFilter ref="A1:G500"/>
  <tableColumns count="7">
    <tableColumn id="1" name="Tag"/>
    <tableColumn id="2" name="Name"/>
    <tableColumn id="3" name="Loc"/>
    <tableColumn id="4" name="Phase (Point)"/>
    <tableColumn id="5" name="Component"/>
    <tableColumn id="6" name="Result"/>
    <tableColumn id="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Ultrasonic" displayName="Table_Ultrasonic" ref="A1:H500" headerRowCount="1">
  <autoFilter ref="A1:H500"/>
  <tableColumns count="8">
    <tableColumn id="1" name="Tag"/>
    <tableColumn id="2" name="Name"/>
    <tableColumn id="3" name="Loc"/>
    <tableColumn id="4" name="Component"/>
    <tableColumn id="5" name="Failure Mode"/>
    <tableColumn id="6" name="dB Level"/>
    <tableColumn id="7" name="Result"/>
    <tableColumn id="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EnergizedData" displayName="Table_EnergizedData" ref="A1:T500" headerRowCount="1">
  <autoFilter ref="A1:T500"/>
  <tableColumns count="20">
    <tableColumn id="1" name="Tag"/>
    <tableColumn id="2" name="Name"/>
    <tableColumn id="3" name="Loc"/>
    <tableColumn id="4" name="Phase"/>
    <tableColumn id="5" name="Wire"/>
    <tableColumn id="6" name="V-AB"/>
    <tableColumn id="7" name="V-BC"/>
    <tableColumn id="8" name="V-CA"/>
    <tableColumn id="9" name="AvgV"/>
    <tableColumn id="10" name="V-Imb%"/>
    <tableColumn id="11" name="A-A"/>
    <tableColumn id="12" name="A-B"/>
    <tableColumn id="13" name="A-C"/>
    <tableColumn id="14" name="AvgA"/>
    <tableColumn id="15" name="Rated Amps"/>
    <tableColumn id="16" name="OCPD"/>
    <tableColumn id="17" name="Load%"/>
    <tableColumn id="18" name="I-Imb%"/>
    <tableColumn id="19" name="Analysis"/>
    <tableColumn id="20" name="Summ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Insulation" displayName="Table_Insulation" ref="A1:J500" headerRowCount="1">
  <autoFilter ref="A1:J500"/>
  <tableColumns count="10">
    <tableColumn id="1" name="Tag"/>
    <tableColumn id="2" name="Name"/>
    <tableColumn id="3" name="Loc"/>
    <tableColumn id="4" name="TestV"/>
    <tableColumn id="5" name="Ph-Ph"/>
    <tableColumn id="6" name="Ph-G"/>
    <tableColumn id="7" name="PI"/>
    <tableColumn id="8" name="Temp"/>
    <tableColumn id="9" name="Result"/>
    <tableColumn id="10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DLRO" displayName="Table_DLRO" ref="A1:I500" headerRowCount="1">
  <autoFilter ref="A1:I500"/>
  <tableColumns count="9">
    <tableColumn id="1" name="Tag"/>
    <tableColumn id="2" name="Name"/>
    <tableColumn id="3" name="Loc"/>
    <tableColumn id="4" name="Ph-A"/>
    <tableColumn id="5" name="Ph-B"/>
    <tableColumn id="6" name="Ph-C"/>
    <tableColumn id="7" name="Dev%"/>
    <tableColumn id="8" name="Result"/>
    <tableColumn id="9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Torque" displayName="Table_Torque" ref="A1:I500" headerRowCount="1">
  <autoFilter ref="A1:I500"/>
  <tableColumns count="9">
    <tableColumn id="1" name="Tag"/>
    <tableColumn id="2" name="Name"/>
    <tableColumn id="3" name="Loc"/>
    <tableColumn id="4" name="Phase"/>
    <tableColumn id="5" name="Connection Type"/>
    <tableColumn id="6" name="Spec"/>
    <tableColumn id="7" name="Verified?"/>
    <tableColumn id="8" name="Result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Asset Tag</t>
        </is>
      </c>
      <c r="B1" s="1" t="inlineStr">
        <is>
          <t>Functional Name</t>
        </is>
      </c>
      <c r="C1" s="1" t="inlineStr">
        <is>
          <t>Location</t>
        </is>
      </c>
      <c r="D1" s="1" t="inlineStr">
        <is>
          <t>Equipment Type</t>
        </is>
      </c>
      <c r="E1" s="1" t="inlineStr">
        <is>
          <t>Manufacturer</t>
        </is>
      </c>
      <c r="F1" s="1" t="inlineStr">
        <is>
          <t>Model</t>
        </is>
      </c>
      <c r="G1" s="1" t="inlineStr">
        <is>
          <t>Serial #</t>
        </is>
      </c>
      <c r="H1" s="1" t="inlineStr">
        <is>
          <t>Voltage</t>
        </is>
      </c>
      <c r="I1" s="1" t="inlineStr">
        <is>
          <t>Criticality</t>
        </is>
      </c>
      <c r="J1" s="1" t="inlineStr">
        <is>
          <t>Maint. Status</t>
        </is>
      </c>
      <c r="K1" s="1" t="inlineStr">
        <is>
          <t>Health Score</t>
        </is>
      </c>
      <c r="L1" s="1" t="inlineStr">
        <is>
          <t>Program Status</t>
        </is>
      </c>
      <c r="M1" s="1" t="inlineStr">
        <is>
          <t>Notes</t>
        </is>
      </c>
    </row>
    <row r="2">
      <c r="K2">
        <f>IF(A2="","", IF(OR(SUMIF('Code Violations'!A:A, A2, 'Code Violations'!T:T)&gt;=5, VLOOKUP(A2, 'Master Dashboard'!A:L, 9, FALSE)="FAIL", VLOOKUP(A2, 'Master Dashboard'!A:L, 10, FALSE)="FAIL", ISNUMBER(SEARCH("Critical", J2))), "3-Red", IF(SUMIF('Code Violations'!A:A, A2, 'Code Violations'!T:T)&gt;=1, "2-Yellow", "1-White")))</f>
        <v/>
      </c>
      <c r="L2">
        <f>IF(J2="","", IF(ISNUMBER(SEARCH("Critical", J2)), "CRITICAL FAIL", IF(ISNUMBER(SEARCH("Overdue", J2)), "FAIL", "COMPLIANT")))</f>
        <v/>
      </c>
    </row>
    <row r="3">
      <c r="K3">
        <f>IF(A3="","", IF(OR(SUMIF('Code Violations'!A:A, A3, 'Code Violations'!T:T)&gt;=5, VLOOKUP(A3, 'Master Dashboard'!A:L, 9, FALSE)="FAIL", VLOOKUP(A3, 'Master Dashboard'!A:L, 10, FALSE)="FAIL", ISNUMBER(SEARCH("Critical", J3))), "3-Red", IF(SUMIF('Code Violations'!A:A, A3, 'Code Violations'!T:T)&gt;=1, "2-Yellow", "1-White")))</f>
        <v/>
      </c>
      <c r="L3">
        <f>IF(J3="","", IF(ISNUMBER(SEARCH("Critical", J3)), "CRITICAL FAIL", IF(ISNUMBER(SEARCH("Overdue", J3)), "FAIL", "COMPLIANT")))</f>
        <v/>
      </c>
    </row>
    <row r="4">
      <c r="K4">
        <f>IF(A4="","", IF(OR(SUMIF('Code Violations'!A:A, A4, 'Code Violations'!T:T)&gt;=5, VLOOKUP(A4, 'Master Dashboard'!A:L, 9, FALSE)="FAIL", VLOOKUP(A4, 'Master Dashboard'!A:L, 10, FALSE)="FAIL", ISNUMBER(SEARCH("Critical", J4))), "3-Red", IF(SUMIF('Code Violations'!A:A, A4, 'Code Violations'!T:T)&gt;=1, "2-Yellow", "1-White")))</f>
        <v/>
      </c>
      <c r="L4">
        <f>IF(J4="","", IF(ISNUMBER(SEARCH("Critical", J4)), "CRITICAL FAIL", IF(ISNUMBER(SEARCH("Overdue", J4)), "FAIL", "COMPLIANT")))</f>
        <v/>
      </c>
    </row>
    <row r="5">
      <c r="K5">
        <f>IF(A5="","", IF(OR(SUMIF('Code Violations'!A:A, A5, 'Code Violations'!T:T)&gt;=5, VLOOKUP(A5, 'Master Dashboard'!A:L, 9, FALSE)="FAIL", VLOOKUP(A5, 'Master Dashboard'!A:L, 10, FALSE)="FAIL", ISNUMBER(SEARCH("Critical", J5))), "3-Red", IF(SUMIF('Code Violations'!A:A, A5, 'Code Violations'!T:T)&gt;=1, "2-Yellow", "1-White")))</f>
        <v/>
      </c>
      <c r="L5">
        <f>IF(J5="","", IF(ISNUMBER(SEARCH("Critical", J5)), "CRITICAL FAIL", IF(ISNUMBER(SEARCH("Overdue", J5)), "FAIL", "COMPLIANT")))</f>
        <v/>
      </c>
    </row>
    <row r="6">
      <c r="K6">
        <f>IF(A6="","", IF(OR(SUMIF('Code Violations'!A:A, A6, 'Code Violations'!T:T)&gt;=5, VLOOKUP(A6, 'Master Dashboard'!A:L, 9, FALSE)="FAIL", VLOOKUP(A6, 'Master Dashboard'!A:L, 10, FALSE)="FAIL", ISNUMBER(SEARCH("Critical", J6))), "3-Red", IF(SUMIF('Code Violations'!A:A, A6, 'Code Violations'!T:T)&gt;=1, "2-Yellow", "1-White")))</f>
        <v/>
      </c>
      <c r="L6">
        <f>IF(J6="","", IF(ISNUMBER(SEARCH("Critical", J6)), "CRITICAL FAIL", IF(ISNUMBER(SEARCH("Overdue", J6)), "FAIL", "COMPLIANT")))</f>
        <v/>
      </c>
    </row>
    <row r="7">
      <c r="K7">
        <f>IF(A7="","", IF(OR(SUMIF('Code Violations'!A:A, A7, 'Code Violations'!T:T)&gt;=5, VLOOKUP(A7, 'Master Dashboard'!A:L, 9, FALSE)="FAIL", VLOOKUP(A7, 'Master Dashboard'!A:L, 10, FALSE)="FAIL", ISNUMBER(SEARCH("Critical", J7))), "3-Red", IF(SUMIF('Code Violations'!A:A, A7, 'Code Violations'!T:T)&gt;=1, "2-Yellow", "1-White")))</f>
        <v/>
      </c>
      <c r="L7">
        <f>IF(J7="","", IF(ISNUMBER(SEARCH("Critical", J7)), "CRITICAL FAIL", IF(ISNUMBER(SEARCH("Overdue", J7)), "FAIL", "COMPLIANT")))</f>
        <v/>
      </c>
    </row>
    <row r="8">
      <c r="K8">
        <f>IF(A8="","", IF(OR(SUMIF('Code Violations'!A:A, A8, 'Code Violations'!T:T)&gt;=5, VLOOKUP(A8, 'Master Dashboard'!A:L, 9, FALSE)="FAIL", VLOOKUP(A8, 'Master Dashboard'!A:L, 10, FALSE)="FAIL", ISNUMBER(SEARCH("Critical", J8))), "3-Red", IF(SUMIF('Code Violations'!A:A, A8, 'Code Violations'!T:T)&gt;=1, "2-Yellow", "1-White")))</f>
        <v/>
      </c>
      <c r="L8">
        <f>IF(J8="","", IF(ISNUMBER(SEARCH("Critical", J8)), "CRITICAL FAIL", IF(ISNUMBER(SEARCH("Overdue", J8)), "FAIL", "COMPLIANT")))</f>
        <v/>
      </c>
    </row>
    <row r="9">
      <c r="K9">
        <f>IF(A9="","", IF(OR(SUMIF('Code Violations'!A:A, A9, 'Code Violations'!T:T)&gt;=5, VLOOKUP(A9, 'Master Dashboard'!A:L, 9, FALSE)="FAIL", VLOOKUP(A9, 'Master Dashboard'!A:L, 10, FALSE)="FAIL", ISNUMBER(SEARCH("Critical", J9))), "3-Red", IF(SUMIF('Code Violations'!A:A, A9, 'Code Violations'!T:T)&gt;=1, "2-Yellow", "1-White")))</f>
        <v/>
      </c>
      <c r="L9">
        <f>IF(J9="","", IF(ISNUMBER(SEARCH("Critical", J9)), "CRITICAL FAIL", IF(ISNUMBER(SEARCH("Overdue", J9)), "FAIL", "COMPLIANT")))</f>
        <v/>
      </c>
    </row>
    <row r="10">
      <c r="K10">
        <f>IF(A10="","", IF(OR(SUMIF('Code Violations'!A:A, A10, 'Code Violations'!T:T)&gt;=5, VLOOKUP(A10, 'Master Dashboard'!A:L, 9, FALSE)="FAIL", VLOOKUP(A10, 'Master Dashboard'!A:L, 10, FALSE)="FAIL", ISNUMBER(SEARCH("Critical", J10))), "3-Red", IF(SUMIF('Code Violations'!A:A, A10, 'Code Violations'!T:T)&gt;=1, "2-Yellow", "1-White")))</f>
        <v/>
      </c>
      <c r="L10">
        <f>IF(J10="","", IF(ISNUMBER(SEARCH("Critical", J10)), "CRITICAL FAIL", IF(ISNUMBER(SEARCH("Overdue", J10)), "FAIL", "COMPLIANT")))</f>
        <v/>
      </c>
    </row>
    <row r="11">
      <c r="K11">
        <f>IF(A11="","", IF(OR(SUMIF('Code Violations'!A:A, A11, 'Code Violations'!T:T)&gt;=5, VLOOKUP(A11, 'Master Dashboard'!A:L, 9, FALSE)="FAIL", VLOOKUP(A11, 'Master Dashboard'!A:L, 10, FALSE)="FAIL", ISNUMBER(SEARCH("Critical", J11))), "3-Red", IF(SUMIF('Code Violations'!A:A, A11, 'Code Violations'!T:T)&gt;=1, "2-Yellow", "1-White")))</f>
        <v/>
      </c>
      <c r="L11">
        <f>IF(J11="","", IF(ISNUMBER(SEARCH("Critical", J11)), "CRITICAL FAIL", IF(ISNUMBER(SEARCH("Overdue", J11)), "FAIL", "COMPLIANT")))</f>
        <v/>
      </c>
    </row>
    <row r="12">
      <c r="K12">
        <f>IF(A12="","", IF(OR(SUMIF('Code Violations'!A:A, A12, 'Code Violations'!T:T)&gt;=5, VLOOKUP(A12, 'Master Dashboard'!A:L, 9, FALSE)="FAIL", VLOOKUP(A12, 'Master Dashboard'!A:L, 10, FALSE)="FAIL", ISNUMBER(SEARCH("Critical", J12))), "3-Red", IF(SUMIF('Code Violations'!A:A, A12, 'Code Violations'!T:T)&gt;=1, "2-Yellow", "1-White")))</f>
        <v/>
      </c>
      <c r="L12">
        <f>IF(J12="","", IF(ISNUMBER(SEARCH("Critical", J12)), "CRITICAL FAIL", IF(ISNUMBER(SEARCH("Overdue", J12)), "FAIL", "COMPLIANT")))</f>
        <v/>
      </c>
    </row>
    <row r="13">
      <c r="K13">
        <f>IF(A13="","", IF(OR(SUMIF('Code Violations'!A:A, A13, 'Code Violations'!T:T)&gt;=5, VLOOKUP(A13, 'Master Dashboard'!A:L, 9, FALSE)="FAIL", VLOOKUP(A13, 'Master Dashboard'!A:L, 10, FALSE)="FAIL", ISNUMBER(SEARCH("Critical", J13))), "3-Red", IF(SUMIF('Code Violations'!A:A, A13, 'Code Violations'!T:T)&gt;=1, "2-Yellow", "1-White")))</f>
        <v/>
      </c>
      <c r="L13">
        <f>IF(J13="","", IF(ISNUMBER(SEARCH("Critical", J13)), "CRITICAL FAIL", IF(ISNUMBER(SEARCH("Overdue", J13)), "FAIL", "COMPLIANT")))</f>
        <v/>
      </c>
    </row>
    <row r="14">
      <c r="K14">
        <f>IF(A14="","", IF(OR(SUMIF('Code Violations'!A:A, A14, 'Code Violations'!T:T)&gt;=5, VLOOKUP(A14, 'Master Dashboard'!A:L, 9, FALSE)="FAIL", VLOOKUP(A14, 'Master Dashboard'!A:L, 10, FALSE)="FAIL", ISNUMBER(SEARCH("Critical", J14))), "3-Red", IF(SUMIF('Code Violations'!A:A, A14, 'Code Violations'!T:T)&gt;=1, "2-Yellow", "1-White")))</f>
        <v/>
      </c>
      <c r="L14">
        <f>IF(J14="","", IF(ISNUMBER(SEARCH("Critical", J14)), "CRITICAL FAIL", IF(ISNUMBER(SEARCH("Overdue", J14)), "FAIL", "COMPLIANT")))</f>
        <v/>
      </c>
    </row>
    <row r="15">
      <c r="K15">
        <f>IF(A15="","", IF(OR(SUMIF('Code Violations'!A:A, A15, 'Code Violations'!T:T)&gt;=5, VLOOKUP(A15, 'Master Dashboard'!A:L, 9, FALSE)="FAIL", VLOOKUP(A15, 'Master Dashboard'!A:L, 10, FALSE)="FAIL", ISNUMBER(SEARCH("Critical", J15))), "3-Red", IF(SUMIF('Code Violations'!A:A, A15, 'Code Violations'!T:T)&gt;=1, "2-Yellow", "1-White")))</f>
        <v/>
      </c>
      <c r="L15">
        <f>IF(J15="","", IF(ISNUMBER(SEARCH("Critical", J15)), "CRITICAL FAIL", IF(ISNUMBER(SEARCH("Overdue", J15)), "FAIL", "COMPLIANT")))</f>
        <v/>
      </c>
    </row>
    <row r="16">
      <c r="K16">
        <f>IF(A16="","", IF(OR(SUMIF('Code Violations'!A:A, A16, 'Code Violations'!T:T)&gt;=5, VLOOKUP(A16, 'Master Dashboard'!A:L, 9, FALSE)="FAIL", VLOOKUP(A16, 'Master Dashboard'!A:L, 10, FALSE)="FAIL", ISNUMBER(SEARCH("Critical", J16))), "3-Red", IF(SUMIF('Code Violations'!A:A, A16, 'Code Violations'!T:T)&gt;=1, "2-Yellow", "1-White")))</f>
        <v/>
      </c>
      <c r="L16">
        <f>IF(J16="","", IF(ISNUMBER(SEARCH("Critical", J16)), "CRITICAL FAIL", IF(ISNUMBER(SEARCH("Overdue", J16)), "FAIL", "COMPLIANT")))</f>
        <v/>
      </c>
    </row>
    <row r="17">
      <c r="K17">
        <f>IF(A17="","", IF(OR(SUMIF('Code Violations'!A:A, A17, 'Code Violations'!T:T)&gt;=5, VLOOKUP(A17, 'Master Dashboard'!A:L, 9, FALSE)="FAIL", VLOOKUP(A17, 'Master Dashboard'!A:L, 10, FALSE)="FAIL", ISNUMBER(SEARCH("Critical", J17))), "3-Red", IF(SUMIF('Code Violations'!A:A, A17, 'Code Violations'!T:T)&gt;=1, "2-Yellow", "1-White")))</f>
        <v/>
      </c>
      <c r="L17">
        <f>IF(J17="","", IF(ISNUMBER(SEARCH("Critical", J17)), "CRITICAL FAIL", IF(ISNUMBER(SEARCH("Overdue", J17)), "FAIL", "COMPLIANT")))</f>
        <v/>
      </c>
    </row>
    <row r="18">
      <c r="K18">
        <f>IF(A18="","", IF(OR(SUMIF('Code Violations'!A:A, A18, 'Code Violations'!T:T)&gt;=5, VLOOKUP(A18, 'Master Dashboard'!A:L, 9, FALSE)="FAIL", VLOOKUP(A18, 'Master Dashboard'!A:L, 10, FALSE)="FAIL", ISNUMBER(SEARCH("Critical", J18))), "3-Red", IF(SUMIF('Code Violations'!A:A, A18, 'Code Violations'!T:T)&gt;=1, "2-Yellow", "1-White")))</f>
        <v/>
      </c>
      <c r="L18">
        <f>IF(J18="","", IF(ISNUMBER(SEARCH("Critical", J18)), "CRITICAL FAIL", IF(ISNUMBER(SEARCH("Overdue", J18)), "FAIL", "COMPLIANT")))</f>
        <v/>
      </c>
    </row>
    <row r="19">
      <c r="K19">
        <f>IF(A19="","", IF(OR(SUMIF('Code Violations'!A:A, A19, 'Code Violations'!T:T)&gt;=5, VLOOKUP(A19, 'Master Dashboard'!A:L, 9, FALSE)="FAIL", VLOOKUP(A19, 'Master Dashboard'!A:L, 10, FALSE)="FAIL", ISNUMBER(SEARCH("Critical", J19))), "3-Red", IF(SUMIF('Code Violations'!A:A, A19, 'Code Violations'!T:T)&gt;=1, "2-Yellow", "1-White")))</f>
        <v/>
      </c>
      <c r="L19">
        <f>IF(J19="","", IF(ISNUMBER(SEARCH("Critical", J19)), "CRITICAL FAIL", IF(ISNUMBER(SEARCH("Overdue", J19)), "FAIL", "COMPLIANT")))</f>
        <v/>
      </c>
    </row>
    <row r="20">
      <c r="K20">
        <f>IF(A20="","", IF(OR(SUMIF('Code Violations'!A:A, A20, 'Code Violations'!T:T)&gt;=5, VLOOKUP(A20, 'Master Dashboard'!A:L, 9, FALSE)="FAIL", VLOOKUP(A20, 'Master Dashboard'!A:L, 10, FALSE)="FAIL", ISNUMBER(SEARCH("Critical", J20))), "3-Red", IF(SUMIF('Code Violations'!A:A, A20, 'Code Violations'!T:T)&gt;=1, "2-Yellow", "1-White")))</f>
        <v/>
      </c>
      <c r="L20">
        <f>IF(J20="","", IF(ISNUMBER(SEARCH("Critical", J20)), "CRITICAL FAIL", IF(ISNUMBER(SEARCH("Overdue", J20)), "FAIL", "COMPLIANT")))</f>
        <v/>
      </c>
    </row>
    <row r="21">
      <c r="K21">
        <f>IF(A21="","", IF(OR(SUMIF('Code Violations'!A:A, A21, 'Code Violations'!T:T)&gt;=5, VLOOKUP(A21, 'Master Dashboard'!A:L, 9, FALSE)="FAIL", VLOOKUP(A21, 'Master Dashboard'!A:L, 10, FALSE)="FAIL", ISNUMBER(SEARCH("Critical", J21))), "3-Red", IF(SUMIF('Code Violations'!A:A, A21, 'Code Violations'!T:T)&gt;=1, "2-Yellow", "1-White")))</f>
        <v/>
      </c>
      <c r="L21">
        <f>IF(J21="","", IF(ISNUMBER(SEARCH("Critical", J21)), "CRITICAL FAIL", IF(ISNUMBER(SEARCH("Overdue", J21)), "FAIL", "COMPLIANT")))</f>
        <v/>
      </c>
    </row>
    <row r="22">
      <c r="K22">
        <f>IF(A22="","", IF(OR(SUMIF('Code Violations'!A:A, A22, 'Code Violations'!T:T)&gt;=5, VLOOKUP(A22, 'Master Dashboard'!A:L, 9, FALSE)="FAIL", VLOOKUP(A22, 'Master Dashboard'!A:L, 10, FALSE)="FAIL", ISNUMBER(SEARCH("Critical", J22))), "3-Red", IF(SUMIF('Code Violations'!A:A, A22, 'Code Violations'!T:T)&gt;=1, "2-Yellow", "1-White")))</f>
        <v/>
      </c>
      <c r="L22">
        <f>IF(J22="","", IF(ISNUMBER(SEARCH("Critical", J22)), "CRITICAL FAIL", IF(ISNUMBER(SEARCH("Overdue", J22)), "FAIL", "COMPLIANT")))</f>
        <v/>
      </c>
    </row>
    <row r="23">
      <c r="K23">
        <f>IF(A23="","", IF(OR(SUMIF('Code Violations'!A:A, A23, 'Code Violations'!T:T)&gt;=5, VLOOKUP(A23, 'Master Dashboard'!A:L, 9, FALSE)="FAIL", VLOOKUP(A23, 'Master Dashboard'!A:L, 10, FALSE)="FAIL", ISNUMBER(SEARCH("Critical", J23))), "3-Red", IF(SUMIF('Code Violations'!A:A, A23, 'Code Violations'!T:T)&gt;=1, "2-Yellow", "1-White")))</f>
        <v/>
      </c>
      <c r="L23">
        <f>IF(J23="","", IF(ISNUMBER(SEARCH("Critical", J23)), "CRITICAL FAIL", IF(ISNUMBER(SEARCH("Overdue", J23)), "FAIL", "COMPLIANT")))</f>
        <v/>
      </c>
    </row>
    <row r="24">
      <c r="K24">
        <f>IF(A24="","", IF(OR(SUMIF('Code Violations'!A:A, A24, 'Code Violations'!T:T)&gt;=5, VLOOKUP(A24, 'Master Dashboard'!A:L, 9, FALSE)="FAIL", VLOOKUP(A24, 'Master Dashboard'!A:L, 10, FALSE)="FAIL", ISNUMBER(SEARCH("Critical", J24))), "3-Red", IF(SUMIF('Code Violations'!A:A, A24, 'Code Violations'!T:T)&gt;=1, "2-Yellow", "1-White")))</f>
        <v/>
      </c>
      <c r="L24">
        <f>IF(J24="","", IF(ISNUMBER(SEARCH("Critical", J24)), "CRITICAL FAIL", IF(ISNUMBER(SEARCH("Overdue", J24)), "FAIL", "COMPLIANT")))</f>
        <v/>
      </c>
    </row>
    <row r="25">
      <c r="K25">
        <f>IF(A25="","", IF(OR(SUMIF('Code Violations'!A:A, A25, 'Code Violations'!T:T)&gt;=5, VLOOKUP(A25, 'Master Dashboard'!A:L, 9, FALSE)="FAIL", VLOOKUP(A25, 'Master Dashboard'!A:L, 10, FALSE)="FAIL", ISNUMBER(SEARCH("Critical", J25))), "3-Red", IF(SUMIF('Code Violations'!A:A, A25, 'Code Violations'!T:T)&gt;=1, "2-Yellow", "1-White")))</f>
        <v/>
      </c>
      <c r="L25">
        <f>IF(J25="","", IF(ISNUMBER(SEARCH("Critical", J25)), "CRITICAL FAIL", IF(ISNUMBER(SEARCH("Overdue", J25)), "FAIL", "COMPLIANT")))</f>
        <v/>
      </c>
    </row>
    <row r="26">
      <c r="K26">
        <f>IF(A26="","", IF(OR(SUMIF('Code Violations'!A:A, A26, 'Code Violations'!T:T)&gt;=5, VLOOKUP(A26, 'Master Dashboard'!A:L, 9, FALSE)="FAIL", VLOOKUP(A26, 'Master Dashboard'!A:L, 10, FALSE)="FAIL", ISNUMBER(SEARCH("Critical", J26))), "3-Red", IF(SUMIF('Code Violations'!A:A, A26, 'Code Violations'!T:T)&gt;=1, "2-Yellow", "1-White")))</f>
        <v/>
      </c>
      <c r="L26">
        <f>IF(J26="","", IF(ISNUMBER(SEARCH("Critical", J26)), "CRITICAL FAIL", IF(ISNUMBER(SEARCH("Overdue", J26)), "FAIL", "COMPLIANT")))</f>
        <v/>
      </c>
    </row>
    <row r="27">
      <c r="K27">
        <f>IF(A27="","", IF(OR(SUMIF('Code Violations'!A:A, A27, 'Code Violations'!T:T)&gt;=5, VLOOKUP(A27, 'Master Dashboard'!A:L, 9, FALSE)="FAIL", VLOOKUP(A27, 'Master Dashboard'!A:L, 10, FALSE)="FAIL", ISNUMBER(SEARCH("Critical", J27))), "3-Red", IF(SUMIF('Code Violations'!A:A, A27, 'Code Violations'!T:T)&gt;=1, "2-Yellow", "1-White")))</f>
        <v/>
      </c>
      <c r="L27">
        <f>IF(J27="","", IF(ISNUMBER(SEARCH("Critical", J27)), "CRITICAL FAIL", IF(ISNUMBER(SEARCH("Overdue", J27)), "FAIL", "COMPLIANT")))</f>
        <v/>
      </c>
    </row>
    <row r="28">
      <c r="K28">
        <f>IF(A28="","", IF(OR(SUMIF('Code Violations'!A:A, A28, 'Code Violations'!T:T)&gt;=5, VLOOKUP(A28, 'Master Dashboard'!A:L, 9, FALSE)="FAIL", VLOOKUP(A28, 'Master Dashboard'!A:L, 10, FALSE)="FAIL", ISNUMBER(SEARCH("Critical", J28))), "3-Red", IF(SUMIF('Code Violations'!A:A, A28, 'Code Violations'!T:T)&gt;=1, "2-Yellow", "1-White")))</f>
        <v/>
      </c>
      <c r="L28">
        <f>IF(J28="","", IF(ISNUMBER(SEARCH("Critical", J28)), "CRITICAL FAIL", IF(ISNUMBER(SEARCH("Overdue", J28)), "FAIL", "COMPLIANT")))</f>
        <v/>
      </c>
    </row>
    <row r="29">
      <c r="K29">
        <f>IF(A29="","", IF(OR(SUMIF('Code Violations'!A:A, A29, 'Code Violations'!T:T)&gt;=5, VLOOKUP(A29, 'Master Dashboard'!A:L, 9, FALSE)="FAIL", VLOOKUP(A29, 'Master Dashboard'!A:L, 10, FALSE)="FAIL", ISNUMBER(SEARCH("Critical", J29))), "3-Red", IF(SUMIF('Code Violations'!A:A, A29, 'Code Violations'!T:T)&gt;=1, "2-Yellow", "1-White")))</f>
        <v/>
      </c>
      <c r="L29">
        <f>IF(J29="","", IF(ISNUMBER(SEARCH("Critical", J29)), "CRITICAL FAIL", IF(ISNUMBER(SEARCH("Overdue", J29)), "FAIL", "COMPLIANT")))</f>
        <v/>
      </c>
    </row>
    <row r="30">
      <c r="K30">
        <f>IF(A30="","", IF(OR(SUMIF('Code Violations'!A:A, A30, 'Code Violations'!T:T)&gt;=5, VLOOKUP(A30, 'Master Dashboard'!A:L, 9, FALSE)="FAIL", VLOOKUP(A30, 'Master Dashboard'!A:L, 10, FALSE)="FAIL", ISNUMBER(SEARCH("Critical", J30))), "3-Red", IF(SUMIF('Code Violations'!A:A, A30, 'Code Violations'!T:T)&gt;=1, "2-Yellow", "1-White")))</f>
        <v/>
      </c>
      <c r="L30">
        <f>IF(J30="","", IF(ISNUMBER(SEARCH("Critical", J30)), "CRITICAL FAIL", IF(ISNUMBER(SEARCH("Overdue", J30)), "FAIL", "COMPLIANT")))</f>
        <v/>
      </c>
    </row>
    <row r="31">
      <c r="K31">
        <f>IF(A31="","", IF(OR(SUMIF('Code Violations'!A:A, A31, 'Code Violations'!T:T)&gt;=5, VLOOKUP(A31, 'Master Dashboard'!A:L, 9, FALSE)="FAIL", VLOOKUP(A31, 'Master Dashboard'!A:L, 10, FALSE)="FAIL", ISNUMBER(SEARCH("Critical", J31))), "3-Red", IF(SUMIF('Code Violations'!A:A, A31, 'Code Violations'!T:T)&gt;=1, "2-Yellow", "1-White")))</f>
        <v/>
      </c>
      <c r="L31">
        <f>IF(J31="","", IF(ISNUMBER(SEARCH("Critical", J31)), "CRITICAL FAIL", IF(ISNUMBER(SEARCH("Overdue", J31)), "FAIL", "COMPLIANT")))</f>
        <v/>
      </c>
    </row>
    <row r="32">
      <c r="K32">
        <f>IF(A32="","", IF(OR(SUMIF('Code Violations'!A:A, A32, 'Code Violations'!T:T)&gt;=5, VLOOKUP(A32, 'Master Dashboard'!A:L, 9, FALSE)="FAIL", VLOOKUP(A32, 'Master Dashboard'!A:L, 10, FALSE)="FAIL", ISNUMBER(SEARCH("Critical", J32))), "3-Red", IF(SUMIF('Code Violations'!A:A, A32, 'Code Violations'!T:T)&gt;=1, "2-Yellow", "1-White")))</f>
        <v/>
      </c>
      <c r="L32">
        <f>IF(J32="","", IF(ISNUMBER(SEARCH("Critical", J32)), "CRITICAL FAIL", IF(ISNUMBER(SEARCH("Overdue", J32)), "FAIL", "COMPLIANT")))</f>
        <v/>
      </c>
    </row>
    <row r="33">
      <c r="K33">
        <f>IF(A33="","", IF(OR(SUMIF('Code Violations'!A:A, A33, 'Code Violations'!T:T)&gt;=5, VLOOKUP(A33, 'Master Dashboard'!A:L, 9, FALSE)="FAIL", VLOOKUP(A33, 'Master Dashboard'!A:L, 10, FALSE)="FAIL", ISNUMBER(SEARCH("Critical", J33))), "3-Red", IF(SUMIF('Code Violations'!A:A, A33, 'Code Violations'!T:T)&gt;=1, "2-Yellow", "1-White")))</f>
        <v/>
      </c>
      <c r="L33">
        <f>IF(J33="","", IF(ISNUMBER(SEARCH("Critical", J33)), "CRITICAL FAIL", IF(ISNUMBER(SEARCH("Overdue", J33)), "FAIL", "COMPLIANT")))</f>
        <v/>
      </c>
    </row>
    <row r="34">
      <c r="K34">
        <f>IF(A34="","", IF(OR(SUMIF('Code Violations'!A:A, A34, 'Code Violations'!T:T)&gt;=5, VLOOKUP(A34, 'Master Dashboard'!A:L, 9, FALSE)="FAIL", VLOOKUP(A34, 'Master Dashboard'!A:L, 10, FALSE)="FAIL", ISNUMBER(SEARCH("Critical", J34))), "3-Red", IF(SUMIF('Code Violations'!A:A, A34, 'Code Violations'!T:T)&gt;=1, "2-Yellow", "1-White")))</f>
        <v/>
      </c>
      <c r="L34">
        <f>IF(J34="","", IF(ISNUMBER(SEARCH("Critical", J34)), "CRITICAL FAIL", IF(ISNUMBER(SEARCH("Overdue", J34)), "FAIL", "COMPLIANT")))</f>
        <v/>
      </c>
    </row>
    <row r="35">
      <c r="K35">
        <f>IF(A35="","", IF(OR(SUMIF('Code Violations'!A:A, A35, 'Code Violations'!T:T)&gt;=5, VLOOKUP(A35, 'Master Dashboard'!A:L, 9, FALSE)="FAIL", VLOOKUP(A35, 'Master Dashboard'!A:L, 10, FALSE)="FAIL", ISNUMBER(SEARCH("Critical", J35))), "3-Red", IF(SUMIF('Code Violations'!A:A, A35, 'Code Violations'!T:T)&gt;=1, "2-Yellow", "1-White")))</f>
        <v/>
      </c>
      <c r="L35">
        <f>IF(J35="","", IF(ISNUMBER(SEARCH("Critical", J35)), "CRITICAL FAIL", IF(ISNUMBER(SEARCH("Overdue", J35)), "FAIL", "COMPLIANT")))</f>
        <v/>
      </c>
    </row>
    <row r="36">
      <c r="K36">
        <f>IF(A36="","", IF(OR(SUMIF('Code Violations'!A:A, A36, 'Code Violations'!T:T)&gt;=5, VLOOKUP(A36, 'Master Dashboard'!A:L, 9, FALSE)="FAIL", VLOOKUP(A36, 'Master Dashboard'!A:L, 10, FALSE)="FAIL", ISNUMBER(SEARCH("Critical", J36))), "3-Red", IF(SUMIF('Code Violations'!A:A, A36, 'Code Violations'!T:T)&gt;=1, "2-Yellow", "1-White")))</f>
        <v/>
      </c>
      <c r="L36">
        <f>IF(J36="","", IF(ISNUMBER(SEARCH("Critical", J36)), "CRITICAL FAIL", IF(ISNUMBER(SEARCH("Overdue", J36)), "FAIL", "COMPLIANT")))</f>
        <v/>
      </c>
    </row>
    <row r="37">
      <c r="K37">
        <f>IF(A37="","", IF(OR(SUMIF('Code Violations'!A:A, A37, 'Code Violations'!T:T)&gt;=5, VLOOKUP(A37, 'Master Dashboard'!A:L, 9, FALSE)="FAIL", VLOOKUP(A37, 'Master Dashboard'!A:L, 10, FALSE)="FAIL", ISNUMBER(SEARCH("Critical", J37))), "3-Red", IF(SUMIF('Code Violations'!A:A, A37, 'Code Violations'!T:T)&gt;=1, "2-Yellow", "1-White")))</f>
        <v/>
      </c>
      <c r="L37">
        <f>IF(J37="","", IF(ISNUMBER(SEARCH("Critical", J37)), "CRITICAL FAIL", IF(ISNUMBER(SEARCH("Overdue", J37)), "FAIL", "COMPLIANT")))</f>
        <v/>
      </c>
    </row>
    <row r="38">
      <c r="K38">
        <f>IF(A38="","", IF(OR(SUMIF('Code Violations'!A:A, A38, 'Code Violations'!T:T)&gt;=5, VLOOKUP(A38, 'Master Dashboard'!A:L, 9, FALSE)="FAIL", VLOOKUP(A38, 'Master Dashboard'!A:L, 10, FALSE)="FAIL", ISNUMBER(SEARCH("Critical", J38))), "3-Red", IF(SUMIF('Code Violations'!A:A, A38, 'Code Violations'!T:T)&gt;=1, "2-Yellow", "1-White")))</f>
        <v/>
      </c>
      <c r="L38">
        <f>IF(J38="","", IF(ISNUMBER(SEARCH("Critical", J38)), "CRITICAL FAIL", IF(ISNUMBER(SEARCH("Overdue", J38)), "FAIL", "COMPLIANT")))</f>
        <v/>
      </c>
    </row>
    <row r="39">
      <c r="K39">
        <f>IF(A39="","", IF(OR(SUMIF('Code Violations'!A:A, A39, 'Code Violations'!T:T)&gt;=5, VLOOKUP(A39, 'Master Dashboard'!A:L, 9, FALSE)="FAIL", VLOOKUP(A39, 'Master Dashboard'!A:L, 10, FALSE)="FAIL", ISNUMBER(SEARCH("Critical", J39))), "3-Red", IF(SUMIF('Code Violations'!A:A, A39, 'Code Violations'!T:T)&gt;=1, "2-Yellow", "1-White")))</f>
        <v/>
      </c>
      <c r="L39">
        <f>IF(J39="","", IF(ISNUMBER(SEARCH("Critical", J39)), "CRITICAL FAIL", IF(ISNUMBER(SEARCH("Overdue", J39)), "FAIL", "COMPLIANT")))</f>
        <v/>
      </c>
    </row>
    <row r="40">
      <c r="K40">
        <f>IF(A40="","", IF(OR(SUMIF('Code Violations'!A:A, A40, 'Code Violations'!T:T)&gt;=5, VLOOKUP(A40, 'Master Dashboard'!A:L, 9, FALSE)="FAIL", VLOOKUP(A40, 'Master Dashboard'!A:L, 10, FALSE)="FAIL", ISNUMBER(SEARCH("Critical", J40))), "3-Red", IF(SUMIF('Code Violations'!A:A, A40, 'Code Violations'!T:T)&gt;=1, "2-Yellow", "1-White")))</f>
        <v/>
      </c>
      <c r="L40">
        <f>IF(J40="","", IF(ISNUMBER(SEARCH("Critical", J40)), "CRITICAL FAIL", IF(ISNUMBER(SEARCH("Overdue", J40)), "FAIL", "COMPLIANT")))</f>
        <v/>
      </c>
    </row>
    <row r="41">
      <c r="K41">
        <f>IF(A41="","", IF(OR(SUMIF('Code Violations'!A:A, A41, 'Code Violations'!T:T)&gt;=5, VLOOKUP(A41, 'Master Dashboard'!A:L, 9, FALSE)="FAIL", VLOOKUP(A41, 'Master Dashboard'!A:L, 10, FALSE)="FAIL", ISNUMBER(SEARCH("Critical", J41))), "3-Red", IF(SUMIF('Code Violations'!A:A, A41, 'Code Violations'!T:T)&gt;=1, "2-Yellow", "1-White")))</f>
        <v/>
      </c>
      <c r="L41">
        <f>IF(J41="","", IF(ISNUMBER(SEARCH("Critical", J41)), "CRITICAL FAIL", IF(ISNUMBER(SEARCH("Overdue", J41)), "FAIL", "COMPLIANT")))</f>
        <v/>
      </c>
    </row>
    <row r="42">
      <c r="K42">
        <f>IF(A42="","", IF(OR(SUMIF('Code Violations'!A:A, A42, 'Code Violations'!T:T)&gt;=5, VLOOKUP(A42, 'Master Dashboard'!A:L, 9, FALSE)="FAIL", VLOOKUP(A42, 'Master Dashboard'!A:L, 10, FALSE)="FAIL", ISNUMBER(SEARCH("Critical", J42))), "3-Red", IF(SUMIF('Code Violations'!A:A, A42, 'Code Violations'!T:T)&gt;=1, "2-Yellow", "1-White")))</f>
        <v/>
      </c>
      <c r="L42">
        <f>IF(J42="","", IF(ISNUMBER(SEARCH("Critical", J42)), "CRITICAL FAIL", IF(ISNUMBER(SEARCH("Overdue", J42)), "FAIL", "COMPLIANT")))</f>
        <v/>
      </c>
    </row>
    <row r="43">
      <c r="K43">
        <f>IF(A43="","", IF(OR(SUMIF('Code Violations'!A:A, A43, 'Code Violations'!T:T)&gt;=5, VLOOKUP(A43, 'Master Dashboard'!A:L, 9, FALSE)="FAIL", VLOOKUP(A43, 'Master Dashboard'!A:L, 10, FALSE)="FAIL", ISNUMBER(SEARCH("Critical", J43))), "3-Red", IF(SUMIF('Code Violations'!A:A, A43, 'Code Violations'!T:T)&gt;=1, "2-Yellow", "1-White")))</f>
        <v/>
      </c>
      <c r="L43">
        <f>IF(J43="","", IF(ISNUMBER(SEARCH("Critical", J43)), "CRITICAL FAIL", IF(ISNUMBER(SEARCH("Overdue", J43)), "FAIL", "COMPLIANT")))</f>
        <v/>
      </c>
    </row>
    <row r="44">
      <c r="K44">
        <f>IF(A44="","", IF(OR(SUMIF('Code Violations'!A:A, A44, 'Code Violations'!T:T)&gt;=5, VLOOKUP(A44, 'Master Dashboard'!A:L, 9, FALSE)="FAIL", VLOOKUP(A44, 'Master Dashboard'!A:L, 10, FALSE)="FAIL", ISNUMBER(SEARCH("Critical", J44))), "3-Red", IF(SUMIF('Code Violations'!A:A, A44, 'Code Violations'!T:T)&gt;=1, "2-Yellow", "1-White")))</f>
        <v/>
      </c>
      <c r="L44">
        <f>IF(J44="","", IF(ISNUMBER(SEARCH("Critical", J44)), "CRITICAL FAIL", IF(ISNUMBER(SEARCH("Overdue", J44)), "FAIL", "COMPLIANT")))</f>
        <v/>
      </c>
    </row>
    <row r="45">
      <c r="K45">
        <f>IF(A45="","", IF(OR(SUMIF('Code Violations'!A:A, A45, 'Code Violations'!T:T)&gt;=5, VLOOKUP(A45, 'Master Dashboard'!A:L, 9, FALSE)="FAIL", VLOOKUP(A45, 'Master Dashboard'!A:L, 10, FALSE)="FAIL", ISNUMBER(SEARCH("Critical", J45))), "3-Red", IF(SUMIF('Code Violations'!A:A, A45, 'Code Violations'!T:T)&gt;=1, "2-Yellow", "1-White")))</f>
        <v/>
      </c>
      <c r="L45">
        <f>IF(J45="","", IF(ISNUMBER(SEARCH("Critical", J45)), "CRITICAL FAIL", IF(ISNUMBER(SEARCH("Overdue", J45)), "FAIL", "COMPLIANT")))</f>
        <v/>
      </c>
    </row>
    <row r="46">
      <c r="K46">
        <f>IF(A46="","", IF(OR(SUMIF('Code Violations'!A:A, A46, 'Code Violations'!T:T)&gt;=5, VLOOKUP(A46, 'Master Dashboard'!A:L, 9, FALSE)="FAIL", VLOOKUP(A46, 'Master Dashboard'!A:L, 10, FALSE)="FAIL", ISNUMBER(SEARCH("Critical", J46))), "3-Red", IF(SUMIF('Code Violations'!A:A, A46, 'Code Violations'!T:T)&gt;=1, "2-Yellow", "1-White")))</f>
        <v/>
      </c>
      <c r="L46">
        <f>IF(J46="","", IF(ISNUMBER(SEARCH("Critical", J46)), "CRITICAL FAIL", IF(ISNUMBER(SEARCH("Overdue", J46)), "FAIL", "COMPLIANT")))</f>
        <v/>
      </c>
    </row>
    <row r="47">
      <c r="K47">
        <f>IF(A47="","", IF(OR(SUMIF('Code Violations'!A:A, A47, 'Code Violations'!T:T)&gt;=5, VLOOKUP(A47, 'Master Dashboard'!A:L, 9, FALSE)="FAIL", VLOOKUP(A47, 'Master Dashboard'!A:L, 10, FALSE)="FAIL", ISNUMBER(SEARCH("Critical", J47))), "3-Red", IF(SUMIF('Code Violations'!A:A, A47, 'Code Violations'!T:T)&gt;=1, "2-Yellow", "1-White")))</f>
        <v/>
      </c>
      <c r="L47">
        <f>IF(J47="","", IF(ISNUMBER(SEARCH("Critical", J47)), "CRITICAL FAIL", IF(ISNUMBER(SEARCH("Overdue", J47)), "FAIL", "COMPLIANT")))</f>
        <v/>
      </c>
    </row>
    <row r="48">
      <c r="K48">
        <f>IF(A48="","", IF(OR(SUMIF('Code Violations'!A:A, A48, 'Code Violations'!T:T)&gt;=5, VLOOKUP(A48, 'Master Dashboard'!A:L, 9, FALSE)="FAIL", VLOOKUP(A48, 'Master Dashboard'!A:L, 10, FALSE)="FAIL", ISNUMBER(SEARCH("Critical", J48))), "3-Red", IF(SUMIF('Code Violations'!A:A, A48, 'Code Violations'!T:T)&gt;=1, "2-Yellow", "1-White")))</f>
        <v/>
      </c>
      <c r="L48">
        <f>IF(J48="","", IF(ISNUMBER(SEARCH("Critical", J48)), "CRITICAL FAIL", IF(ISNUMBER(SEARCH("Overdue", J48)), "FAIL", "COMPLIANT")))</f>
        <v/>
      </c>
    </row>
    <row r="49">
      <c r="K49">
        <f>IF(A49="","", IF(OR(SUMIF('Code Violations'!A:A, A49, 'Code Violations'!T:T)&gt;=5, VLOOKUP(A49, 'Master Dashboard'!A:L, 9, FALSE)="FAIL", VLOOKUP(A49, 'Master Dashboard'!A:L, 10, FALSE)="FAIL", ISNUMBER(SEARCH("Critical", J49))), "3-Red", IF(SUMIF('Code Violations'!A:A, A49, 'Code Violations'!T:T)&gt;=1, "2-Yellow", "1-White")))</f>
        <v/>
      </c>
      <c r="L49">
        <f>IF(J49="","", IF(ISNUMBER(SEARCH("Critical", J49)), "CRITICAL FAIL", IF(ISNUMBER(SEARCH("Overdue", J49)), "FAIL", "COMPLIANT")))</f>
        <v/>
      </c>
    </row>
    <row r="50">
      <c r="K50">
        <f>IF(A50="","", IF(OR(SUMIF('Code Violations'!A:A, A50, 'Code Violations'!T:T)&gt;=5, VLOOKUP(A50, 'Master Dashboard'!A:L, 9, FALSE)="FAIL", VLOOKUP(A50, 'Master Dashboard'!A:L, 10, FALSE)="FAIL", ISNUMBER(SEARCH("Critical", J50))), "3-Red", IF(SUMIF('Code Violations'!A:A, A50, 'Code Violations'!T:T)&gt;=1, "2-Yellow", "1-White")))</f>
        <v/>
      </c>
      <c r="L50">
        <f>IF(J50="","", IF(ISNUMBER(SEARCH("Critical", J50)), "CRITICAL FAIL", IF(ISNUMBER(SEARCH("Overdue", J50)), "FAIL", "COMPLIANT")))</f>
        <v/>
      </c>
    </row>
    <row r="51">
      <c r="K51">
        <f>IF(A51="","", IF(OR(SUMIF('Code Violations'!A:A, A51, 'Code Violations'!T:T)&gt;=5, VLOOKUP(A51, 'Master Dashboard'!A:L, 9, FALSE)="FAIL", VLOOKUP(A51, 'Master Dashboard'!A:L, 10, FALSE)="FAIL", ISNUMBER(SEARCH("Critical", J51))), "3-Red", IF(SUMIF('Code Violations'!A:A, A51, 'Code Violations'!T:T)&gt;=1, "2-Yellow", "1-White")))</f>
        <v/>
      </c>
      <c r="L51">
        <f>IF(J51="","", IF(ISNUMBER(SEARCH("Critical", J51)), "CRITICAL FAIL", IF(ISNUMBER(SEARCH("Overdue", J51)), "FAIL", "COMPLIANT")))</f>
        <v/>
      </c>
    </row>
    <row r="52">
      <c r="K52">
        <f>IF(A52="","", IF(OR(SUMIF('Code Violations'!A:A, A52, 'Code Violations'!T:T)&gt;=5, VLOOKUP(A52, 'Master Dashboard'!A:L, 9, FALSE)="FAIL", VLOOKUP(A52, 'Master Dashboard'!A:L, 10, FALSE)="FAIL", ISNUMBER(SEARCH("Critical", J52))), "3-Red", IF(SUMIF('Code Violations'!A:A, A52, 'Code Violations'!T:T)&gt;=1, "2-Yellow", "1-White")))</f>
        <v/>
      </c>
      <c r="L52">
        <f>IF(J52="","", IF(ISNUMBER(SEARCH("Critical", J52)), "CRITICAL FAIL", IF(ISNUMBER(SEARCH("Overdue", J52)), "FAIL", "COMPLIANT")))</f>
        <v/>
      </c>
    </row>
    <row r="53">
      <c r="K53">
        <f>IF(A53="","", IF(OR(SUMIF('Code Violations'!A:A, A53, 'Code Violations'!T:T)&gt;=5, VLOOKUP(A53, 'Master Dashboard'!A:L, 9, FALSE)="FAIL", VLOOKUP(A53, 'Master Dashboard'!A:L, 10, FALSE)="FAIL", ISNUMBER(SEARCH("Critical", J53))), "3-Red", IF(SUMIF('Code Violations'!A:A, A53, 'Code Violations'!T:T)&gt;=1, "2-Yellow", "1-White")))</f>
        <v/>
      </c>
      <c r="L53">
        <f>IF(J53="","", IF(ISNUMBER(SEARCH("Critical", J53)), "CRITICAL FAIL", IF(ISNUMBER(SEARCH("Overdue", J53)), "FAIL", "COMPLIANT")))</f>
        <v/>
      </c>
    </row>
    <row r="54">
      <c r="K54">
        <f>IF(A54="","", IF(OR(SUMIF('Code Violations'!A:A, A54, 'Code Violations'!T:T)&gt;=5, VLOOKUP(A54, 'Master Dashboard'!A:L, 9, FALSE)="FAIL", VLOOKUP(A54, 'Master Dashboard'!A:L, 10, FALSE)="FAIL", ISNUMBER(SEARCH("Critical", J54))), "3-Red", IF(SUMIF('Code Violations'!A:A, A54, 'Code Violations'!T:T)&gt;=1, "2-Yellow", "1-White")))</f>
        <v/>
      </c>
      <c r="L54">
        <f>IF(J54="","", IF(ISNUMBER(SEARCH("Critical", J54)), "CRITICAL FAIL", IF(ISNUMBER(SEARCH("Overdue", J54)), "FAIL", "COMPLIANT")))</f>
        <v/>
      </c>
    </row>
    <row r="55">
      <c r="K55">
        <f>IF(A55="","", IF(OR(SUMIF('Code Violations'!A:A, A55, 'Code Violations'!T:T)&gt;=5, VLOOKUP(A55, 'Master Dashboard'!A:L, 9, FALSE)="FAIL", VLOOKUP(A55, 'Master Dashboard'!A:L, 10, FALSE)="FAIL", ISNUMBER(SEARCH("Critical", J55))), "3-Red", IF(SUMIF('Code Violations'!A:A, A55, 'Code Violations'!T:T)&gt;=1, "2-Yellow", "1-White")))</f>
        <v/>
      </c>
      <c r="L55">
        <f>IF(J55="","", IF(ISNUMBER(SEARCH("Critical", J55)), "CRITICAL FAIL", IF(ISNUMBER(SEARCH("Overdue", J55)), "FAIL", "COMPLIANT")))</f>
        <v/>
      </c>
    </row>
    <row r="56">
      <c r="K56">
        <f>IF(A56="","", IF(OR(SUMIF('Code Violations'!A:A, A56, 'Code Violations'!T:T)&gt;=5, VLOOKUP(A56, 'Master Dashboard'!A:L, 9, FALSE)="FAIL", VLOOKUP(A56, 'Master Dashboard'!A:L, 10, FALSE)="FAIL", ISNUMBER(SEARCH("Critical", J56))), "3-Red", IF(SUMIF('Code Violations'!A:A, A56, 'Code Violations'!T:T)&gt;=1, "2-Yellow", "1-White")))</f>
        <v/>
      </c>
      <c r="L56">
        <f>IF(J56="","", IF(ISNUMBER(SEARCH("Critical", J56)), "CRITICAL FAIL", IF(ISNUMBER(SEARCH("Overdue", J56)), "FAIL", "COMPLIANT")))</f>
        <v/>
      </c>
    </row>
    <row r="57">
      <c r="K57">
        <f>IF(A57="","", IF(OR(SUMIF('Code Violations'!A:A, A57, 'Code Violations'!T:T)&gt;=5, VLOOKUP(A57, 'Master Dashboard'!A:L, 9, FALSE)="FAIL", VLOOKUP(A57, 'Master Dashboard'!A:L, 10, FALSE)="FAIL", ISNUMBER(SEARCH("Critical", J57))), "3-Red", IF(SUMIF('Code Violations'!A:A, A57, 'Code Violations'!T:T)&gt;=1, "2-Yellow", "1-White")))</f>
        <v/>
      </c>
      <c r="L57">
        <f>IF(J57="","", IF(ISNUMBER(SEARCH("Critical", J57)), "CRITICAL FAIL", IF(ISNUMBER(SEARCH("Overdue", J57)), "FAIL", "COMPLIANT")))</f>
        <v/>
      </c>
    </row>
    <row r="58">
      <c r="K58">
        <f>IF(A58="","", IF(OR(SUMIF('Code Violations'!A:A, A58, 'Code Violations'!T:T)&gt;=5, VLOOKUP(A58, 'Master Dashboard'!A:L, 9, FALSE)="FAIL", VLOOKUP(A58, 'Master Dashboard'!A:L, 10, FALSE)="FAIL", ISNUMBER(SEARCH("Critical", J58))), "3-Red", IF(SUMIF('Code Violations'!A:A, A58, 'Code Violations'!T:T)&gt;=1, "2-Yellow", "1-White")))</f>
        <v/>
      </c>
      <c r="L58">
        <f>IF(J58="","", IF(ISNUMBER(SEARCH("Critical", J58)), "CRITICAL FAIL", IF(ISNUMBER(SEARCH("Overdue", J58)), "FAIL", "COMPLIANT")))</f>
        <v/>
      </c>
    </row>
    <row r="59">
      <c r="K59">
        <f>IF(A59="","", IF(OR(SUMIF('Code Violations'!A:A, A59, 'Code Violations'!T:T)&gt;=5, VLOOKUP(A59, 'Master Dashboard'!A:L, 9, FALSE)="FAIL", VLOOKUP(A59, 'Master Dashboard'!A:L, 10, FALSE)="FAIL", ISNUMBER(SEARCH("Critical", J59))), "3-Red", IF(SUMIF('Code Violations'!A:A, A59, 'Code Violations'!T:T)&gt;=1, "2-Yellow", "1-White")))</f>
        <v/>
      </c>
      <c r="L59">
        <f>IF(J59="","", IF(ISNUMBER(SEARCH("Critical", J59)), "CRITICAL FAIL", IF(ISNUMBER(SEARCH("Overdue", J59)), "FAIL", "COMPLIANT")))</f>
        <v/>
      </c>
    </row>
    <row r="60">
      <c r="K60">
        <f>IF(A60="","", IF(OR(SUMIF('Code Violations'!A:A, A60, 'Code Violations'!T:T)&gt;=5, VLOOKUP(A60, 'Master Dashboard'!A:L, 9, FALSE)="FAIL", VLOOKUP(A60, 'Master Dashboard'!A:L, 10, FALSE)="FAIL", ISNUMBER(SEARCH("Critical", J60))), "3-Red", IF(SUMIF('Code Violations'!A:A, A60, 'Code Violations'!T:T)&gt;=1, "2-Yellow", "1-White")))</f>
        <v/>
      </c>
      <c r="L60">
        <f>IF(J60="","", IF(ISNUMBER(SEARCH("Critical", J60)), "CRITICAL FAIL", IF(ISNUMBER(SEARCH("Overdue", J60)), "FAIL", "COMPLIANT")))</f>
        <v/>
      </c>
    </row>
    <row r="61">
      <c r="K61">
        <f>IF(A61="","", IF(OR(SUMIF('Code Violations'!A:A, A61, 'Code Violations'!T:T)&gt;=5, VLOOKUP(A61, 'Master Dashboard'!A:L, 9, FALSE)="FAIL", VLOOKUP(A61, 'Master Dashboard'!A:L, 10, FALSE)="FAIL", ISNUMBER(SEARCH("Critical", J61))), "3-Red", IF(SUMIF('Code Violations'!A:A, A61, 'Code Violations'!T:T)&gt;=1, "2-Yellow", "1-White")))</f>
        <v/>
      </c>
      <c r="L61">
        <f>IF(J61="","", IF(ISNUMBER(SEARCH("Critical", J61)), "CRITICAL FAIL", IF(ISNUMBER(SEARCH("Overdue", J61)), "FAIL", "COMPLIANT")))</f>
        <v/>
      </c>
    </row>
    <row r="62">
      <c r="K62">
        <f>IF(A62="","", IF(OR(SUMIF('Code Violations'!A:A, A62, 'Code Violations'!T:T)&gt;=5, VLOOKUP(A62, 'Master Dashboard'!A:L, 9, FALSE)="FAIL", VLOOKUP(A62, 'Master Dashboard'!A:L, 10, FALSE)="FAIL", ISNUMBER(SEARCH("Critical", J62))), "3-Red", IF(SUMIF('Code Violations'!A:A, A62, 'Code Violations'!T:T)&gt;=1, "2-Yellow", "1-White")))</f>
        <v/>
      </c>
      <c r="L62">
        <f>IF(J62="","", IF(ISNUMBER(SEARCH("Critical", J62)), "CRITICAL FAIL", IF(ISNUMBER(SEARCH("Overdue", J62)), "FAIL", "COMPLIANT")))</f>
        <v/>
      </c>
    </row>
    <row r="63">
      <c r="K63">
        <f>IF(A63="","", IF(OR(SUMIF('Code Violations'!A:A, A63, 'Code Violations'!T:T)&gt;=5, VLOOKUP(A63, 'Master Dashboard'!A:L, 9, FALSE)="FAIL", VLOOKUP(A63, 'Master Dashboard'!A:L, 10, FALSE)="FAIL", ISNUMBER(SEARCH("Critical", J63))), "3-Red", IF(SUMIF('Code Violations'!A:A, A63, 'Code Violations'!T:T)&gt;=1, "2-Yellow", "1-White")))</f>
        <v/>
      </c>
      <c r="L63">
        <f>IF(J63="","", IF(ISNUMBER(SEARCH("Critical", J63)), "CRITICAL FAIL", IF(ISNUMBER(SEARCH("Overdue", J63)), "FAIL", "COMPLIANT")))</f>
        <v/>
      </c>
    </row>
    <row r="64">
      <c r="K64">
        <f>IF(A64="","", IF(OR(SUMIF('Code Violations'!A:A, A64, 'Code Violations'!T:T)&gt;=5, VLOOKUP(A64, 'Master Dashboard'!A:L, 9, FALSE)="FAIL", VLOOKUP(A64, 'Master Dashboard'!A:L, 10, FALSE)="FAIL", ISNUMBER(SEARCH("Critical", J64))), "3-Red", IF(SUMIF('Code Violations'!A:A, A64, 'Code Violations'!T:T)&gt;=1, "2-Yellow", "1-White")))</f>
        <v/>
      </c>
      <c r="L64">
        <f>IF(J64="","", IF(ISNUMBER(SEARCH("Critical", J64)), "CRITICAL FAIL", IF(ISNUMBER(SEARCH("Overdue", J64)), "FAIL", "COMPLIANT")))</f>
        <v/>
      </c>
    </row>
    <row r="65">
      <c r="K65">
        <f>IF(A65="","", IF(OR(SUMIF('Code Violations'!A:A, A65, 'Code Violations'!T:T)&gt;=5, VLOOKUP(A65, 'Master Dashboard'!A:L, 9, FALSE)="FAIL", VLOOKUP(A65, 'Master Dashboard'!A:L, 10, FALSE)="FAIL", ISNUMBER(SEARCH("Critical", J65))), "3-Red", IF(SUMIF('Code Violations'!A:A, A65, 'Code Violations'!T:T)&gt;=1, "2-Yellow", "1-White")))</f>
        <v/>
      </c>
      <c r="L65">
        <f>IF(J65="","", IF(ISNUMBER(SEARCH("Critical", J65)), "CRITICAL FAIL", IF(ISNUMBER(SEARCH("Overdue", J65)), "FAIL", "COMPLIANT")))</f>
        <v/>
      </c>
    </row>
    <row r="66">
      <c r="K66">
        <f>IF(A66="","", IF(OR(SUMIF('Code Violations'!A:A, A66, 'Code Violations'!T:T)&gt;=5, VLOOKUP(A66, 'Master Dashboard'!A:L, 9, FALSE)="FAIL", VLOOKUP(A66, 'Master Dashboard'!A:L, 10, FALSE)="FAIL", ISNUMBER(SEARCH("Critical", J66))), "3-Red", IF(SUMIF('Code Violations'!A:A, A66, 'Code Violations'!T:T)&gt;=1, "2-Yellow", "1-White")))</f>
        <v/>
      </c>
      <c r="L66">
        <f>IF(J66="","", IF(ISNUMBER(SEARCH("Critical", J66)), "CRITICAL FAIL", IF(ISNUMBER(SEARCH("Overdue", J66)), "FAIL", "COMPLIANT")))</f>
        <v/>
      </c>
    </row>
    <row r="67">
      <c r="K67">
        <f>IF(A67="","", IF(OR(SUMIF('Code Violations'!A:A, A67, 'Code Violations'!T:T)&gt;=5, VLOOKUP(A67, 'Master Dashboard'!A:L, 9, FALSE)="FAIL", VLOOKUP(A67, 'Master Dashboard'!A:L, 10, FALSE)="FAIL", ISNUMBER(SEARCH("Critical", J67))), "3-Red", IF(SUMIF('Code Violations'!A:A, A67, 'Code Violations'!T:T)&gt;=1, "2-Yellow", "1-White")))</f>
        <v/>
      </c>
      <c r="L67">
        <f>IF(J67="","", IF(ISNUMBER(SEARCH("Critical", J67)), "CRITICAL FAIL", IF(ISNUMBER(SEARCH("Overdue", J67)), "FAIL", "COMPLIANT")))</f>
        <v/>
      </c>
    </row>
    <row r="68">
      <c r="K68">
        <f>IF(A68="","", IF(OR(SUMIF('Code Violations'!A:A, A68, 'Code Violations'!T:T)&gt;=5, VLOOKUP(A68, 'Master Dashboard'!A:L, 9, FALSE)="FAIL", VLOOKUP(A68, 'Master Dashboard'!A:L, 10, FALSE)="FAIL", ISNUMBER(SEARCH("Critical", J68))), "3-Red", IF(SUMIF('Code Violations'!A:A, A68, 'Code Violations'!T:T)&gt;=1, "2-Yellow", "1-White")))</f>
        <v/>
      </c>
      <c r="L68">
        <f>IF(J68="","", IF(ISNUMBER(SEARCH("Critical", J68)), "CRITICAL FAIL", IF(ISNUMBER(SEARCH("Overdue", J68)), "FAIL", "COMPLIANT")))</f>
        <v/>
      </c>
    </row>
    <row r="69">
      <c r="K69">
        <f>IF(A69="","", IF(OR(SUMIF('Code Violations'!A:A, A69, 'Code Violations'!T:T)&gt;=5, VLOOKUP(A69, 'Master Dashboard'!A:L, 9, FALSE)="FAIL", VLOOKUP(A69, 'Master Dashboard'!A:L, 10, FALSE)="FAIL", ISNUMBER(SEARCH("Critical", J69))), "3-Red", IF(SUMIF('Code Violations'!A:A, A69, 'Code Violations'!T:T)&gt;=1, "2-Yellow", "1-White")))</f>
        <v/>
      </c>
      <c r="L69">
        <f>IF(J69="","", IF(ISNUMBER(SEARCH("Critical", J69)), "CRITICAL FAIL", IF(ISNUMBER(SEARCH("Overdue", J69)), "FAIL", "COMPLIANT")))</f>
        <v/>
      </c>
    </row>
    <row r="70">
      <c r="K70">
        <f>IF(A70="","", IF(OR(SUMIF('Code Violations'!A:A, A70, 'Code Violations'!T:T)&gt;=5, VLOOKUP(A70, 'Master Dashboard'!A:L, 9, FALSE)="FAIL", VLOOKUP(A70, 'Master Dashboard'!A:L, 10, FALSE)="FAIL", ISNUMBER(SEARCH("Critical", J70))), "3-Red", IF(SUMIF('Code Violations'!A:A, A70, 'Code Violations'!T:T)&gt;=1, "2-Yellow", "1-White")))</f>
        <v/>
      </c>
      <c r="L70">
        <f>IF(J70="","", IF(ISNUMBER(SEARCH("Critical", J70)), "CRITICAL FAIL", IF(ISNUMBER(SEARCH("Overdue", J70)), "FAIL", "COMPLIANT")))</f>
        <v/>
      </c>
    </row>
    <row r="71">
      <c r="K71">
        <f>IF(A71="","", IF(OR(SUMIF('Code Violations'!A:A, A71, 'Code Violations'!T:T)&gt;=5, VLOOKUP(A71, 'Master Dashboard'!A:L, 9, FALSE)="FAIL", VLOOKUP(A71, 'Master Dashboard'!A:L, 10, FALSE)="FAIL", ISNUMBER(SEARCH("Critical", J71))), "3-Red", IF(SUMIF('Code Violations'!A:A, A71, 'Code Violations'!T:T)&gt;=1, "2-Yellow", "1-White")))</f>
        <v/>
      </c>
      <c r="L71">
        <f>IF(J71="","", IF(ISNUMBER(SEARCH("Critical", J71)), "CRITICAL FAIL", IF(ISNUMBER(SEARCH("Overdue", J71)), "FAIL", "COMPLIANT")))</f>
        <v/>
      </c>
    </row>
    <row r="72">
      <c r="K72">
        <f>IF(A72="","", IF(OR(SUMIF('Code Violations'!A:A, A72, 'Code Violations'!T:T)&gt;=5, VLOOKUP(A72, 'Master Dashboard'!A:L, 9, FALSE)="FAIL", VLOOKUP(A72, 'Master Dashboard'!A:L, 10, FALSE)="FAIL", ISNUMBER(SEARCH("Critical", J72))), "3-Red", IF(SUMIF('Code Violations'!A:A, A72, 'Code Violations'!T:T)&gt;=1, "2-Yellow", "1-White")))</f>
        <v/>
      </c>
      <c r="L72">
        <f>IF(J72="","", IF(ISNUMBER(SEARCH("Critical", J72)), "CRITICAL FAIL", IF(ISNUMBER(SEARCH("Overdue", J72)), "FAIL", "COMPLIANT")))</f>
        <v/>
      </c>
    </row>
    <row r="73">
      <c r="K73">
        <f>IF(A73="","", IF(OR(SUMIF('Code Violations'!A:A, A73, 'Code Violations'!T:T)&gt;=5, VLOOKUP(A73, 'Master Dashboard'!A:L, 9, FALSE)="FAIL", VLOOKUP(A73, 'Master Dashboard'!A:L, 10, FALSE)="FAIL", ISNUMBER(SEARCH("Critical", J73))), "3-Red", IF(SUMIF('Code Violations'!A:A, A73, 'Code Violations'!T:T)&gt;=1, "2-Yellow", "1-White")))</f>
        <v/>
      </c>
      <c r="L73">
        <f>IF(J73="","", IF(ISNUMBER(SEARCH("Critical", J73)), "CRITICAL FAIL", IF(ISNUMBER(SEARCH("Overdue", J73)), "FAIL", "COMPLIANT")))</f>
        <v/>
      </c>
    </row>
    <row r="74">
      <c r="K74">
        <f>IF(A74="","", IF(OR(SUMIF('Code Violations'!A:A, A74, 'Code Violations'!T:T)&gt;=5, VLOOKUP(A74, 'Master Dashboard'!A:L, 9, FALSE)="FAIL", VLOOKUP(A74, 'Master Dashboard'!A:L, 10, FALSE)="FAIL", ISNUMBER(SEARCH("Critical", J74))), "3-Red", IF(SUMIF('Code Violations'!A:A, A74, 'Code Violations'!T:T)&gt;=1, "2-Yellow", "1-White")))</f>
        <v/>
      </c>
      <c r="L74">
        <f>IF(J74="","", IF(ISNUMBER(SEARCH("Critical", J74)), "CRITICAL FAIL", IF(ISNUMBER(SEARCH("Overdue", J74)), "FAIL", "COMPLIANT")))</f>
        <v/>
      </c>
    </row>
    <row r="75">
      <c r="K75">
        <f>IF(A75="","", IF(OR(SUMIF('Code Violations'!A:A, A75, 'Code Violations'!T:T)&gt;=5, VLOOKUP(A75, 'Master Dashboard'!A:L, 9, FALSE)="FAIL", VLOOKUP(A75, 'Master Dashboard'!A:L, 10, FALSE)="FAIL", ISNUMBER(SEARCH("Critical", J75))), "3-Red", IF(SUMIF('Code Violations'!A:A, A75, 'Code Violations'!T:T)&gt;=1, "2-Yellow", "1-White")))</f>
        <v/>
      </c>
      <c r="L75">
        <f>IF(J75="","", IF(ISNUMBER(SEARCH("Critical", J75)), "CRITICAL FAIL", IF(ISNUMBER(SEARCH("Overdue", J75)), "FAIL", "COMPLIANT")))</f>
        <v/>
      </c>
    </row>
    <row r="76">
      <c r="K76">
        <f>IF(A76="","", IF(OR(SUMIF('Code Violations'!A:A, A76, 'Code Violations'!T:T)&gt;=5, VLOOKUP(A76, 'Master Dashboard'!A:L, 9, FALSE)="FAIL", VLOOKUP(A76, 'Master Dashboard'!A:L, 10, FALSE)="FAIL", ISNUMBER(SEARCH("Critical", J76))), "3-Red", IF(SUMIF('Code Violations'!A:A, A76, 'Code Violations'!T:T)&gt;=1, "2-Yellow", "1-White")))</f>
        <v/>
      </c>
      <c r="L76">
        <f>IF(J76="","", IF(ISNUMBER(SEARCH("Critical", J76)), "CRITICAL FAIL", IF(ISNUMBER(SEARCH("Overdue", J76)), "FAIL", "COMPLIANT")))</f>
        <v/>
      </c>
    </row>
    <row r="77">
      <c r="K77">
        <f>IF(A77="","", IF(OR(SUMIF('Code Violations'!A:A, A77, 'Code Violations'!T:T)&gt;=5, VLOOKUP(A77, 'Master Dashboard'!A:L, 9, FALSE)="FAIL", VLOOKUP(A77, 'Master Dashboard'!A:L, 10, FALSE)="FAIL", ISNUMBER(SEARCH("Critical", J77))), "3-Red", IF(SUMIF('Code Violations'!A:A, A77, 'Code Violations'!T:T)&gt;=1, "2-Yellow", "1-White")))</f>
        <v/>
      </c>
      <c r="L77">
        <f>IF(J77="","", IF(ISNUMBER(SEARCH("Critical", J77)), "CRITICAL FAIL", IF(ISNUMBER(SEARCH("Overdue", J77)), "FAIL", "COMPLIANT")))</f>
        <v/>
      </c>
    </row>
    <row r="78">
      <c r="K78">
        <f>IF(A78="","", IF(OR(SUMIF('Code Violations'!A:A, A78, 'Code Violations'!T:T)&gt;=5, VLOOKUP(A78, 'Master Dashboard'!A:L, 9, FALSE)="FAIL", VLOOKUP(A78, 'Master Dashboard'!A:L, 10, FALSE)="FAIL", ISNUMBER(SEARCH("Critical", J78))), "3-Red", IF(SUMIF('Code Violations'!A:A, A78, 'Code Violations'!T:T)&gt;=1, "2-Yellow", "1-White")))</f>
        <v/>
      </c>
      <c r="L78">
        <f>IF(J78="","", IF(ISNUMBER(SEARCH("Critical", J78)), "CRITICAL FAIL", IF(ISNUMBER(SEARCH("Overdue", J78)), "FAIL", "COMPLIANT")))</f>
        <v/>
      </c>
    </row>
    <row r="79">
      <c r="K79">
        <f>IF(A79="","", IF(OR(SUMIF('Code Violations'!A:A, A79, 'Code Violations'!T:T)&gt;=5, VLOOKUP(A79, 'Master Dashboard'!A:L, 9, FALSE)="FAIL", VLOOKUP(A79, 'Master Dashboard'!A:L, 10, FALSE)="FAIL", ISNUMBER(SEARCH("Critical", J79))), "3-Red", IF(SUMIF('Code Violations'!A:A, A79, 'Code Violations'!T:T)&gt;=1, "2-Yellow", "1-White")))</f>
        <v/>
      </c>
      <c r="L79">
        <f>IF(J79="","", IF(ISNUMBER(SEARCH("Critical", J79)), "CRITICAL FAIL", IF(ISNUMBER(SEARCH("Overdue", J79)), "FAIL", "COMPLIANT")))</f>
        <v/>
      </c>
    </row>
    <row r="80">
      <c r="K80">
        <f>IF(A80="","", IF(OR(SUMIF('Code Violations'!A:A, A80, 'Code Violations'!T:T)&gt;=5, VLOOKUP(A80, 'Master Dashboard'!A:L, 9, FALSE)="FAIL", VLOOKUP(A80, 'Master Dashboard'!A:L, 10, FALSE)="FAIL", ISNUMBER(SEARCH("Critical", J80))), "3-Red", IF(SUMIF('Code Violations'!A:A, A80, 'Code Violations'!T:T)&gt;=1, "2-Yellow", "1-White")))</f>
        <v/>
      </c>
      <c r="L80">
        <f>IF(J80="","", IF(ISNUMBER(SEARCH("Critical", J80)), "CRITICAL FAIL", IF(ISNUMBER(SEARCH("Overdue", J80)), "FAIL", "COMPLIANT")))</f>
        <v/>
      </c>
    </row>
    <row r="81">
      <c r="K81">
        <f>IF(A81="","", IF(OR(SUMIF('Code Violations'!A:A, A81, 'Code Violations'!T:T)&gt;=5, VLOOKUP(A81, 'Master Dashboard'!A:L, 9, FALSE)="FAIL", VLOOKUP(A81, 'Master Dashboard'!A:L, 10, FALSE)="FAIL", ISNUMBER(SEARCH("Critical", J81))), "3-Red", IF(SUMIF('Code Violations'!A:A, A81, 'Code Violations'!T:T)&gt;=1, "2-Yellow", "1-White")))</f>
        <v/>
      </c>
      <c r="L81">
        <f>IF(J81="","", IF(ISNUMBER(SEARCH("Critical", J81)), "CRITICAL FAIL", IF(ISNUMBER(SEARCH("Overdue", J81)), "FAIL", "COMPLIANT")))</f>
        <v/>
      </c>
    </row>
    <row r="82">
      <c r="K82">
        <f>IF(A82="","", IF(OR(SUMIF('Code Violations'!A:A, A82, 'Code Violations'!T:T)&gt;=5, VLOOKUP(A82, 'Master Dashboard'!A:L, 9, FALSE)="FAIL", VLOOKUP(A82, 'Master Dashboard'!A:L, 10, FALSE)="FAIL", ISNUMBER(SEARCH("Critical", J82))), "3-Red", IF(SUMIF('Code Violations'!A:A, A82, 'Code Violations'!T:T)&gt;=1, "2-Yellow", "1-White")))</f>
        <v/>
      </c>
      <c r="L82">
        <f>IF(J82="","", IF(ISNUMBER(SEARCH("Critical", J82)), "CRITICAL FAIL", IF(ISNUMBER(SEARCH("Overdue", J82)), "FAIL", "COMPLIANT")))</f>
        <v/>
      </c>
    </row>
    <row r="83">
      <c r="K83">
        <f>IF(A83="","", IF(OR(SUMIF('Code Violations'!A:A, A83, 'Code Violations'!T:T)&gt;=5, VLOOKUP(A83, 'Master Dashboard'!A:L, 9, FALSE)="FAIL", VLOOKUP(A83, 'Master Dashboard'!A:L, 10, FALSE)="FAIL", ISNUMBER(SEARCH("Critical", J83))), "3-Red", IF(SUMIF('Code Violations'!A:A, A83, 'Code Violations'!T:T)&gt;=1, "2-Yellow", "1-White")))</f>
        <v/>
      </c>
      <c r="L83">
        <f>IF(J83="","", IF(ISNUMBER(SEARCH("Critical", J83)), "CRITICAL FAIL", IF(ISNUMBER(SEARCH("Overdue", J83)), "FAIL", "COMPLIANT")))</f>
        <v/>
      </c>
    </row>
    <row r="84">
      <c r="K84">
        <f>IF(A84="","", IF(OR(SUMIF('Code Violations'!A:A, A84, 'Code Violations'!T:T)&gt;=5, VLOOKUP(A84, 'Master Dashboard'!A:L, 9, FALSE)="FAIL", VLOOKUP(A84, 'Master Dashboard'!A:L, 10, FALSE)="FAIL", ISNUMBER(SEARCH("Critical", J84))), "3-Red", IF(SUMIF('Code Violations'!A:A, A84, 'Code Violations'!T:T)&gt;=1, "2-Yellow", "1-White")))</f>
        <v/>
      </c>
      <c r="L84">
        <f>IF(J84="","", IF(ISNUMBER(SEARCH("Critical", J84)), "CRITICAL FAIL", IF(ISNUMBER(SEARCH("Overdue", J84)), "FAIL", "COMPLIANT")))</f>
        <v/>
      </c>
    </row>
    <row r="85">
      <c r="K85">
        <f>IF(A85="","", IF(OR(SUMIF('Code Violations'!A:A, A85, 'Code Violations'!T:T)&gt;=5, VLOOKUP(A85, 'Master Dashboard'!A:L, 9, FALSE)="FAIL", VLOOKUP(A85, 'Master Dashboard'!A:L, 10, FALSE)="FAIL", ISNUMBER(SEARCH("Critical", J85))), "3-Red", IF(SUMIF('Code Violations'!A:A, A85, 'Code Violations'!T:T)&gt;=1, "2-Yellow", "1-White")))</f>
        <v/>
      </c>
      <c r="L85">
        <f>IF(J85="","", IF(ISNUMBER(SEARCH("Critical", J85)), "CRITICAL FAIL", IF(ISNUMBER(SEARCH("Overdue", J85)), "FAIL", "COMPLIANT")))</f>
        <v/>
      </c>
    </row>
    <row r="86">
      <c r="K86">
        <f>IF(A86="","", IF(OR(SUMIF('Code Violations'!A:A, A86, 'Code Violations'!T:T)&gt;=5, VLOOKUP(A86, 'Master Dashboard'!A:L, 9, FALSE)="FAIL", VLOOKUP(A86, 'Master Dashboard'!A:L, 10, FALSE)="FAIL", ISNUMBER(SEARCH("Critical", J86))), "3-Red", IF(SUMIF('Code Violations'!A:A, A86, 'Code Violations'!T:T)&gt;=1, "2-Yellow", "1-White")))</f>
        <v/>
      </c>
      <c r="L86">
        <f>IF(J86="","", IF(ISNUMBER(SEARCH("Critical", J86)), "CRITICAL FAIL", IF(ISNUMBER(SEARCH("Overdue", J86)), "FAIL", "COMPLIANT")))</f>
        <v/>
      </c>
    </row>
    <row r="87">
      <c r="K87">
        <f>IF(A87="","", IF(OR(SUMIF('Code Violations'!A:A, A87, 'Code Violations'!T:T)&gt;=5, VLOOKUP(A87, 'Master Dashboard'!A:L, 9, FALSE)="FAIL", VLOOKUP(A87, 'Master Dashboard'!A:L, 10, FALSE)="FAIL", ISNUMBER(SEARCH("Critical", J87))), "3-Red", IF(SUMIF('Code Violations'!A:A, A87, 'Code Violations'!T:T)&gt;=1, "2-Yellow", "1-White")))</f>
        <v/>
      </c>
      <c r="L87">
        <f>IF(J87="","", IF(ISNUMBER(SEARCH("Critical", J87)), "CRITICAL FAIL", IF(ISNUMBER(SEARCH("Overdue", J87)), "FAIL", "COMPLIANT")))</f>
        <v/>
      </c>
    </row>
    <row r="88">
      <c r="K88">
        <f>IF(A88="","", IF(OR(SUMIF('Code Violations'!A:A, A88, 'Code Violations'!T:T)&gt;=5, VLOOKUP(A88, 'Master Dashboard'!A:L, 9, FALSE)="FAIL", VLOOKUP(A88, 'Master Dashboard'!A:L, 10, FALSE)="FAIL", ISNUMBER(SEARCH("Critical", J88))), "3-Red", IF(SUMIF('Code Violations'!A:A, A88, 'Code Violations'!T:T)&gt;=1, "2-Yellow", "1-White")))</f>
        <v/>
      </c>
      <c r="L88">
        <f>IF(J88="","", IF(ISNUMBER(SEARCH("Critical", J88)), "CRITICAL FAIL", IF(ISNUMBER(SEARCH("Overdue", J88)), "FAIL", "COMPLIANT")))</f>
        <v/>
      </c>
    </row>
    <row r="89">
      <c r="K89">
        <f>IF(A89="","", IF(OR(SUMIF('Code Violations'!A:A, A89, 'Code Violations'!T:T)&gt;=5, VLOOKUP(A89, 'Master Dashboard'!A:L, 9, FALSE)="FAIL", VLOOKUP(A89, 'Master Dashboard'!A:L, 10, FALSE)="FAIL", ISNUMBER(SEARCH("Critical", J89))), "3-Red", IF(SUMIF('Code Violations'!A:A, A89, 'Code Violations'!T:T)&gt;=1, "2-Yellow", "1-White")))</f>
        <v/>
      </c>
      <c r="L89">
        <f>IF(J89="","", IF(ISNUMBER(SEARCH("Critical", J89)), "CRITICAL FAIL", IF(ISNUMBER(SEARCH("Overdue", J89)), "FAIL", "COMPLIANT")))</f>
        <v/>
      </c>
    </row>
    <row r="90">
      <c r="K90">
        <f>IF(A90="","", IF(OR(SUMIF('Code Violations'!A:A, A90, 'Code Violations'!T:T)&gt;=5, VLOOKUP(A90, 'Master Dashboard'!A:L, 9, FALSE)="FAIL", VLOOKUP(A90, 'Master Dashboard'!A:L, 10, FALSE)="FAIL", ISNUMBER(SEARCH("Critical", J90))), "3-Red", IF(SUMIF('Code Violations'!A:A, A90, 'Code Violations'!T:T)&gt;=1, "2-Yellow", "1-White")))</f>
        <v/>
      </c>
      <c r="L90">
        <f>IF(J90="","", IF(ISNUMBER(SEARCH("Critical", J90)), "CRITICAL FAIL", IF(ISNUMBER(SEARCH("Overdue", J90)), "FAIL", "COMPLIANT")))</f>
        <v/>
      </c>
    </row>
    <row r="91">
      <c r="K91">
        <f>IF(A91="","", IF(OR(SUMIF('Code Violations'!A:A, A91, 'Code Violations'!T:T)&gt;=5, VLOOKUP(A91, 'Master Dashboard'!A:L, 9, FALSE)="FAIL", VLOOKUP(A91, 'Master Dashboard'!A:L, 10, FALSE)="FAIL", ISNUMBER(SEARCH("Critical", J91))), "3-Red", IF(SUMIF('Code Violations'!A:A, A91, 'Code Violations'!T:T)&gt;=1, "2-Yellow", "1-White")))</f>
        <v/>
      </c>
      <c r="L91">
        <f>IF(J91="","", IF(ISNUMBER(SEARCH("Critical", J91)), "CRITICAL FAIL", IF(ISNUMBER(SEARCH("Overdue", J91)), "FAIL", "COMPLIANT")))</f>
        <v/>
      </c>
    </row>
    <row r="92">
      <c r="K92">
        <f>IF(A92="","", IF(OR(SUMIF('Code Violations'!A:A, A92, 'Code Violations'!T:T)&gt;=5, VLOOKUP(A92, 'Master Dashboard'!A:L, 9, FALSE)="FAIL", VLOOKUP(A92, 'Master Dashboard'!A:L, 10, FALSE)="FAIL", ISNUMBER(SEARCH("Critical", J92))), "3-Red", IF(SUMIF('Code Violations'!A:A, A92, 'Code Violations'!T:T)&gt;=1, "2-Yellow", "1-White")))</f>
        <v/>
      </c>
      <c r="L92">
        <f>IF(J92="","", IF(ISNUMBER(SEARCH("Critical", J92)), "CRITICAL FAIL", IF(ISNUMBER(SEARCH("Overdue", J92)), "FAIL", "COMPLIANT")))</f>
        <v/>
      </c>
    </row>
    <row r="93">
      <c r="K93">
        <f>IF(A93="","", IF(OR(SUMIF('Code Violations'!A:A, A93, 'Code Violations'!T:T)&gt;=5, VLOOKUP(A93, 'Master Dashboard'!A:L, 9, FALSE)="FAIL", VLOOKUP(A93, 'Master Dashboard'!A:L, 10, FALSE)="FAIL", ISNUMBER(SEARCH("Critical", J93))), "3-Red", IF(SUMIF('Code Violations'!A:A, A93, 'Code Violations'!T:T)&gt;=1, "2-Yellow", "1-White")))</f>
        <v/>
      </c>
      <c r="L93">
        <f>IF(J93="","", IF(ISNUMBER(SEARCH("Critical", J93)), "CRITICAL FAIL", IF(ISNUMBER(SEARCH("Overdue", J93)), "FAIL", "COMPLIANT")))</f>
        <v/>
      </c>
    </row>
    <row r="94">
      <c r="K94">
        <f>IF(A94="","", IF(OR(SUMIF('Code Violations'!A:A, A94, 'Code Violations'!T:T)&gt;=5, VLOOKUP(A94, 'Master Dashboard'!A:L, 9, FALSE)="FAIL", VLOOKUP(A94, 'Master Dashboard'!A:L, 10, FALSE)="FAIL", ISNUMBER(SEARCH("Critical", J94))), "3-Red", IF(SUMIF('Code Violations'!A:A, A94, 'Code Violations'!T:T)&gt;=1, "2-Yellow", "1-White")))</f>
        <v/>
      </c>
      <c r="L94">
        <f>IF(J94="","", IF(ISNUMBER(SEARCH("Critical", J94)), "CRITICAL FAIL", IF(ISNUMBER(SEARCH("Overdue", J94)), "FAIL", "COMPLIANT")))</f>
        <v/>
      </c>
    </row>
    <row r="95">
      <c r="K95">
        <f>IF(A95="","", IF(OR(SUMIF('Code Violations'!A:A, A95, 'Code Violations'!T:T)&gt;=5, VLOOKUP(A95, 'Master Dashboard'!A:L, 9, FALSE)="FAIL", VLOOKUP(A95, 'Master Dashboard'!A:L, 10, FALSE)="FAIL", ISNUMBER(SEARCH("Critical", J95))), "3-Red", IF(SUMIF('Code Violations'!A:A, A95, 'Code Violations'!T:T)&gt;=1, "2-Yellow", "1-White")))</f>
        <v/>
      </c>
      <c r="L95">
        <f>IF(J95="","", IF(ISNUMBER(SEARCH("Critical", J95)), "CRITICAL FAIL", IF(ISNUMBER(SEARCH("Overdue", J95)), "FAIL", "COMPLIANT")))</f>
        <v/>
      </c>
    </row>
    <row r="96">
      <c r="K96">
        <f>IF(A96="","", IF(OR(SUMIF('Code Violations'!A:A, A96, 'Code Violations'!T:T)&gt;=5, VLOOKUP(A96, 'Master Dashboard'!A:L, 9, FALSE)="FAIL", VLOOKUP(A96, 'Master Dashboard'!A:L, 10, FALSE)="FAIL", ISNUMBER(SEARCH("Critical", J96))), "3-Red", IF(SUMIF('Code Violations'!A:A, A96, 'Code Violations'!T:T)&gt;=1, "2-Yellow", "1-White")))</f>
        <v/>
      </c>
      <c r="L96">
        <f>IF(J96="","", IF(ISNUMBER(SEARCH("Critical", J96)), "CRITICAL FAIL", IF(ISNUMBER(SEARCH("Overdue", J96)), "FAIL", "COMPLIANT")))</f>
        <v/>
      </c>
    </row>
    <row r="97">
      <c r="K97">
        <f>IF(A97="","", IF(OR(SUMIF('Code Violations'!A:A, A97, 'Code Violations'!T:T)&gt;=5, VLOOKUP(A97, 'Master Dashboard'!A:L, 9, FALSE)="FAIL", VLOOKUP(A97, 'Master Dashboard'!A:L, 10, FALSE)="FAIL", ISNUMBER(SEARCH("Critical", J97))), "3-Red", IF(SUMIF('Code Violations'!A:A, A97, 'Code Violations'!T:T)&gt;=1, "2-Yellow", "1-White")))</f>
        <v/>
      </c>
      <c r="L97">
        <f>IF(J97="","", IF(ISNUMBER(SEARCH("Critical", J97)), "CRITICAL FAIL", IF(ISNUMBER(SEARCH("Overdue", J97)), "FAIL", "COMPLIANT")))</f>
        <v/>
      </c>
    </row>
    <row r="98">
      <c r="K98">
        <f>IF(A98="","", IF(OR(SUMIF('Code Violations'!A:A, A98, 'Code Violations'!T:T)&gt;=5, VLOOKUP(A98, 'Master Dashboard'!A:L, 9, FALSE)="FAIL", VLOOKUP(A98, 'Master Dashboard'!A:L, 10, FALSE)="FAIL", ISNUMBER(SEARCH("Critical", J98))), "3-Red", IF(SUMIF('Code Violations'!A:A, A98, 'Code Violations'!T:T)&gt;=1, "2-Yellow", "1-White")))</f>
        <v/>
      </c>
      <c r="L98">
        <f>IF(J98="","", IF(ISNUMBER(SEARCH("Critical", J98)), "CRITICAL FAIL", IF(ISNUMBER(SEARCH("Overdue", J98)), "FAIL", "COMPLIANT")))</f>
        <v/>
      </c>
    </row>
    <row r="99">
      <c r="K99">
        <f>IF(A99="","", IF(OR(SUMIF('Code Violations'!A:A, A99, 'Code Violations'!T:T)&gt;=5, VLOOKUP(A99, 'Master Dashboard'!A:L, 9, FALSE)="FAIL", VLOOKUP(A99, 'Master Dashboard'!A:L, 10, FALSE)="FAIL", ISNUMBER(SEARCH("Critical", J99))), "3-Red", IF(SUMIF('Code Violations'!A:A, A99, 'Code Violations'!T:T)&gt;=1, "2-Yellow", "1-White")))</f>
        <v/>
      </c>
      <c r="L99">
        <f>IF(J99="","", IF(ISNUMBER(SEARCH("Critical", J99)), "CRITICAL FAIL", IF(ISNUMBER(SEARCH("Overdue", J99)), "FAIL", "COMPLIANT")))</f>
        <v/>
      </c>
    </row>
    <row r="100">
      <c r="K100">
        <f>IF(A100="","", IF(OR(SUMIF('Code Violations'!A:A, A100, 'Code Violations'!T:T)&gt;=5, VLOOKUP(A100, 'Master Dashboard'!A:L, 9, FALSE)="FAIL", VLOOKUP(A100, 'Master Dashboard'!A:L, 10, FALSE)="FAIL", ISNUMBER(SEARCH("Critical", J100))), "3-Red", IF(SUMIF('Code Violations'!A:A, A100, 'Code Violations'!T:T)&gt;=1, "2-Yellow", "1-White")))</f>
        <v/>
      </c>
      <c r="L100">
        <f>IF(J100="","", IF(ISNUMBER(SEARCH("Critical", J100)), "CRITICAL FAIL", IF(ISNUMBER(SEARCH("Overdue", J100)), "FAIL", "COMPLIANT")))</f>
        <v/>
      </c>
    </row>
    <row r="101">
      <c r="K101">
        <f>IF(A101="","", IF(OR(SUMIF('Code Violations'!A:A, A101, 'Code Violations'!T:T)&gt;=5, VLOOKUP(A101, 'Master Dashboard'!A:L, 9, FALSE)="FAIL", VLOOKUP(A101, 'Master Dashboard'!A:L, 10, FALSE)="FAIL", ISNUMBER(SEARCH("Critical", J101))), "3-Red", IF(SUMIF('Code Violations'!A:A, A101, 'Code Violations'!T:T)&gt;=1, "2-Yellow", "1-White")))</f>
        <v/>
      </c>
      <c r="L101">
        <f>IF(J101="","", IF(ISNUMBER(SEARCH("Critical", J101)), "CRITICAL FAIL", IF(ISNUMBER(SEARCH("Overdue", J101)), "FAIL", "COMPLIANT")))</f>
        <v/>
      </c>
    </row>
    <row r="102">
      <c r="K102">
        <f>IF(A102="","", IF(OR(SUMIF('Code Violations'!A:A, A102, 'Code Violations'!T:T)&gt;=5, VLOOKUP(A102, 'Master Dashboard'!A:L, 9, FALSE)="FAIL", VLOOKUP(A102, 'Master Dashboard'!A:L, 10, FALSE)="FAIL", ISNUMBER(SEARCH("Critical", J102))), "3-Red", IF(SUMIF('Code Violations'!A:A, A102, 'Code Violations'!T:T)&gt;=1, "2-Yellow", "1-White")))</f>
        <v/>
      </c>
      <c r="L102">
        <f>IF(J102="","", IF(ISNUMBER(SEARCH("Critical", J102)), "CRITICAL FAIL", IF(ISNUMBER(SEARCH("Overdue", J102)), "FAIL", "COMPLIANT")))</f>
        <v/>
      </c>
    </row>
    <row r="103">
      <c r="K103">
        <f>IF(A103="","", IF(OR(SUMIF('Code Violations'!A:A, A103, 'Code Violations'!T:T)&gt;=5, VLOOKUP(A103, 'Master Dashboard'!A:L, 9, FALSE)="FAIL", VLOOKUP(A103, 'Master Dashboard'!A:L, 10, FALSE)="FAIL", ISNUMBER(SEARCH("Critical", J103))), "3-Red", IF(SUMIF('Code Violations'!A:A, A103, 'Code Violations'!T:T)&gt;=1, "2-Yellow", "1-White")))</f>
        <v/>
      </c>
      <c r="L103">
        <f>IF(J103="","", IF(ISNUMBER(SEARCH("Critical", J103)), "CRITICAL FAIL", IF(ISNUMBER(SEARCH("Overdue", J103)), "FAIL", "COMPLIANT")))</f>
        <v/>
      </c>
    </row>
    <row r="104">
      <c r="K104">
        <f>IF(A104="","", IF(OR(SUMIF('Code Violations'!A:A, A104, 'Code Violations'!T:T)&gt;=5, VLOOKUP(A104, 'Master Dashboard'!A:L, 9, FALSE)="FAIL", VLOOKUP(A104, 'Master Dashboard'!A:L, 10, FALSE)="FAIL", ISNUMBER(SEARCH("Critical", J104))), "3-Red", IF(SUMIF('Code Violations'!A:A, A104, 'Code Violations'!T:T)&gt;=1, "2-Yellow", "1-White")))</f>
        <v/>
      </c>
      <c r="L104">
        <f>IF(J104="","", IF(ISNUMBER(SEARCH("Critical", J104)), "CRITICAL FAIL", IF(ISNUMBER(SEARCH("Overdue", J104)), "FAIL", "COMPLIANT")))</f>
        <v/>
      </c>
    </row>
    <row r="105">
      <c r="K105">
        <f>IF(A105="","", IF(OR(SUMIF('Code Violations'!A:A, A105, 'Code Violations'!T:T)&gt;=5, VLOOKUP(A105, 'Master Dashboard'!A:L, 9, FALSE)="FAIL", VLOOKUP(A105, 'Master Dashboard'!A:L, 10, FALSE)="FAIL", ISNUMBER(SEARCH("Critical", J105))), "3-Red", IF(SUMIF('Code Violations'!A:A, A105, 'Code Violations'!T:T)&gt;=1, "2-Yellow", "1-White")))</f>
        <v/>
      </c>
      <c r="L105">
        <f>IF(J105="","", IF(ISNUMBER(SEARCH("Critical", J105)), "CRITICAL FAIL", IF(ISNUMBER(SEARCH("Overdue", J105)), "FAIL", "COMPLIANT")))</f>
        <v/>
      </c>
    </row>
    <row r="106">
      <c r="K106">
        <f>IF(A106="","", IF(OR(SUMIF('Code Violations'!A:A, A106, 'Code Violations'!T:T)&gt;=5, VLOOKUP(A106, 'Master Dashboard'!A:L, 9, FALSE)="FAIL", VLOOKUP(A106, 'Master Dashboard'!A:L, 10, FALSE)="FAIL", ISNUMBER(SEARCH("Critical", J106))), "3-Red", IF(SUMIF('Code Violations'!A:A, A106, 'Code Violations'!T:T)&gt;=1, "2-Yellow", "1-White")))</f>
        <v/>
      </c>
      <c r="L106">
        <f>IF(J106="","", IF(ISNUMBER(SEARCH("Critical", J106)), "CRITICAL FAIL", IF(ISNUMBER(SEARCH("Overdue", J106)), "FAIL", "COMPLIANT")))</f>
        <v/>
      </c>
    </row>
    <row r="107">
      <c r="K107">
        <f>IF(A107="","", IF(OR(SUMIF('Code Violations'!A:A, A107, 'Code Violations'!T:T)&gt;=5, VLOOKUP(A107, 'Master Dashboard'!A:L, 9, FALSE)="FAIL", VLOOKUP(A107, 'Master Dashboard'!A:L, 10, FALSE)="FAIL", ISNUMBER(SEARCH("Critical", J107))), "3-Red", IF(SUMIF('Code Violations'!A:A, A107, 'Code Violations'!T:T)&gt;=1, "2-Yellow", "1-White")))</f>
        <v/>
      </c>
      <c r="L107">
        <f>IF(J107="","", IF(ISNUMBER(SEARCH("Critical", J107)), "CRITICAL FAIL", IF(ISNUMBER(SEARCH("Overdue", J107)), "FAIL", "COMPLIANT")))</f>
        <v/>
      </c>
    </row>
    <row r="108">
      <c r="K108">
        <f>IF(A108="","", IF(OR(SUMIF('Code Violations'!A:A, A108, 'Code Violations'!T:T)&gt;=5, VLOOKUP(A108, 'Master Dashboard'!A:L, 9, FALSE)="FAIL", VLOOKUP(A108, 'Master Dashboard'!A:L, 10, FALSE)="FAIL", ISNUMBER(SEARCH("Critical", J108))), "3-Red", IF(SUMIF('Code Violations'!A:A, A108, 'Code Violations'!T:T)&gt;=1, "2-Yellow", "1-White")))</f>
        <v/>
      </c>
      <c r="L108">
        <f>IF(J108="","", IF(ISNUMBER(SEARCH("Critical", J108)), "CRITICAL FAIL", IF(ISNUMBER(SEARCH("Overdue", J108)), "FAIL", "COMPLIANT")))</f>
        <v/>
      </c>
    </row>
    <row r="109">
      <c r="K109">
        <f>IF(A109="","", IF(OR(SUMIF('Code Violations'!A:A, A109, 'Code Violations'!T:T)&gt;=5, VLOOKUP(A109, 'Master Dashboard'!A:L, 9, FALSE)="FAIL", VLOOKUP(A109, 'Master Dashboard'!A:L, 10, FALSE)="FAIL", ISNUMBER(SEARCH("Critical", J109))), "3-Red", IF(SUMIF('Code Violations'!A:A, A109, 'Code Violations'!T:T)&gt;=1, "2-Yellow", "1-White")))</f>
        <v/>
      </c>
      <c r="L109">
        <f>IF(J109="","", IF(ISNUMBER(SEARCH("Critical", J109)), "CRITICAL FAIL", IF(ISNUMBER(SEARCH("Overdue", J109)), "FAIL", "COMPLIANT")))</f>
        <v/>
      </c>
    </row>
    <row r="110">
      <c r="K110">
        <f>IF(A110="","", IF(OR(SUMIF('Code Violations'!A:A, A110, 'Code Violations'!T:T)&gt;=5, VLOOKUP(A110, 'Master Dashboard'!A:L, 9, FALSE)="FAIL", VLOOKUP(A110, 'Master Dashboard'!A:L, 10, FALSE)="FAIL", ISNUMBER(SEARCH("Critical", J110))), "3-Red", IF(SUMIF('Code Violations'!A:A, A110, 'Code Violations'!T:T)&gt;=1, "2-Yellow", "1-White")))</f>
        <v/>
      </c>
      <c r="L110">
        <f>IF(J110="","", IF(ISNUMBER(SEARCH("Critical", J110)), "CRITICAL FAIL", IF(ISNUMBER(SEARCH("Overdue", J110)), "FAIL", "COMPLIANT")))</f>
        <v/>
      </c>
    </row>
    <row r="111">
      <c r="K111">
        <f>IF(A111="","", IF(OR(SUMIF('Code Violations'!A:A, A111, 'Code Violations'!T:T)&gt;=5, VLOOKUP(A111, 'Master Dashboard'!A:L, 9, FALSE)="FAIL", VLOOKUP(A111, 'Master Dashboard'!A:L, 10, FALSE)="FAIL", ISNUMBER(SEARCH("Critical", J111))), "3-Red", IF(SUMIF('Code Violations'!A:A, A111, 'Code Violations'!T:T)&gt;=1, "2-Yellow", "1-White")))</f>
        <v/>
      </c>
      <c r="L111">
        <f>IF(J111="","", IF(ISNUMBER(SEARCH("Critical", J111)), "CRITICAL FAIL", IF(ISNUMBER(SEARCH("Overdue", J111)), "FAIL", "COMPLIANT")))</f>
        <v/>
      </c>
    </row>
    <row r="112">
      <c r="K112">
        <f>IF(A112="","", IF(OR(SUMIF('Code Violations'!A:A, A112, 'Code Violations'!T:T)&gt;=5, VLOOKUP(A112, 'Master Dashboard'!A:L, 9, FALSE)="FAIL", VLOOKUP(A112, 'Master Dashboard'!A:L, 10, FALSE)="FAIL", ISNUMBER(SEARCH("Critical", J112))), "3-Red", IF(SUMIF('Code Violations'!A:A, A112, 'Code Violations'!T:T)&gt;=1, "2-Yellow", "1-White")))</f>
        <v/>
      </c>
      <c r="L112">
        <f>IF(J112="","", IF(ISNUMBER(SEARCH("Critical", J112)), "CRITICAL FAIL", IF(ISNUMBER(SEARCH("Overdue", J112)), "FAIL", "COMPLIANT")))</f>
        <v/>
      </c>
    </row>
    <row r="113">
      <c r="K113">
        <f>IF(A113="","", IF(OR(SUMIF('Code Violations'!A:A, A113, 'Code Violations'!T:T)&gt;=5, VLOOKUP(A113, 'Master Dashboard'!A:L, 9, FALSE)="FAIL", VLOOKUP(A113, 'Master Dashboard'!A:L, 10, FALSE)="FAIL", ISNUMBER(SEARCH("Critical", J113))), "3-Red", IF(SUMIF('Code Violations'!A:A, A113, 'Code Violations'!T:T)&gt;=1, "2-Yellow", "1-White")))</f>
        <v/>
      </c>
      <c r="L113">
        <f>IF(J113="","", IF(ISNUMBER(SEARCH("Critical", J113)), "CRITICAL FAIL", IF(ISNUMBER(SEARCH("Overdue", J113)), "FAIL", "COMPLIANT")))</f>
        <v/>
      </c>
    </row>
    <row r="114">
      <c r="K114">
        <f>IF(A114="","", IF(OR(SUMIF('Code Violations'!A:A, A114, 'Code Violations'!T:T)&gt;=5, VLOOKUP(A114, 'Master Dashboard'!A:L, 9, FALSE)="FAIL", VLOOKUP(A114, 'Master Dashboard'!A:L, 10, FALSE)="FAIL", ISNUMBER(SEARCH("Critical", J114))), "3-Red", IF(SUMIF('Code Violations'!A:A, A114, 'Code Violations'!T:T)&gt;=1, "2-Yellow", "1-White")))</f>
        <v/>
      </c>
      <c r="L114">
        <f>IF(J114="","", IF(ISNUMBER(SEARCH("Critical", J114)), "CRITICAL FAIL", IF(ISNUMBER(SEARCH("Overdue", J114)), "FAIL", "COMPLIANT")))</f>
        <v/>
      </c>
    </row>
    <row r="115">
      <c r="K115">
        <f>IF(A115="","", IF(OR(SUMIF('Code Violations'!A:A, A115, 'Code Violations'!T:T)&gt;=5, VLOOKUP(A115, 'Master Dashboard'!A:L, 9, FALSE)="FAIL", VLOOKUP(A115, 'Master Dashboard'!A:L, 10, FALSE)="FAIL", ISNUMBER(SEARCH("Critical", J115))), "3-Red", IF(SUMIF('Code Violations'!A:A, A115, 'Code Violations'!T:T)&gt;=1, "2-Yellow", "1-White")))</f>
        <v/>
      </c>
      <c r="L115">
        <f>IF(J115="","", IF(ISNUMBER(SEARCH("Critical", J115)), "CRITICAL FAIL", IF(ISNUMBER(SEARCH("Overdue", J115)), "FAIL", "COMPLIANT")))</f>
        <v/>
      </c>
    </row>
    <row r="116">
      <c r="K116">
        <f>IF(A116="","", IF(OR(SUMIF('Code Violations'!A:A, A116, 'Code Violations'!T:T)&gt;=5, VLOOKUP(A116, 'Master Dashboard'!A:L, 9, FALSE)="FAIL", VLOOKUP(A116, 'Master Dashboard'!A:L, 10, FALSE)="FAIL", ISNUMBER(SEARCH("Critical", J116))), "3-Red", IF(SUMIF('Code Violations'!A:A, A116, 'Code Violations'!T:T)&gt;=1, "2-Yellow", "1-White")))</f>
        <v/>
      </c>
      <c r="L116">
        <f>IF(J116="","", IF(ISNUMBER(SEARCH("Critical", J116)), "CRITICAL FAIL", IF(ISNUMBER(SEARCH("Overdue", J116)), "FAIL", "COMPLIANT")))</f>
        <v/>
      </c>
    </row>
    <row r="117">
      <c r="K117">
        <f>IF(A117="","", IF(OR(SUMIF('Code Violations'!A:A, A117, 'Code Violations'!T:T)&gt;=5, VLOOKUP(A117, 'Master Dashboard'!A:L, 9, FALSE)="FAIL", VLOOKUP(A117, 'Master Dashboard'!A:L, 10, FALSE)="FAIL", ISNUMBER(SEARCH("Critical", J117))), "3-Red", IF(SUMIF('Code Violations'!A:A, A117, 'Code Violations'!T:T)&gt;=1, "2-Yellow", "1-White")))</f>
        <v/>
      </c>
      <c r="L117">
        <f>IF(J117="","", IF(ISNUMBER(SEARCH("Critical", J117)), "CRITICAL FAIL", IF(ISNUMBER(SEARCH("Overdue", J117)), "FAIL", "COMPLIANT")))</f>
        <v/>
      </c>
    </row>
    <row r="118">
      <c r="K118">
        <f>IF(A118="","", IF(OR(SUMIF('Code Violations'!A:A, A118, 'Code Violations'!T:T)&gt;=5, VLOOKUP(A118, 'Master Dashboard'!A:L, 9, FALSE)="FAIL", VLOOKUP(A118, 'Master Dashboard'!A:L, 10, FALSE)="FAIL", ISNUMBER(SEARCH("Critical", J118))), "3-Red", IF(SUMIF('Code Violations'!A:A, A118, 'Code Violations'!T:T)&gt;=1, "2-Yellow", "1-White")))</f>
        <v/>
      </c>
      <c r="L118">
        <f>IF(J118="","", IF(ISNUMBER(SEARCH("Critical", J118)), "CRITICAL FAIL", IF(ISNUMBER(SEARCH("Overdue", J118)), "FAIL", "COMPLIANT")))</f>
        <v/>
      </c>
    </row>
    <row r="119">
      <c r="K119">
        <f>IF(A119="","", IF(OR(SUMIF('Code Violations'!A:A, A119, 'Code Violations'!T:T)&gt;=5, VLOOKUP(A119, 'Master Dashboard'!A:L, 9, FALSE)="FAIL", VLOOKUP(A119, 'Master Dashboard'!A:L, 10, FALSE)="FAIL", ISNUMBER(SEARCH("Critical", J119))), "3-Red", IF(SUMIF('Code Violations'!A:A, A119, 'Code Violations'!T:T)&gt;=1, "2-Yellow", "1-White")))</f>
        <v/>
      </c>
      <c r="L119">
        <f>IF(J119="","", IF(ISNUMBER(SEARCH("Critical", J119)), "CRITICAL FAIL", IF(ISNUMBER(SEARCH("Overdue", J119)), "FAIL", "COMPLIANT")))</f>
        <v/>
      </c>
    </row>
    <row r="120">
      <c r="K120">
        <f>IF(A120="","", IF(OR(SUMIF('Code Violations'!A:A, A120, 'Code Violations'!T:T)&gt;=5, VLOOKUP(A120, 'Master Dashboard'!A:L, 9, FALSE)="FAIL", VLOOKUP(A120, 'Master Dashboard'!A:L, 10, FALSE)="FAIL", ISNUMBER(SEARCH("Critical", J120))), "3-Red", IF(SUMIF('Code Violations'!A:A, A120, 'Code Violations'!T:T)&gt;=1, "2-Yellow", "1-White")))</f>
        <v/>
      </c>
      <c r="L120">
        <f>IF(J120="","", IF(ISNUMBER(SEARCH("Critical", J120)), "CRITICAL FAIL", IF(ISNUMBER(SEARCH("Overdue", J120)), "FAIL", "COMPLIANT")))</f>
        <v/>
      </c>
    </row>
    <row r="121">
      <c r="K121">
        <f>IF(A121="","", IF(OR(SUMIF('Code Violations'!A:A, A121, 'Code Violations'!T:T)&gt;=5, VLOOKUP(A121, 'Master Dashboard'!A:L, 9, FALSE)="FAIL", VLOOKUP(A121, 'Master Dashboard'!A:L, 10, FALSE)="FAIL", ISNUMBER(SEARCH("Critical", J121))), "3-Red", IF(SUMIF('Code Violations'!A:A, A121, 'Code Violations'!T:T)&gt;=1, "2-Yellow", "1-White")))</f>
        <v/>
      </c>
      <c r="L121">
        <f>IF(J121="","", IF(ISNUMBER(SEARCH("Critical", J121)), "CRITICAL FAIL", IF(ISNUMBER(SEARCH("Overdue", J121)), "FAIL", "COMPLIANT")))</f>
        <v/>
      </c>
    </row>
    <row r="122">
      <c r="K122">
        <f>IF(A122="","", IF(OR(SUMIF('Code Violations'!A:A, A122, 'Code Violations'!T:T)&gt;=5, VLOOKUP(A122, 'Master Dashboard'!A:L, 9, FALSE)="FAIL", VLOOKUP(A122, 'Master Dashboard'!A:L, 10, FALSE)="FAIL", ISNUMBER(SEARCH("Critical", J122))), "3-Red", IF(SUMIF('Code Violations'!A:A, A122, 'Code Violations'!T:T)&gt;=1, "2-Yellow", "1-White")))</f>
        <v/>
      </c>
      <c r="L122">
        <f>IF(J122="","", IF(ISNUMBER(SEARCH("Critical", J122)), "CRITICAL FAIL", IF(ISNUMBER(SEARCH("Overdue", J122)), "FAIL", "COMPLIANT")))</f>
        <v/>
      </c>
    </row>
    <row r="123">
      <c r="K123">
        <f>IF(A123="","", IF(OR(SUMIF('Code Violations'!A:A, A123, 'Code Violations'!T:T)&gt;=5, VLOOKUP(A123, 'Master Dashboard'!A:L, 9, FALSE)="FAIL", VLOOKUP(A123, 'Master Dashboard'!A:L, 10, FALSE)="FAIL", ISNUMBER(SEARCH("Critical", J123))), "3-Red", IF(SUMIF('Code Violations'!A:A, A123, 'Code Violations'!T:T)&gt;=1, "2-Yellow", "1-White")))</f>
        <v/>
      </c>
      <c r="L123">
        <f>IF(J123="","", IF(ISNUMBER(SEARCH("Critical", J123)), "CRITICAL FAIL", IF(ISNUMBER(SEARCH("Overdue", J123)), "FAIL", "COMPLIANT")))</f>
        <v/>
      </c>
    </row>
    <row r="124">
      <c r="K124">
        <f>IF(A124="","", IF(OR(SUMIF('Code Violations'!A:A, A124, 'Code Violations'!T:T)&gt;=5, VLOOKUP(A124, 'Master Dashboard'!A:L, 9, FALSE)="FAIL", VLOOKUP(A124, 'Master Dashboard'!A:L, 10, FALSE)="FAIL", ISNUMBER(SEARCH("Critical", J124))), "3-Red", IF(SUMIF('Code Violations'!A:A, A124, 'Code Violations'!T:T)&gt;=1, "2-Yellow", "1-White")))</f>
        <v/>
      </c>
      <c r="L124">
        <f>IF(J124="","", IF(ISNUMBER(SEARCH("Critical", J124)), "CRITICAL FAIL", IF(ISNUMBER(SEARCH("Overdue", J124)), "FAIL", "COMPLIANT")))</f>
        <v/>
      </c>
    </row>
    <row r="125">
      <c r="K125">
        <f>IF(A125="","", IF(OR(SUMIF('Code Violations'!A:A, A125, 'Code Violations'!T:T)&gt;=5, VLOOKUP(A125, 'Master Dashboard'!A:L, 9, FALSE)="FAIL", VLOOKUP(A125, 'Master Dashboard'!A:L, 10, FALSE)="FAIL", ISNUMBER(SEARCH("Critical", J125))), "3-Red", IF(SUMIF('Code Violations'!A:A, A125, 'Code Violations'!T:T)&gt;=1, "2-Yellow", "1-White")))</f>
        <v/>
      </c>
      <c r="L125">
        <f>IF(J125="","", IF(ISNUMBER(SEARCH("Critical", J125)), "CRITICAL FAIL", IF(ISNUMBER(SEARCH("Overdue", J125)), "FAIL", "COMPLIANT")))</f>
        <v/>
      </c>
    </row>
    <row r="126">
      <c r="K126">
        <f>IF(A126="","", IF(OR(SUMIF('Code Violations'!A:A, A126, 'Code Violations'!T:T)&gt;=5, VLOOKUP(A126, 'Master Dashboard'!A:L, 9, FALSE)="FAIL", VLOOKUP(A126, 'Master Dashboard'!A:L, 10, FALSE)="FAIL", ISNUMBER(SEARCH("Critical", J126))), "3-Red", IF(SUMIF('Code Violations'!A:A, A126, 'Code Violations'!T:T)&gt;=1, "2-Yellow", "1-White")))</f>
        <v/>
      </c>
      <c r="L126">
        <f>IF(J126="","", IF(ISNUMBER(SEARCH("Critical", J126)), "CRITICAL FAIL", IF(ISNUMBER(SEARCH("Overdue", J126)), "FAIL", "COMPLIANT")))</f>
        <v/>
      </c>
    </row>
    <row r="127">
      <c r="K127">
        <f>IF(A127="","", IF(OR(SUMIF('Code Violations'!A:A, A127, 'Code Violations'!T:T)&gt;=5, VLOOKUP(A127, 'Master Dashboard'!A:L, 9, FALSE)="FAIL", VLOOKUP(A127, 'Master Dashboard'!A:L, 10, FALSE)="FAIL", ISNUMBER(SEARCH("Critical", J127))), "3-Red", IF(SUMIF('Code Violations'!A:A, A127, 'Code Violations'!T:T)&gt;=1, "2-Yellow", "1-White")))</f>
        <v/>
      </c>
      <c r="L127">
        <f>IF(J127="","", IF(ISNUMBER(SEARCH("Critical", J127)), "CRITICAL FAIL", IF(ISNUMBER(SEARCH("Overdue", J127)), "FAIL", "COMPLIANT")))</f>
        <v/>
      </c>
    </row>
    <row r="128">
      <c r="K128">
        <f>IF(A128="","", IF(OR(SUMIF('Code Violations'!A:A, A128, 'Code Violations'!T:T)&gt;=5, VLOOKUP(A128, 'Master Dashboard'!A:L, 9, FALSE)="FAIL", VLOOKUP(A128, 'Master Dashboard'!A:L, 10, FALSE)="FAIL", ISNUMBER(SEARCH("Critical", J128))), "3-Red", IF(SUMIF('Code Violations'!A:A, A128, 'Code Violations'!T:T)&gt;=1, "2-Yellow", "1-White")))</f>
        <v/>
      </c>
      <c r="L128">
        <f>IF(J128="","", IF(ISNUMBER(SEARCH("Critical", J128)), "CRITICAL FAIL", IF(ISNUMBER(SEARCH("Overdue", J128)), "FAIL", "COMPLIANT")))</f>
        <v/>
      </c>
    </row>
    <row r="129">
      <c r="K129">
        <f>IF(A129="","", IF(OR(SUMIF('Code Violations'!A:A, A129, 'Code Violations'!T:T)&gt;=5, VLOOKUP(A129, 'Master Dashboard'!A:L, 9, FALSE)="FAIL", VLOOKUP(A129, 'Master Dashboard'!A:L, 10, FALSE)="FAIL", ISNUMBER(SEARCH("Critical", J129))), "3-Red", IF(SUMIF('Code Violations'!A:A, A129, 'Code Violations'!T:T)&gt;=1, "2-Yellow", "1-White")))</f>
        <v/>
      </c>
      <c r="L129">
        <f>IF(J129="","", IF(ISNUMBER(SEARCH("Critical", J129)), "CRITICAL FAIL", IF(ISNUMBER(SEARCH("Overdue", J129)), "FAIL", "COMPLIANT")))</f>
        <v/>
      </c>
    </row>
    <row r="130">
      <c r="K130">
        <f>IF(A130="","", IF(OR(SUMIF('Code Violations'!A:A, A130, 'Code Violations'!T:T)&gt;=5, VLOOKUP(A130, 'Master Dashboard'!A:L, 9, FALSE)="FAIL", VLOOKUP(A130, 'Master Dashboard'!A:L, 10, FALSE)="FAIL", ISNUMBER(SEARCH("Critical", J130))), "3-Red", IF(SUMIF('Code Violations'!A:A, A130, 'Code Violations'!T:T)&gt;=1, "2-Yellow", "1-White")))</f>
        <v/>
      </c>
      <c r="L130">
        <f>IF(J130="","", IF(ISNUMBER(SEARCH("Critical", J130)), "CRITICAL FAIL", IF(ISNUMBER(SEARCH("Overdue", J130)), "FAIL", "COMPLIANT")))</f>
        <v/>
      </c>
    </row>
    <row r="131">
      <c r="K131">
        <f>IF(A131="","", IF(OR(SUMIF('Code Violations'!A:A, A131, 'Code Violations'!T:T)&gt;=5, VLOOKUP(A131, 'Master Dashboard'!A:L, 9, FALSE)="FAIL", VLOOKUP(A131, 'Master Dashboard'!A:L, 10, FALSE)="FAIL", ISNUMBER(SEARCH("Critical", J131))), "3-Red", IF(SUMIF('Code Violations'!A:A, A131, 'Code Violations'!T:T)&gt;=1, "2-Yellow", "1-White")))</f>
        <v/>
      </c>
      <c r="L131">
        <f>IF(J131="","", IF(ISNUMBER(SEARCH("Critical", J131)), "CRITICAL FAIL", IF(ISNUMBER(SEARCH("Overdue", J131)), "FAIL", "COMPLIANT")))</f>
        <v/>
      </c>
    </row>
    <row r="132">
      <c r="K132">
        <f>IF(A132="","", IF(OR(SUMIF('Code Violations'!A:A, A132, 'Code Violations'!T:T)&gt;=5, VLOOKUP(A132, 'Master Dashboard'!A:L, 9, FALSE)="FAIL", VLOOKUP(A132, 'Master Dashboard'!A:L, 10, FALSE)="FAIL", ISNUMBER(SEARCH("Critical", J132))), "3-Red", IF(SUMIF('Code Violations'!A:A, A132, 'Code Violations'!T:T)&gt;=1, "2-Yellow", "1-White")))</f>
        <v/>
      </c>
      <c r="L132">
        <f>IF(J132="","", IF(ISNUMBER(SEARCH("Critical", J132)), "CRITICAL FAIL", IF(ISNUMBER(SEARCH("Overdue", J132)), "FAIL", "COMPLIANT")))</f>
        <v/>
      </c>
    </row>
    <row r="133">
      <c r="K133">
        <f>IF(A133="","", IF(OR(SUMIF('Code Violations'!A:A, A133, 'Code Violations'!T:T)&gt;=5, VLOOKUP(A133, 'Master Dashboard'!A:L, 9, FALSE)="FAIL", VLOOKUP(A133, 'Master Dashboard'!A:L, 10, FALSE)="FAIL", ISNUMBER(SEARCH("Critical", J133))), "3-Red", IF(SUMIF('Code Violations'!A:A, A133, 'Code Violations'!T:T)&gt;=1, "2-Yellow", "1-White")))</f>
        <v/>
      </c>
      <c r="L133">
        <f>IF(J133="","", IF(ISNUMBER(SEARCH("Critical", J133)), "CRITICAL FAIL", IF(ISNUMBER(SEARCH("Overdue", J133)), "FAIL", "COMPLIANT")))</f>
        <v/>
      </c>
    </row>
    <row r="134">
      <c r="K134">
        <f>IF(A134="","", IF(OR(SUMIF('Code Violations'!A:A, A134, 'Code Violations'!T:T)&gt;=5, VLOOKUP(A134, 'Master Dashboard'!A:L, 9, FALSE)="FAIL", VLOOKUP(A134, 'Master Dashboard'!A:L, 10, FALSE)="FAIL", ISNUMBER(SEARCH("Critical", J134))), "3-Red", IF(SUMIF('Code Violations'!A:A, A134, 'Code Violations'!T:T)&gt;=1, "2-Yellow", "1-White")))</f>
        <v/>
      </c>
      <c r="L134">
        <f>IF(J134="","", IF(ISNUMBER(SEARCH("Critical", J134)), "CRITICAL FAIL", IF(ISNUMBER(SEARCH("Overdue", J134)), "FAIL", "COMPLIANT")))</f>
        <v/>
      </c>
    </row>
    <row r="135">
      <c r="K135">
        <f>IF(A135="","", IF(OR(SUMIF('Code Violations'!A:A, A135, 'Code Violations'!T:T)&gt;=5, VLOOKUP(A135, 'Master Dashboard'!A:L, 9, FALSE)="FAIL", VLOOKUP(A135, 'Master Dashboard'!A:L, 10, FALSE)="FAIL", ISNUMBER(SEARCH("Critical", J135))), "3-Red", IF(SUMIF('Code Violations'!A:A, A135, 'Code Violations'!T:T)&gt;=1, "2-Yellow", "1-White")))</f>
        <v/>
      </c>
      <c r="L135">
        <f>IF(J135="","", IF(ISNUMBER(SEARCH("Critical", J135)), "CRITICAL FAIL", IF(ISNUMBER(SEARCH("Overdue", J135)), "FAIL", "COMPLIANT")))</f>
        <v/>
      </c>
    </row>
    <row r="136">
      <c r="K136">
        <f>IF(A136="","", IF(OR(SUMIF('Code Violations'!A:A, A136, 'Code Violations'!T:T)&gt;=5, VLOOKUP(A136, 'Master Dashboard'!A:L, 9, FALSE)="FAIL", VLOOKUP(A136, 'Master Dashboard'!A:L, 10, FALSE)="FAIL", ISNUMBER(SEARCH("Critical", J136))), "3-Red", IF(SUMIF('Code Violations'!A:A, A136, 'Code Violations'!T:T)&gt;=1, "2-Yellow", "1-White")))</f>
        <v/>
      </c>
      <c r="L136">
        <f>IF(J136="","", IF(ISNUMBER(SEARCH("Critical", J136)), "CRITICAL FAIL", IF(ISNUMBER(SEARCH("Overdue", J136)), "FAIL", "COMPLIANT")))</f>
        <v/>
      </c>
    </row>
    <row r="137">
      <c r="K137">
        <f>IF(A137="","", IF(OR(SUMIF('Code Violations'!A:A, A137, 'Code Violations'!T:T)&gt;=5, VLOOKUP(A137, 'Master Dashboard'!A:L, 9, FALSE)="FAIL", VLOOKUP(A137, 'Master Dashboard'!A:L, 10, FALSE)="FAIL", ISNUMBER(SEARCH("Critical", J137))), "3-Red", IF(SUMIF('Code Violations'!A:A, A137, 'Code Violations'!T:T)&gt;=1, "2-Yellow", "1-White")))</f>
        <v/>
      </c>
      <c r="L137">
        <f>IF(J137="","", IF(ISNUMBER(SEARCH("Critical", J137)), "CRITICAL FAIL", IF(ISNUMBER(SEARCH("Overdue", J137)), "FAIL", "COMPLIANT")))</f>
        <v/>
      </c>
    </row>
    <row r="138">
      <c r="K138">
        <f>IF(A138="","", IF(OR(SUMIF('Code Violations'!A:A, A138, 'Code Violations'!T:T)&gt;=5, VLOOKUP(A138, 'Master Dashboard'!A:L, 9, FALSE)="FAIL", VLOOKUP(A138, 'Master Dashboard'!A:L, 10, FALSE)="FAIL", ISNUMBER(SEARCH("Critical", J138))), "3-Red", IF(SUMIF('Code Violations'!A:A, A138, 'Code Violations'!T:T)&gt;=1, "2-Yellow", "1-White")))</f>
        <v/>
      </c>
      <c r="L138">
        <f>IF(J138="","", IF(ISNUMBER(SEARCH("Critical", J138)), "CRITICAL FAIL", IF(ISNUMBER(SEARCH("Overdue", J138)), "FAIL", "COMPLIANT")))</f>
        <v/>
      </c>
    </row>
    <row r="139">
      <c r="K139">
        <f>IF(A139="","", IF(OR(SUMIF('Code Violations'!A:A, A139, 'Code Violations'!T:T)&gt;=5, VLOOKUP(A139, 'Master Dashboard'!A:L, 9, FALSE)="FAIL", VLOOKUP(A139, 'Master Dashboard'!A:L, 10, FALSE)="FAIL", ISNUMBER(SEARCH("Critical", J139))), "3-Red", IF(SUMIF('Code Violations'!A:A, A139, 'Code Violations'!T:T)&gt;=1, "2-Yellow", "1-White")))</f>
        <v/>
      </c>
      <c r="L139">
        <f>IF(J139="","", IF(ISNUMBER(SEARCH("Critical", J139)), "CRITICAL FAIL", IF(ISNUMBER(SEARCH("Overdue", J139)), "FAIL", "COMPLIANT")))</f>
        <v/>
      </c>
    </row>
    <row r="140">
      <c r="K140">
        <f>IF(A140="","", IF(OR(SUMIF('Code Violations'!A:A, A140, 'Code Violations'!T:T)&gt;=5, VLOOKUP(A140, 'Master Dashboard'!A:L, 9, FALSE)="FAIL", VLOOKUP(A140, 'Master Dashboard'!A:L, 10, FALSE)="FAIL", ISNUMBER(SEARCH("Critical", J140))), "3-Red", IF(SUMIF('Code Violations'!A:A, A140, 'Code Violations'!T:T)&gt;=1, "2-Yellow", "1-White")))</f>
        <v/>
      </c>
      <c r="L140">
        <f>IF(J140="","", IF(ISNUMBER(SEARCH("Critical", J140)), "CRITICAL FAIL", IF(ISNUMBER(SEARCH("Overdue", J140)), "FAIL", "COMPLIANT")))</f>
        <v/>
      </c>
    </row>
    <row r="141">
      <c r="K141">
        <f>IF(A141="","", IF(OR(SUMIF('Code Violations'!A:A, A141, 'Code Violations'!T:T)&gt;=5, VLOOKUP(A141, 'Master Dashboard'!A:L, 9, FALSE)="FAIL", VLOOKUP(A141, 'Master Dashboard'!A:L, 10, FALSE)="FAIL", ISNUMBER(SEARCH("Critical", J141))), "3-Red", IF(SUMIF('Code Violations'!A:A, A141, 'Code Violations'!T:T)&gt;=1, "2-Yellow", "1-White")))</f>
        <v/>
      </c>
      <c r="L141">
        <f>IF(J141="","", IF(ISNUMBER(SEARCH("Critical", J141)), "CRITICAL FAIL", IF(ISNUMBER(SEARCH("Overdue", J141)), "FAIL", "COMPLIANT")))</f>
        <v/>
      </c>
    </row>
    <row r="142">
      <c r="K142">
        <f>IF(A142="","", IF(OR(SUMIF('Code Violations'!A:A, A142, 'Code Violations'!T:T)&gt;=5, VLOOKUP(A142, 'Master Dashboard'!A:L, 9, FALSE)="FAIL", VLOOKUP(A142, 'Master Dashboard'!A:L, 10, FALSE)="FAIL", ISNUMBER(SEARCH("Critical", J142))), "3-Red", IF(SUMIF('Code Violations'!A:A, A142, 'Code Violations'!T:T)&gt;=1, "2-Yellow", "1-White")))</f>
        <v/>
      </c>
      <c r="L142">
        <f>IF(J142="","", IF(ISNUMBER(SEARCH("Critical", J142)), "CRITICAL FAIL", IF(ISNUMBER(SEARCH("Overdue", J142)), "FAIL", "COMPLIANT")))</f>
        <v/>
      </c>
    </row>
    <row r="143">
      <c r="K143">
        <f>IF(A143="","", IF(OR(SUMIF('Code Violations'!A:A, A143, 'Code Violations'!T:T)&gt;=5, VLOOKUP(A143, 'Master Dashboard'!A:L, 9, FALSE)="FAIL", VLOOKUP(A143, 'Master Dashboard'!A:L, 10, FALSE)="FAIL", ISNUMBER(SEARCH("Critical", J143))), "3-Red", IF(SUMIF('Code Violations'!A:A, A143, 'Code Violations'!T:T)&gt;=1, "2-Yellow", "1-White")))</f>
        <v/>
      </c>
      <c r="L143">
        <f>IF(J143="","", IF(ISNUMBER(SEARCH("Critical", J143)), "CRITICAL FAIL", IF(ISNUMBER(SEARCH("Overdue", J143)), "FAIL", "COMPLIANT")))</f>
        <v/>
      </c>
    </row>
    <row r="144">
      <c r="K144">
        <f>IF(A144="","", IF(OR(SUMIF('Code Violations'!A:A, A144, 'Code Violations'!T:T)&gt;=5, VLOOKUP(A144, 'Master Dashboard'!A:L, 9, FALSE)="FAIL", VLOOKUP(A144, 'Master Dashboard'!A:L, 10, FALSE)="FAIL", ISNUMBER(SEARCH("Critical", J144))), "3-Red", IF(SUMIF('Code Violations'!A:A, A144, 'Code Violations'!T:T)&gt;=1, "2-Yellow", "1-White")))</f>
        <v/>
      </c>
      <c r="L144">
        <f>IF(J144="","", IF(ISNUMBER(SEARCH("Critical", J144)), "CRITICAL FAIL", IF(ISNUMBER(SEARCH("Overdue", J144)), "FAIL", "COMPLIANT")))</f>
        <v/>
      </c>
    </row>
    <row r="145">
      <c r="K145">
        <f>IF(A145="","", IF(OR(SUMIF('Code Violations'!A:A, A145, 'Code Violations'!T:T)&gt;=5, VLOOKUP(A145, 'Master Dashboard'!A:L, 9, FALSE)="FAIL", VLOOKUP(A145, 'Master Dashboard'!A:L, 10, FALSE)="FAIL", ISNUMBER(SEARCH("Critical", J145))), "3-Red", IF(SUMIF('Code Violations'!A:A, A145, 'Code Violations'!T:T)&gt;=1, "2-Yellow", "1-White")))</f>
        <v/>
      </c>
      <c r="L145">
        <f>IF(J145="","", IF(ISNUMBER(SEARCH("Critical", J145)), "CRITICAL FAIL", IF(ISNUMBER(SEARCH("Overdue", J145)), "FAIL", "COMPLIANT")))</f>
        <v/>
      </c>
    </row>
    <row r="146">
      <c r="K146">
        <f>IF(A146="","", IF(OR(SUMIF('Code Violations'!A:A, A146, 'Code Violations'!T:T)&gt;=5, VLOOKUP(A146, 'Master Dashboard'!A:L, 9, FALSE)="FAIL", VLOOKUP(A146, 'Master Dashboard'!A:L, 10, FALSE)="FAIL", ISNUMBER(SEARCH("Critical", J146))), "3-Red", IF(SUMIF('Code Violations'!A:A, A146, 'Code Violations'!T:T)&gt;=1, "2-Yellow", "1-White")))</f>
        <v/>
      </c>
      <c r="L146">
        <f>IF(J146="","", IF(ISNUMBER(SEARCH("Critical", J146)), "CRITICAL FAIL", IF(ISNUMBER(SEARCH("Overdue", J146)), "FAIL", "COMPLIANT")))</f>
        <v/>
      </c>
    </row>
    <row r="147">
      <c r="K147">
        <f>IF(A147="","", IF(OR(SUMIF('Code Violations'!A:A, A147, 'Code Violations'!T:T)&gt;=5, VLOOKUP(A147, 'Master Dashboard'!A:L, 9, FALSE)="FAIL", VLOOKUP(A147, 'Master Dashboard'!A:L, 10, FALSE)="FAIL", ISNUMBER(SEARCH("Critical", J147))), "3-Red", IF(SUMIF('Code Violations'!A:A, A147, 'Code Violations'!T:T)&gt;=1, "2-Yellow", "1-White")))</f>
        <v/>
      </c>
      <c r="L147">
        <f>IF(J147="","", IF(ISNUMBER(SEARCH("Critical", J147)), "CRITICAL FAIL", IF(ISNUMBER(SEARCH("Overdue", J147)), "FAIL", "COMPLIANT")))</f>
        <v/>
      </c>
    </row>
    <row r="148">
      <c r="K148">
        <f>IF(A148="","", IF(OR(SUMIF('Code Violations'!A:A, A148, 'Code Violations'!T:T)&gt;=5, VLOOKUP(A148, 'Master Dashboard'!A:L, 9, FALSE)="FAIL", VLOOKUP(A148, 'Master Dashboard'!A:L, 10, FALSE)="FAIL", ISNUMBER(SEARCH("Critical", J148))), "3-Red", IF(SUMIF('Code Violations'!A:A, A148, 'Code Violations'!T:T)&gt;=1, "2-Yellow", "1-White")))</f>
        <v/>
      </c>
      <c r="L148">
        <f>IF(J148="","", IF(ISNUMBER(SEARCH("Critical", J148)), "CRITICAL FAIL", IF(ISNUMBER(SEARCH("Overdue", J148)), "FAIL", "COMPLIANT")))</f>
        <v/>
      </c>
    </row>
    <row r="149">
      <c r="K149">
        <f>IF(A149="","", IF(OR(SUMIF('Code Violations'!A:A, A149, 'Code Violations'!T:T)&gt;=5, VLOOKUP(A149, 'Master Dashboard'!A:L, 9, FALSE)="FAIL", VLOOKUP(A149, 'Master Dashboard'!A:L, 10, FALSE)="FAIL", ISNUMBER(SEARCH("Critical", J149))), "3-Red", IF(SUMIF('Code Violations'!A:A, A149, 'Code Violations'!T:T)&gt;=1, "2-Yellow", "1-White")))</f>
        <v/>
      </c>
      <c r="L149">
        <f>IF(J149="","", IF(ISNUMBER(SEARCH("Critical", J149)), "CRITICAL FAIL", IF(ISNUMBER(SEARCH("Overdue", J149)), "FAIL", "COMPLIANT")))</f>
        <v/>
      </c>
    </row>
    <row r="150">
      <c r="K150">
        <f>IF(A150="","", IF(OR(SUMIF('Code Violations'!A:A, A150, 'Code Violations'!T:T)&gt;=5, VLOOKUP(A150, 'Master Dashboard'!A:L, 9, FALSE)="FAIL", VLOOKUP(A150, 'Master Dashboard'!A:L, 10, FALSE)="FAIL", ISNUMBER(SEARCH("Critical", J150))), "3-Red", IF(SUMIF('Code Violations'!A:A, A150, 'Code Violations'!T:T)&gt;=1, "2-Yellow", "1-White")))</f>
        <v/>
      </c>
      <c r="L150">
        <f>IF(J150="","", IF(ISNUMBER(SEARCH("Critical", J150)), "CRITICAL FAIL", IF(ISNUMBER(SEARCH("Overdue", J150)), "FAIL", "COMPLIANT")))</f>
        <v/>
      </c>
    </row>
    <row r="151">
      <c r="K151">
        <f>IF(A151="","", IF(OR(SUMIF('Code Violations'!A:A, A151, 'Code Violations'!T:T)&gt;=5, VLOOKUP(A151, 'Master Dashboard'!A:L, 9, FALSE)="FAIL", VLOOKUP(A151, 'Master Dashboard'!A:L, 10, FALSE)="FAIL", ISNUMBER(SEARCH("Critical", J151))), "3-Red", IF(SUMIF('Code Violations'!A:A, A151, 'Code Violations'!T:T)&gt;=1, "2-Yellow", "1-White")))</f>
        <v/>
      </c>
      <c r="L151">
        <f>IF(J151="","", IF(ISNUMBER(SEARCH("Critical", J151)), "CRITICAL FAIL", IF(ISNUMBER(SEARCH("Overdue", J151)), "FAIL", "COMPLIANT")))</f>
        <v/>
      </c>
    </row>
    <row r="152">
      <c r="K152">
        <f>IF(A152="","", IF(OR(SUMIF('Code Violations'!A:A, A152, 'Code Violations'!T:T)&gt;=5, VLOOKUP(A152, 'Master Dashboard'!A:L, 9, FALSE)="FAIL", VLOOKUP(A152, 'Master Dashboard'!A:L, 10, FALSE)="FAIL", ISNUMBER(SEARCH("Critical", J152))), "3-Red", IF(SUMIF('Code Violations'!A:A, A152, 'Code Violations'!T:T)&gt;=1, "2-Yellow", "1-White")))</f>
        <v/>
      </c>
      <c r="L152">
        <f>IF(J152="","", IF(ISNUMBER(SEARCH("Critical", J152)), "CRITICAL FAIL", IF(ISNUMBER(SEARCH("Overdue", J152)), "FAIL", "COMPLIANT")))</f>
        <v/>
      </c>
    </row>
    <row r="153">
      <c r="K153">
        <f>IF(A153="","", IF(OR(SUMIF('Code Violations'!A:A, A153, 'Code Violations'!T:T)&gt;=5, VLOOKUP(A153, 'Master Dashboard'!A:L, 9, FALSE)="FAIL", VLOOKUP(A153, 'Master Dashboard'!A:L, 10, FALSE)="FAIL", ISNUMBER(SEARCH("Critical", J153))), "3-Red", IF(SUMIF('Code Violations'!A:A, A153, 'Code Violations'!T:T)&gt;=1, "2-Yellow", "1-White")))</f>
        <v/>
      </c>
      <c r="L153">
        <f>IF(J153="","", IF(ISNUMBER(SEARCH("Critical", J153)), "CRITICAL FAIL", IF(ISNUMBER(SEARCH("Overdue", J153)), "FAIL", "COMPLIANT")))</f>
        <v/>
      </c>
    </row>
    <row r="154">
      <c r="K154">
        <f>IF(A154="","", IF(OR(SUMIF('Code Violations'!A:A, A154, 'Code Violations'!T:T)&gt;=5, VLOOKUP(A154, 'Master Dashboard'!A:L, 9, FALSE)="FAIL", VLOOKUP(A154, 'Master Dashboard'!A:L, 10, FALSE)="FAIL", ISNUMBER(SEARCH("Critical", J154))), "3-Red", IF(SUMIF('Code Violations'!A:A, A154, 'Code Violations'!T:T)&gt;=1, "2-Yellow", "1-White")))</f>
        <v/>
      </c>
      <c r="L154">
        <f>IF(J154="","", IF(ISNUMBER(SEARCH("Critical", J154)), "CRITICAL FAIL", IF(ISNUMBER(SEARCH("Overdue", J154)), "FAIL", "COMPLIANT")))</f>
        <v/>
      </c>
    </row>
    <row r="155">
      <c r="K155">
        <f>IF(A155="","", IF(OR(SUMIF('Code Violations'!A:A, A155, 'Code Violations'!T:T)&gt;=5, VLOOKUP(A155, 'Master Dashboard'!A:L, 9, FALSE)="FAIL", VLOOKUP(A155, 'Master Dashboard'!A:L, 10, FALSE)="FAIL", ISNUMBER(SEARCH("Critical", J155))), "3-Red", IF(SUMIF('Code Violations'!A:A, A155, 'Code Violations'!T:T)&gt;=1, "2-Yellow", "1-White")))</f>
        <v/>
      </c>
      <c r="L155">
        <f>IF(J155="","", IF(ISNUMBER(SEARCH("Critical", J155)), "CRITICAL FAIL", IF(ISNUMBER(SEARCH("Overdue", J155)), "FAIL", "COMPLIANT")))</f>
        <v/>
      </c>
    </row>
    <row r="156">
      <c r="K156">
        <f>IF(A156="","", IF(OR(SUMIF('Code Violations'!A:A, A156, 'Code Violations'!T:T)&gt;=5, VLOOKUP(A156, 'Master Dashboard'!A:L, 9, FALSE)="FAIL", VLOOKUP(A156, 'Master Dashboard'!A:L, 10, FALSE)="FAIL", ISNUMBER(SEARCH("Critical", J156))), "3-Red", IF(SUMIF('Code Violations'!A:A, A156, 'Code Violations'!T:T)&gt;=1, "2-Yellow", "1-White")))</f>
        <v/>
      </c>
      <c r="L156">
        <f>IF(J156="","", IF(ISNUMBER(SEARCH("Critical", J156)), "CRITICAL FAIL", IF(ISNUMBER(SEARCH("Overdue", J156)), "FAIL", "COMPLIANT")))</f>
        <v/>
      </c>
    </row>
    <row r="157">
      <c r="K157">
        <f>IF(A157="","", IF(OR(SUMIF('Code Violations'!A:A, A157, 'Code Violations'!T:T)&gt;=5, VLOOKUP(A157, 'Master Dashboard'!A:L, 9, FALSE)="FAIL", VLOOKUP(A157, 'Master Dashboard'!A:L, 10, FALSE)="FAIL", ISNUMBER(SEARCH("Critical", J157))), "3-Red", IF(SUMIF('Code Violations'!A:A, A157, 'Code Violations'!T:T)&gt;=1, "2-Yellow", "1-White")))</f>
        <v/>
      </c>
      <c r="L157">
        <f>IF(J157="","", IF(ISNUMBER(SEARCH("Critical", J157)), "CRITICAL FAIL", IF(ISNUMBER(SEARCH("Overdue", J157)), "FAIL", "COMPLIANT")))</f>
        <v/>
      </c>
    </row>
    <row r="158">
      <c r="K158">
        <f>IF(A158="","", IF(OR(SUMIF('Code Violations'!A:A, A158, 'Code Violations'!T:T)&gt;=5, VLOOKUP(A158, 'Master Dashboard'!A:L, 9, FALSE)="FAIL", VLOOKUP(A158, 'Master Dashboard'!A:L, 10, FALSE)="FAIL", ISNUMBER(SEARCH("Critical", J158))), "3-Red", IF(SUMIF('Code Violations'!A:A, A158, 'Code Violations'!T:T)&gt;=1, "2-Yellow", "1-White")))</f>
        <v/>
      </c>
      <c r="L158">
        <f>IF(J158="","", IF(ISNUMBER(SEARCH("Critical", J158)), "CRITICAL FAIL", IF(ISNUMBER(SEARCH("Overdue", J158)), "FAIL", "COMPLIANT")))</f>
        <v/>
      </c>
    </row>
    <row r="159">
      <c r="K159">
        <f>IF(A159="","", IF(OR(SUMIF('Code Violations'!A:A, A159, 'Code Violations'!T:T)&gt;=5, VLOOKUP(A159, 'Master Dashboard'!A:L, 9, FALSE)="FAIL", VLOOKUP(A159, 'Master Dashboard'!A:L, 10, FALSE)="FAIL", ISNUMBER(SEARCH("Critical", J159))), "3-Red", IF(SUMIF('Code Violations'!A:A, A159, 'Code Violations'!T:T)&gt;=1, "2-Yellow", "1-White")))</f>
        <v/>
      </c>
      <c r="L159">
        <f>IF(J159="","", IF(ISNUMBER(SEARCH("Critical", J159)), "CRITICAL FAIL", IF(ISNUMBER(SEARCH("Overdue", J159)), "FAIL", "COMPLIANT")))</f>
        <v/>
      </c>
    </row>
    <row r="160">
      <c r="K160">
        <f>IF(A160="","", IF(OR(SUMIF('Code Violations'!A:A, A160, 'Code Violations'!T:T)&gt;=5, VLOOKUP(A160, 'Master Dashboard'!A:L, 9, FALSE)="FAIL", VLOOKUP(A160, 'Master Dashboard'!A:L, 10, FALSE)="FAIL", ISNUMBER(SEARCH("Critical", J160))), "3-Red", IF(SUMIF('Code Violations'!A:A, A160, 'Code Violations'!T:T)&gt;=1, "2-Yellow", "1-White")))</f>
        <v/>
      </c>
      <c r="L160">
        <f>IF(J160="","", IF(ISNUMBER(SEARCH("Critical", J160)), "CRITICAL FAIL", IF(ISNUMBER(SEARCH("Overdue", J160)), "FAIL", "COMPLIANT")))</f>
        <v/>
      </c>
    </row>
    <row r="161">
      <c r="K161">
        <f>IF(A161="","", IF(OR(SUMIF('Code Violations'!A:A, A161, 'Code Violations'!T:T)&gt;=5, VLOOKUP(A161, 'Master Dashboard'!A:L, 9, FALSE)="FAIL", VLOOKUP(A161, 'Master Dashboard'!A:L, 10, FALSE)="FAIL", ISNUMBER(SEARCH("Critical", J161))), "3-Red", IF(SUMIF('Code Violations'!A:A, A161, 'Code Violations'!T:T)&gt;=1, "2-Yellow", "1-White")))</f>
        <v/>
      </c>
      <c r="L161">
        <f>IF(J161="","", IF(ISNUMBER(SEARCH("Critical", J161)), "CRITICAL FAIL", IF(ISNUMBER(SEARCH("Overdue", J161)), "FAIL", "COMPLIANT")))</f>
        <v/>
      </c>
    </row>
    <row r="162">
      <c r="K162">
        <f>IF(A162="","", IF(OR(SUMIF('Code Violations'!A:A, A162, 'Code Violations'!T:T)&gt;=5, VLOOKUP(A162, 'Master Dashboard'!A:L, 9, FALSE)="FAIL", VLOOKUP(A162, 'Master Dashboard'!A:L, 10, FALSE)="FAIL", ISNUMBER(SEARCH("Critical", J162))), "3-Red", IF(SUMIF('Code Violations'!A:A, A162, 'Code Violations'!T:T)&gt;=1, "2-Yellow", "1-White")))</f>
        <v/>
      </c>
      <c r="L162">
        <f>IF(J162="","", IF(ISNUMBER(SEARCH("Critical", J162)), "CRITICAL FAIL", IF(ISNUMBER(SEARCH("Overdue", J162)), "FAIL", "COMPLIANT")))</f>
        <v/>
      </c>
    </row>
    <row r="163">
      <c r="K163">
        <f>IF(A163="","", IF(OR(SUMIF('Code Violations'!A:A, A163, 'Code Violations'!T:T)&gt;=5, VLOOKUP(A163, 'Master Dashboard'!A:L, 9, FALSE)="FAIL", VLOOKUP(A163, 'Master Dashboard'!A:L, 10, FALSE)="FAIL", ISNUMBER(SEARCH("Critical", J163))), "3-Red", IF(SUMIF('Code Violations'!A:A, A163, 'Code Violations'!T:T)&gt;=1, "2-Yellow", "1-White")))</f>
        <v/>
      </c>
      <c r="L163">
        <f>IF(J163="","", IF(ISNUMBER(SEARCH("Critical", J163)), "CRITICAL FAIL", IF(ISNUMBER(SEARCH("Overdue", J163)), "FAIL", "COMPLIANT")))</f>
        <v/>
      </c>
    </row>
    <row r="164">
      <c r="K164">
        <f>IF(A164="","", IF(OR(SUMIF('Code Violations'!A:A, A164, 'Code Violations'!T:T)&gt;=5, VLOOKUP(A164, 'Master Dashboard'!A:L, 9, FALSE)="FAIL", VLOOKUP(A164, 'Master Dashboard'!A:L, 10, FALSE)="FAIL", ISNUMBER(SEARCH("Critical", J164))), "3-Red", IF(SUMIF('Code Violations'!A:A, A164, 'Code Violations'!T:T)&gt;=1, "2-Yellow", "1-White")))</f>
        <v/>
      </c>
      <c r="L164">
        <f>IF(J164="","", IF(ISNUMBER(SEARCH("Critical", J164)), "CRITICAL FAIL", IF(ISNUMBER(SEARCH("Overdue", J164)), "FAIL", "COMPLIANT")))</f>
        <v/>
      </c>
    </row>
    <row r="165">
      <c r="K165">
        <f>IF(A165="","", IF(OR(SUMIF('Code Violations'!A:A, A165, 'Code Violations'!T:T)&gt;=5, VLOOKUP(A165, 'Master Dashboard'!A:L, 9, FALSE)="FAIL", VLOOKUP(A165, 'Master Dashboard'!A:L, 10, FALSE)="FAIL", ISNUMBER(SEARCH("Critical", J165))), "3-Red", IF(SUMIF('Code Violations'!A:A, A165, 'Code Violations'!T:T)&gt;=1, "2-Yellow", "1-White")))</f>
        <v/>
      </c>
      <c r="L165">
        <f>IF(J165="","", IF(ISNUMBER(SEARCH("Critical", J165)), "CRITICAL FAIL", IF(ISNUMBER(SEARCH("Overdue", J165)), "FAIL", "COMPLIANT")))</f>
        <v/>
      </c>
    </row>
    <row r="166">
      <c r="K166">
        <f>IF(A166="","", IF(OR(SUMIF('Code Violations'!A:A, A166, 'Code Violations'!T:T)&gt;=5, VLOOKUP(A166, 'Master Dashboard'!A:L, 9, FALSE)="FAIL", VLOOKUP(A166, 'Master Dashboard'!A:L, 10, FALSE)="FAIL", ISNUMBER(SEARCH("Critical", J166))), "3-Red", IF(SUMIF('Code Violations'!A:A, A166, 'Code Violations'!T:T)&gt;=1, "2-Yellow", "1-White")))</f>
        <v/>
      </c>
      <c r="L166">
        <f>IF(J166="","", IF(ISNUMBER(SEARCH("Critical", J166)), "CRITICAL FAIL", IF(ISNUMBER(SEARCH("Overdue", J166)), "FAIL", "COMPLIANT")))</f>
        <v/>
      </c>
    </row>
    <row r="167">
      <c r="K167">
        <f>IF(A167="","", IF(OR(SUMIF('Code Violations'!A:A, A167, 'Code Violations'!T:T)&gt;=5, VLOOKUP(A167, 'Master Dashboard'!A:L, 9, FALSE)="FAIL", VLOOKUP(A167, 'Master Dashboard'!A:L, 10, FALSE)="FAIL", ISNUMBER(SEARCH("Critical", J167))), "3-Red", IF(SUMIF('Code Violations'!A:A, A167, 'Code Violations'!T:T)&gt;=1, "2-Yellow", "1-White")))</f>
        <v/>
      </c>
      <c r="L167">
        <f>IF(J167="","", IF(ISNUMBER(SEARCH("Critical", J167)), "CRITICAL FAIL", IF(ISNUMBER(SEARCH("Overdue", J167)), "FAIL", "COMPLIANT")))</f>
        <v/>
      </c>
    </row>
    <row r="168">
      <c r="K168">
        <f>IF(A168="","", IF(OR(SUMIF('Code Violations'!A:A, A168, 'Code Violations'!T:T)&gt;=5, VLOOKUP(A168, 'Master Dashboard'!A:L, 9, FALSE)="FAIL", VLOOKUP(A168, 'Master Dashboard'!A:L, 10, FALSE)="FAIL", ISNUMBER(SEARCH("Critical", J168))), "3-Red", IF(SUMIF('Code Violations'!A:A, A168, 'Code Violations'!T:T)&gt;=1, "2-Yellow", "1-White")))</f>
        <v/>
      </c>
      <c r="L168">
        <f>IF(J168="","", IF(ISNUMBER(SEARCH("Critical", J168)), "CRITICAL FAIL", IF(ISNUMBER(SEARCH("Overdue", J168)), "FAIL", "COMPLIANT")))</f>
        <v/>
      </c>
    </row>
    <row r="169">
      <c r="K169">
        <f>IF(A169="","", IF(OR(SUMIF('Code Violations'!A:A, A169, 'Code Violations'!T:T)&gt;=5, VLOOKUP(A169, 'Master Dashboard'!A:L, 9, FALSE)="FAIL", VLOOKUP(A169, 'Master Dashboard'!A:L, 10, FALSE)="FAIL", ISNUMBER(SEARCH("Critical", J169))), "3-Red", IF(SUMIF('Code Violations'!A:A, A169, 'Code Violations'!T:T)&gt;=1, "2-Yellow", "1-White")))</f>
        <v/>
      </c>
      <c r="L169">
        <f>IF(J169="","", IF(ISNUMBER(SEARCH("Critical", J169)), "CRITICAL FAIL", IF(ISNUMBER(SEARCH("Overdue", J169)), "FAIL", "COMPLIANT")))</f>
        <v/>
      </c>
    </row>
    <row r="170">
      <c r="K170">
        <f>IF(A170="","", IF(OR(SUMIF('Code Violations'!A:A, A170, 'Code Violations'!T:T)&gt;=5, VLOOKUP(A170, 'Master Dashboard'!A:L, 9, FALSE)="FAIL", VLOOKUP(A170, 'Master Dashboard'!A:L, 10, FALSE)="FAIL", ISNUMBER(SEARCH("Critical", J170))), "3-Red", IF(SUMIF('Code Violations'!A:A, A170, 'Code Violations'!T:T)&gt;=1, "2-Yellow", "1-White")))</f>
        <v/>
      </c>
      <c r="L170">
        <f>IF(J170="","", IF(ISNUMBER(SEARCH("Critical", J170)), "CRITICAL FAIL", IF(ISNUMBER(SEARCH("Overdue", J170)), "FAIL", "COMPLIANT")))</f>
        <v/>
      </c>
    </row>
    <row r="171">
      <c r="K171">
        <f>IF(A171="","", IF(OR(SUMIF('Code Violations'!A:A, A171, 'Code Violations'!T:T)&gt;=5, VLOOKUP(A171, 'Master Dashboard'!A:L, 9, FALSE)="FAIL", VLOOKUP(A171, 'Master Dashboard'!A:L, 10, FALSE)="FAIL", ISNUMBER(SEARCH("Critical", J171))), "3-Red", IF(SUMIF('Code Violations'!A:A, A171, 'Code Violations'!T:T)&gt;=1, "2-Yellow", "1-White")))</f>
        <v/>
      </c>
      <c r="L171">
        <f>IF(J171="","", IF(ISNUMBER(SEARCH("Critical", J171)), "CRITICAL FAIL", IF(ISNUMBER(SEARCH("Overdue", J171)), "FAIL", "COMPLIANT")))</f>
        <v/>
      </c>
    </row>
    <row r="172">
      <c r="K172">
        <f>IF(A172="","", IF(OR(SUMIF('Code Violations'!A:A, A172, 'Code Violations'!T:T)&gt;=5, VLOOKUP(A172, 'Master Dashboard'!A:L, 9, FALSE)="FAIL", VLOOKUP(A172, 'Master Dashboard'!A:L, 10, FALSE)="FAIL", ISNUMBER(SEARCH("Critical", J172))), "3-Red", IF(SUMIF('Code Violations'!A:A, A172, 'Code Violations'!T:T)&gt;=1, "2-Yellow", "1-White")))</f>
        <v/>
      </c>
      <c r="L172">
        <f>IF(J172="","", IF(ISNUMBER(SEARCH("Critical", J172)), "CRITICAL FAIL", IF(ISNUMBER(SEARCH("Overdue", J172)), "FAIL", "COMPLIANT")))</f>
        <v/>
      </c>
    </row>
    <row r="173">
      <c r="K173">
        <f>IF(A173="","", IF(OR(SUMIF('Code Violations'!A:A, A173, 'Code Violations'!T:T)&gt;=5, VLOOKUP(A173, 'Master Dashboard'!A:L, 9, FALSE)="FAIL", VLOOKUP(A173, 'Master Dashboard'!A:L, 10, FALSE)="FAIL", ISNUMBER(SEARCH("Critical", J173))), "3-Red", IF(SUMIF('Code Violations'!A:A, A173, 'Code Violations'!T:T)&gt;=1, "2-Yellow", "1-White")))</f>
        <v/>
      </c>
      <c r="L173">
        <f>IF(J173="","", IF(ISNUMBER(SEARCH("Critical", J173)), "CRITICAL FAIL", IF(ISNUMBER(SEARCH("Overdue", J173)), "FAIL", "COMPLIANT")))</f>
        <v/>
      </c>
    </row>
    <row r="174">
      <c r="K174">
        <f>IF(A174="","", IF(OR(SUMIF('Code Violations'!A:A, A174, 'Code Violations'!T:T)&gt;=5, VLOOKUP(A174, 'Master Dashboard'!A:L, 9, FALSE)="FAIL", VLOOKUP(A174, 'Master Dashboard'!A:L, 10, FALSE)="FAIL", ISNUMBER(SEARCH("Critical", J174))), "3-Red", IF(SUMIF('Code Violations'!A:A, A174, 'Code Violations'!T:T)&gt;=1, "2-Yellow", "1-White")))</f>
        <v/>
      </c>
      <c r="L174">
        <f>IF(J174="","", IF(ISNUMBER(SEARCH("Critical", J174)), "CRITICAL FAIL", IF(ISNUMBER(SEARCH("Overdue", J174)), "FAIL", "COMPLIANT")))</f>
        <v/>
      </c>
    </row>
    <row r="175">
      <c r="K175">
        <f>IF(A175="","", IF(OR(SUMIF('Code Violations'!A:A, A175, 'Code Violations'!T:T)&gt;=5, VLOOKUP(A175, 'Master Dashboard'!A:L, 9, FALSE)="FAIL", VLOOKUP(A175, 'Master Dashboard'!A:L, 10, FALSE)="FAIL", ISNUMBER(SEARCH("Critical", J175))), "3-Red", IF(SUMIF('Code Violations'!A:A, A175, 'Code Violations'!T:T)&gt;=1, "2-Yellow", "1-White")))</f>
        <v/>
      </c>
      <c r="L175">
        <f>IF(J175="","", IF(ISNUMBER(SEARCH("Critical", J175)), "CRITICAL FAIL", IF(ISNUMBER(SEARCH("Overdue", J175)), "FAIL", "COMPLIANT")))</f>
        <v/>
      </c>
    </row>
    <row r="176">
      <c r="K176">
        <f>IF(A176="","", IF(OR(SUMIF('Code Violations'!A:A, A176, 'Code Violations'!T:T)&gt;=5, VLOOKUP(A176, 'Master Dashboard'!A:L, 9, FALSE)="FAIL", VLOOKUP(A176, 'Master Dashboard'!A:L, 10, FALSE)="FAIL", ISNUMBER(SEARCH("Critical", J176))), "3-Red", IF(SUMIF('Code Violations'!A:A, A176, 'Code Violations'!T:T)&gt;=1, "2-Yellow", "1-White")))</f>
        <v/>
      </c>
      <c r="L176">
        <f>IF(J176="","", IF(ISNUMBER(SEARCH("Critical", J176)), "CRITICAL FAIL", IF(ISNUMBER(SEARCH("Overdue", J176)), "FAIL", "COMPLIANT")))</f>
        <v/>
      </c>
    </row>
    <row r="177">
      <c r="K177">
        <f>IF(A177="","", IF(OR(SUMIF('Code Violations'!A:A, A177, 'Code Violations'!T:T)&gt;=5, VLOOKUP(A177, 'Master Dashboard'!A:L, 9, FALSE)="FAIL", VLOOKUP(A177, 'Master Dashboard'!A:L, 10, FALSE)="FAIL", ISNUMBER(SEARCH("Critical", J177))), "3-Red", IF(SUMIF('Code Violations'!A:A, A177, 'Code Violations'!T:T)&gt;=1, "2-Yellow", "1-White")))</f>
        <v/>
      </c>
      <c r="L177">
        <f>IF(J177="","", IF(ISNUMBER(SEARCH("Critical", J177)), "CRITICAL FAIL", IF(ISNUMBER(SEARCH("Overdue", J177)), "FAIL", "COMPLIANT")))</f>
        <v/>
      </c>
    </row>
    <row r="178">
      <c r="K178">
        <f>IF(A178="","", IF(OR(SUMIF('Code Violations'!A:A, A178, 'Code Violations'!T:T)&gt;=5, VLOOKUP(A178, 'Master Dashboard'!A:L, 9, FALSE)="FAIL", VLOOKUP(A178, 'Master Dashboard'!A:L, 10, FALSE)="FAIL", ISNUMBER(SEARCH("Critical", J178))), "3-Red", IF(SUMIF('Code Violations'!A:A, A178, 'Code Violations'!T:T)&gt;=1, "2-Yellow", "1-White")))</f>
        <v/>
      </c>
      <c r="L178">
        <f>IF(J178="","", IF(ISNUMBER(SEARCH("Critical", J178)), "CRITICAL FAIL", IF(ISNUMBER(SEARCH("Overdue", J178)), "FAIL", "COMPLIANT")))</f>
        <v/>
      </c>
    </row>
    <row r="179">
      <c r="K179">
        <f>IF(A179="","", IF(OR(SUMIF('Code Violations'!A:A, A179, 'Code Violations'!T:T)&gt;=5, VLOOKUP(A179, 'Master Dashboard'!A:L, 9, FALSE)="FAIL", VLOOKUP(A179, 'Master Dashboard'!A:L, 10, FALSE)="FAIL", ISNUMBER(SEARCH("Critical", J179))), "3-Red", IF(SUMIF('Code Violations'!A:A, A179, 'Code Violations'!T:T)&gt;=1, "2-Yellow", "1-White")))</f>
        <v/>
      </c>
      <c r="L179">
        <f>IF(J179="","", IF(ISNUMBER(SEARCH("Critical", J179)), "CRITICAL FAIL", IF(ISNUMBER(SEARCH("Overdue", J179)), "FAIL", "COMPLIANT")))</f>
        <v/>
      </c>
    </row>
    <row r="180">
      <c r="K180">
        <f>IF(A180="","", IF(OR(SUMIF('Code Violations'!A:A, A180, 'Code Violations'!T:T)&gt;=5, VLOOKUP(A180, 'Master Dashboard'!A:L, 9, FALSE)="FAIL", VLOOKUP(A180, 'Master Dashboard'!A:L, 10, FALSE)="FAIL", ISNUMBER(SEARCH("Critical", J180))), "3-Red", IF(SUMIF('Code Violations'!A:A, A180, 'Code Violations'!T:T)&gt;=1, "2-Yellow", "1-White")))</f>
        <v/>
      </c>
      <c r="L180">
        <f>IF(J180="","", IF(ISNUMBER(SEARCH("Critical", J180)), "CRITICAL FAIL", IF(ISNUMBER(SEARCH("Overdue", J180)), "FAIL", "COMPLIANT")))</f>
        <v/>
      </c>
    </row>
    <row r="181">
      <c r="K181">
        <f>IF(A181="","", IF(OR(SUMIF('Code Violations'!A:A, A181, 'Code Violations'!T:T)&gt;=5, VLOOKUP(A181, 'Master Dashboard'!A:L, 9, FALSE)="FAIL", VLOOKUP(A181, 'Master Dashboard'!A:L, 10, FALSE)="FAIL", ISNUMBER(SEARCH("Critical", J181))), "3-Red", IF(SUMIF('Code Violations'!A:A, A181, 'Code Violations'!T:T)&gt;=1, "2-Yellow", "1-White")))</f>
        <v/>
      </c>
      <c r="L181">
        <f>IF(J181="","", IF(ISNUMBER(SEARCH("Critical", J181)), "CRITICAL FAIL", IF(ISNUMBER(SEARCH("Overdue", J181)), "FAIL", "COMPLIANT")))</f>
        <v/>
      </c>
    </row>
    <row r="182">
      <c r="K182">
        <f>IF(A182="","", IF(OR(SUMIF('Code Violations'!A:A, A182, 'Code Violations'!T:T)&gt;=5, VLOOKUP(A182, 'Master Dashboard'!A:L, 9, FALSE)="FAIL", VLOOKUP(A182, 'Master Dashboard'!A:L, 10, FALSE)="FAIL", ISNUMBER(SEARCH("Critical", J182))), "3-Red", IF(SUMIF('Code Violations'!A:A, A182, 'Code Violations'!T:T)&gt;=1, "2-Yellow", "1-White")))</f>
        <v/>
      </c>
      <c r="L182">
        <f>IF(J182="","", IF(ISNUMBER(SEARCH("Critical", J182)), "CRITICAL FAIL", IF(ISNUMBER(SEARCH("Overdue", J182)), "FAIL", "COMPLIANT")))</f>
        <v/>
      </c>
    </row>
    <row r="183">
      <c r="K183">
        <f>IF(A183="","", IF(OR(SUMIF('Code Violations'!A:A, A183, 'Code Violations'!T:T)&gt;=5, VLOOKUP(A183, 'Master Dashboard'!A:L, 9, FALSE)="FAIL", VLOOKUP(A183, 'Master Dashboard'!A:L, 10, FALSE)="FAIL", ISNUMBER(SEARCH("Critical", J183))), "3-Red", IF(SUMIF('Code Violations'!A:A, A183, 'Code Violations'!T:T)&gt;=1, "2-Yellow", "1-White")))</f>
        <v/>
      </c>
      <c r="L183">
        <f>IF(J183="","", IF(ISNUMBER(SEARCH("Critical", J183)), "CRITICAL FAIL", IF(ISNUMBER(SEARCH("Overdue", J183)), "FAIL", "COMPLIANT")))</f>
        <v/>
      </c>
    </row>
    <row r="184">
      <c r="K184">
        <f>IF(A184="","", IF(OR(SUMIF('Code Violations'!A:A, A184, 'Code Violations'!T:T)&gt;=5, VLOOKUP(A184, 'Master Dashboard'!A:L, 9, FALSE)="FAIL", VLOOKUP(A184, 'Master Dashboard'!A:L, 10, FALSE)="FAIL", ISNUMBER(SEARCH("Critical", J184))), "3-Red", IF(SUMIF('Code Violations'!A:A, A184, 'Code Violations'!T:T)&gt;=1, "2-Yellow", "1-White")))</f>
        <v/>
      </c>
      <c r="L184">
        <f>IF(J184="","", IF(ISNUMBER(SEARCH("Critical", J184)), "CRITICAL FAIL", IF(ISNUMBER(SEARCH("Overdue", J184)), "FAIL", "COMPLIANT")))</f>
        <v/>
      </c>
    </row>
    <row r="185">
      <c r="K185">
        <f>IF(A185="","", IF(OR(SUMIF('Code Violations'!A:A, A185, 'Code Violations'!T:T)&gt;=5, VLOOKUP(A185, 'Master Dashboard'!A:L, 9, FALSE)="FAIL", VLOOKUP(A185, 'Master Dashboard'!A:L, 10, FALSE)="FAIL", ISNUMBER(SEARCH("Critical", J185))), "3-Red", IF(SUMIF('Code Violations'!A:A, A185, 'Code Violations'!T:T)&gt;=1, "2-Yellow", "1-White")))</f>
        <v/>
      </c>
      <c r="L185">
        <f>IF(J185="","", IF(ISNUMBER(SEARCH("Critical", J185)), "CRITICAL FAIL", IF(ISNUMBER(SEARCH("Overdue", J185)), "FAIL", "COMPLIANT")))</f>
        <v/>
      </c>
    </row>
    <row r="186">
      <c r="K186">
        <f>IF(A186="","", IF(OR(SUMIF('Code Violations'!A:A, A186, 'Code Violations'!T:T)&gt;=5, VLOOKUP(A186, 'Master Dashboard'!A:L, 9, FALSE)="FAIL", VLOOKUP(A186, 'Master Dashboard'!A:L, 10, FALSE)="FAIL", ISNUMBER(SEARCH("Critical", J186))), "3-Red", IF(SUMIF('Code Violations'!A:A, A186, 'Code Violations'!T:T)&gt;=1, "2-Yellow", "1-White")))</f>
        <v/>
      </c>
      <c r="L186">
        <f>IF(J186="","", IF(ISNUMBER(SEARCH("Critical", J186)), "CRITICAL FAIL", IF(ISNUMBER(SEARCH("Overdue", J186)), "FAIL", "COMPLIANT")))</f>
        <v/>
      </c>
    </row>
    <row r="187">
      <c r="K187">
        <f>IF(A187="","", IF(OR(SUMIF('Code Violations'!A:A, A187, 'Code Violations'!T:T)&gt;=5, VLOOKUP(A187, 'Master Dashboard'!A:L, 9, FALSE)="FAIL", VLOOKUP(A187, 'Master Dashboard'!A:L, 10, FALSE)="FAIL", ISNUMBER(SEARCH("Critical", J187))), "3-Red", IF(SUMIF('Code Violations'!A:A, A187, 'Code Violations'!T:T)&gt;=1, "2-Yellow", "1-White")))</f>
        <v/>
      </c>
      <c r="L187">
        <f>IF(J187="","", IF(ISNUMBER(SEARCH("Critical", J187)), "CRITICAL FAIL", IF(ISNUMBER(SEARCH("Overdue", J187)), "FAIL", "COMPLIANT")))</f>
        <v/>
      </c>
    </row>
    <row r="188">
      <c r="K188">
        <f>IF(A188="","", IF(OR(SUMIF('Code Violations'!A:A, A188, 'Code Violations'!T:T)&gt;=5, VLOOKUP(A188, 'Master Dashboard'!A:L, 9, FALSE)="FAIL", VLOOKUP(A188, 'Master Dashboard'!A:L, 10, FALSE)="FAIL", ISNUMBER(SEARCH("Critical", J188))), "3-Red", IF(SUMIF('Code Violations'!A:A, A188, 'Code Violations'!T:T)&gt;=1, "2-Yellow", "1-White")))</f>
        <v/>
      </c>
      <c r="L188">
        <f>IF(J188="","", IF(ISNUMBER(SEARCH("Critical", J188)), "CRITICAL FAIL", IF(ISNUMBER(SEARCH("Overdue", J188)), "FAIL", "COMPLIANT")))</f>
        <v/>
      </c>
    </row>
    <row r="189">
      <c r="K189">
        <f>IF(A189="","", IF(OR(SUMIF('Code Violations'!A:A, A189, 'Code Violations'!T:T)&gt;=5, VLOOKUP(A189, 'Master Dashboard'!A:L, 9, FALSE)="FAIL", VLOOKUP(A189, 'Master Dashboard'!A:L, 10, FALSE)="FAIL", ISNUMBER(SEARCH("Critical", J189))), "3-Red", IF(SUMIF('Code Violations'!A:A, A189, 'Code Violations'!T:T)&gt;=1, "2-Yellow", "1-White")))</f>
        <v/>
      </c>
      <c r="L189">
        <f>IF(J189="","", IF(ISNUMBER(SEARCH("Critical", J189)), "CRITICAL FAIL", IF(ISNUMBER(SEARCH("Overdue", J189)), "FAIL", "COMPLIANT")))</f>
        <v/>
      </c>
    </row>
    <row r="190">
      <c r="K190">
        <f>IF(A190="","", IF(OR(SUMIF('Code Violations'!A:A, A190, 'Code Violations'!T:T)&gt;=5, VLOOKUP(A190, 'Master Dashboard'!A:L, 9, FALSE)="FAIL", VLOOKUP(A190, 'Master Dashboard'!A:L, 10, FALSE)="FAIL", ISNUMBER(SEARCH("Critical", J190))), "3-Red", IF(SUMIF('Code Violations'!A:A, A190, 'Code Violations'!T:T)&gt;=1, "2-Yellow", "1-White")))</f>
        <v/>
      </c>
      <c r="L190">
        <f>IF(J190="","", IF(ISNUMBER(SEARCH("Critical", J190)), "CRITICAL FAIL", IF(ISNUMBER(SEARCH("Overdue", J190)), "FAIL", "COMPLIANT")))</f>
        <v/>
      </c>
    </row>
    <row r="191">
      <c r="K191">
        <f>IF(A191="","", IF(OR(SUMIF('Code Violations'!A:A, A191, 'Code Violations'!T:T)&gt;=5, VLOOKUP(A191, 'Master Dashboard'!A:L, 9, FALSE)="FAIL", VLOOKUP(A191, 'Master Dashboard'!A:L, 10, FALSE)="FAIL", ISNUMBER(SEARCH("Critical", J191))), "3-Red", IF(SUMIF('Code Violations'!A:A, A191, 'Code Violations'!T:T)&gt;=1, "2-Yellow", "1-White")))</f>
        <v/>
      </c>
      <c r="L191">
        <f>IF(J191="","", IF(ISNUMBER(SEARCH("Critical", J191)), "CRITICAL FAIL", IF(ISNUMBER(SEARCH("Overdue", J191)), "FAIL", "COMPLIANT")))</f>
        <v/>
      </c>
    </row>
    <row r="192">
      <c r="K192">
        <f>IF(A192="","", IF(OR(SUMIF('Code Violations'!A:A, A192, 'Code Violations'!T:T)&gt;=5, VLOOKUP(A192, 'Master Dashboard'!A:L, 9, FALSE)="FAIL", VLOOKUP(A192, 'Master Dashboard'!A:L, 10, FALSE)="FAIL", ISNUMBER(SEARCH("Critical", J192))), "3-Red", IF(SUMIF('Code Violations'!A:A, A192, 'Code Violations'!T:T)&gt;=1, "2-Yellow", "1-White")))</f>
        <v/>
      </c>
      <c r="L192">
        <f>IF(J192="","", IF(ISNUMBER(SEARCH("Critical", J192)), "CRITICAL FAIL", IF(ISNUMBER(SEARCH("Overdue", J192)), "FAIL", "COMPLIANT")))</f>
        <v/>
      </c>
    </row>
    <row r="193">
      <c r="K193">
        <f>IF(A193="","", IF(OR(SUMIF('Code Violations'!A:A, A193, 'Code Violations'!T:T)&gt;=5, VLOOKUP(A193, 'Master Dashboard'!A:L, 9, FALSE)="FAIL", VLOOKUP(A193, 'Master Dashboard'!A:L, 10, FALSE)="FAIL", ISNUMBER(SEARCH("Critical", J193))), "3-Red", IF(SUMIF('Code Violations'!A:A, A193, 'Code Violations'!T:T)&gt;=1, "2-Yellow", "1-White")))</f>
        <v/>
      </c>
      <c r="L193">
        <f>IF(J193="","", IF(ISNUMBER(SEARCH("Critical", J193)), "CRITICAL FAIL", IF(ISNUMBER(SEARCH("Overdue", J193)), "FAIL", "COMPLIANT")))</f>
        <v/>
      </c>
    </row>
    <row r="194">
      <c r="K194">
        <f>IF(A194="","", IF(OR(SUMIF('Code Violations'!A:A, A194, 'Code Violations'!T:T)&gt;=5, VLOOKUP(A194, 'Master Dashboard'!A:L, 9, FALSE)="FAIL", VLOOKUP(A194, 'Master Dashboard'!A:L, 10, FALSE)="FAIL", ISNUMBER(SEARCH("Critical", J194))), "3-Red", IF(SUMIF('Code Violations'!A:A, A194, 'Code Violations'!T:T)&gt;=1, "2-Yellow", "1-White")))</f>
        <v/>
      </c>
      <c r="L194">
        <f>IF(J194="","", IF(ISNUMBER(SEARCH("Critical", J194)), "CRITICAL FAIL", IF(ISNUMBER(SEARCH("Overdue", J194)), "FAIL", "COMPLIANT")))</f>
        <v/>
      </c>
    </row>
    <row r="195">
      <c r="K195">
        <f>IF(A195="","", IF(OR(SUMIF('Code Violations'!A:A, A195, 'Code Violations'!T:T)&gt;=5, VLOOKUP(A195, 'Master Dashboard'!A:L, 9, FALSE)="FAIL", VLOOKUP(A195, 'Master Dashboard'!A:L, 10, FALSE)="FAIL", ISNUMBER(SEARCH("Critical", J195))), "3-Red", IF(SUMIF('Code Violations'!A:A, A195, 'Code Violations'!T:T)&gt;=1, "2-Yellow", "1-White")))</f>
        <v/>
      </c>
      <c r="L195">
        <f>IF(J195="","", IF(ISNUMBER(SEARCH("Critical", J195)), "CRITICAL FAIL", IF(ISNUMBER(SEARCH("Overdue", J195)), "FAIL", "COMPLIANT")))</f>
        <v/>
      </c>
    </row>
    <row r="196">
      <c r="K196">
        <f>IF(A196="","", IF(OR(SUMIF('Code Violations'!A:A, A196, 'Code Violations'!T:T)&gt;=5, VLOOKUP(A196, 'Master Dashboard'!A:L, 9, FALSE)="FAIL", VLOOKUP(A196, 'Master Dashboard'!A:L, 10, FALSE)="FAIL", ISNUMBER(SEARCH("Critical", J196))), "3-Red", IF(SUMIF('Code Violations'!A:A, A196, 'Code Violations'!T:T)&gt;=1, "2-Yellow", "1-White")))</f>
        <v/>
      </c>
      <c r="L196">
        <f>IF(J196="","", IF(ISNUMBER(SEARCH("Critical", J196)), "CRITICAL FAIL", IF(ISNUMBER(SEARCH("Overdue", J196)), "FAIL", "COMPLIANT")))</f>
        <v/>
      </c>
    </row>
    <row r="197">
      <c r="K197">
        <f>IF(A197="","", IF(OR(SUMIF('Code Violations'!A:A, A197, 'Code Violations'!T:T)&gt;=5, VLOOKUP(A197, 'Master Dashboard'!A:L, 9, FALSE)="FAIL", VLOOKUP(A197, 'Master Dashboard'!A:L, 10, FALSE)="FAIL", ISNUMBER(SEARCH("Critical", J197))), "3-Red", IF(SUMIF('Code Violations'!A:A, A197, 'Code Violations'!T:T)&gt;=1, "2-Yellow", "1-White")))</f>
        <v/>
      </c>
      <c r="L197">
        <f>IF(J197="","", IF(ISNUMBER(SEARCH("Critical", J197)), "CRITICAL FAIL", IF(ISNUMBER(SEARCH("Overdue", J197)), "FAIL", "COMPLIANT")))</f>
        <v/>
      </c>
    </row>
    <row r="198">
      <c r="K198">
        <f>IF(A198="","", IF(OR(SUMIF('Code Violations'!A:A, A198, 'Code Violations'!T:T)&gt;=5, VLOOKUP(A198, 'Master Dashboard'!A:L, 9, FALSE)="FAIL", VLOOKUP(A198, 'Master Dashboard'!A:L, 10, FALSE)="FAIL", ISNUMBER(SEARCH("Critical", J198))), "3-Red", IF(SUMIF('Code Violations'!A:A, A198, 'Code Violations'!T:T)&gt;=1, "2-Yellow", "1-White")))</f>
        <v/>
      </c>
      <c r="L198">
        <f>IF(J198="","", IF(ISNUMBER(SEARCH("Critical", J198)), "CRITICAL FAIL", IF(ISNUMBER(SEARCH("Overdue", J198)), "FAIL", "COMPLIANT")))</f>
        <v/>
      </c>
    </row>
    <row r="199">
      <c r="K199">
        <f>IF(A199="","", IF(OR(SUMIF('Code Violations'!A:A, A199, 'Code Violations'!T:T)&gt;=5, VLOOKUP(A199, 'Master Dashboard'!A:L, 9, FALSE)="FAIL", VLOOKUP(A199, 'Master Dashboard'!A:L, 10, FALSE)="FAIL", ISNUMBER(SEARCH("Critical", J199))), "3-Red", IF(SUMIF('Code Violations'!A:A, A199, 'Code Violations'!T:T)&gt;=1, "2-Yellow", "1-White")))</f>
        <v/>
      </c>
      <c r="L199">
        <f>IF(J199="","", IF(ISNUMBER(SEARCH("Critical", J199)), "CRITICAL FAIL", IF(ISNUMBER(SEARCH("Overdue", J199)), "FAIL", "COMPLIANT")))</f>
        <v/>
      </c>
    </row>
    <row r="200">
      <c r="K200">
        <f>IF(A200="","", IF(OR(SUMIF('Code Violations'!A:A, A200, 'Code Violations'!T:T)&gt;=5, VLOOKUP(A200, 'Master Dashboard'!A:L, 9, FALSE)="FAIL", VLOOKUP(A200, 'Master Dashboard'!A:L, 10, FALSE)="FAIL", ISNUMBER(SEARCH("Critical", J200))), "3-Red", IF(SUMIF('Code Violations'!A:A, A200, 'Code Violations'!T:T)&gt;=1, "2-Yellow", "1-White")))</f>
        <v/>
      </c>
      <c r="L200">
        <f>IF(J200="","", IF(ISNUMBER(SEARCH("Critical", J200)), "CRITICAL FAIL", IF(ISNUMBER(SEARCH("Overdue", J200)), "FAIL", "COMPLIANT")))</f>
        <v/>
      </c>
    </row>
    <row r="201">
      <c r="K201">
        <f>IF(A201="","", IF(OR(SUMIF('Code Violations'!A:A, A201, 'Code Violations'!T:T)&gt;=5, VLOOKUP(A201, 'Master Dashboard'!A:L, 9, FALSE)="FAIL", VLOOKUP(A201, 'Master Dashboard'!A:L, 10, FALSE)="FAIL", ISNUMBER(SEARCH("Critical", J201))), "3-Red", IF(SUMIF('Code Violations'!A:A, A201, 'Code Violations'!T:T)&gt;=1, "2-Yellow", "1-White")))</f>
        <v/>
      </c>
      <c r="L201">
        <f>IF(J201="","", IF(ISNUMBER(SEARCH("Critical", J201)), "CRITICAL FAIL", IF(ISNUMBER(SEARCH("Overdue", J201)), "FAIL", "COMPLIANT")))</f>
        <v/>
      </c>
    </row>
    <row r="202">
      <c r="K202">
        <f>IF(A202="","", IF(OR(SUMIF('Code Violations'!A:A, A202, 'Code Violations'!T:T)&gt;=5, VLOOKUP(A202, 'Master Dashboard'!A:L, 9, FALSE)="FAIL", VLOOKUP(A202, 'Master Dashboard'!A:L, 10, FALSE)="FAIL", ISNUMBER(SEARCH("Critical", J202))), "3-Red", IF(SUMIF('Code Violations'!A:A, A202, 'Code Violations'!T:T)&gt;=1, "2-Yellow", "1-White")))</f>
        <v/>
      </c>
      <c r="L202">
        <f>IF(J202="","", IF(ISNUMBER(SEARCH("Critical", J202)), "CRITICAL FAIL", IF(ISNUMBER(SEARCH("Overdue", J202)), "FAIL", "COMPLIANT")))</f>
        <v/>
      </c>
    </row>
    <row r="203">
      <c r="K203">
        <f>IF(A203="","", IF(OR(SUMIF('Code Violations'!A:A, A203, 'Code Violations'!T:T)&gt;=5, VLOOKUP(A203, 'Master Dashboard'!A:L, 9, FALSE)="FAIL", VLOOKUP(A203, 'Master Dashboard'!A:L, 10, FALSE)="FAIL", ISNUMBER(SEARCH("Critical", J203))), "3-Red", IF(SUMIF('Code Violations'!A:A, A203, 'Code Violations'!T:T)&gt;=1, "2-Yellow", "1-White")))</f>
        <v/>
      </c>
      <c r="L203">
        <f>IF(J203="","", IF(ISNUMBER(SEARCH("Critical", J203)), "CRITICAL FAIL", IF(ISNUMBER(SEARCH("Overdue", J203)), "FAIL", "COMPLIANT")))</f>
        <v/>
      </c>
    </row>
    <row r="204">
      <c r="K204">
        <f>IF(A204="","", IF(OR(SUMIF('Code Violations'!A:A, A204, 'Code Violations'!T:T)&gt;=5, VLOOKUP(A204, 'Master Dashboard'!A:L, 9, FALSE)="FAIL", VLOOKUP(A204, 'Master Dashboard'!A:L, 10, FALSE)="FAIL", ISNUMBER(SEARCH("Critical", J204))), "3-Red", IF(SUMIF('Code Violations'!A:A, A204, 'Code Violations'!T:T)&gt;=1, "2-Yellow", "1-White")))</f>
        <v/>
      </c>
      <c r="L204">
        <f>IF(J204="","", IF(ISNUMBER(SEARCH("Critical", J204)), "CRITICAL FAIL", IF(ISNUMBER(SEARCH("Overdue", J204)), "FAIL", "COMPLIANT")))</f>
        <v/>
      </c>
    </row>
    <row r="205">
      <c r="K205">
        <f>IF(A205="","", IF(OR(SUMIF('Code Violations'!A:A, A205, 'Code Violations'!T:T)&gt;=5, VLOOKUP(A205, 'Master Dashboard'!A:L, 9, FALSE)="FAIL", VLOOKUP(A205, 'Master Dashboard'!A:L, 10, FALSE)="FAIL", ISNUMBER(SEARCH("Critical", J205))), "3-Red", IF(SUMIF('Code Violations'!A:A, A205, 'Code Violations'!T:T)&gt;=1, "2-Yellow", "1-White")))</f>
        <v/>
      </c>
      <c r="L205">
        <f>IF(J205="","", IF(ISNUMBER(SEARCH("Critical", J205)), "CRITICAL FAIL", IF(ISNUMBER(SEARCH("Overdue", J205)), "FAIL", "COMPLIANT")))</f>
        <v/>
      </c>
    </row>
    <row r="206">
      <c r="K206">
        <f>IF(A206="","", IF(OR(SUMIF('Code Violations'!A:A, A206, 'Code Violations'!T:T)&gt;=5, VLOOKUP(A206, 'Master Dashboard'!A:L, 9, FALSE)="FAIL", VLOOKUP(A206, 'Master Dashboard'!A:L, 10, FALSE)="FAIL", ISNUMBER(SEARCH("Critical", J206))), "3-Red", IF(SUMIF('Code Violations'!A:A, A206, 'Code Violations'!T:T)&gt;=1, "2-Yellow", "1-White")))</f>
        <v/>
      </c>
      <c r="L206">
        <f>IF(J206="","", IF(ISNUMBER(SEARCH("Critical", J206)), "CRITICAL FAIL", IF(ISNUMBER(SEARCH("Overdue", J206)), "FAIL", "COMPLIANT")))</f>
        <v/>
      </c>
    </row>
    <row r="207">
      <c r="K207">
        <f>IF(A207="","", IF(OR(SUMIF('Code Violations'!A:A, A207, 'Code Violations'!T:T)&gt;=5, VLOOKUP(A207, 'Master Dashboard'!A:L, 9, FALSE)="FAIL", VLOOKUP(A207, 'Master Dashboard'!A:L, 10, FALSE)="FAIL", ISNUMBER(SEARCH("Critical", J207))), "3-Red", IF(SUMIF('Code Violations'!A:A, A207, 'Code Violations'!T:T)&gt;=1, "2-Yellow", "1-White")))</f>
        <v/>
      </c>
      <c r="L207">
        <f>IF(J207="","", IF(ISNUMBER(SEARCH("Critical", J207)), "CRITICAL FAIL", IF(ISNUMBER(SEARCH("Overdue", J207)), "FAIL", "COMPLIANT")))</f>
        <v/>
      </c>
    </row>
    <row r="208">
      <c r="K208">
        <f>IF(A208="","", IF(OR(SUMIF('Code Violations'!A:A, A208, 'Code Violations'!T:T)&gt;=5, VLOOKUP(A208, 'Master Dashboard'!A:L, 9, FALSE)="FAIL", VLOOKUP(A208, 'Master Dashboard'!A:L, 10, FALSE)="FAIL", ISNUMBER(SEARCH("Critical", J208))), "3-Red", IF(SUMIF('Code Violations'!A:A, A208, 'Code Violations'!T:T)&gt;=1, "2-Yellow", "1-White")))</f>
        <v/>
      </c>
      <c r="L208">
        <f>IF(J208="","", IF(ISNUMBER(SEARCH("Critical", J208)), "CRITICAL FAIL", IF(ISNUMBER(SEARCH("Overdue", J208)), "FAIL", "COMPLIANT")))</f>
        <v/>
      </c>
    </row>
    <row r="209">
      <c r="K209">
        <f>IF(A209="","", IF(OR(SUMIF('Code Violations'!A:A, A209, 'Code Violations'!T:T)&gt;=5, VLOOKUP(A209, 'Master Dashboard'!A:L, 9, FALSE)="FAIL", VLOOKUP(A209, 'Master Dashboard'!A:L, 10, FALSE)="FAIL", ISNUMBER(SEARCH("Critical", J209))), "3-Red", IF(SUMIF('Code Violations'!A:A, A209, 'Code Violations'!T:T)&gt;=1, "2-Yellow", "1-White")))</f>
        <v/>
      </c>
      <c r="L209">
        <f>IF(J209="","", IF(ISNUMBER(SEARCH("Critical", J209)), "CRITICAL FAIL", IF(ISNUMBER(SEARCH("Overdue", J209)), "FAIL", "COMPLIANT")))</f>
        <v/>
      </c>
    </row>
    <row r="210">
      <c r="K210">
        <f>IF(A210="","", IF(OR(SUMIF('Code Violations'!A:A, A210, 'Code Violations'!T:T)&gt;=5, VLOOKUP(A210, 'Master Dashboard'!A:L, 9, FALSE)="FAIL", VLOOKUP(A210, 'Master Dashboard'!A:L, 10, FALSE)="FAIL", ISNUMBER(SEARCH("Critical", J210))), "3-Red", IF(SUMIF('Code Violations'!A:A, A210, 'Code Violations'!T:T)&gt;=1, "2-Yellow", "1-White")))</f>
        <v/>
      </c>
      <c r="L210">
        <f>IF(J210="","", IF(ISNUMBER(SEARCH("Critical", J210)), "CRITICAL FAIL", IF(ISNUMBER(SEARCH("Overdue", J210)), "FAIL", "COMPLIANT")))</f>
        <v/>
      </c>
    </row>
    <row r="211">
      <c r="K211">
        <f>IF(A211="","", IF(OR(SUMIF('Code Violations'!A:A, A211, 'Code Violations'!T:T)&gt;=5, VLOOKUP(A211, 'Master Dashboard'!A:L, 9, FALSE)="FAIL", VLOOKUP(A211, 'Master Dashboard'!A:L, 10, FALSE)="FAIL", ISNUMBER(SEARCH("Critical", J211))), "3-Red", IF(SUMIF('Code Violations'!A:A, A211, 'Code Violations'!T:T)&gt;=1, "2-Yellow", "1-White")))</f>
        <v/>
      </c>
      <c r="L211">
        <f>IF(J211="","", IF(ISNUMBER(SEARCH("Critical", J211)), "CRITICAL FAIL", IF(ISNUMBER(SEARCH("Overdue", J211)), "FAIL", "COMPLIANT")))</f>
        <v/>
      </c>
    </row>
    <row r="212">
      <c r="K212">
        <f>IF(A212="","", IF(OR(SUMIF('Code Violations'!A:A, A212, 'Code Violations'!T:T)&gt;=5, VLOOKUP(A212, 'Master Dashboard'!A:L, 9, FALSE)="FAIL", VLOOKUP(A212, 'Master Dashboard'!A:L, 10, FALSE)="FAIL", ISNUMBER(SEARCH("Critical", J212))), "3-Red", IF(SUMIF('Code Violations'!A:A, A212, 'Code Violations'!T:T)&gt;=1, "2-Yellow", "1-White")))</f>
        <v/>
      </c>
      <c r="L212">
        <f>IF(J212="","", IF(ISNUMBER(SEARCH("Critical", J212)), "CRITICAL FAIL", IF(ISNUMBER(SEARCH("Overdue", J212)), "FAIL", "COMPLIANT")))</f>
        <v/>
      </c>
    </row>
    <row r="213">
      <c r="K213">
        <f>IF(A213="","", IF(OR(SUMIF('Code Violations'!A:A, A213, 'Code Violations'!T:T)&gt;=5, VLOOKUP(A213, 'Master Dashboard'!A:L, 9, FALSE)="FAIL", VLOOKUP(A213, 'Master Dashboard'!A:L, 10, FALSE)="FAIL", ISNUMBER(SEARCH("Critical", J213))), "3-Red", IF(SUMIF('Code Violations'!A:A, A213, 'Code Violations'!T:T)&gt;=1, "2-Yellow", "1-White")))</f>
        <v/>
      </c>
      <c r="L213">
        <f>IF(J213="","", IF(ISNUMBER(SEARCH("Critical", J213)), "CRITICAL FAIL", IF(ISNUMBER(SEARCH("Overdue", J213)), "FAIL", "COMPLIANT")))</f>
        <v/>
      </c>
    </row>
    <row r="214">
      <c r="K214">
        <f>IF(A214="","", IF(OR(SUMIF('Code Violations'!A:A, A214, 'Code Violations'!T:T)&gt;=5, VLOOKUP(A214, 'Master Dashboard'!A:L, 9, FALSE)="FAIL", VLOOKUP(A214, 'Master Dashboard'!A:L, 10, FALSE)="FAIL", ISNUMBER(SEARCH("Critical", J214))), "3-Red", IF(SUMIF('Code Violations'!A:A, A214, 'Code Violations'!T:T)&gt;=1, "2-Yellow", "1-White")))</f>
        <v/>
      </c>
      <c r="L214">
        <f>IF(J214="","", IF(ISNUMBER(SEARCH("Critical", J214)), "CRITICAL FAIL", IF(ISNUMBER(SEARCH("Overdue", J214)), "FAIL", "COMPLIANT")))</f>
        <v/>
      </c>
    </row>
    <row r="215">
      <c r="K215">
        <f>IF(A215="","", IF(OR(SUMIF('Code Violations'!A:A, A215, 'Code Violations'!T:T)&gt;=5, VLOOKUP(A215, 'Master Dashboard'!A:L, 9, FALSE)="FAIL", VLOOKUP(A215, 'Master Dashboard'!A:L, 10, FALSE)="FAIL", ISNUMBER(SEARCH("Critical", J215))), "3-Red", IF(SUMIF('Code Violations'!A:A, A215, 'Code Violations'!T:T)&gt;=1, "2-Yellow", "1-White")))</f>
        <v/>
      </c>
      <c r="L215">
        <f>IF(J215="","", IF(ISNUMBER(SEARCH("Critical", J215)), "CRITICAL FAIL", IF(ISNUMBER(SEARCH("Overdue", J215)), "FAIL", "COMPLIANT")))</f>
        <v/>
      </c>
    </row>
    <row r="216">
      <c r="K216">
        <f>IF(A216="","", IF(OR(SUMIF('Code Violations'!A:A, A216, 'Code Violations'!T:T)&gt;=5, VLOOKUP(A216, 'Master Dashboard'!A:L, 9, FALSE)="FAIL", VLOOKUP(A216, 'Master Dashboard'!A:L, 10, FALSE)="FAIL", ISNUMBER(SEARCH("Critical", J216))), "3-Red", IF(SUMIF('Code Violations'!A:A, A216, 'Code Violations'!T:T)&gt;=1, "2-Yellow", "1-White")))</f>
        <v/>
      </c>
      <c r="L216">
        <f>IF(J216="","", IF(ISNUMBER(SEARCH("Critical", J216)), "CRITICAL FAIL", IF(ISNUMBER(SEARCH("Overdue", J216)), "FAIL", "COMPLIANT")))</f>
        <v/>
      </c>
    </row>
    <row r="217">
      <c r="K217">
        <f>IF(A217="","", IF(OR(SUMIF('Code Violations'!A:A, A217, 'Code Violations'!T:T)&gt;=5, VLOOKUP(A217, 'Master Dashboard'!A:L, 9, FALSE)="FAIL", VLOOKUP(A217, 'Master Dashboard'!A:L, 10, FALSE)="FAIL", ISNUMBER(SEARCH("Critical", J217))), "3-Red", IF(SUMIF('Code Violations'!A:A, A217, 'Code Violations'!T:T)&gt;=1, "2-Yellow", "1-White")))</f>
        <v/>
      </c>
      <c r="L217">
        <f>IF(J217="","", IF(ISNUMBER(SEARCH("Critical", J217)), "CRITICAL FAIL", IF(ISNUMBER(SEARCH("Overdue", J217)), "FAIL", "COMPLIANT")))</f>
        <v/>
      </c>
    </row>
    <row r="218">
      <c r="K218">
        <f>IF(A218="","", IF(OR(SUMIF('Code Violations'!A:A, A218, 'Code Violations'!T:T)&gt;=5, VLOOKUP(A218, 'Master Dashboard'!A:L, 9, FALSE)="FAIL", VLOOKUP(A218, 'Master Dashboard'!A:L, 10, FALSE)="FAIL", ISNUMBER(SEARCH("Critical", J218))), "3-Red", IF(SUMIF('Code Violations'!A:A, A218, 'Code Violations'!T:T)&gt;=1, "2-Yellow", "1-White")))</f>
        <v/>
      </c>
      <c r="L218">
        <f>IF(J218="","", IF(ISNUMBER(SEARCH("Critical", J218)), "CRITICAL FAIL", IF(ISNUMBER(SEARCH("Overdue", J218)), "FAIL", "COMPLIANT")))</f>
        <v/>
      </c>
    </row>
    <row r="219">
      <c r="K219">
        <f>IF(A219="","", IF(OR(SUMIF('Code Violations'!A:A, A219, 'Code Violations'!T:T)&gt;=5, VLOOKUP(A219, 'Master Dashboard'!A:L, 9, FALSE)="FAIL", VLOOKUP(A219, 'Master Dashboard'!A:L, 10, FALSE)="FAIL", ISNUMBER(SEARCH("Critical", J219))), "3-Red", IF(SUMIF('Code Violations'!A:A, A219, 'Code Violations'!T:T)&gt;=1, "2-Yellow", "1-White")))</f>
        <v/>
      </c>
      <c r="L219">
        <f>IF(J219="","", IF(ISNUMBER(SEARCH("Critical", J219)), "CRITICAL FAIL", IF(ISNUMBER(SEARCH("Overdue", J219)), "FAIL", "COMPLIANT")))</f>
        <v/>
      </c>
    </row>
    <row r="220">
      <c r="K220">
        <f>IF(A220="","", IF(OR(SUMIF('Code Violations'!A:A, A220, 'Code Violations'!T:T)&gt;=5, VLOOKUP(A220, 'Master Dashboard'!A:L, 9, FALSE)="FAIL", VLOOKUP(A220, 'Master Dashboard'!A:L, 10, FALSE)="FAIL", ISNUMBER(SEARCH("Critical", J220))), "3-Red", IF(SUMIF('Code Violations'!A:A, A220, 'Code Violations'!T:T)&gt;=1, "2-Yellow", "1-White")))</f>
        <v/>
      </c>
      <c r="L220">
        <f>IF(J220="","", IF(ISNUMBER(SEARCH("Critical", J220)), "CRITICAL FAIL", IF(ISNUMBER(SEARCH("Overdue", J220)), "FAIL", "COMPLIANT")))</f>
        <v/>
      </c>
    </row>
    <row r="221">
      <c r="K221">
        <f>IF(A221="","", IF(OR(SUMIF('Code Violations'!A:A, A221, 'Code Violations'!T:T)&gt;=5, VLOOKUP(A221, 'Master Dashboard'!A:L, 9, FALSE)="FAIL", VLOOKUP(A221, 'Master Dashboard'!A:L, 10, FALSE)="FAIL", ISNUMBER(SEARCH("Critical", J221))), "3-Red", IF(SUMIF('Code Violations'!A:A, A221, 'Code Violations'!T:T)&gt;=1, "2-Yellow", "1-White")))</f>
        <v/>
      </c>
      <c r="L221">
        <f>IF(J221="","", IF(ISNUMBER(SEARCH("Critical", J221)), "CRITICAL FAIL", IF(ISNUMBER(SEARCH("Overdue", J221)), "FAIL", "COMPLIANT")))</f>
        <v/>
      </c>
    </row>
    <row r="222">
      <c r="K222">
        <f>IF(A222="","", IF(OR(SUMIF('Code Violations'!A:A, A222, 'Code Violations'!T:T)&gt;=5, VLOOKUP(A222, 'Master Dashboard'!A:L, 9, FALSE)="FAIL", VLOOKUP(A222, 'Master Dashboard'!A:L, 10, FALSE)="FAIL", ISNUMBER(SEARCH("Critical", J222))), "3-Red", IF(SUMIF('Code Violations'!A:A, A222, 'Code Violations'!T:T)&gt;=1, "2-Yellow", "1-White")))</f>
        <v/>
      </c>
      <c r="L222">
        <f>IF(J222="","", IF(ISNUMBER(SEARCH("Critical", J222)), "CRITICAL FAIL", IF(ISNUMBER(SEARCH("Overdue", J222)), "FAIL", "COMPLIANT")))</f>
        <v/>
      </c>
    </row>
    <row r="223">
      <c r="K223">
        <f>IF(A223="","", IF(OR(SUMIF('Code Violations'!A:A, A223, 'Code Violations'!T:T)&gt;=5, VLOOKUP(A223, 'Master Dashboard'!A:L, 9, FALSE)="FAIL", VLOOKUP(A223, 'Master Dashboard'!A:L, 10, FALSE)="FAIL", ISNUMBER(SEARCH("Critical", J223))), "3-Red", IF(SUMIF('Code Violations'!A:A, A223, 'Code Violations'!T:T)&gt;=1, "2-Yellow", "1-White")))</f>
        <v/>
      </c>
      <c r="L223">
        <f>IF(J223="","", IF(ISNUMBER(SEARCH("Critical", J223)), "CRITICAL FAIL", IF(ISNUMBER(SEARCH("Overdue", J223)), "FAIL", "COMPLIANT")))</f>
        <v/>
      </c>
    </row>
    <row r="224">
      <c r="K224">
        <f>IF(A224="","", IF(OR(SUMIF('Code Violations'!A:A, A224, 'Code Violations'!T:T)&gt;=5, VLOOKUP(A224, 'Master Dashboard'!A:L, 9, FALSE)="FAIL", VLOOKUP(A224, 'Master Dashboard'!A:L, 10, FALSE)="FAIL", ISNUMBER(SEARCH("Critical", J224))), "3-Red", IF(SUMIF('Code Violations'!A:A, A224, 'Code Violations'!T:T)&gt;=1, "2-Yellow", "1-White")))</f>
        <v/>
      </c>
      <c r="L224">
        <f>IF(J224="","", IF(ISNUMBER(SEARCH("Critical", J224)), "CRITICAL FAIL", IF(ISNUMBER(SEARCH("Overdue", J224)), "FAIL", "COMPLIANT")))</f>
        <v/>
      </c>
    </row>
    <row r="225">
      <c r="K225">
        <f>IF(A225="","", IF(OR(SUMIF('Code Violations'!A:A, A225, 'Code Violations'!T:T)&gt;=5, VLOOKUP(A225, 'Master Dashboard'!A:L, 9, FALSE)="FAIL", VLOOKUP(A225, 'Master Dashboard'!A:L, 10, FALSE)="FAIL", ISNUMBER(SEARCH("Critical", J225))), "3-Red", IF(SUMIF('Code Violations'!A:A, A225, 'Code Violations'!T:T)&gt;=1, "2-Yellow", "1-White")))</f>
        <v/>
      </c>
      <c r="L225">
        <f>IF(J225="","", IF(ISNUMBER(SEARCH("Critical", J225)), "CRITICAL FAIL", IF(ISNUMBER(SEARCH("Overdue", J225)), "FAIL", "COMPLIANT")))</f>
        <v/>
      </c>
    </row>
    <row r="226">
      <c r="K226">
        <f>IF(A226="","", IF(OR(SUMIF('Code Violations'!A:A, A226, 'Code Violations'!T:T)&gt;=5, VLOOKUP(A226, 'Master Dashboard'!A:L, 9, FALSE)="FAIL", VLOOKUP(A226, 'Master Dashboard'!A:L, 10, FALSE)="FAIL", ISNUMBER(SEARCH("Critical", J226))), "3-Red", IF(SUMIF('Code Violations'!A:A, A226, 'Code Violations'!T:T)&gt;=1, "2-Yellow", "1-White")))</f>
        <v/>
      </c>
      <c r="L226">
        <f>IF(J226="","", IF(ISNUMBER(SEARCH("Critical", J226)), "CRITICAL FAIL", IF(ISNUMBER(SEARCH("Overdue", J226)), "FAIL", "COMPLIANT")))</f>
        <v/>
      </c>
    </row>
    <row r="227">
      <c r="K227">
        <f>IF(A227="","", IF(OR(SUMIF('Code Violations'!A:A, A227, 'Code Violations'!T:T)&gt;=5, VLOOKUP(A227, 'Master Dashboard'!A:L, 9, FALSE)="FAIL", VLOOKUP(A227, 'Master Dashboard'!A:L, 10, FALSE)="FAIL", ISNUMBER(SEARCH("Critical", J227))), "3-Red", IF(SUMIF('Code Violations'!A:A, A227, 'Code Violations'!T:T)&gt;=1, "2-Yellow", "1-White")))</f>
        <v/>
      </c>
      <c r="L227">
        <f>IF(J227="","", IF(ISNUMBER(SEARCH("Critical", J227)), "CRITICAL FAIL", IF(ISNUMBER(SEARCH("Overdue", J227)), "FAIL", "COMPLIANT")))</f>
        <v/>
      </c>
    </row>
    <row r="228">
      <c r="K228">
        <f>IF(A228="","", IF(OR(SUMIF('Code Violations'!A:A, A228, 'Code Violations'!T:T)&gt;=5, VLOOKUP(A228, 'Master Dashboard'!A:L, 9, FALSE)="FAIL", VLOOKUP(A228, 'Master Dashboard'!A:L, 10, FALSE)="FAIL", ISNUMBER(SEARCH("Critical", J228))), "3-Red", IF(SUMIF('Code Violations'!A:A, A228, 'Code Violations'!T:T)&gt;=1, "2-Yellow", "1-White")))</f>
        <v/>
      </c>
      <c r="L228">
        <f>IF(J228="","", IF(ISNUMBER(SEARCH("Critical", J228)), "CRITICAL FAIL", IF(ISNUMBER(SEARCH("Overdue", J228)), "FAIL", "COMPLIANT")))</f>
        <v/>
      </c>
    </row>
    <row r="229">
      <c r="K229">
        <f>IF(A229="","", IF(OR(SUMIF('Code Violations'!A:A, A229, 'Code Violations'!T:T)&gt;=5, VLOOKUP(A229, 'Master Dashboard'!A:L, 9, FALSE)="FAIL", VLOOKUP(A229, 'Master Dashboard'!A:L, 10, FALSE)="FAIL", ISNUMBER(SEARCH("Critical", J229))), "3-Red", IF(SUMIF('Code Violations'!A:A, A229, 'Code Violations'!T:T)&gt;=1, "2-Yellow", "1-White")))</f>
        <v/>
      </c>
      <c r="L229">
        <f>IF(J229="","", IF(ISNUMBER(SEARCH("Critical", J229)), "CRITICAL FAIL", IF(ISNUMBER(SEARCH("Overdue", J229)), "FAIL", "COMPLIANT")))</f>
        <v/>
      </c>
    </row>
    <row r="230">
      <c r="K230">
        <f>IF(A230="","", IF(OR(SUMIF('Code Violations'!A:A, A230, 'Code Violations'!T:T)&gt;=5, VLOOKUP(A230, 'Master Dashboard'!A:L, 9, FALSE)="FAIL", VLOOKUP(A230, 'Master Dashboard'!A:L, 10, FALSE)="FAIL", ISNUMBER(SEARCH("Critical", J230))), "3-Red", IF(SUMIF('Code Violations'!A:A, A230, 'Code Violations'!T:T)&gt;=1, "2-Yellow", "1-White")))</f>
        <v/>
      </c>
      <c r="L230">
        <f>IF(J230="","", IF(ISNUMBER(SEARCH("Critical", J230)), "CRITICAL FAIL", IF(ISNUMBER(SEARCH("Overdue", J230)), "FAIL", "COMPLIANT")))</f>
        <v/>
      </c>
    </row>
    <row r="231">
      <c r="K231">
        <f>IF(A231="","", IF(OR(SUMIF('Code Violations'!A:A, A231, 'Code Violations'!T:T)&gt;=5, VLOOKUP(A231, 'Master Dashboard'!A:L, 9, FALSE)="FAIL", VLOOKUP(A231, 'Master Dashboard'!A:L, 10, FALSE)="FAIL", ISNUMBER(SEARCH("Critical", J231))), "3-Red", IF(SUMIF('Code Violations'!A:A, A231, 'Code Violations'!T:T)&gt;=1, "2-Yellow", "1-White")))</f>
        <v/>
      </c>
      <c r="L231">
        <f>IF(J231="","", IF(ISNUMBER(SEARCH("Critical", J231)), "CRITICAL FAIL", IF(ISNUMBER(SEARCH("Overdue", J231)), "FAIL", "COMPLIANT")))</f>
        <v/>
      </c>
    </row>
    <row r="232">
      <c r="K232">
        <f>IF(A232="","", IF(OR(SUMIF('Code Violations'!A:A, A232, 'Code Violations'!T:T)&gt;=5, VLOOKUP(A232, 'Master Dashboard'!A:L, 9, FALSE)="FAIL", VLOOKUP(A232, 'Master Dashboard'!A:L, 10, FALSE)="FAIL", ISNUMBER(SEARCH("Critical", J232))), "3-Red", IF(SUMIF('Code Violations'!A:A, A232, 'Code Violations'!T:T)&gt;=1, "2-Yellow", "1-White")))</f>
        <v/>
      </c>
      <c r="L232">
        <f>IF(J232="","", IF(ISNUMBER(SEARCH("Critical", J232)), "CRITICAL FAIL", IF(ISNUMBER(SEARCH("Overdue", J232)), "FAIL", "COMPLIANT")))</f>
        <v/>
      </c>
    </row>
    <row r="233">
      <c r="K233">
        <f>IF(A233="","", IF(OR(SUMIF('Code Violations'!A:A, A233, 'Code Violations'!T:T)&gt;=5, VLOOKUP(A233, 'Master Dashboard'!A:L, 9, FALSE)="FAIL", VLOOKUP(A233, 'Master Dashboard'!A:L, 10, FALSE)="FAIL", ISNUMBER(SEARCH("Critical", J233))), "3-Red", IF(SUMIF('Code Violations'!A:A, A233, 'Code Violations'!T:T)&gt;=1, "2-Yellow", "1-White")))</f>
        <v/>
      </c>
      <c r="L233">
        <f>IF(J233="","", IF(ISNUMBER(SEARCH("Critical", J233)), "CRITICAL FAIL", IF(ISNUMBER(SEARCH("Overdue", J233)), "FAIL", "COMPLIANT")))</f>
        <v/>
      </c>
    </row>
    <row r="234">
      <c r="K234">
        <f>IF(A234="","", IF(OR(SUMIF('Code Violations'!A:A, A234, 'Code Violations'!T:T)&gt;=5, VLOOKUP(A234, 'Master Dashboard'!A:L, 9, FALSE)="FAIL", VLOOKUP(A234, 'Master Dashboard'!A:L, 10, FALSE)="FAIL", ISNUMBER(SEARCH("Critical", J234))), "3-Red", IF(SUMIF('Code Violations'!A:A, A234, 'Code Violations'!T:T)&gt;=1, "2-Yellow", "1-White")))</f>
        <v/>
      </c>
      <c r="L234">
        <f>IF(J234="","", IF(ISNUMBER(SEARCH("Critical", J234)), "CRITICAL FAIL", IF(ISNUMBER(SEARCH("Overdue", J234)), "FAIL", "COMPLIANT")))</f>
        <v/>
      </c>
    </row>
    <row r="235">
      <c r="K235">
        <f>IF(A235="","", IF(OR(SUMIF('Code Violations'!A:A, A235, 'Code Violations'!T:T)&gt;=5, VLOOKUP(A235, 'Master Dashboard'!A:L, 9, FALSE)="FAIL", VLOOKUP(A235, 'Master Dashboard'!A:L, 10, FALSE)="FAIL", ISNUMBER(SEARCH("Critical", J235))), "3-Red", IF(SUMIF('Code Violations'!A:A, A235, 'Code Violations'!T:T)&gt;=1, "2-Yellow", "1-White")))</f>
        <v/>
      </c>
      <c r="L235">
        <f>IF(J235="","", IF(ISNUMBER(SEARCH("Critical", J235)), "CRITICAL FAIL", IF(ISNUMBER(SEARCH("Overdue", J235)), "FAIL", "COMPLIANT")))</f>
        <v/>
      </c>
    </row>
    <row r="236">
      <c r="K236">
        <f>IF(A236="","", IF(OR(SUMIF('Code Violations'!A:A, A236, 'Code Violations'!T:T)&gt;=5, VLOOKUP(A236, 'Master Dashboard'!A:L, 9, FALSE)="FAIL", VLOOKUP(A236, 'Master Dashboard'!A:L, 10, FALSE)="FAIL", ISNUMBER(SEARCH("Critical", J236))), "3-Red", IF(SUMIF('Code Violations'!A:A, A236, 'Code Violations'!T:T)&gt;=1, "2-Yellow", "1-White")))</f>
        <v/>
      </c>
      <c r="L236">
        <f>IF(J236="","", IF(ISNUMBER(SEARCH("Critical", J236)), "CRITICAL FAIL", IF(ISNUMBER(SEARCH("Overdue", J236)), "FAIL", "COMPLIANT")))</f>
        <v/>
      </c>
    </row>
    <row r="237">
      <c r="K237">
        <f>IF(A237="","", IF(OR(SUMIF('Code Violations'!A:A, A237, 'Code Violations'!T:T)&gt;=5, VLOOKUP(A237, 'Master Dashboard'!A:L, 9, FALSE)="FAIL", VLOOKUP(A237, 'Master Dashboard'!A:L, 10, FALSE)="FAIL", ISNUMBER(SEARCH("Critical", J237))), "3-Red", IF(SUMIF('Code Violations'!A:A, A237, 'Code Violations'!T:T)&gt;=1, "2-Yellow", "1-White")))</f>
        <v/>
      </c>
      <c r="L237">
        <f>IF(J237="","", IF(ISNUMBER(SEARCH("Critical", J237)), "CRITICAL FAIL", IF(ISNUMBER(SEARCH("Overdue", J237)), "FAIL", "COMPLIANT")))</f>
        <v/>
      </c>
    </row>
    <row r="238">
      <c r="K238">
        <f>IF(A238="","", IF(OR(SUMIF('Code Violations'!A:A, A238, 'Code Violations'!T:T)&gt;=5, VLOOKUP(A238, 'Master Dashboard'!A:L, 9, FALSE)="FAIL", VLOOKUP(A238, 'Master Dashboard'!A:L, 10, FALSE)="FAIL", ISNUMBER(SEARCH("Critical", J238))), "3-Red", IF(SUMIF('Code Violations'!A:A, A238, 'Code Violations'!T:T)&gt;=1, "2-Yellow", "1-White")))</f>
        <v/>
      </c>
      <c r="L238">
        <f>IF(J238="","", IF(ISNUMBER(SEARCH("Critical", J238)), "CRITICAL FAIL", IF(ISNUMBER(SEARCH("Overdue", J238)), "FAIL", "COMPLIANT")))</f>
        <v/>
      </c>
    </row>
    <row r="239">
      <c r="K239">
        <f>IF(A239="","", IF(OR(SUMIF('Code Violations'!A:A, A239, 'Code Violations'!T:T)&gt;=5, VLOOKUP(A239, 'Master Dashboard'!A:L, 9, FALSE)="FAIL", VLOOKUP(A239, 'Master Dashboard'!A:L, 10, FALSE)="FAIL", ISNUMBER(SEARCH("Critical", J239))), "3-Red", IF(SUMIF('Code Violations'!A:A, A239, 'Code Violations'!T:T)&gt;=1, "2-Yellow", "1-White")))</f>
        <v/>
      </c>
      <c r="L239">
        <f>IF(J239="","", IF(ISNUMBER(SEARCH("Critical", J239)), "CRITICAL FAIL", IF(ISNUMBER(SEARCH("Overdue", J239)), "FAIL", "COMPLIANT")))</f>
        <v/>
      </c>
    </row>
    <row r="240">
      <c r="K240">
        <f>IF(A240="","", IF(OR(SUMIF('Code Violations'!A:A, A240, 'Code Violations'!T:T)&gt;=5, VLOOKUP(A240, 'Master Dashboard'!A:L, 9, FALSE)="FAIL", VLOOKUP(A240, 'Master Dashboard'!A:L, 10, FALSE)="FAIL", ISNUMBER(SEARCH("Critical", J240))), "3-Red", IF(SUMIF('Code Violations'!A:A, A240, 'Code Violations'!T:T)&gt;=1, "2-Yellow", "1-White")))</f>
        <v/>
      </c>
      <c r="L240">
        <f>IF(J240="","", IF(ISNUMBER(SEARCH("Critical", J240)), "CRITICAL FAIL", IF(ISNUMBER(SEARCH("Overdue", J240)), "FAIL", "COMPLIANT")))</f>
        <v/>
      </c>
    </row>
    <row r="241">
      <c r="K241">
        <f>IF(A241="","", IF(OR(SUMIF('Code Violations'!A:A, A241, 'Code Violations'!T:T)&gt;=5, VLOOKUP(A241, 'Master Dashboard'!A:L, 9, FALSE)="FAIL", VLOOKUP(A241, 'Master Dashboard'!A:L, 10, FALSE)="FAIL", ISNUMBER(SEARCH("Critical", J241))), "3-Red", IF(SUMIF('Code Violations'!A:A, A241, 'Code Violations'!T:T)&gt;=1, "2-Yellow", "1-White")))</f>
        <v/>
      </c>
      <c r="L241">
        <f>IF(J241="","", IF(ISNUMBER(SEARCH("Critical", J241)), "CRITICAL FAIL", IF(ISNUMBER(SEARCH("Overdue", J241)), "FAIL", "COMPLIANT")))</f>
        <v/>
      </c>
    </row>
    <row r="242">
      <c r="K242">
        <f>IF(A242="","", IF(OR(SUMIF('Code Violations'!A:A, A242, 'Code Violations'!T:T)&gt;=5, VLOOKUP(A242, 'Master Dashboard'!A:L, 9, FALSE)="FAIL", VLOOKUP(A242, 'Master Dashboard'!A:L, 10, FALSE)="FAIL", ISNUMBER(SEARCH("Critical", J242))), "3-Red", IF(SUMIF('Code Violations'!A:A, A242, 'Code Violations'!T:T)&gt;=1, "2-Yellow", "1-White")))</f>
        <v/>
      </c>
      <c r="L242">
        <f>IF(J242="","", IF(ISNUMBER(SEARCH("Critical", J242)), "CRITICAL FAIL", IF(ISNUMBER(SEARCH("Overdue", J242)), "FAIL", "COMPLIANT")))</f>
        <v/>
      </c>
    </row>
    <row r="243">
      <c r="K243">
        <f>IF(A243="","", IF(OR(SUMIF('Code Violations'!A:A, A243, 'Code Violations'!T:T)&gt;=5, VLOOKUP(A243, 'Master Dashboard'!A:L, 9, FALSE)="FAIL", VLOOKUP(A243, 'Master Dashboard'!A:L, 10, FALSE)="FAIL", ISNUMBER(SEARCH("Critical", J243))), "3-Red", IF(SUMIF('Code Violations'!A:A, A243, 'Code Violations'!T:T)&gt;=1, "2-Yellow", "1-White")))</f>
        <v/>
      </c>
      <c r="L243">
        <f>IF(J243="","", IF(ISNUMBER(SEARCH("Critical", J243)), "CRITICAL FAIL", IF(ISNUMBER(SEARCH("Overdue", J243)), "FAIL", "COMPLIANT")))</f>
        <v/>
      </c>
    </row>
    <row r="244">
      <c r="K244">
        <f>IF(A244="","", IF(OR(SUMIF('Code Violations'!A:A, A244, 'Code Violations'!T:T)&gt;=5, VLOOKUP(A244, 'Master Dashboard'!A:L, 9, FALSE)="FAIL", VLOOKUP(A244, 'Master Dashboard'!A:L, 10, FALSE)="FAIL", ISNUMBER(SEARCH("Critical", J244))), "3-Red", IF(SUMIF('Code Violations'!A:A, A244, 'Code Violations'!T:T)&gt;=1, "2-Yellow", "1-White")))</f>
        <v/>
      </c>
      <c r="L244">
        <f>IF(J244="","", IF(ISNUMBER(SEARCH("Critical", J244)), "CRITICAL FAIL", IF(ISNUMBER(SEARCH("Overdue", J244)), "FAIL", "COMPLIANT")))</f>
        <v/>
      </c>
    </row>
    <row r="245">
      <c r="K245">
        <f>IF(A245="","", IF(OR(SUMIF('Code Violations'!A:A, A245, 'Code Violations'!T:T)&gt;=5, VLOOKUP(A245, 'Master Dashboard'!A:L, 9, FALSE)="FAIL", VLOOKUP(A245, 'Master Dashboard'!A:L, 10, FALSE)="FAIL", ISNUMBER(SEARCH("Critical", J245))), "3-Red", IF(SUMIF('Code Violations'!A:A, A245, 'Code Violations'!T:T)&gt;=1, "2-Yellow", "1-White")))</f>
        <v/>
      </c>
      <c r="L245">
        <f>IF(J245="","", IF(ISNUMBER(SEARCH("Critical", J245)), "CRITICAL FAIL", IF(ISNUMBER(SEARCH("Overdue", J245)), "FAIL", "COMPLIANT")))</f>
        <v/>
      </c>
    </row>
    <row r="246">
      <c r="K246">
        <f>IF(A246="","", IF(OR(SUMIF('Code Violations'!A:A, A246, 'Code Violations'!T:T)&gt;=5, VLOOKUP(A246, 'Master Dashboard'!A:L, 9, FALSE)="FAIL", VLOOKUP(A246, 'Master Dashboard'!A:L, 10, FALSE)="FAIL", ISNUMBER(SEARCH("Critical", J246))), "3-Red", IF(SUMIF('Code Violations'!A:A, A246, 'Code Violations'!T:T)&gt;=1, "2-Yellow", "1-White")))</f>
        <v/>
      </c>
      <c r="L246">
        <f>IF(J246="","", IF(ISNUMBER(SEARCH("Critical", J246)), "CRITICAL FAIL", IF(ISNUMBER(SEARCH("Overdue", J246)), "FAIL", "COMPLIANT")))</f>
        <v/>
      </c>
    </row>
    <row r="247">
      <c r="K247">
        <f>IF(A247="","", IF(OR(SUMIF('Code Violations'!A:A, A247, 'Code Violations'!T:T)&gt;=5, VLOOKUP(A247, 'Master Dashboard'!A:L, 9, FALSE)="FAIL", VLOOKUP(A247, 'Master Dashboard'!A:L, 10, FALSE)="FAIL", ISNUMBER(SEARCH("Critical", J247))), "3-Red", IF(SUMIF('Code Violations'!A:A, A247, 'Code Violations'!T:T)&gt;=1, "2-Yellow", "1-White")))</f>
        <v/>
      </c>
      <c r="L247">
        <f>IF(J247="","", IF(ISNUMBER(SEARCH("Critical", J247)), "CRITICAL FAIL", IF(ISNUMBER(SEARCH("Overdue", J247)), "FAIL", "COMPLIANT")))</f>
        <v/>
      </c>
    </row>
    <row r="248">
      <c r="K248">
        <f>IF(A248="","", IF(OR(SUMIF('Code Violations'!A:A, A248, 'Code Violations'!T:T)&gt;=5, VLOOKUP(A248, 'Master Dashboard'!A:L, 9, FALSE)="FAIL", VLOOKUP(A248, 'Master Dashboard'!A:L, 10, FALSE)="FAIL", ISNUMBER(SEARCH("Critical", J248))), "3-Red", IF(SUMIF('Code Violations'!A:A, A248, 'Code Violations'!T:T)&gt;=1, "2-Yellow", "1-White")))</f>
        <v/>
      </c>
      <c r="L248">
        <f>IF(J248="","", IF(ISNUMBER(SEARCH("Critical", J248)), "CRITICAL FAIL", IF(ISNUMBER(SEARCH("Overdue", J248)), "FAIL", "COMPLIANT")))</f>
        <v/>
      </c>
    </row>
    <row r="249">
      <c r="K249">
        <f>IF(A249="","", IF(OR(SUMIF('Code Violations'!A:A, A249, 'Code Violations'!T:T)&gt;=5, VLOOKUP(A249, 'Master Dashboard'!A:L, 9, FALSE)="FAIL", VLOOKUP(A249, 'Master Dashboard'!A:L, 10, FALSE)="FAIL", ISNUMBER(SEARCH("Critical", J249))), "3-Red", IF(SUMIF('Code Violations'!A:A, A249, 'Code Violations'!T:T)&gt;=1, "2-Yellow", "1-White")))</f>
        <v/>
      </c>
      <c r="L249">
        <f>IF(J249="","", IF(ISNUMBER(SEARCH("Critical", J249)), "CRITICAL FAIL", IF(ISNUMBER(SEARCH("Overdue", J249)), "FAIL", "COMPLIANT")))</f>
        <v/>
      </c>
    </row>
    <row r="250">
      <c r="K250">
        <f>IF(A250="","", IF(OR(SUMIF('Code Violations'!A:A, A250, 'Code Violations'!T:T)&gt;=5, VLOOKUP(A250, 'Master Dashboard'!A:L, 9, FALSE)="FAIL", VLOOKUP(A250, 'Master Dashboard'!A:L, 10, FALSE)="FAIL", ISNUMBER(SEARCH("Critical", J250))), "3-Red", IF(SUMIF('Code Violations'!A:A, A250, 'Code Violations'!T:T)&gt;=1, "2-Yellow", "1-White")))</f>
        <v/>
      </c>
      <c r="L250">
        <f>IF(J250="","", IF(ISNUMBER(SEARCH("Critical", J250)), "CRITICAL FAIL", IF(ISNUMBER(SEARCH("Overdue", J250)), "FAIL", "COMPLIANT")))</f>
        <v/>
      </c>
    </row>
    <row r="251">
      <c r="K251">
        <f>IF(A251="","", IF(OR(SUMIF('Code Violations'!A:A, A251, 'Code Violations'!T:T)&gt;=5, VLOOKUP(A251, 'Master Dashboard'!A:L, 9, FALSE)="FAIL", VLOOKUP(A251, 'Master Dashboard'!A:L, 10, FALSE)="FAIL", ISNUMBER(SEARCH("Critical", J251))), "3-Red", IF(SUMIF('Code Violations'!A:A, A251, 'Code Violations'!T:T)&gt;=1, "2-Yellow", "1-White")))</f>
        <v/>
      </c>
      <c r="L251">
        <f>IF(J251="","", IF(ISNUMBER(SEARCH("Critical", J251)), "CRITICAL FAIL", IF(ISNUMBER(SEARCH("Overdue", J251)), "FAIL", "COMPLIANT")))</f>
        <v/>
      </c>
    </row>
    <row r="252">
      <c r="K252">
        <f>IF(A252="","", IF(OR(SUMIF('Code Violations'!A:A, A252, 'Code Violations'!T:T)&gt;=5, VLOOKUP(A252, 'Master Dashboard'!A:L, 9, FALSE)="FAIL", VLOOKUP(A252, 'Master Dashboard'!A:L, 10, FALSE)="FAIL", ISNUMBER(SEARCH("Critical", J252))), "3-Red", IF(SUMIF('Code Violations'!A:A, A252, 'Code Violations'!T:T)&gt;=1, "2-Yellow", "1-White")))</f>
        <v/>
      </c>
      <c r="L252">
        <f>IF(J252="","", IF(ISNUMBER(SEARCH("Critical", J252)), "CRITICAL FAIL", IF(ISNUMBER(SEARCH("Overdue", J252)), "FAIL", "COMPLIANT")))</f>
        <v/>
      </c>
    </row>
    <row r="253">
      <c r="K253">
        <f>IF(A253="","", IF(OR(SUMIF('Code Violations'!A:A, A253, 'Code Violations'!T:T)&gt;=5, VLOOKUP(A253, 'Master Dashboard'!A:L, 9, FALSE)="FAIL", VLOOKUP(A253, 'Master Dashboard'!A:L, 10, FALSE)="FAIL", ISNUMBER(SEARCH("Critical", J253))), "3-Red", IF(SUMIF('Code Violations'!A:A, A253, 'Code Violations'!T:T)&gt;=1, "2-Yellow", "1-White")))</f>
        <v/>
      </c>
      <c r="L253">
        <f>IF(J253="","", IF(ISNUMBER(SEARCH("Critical", J253)), "CRITICAL FAIL", IF(ISNUMBER(SEARCH("Overdue", J253)), "FAIL", "COMPLIANT")))</f>
        <v/>
      </c>
    </row>
    <row r="254">
      <c r="K254">
        <f>IF(A254="","", IF(OR(SUMIF('Code Violations'!A:A, A254, 'Code Violations'!T:T)&gt;=5, VLOOKUP(A254, 'Master Dashboard'!A:L, 9, FALSE)="FAIL", VLOOKUP(A254, 'Master Dashboard'!A:L, 10, FALSE)="FAIL", ISNUMBER(SEARCH("Critical", J254))), "3-Red", IF(SUMIF('Code Violations'!A:A, A254, 'Code Violations'!T:T)&gt;=1, "2-Yellow", "1-White")))</f>
        <v/>
      </c>
      <c r="L254">
        <f>IF(J254="","", IF(ISNUMBER(SEARCH("Critical", J254)), "CRITICAL FAIL", IF(ISNUMBER(SEARCH("Overdue", J254)), "FAIL", "COMPLIANT")))</f>
        <v/>
      </c>
    </row>
    <row r="255">
      <c r="K255">
        <f>IF(A255="","", IF(OR(SUMIF('Code Violations'!A:A, A255, 'Code Violations'!T:T)&gt;=5, VLOOKUP(A255, 'Master Dashboard'!A:L, 9, FALSE)="FAIL", VLOOKUP(A255, 'Master Dashboard'!A:L, 10, FALSE)="FAIL", ISNUMBER(SEARCH("Critical", J255))), "3-Red", IF(SUMIF('Code Violations'!A:A, A255, 'Code Violations'!T:T)&gt;=1, "2-Yellow", "1-White")))</f>
        <v/>
      </c>
      <c r="L255">
        <f>IF(J255="","", IF(ISNUMBER(SEARCH("Critical", J255)), "CRITICAL FAIL", IF(ISNUMBER(SEARCH("Overdue", J255)), "FAIL", "COMPLIANT")))</f>
        <v/>
      </c>
    </row>
    <row r="256">
      <c r="K256">
        <f>IF(A256="","", IF(OR(SUMIF('Code Violations'!A:A, A256, 'Code Violations'!T:T)&gt;=5, VLOOKUP(A256, 'Master Dashboard'!A:L, 9, FALSE)="FAIL", VLOOKUP(A256, 'Master Dashboard'!A:L, 10, FALSE)="FAIL", ISNUMBER(SEARCH("Critical", J256))), "3-Red", IF(SUMIF('Code Violations'!A:A, A256, 'Code Violations'!T:T)&gt;=1, "2-Yellow", "1-White")))</f>
        <v/>
      </c>
      <c r="L256">
        <f>IF(J256="","", IF(ISNUMBER(SEARCH("Critical", J256)), "CRITICAL FAIL", IF(ISNUMBER(SEARCH("Overdue", J256)), "FAIL", "COMPLIANT")))</f>
        <v/>
      </c>
    </row>
    <row r="257">
      <c r="K257">
        <f>IF(A257="","", IF(OR(SUMIF('Code Violations'!A:A, A257, 'Code Violations'!T:T)&gt;=5, VLOOKUP(A257, 'Master Dashboard'!A:L, 9, FALSE)="FAIL", VLOOKUP(A257, 'Master Dashboard'!A:L, 10, FALSE)="FAIL", ISNUMBER(SEARCH("Critical", J257))), "3-Red", IF(SUMIF('Code Violations'!A:A, A257, 'Code Violations'!T:T)&gt;=1, "2-Yellow", "1-White")))</f>
        <v/>
      </c>
      <c r="L257">
        <f>IF(J257="","", IF(ISNUMBER(SEARCH("Critical", J257)), "CRITICAL FAIL", IF(ISNUMBER(SEARCH("Overdue", J257)), "FAIL", "COMPLIANT")))</f>
        <v/>
      </c>
    </row>
    <row r="258">
      <c r="K258">
        <f>IF(A258="","", IF(OR(SUMIF('Code Violations'!A:A, A258, 'Code Violations'!T:T)&gt;=5, VLOOKUP(A258, 'Master Dashboard'!A:L, 9, FALSE)="FAIL", VLOOKUP(A258, 'Master Dashboard'!A:L, 10, FALSE)="FAIL", ISNUMBER(SEARCH("Critical", J258))), "3-Red", IF(SUMIF('Code Violations'!A:A, A258, 'Code Violations'!T:T)&gt;=1, "2-Yellow", "1-White")))</f>
        <v/>
      </c>
      <c r="L258">
        <f>IF(J258="","", IF(ISNUMBER(SEARCH("Critical", J258)), "CRITICAL FAIL", IF(ISNUMBER(SEARCH("Overdue", J258)), "FAIL", "COMPLIANT")))</f>
        <v/>
      </c>
    </row>
    <row r="259">
      <c r="K259">
        <f>IF(A259="","", IF(OR(SUMIF('Code Violations'!A:A, A259, 'Code Violations'!T:T)&gt;=5, VLOOKUP(A259, 'Master Dashboard'!A:L, 9, FALSE)="FAIL", VLOOKUP(A259, 'Master Dashboard'!A:L, 10, FALSE)="FAIL", ISNUMBER(SEARCH("Critical", J259))), "3-Red", IF(SUMIF('Code Violations'!A:A, A259, 'Code Violations'!T:T)&gt;=1, "2-Yellow", "1-White")))</f>
        <v/>
      </c>
      <c r="L259">
        <f>IF(J259="","", IF(ISNUMBER(SEARCH("Critical", J259)), "CRITICAL FAIL", IF(ISNUMBER(SEARCH("Overdue", J259)), "FAIL", "COMPLIANT")))</f>
        <v/>
      </c>
    </row>
    <row r="260">
      <c r="K260">
        <f>IF(A260="","", IF(OR(SUMIF('Code Violations'!A:A, A260, 'Code Violations'!T:T)&gt;=5, VLOOKUP(A260, 'Master Dashboard'!A:L, 9, FALSE)="FAIL", VLOOKUP(A260, 'Master Dashboard'!A:L, 10, FALSE)="FAIL", ISNUMBER(SEARCH("Critical", J260))), "3-Red", IF(SUMIF('Code Violations'!A:A, A260, 'Code Violations'!T:T)&gt;=1, "2-Yellow", "1-White")))</f>
        <v/>
      </c>
      <c r="L260">
        <f>IF(J260="","", IF(ISNUMBER(SEARCH("Critical", J260)), "CRITICAL FAIL", IF(ISNUMBER(SEARCH("Overdue", J260)), "FAIL", "COMPLIANT")))</f>
        <v/>
      </c>
    </row>
    <row r="261">
      <c r="K261">
        <f>IF(A261="","", IF(OR(SUMIF('Code Violations'!A:A, A261, 'Code Violations'!T:T)&gt;=5, VLOOKUP(A261, 'Master Dashboard'!A:L, 9, FALSE)="FAIL", VLOOKUP(A261, 'Master Dashboard'!A:L, 10, FALSE)="FAIL", ISNUMBER(SEARCH("Critical", J261))), "3-Red", IF(SUMIF('Code Violations'!A:A, A261, 'Code Violations'!T:T)&gt;=1, "2-Yellow", "1-White")))</f>
        <v/>
      </c>
      <c r="L261">
        <f>IF(J261="","", IF(ISNUMBER(SEARCH("Critical", J261)), "CRITICAL FAIL", IF(ISNUMBER(SEARCH("Overdue", J261)), "FAIL", "COMPLIANT")))</f>
        <v/>
      </c>
    </row>
    <row r="262">
      <c r="K262">
        <f>IF(A262="","", IF(OR(SUMIF('Code Violations'!A:A, A262, 'Code Violations'!T:T)&gt;=5, VLOOKUP(A262, 'Master Dashboard'!A:L, 9, FALSE)="FAIL", VLOOKUP(A262, 'Master Dashboard'!A:L, 10, FALSE)="FAIL", ISNUMBER(SEARCH("Critical", J262))), "3-Red", IF(SUMIF('Code Violations'!A:A, A262, 'Code Violations'!T:T)&gt;=1, "2-Yellow", "1-White")))</f>
        <v/>
      </c>
      <c r="L262">
        <f>IF(J262="","", IF(ISNUMBER(SEARCH("Critical", J262)), "CRITICAL FAIL", IF(ISNUMBER(SEARCH("Overdue", J262)), "FAIL", "COMPLIANT")))</f>
        <v/>
      </c>
    </row>
    <row r="263">
      <c r="K263">
        <f>IF(A263="","", IF(OR(SUMIF('Code Violations'!A:A, A263, 'Code Violations'!T:T)&gt;=5, VLOOKUP(A263, 'Master Dashboard'!A:L, 9, FALSE)="FAIL", VLOOKUP(A263, 'Master Dashboard'!A:L, 10, FALSE)="FAIL", ISNUMBER(SEARCH("Critical", J263))), "3-Red", IF(SUMIF('Code Violations'!A:A, A263, 'Code Violations'!T:T)&gt;=1, "2-Yellow", "1-White")))</f>
        <v/>
      </c>
      <c r="L263">
        <f>IF(J263="","", IF(ISNUMBER(SEARCH("Critical", J263)), "CRITICAL FAIL", IF(ISNUMBER(SEARCH("Overdue", J263)), "FAIL", "COMPLIANT")))</f>
        <v/>
      </c>
    </row>
    <row r="264">
      <c r="K264">
        <f>IF(A264="","", IF(OR(SUMIF('Code Violations'!A:A, A264, 'Code Violations'!T:T)&gt;=5, VLOOKUP(A264, 'Master Dashboard'!A:L, 9, FALSE)="FAIL", VLOOKUP(A264, 'Master Dashboard'!A:L, 10, FALSE)="FAIL", ISNUMBER(SEARCH("Critical", J264))), "3-Red", IF(SUMIF('Code Violations'!A:A, A264, 'Code Violations'!T:T)&gt;=1, "2-Yellow", "1-White")))</f>
        <v/>
      </c>
      <c r="L264">
        <f>IF(J264="","", IF(ISNUMBER(SEARCH("Critical", J264)), "CRITICAL FAIL", IF(ISNUMBER(SEARCH("Overdue", J264)), "FAIL", "COMPLIANT")))</f>
        <v/>
      </c>
    </row>
    <row r="265">
      <c r="K265">
        <f>IF(A265="","", IF(OR(SUMIF('Code Violations'!A:A, A265, 'Code Violations'!T:T)&gt;=5, VLOOKUP(A265, 'Master Dashboard'!A:L, 9, FALSE)="FAIL", VLOOKUP(A265, 'Master Dashboard'!A:L, 10, FALSE)="FAIL", ISNUMBER(SEARCH("Critical", J265))), "3-Red", IF(SUMIF('Code Violations'!A:A, A265, 'Code Violations'!T:T)&gt;=1, "2-Yellow", "1-White")))</f>
        <v/>
      </c>
      <c r="L265">
        <f>IF(J265="","", IF(ISNUMBER(SEARCH("Critical", J265)), "CRITICAL FAIL", IF(ISNUMBER(SEARCH("Overdue", J265)), "FAIL", "COMPLIANT")))</f>
        <v/>
      </c>
    </row>
    <row r="266">
      <c r="K266">
        <f>IF(A266="","", IF(OR(SUMIF('Code Violations'!A:A, A266, 'Code Violations'!T:T)&gt;=5, VLOOKUP(A266, 'Master Dashboard'!A:L, 9, FALSE)="FAIL", VLOOKUP(A266, 'Master Dashboard'!A:L, 10, FALSE)="FAIL", ISNUMBER(SEARCH("Critical", J266))), "3-Red", IF(SUMIF('Code Violations'!A:A, A266, 'Code Violations'!T:T)&gt;=1, "2-Yellow", "1-White")))</f>
        <v/>
      </c>
      <c r="L266">
        <f>IF(J266="","", IF(ISNUMBER(SEARCH("Critical", J266)), "CRITICAL FAIL", IF(ISNUMBER(SEARCH("Overdue", J266)), "FAIL", "COMPLIANT")))</f>
        <v/>
      </c>
    </row>
    <row r="267">
      <c r="K267">
        <f>IF(A267="","", IF(OR(SUMIF('Code Violations'!A:A, A267, 'Code Violations'!T:T)&gt;=5, VLOOKUP(A267, 'Master Dashboard'!A:L, 9, FALSE)="FAIL", VLOOKUP(A267, 'Master Dashboard'!A:L, 10, FALSE)="FAIL", ISNUMBER(SEARCH("Critical", J267))), "3-Red", IF(SUMIF('Code Violations'!A:A, A267, 'Code Violations'!T:T)&gt;=1, "2-Yellow", "1-White")))</f>
        <v/>
      </c>
      <c r="L267">
        <f>IF(J267="","", IF(ISNUMBER(SEARCH("Critical", J267)), "CRITICAL FAIL", IF(ISNUMBER(SEARCH("Overdue", J267)), "FAIL", "COMPLIANT")))</f>
        <v/>
      </c>
    </row>
    <row r="268">
      <c r="K268">
        <f>IF(A268="","", IF(OR(SUMIF('Code Violations'!A:A, A268, 'Code Violations'!T:T)&gt;=5, VLOOKUP(A268, 'Master Dashboard'!A:L, 9, FALSE)="FAIL", VLOOKUP(A268, 'Master Dashboard'!A:L, 10, FALSE)="FAIL", ISNUMBER(SEARCH("Critical", J268))), "3-Red", IF(SUMIF('Code Violations'!A:A, A268, 'Code Violations'!T:T)&gt;=1, "2-Yellow", "1-White")))</f>
        <v/>
      </c>
      <c r="L268">
        <f>IF(J268="","", IF(ISNUMBER(SEARCH("Critical", J268)), "CRITICAL FAIL", IF(ISNUMBER(SEARCH("Overdue", J268)), "FAIL", "COMPLIANT")))</f>
        <v/>
      </c>
    </row>
    <row r="269">
      <c r="K269">
        <f>IF(A269="","", IF(OR(SUMIF('Code Violations'!A:A, A269, 'Code Violations'!T:T)&gt;=5, VLOOKUP(A269, 'Master Dashboard'!A:L, 9, FALSE)="FAIL", VLOOKUP(A269, 'Master Dashboard'!A:L, 10, FALSE)="FAIL", ISNUMBER(SEARCH("Critical", J269))), "3-Red", IF(SUMIF('Code Violations'!A:A, A269, 'Code Violations'!T:T)&gt;=1, "2-Yellow", "1-White")))</f>
        <v/>
      </c>
      <c r="L269">
        <f>IF(J269="","", IF(ISNUMBER(SEARCH("Critical", J269)), "CRITICAL FAIL", IF(ISNUMBER(SEARCH("Overdue", J269)), "FAIL", "COMPLIANT")))</f>
        <v/>
      </c>
    </row>
    <row r="270">
      <c r="K270">
        <f>IF(A270="","", IF(OR(SUMIF('Code Violations'!A:A, A270, 'Code Violations'!T:T)&gt;=5, VLOOKUP(A270, 'Master Dashboard'!A:L, 9, FALSE)="FAIL", VLOOKUP(A270, 'Master Dashboard'!A:L, 10, FALSE)="FAIL", ISNUMBER(SEARCH("Critical", J270))), "3-Red", IF(SUMIF('Code Violations'!A:A, A270, 'Code Violations'!T:T)&gt;=1, "2-Yellow", "1-White")))</f>
        <v/>
      </c>
      <c r="L270">
        <f>IF(J270="","", IF(ISNUMBER(SEARCH("Critical", J270)), "CRITICAL FAIL", IF(ISNUMBER(SEARCH("Overdue", J270)), "FAIL", "COMPLIANT")))</f>
        <v/>
      </c>
    </row>
    <row r="271">
      <c r="K271">
        <f>IF(A271="","", IF(OR(SUMIF('Code Violations'!A:A, A271, 'Code Violations'!T:T)&gt;=5, VLOOKUP(A271, 'Master Dashboard'!A:L, 9, FALSE)="FAIL", VLOOKUP(A271, 'Master Dashboard'!A:L, 10, FALSE)="FAIL", ISNUMBER(SEARCH("Critical", J271))), "3-Red", IF(SUMIF('Code Violations'!A:A, A271, 'Code Violations'!T:T)&gt;=1, "2-Yellow", "1-White")))</f>
        <v/>
      </c>
      <c r="L271">
        <f>IF(J271="","", IF(ISNUMBER(SEARCH("Critical", J271)), "CRITICAL FAIL", IF(ISNUMBER(SEARCH("Overdue", J271)), "FAIL", "COMPLIANT")))</f>
        <v/>
      </c>
    </row>
    <row r="272">
      <c r="K272">
        <f>IF(A272="","", IF(OR(SUMIF('Code Violations'!A:A, A272, 'Code Violations'!T:T)&gt;=5, VLOOKUP(A272, 'Master Dashboard'!A:L, 9, FALSE)="FAIL", VLOOKUP(A272, 'Master Dashboard'!A:L, 10, FALSE)="FAIL", ISNUMBER(SEARCH("Critical", J272))), "3-Red", IF(SUMIF('Code Violations'!A:A, A272, 'Code Violations'!T:T)&gt;=1, "2-Yellow", "1-White")))</f>
        <v/>
      </c>
      <c r="L272">
        <f>IF(J272="","", IF(ISNUMBER(SEARCH("Critical", J272)), "CRITICAL FAIL", IF(ISNUMBER(SEARCH("Overdue", J272)), "FAIL", "COMPLIANT")))</f>
        <v/>
      </c>
    </row>
    <row r="273">
      <c r="K273">
        <f>IF(A273="","", IF(OR(SUMIF('Code Violations'!A:A, A273, 'Code Violations'!T:T)&gt;=5, VLOOKUP(A273, 'Master Dashboard'!A:L, 9, FALSE)="FAIL", VLOOKUP(A273, 'Master Dashboard'!A:L, 10, FALSE)="FAIL", ISNUMBER(SEARCH("Critical", J273))), "3-Red", IF(SUMIF('Code Violations'!A:A, A273, 'Code Violations'!T:T)&gt;=1, "2-Yellow", "1-White")))</f>
        <v/>
      </c>
      <c r="L273">
        <f>IF(J273="","", IF(ISNUMBER(SEARCH("Critical", J273)), "CRITICAL FAIL", IF(ISNUMBER(SEARCH("Overdue", J273)), "FAIL", "COMPLIANT")))</f>
        <v/>
      </c>
    </row>
    <row r="274">
      <c r="K274">
        <f>IF(A274="","", IF(OR(SUMIF('Code Violations'!A:A, A274, 'Code Violations'!T:T)&gt;=5, VLOOKUP(A274, 'Master Dashboard'!A:L, 9, FALSE)="FAIL", VLOOKUP(A274, 'Master Dashboard'!A:L, 10, FALSE)="FAIL", ISNUMBER(SEARCH("Critical", J274))), "3-Red", IF(SUMIF('Code Violations'!A:A, A274, 'Code Violations'!T:T)&gt;=1, "2-Yellow", "1-White")))</f>
        <v/>
      </c>
      <c r="L274">
        <f>IF(J274="","", IF(ISNUMBER(SEARCH("Critical", J274)), "CRITICAL FAIL", IF(ISNUMBER(SEARCH("Overdue", J274)), "FAIL", "COMPLIANT")))</f>
        <v/>
      </c>
    </row>
    <row r="275">
      <c r="K275">
        <f>IF(A275="","", IF(OR(SUMIF('Code Violations'!A:A, A275, 'Code Violations'!T:T)&gt;=5, VLOOKUP(A275, 'Master Dashboard'!A:L, 9, FALSE)="FAIL", VLOOKUP(A275, 'Master Dashboard'!A:L, 10, FALSE)="FAIL", ISNUMBER(SEARCH("Critical", J275))), "3-Red", IF(SUMIF('Code Violations'!A:A, A275, 'Code Violations'!T:T)&gt;=1, "2-Yellow", "1-White")))</f>
        <v/>
      </c>
      <c r="L275">
        <f>IF(J275="","", IF(ISNUMBER(SEARCH("Critical", J275)), "CRITICAL FAIL", IF(ISNUMBER(SEARCH("Overdue", J275)), "FAIL", "COMPLIANT")))</f>
        <v/>
      </c>
    </row>
    <row r="276">
      <c r="K276">
        <f>IF(A276="","", IF(OR(SUMIF('Code Violations'!A:A, A276, 'Code Violations'!T:T)&gt;=5, VLOOKUP(A276, 'Master Dashboard'!A:L, 9, FALSE)="FAIL", VLOOKUP(A276, 'Master Dashboard'!A:L, 10, FALSE)="FAIL", ISNUMBER(SEARCH("Critical", J276))), "3-Red", IF(SUMIF('Code Violations'!A:A, A276, 'Code Violations'!T:T)&gt;=1, "2-Yellow", "1-White")))</f>
        <v/>
      </c>
      <c r="L276">
        <f>IF(J276="","", IF(ISNUMBER(SEARCH("Critical", J276)), "CRITICAL FAIL", IF(ISNUMBER(SEARCH("Overdue", J276)), "FAIL", "COMPLIANT")))</f>
        <v/>
      </c>
    </row>
    <row r="277">
      <c r="K277">
        <f>IF(A277="","", IF(OR(SUMIF('Code Violations'!A:A, A277, 'Code Violations'!T:T)&gt;=5, VLOOKUP(A277, 'Master Dashboard'!A:L, 9, FALSE)="FAIL", VLOOKUP(A277, 'Master Dashboard'!A:L, 10, FALSE)="FAIL", ISNUMBER(SEARCH("Critical", J277))), "3-Red", IF(SUMIF('Code Violations'!A:A, A277, 'Code Violations'!T:T)&gt;=1, "2-Yellow", "1-White")))</f>
        <v/>
      </c>
      <c r="L277">
        <f>IF(J277="","", IF(ISNUMBER(SEARCH("Critical", J277)), "CRITICAL FAIL", IF(ISNUMBER(SEARCH("Overdue", J277)), "FAIL", "COMPLIANT")))</f>
        <v/>
      </c>
    </row>
    <row r="278">
      <c r="K278">
        <f>IF(A278="","", IF(OR(SUMIF('Code Violations'!A:A, A278, 'Code Violations'!T:T)&gt;=5, VLOOKUP(A278, 'Master Dashboard'!A:L, 9, FALSE)="FAIL", VLOOKUP(A278, 'Master Dashboard'!A:L, 10, FALSE)="FAIL", ISNUMBER(SEARCH("Critical", J278))), "3-Red", IF(SUMIF('Code Violations'!A:A, A278, 'Code Violations'!T:T)&gt;=1, "2-Yellow", "1-White")))</f>
        <v/>
      </c>
      <c r="L278">
        <f>IF(J278="","", IF(ISNUMBER(SEARCH("Critical", J278)), "CRITICAL FAIL", IF(ISNUMBER(SEARCH("Overdue", J278)), "FAIL", "COMPLIANT")))</f>
        <v/>
      </c>
    </row>
    <row r="279">
      <c r="K279">
        <f>IF(A279="","", IF(OR(SUMIF('Code Violations'!A:A, A279, 'Code Violations'!T:T)&gt;=5, VLOOKUP(A279, 'Master Dashboard'!A:L, 9, FALSE)="FAIL", VLOOKUP(A279, 'Master Dashboard'!A:L, 10, FALSE)="FAIL", ISNUMBER(SEARCH("Critical", J279))), "3-Red", IF(SUMIF('Code Violations'!A:A, A279, 'Code Violations'!T:T)&gt;=1, "2-Yellow", "1-White")))</f>
        <v/>
      </c>
      <c r="L279">
        <f>IF(J279="","", IF(ISNUMBER(SEARCH("Critical", J279)), "CRITICAL FAIL", IF(ISNUMBER(SEARCH("Overdue", J279)), "FAIL", "COMPLIANT")))</f>
        <v/>
      </c>
    </row>
    <row r="280">
      <c r="K280">
        <f>IF(A280="","", IF(OR(SUMIF('Code Violations'!A:A, A280, 'Code Violations'!T:T)&gt;=5, VLOOKUP(A280, 'Master Dashboard'!A:L, 9, FALSE)="FAIL", VLOOKUP(A280, 'Master Dashboard'!A:L, 10, FALSE)="FAIL", ISNUMBER(SEARCH("Critical", J280))), "3-Red", IF(SUMIF('Code Violations'!A:A, A280, 'Code Violations'!T:T)&gt;=1, "2-Yellow", "1-White")))</f>
        <v/>
      </c>
      <c r="L280">
        <f>IF(J280="","", IF(ISNUMBER(SEARCH("Critical", J280)), "CRITICAL FAIL", IF(ISNUMBER(SEARCH("Overdue", J280)), "FAIL", "COMPLIANT")))</f>
        <v/>
      </c>
    </row>
    <row r="281">
      <c r="K281">
        <f>IF(A281="","", IF(OR(SUMIF('Code Violations'!A:A, A281, 'Code Violations'!T:T)&gt;=5, VLOOKUP(A281, 'Master Dashboard'!A:L, 9, FALSE)="FAIL", VLOOKUP(A281, 'Master Dashboard'!A:L, 10, FALSE)="FAIL", ISNUMBER(SEARCH("Critical", J281))), "3-Red", IF(SUMIF('Code Violations'!A:A, A281, 'Code Violations'!T:T)&gt;=1, "2-Yellow", "1-White")))</f>
        <v/>
      </c>
      <c r="L281">
        <f>IF(J281="","", IF(ISNUMBER(SEARCH("Critical", J281)), "CRITICAL FAIL", IF(ISNUMBER(SEARCH("Overdue", J281)), "FAIL", "COMPLIANT")))</f>
        <v/>
      </c>
    </row>
    <row r="282">
      <c r="K282">
        <f>IF(A282="","", IF(OR(SUMIF('Code Violations'!A:A, A282, 'Code Violations'!T:T)&gt;=5, VLOOKUP(A282, 'Master Dashboard'!A:L, 9, FALSE)="FAIL", VLOOKUP(A282, 'Master Dashboard'!A:L, 10, FALSE)="FAIL", ISNUMBER(SEARCH("Critical", J282))), "3-Red", IF(SUMIF('Code Violations'!A:A, A282, 'Code Violations'!T:T)&gt;=1, "2-Yellow", "1-White")))</f>
        <v/>
      </c>
      <c r="L282">
        <f>IF(J282="","", IF(ISNUMBER(SEARCH("Critical", J282)), "CRITICAL FAIL", IF(ISNUMBER(SEARCH("Overdue", J282)), "FAIL", "COMPLIANT")))</f>
        <v/>
      </c>
    </row>
    <row r="283">
      <c r="K283">
        <f>IF(A283="","", IF(OR(SUMIF('Code Violations'!A:A, A283, 'Code Violations'!T:T)&gt;=5, VLOOKUP(A283, 'Master Dashboard'!A:L, 9, FALSE)="FAIL", VLOOKUP(A283, 'Master Dashboard'!A:L, 10, FALSE)="FAIL", ISNUMBER(SEARCH("Critical", J283))), "3-Red", IF(SUMIF('Code Violations'!A:A, A283, 'Code Violations'!T:T)&gt;=1, "2-Yellow", "1-White")))</f>
        <v/>
      </c>
      <c r="L283">
        <f>IF(J283="","", IF(ISNUMBER(SEARCH("Critical", J283)), "CRITICAL FAIL", IF(ISNUMBER(SEARCH("Overdue", J283)), "FAIL", "COMPLIANT")))</f>
        <v/>
      </c>
    </row>
    <row r="284">
      <c r="K284">
        <f>IF(A284="","", IF(OR(SUMIF('Code Violations'!A:A, A284, 'Code Violations'!T:T)&gt;=5, VLOOKUP(A284, 'Master Dashboard'!A:L, 9, FALSE)="FAIL", VLOOKUP(A284, 'Master Dashboard'!A:L, 10, FALSE)="FAIL", ISNUMBER(SEARCH("Critical", J284))), "3-Red", IF(SUMIF('Code Violations'!A:A, A284, 'Code Violations'!T:T)&gt;=1, "2-Yellow", "1-White")))</f>
        <v/>
      </c>
      <c r="L284">
        <f>IF(J284="","", IF(ISNUMBER(SEARCH("Critical", J284)), "CRITICAL FAIL", IF(ISNUMBER(SEARCH("Overdue", J284)), "FAIL", "COMPLIANT")))</f>
        <v/>
      </c>
    </row>
    <row r="285">
      <c r="K285">
        <f>IF(A285="","", IF(OR(SUMIF('Code Violations'!A:A, A285, 'Code Violations'!T:T)&gt;=5, VLOOKUP(A285, 'Master Dashboard'!A:L, 9, FALSE)="FAIL", VLOOKUP(A285, 'Master Dashboard'!A:L, 10, FALSE)="FAIL", ISNUMBER(SEARCH("Critical", J285))), "3-Red", IF(SUMIF('Code Violations'!A:A, A285, 'Code Violations'!T:T)&gt;=1, "2-Yellow", "1-White")))</f>
        <v/>
      </c>
      <c r="L285">
        <f>IF(J285="","", IF(ISNUMBER(SEARCH("Critical", J285)), "CRITICAL FAIL", IF(ISNUMBER(SEARCH("Overdue", J285)), "FAIL", "COMPLIANT")))</f>
        <v/>
      </c>
    </row>
    <row r="286">
      <c r="K286">
        <f>IF(A286="","", IF(OR(SUMIF('Code Violations'!A:A, A286, 'Code Violations'!T:T)&gt;=5, VLOOKUP(A286, 'Master Dashboard'!A:L, 9, FALSE)="FAIL", VLOOKUP(A286, 'Master Dashboard'!A:L, 10, FALSE)="FAIL", ISNUMBER(SEARCH("Critical", J286))), "3-Red", IF(SUMIF('Code Violations'!A:A, A286, 'Code Violations'!T:T)&gt;=1, "2-Yellow", "1-White")))</f>
        <v/>
      </c>
      <c r="L286">
        <f>IF(J286="","", IF(ISNUMBER(SEARCH("Critical", J286)), "CRITICAL FAIL", IF(ISNUMBER(SEARCH("Overdue", J286)), "FAIL", "COMPLIANT")))</f>
        <v/>
      </c>
    </row>
    <row r="287">
      <c r="K287">
        <f>IF(A287="","", IF(OR(SUMIF('Code Violations'!A:A, A287, 'Code Violations'!T:T)&gt;=5, VLOOKUP(A287, 'Master Dashboard'!A:L, 9, FALSE)="FAIL", VLOOKUP(A287, 'Master Dashboard'!A:L, 10, FALSE)="FAIL", ISNUMBER(SEARCH("Critical", J287))), "3-Red", IF(SUMIF('Code Violations'!A:A, A287, 'Code Violations'!T:T)&gt;=1, "2-Yellow", "1-White")))</f>
        <v/>
      </c>
      <c r="L287">
        <f>IF(J287="","", IF(ISNUMBER(SEARCH("Critical", J287)), "CRITICAL FAIL", IF(ISNUMBER(SEARCH("Overdue", J287)), "FAIL", "COMPLIANT")))</f>
        <v/>
      </c>
    </row>
    <row r="288">
      <c r="K288">
        <f>IF(A288="","", IF(OR(SUMIF('Code Violations'!A:A, A288, 'Code Violations'!T:T)&gt;=5, VLOOKUP(A288, 'Master Dashboard'!A:L, 9, FALSE)="FAIL", VLOOKUP(A288, 'Master Dashboard'!A:L, 10, FALSE)="FAIL", ISNUMBER(SEARCH("Critical", J288))), "3-Red", IF(SUMIF('Code Violations'!A:A, A288, 'Code Violations'!T:T)&gt;=1, "2-Yellow", "1-White")))</f>
        <v/>
      </c>
      <c r="L288">
        <f>IF(J288="","", IF(ISNUMBER(SEARCH("Critical", J288)), "CRITICAL FAIL", IF(ISNUMBER(SEARCH("Overdue", J288)), "FAIL", "COMPLIANT")))</f>
        <v/>
      </c>
    </row>
    <row r="289">
      <c r="K289">
        <f>IF(A289="","", IF(OR(SUMIF('Code Violations'!A:A, A289, 'Code Violations'!T:T)&gt;=5, VLOOKUP(A289, 'Master Dashboard'!A:L, 9, FALSE)="FAIL", VLOOKUP(A289, 'Master Dashboard'!A:L, 10, FALSE)="FAIL", ISNUMBER(SEARCH("Critical", J289))), "3-Red", IF(SUMIF('Code Violations'!A:A, A289, 'Code Violations'!T:T)&gt;=1, "2-Yellow", "1-White")))</f>
        <v/>
      </c>
      <c r="L289">
        <f>IF(J289="","", IF(ISNUMBER(SEARCH("Critical", J289)), "CRITICAL FAIL", IF(ISNUMBER(SEARCH("Overdue", J289)), "FAIL", "COMPLIANT")))</f>
        <v/>
      </c>
    </row>
    <row r="290">
      <c r="K290">
        <f>IF(A290="","", IF(OR(SUMIF('Code Violations'!A:A, A290, 'Code Violations'!T:T)&gt;=5, VLOOKUP(A290, 'Master Dashboard'!A:L, 9, FALSE)="FAIL", VLOOKUP(A290, 'Master Dashboard'!A:L, 10, FALSE)="FAIL", ISNUMBER(SEARCH("Critical", J290))), "3-Red", IF(SUMIF('Code Violations'!A:A, A290, 'Code Violations'!T:T)&gt;=1, "2-Yellow", "1-White")))</f>
        <v/>
      </c>
      <c r="L290">
        <f>IF(J290="","", IF(ISNUMBER(SEARCH("Critical", J290)), "CRITICAL FAIL", IF(ISNUMBER(SEARCH("Overdue", J290)), "FAIL", "COMPLIANT")))</f>
        <v/>
      </c>
    </row>
    <row r="291">
      <c r="K291">
        <f>IF(A291="","", IF(OR(SUMIF('Code Violations'!A:A, A291, 'Code Violations'!T:T)&gt;=5, VLOOKUP(A291, 'Master Dashboard'!A:L, 9, FALSE)="FAIL", VLOOKUP(A291, 'Master Dashboard'!A:L, 10, FALSE)="FAIL", ISNUMBER(SEARCH("Critical", J291))), "3-Red", IF(SUMIF('Code Violations'!A:A, A291, 'Code Violations'!T:T)&gt;=1, "2-Yellow", "1-White")))</f>
        <v/>
      </c>
      <c r="L291">
        <f>IF(J291="","", IF(ISNUMBER(SEARCH("Critical", J291)), "CRITICAL FAIL", IF(ISNUMBER(SEARCH("Overdue", J291)), "FAIL", "COMPLIANT")))</f>
        <v/>
      </c>
    </row>
    <row r="292">
      <c r="K292">
        <f>IF(A292="","", IF(OR(SUMIF('Code Violations'!A:A, A292, 'Code Violations'!T:T)&gt;=5, VLOOKUP(A292, 'Master Dashboard'!A:L, 9, FALSE)="FAIL", VLOOKUP(A292, 'Master Dashboard'!A:L, 10, FALSE)="FAIL", ISNUMBER(SEARCH("Critical", J292))), "3-Red", IF(SUMIF('Code Violations'!A:A, A292, 'Code Violations'!T:T)&gt;=1, "2-Yellow", "1-White")))</f>
        <v/>
      </c>
      <c r="L292">
        <f>IF(J292="","", IF(ISNUMBER(SEARCH("Critical", J292)), "CRITICAL FAIL", IF(ISNUMBER(SEARCH("Overdue", J292)), "FAIL", "COMPLIANT")))</f>
        <v/>
      </c>
    </row>
    <row r="293">
      <c r="K293">
        <f>IF(A293="","", IF(OR(SUMIF('Code Violations'!A:A, A293, 'Code Violations'!T:T)&gt;=5, VLOOKUP(A293, 'Master Dashboard'!A:L, 9, FALSE)="FAIL", VLOOKUP(A293, 'Master Dashboard'!A:L, 10, FALSE)="FAIL", ISNUMBER(SEARCH("Critical", J293))), "3-Red", IF(SUMIF('Code Violations'!A:A, A293, 'Code Violations'!T:T)&gt;=1, "2-Yellow", "1-White")))</f>
        <v/>
      </c>
      <c r="L293">
        <f>IF(J293="","", IF(ISNUMBER(SEARCH("Critical", J293)), "CRITICAL FAIL", IF(ISNUMBER(SEARCH("Overdue", J293)), "FAIL", "COMPLIANT")))</f>
        <v/>
      </c>
    </row>
    <row r="294">
      <c r="K294">
        <f>IF(A294="","", IF(OR(SUMIF('Code Violations'!A:A, A294, 'Code Violations'!T:T)&gt;=5, VLOOKUP(A294, 'Master Dashboard'!A:L, 9, FALSE)="FAIL", VLOOKUP(A294, 'Master Dashboard'!A:L, 10, FALSE)="FAIL", ISNUMBER(SEARCH("Critical", J294))), "3-Red", IF(SUMIF('Code Violations'!A:A, A294, 'Code Violations'!T:T)&gt;=1, "2-Yellow", "1-White")))</f>
        <v/>
      </c>
      <c r="L294">
        <f>IF(J294="","", IF(ISNUMBER(SEARCH("Critical", J294)), "CRITICAL FAIL", IF(ISNUMBER(SEARCH("Overdue", J294)), "FAIL", "COMPLIANT")))</f>
        <v/>
      </c>
    </row>
    <row r="295">
      <c r="K295">
        <f>IF(A295="","", IF(OR(SUMIF('Code Violations'!A:A, A295, 'Code Violations'!T:T)&gt;=5, VLOOKUP(A295, 'Master Dashboard'!A:L, 9, FALSE)="FAIL", VLOOKUP(A295, 'Master Dashboard'!A:L, 10, FALSE)="FAIL", ISNUMBER(SEARCH("Critical", J295))), "3-Red", IF(SUMIF('Code Violations'!A:A, A295, 'Code Violations'!T:T)&gt;=1, "2-Yellow", "1-White")))</f>
        <v/>
      </c>
      <c r="L295">
        <f>IF(J295="","", IF(ISNUMBER(SEARCH("Critical", J295)), "CRITICAL FAIL", IF(ISNUMBER(SEARCH("Overdue", J295)), "FAIL", "COMPLIANT")))</f>
        <v/>
      </c>
    </row>
    <row r="296">
      <c r="K296">
        <f>IF(A296="","", IF(OR(SUMIF('Code Violations'!A:A, A296, 'Code Violations'!T:T)&gt;=5, VLOOKUP(A296, 'Master Dashboard'!A:L, 9, FALSE)="FAIL", VLOOKUP(A296, 'Master Dashboard'!A:L, 10, FALSE)="FAIL", ISNUMBER(SEARCH("Critical", J296))), "3-Red", IF(SUMIF('Code Violations'!A:A, A296, 'Code Violations'!T:T)&gt;=1, "2-Yellow", "1-White")))</f>
        <v/>
      </c>
      <c r="L296">
        <f>IF(J296="","", IF(ISNUMBER(SEARCH("Critical", J296)), "CRITICAL FAIL", IF(ISNUMBER(SEARCH("Overdue", J296)), "FAIL", "COMPLIANT")))</f>
        <v/>
      </c>
    </row>
    <row r="297">
      <c r="K297">
        <f>IF(A297="","", IF(OR(SUMIF('Code Violations'!A:A, A297, 'Code Violations'!T:T)&gt;=5, VLOOKUP(A297, 'Master Dashboard'!A:L, 9, FALSE)="FAIL", VLOOKUP(A297, 'Master Dashboard'!A:L, 10, FALSE)="FAIL", ISNUMBER(SEARCH("Critical", J297))), "3-Red", IF(SUMIF('Code Violations'!A:A, A297, 'Code Violations'!T:T)&gt;=1, "2-Yellow", "1-White")))</f>
        <v/>
      </c>
      <c r="L297">
        <f>IF(J297="","", IF(ISNUMBER(SEARCH("Critical", J297)), "CRITICAL FAIL", IF(ISNUMBER(SEARCH("Overdue", J297)), "FAIL", "COMPLIANT")))</f>
        <v/>
      </c>
    </row>
    <row r="298">
      <c r="K298">
        <f>IF(A298="","", IF(OR(SUMIF('Code Violations'!A:A, A298, 'Code Violations'!T:T)&gt;=5, VLOOKUP(A298, 'Master Dashboard'!A:L, 9, FALSE)="FAIL", VLOOKUP(A298, 'Master Dashboard'!A:L, 10, FALSE)="FAIL", ISNUMBER(SEARCH("Critical", J298))), "3-Red", IF(SUMIF('Code Violations'!A:A, A298, 'Code Violations'!T:T)&gt;=1, "2-Yellow", "1-White")))</f>
        <v/>
      </c>
      <c r="L298">
        <f>IF(J298="","", IF(ISNUMBER(SEARCH("Critical", J298)), "CRITICAL FAIL", IF(ISNUMBER(SEARCH("Overdue", J298)), "FAIL", "COMPLIANT")))</f>
        <v/>
      </c>
    </row>
    <row r="299">
      <c r="K299">
        <f>IF(A299="","", IF(OR(SUMIF('Code Violations'!A:A, A299, 'Code Violations'!T:T)&gt;=5, VLOOKUP(A299, 'Master Dashboard'!A:L, 9, FALSE)="FAIL", VLOOKUP(A299, 'Master Dashboard'!A:L, 10, FALSE)="FAIL", ISNUMBER(SEARCH("Critical", J299))), "3-Red", IF(SUMIF('Code Violations'!A:A, A299, 'Code Violations'!T:T)&gt;=1, "2-Yellow", "1-White")))</f>
        <v/>
      </c>
      <c r="L299">
        <f>IF(J299="","", IF(ISNUMBER(SEARCH("Critical", J299)), "CRITICAL FAIL", IF(ISNUMBER(SEARCH("Overdue", J299)), "FAIL", "COMPLIANT")))</f>
        <v/>
      </c>
    </row>
    <row r="300">
      <c r="K300">
        <f>IF(A300="","", IF(OR(SUMIF('Code Violations'!A:A, A300, 'Code Violations'!T:T)&gt;=5, VLOOKUP(A300, 'Master Dashboard'!A:L, 9, FALSE)="FAIL", VLOOKUP(A300, 'Master Dashboard'!A:L, 10, FALSE)="FAIL", ISNUMBER(SEARCH("Critical", J300))), "3-Red", IF(SUMIF('Code Violations'!A:A, A300, 'Code Violations'!T:T)&gt;=1, "2-Yellow", "1-White")))</f>
        <v/>
      </c>
      <c r="L300">
        <f>IF(J300="","", IF(ISNUMBER(SEARCH("Critical", J300)), "CRITICAL FAIL", IF(ISNUMBER(SEARCH("Overdue", J300)), "FAIL", "COMPLIANT")))</f>
        <v/>
      </c>
    </row>
    <row r="301">
      <c r="K301">
        <f>IF(A301="","", IF(OR(SUMIF('Code Violations'!A:A, A301, 'Code Violations'!T:T)&gt;=5, VLOOKUP(A301, 'Master Dashboard'!A:L, 9, FALSE)="FAIL", VLOOKUP(A301, 'Master Dashboard'!A:L, 10, FALSE)="FAIL", ISNUMBER(SEARCH("Critical", J301))), "3-Red", IF(SUMIF('Code Violations'!A:A, A301, 'Code Violations'!T:T)&gt;=1, "2-Yellow", "1-White")))</f>
        <v/>
      </c>
      <c r="L301">
        <f>IF(J301="","", IF(ISNUMBER(SEARCH("Critical", J301)), "CRITICAL FAIL", IF(ISNUMBER(SEARCH("Overdue", J301)), "FAIL", "COMPLIANT")))</f>
        <v/>
      </c>
    </row>
    <row r="302">
      <c r="K302">
        <f>IF(A302="","", IF(OR(SUMIF('Code Violations'!A:A, A302, 'Code Violations'!T:T)&gt;=5, VLOOKUP(A302, 'Master Dashboard'!A:L, 9, FALSE)="FAIL", VLOOKUP(A302, 'Master Dashboard'!A:L, 10, FALSE)="FAIL", ISNUMBER(SEARCH("Critical", J302))), "3-Red", IF(SUMIF('Code Violations'!A:A, A302, 'Code Violations'!T:T)&gt;=1, "2-Yellow", "1-White")))</f>
        <v/>
      </c>
      <c r="L302">
        <f>IF(J302="","", IF(ISNUMBER(SEARCH("Critical", J302)), "CRITICAL FAIL", IF(ISNUMBER(SEARCH("Overdue", J302)), "FAIL", "COMPLIANT")))</f>
        <v/>
      </c>
    </row>
    <row r="303">
      <c r="K303">
        <f>IF(A303="","", IF(OR(SUMIF('Code Violations'!A:A, A303, 'Code Violations'!T:T)&gt;=5, VLOOKUP(A303, 'Master Dashboard'!A:L, 9, FALSE)="FAIL", VLOOKUP(A303, 'Master Dashboard'!A:L, 10, FALSE)="FAIL", ISNUMBER(SEARCH("Critical", J303))), "3-Red", IF(SUMIF('Code Violations'!A:A, A303, 'Code Violations'!T:T)&gt;=1, "2-Yellow", "1-White")))</f>
        <v/>
      </c>
      <c r="L303">
        <f>IF(J303="","", IF(ISNUMBER(SEARCH("Critical", J303)), "CRITICAL FAIL", IF(ISNUMBER(SEARCH("Overdue", J303)), "FAIL", "COMPLIANT")))</f>
        <v/>
      </c>
    </row>
    <row r="304">
      <c r="K304">
        <f>IF(A304="","", IF(OR(SUMIF('Code Violations'!A:A, A304, 'Code Violations'!T:T)&gt;=5, VLOOKUP(A304, 'Master Dashboard'!A:L, 9, FALSE)="FAIL", VLOOKUP(A304, 'Master Dashboard'!A:L, 10, FALSE)="FAIL", ISNUMBER(SEARCH("Critical", J304))), "3-Red", IF(SUMIF('Code Violations'!A:A, A304, 'Code Violations'!T:T)&gt;=1, "2-Yellow", "1-White")))</f>
        <v/>
      </c>
      <c r="L304">
        <f>IF(J304="","", IF(ISNUMBER(SEARCH("Critical", J304)), "CRITICAL FAIL", IF(ISNUMBER(SEARCH("Overdue", J304)), "FAIL", "COMPLIANT")))</f>
        <v/>
      </c>
    </row>
    <row r="305">
      <c r="K305">
        <f>IF(A305="","", IF(OR(SUMIF('Code Violations'!A:A, A305, 'Code Violations'!T:T)&gt;=5, VLOOKUP(A305, 'Master Dashboard'!A:L, 9, FALSE)="FAIL", VLOOKUP(A305, 'Master Dashboard'!A:L, 10, FALSE)="FAIL", ISNUMBER(SEARCH("Critical", J305))), "3-Red", IF(SUMIF('Code Violations'!A:A, A305, 'Code Violations'!T:T)&gt;=1, "2-Yellow", "1-White")))</f>
        <v/>
      </c>
      <c r="L305">
        <f>IF(J305="","", IF(ISNUMBER(SEARCH("Critical", J305)), "CRITICAL FAIL", IF(ISNUMBER(SEARCH("Overdue", J305)), "FAIL", "COMPLIANT")))</f>
        <v/>
      </c>
    </row>
    <row r="306">
      <c r="K306">
        <f>IF(A306="","", IF(OR(SUMIF('Code Violations'!A:A, A306, 'Code Violations'!T:T)&gt;=5, VLOOKUP(A306, 'Master Dashboard'!A:L, 9, FALSE)="FAIL", VLOOKUP(A306, 'Master Dashboard'!A:L, 10, FALSE)="FAIL", ISNUMBER(SEARCH("Critical", J306))), "3-Red", IF(SUMIF('Code Violations'!A:A, A306, 'Code Violations'!T:T)&gt;=1, "2-Yellow", "1-White")))</f>
        <v/>
      </c>
      <c r="L306">
        <f>IF(J306="","", IF(ISNUMBER(SEARCH("Critical", J306)), "CRITICAL FAIL", IF(ISNUMBER(SEARCH("Overdue", J306)), "FAIL", "COMPLIANT")))</f>
        <v/>
      </c>
    </row>
    <row r="307">
      <c r="K307">
        <f>IF(A307="","", IF(OR(SUMIF('Code Violations'!A:A, A307, 'Code Violations'!T:T)&gt;=5, VLOOKUP(A307, 'Master Dashboard'!A:L, 9, FALSE)="FAIL", VLOOKUP(A307, 'Master Dashboard'!A:L, 10, FALSE)="FAIL", ISNUMBER(SEARCH("Critical", J307))), "3-Red", IF(SUMIF('Code Violations'!A:A, A307, 'Code Violations'!T:T)&gt;=1, "2-Yellow", "1-White")))</f>
        <v/>
      </c>
      <c r="L307">
        <f>IF(J307="","", IF(ISNUMBER(SEARCH("Critical", J307)), "CRITICAL FAIL", IF(ISNUMBER(SEARCH("Overdue", J307)), "FAIL", "COMPLIANT")))</f>
        <v/>
      </c>
    </row>
    <row r="308">
      <c r="K308">
        <f>IF(A308="","", IF(OR(SUMIF('Code Violations'!A:A, A308, 'Code Violations'!T:T)&gt;=5, VLOOKUP(A308, 'Master Dashboard'!A:L, 9, FALSE)="FAIL", VLOOKUP(A308, 'Master Dashboard'!A:L, 10, FALSE)="FAIL", ISNUMBER(SEARCH("Critical", J308))), "3-Red", IF(SUMIF('Code Violations'!A:A, A308, 'Code Violations'!T:T)&gt;=1, "2-Yellow", "1-White")))</f>
        <v/>
      </c>
      <c r="L308">
        <f>IF(J308="","", IF(ISNUMBER(SEARCH("Critical", J308)), "CRITICAL FAIL", IF(ISNUMBER(SEARCH("Overdue", J308)), "FAIL", "COMPLIANT")))</f>
        <v/>
      </c>
    </row>
    <row r="309">
      <c r="K309">
        <f>IF(A309="","", IF(OR(SUMIF('Code Violations'!A:A, A309, 'Code Violations'!T:T)&gt;=5, VLOOKUP(A309, 'Master Dashboard'!A:L, 9, FALSE)="FAIL", VLOOKUP(A309, 'Master Dashboard'!A:L, 10, FALSE)="FAIL", ISNUMBER(SEARCH("Critical", J309))), "3-Red", IF(SUMIF('Code Violations'!A:A, A309, 'Code Violations'!T:T)&gt;=1, "2-Yellow", "1-White")))</f>
        <v/>
      </c>
      <c r="L309">
        <f>IF(J309="","", IF(ISNUMBER(SEARCH("Critical", J309)), "CRITICAL FAIL", IF(ISNUMBER(SEARCH("Overdue", J309)), "FAIL", "COMPLIANT")))</f>
        <v/>
      </c>
    </row>
    <row r="310">
      <c r="K310">
        <f>IF(A310="","", IF(OR(SUMIF('Code Violations'!A:A, A310, 'Code Violations'!T:T)&gt;=5, VLOOKUP(A310, 'Master Dashboard'!A:L, 9, FALSE)="FAIL", VLOOKUP(A310, 'Master Dashboard'!A:L, 10, FALSE)="FAIL", ISNUMBER(SEARCH("Critical", J310))), "3-Red", IF(SUMIF('Code Violations'!A:A, A310, 'Code Violations'!T:T)&gt;=1, "2-Yellow", "1-White")))</f>
        <v/>
      </c>
      <c r="L310">
        <f>IF(J310="","", IF(ISNUMBER(SEARCH("Critical", J310)), "CRITICAL FAIL", IF(ISNUMBER(SEARCH("Overdue", J310)), "FAIL", "COMPLIANT")))</f>
        <v/>
      </c>
    </row>
    <row r="311">
      <c r="K311">
        <f>IF(A311="","", IF(OR(SUMIF('Code Violations'!A:A, A311, 'Code Violations'!T:T)&gt;=5, VLOOKUP(A311, 'Master Dashboard'!A:L, 9, FALSE)="FAIL", VLOOKUP(A311, 'Master Dashboard'!A:L, 10, FALSE)="FAIL", ISNUMBER(SEARCH("Critical", J311))), "3-Red", IF(SUMIF('Code Violations'!A:A, A311, 'Code Violations'!T:T)&gt;=1, "2-Yellow", "1-White")))</f>
        <v/>
      </c>
      <c r="L311">
        <f>IF(J311="","", IF(ISNUMBER(SEARCH("Critical", J311)), "CRITICAL FAIL", IF(ISNUMBER(SEARCH("Overdue", J311)), "FAIL", "COMPLIANT")))</f>
        <v/>
      </c>
    </row>
    <row r="312">
      <c r="K312">
        <f>IF(A312="","", IF(OR(SUMIF('Code Violations'!A:A, A312, 'Code Violations'!T:T)&gt;=5, VLOOKUP(A312, 'Master Dashboard'!A:L, 9, FALSE)="FAIL", VLOOKUP(A312, 'Master Dashboard'!A:L, 10, FALSE)="FAIL", ISNUMBER(SEARCH("Critical", J312))), "3-Red", IF(SUMIF('Code Violations'!A:A, A312, 'Code Violations'!T:T)&gt;=1, "2-Yellow", "1-White")))</f>
        <v/>
      </c>
      <c r="L312">
        <f>IF(J312="","", IF(ISNUMBER(SEARCH("Critical", J312)), "CRITICAL FAIL", IF(ISNUMBER(SEARCH("Overdue", J312)), "FAIL", "COMPLIANT")))</f>
        <v/>
      </c>
    </row>
    <row r="313">
      <c r="K313">
        <f>IF(A313="","", IF(OR(SUMIF('Code Violations'!A:A, A313, 'Code Violations'!T:T)&gt;=5, VLOOKUP(A313, 'Master Dashboard'!A:L, 9, FALSE)="FAIL", VLOOKUP(A313, 'Master Dashboard'!A:L, 10, FALSE)="FAIL", ISNUMBER(SEARCH("Critical", J313))), "3-Red", IF(SUMIF('Code Violations'!A:A, A313, 'Code Violations'!T:T)&gt;=1, "2-Yellow", "1-White")))</f>
        <v/>
      </c>
      <c r="L313">
        <f>IF(J313="","", IF(ISNUMBER(SEARCH("Critical", J313)), "CRITICAL FAIL", IF(ISNUMBER(SEARCH("Overdue", J313)), "FAIL", "COMPLIANT")))</f>
        <v/>
      </c>
    </row>
    <row r="314">
      <c r="K314">
        <f>IF(A314="","", IF(OR(SUMIF('Code Violations'!A:A, A314, 'Code Violations'!T:T)&gt;=5, VLOOKUP(A314, 'Master Dashboard'!A:L, 9, FALSE)="FAIL", VLOOKUP(A314, 'Master Dashboard'!A:L, 10, FALSE)="FAIL", ISNUMBER(SEARCH("Critical", J314))), "3-Red", IF(SUMIF('Code Violations'!A:A, A314, 'Code Violations'!T:T)&gt;=1, "2-Yellow", "1-White")))</f>
        <v/>
      </c>
      <c r="L314">
        <f>IF(J314="","", IF(ISNUMBER(SEARCH("Critical", J314)), "CRITICAL FAIL", IF(ISNUMBER(SEARCH("Overdue", J314)), "FAIL", "COMPLIANT")))</f>
        <v/>
      </c>
    </row>
    <row r="315">
      <c r="K315">
        <f>IF(A315="","", IF(OR(SUMIF('Code Violations'!A:A, A315, 'Code Violations'!T:T)&gt;=5, VLOOKUP(A315, 'Master Dashboard'!A:L, 9, FALSE)="FAIL", VLOOKUP(A315, 'Master Dashboard'!A:L, 10, FALSE)="FAIL", ISNUMBER(SEARCH("Critical", J315))), "3-Red", IF(SUMIF('Code Violations'!A:A, A315, 'Code Violations'!T:T)&gt;=1, "2-Yellow", "1-White")))</f>
        <v/>
      </c>
      <c r="L315">
        <f>IF(J315="","", IF(ISNUMBER(SEARCH("Critical", J315)), "CRITICAL FAIL", IF(ISNUMBER(SEARCH("Overdue", J315)), "FAIL", "COMPLIANT")))</f>
        <v/>
      </c>
    </row>
    <row r="316">
      <c r="K316">
        <f>IF(A316="","", IF(OR(SUMIF('Code Violations'!A:A, A316, 'Code Violations'!T:T)&gt;=5, VLOOKUP(A316, 'Master Dashboard'!A:L, 9, FALSE)="FAIL", VLOOKUP(A316, 'Master Dashboard'!A:L, 10, FALSE)="FAIL", ISNUMBER(SEARCH("Critical", J316))), "3-Red", IF(SUMIF('Code Violations'!A:A, A316, 'Code Violations'!T:T)&gt;=1, "2-Yellow", "1-White")))</f>
        <v/>
      </c>
      <c r="L316">
        <f>IF(J316="","", IF(ISNUMBER(SEARCH("Critical", J316)), "CRITICAL FAIL", IF(ISNUMBER(SEARCH("Overdue", J316)), "FAIL", "COMPLIANT")))</f>
        <v/>
      </c>
    </row>
    <row r="317">
      <c r="K317">
        <f>IF(A317="","", IF(OR(SUMIF('Code Violations'!A:A, A317, 'Code Violations'!T:T)&gt;=5, VLOOKUP(A317, 'Master Dashboard'!A:L, 9, FALSE)="FAIL", VLOOKUP(A317, 'Master Dashboard'!A:L, 10, FALSE)="FAIL", ISNUMBER(SEARCH("Critical", J317))), "3-Red", IF(SUMIF('Code Violations'!A:A, A317, 'Code Violations'!T:T)&gt;=1, "2-Yellow", "1-White")))</f>
        <v/>
      </c>
      <c r="L317">
        <f>IF(J317="","", IF(ISNUMBER(SEARCH("Critical", J317)), "CRITICAL FAIL", IF(ISNUMBER(SEARCH("Overdue", J317)), "FAIL", "COMPLIANT")))</f>
        <v/>
      </c>
    </row>
    <row r="318">
      <c r="K318">
        <f>IF(A318="","", IF(OR(SUMIF('Code Violations'!A:A, A318, 'Code Violations'!T:T)&gt;=5, VLOOKUP(A318, 'Master Dashboard'!A:L, 9, FALSE)="FAIL", VLOOKUP(A318, 'Master Dashboard'!A:L, 10, FALSE)="FAIL", ISNUMBER(SEARCH("Critical", J318))), "3-Red", IF(SUMIF('Code Violations'!A:A, A318, 'Code Violations'!T:T)&gt;=1, "2-Yellow", "1-White")))</f>
        <v/>
      </c>
      <c r="L318">
        <f>IF(J318="","", IF(ISNUMBER(SEARCH("Critical", J318)), "CRITICAL FAIL", IF(ISNUMBER(SEARCH("Overdue", J318)), "FAIL", "COMPLIANT")))</f>
        <v/>
      </c>
    </row>
    <row r="319">
      <c r="K319">
        <f>IF(A319="","", IF(OR(SUMIF('Code Violations'!A:A, A319, 'Code Violations'!T:T)&gt;=5, VLOOKUP(A319, 'Master Dashboard'!A:L, 9, FALSE)="FAIL", VLOOKUP(A319, 'Master Dashboard'!A:L, 10, FALSE)="FAIL", ISNUMBER(SEARCH("Critical", J319))), "3-Red", IF(SUMIF('Code Violations'!A:A, A319, 'Code Violations'!T:T)&gt;=1, "2-Yellow", "1-White")))</f>
        <v/>
      </c>
      <c r="L319">
        <f>IF(J319="","", IF(ISNUMBER(SEARCH("Critical", J319)), "CRITICAL FAIL", IF(ISNUMBER(SEARCH("Overdue", J319)), "FAIL", "COMPLIANT")))</f>
        <v/>
      </c>
    </row>
    <row r="320">
      <c r="K320">
        <f>IF(A320="","", IF(OR(SUMIF('Code Violations'!A:A, A320, 'Code Violations'!T:T)&gt;=5, VLOOKUP(A320, 'Master Dashboard'!A:L, 9, FALSE)="FAIL", VLOOKUP(A320, 'Master Dashboard'!A:L, 10, FALSE)="FAIL", ISNUMBER(SEARCH("Critical", J320))), "3-Red", IF(SUMIF('Code Violations'!A:A, A320, 'Code Violations'!T:T)&gt;=1, "2-Yellow", "1-White")))</f>
        <v/>
      </c>
      <c r="L320">
        <f>IF(J320="","", IF(ISNUMBER(SEARCH("Critical", J320)), "CRITICAL FAIL", IF(ISNUMBER(SEARCH("Overdue", J320)), "FAIL", "COMPLIANT")))</f>
        <v/>
      </c>
    </row>
    <row r="321">
      <c r="K321">
        <f>IF(A321="","", IF(OR(SUMIF('Code Violations'!A:A, A321, 'Code Violations'!T:T)&gt;=5, VLOOKUP(A321, 'Master Dashboard'!A:L, 9, FALSE)="FAIL", VLOOKUP(A321, 'Master Dashboard'!A:L, 10, FALSE)="FAIL", ISNUMBER(SEARCH("Critical", J321))), "3-Red", IF(SUMIF('Code Violations'!A:A, A321, 'Code Violations'!T:T)&gt;=1, "2-Yellow", "1-White")))</f>
        <v/>
      </c>
      <c r="L321">
        <f>IF(J321="","", IF(ISNUMBER(SEARCH("Critical", J321)), "CRITICAL FAIL", IF(ISNUMBER(SEARCH("Overdue", J321)), "FAIL", "COMPLIANT")))</f>
        <v/>
      </c>
    </row>
    <row r="322">
      <c r="K322">
        <f>IF(A322="","", IF(OR(SUMIF('Code Violations'!A:A, A322, 'Code Violations'!T:T)&gt;=5, VLOOKUP(A322, 'Master Dashboard'!A:L, 9, FALSE)="FAIL", VLOOKUP(A322, 'Master Dashboard'!A:L, 10, FALSE)="FAIL", ISNUMBER(SEARCH("Critical", J322))), "3-Red", IF(SUMIF('Code Violations'!A:A, A322, 'Code Violations'!T:T)&gt;=1, "2-Yellow", "1-White")))</f>
        <v/>
      </c>
      <c r="L322">
        <f>IF(J322="","", IF(ISNUMBER(SEARCH("Critical", J322)), "CRITICAL FAIL", IF(ISNUMBER(SEARCH("Overdue", J322)), "FAIL", "COMPLIANT")))</f>
        <v/>
      </c>
    </row>
    <row r="323">
      <c r="K323">
        <f>IF(A323="","", IF(OR(SUMIF('Code Violations'!A:A, A323, 'Code Violations'!T:T)&gt;=5, VLOOKUP(A323, 'Master Dashboard'!A:L, 9, FALSE)="FAIL", VLOOKUP(A323, 'Master Dashboard'!A:L, 10, FALSE)="FAIL", ISNUMBER(SEARCH("Critical", J323))), "3-Red", IF(SUMIF('Code Violations'!A:A, A323, 'Code Violations'!T:T)&gt;=1, "2-Yellow", "1-White")))</f>
        <v/>
      </c>
      <c r="L323">
        <f>IF(J323="","", IF(ISNUMBER(SEARCH("Critical", J323)), "CRITICAL FAIL", IF(ISNUMBER(SEARCH("Overdue", J323)), "FAIL", "COMPLIANT")))</f>
        <v/>
      </c>
    </row>
    <row r="324">
      <c r="K324">
        <f>IF(A324="","", IF(OR(SUMIF('Code Violations'!A:A, A324, 'Code Violations'!T:T)&gt;=5, VLOOKUP(A324, 'Master Dashboard'!A:L, 9, FALSE)="FAIL", VLOOKUP(A324, 'Master Dashboard'!A:L, 10, FALSE)="FAIL", ISNUMBER(SEARCH("Critical", J324))), "3-Red", IF(SUMIF('Code Violations'!A:A, A324, 'Code Violations'!T:T)&gt;=1, "2-Yellow", "1-White")))</f>
        <v/>
      </c>
      <c r="L324">
        <f>IF(J324="","", IF(ISNUMBER(SEARCH("Critical", J324)), "CRITICAL FAIL", IF(ISNUMBER(SEARCH("Overdue", J324)), "FAIL", "COMPLIANT")))</f>
        <v/>
      </c>
    </row>
    <row r="325">
      <c r="K325">
        <f>IF(A325="","", IF(OR(SUMIF('Code Violations'!A:A, A325, 'Code Violations'!T:T)&gt;=5, VLOOKUP(A325, 'Master Dashboard'!A:L, 9, FALSE)="FAIL", VLOOKUP(A325, 'Master Dashboard'!A:L, 10, FALSE)="FAIL", ISNUMBER(SEARCH("Critical", J325))), "3-Red", IF(SUMIF('Code Violations'!A:A, A325, 'Code Violations'!T:T)&gt;=1, "2-Yellow", "1-White")))</f>
        <v/>
      </c>
      <c r="L325">
        <f>IF(J325="","", IF(ISNUMBER(SEARCH("Critical", J325)), "CRITICAL FAIL", IF(ISNUMBER(SEARCH("Overdue", J325)), "FAIL", "COMPLIANT")))</f>
        <v/>
      </c>
    </row>
    <row r="326">
      <c r="K326">
        <f>IF(A326="","", IF(OR(SUMIF('Code Violations'!A:A, A326, 'Code Violations'!T:T)&gt;=5, VLOOKUP(A326, 'Master Dashboard'!A:L, 9, FALSE)="FAIL", VLOOKUP(A326, 'Master Dashboard'!A:L, 10, FALSE)="FAIL", ISNUMBER(SEARCH("Critical", J326))), "3-Red", IF(SUMIF('Code Violations'!A:A, A326, 'Code Violations'!T:T)&gt;=1, "2-Yellow", "1-White")))</f>
        <v/>
      </c>
      <c r="L326">
        <f>IF(J326="","", IF(ISNUMBER(SEARCH("Critical", J326)), "CRITICAL FAIL", IF(ISNUMBER(SEARCH("Overdue", J326)), "FAIL", "COMPLIANT")))</f>
        <v/>
      </c>
    </row>
    <row r="327">
      <c r="K327">
        <f>IF(A327="","", IF(OR(SUMIF('Code Violations'!A:A, A327, 'Code Violations'!T:T)&gt;=5, VLOOKUP(A327, 'Master Dashboard'!A:L, 9, FALSE)="FAIL", VLOOKUP(A327, 'Master Dashboard'!A:L, 10, FALSE)="FAIL", ISNUMBER(SEARCH("Critical", J327))), "3-Red", IF(SUMIF('Code Violations'!A:A, A327, 'Code Violations'!T:T)&gt;=1, "2-Yellow", "1-White")))</f>
        <v/>
      </c>
      <c r="L327">
        <f>IF(J327="","", IF(ISNUMBER(SEARCH("Critical", J327)), "CRITICAL FAIL", IF(ISNUMBER(SEARCH("Overdue", J327)), "FAIL", "COMPLIANT")))</f>
        <v/>
      </c>
    </row>
    <row r="328">
      <c r="K328">
        <f>IF(A328="","", IF(OR(SUMIF('Code Violations'!A:A, A328, 'Code Violations'!T:T)&gt;=5, VLOOKUP(A328, 'Master Dashboard'!A:L, 9, FALSE)="FAIL", VLOOKUP(A328, 'Master Dashboard'!A:L, 10, FALSE)="FAIL", ISNUMBER(SEARCH("Critical", J328))), "3-Red", IF(SUMIF('Code Violations'!A:A, A328, 'Code Violations'!T:T)&gt;=1, "2-Yellow", "1-White")))</f>
        <v/>
      </c>
      <c r="L328">
        <f>IF(J328="","", IF(ISNUMBER(SEARCH("Critical", J328)), "CRITICAL FAIL", IF(ISNUMBER(SEARCH("Overdue", J328)), "FAIL", "COMPLIANT")))</f>
        <v/>
      </c>
    </row>
    <row r="329">
      <c r="K329">
        <f>IF(A329="","", IF(OR(SUMIF('Code Violations'!A:A, A329, 'Code Violations'!T:T)&gt;=5, VLOOKUP(A329, 'Master Dashboard'!A:L, 9, FALSE)="FAIL", VLOOKUP(A329, 'Master Dashboard'!A:L, 10, FALSE)="FAIL", ISNUMBER(SEARCH("Critical", J329))), "3-Red", IF(SUMIF('Code Violations'!A:A, A329, 'Code Violations'!T:T)&gt;=1, "2-Yellow", "1-White")))</f>
        <v/>
      </c>
      <c r="L329">
        <f>IF(J329="","", IF(ISNUMBER(SEARCH("Critical", J329)), "CRITICAL FAIL", IF(ISNUMBER(SEARCH("Overdue", J329)), "FAIL", "COMPLIANT")))</f>
        <v/>
      </c>
    </row>
    <row r="330">
      <c r="K330">
        <f>IF(A330="","", IF(OR(SUMIF('Code Violations'!A:A, A330, 'Code Violations'!T:T)&gt;=5, VLOOKUP(A330, 'Master Dashboard'!A:L, 9, FALSE)="FAIL", VLOOKUP(A330, 'Master Dashboard'!A:L, 10, FALSE)="FAIL", ISNUMBER(SEARCH("Critical", J330))), "3-Red", IF(SUMIF('Code Violations'!A:A, A330, 'Code Violations'!T:T)&gt;=1, "2-Yellow", "1-White")))</f>
        <v/>
      </c>
      <c r="L330">
        <f>IF(J330="","", IF(ISNUMBER(SEARCH("Critical", J330)), "CRITICAL FAIL", IF(ISNUMBER(SEARCH("Overdue", J330)), "FAIL", "COMPLIANT")))</f>
        <v/>
      </c>
    </row>
    <row r="331">
      <c r="K331">
        <f>IF(A331="","", IF(OR(SUMIF('Code Violations'!A:A, A331, 'Code Violations'!T:T)&gt;=5, VLOOKUP(A331, 'Master Dashboard'!A:L, 9, FALSE)="FAIL", VLOOKUP(A331, 'Master Dashboard'!A:L, 10, FALSE)="FAIL", ISNUMBER(SEARCH("Critical", J331))), "3-Red", IF(SUMIF('Code Violations'!A:A, A331, 'Code Violations'!T:T)&gt;=1, "2-Yellow", "1-White")))</f>
        <v/>
      </c>
      <c r="L331">
        <f>IF(J331="","", IF(ISNUMBER(SEARCH("Critical", J331)), "CRITICAL FAIL", IF(ISNUMBER(SEARCH("Overdue", J331)), "FAIL", "COMPLIANT")))</f>
        <v/>
      </c>
    </row>
    <row r="332">
      <c r="K332">
        <f>IF(A332="","", IF(OR(SUMIF('Code Violations'!A:A, A332, 'Code Violations'!T:T)&gt;=5, VLOOKUP(A332, 'Master Dashboard'!A:L, 9, FALSE)="FAIL", VLOOKUP(A332, 'Master Dashboard'!A:L, 10, FALSE)="FAIL", ISNUMBER(SEARCH("Critical", J332))), "3-Red", IF(SUMIF('Code Violations'!A:A, A332, 'Code Violations'!T:T)&gt;=1, "2-Yellow", "1-White")))</f>
        <v/>
      </c>
      <c r="L332">
        <f>IF(J332="","", IF(ISNUMBER(SEARCH("Critical", J332)), "CRITICAL FAIL", IF(ISNUMBER(SEARCH("Overdue", J332)), "FAIL", "COMPLIANT")))</f>
        <v/>
      </c>
    </row>
    <row r="333">
      <c r="K333">
        <f>IF(A333="","", IF(OR(SUMIF('Code Violations'!A:A, A333, 'Code Violations'!T:T)&gt;=5, VLOOKUP(A333, 'Master Dashboard'!A:L, 9, FALSE)="FAIL", VLOOKUP(A333, 'Master Dashboard'!A:L, 10, FALSE)="FAIL", ISNUMBER(SEARCH("Critical", J333))), "3-Red", IF(SUMIF('Code Violations'!A:A, A333, 'Code Violations'!T:T)&gt;=1, "2-Yellow", "1-White")))</f>
        <v/>
      </c>
      <c r="L333">
        <f>IF(J333="","", IF(ISNUMBER(SEARCH("Critical", J333)), "CRITICAL FAIL", IF(ISNUMBER(SEARCH("Overdue", J333)), "FAIL", "COMPLIANT")))</f>
        <v/>
      </c>
    </row>
    <row r="334">
      <c r="K334">
        <f>IF(A334="","", IF(OR(SUMIF('Code Violations'!A:A, A334, 'Code Violations'!T:T)&gt;=5, VLOOKUP(A334, 'Master Dashboard'!A:L, 9, FALSE)="FAIL", VLOOKUP(A334, 'Master Dashboard'!A:L, 10, FALSE)="FAIL", ISNUMBER(SEARCH("Critical", J334))), "3-Red", IF(SUMIF('Code Violations'!A:A, A334, 'Code Violations'!T:T)&gt;=1, "2-Yellow", "1-White")))</f>
        <v/>
      </c>
      <c r="L334">
        <f>IF(J334="","", IF(ISNUMBER(SEARCH("Critical", J334)), "CRITICAL FAIL", IF(ISNUMBER(SEARCH("Overdue", J334)), "FAIL", "COMPLIANT")))</f>
        <v/>
      </c>
    </row>
    <row r="335">
      <c r="K335">
        <f>IF(A335="","", IF(OR(SUMIF('Code Violations'!A:A, A335, 'Code Violations'!T:T)&gt;=5, VLOOKUP(A335, 'Master Dashboard'!A:L, 9, FALSE)="FAIL", VLOOKUP(A335, 'Master Dashboard'!A:L, 10, FALSE)="FAIL", ISNUMBER(SEARCH("Critical", J335))), "3-Red", IF(SUMIF('Code Violations'!A:A, A335, 'Code Violations'!T:T)&gt;=1, "2-Yellow", "1-White")))</f>
        <v/>
      </c>
      <c r="L335">
        <f>IF(J335="","", IF(ISNUMBER(SEARCH("Critical", J335)), "CRITICAL FAIL", IF(ISNUMBER(SEARCH("Overdue", J335)), "FAIL", "COMPLIANT")))</f>
        <v/>
      </c>
    </row>
    <row r="336">
      <c r="K336">
        <f>IF(A336="","", IF(OR(SUMIF('Code Violations'!A:A, A336, 'Code Violations'!T:T)&gt;=5, VLOOKUP(A336, 'Master Dashboard'!A:L, 9, FALSE)="FAIL", VLOOKUP(A336, 'Master Dashboard'!A:L, 10, FALSE)="FAIL", ISNUMBER(SEARCH("Critical", J336))), "3-Red", IF(SUMIF('Code Violations'!A:A, A336, 'Code Violations'!T:T)&gt;=1, "2-Yellow", "1-White")))</f>
        <v/>
      </c>
      <c r="L336">
        <f>IF(J336="","", IF(ISNUMBER(SEARCH("Critical", J336)), "CRITICAL FAIL", IF(ISNUMBER(SEARCH("Overdue", J336)), "FAIL", "COMPLIANT")))</f>
        <v/>
      </c>
    </row>
    <row r="337">
      <c r="K337">
        <f>IF(A337="","", IF(OR(SUMIF('Code Violations'!A:A, A337, 'Code Violations'!T:T)&gt;=5, VLOOKUP(A337, 'Master Dashboard'!A:L, 9, FALSE)="FAIL", VLOOKUP(A337, 'Master Dashboard'!A:L, 10, FALSE)="FAIL", ISNUMBER(SEARCH("Critical", J337))), "3-Red", IF(SUMIF('Code Violations'!A:A, A337, 'Code Violations'!T:T)&gt;=1, "2-Yellow", "1-White")))</f>
        <v/>
      </c>
      <c r="L337">
        <f>IF(J337="","", IF(ISNUMBER(SEARCH("Critical", J337)), "CRITICAL FAIL", IF(ISNUMBER(SEARCH("Overdue", J337)), "FAIL", "COMPLIANT")))</f>
        <v/>
      </c>
    </row>
    <row r="338">
      <c r="K338">
        <f>IF(A338="","", IF(OR(SUMIF('Code Violations'!A:A, A338, 'Code Violations'!T:T)&gt;=5, VLOOKUP(A338, 'Master Dashboard'!A:L, 9, FALSE)="FAIL", VLOOKUP(A338, 'Master Dashboard'!A:L, 10, FALSE)="FAIL", ISNUMBER(SEARCH("Critical", J338))), "3-Red", IF(SUMIF('Code Violations'!A:A, A338, 'Code Violations'!T:T)&gt;=1, "2-Yellow", "1-White")))</f>
        <v/>
      </c>
      <c r="L338">
        <f>IF(J338="","", IF(ISNUMBER(SEARCH("Critical", J338)), "CRITICAL FAIL", IF(ISNUMBER(SEARCH("Overdue", J338)), "FAIL", "COMPLIANT")))</f>
        <v/>
      </c>
    </row>
    <row r="339">
      <c r="K339">
        <f>IF(A339="","", IF(OR(SUMIF('Code Violations'!A:A, A339, 'Code Violations'!T:T)&gt;=5, VLOOKUP(A339, 'Master Dashboard'!A:L, 9, FALSE)="FAIL", VLOOKUP(A339, 'Master Dashboard'!A:L, 10, FALSE)="FAIL", ISNUMBER(SEARCH("Critical", J339))), "3-Red", IF(SUMIF('Code Violations'!A:A, A339, 'Code Violations'!T:T)&gt;=1, "2-Yellow", "1-White")))</f>
        <v/>
      </c>
      <c r="L339">
        <f>IF(J339="","", IF(ISNUMBER(SEARCH("Critical", J339)), "CRITICAL FAIL", IF(ISNUMBER(SEARCH("Overdue", J339)), "FAIL", "COMPLIANT")))</f>
        <v/>
      </c>
    </row>
    <row r="340">
      <c r="K340">
        <f>IF(A340="","", IF(OR(SUMIF('Code Violations'!A:A, A340, 'Code Violations'!T:T)&gt;=5, VLOOKUP(A340, 'Master Dashboard'!A:L, 9, FALSE)="FAIL", VLOOKUP(A340, 'Master Dashboard'!A:L, 10, FALSE)="FAIL", ISNUMBER(SEARCH("Critical", J340))), "3-Red", IF(SUMIF('Code Violations'!A:A, A340, 'Code Violations'!T:T)&gt;=1, "2-Yellow", "1-White")))</f>
        <v/>
      </c>
      <c r="L340">
        <f>IF(J340="","", IF(ISNUMBER(SEARCH("Critical", J340)), "CRITICAL FAIL", IF(ISNUMBER(SEARCH("Overdue", J340)), "FAIL", "COMPLIANT")))</f>
        <v/>
      </c>
    </row>
    <row r="341">
      <c r="K341">
        <f>IF(A341="","", IF(OR(SUMIF('Code Violations'!A:A, A341, 'Code Violations'!T:T)&gt;=5, VLOOKUP(A341, 'Master Dashboard'!A:L, 9, FALSE)="FAIL", VLOOKUP(A341, 'Master Dashboard'!A:L, 10, FALSE)="FAIL", ISNUMBER(SEARCH("Critical", J341))), "3-Red", IF(SUMIF('Code Violations'!A:A, A341, 'Code Violations'!T:T)&gt;=1, "2-Yellow", "1-White")))</f>
        <v/>
      </c>
      <c r="L341">
        <f>IF(J341="","", IF(ISNUMBER(SEARCH("Critical", J341)), "CRITICAL FAIL", IF(ISNUMBER(SEARCH("Overdue", J341)), "FAIL", "COMPLIANT")))</f>
        <v/>
      </c>
    </row>
    <row r="342">
      <c r="K342">
        <f>IF(A342="","", IF(OR(SUMIF('Code Violations'!A:A, A342, 'Code Violations'!T:T)&gt;=5, VLOOKUP(A342, 'Master Dashboard'!A:L, 9, FALSE)="FAIL", VLOOKUP(A342, 'Master Dashboard'!A:L, 10, FALSE)="FAIL", ISNUMBER(SEARCH("Critical", J342))), "3-Red", IF(SUMIF('Code Violations'!A:A, A342, 'Code Violations'!T:T)&gt;=1, "2-Yellow", "1-White")))</f>
        <v/>
      </c>
      <c r="L342">
        <f>IF(J342="","", IF(ISNUMBER(SEARCH("Critical", J342)), "CRITICAL FAIL", IF(ISNUMBER(SEARCH("Overdue", J342)), "FAIL", "COMPLIANT")))</f>
        <v/>
      </c>
    </row>
    <row r="343">
      <c r="K343">
        <f>IF(A343="","", IF(OR(SUMIF('Code Violations'!A:A, A343, 'Code Violations'!T:T)&gt;=5, VLOOKUP(A343, 'Master Dashboard'!A:L, 9, FALSE)="FAIL", VLOOKUP(A343, 'Master Dashboard'!A:L, 10, FALSE)="FAIL", ISNUMBER(SEARCH("Critical", J343))), "3-Red", IF(SUMIF('Code Violations'!A:A, A343, 'Code Violations'!T:T)&gt;=1, "2-Yellow", "1-White")))</f>
        <v/>
      </c>
      <c r="L343">
        <f>IF(J343="","", IF(ISNUMBER(SEARCH("Critical", J343)), "CRITICAL FAIL", IF(ISNUMBER(SEARCH("Overdue", J343)), "FAIL", "COMPLIANT")))</f>
        <v/>
      </c>
    </row>
    <row r="344">
      <c r="K344">
        <f>IF(A344="","", IF(OR(SUMIF('Code Violations'!A:A, A344, 'Code Violations'!T:T)&gt;=5, VLOOKUP(A344, 'Master Dashboard'!A:L, 9, FALSE)="FAIL", VLOOKUP(A344, 'Master Dashboard'!A:L, 10, FALSE)="FAIL", ISNUMBER(SEARCH("Critical", J344))), "3-Red", IF(SUMIF('Code Violations'!A:A, A344, 'Code Violations'!T:T)&gt;=1, "2-Yellow", "1-White")))</f>
        <v/>
      </c>
      <c r="L344">
        <f>IF(J344="","", IF(ISNUMBER(SEARCH("Critical", J344)), "CRITICAL FAIL", IF(ISNUMBER(SEARCH("Overdue", J344)), "FAIL", "COMPLIANT")))</f>
        <v/>
      </c>
    </row>
    <row r="345">
      <c r="K345">
        <f>IF(A345="","", IF(OR(SUMIF('Code Violations'!A:A, A345, 'Code Violations'!T:T)&gt;=5, VLOOKUP(A345, 'Master Dashboard'!A:L, 9, FALSE)="FAIL", VLOOKUP(A345, 'Master Dashboard'!A:L, 10, FALSE)="FAIL", ISNUMBER(SEARCH("Critical", J345))), "3-Red", IF(SUMIF('Code Violations'!A:A, A345, 'Code Violations'!T:T)&gt;=1, "2-Yellow", "1-White")))</f>
        <v/>
      </c>
      <c r="L345">
        <f>IF(J345="","", IF(ISNUMBER(SEARCH("Critical", J345)), "CRITICAL FAIL", IF(ISNUMBER(SEARCH("Overdue", J345)), "FAIL", "COMPLIANT")))</f>
        <v/>
      </c>
    </row>
    <row r="346">
      <c r="K346">
        <f>IF(A346="","", IF(OR(SUMIF('Code Violations'!A:A, A346, 'Code Violations'!T:T)&gt;=5, VLOOKUP(A346, 'Master Dashboard'!A:L, 9, FALSE)="FAIL", VLOOKUP(A346, 'Master Dashboard'!A:L, 10, FALSE)="FAIL", ISNUMBER(SEARCH("Critical", J346))), "3-Red", IF(SUMIF('Code Violations'!A:A, A346, 'Code Violations'!T:T)&gt;=1, "2-Yellow", "1-White")))</f>
        <v/>
      </c>
      <c r="L346">
        <f>IF(J346="","", IF(ISNUMBER(SEARCH("Critical", J346)), "CRITICAL FAIL", IF(ISNUMBER(SEARCH("Overdue", J346)), "FAIL", "COMPLIANT")))</f>
        <v/>
      </c>
    </row>
    <row r="347">
      <c r="K347">
        <f>IF(A347="","", IF(OR(SUMIF('Code Violations'!A:A, A347, 'Code Violations'!T:T)&gt;=5, VLOOKUP(A347, 'Master Dashboard'!A:L, 9, FALSE)="FAIL", VLOOKUP(A347, 'Master Dashboard'!A:L, 10, FALSE)="FAIL", ISNUMBER(SEARCH("Critical", J347))), "3-Red", IF(SUMIF('Code Violations'!A:A, A347, 'Code Violations'!T:T)&gt;=1, "2-Yellow", "1-White")))</f>
        <v/>
      </c>
      <c r="L347">
        <f>IF(J347="","", IF(ISNUMBER(SEARCH("Critical", J347)), "CRITICAL FAIL", IF(ISNUMBER(SEARCH("Overdue", J347)), "FAIL", "COMPLIANT")))</f>
        <v/>
      </c>
    </row>
    <row r="348">
      <c r="K348">
        <f>IF(A348="","", IF(OR(SUMIF('Code Violations'!A:A, A348, 'Code Violations'!T:T)&gt;=5, VLOOKUP(A348, 'Master Dashboard'!A:L, 9, FALSE)="FAIL", VLOOKUP(A348, 'Master Dashboard'!A:L, 10, FALSE)="FAIL", ISNUMBER(SEARCH("Critical", J348))), "3-Red", IF(SUMIF('Code Violations'!A:A, A348, 'Code Violations'!T:T)&gt;=1, "2-Yellow", "1-White")))</f>
        <v/>
      </c>
      <c r="L348">
        <f>IF(J348="","", IF(ISNUMBER(SEARCH("Critical", J348)), "CRITICAL FAIL", IF(ISNUMBER(SEARCH("Overdue", J348)), "FAIL", "COMPLIANT")))</f>
        <v/>
      </c>
    </row>
    <row r="349">
      <c r="K349">
        <f>IF(A349="","", IF(OR(SUMIF('Code Violations'!A:A, A349, 'Code Violations'!T:T)&gt;=5, VLOOKUP(A349, 'Master Dashboard'!A:L, 9, FALSE)="FAIL", VLOOKUP(A349, 'Master Dashboard'!A:L, 10, FALSE)="FAIL", ISNUMBER(SEARCH("Critical", J349))), "3-Red", IF(SUMIF('Code Violations'!A:A, A349, 'Code Violations'!T:T)&gt;=1, "2-Yellow", "1-White")))</f>
        <v/>
      </c>
      <c r="L349">
        <f>IF(J349="","", IF(ISNUMBER(SEARCH("Critical", J349)), "CRITICAL FAIL", IF(ISNUMBER(SEARCH("Overdue", J349)), "FAIL", "COMPLIANT")))</f>
        <v/>
      </c>
    </row>
    <row r="350">
      <c r="K350">
        <f>IF(A350="","", IF(OR(SUMIF('Code Violations'!A:A, A350, 'Code Violations'!T:T)&gt;=5, VLOOKUP(A350, 'Master Dashboard'!A:L, 9, FALSE)="FAIL", VLOOKUP(A350, 'Master Dashboard'!A:L, 10, FALSE)="FAIL", ISNUMBER(SEARCH("Critical", J350))), "3-Red", IF(SUMIF('Code Violations'!A:A, A350, 'Code Violations'!T:T)&gt;=1, "2-Yellow", "1-White")))</f>
        <v/>
      </c>
      <c r="L350">
        <f>IF(J350="","", IF(ISNUMBER(SEARCH("Critical", J350)), "CRITICAL FAIL", IF(ISNUMBER(SEARCH("Overdue", J350)), "FAIL", "COMPLIANT")))</f>
        <v/>
      </c>
    </row>
    <row r="351">
      <c r="K351">
        <f>IF(A351="","", IF(OR(SUMIF('Code Violations'!A:A, A351, 'Code Violations'!T:T)&gt;=5, VLOOKUP(A351, 'Master Dashboard'!A:L, 9, FALSE)="FAIL", VLOOKUP(A351, 'Master Dashboard'!A:L, 10, FALSE)="FAIL", ISNUMBER(SEARCH("Critical", J351))), "3-Red", IF(SUMIF('Code Violations'!A:A, A351, 'Code Violations'!T:T)&gt;=1, "2-Yellow", "1-White")))</f>
        <v/>
      </c>
      <c r="L351">
        <f>IF(J351="","", IF(ISNUMBER(SEARCH("Critical", J351)), "CRITICAL FAIL", IF(ISNUMBER(SEARCH("Overdue", J351)), "FAIL", "COMPLIANT")))</f>
        <v/>
      </c>
    </row>
    <row r="352">
      <c r="K352">
        <f>IF(A352="","", IF(OR(SUMIF('Code Violations'!A:A, A352, 'Code Violations'!T:T)&gt;=5, VLOOKUP(A352, 'Master Dashboard'!A:L, 9, FALSE)="FAIL", VLOOKUP(A352, 'Master Dashboard'!A:L, 10, FALSE)="FAIL", ISNUMBER(SEARCH("Critical", J352))), "3-Red", IF(SUMIF('Code Violations'!A:A, A352, 'Code Violations'!T:T)&gt;=1, "2-Yellow", "1-White")))</f>
        <v/>
      </c>
      <c r="L352">
        <f>IF(J352="","", IF(ISNUMBER(SEARCH("Critical", J352)), "CRITICAL FAIL", IF(ISNUMBER(SEARCH("Overdue", J352)), "FAIL", "COMPLIANT")))</f>
        <v/>
      </c>
    </row>
    <row r="353">
      <c r="K353">
        <f>IF(A353="","", IF(OR(SUMIF('Code Violations'!A:A, A353, 'Code Violations'!T:T)&gt;=5, VLOOKUP(A353, 'Master Dashboard'!A:L, 9, FALSE)="FAIL", VLOOKUP(A353, 'Master Dashboard'!A:L, 10, FALSE)="FAIL", ISNUMBER(SEARCH("Critical", J353))), "3-Red", IF(SUMIF('Code Violations'!A:A, A353, 'Code Violations'!T:T)&gt;=1, "2-Yellow", "1-White")))</f>
        <v/>
      </c>
      <c r="L353">
        <f>IF(J353="","", IF(ISNUMBER(SEARCH("Critical", J353)), "CRITICAL FAIL", IF(ISNUMBER(SEARCH("Overdue", J353)), "FAIL", "COMPLIANT")))</f>
        <v/>
      </c>
    </row>
    <row r="354">
      <c r="K354">
        <f>IF(A354="","", IF(OR(SUMIF('Code Violations'!A:A, A354, 'Code Violations'!T:T)&gt;=5, VLOOKUP(A354, 'Master Dashboard'!A:L, 9, FALSE)="FAIL", VLOOKUP(A354, 'Master Dashboard'!A:L, 10, FALSE)="FAIL", ISNUMBER(SEARCH("Critical", J354))), "3-Red", IF(SUMIF('Code Violations'!A:A, A354, 'Code Violations'!T:T)&gt;=1, "2-Yellow", "1-White")))</f>
        <v/>
      </c>
      <c r="L354">
        <f>IF(J354="","", IF(ISNUMBER(SEARCH("Critical", J354)), "CRITICAL FAIL", IF(ISNUMBER(SEARCH("Overdue", J354)), "FAIL", "COMPLIANT")))</f>
        <v/>
      </c>
    </row>
    <row r="355">
      <c r="K355">
        <f>IF(A355="","", IF(OR(SUMIF('Code Violations'!A:A, A355, 'Code Violations'!T:T)&gt;=5, VLOOKUP(A355, 'Master Dashboard'!A:L, 9, FALSE)="FAIL", VLOOKUP(A355, 'Master Dashboard'!A:L, 10, FALSE)="FAIL", ISNUMBER(SEARCH("Critical", J355))), "3-Red", IF(SUMIF('Code Violations'!A:A, A355, 'Code Violations'!T:T)&gt;=1, "2-Yellow", "1-White")))</f>
        <v/>
      </c>
      <c r="L355">
        <f>IF(J355="","", IF(ISNUMBER(SEARCH("Critical", J355)), "CRITICAL FAIL", IF(ISNUMBER(SEARCH("Overdue", J355)), "FAIL", "COMPLIANT")))</f>
        <v/>
      </c>
    </row>
    <row r="356">
      <c r="K356">
        <f>IF(A356="","", IF(OR(SUMIF('Code Violations'!A:A, A356, 'Code Violations'!T:T)&gt;=5, VLOOKUP(A356, 'Master Dashboard'!A:L, 9, FALSE)="FAIL", VLOOKUP(A356, 'Master Dashboard'!A:L, 10, FALSE)="FAIL", ISNUMBER(SEARCH("Critical", J356))), "3-Red", IF(SUMIF('Code Violations'!A:A, A356, 'Code Violations'!T:T)&gt;=1, "2-Yellow", "1-White")))</f>
        <v/>
      </c>
      <c r="L356">
        <f>IF(J356="","", IF(ISNUMBER(SEARCH("Critical", J356)), "CRITICAL FAIL", IF(ISNUMBER(SEARCH("Overdue", J356)), "FAIL", "COMPLIANT")))</f>
        <v/>
      </c>
    </row>
    <row r="357">
      <c r="K357">
        <f>IF(A357="","", IF(OR(SUMIF('Code Violations'!A:A, A357, 'Code Violations'!T:T)&gt;=5, VLOOKUP(A357, 'Master Dashboard'!A:L, 9, FALSE)="FAIL", VLOOKUP(A357, 'Master Dashboard'!A:L, 10, FALSE)="FAIL", ISNUMBER(SEARCH("Critical", J357))), "3-Red", IF(SUMIF('Code Violations'!A:A, A357, 'Code Violations'!T:T)&gt;=1, "2-Yellow", "1-White")))</f>
        <v/>
      </c>
      <c r="L357">
        <f>IF(J357="","", IF(ISNUMBER(SEARCH("Critical", J357)), "CRITICAL FAIL", IF(ISNUMBER(SEARCH("Overdue", J357)), "FAIL", "COMPLIANT")))</f>
        <v/>
      </c>
    </row>
    <row r="358">
      <c r="K358">
        <f>IF(A358="","", IF(OR(SUMIF('Code Violations'!A:A, A358, 'Code Violations'!T:T)&gt;=5, VLOOKUP(A358, 'Master Dashboard'!A:L, 9, FALSE)="FAIL", VLOOKUP(A358, 'Master Dashboard'!A:L, 10, FALSE)="FAIL", ISNUMBER(SEARCH("Critical", J358))), "3-Red", IF(SUMIF('Code Violations'!A:A, A358, 'Code Violations'!T:T)&gt;=1, "2-Yellow", "1-White")))</f>
        <v/>
      </c>
      <c r="L358">
        <f>IF(J358="","", IF(ISNUMBER(SEARCH("Critical", J358)), "CRITICAL FAIL", IF(ISNUMBER(SEARCH("Overdue", J358)), "FAIL", "COMPLIANT")))</f>
        <v/>
      </c>
    </row>
    <row r="359">
      <c r="K359">
        <f>IF(A359="","", IF(OR(SUMIF('Code Violations'!A:A, A359, 'Code Violations'!T:T)&gt;=5, VLOOKUP(A359, 'Master Dashboard'!A:L, 9, FALSE)="FAIL", VLOOKUP(A359, 'Master Dashboard'!A:L, 10, FALSE)="FAIL", ISNUMBER(SEARCH("Critical", J359))), "3-Red", IF(SUMIF('Code Violations'!A:A, A359, 'Code Violations'!T:T)&gt;=1, "2-Yellow", "1-White")))</f>
        <v/>
      </c>
      <c r="L359">
        <f>IF(J359="","", IF(ISNUMBER(SEARCH("Critical", J359)), "CRITICAL FAIL", IF(ISNUMBER(SEARCH("Overdue", J359)), "FAIL", "COMPLIANT")))</f>
        <v/>
      </c>
    </row>
    <row r="360">
      <c r="K360">
        <f>IF(A360="","", IF(OR(SUMIF('Code Violations'!A:A, A360, 'Code Violations'!T:T)&gt;=5, VLOOKUP(A360, 'Master Dashboard'!A:L, 9, FALSE)="FAIL", VLOOKUP(A360, 'Master Dashboard'!A:L, 10, FALSE)="FAIL", ISNUMBER(SEARCH("Critical", J360))), "3-Red", IF(SUMIF('Code Violations'!A:A, A360, 'Code Violations'!T:T)&gt;=1, "2-Yellow", "1-White")))</f>
        <v/>
      </c>
      <c r="L360">
        <f>IF(J360="","", IF(ISNUMBER(SEARCH("Critical", J360)), "CRITICAL FAIL", IF(ISNUMBER(SEARCH("Overdue", J360)), "FAIL", "COMPLIANT")))</f>
        <v/>
      </c>
    </row>
    <row r="361">
      <c r="K361">
        <f>IF(A361="","", IF(OR(SUMIF('Code Violations'!A:A, A361, 'Code Violations'!T:T)&gt;=5, VLOOKUP(A361, 'Master Dashboard'!A:L, 9, FALSE)="FAIL", VLOOKUP(A361, 'Master Dashboard'!A:L, 10, FALSE)="FAIL", ISNUMBER(SEARCH("Critical", J361))), "3-Red", IF(SUMIF('Code Violations'!A:A, A361, 'Code Violations'!T:T)&gt;=1, "2-Yellow", "1-White")))</f>
        <v/>
      </c>
      <c r="L361">
        <f>IF(J361="","", IF(ISNUMBER(SEARCH("Critical", J361)), "CRITICAL FAIL", IF(ISNUMBER(SEARCH("Overdue", J361)), "FAIL", "COMPLIANT")))</f>
        <v/>
      </c>
    </row>
    <row r="362">
      <c r="K362">
        <f>IF(A362="","", IF(OR(SUMIF('Code Violations'!A:A, A362, 'Code Violations'!T:T)&gt;=5, VLOOKUP(A362, 'Master Dashboard'!A:L, 9, FALSE)="FAIL", VLOOKUP(A362, 'Master Dashboard'!A:L, 10, FALSE)="FAIL", ISNUMBER(SEARCH("Critical", J362))), "3-Red", IF(SUMIF('Code Violations'!A:A, A362, 'Code Violations'!T:T)&gt;=1, "2-Yellow", "1-White")))</f>
        <v/>
      </c>
      <c r="L362">
        <f>IF(J362="","", IF(ISNUMBER(SEARCH("Critical", J362)), "CRITICAL FAIL", IF(ISNUMBER(SEARCH("Overdue", J362)), "FAIL", "COMPLIANT")))</f>
        <v/>
      </c>
    </row>
    <row r="363">
      <c r="K363">
        <f>IF(A363="","", IF(OR(SUMIF('Code Violations'!A:A, A363, 'Code Violations'!T:T)&gt;=5, VLOOKUP(A363, 'Master Dashboard'!A:L, 9, FALSE)="FAIL", VLOOKUP(A363, 'Master Dashboard'!A:L, 10, FALSE)="FAIL", ISNUMBER(SEARCH("Critical", J363))), "3-Red", IF(SUMIF('Code Violations'!A:A, A363, 'Code Violations'!T:T)&gt;=1, "2-Yellow", "1-White")))</f>
        <v/>
      </c>
      <c r="L363">
        <f>IF(J363="","", IF(ISNUMBER(SEARCH("Critical", J363)), "CRITICAL FAIL", IF(ISNUMBER(SEARCH("Overdue", J363)), "FAIL", "COMPLIANT")))</f>
        <v/>
      </c>
    </row>
    <row r="364">
      <c r="K364">
        <f>IF(A364="","", IF(OR(SUMIF('Code Violations'!A:A, A364, 'Code Violations'!T:T)&gt;=5, VLOOKUP(A364, 'Master Dashboard'!A:L, 9, FALSE)="FAIL", VLOOKUP(A364, 'Master Dashboard'!A:L, 10, FALSE)="FAIL", ISNUMBER(SEARCH("Critical", J364))), "3-Red", IF(SUMIF('Code Violations'!A:A, A364, 'Code Violations'!T:T)&gt;=1, "2-Yellow", "1-White")))</f>
        <v/>
      </c>
      <c r="L364">
        <f>IF(J364="","", IF(ISNUMBER(SEARCH("Critical", J364)), "CRITICAL FAIL", IF(ISNUMBER(SEARCH("Overdue", J364)), "FAIL", "COMPLIANT")))</f>
        <v/>
      </c>
    </row>
    <row r="365">
      <c r="K365">
        <f>IF(A365="","", IF(OR(SUMIF('Code Violations'!A:A, A365, 'Code Violations'!T:T)&gt;=5, VLOOKUP(A365, 'Master Dashboard'!A:L, 9, FALSE)="FAIL", VLOOKUP(A365, 'Master Dashboard'!A:L, 10, FALSE)="FAIL", ISNUMBER(SEARCH("Critical", J365))), "3-Red", IF(SUMIF('Code Violations'!A:A, A365, 'Code Violations'!T:T)&gt;=1, "2-Yellow", "1-White")))</f>
        <v/>
      </c>
      <c r="L365">
        <f>IF(J365="","", IF(ISNUMBER(SEARCH("Critical", J365)), "CRITICAL FAIL", IF(ISNUMBER(SEARCH("Overdue", J365)), "FAIL", "COMPLIANT")))</f>
        <v/>
      </c>
    </row>
    <row r="366">
      <c r="K366">
        <f>IF(A366="","", IF(OR(SUMIF('Code Violations'!A:A, A366, 'Code Violations'!T:T)&gt;=5, VLOOKUP(A366, 'Master Dashboard'!A:L, 9, FALSE)="FAIL", VLOOKUP(A366, 'Master Dashboard'!A:L, 10, FALSE)="FAIL", ISNUMBER(SEARCH("Critical", J366))), "3-Red", IF(SUMIF('Code Violations'!A:A, A366, 'Code Violations'!T:T)&gt;=1, "2-Yellow", "1-White")))</f>
        <v/>
      </c>
      <c r="L366">
        <f>IF(J366="","", IF(ISNUMBER(SEARCH("Critical", J366)), "CRITICAL FAIL", IF(ISNUMBER(SEARCH("Overdue", J366)), "FAIL", "COMPLIANT")))</f>
        <v/>
      </c>
    </row>
    <row r="367">
      <c r="K367">
        <f>IF(A367="","", IF(OR(SUMIF('Code Violations'!A:A, A367, 'Code Violations'!T:T)&gt;=5, VLOOKUP(A367, 'Master Dashboard'!A:L, 9, FALSE)="FAIL", VLOOKUP(A367, 'Master Dashboard'!A:L, 10, FALSE)="FAIL", ISNUMBER(SEARCH("Critical", J367))), "3-Red", IF(SUMIF('Code Violations'!A:A, A367, 'Code Violations'!T:T)&gt;=1, "2-Yellow", "1-White")))</f>
        <v/>
      </c>
      <c r="L367">
        <f>IF(J367="","", IF(ISNUMBER(SEARCH("Critical", J367)), "CRITICAL FAIL", IF(ISNUMBER(SEARCH("Overdue", J367)), "FAIL", "COMPLIANT")))</f>
        <v/>
      </c>
    </row>
    <row r="368">
      <c r="K368">
        <f>IF(A368="","", IF(OR(SUMIF('Code Violations'!A:A, A368, 'Code Violations'!T:T)&gt;=5, VLOOKUP(A368, 'Master Dashboard'!A:L, 9, FALSE)="FAIL", VLOOKUP(A368, 'Master Dashboard'!A:L, 10, FALSE)="FAIL", ISNUMBER(SEARCH("Critical", J368))), "3-Red", IF(SUMIF('Code Violations'!A:A, A368, 'Code Violations'!T:T)&gt;=1, "2-Yellow", "1-White")))</f>
        <v/>
      </c>
      <c r="L368">
        <f>IF(J368="","", IF(ISNUMBER(SEARCH("Critical", J368)), "CRITICAL FAIL", IF(ISNUMBER(SEARCH("Overdue", J368)), "FAIL", "COMPLIANT")))</f>
        <v/>
      </c>
    </row>
    <row r="369">
      <c r="K369">
        <f>IF(A369="","", IF(OR(SUMIF('Code Violations'!A:A, A369, 'Code Violations'!T:T)&gt;=5, VLOOKUP(A369, 'Master Dashboard'!A:L, 9, FALSE)="FAIL", VLOOKUP(A369, 'Master Dashboard'!A:L, 10, FALSE)="FAIL", ISNUMBER(SEARCH("Critical", J369))), "3-Red", IF(SUMIF('Code Violations'!A:A, A369, 'Code Violations'!T:T)&gt;=1, "2-Yellow", "1-White")))</f>
        <v/>
      </c>
      <c r="L369">
        <f>IF(J369="","", IF(ISNUMBER(SEARCH("Critical", J369)), "CRITICAL FAIL", IF(ISNUMBER(SEARCH("Overdue", J369)), "FAIL", "COMPLIANT")))</f>
        <v/>
      </c>
    </row>
    <row r="370">
      <c r="K370">
        <f>IF(A370="","", IF(OR(SUMIF('Code Violations'!A:A, A370, 'Code Violations'!T:T)&gt;=5, VLOOKUP(A370, 'Master Dashboard'!A:L, 9, FALSE)="FAIL", VLOOKUP(A370, 'Master Dashboard'!A:L, 10, FALSE)="FAIL", ISNUMBER(SEARCH("Critical", J370))), "3-Red", IF(SUMIF('Code Violations'!A:A, A370, 'Code Violations'!T:T)&gt;=1, "2-Yellow", "1-White")))</f>
        <v/>
      </c>
      <c r="L370">
        <f>IF(J370="","", IF(ISNUMBER(SEARCH("Critical", J370)), "CRITICAL FAIL", IF(ISNUMBER(SEARCH("Overdue", J370)), "FAIL", "COMPLIANT")))</f>
        <v/>
      </c>
    </row>
    <row r="371">
      <c r="K371">
        <f>IF(A371="","", IF(OR(SUMIF('Code Violations'!A:A, A371, 'Code Violations'!T:T)&gt;=5, VLOOKUP(A371, 'Master Dashboard'!A:L, 9, FALSE)="FAIL", VLOOKUP(A371, 'Master Dashboard'!A:L, 10, FALSE)="FAIL", ISNUMBER(SEARCH("Critical", J371))), "3-Red", IF(SUMIF('Code Violations'!A:A, A371, 'Code Violations'!T:T)&gt;=1, "2-Yellow", "1-White")))</f>
        <v/>
      </c>
      <c r="L371">
        <f>IF(J371="","", IF(ISNUMBER(SEARCH("Critical", J371)), "CRITICAL FAIL", IF(ISNUMBER(SEARCH("Overdue", J371)), "FAIL", "COMPLIANT")))</f>
        <v/>
      </c>
    </row>
    <row r="372">
      <c r="K372">
        <f>IF(A372="","", IF(OR(SUMIF('Code Violations'!A:A, A372, 'Code Violations'!T:T)&gt;=5, VLOOKUP(A372, 'Master Dashboard'!A:L, 9, FALSE)="FAIL", VLOOKUP(A372, 'Master Dashboard'!A:L, 10, FALSE)="FAIL", ISNUMBER(SEARCH("Critical", J372))), "3-Red", IF(SUMIF('Code Violations'!A:A, A372, 'Code Violations'!T:T)&gt;=1, "2-Yellow", "1-White")))</f>
        <v/>
      </c>
      <c r="L372">
        <f>IF(J372="","", IF(ISNUMBER(SEARCH("Critical", J372)), "CRITICAL FAIL", IF(ISNUMBER(SEARCH("Overdue", J372)), "FAIL", "COMPLIANT")))</f>
        <v/>
      </c>
    </row>
    <row r="373">
      <c r="K373">
        <f>IF(A373="","", IF(OR(SUMIF('Code Violations'!A:A, A373, 'Code Violations'!T:T)&gt;=5, VLOOKUP(A373, 'Master Dashboard'!A:L, 9, FALSE)="FAIL", VLOOKUP(A373, 'Master Dashboard'!A:L, 10, FALSE)="FAIL", ISNUMBER(SEARCH("Critical", J373))), "3-Red", IF(SUMIF('Code Violations'!A:A, A373, 'Code Violations'!T:T)&gt;=1, "2-Yellow", "1-White")))</f>
        <v/>
      </c>
      <c r="L373">
        <f>IF(J373="","", IF(ISNUMBER(SEARCH("Critical", J373)), "CRITICAL FAIL", IF(ISNUMBER(SEARCH("Overdue", J373)), "FAIL", "COMPLIANT")))</f>
        <v/>
      </c>
    </row>
    <row r="374">
      <c r="K374">
        <f>IF(A374="","", IF(OR(SUMIF('Code Violations'!A:A, A374, 'Code Violations'!T:T)&gt;=5, VLOOKUP(A374, 'Master Dashboard'!A:L, 9, FALSE)="FAIL", VLOOKUP(A374, 'Master Dashboard'!A:L, 10, FALSE)="FAIL", ISNUMBER(SEARCH("Critical", J374))), "3-Red", IF(SUMIF('Code Violations'!A:A, A374, 'Code Violations'!T:T)&gt;=1, "2-Yellow", "1-White")))</f>
        <v/>
      </c>
      <c r="L374">
        <f>IF(J374="","", IF(ISNUMBER(SEARCH("Critical", J374)), "CRITICAL FAIL", IF(ISNUMBER(SEARCH("Overdue", J374)), "FAIL", "COMPLIANT")))</f>
        <v/>
      </c>
    </row>
    <row r="375">
      <c r="K375">
        <f>IF(A375="","", IF(OR(SUMIF('Code Violations'!A:A, A375, 'Code Violations'!T:T)&gt;=5, VLOOKUP(A375, 'Master Dashboard'!A:L, 9, FALSE)="FAIL", VLOOKUP(A375, 'Master Dashboard'!A:L, 10, FALSE)="FAIL", ISNUMBER(SEARCH("Critical", J375))), "3-Red", IF(SUMIF('Code Violations'!A:A, A375, 'Code Violations'!T:T)&gt;=1, "2-Yellow", "1-White")))</f>
        <v/>
      </c>
      <c r="L375">
        <f>IF(J375="","", IF(ISNUMBER(SEARCH("Critical", J375)), "CRITICAL FAIL", IF(ISNUMBER(SEARCH("Overdue", J375)), "FAIL", "COMPLIANT")))</f>
        <v/>
      </c>
    </row>
    <row r="376">
      <c r="K376">
        <f>IF(A376="","", IF(OR(SUMIF('Code Violations'!A:A, A376, 'Code Violations'!T:T)&gt;=5, VLOOKUP(A376, 'Master Dashboard'!A:L, 9, FALSE)="FAIL", VLOOKUP(A376, 'Master Dashboard'!A:L, 10, FALSE)="FAIL", ISNUMBER(SEARCH("Critical", J376))), "3-Red", IF(SUMIF('Code Violations'!A:A, A376, 'Code Violations'!T:T)&gt;=1, "2-Yellow", "1-White")))</f>
        <v/>
      </c>
      <c r="L376">
        <f>IF(J376="","", IF(ISNUMBER(SEARCH("Critical", J376)), "CRITICAL FAIL", IF(ISNUMBER(SEARCH("Overdue", J376)), "FAIL", "COMPLIANT")))</f>
        <v/>
      </c>
    </row>
    <row r="377">
      <c r="K377">
        <f>IF(A377="","", IF(OR(SUMIF('Code Violations'!A:A, A377, 'Code Violations'!T:T)&gt;=5, VLOOKUP(A377, 'Master Dashboard'!A:L, 9, FALSE)="FAIL", VLOOKUP(A377, 'Master Dashboard'!A:L, 10, FALSE)="FAIL", ISNUMBER(SEARCH("Critical", J377))), "3-Red", IF(SUMIF('Code Violations'!A:A, A377, 'Code Violations'!T:T)&gt;=1, "2-Yellow", "1-White")))</f>
        <v/>
      </c>
      <c r="L377">
        <f>IF(J377="","", IF(ISNUMBER(SEARCH("Critical", J377)), "CRITICAL FAIL", IF(ISNUMBER(SEARCH("Overdue", J377)), "FAIL", "COMPLIANT")))</f>
        <v/>
      </c>
    </row>
    <row r="378">
      <c r="K378">
        <f>IF(A378="","", IF(OR(SUMIF('Code Violations'!A:A, A378, 'Code Violations'!T:T)&gt;=5, VLOOKUP(A378, 'Master Dashboard'!A:L, 9, FALSE)="FAIL", VLOOKUP(A378, 'Master Dashboard'!A:L, 10, FALSE)="FAIL", ISNUMBER(SEARCH("Critical", J378))), "3-Red", IF(SUMIF('Code Violations'!A:A, A378, 'Code Violations'!T:T)&gt;=1, "2-Yellow", "1-White")))</f>
        <v/>
      </c>
      <c r="L378">
        <f>IF(J378="","", IF(ISNUMBER(SEARCH("Critical", J378)), "CRITICAL FAIL", IF(ISNUMBER(SEARCH("Overdue", J378)), "FAIL", "COMPLIANT")))</f>
        <v/>
      </c>
    </row>
    <row r="379">
      <c r="K379">
        <f>IF(A379="","", IF(OR(SUMIF('Code Violations'!A:A, A379, 'Code Violations'!T:T)&gt;=5, VLOOKUP(A379, 'Master Dashboard'!A:L, 9, FALSE)="FAIL", VLOOKUP(A379, 'Master Dashboard'!A:L, 10, FALSE)="FAIL", ISNUMBER(SEARCH("Critical", J379))), "3-Red", IF(SUMIF('Code Violations'!A:A, A379, 'Code Violations'!T:T)&gt;=1, "2-Yellow", "1-White")))</f>
        <v/>
      </c>
      <c r="L379">
        <f>IF(J379="","", IF(ISNUMBER(SEARCH("Critical", J379)), "CRITICAL FAIL", IF(ISNUMBER(SEARCH("Overdue", J379)), "FAIL", "COMPLIANT")))</f>
        <v/>
      </c>
    </row>
    <row r="380">
      <c r="K380">
        <f>IF(A380="","", IF(OR(SUMIF('Code Violations'!A:A, A380, 'Code Violations'!T:T)&gt;=5, VLOOKUP(A380, 'Master Dashboard'!A:L, 9, FALSE)="FAIL", VLOOKUP(A380, 'Master Dashboard'!A:L, 10, FALSE)="FAIL", ISNUMBER(SEARCH("Critical", J380))), "3-Red", IF(SUMIF('Code Violations'!A:A, A380, 'Code Violations'!T:T)&gt;=1, "2-Yellow", "1-White")))</f>
        <v/>
      </c>
      <c r="L380">
        <f>IF(J380="","", IF(ISNUMBER(SEARCH("Critical", J380)), "CRITICAL FAIL", IF(ISNUMBER(SEARCH("Overdue", J380)), "FAIL", "COMPLIANT")))</f>
        <v/>
      </c>
    </row>
    <row r="381">
      <c r="K381">
        <f>IF(A381="","", IF(OR(SUMIF('Code Violations'!A:A, A381, 'Code Violations'!T:T)&gt;=5, VLOOKUP(A381, 'Master Dashboard'!A:L, 9, FALSE)="FAIL", VLOOKUP(A381, 'Master Dashboard'!A:L, 10, FALSE)="FAIL", ISNUMBER(SEARCH("Critical", J381))), "3-Red", IF(SUMIF('Code Violations'!A:A, A381, 'Code Violations'!T:T)&gt;=1, "2-Yellow", "1-White")))</f>
        <v/>
      </c>
      <c r="L381">
        <f>IF(J381="","", IF(ISNUMBER(SEARCH("Critical", J381)), "CRITICAL FAIL", IF(ISNUMBER(SEARCH("Overdue", J381)), "FAIL", "COMPLIANT")))</f>
        <v/>
      </c>
    </row>
    <row r="382">
      <c r="K382">
        <f>IF(A382="","", IF(OR(SUMIF('Code Violations'!A:A, A382, 'Code Violations'!T:T)&gt;=5, VLOOKUP(A382, 'Master Dashboard'!A:L, 9, FALSE)="FAIL", VLOOKUP(A382, 'Master Dashboard'!A:L, 10, FALSE)="FAIL", ISNUMBER(SEARCH("Critical", J382))), "3-Red", IF(SUMIF('Code Violations'!A:A, A382, 'Code Violations'!T:T)&gt;=1, "2-Yellow", "1-White")))</f>
        <v/>
      </c>
      <c r="L382">
        <f>IF(J382="","", IF(ISNUMBER(SEARCH("Critical", J382)), "CRITICAL FAIL", IF(ISNUMBER(SEARCH("Overdue", J382)), "FAIL", "COMPLIANT")))</f>
        <v/>
      </c>
    </row>
    <row r="383">
      <c r="K383">
        <f>IF(A383="","", IF(OR(SUMIF('Code Violations'!A:A, A383, 'Code Violations'!T:T)&gt;=5, VLOOKUP(A383, 'Master Dashboard'!A:L, 9, FALSE)="FAIL", VLOOKUP(A383, 'Master Dashboard'!A:L, 10, FALSE)="FAIL", ISNUMBER(SEARCH("Critical", J383))), "3-Red", IF(SUMIF('Code Violations'!A:A, A383, 'Code Violations'!T:T)&gt;=1, "2-Yellow", "1-White")))</f>
        <v/>
      </c>
      <c r="L383">
        <f>IF(J383="","", IF(ISNUMBER(SEARCH("Critical", J383)), "CRITICAL FAIL", IF(ISNUMBER(SEARCH("Overdue", J383)), "FAIL", "COMPLIANT")))</f>
        <v/>
      </c>
    </row>
    <row r="384">
      <c r="K384">
        <f>IF(A384="","", IF(OR(SUMIF('Code Violations'!A:A, A384, 'Code Violations'!T:T)&gt;=5, VLOOKUP(A384, 'Master Dashboard'!A:L, 9, FALSE)="FAIL", VLOOKUP(A384, 'Master Dashboard'!A:L, 10, FALSE)="FAIL", ISNUMBER(SEARCH("Critical", J384))), "3-Red", IF(SUMIF('Code Violations'!A:A, A384, 'Code Violations'!T:T)&gt;=1, "2-Yellow", "1-White")))</f>
        <v/>
      </c>
      <c r="L384">
        <f>IF(J384="","", IF(ISNUMBER(SEARCH("Critical", J384)), "CRITICAL FAIL", IF(ISNUMBER(SEARCH("Overdue", J384)), "FAIL", "COMPLIANT")))</f>
        <v/>
      </c>
    </row>
    <row r="385">
      <c r="K385">
        <f>IF(A385="","", IF(OR(SUMIF('Code Violations'!A:A, A385, 'Code Violations'!T:T)&gt;=5, VLOOKUP(A385, 'Master Dashboard'!A:L, 9, FALSE)="FAIL", VLOOKUP(A385, 'Master Dashboard'!A:L, 10, FALSE)="FAIL", ISNUMBER(SEARCH("Critical", J385))), "3-Red", IF(SUMIF('Code Violations'!A:A, A385, 'Code Violations'!T:T)&gt;=1, "2-Yellow", "1-White")))</f>
        <v/>
      </c>
      <c r="L385">
        <f>IF(J385="","", IF(ISNUMBER(SEARCH("Critical", J385)), "CRITICAL FAIL", IF(ISNUMBER(SEARCH("Overdue", J385)), "FAIL", "COMPLIANT")))</f>
        <v/>
      </c>
    </row>
    <row r="386">
      <c r="K386">
        <f>IF(A386="","", IF(OR(SUMIF('Code Violations'!A:A, A386, 'Code Violations'!T:T)&gt;=5, VLOOKUP(A386, 'Master Dashboard'!A:L, 9, FALSE)="FAIL", VLOOKUP(A386, 'Master Dashboard'!A:L, 10, FALSE)="FAIL", ISNUMBER(SEARCH("Critical", J386))), "3-Red", IF(SUMIF('Code Violations'!A:A, A386, 'Code Violations'!T:T)&gt;=1, "2-Yellow", "1-White")))</f>
        <v/>
      </c>
      <c r="L386">
        <f>IF(J386="","", IF(ISNUMBER(SEARCH("Critical", J386)), "CRITICAL FAIL", IF(ISNUMBER(SEARCH("Overdue", J386)), "FAIL", "COMPLIANT")))</f>
        <v/>
      </c>
    </row>
    <row r="387">
      <c r="K387">
        <f>IF(A387="","", IF(OR(SUMIF('Code Violations'!A:A, A387, 'Code Violations'!T:T)&gt;=5, VLOOKUP(A387, 'Master Dashboard'!A:L, 9, FALSE)="FAIL", VLOOKUP(A387, 'Master Dashboard'!A:L, 10, FALSE)="FAIL", ISNUMBER(SEARCH("Critical", J387))), "3-Red", IF(SUMIF('Code Violations'!A:A, A387, 'Code Violations'!T:T)&gt;=1, "2-Yellow", "1-White")))</f>
        <v/>
      </c>
      <c r="L387">
        <f>IF(J387="","", IF(ISNUMBER(SEARCH("Critical", J387)), "CRITICAL FAIL", IF(ISNUMBER(SEARCH("Overdue", J387)), "FAIL", "COMPLIANT")))</f>
        <v/>
      </c>
    </row>
    <row r="388">
      <c r="K388">
        <f>IF(A388="","", IF(OR(SUMIF('Code Violations'!A:A, A388, 'Code Violations'!T:T)&gt;=5, VLOOKUP(A388, 'Master Dashboard'!A:L, 9, FALSE)="FAIL", VLOOKUP(A388, 'Master Dashboard'!A:L, 10, FALSE)="FAIL", ISNUMBER(SEARCH("Critical", J388))), "3-Red", IF(SUMIF('Code Violations'!A:A, A388, 'Code Violations'!T:T)&gt;=1, "2-Yellow", "1-White")))</f>
        <v/>
      </c>
      <c r="L388">
        <f>IF(J388="","", IF(ISNUMBER(SEARCH("Critical", J388)), "CRITICAL FAIL", IF(ISNUMBER(SEARCH("Overdue", J388)), "FAIL", "COMPLIANT")))</f>
        <v/>
      </c>
    </row>
    <row r="389">
      <c r="K389">
        <f>IF(A389="","", IF(OR(SUMIF('Code Violations'!A:A, A389, 'Code Violations'!T:T)&gt;=5, VLOOKUP(A389, 'Master Dashboard'!A:L, 9, FALSE)="FAIL", VLOOKUP(A389, 'Master Dashboard'!A:L, 10, FALSE)="FAIL", ISNUMBER(SEARCH("Critical", J389))), "3-Red", IF(SUMIF('Code Violations'!A:A, A389, 'Code Violations'!T:T)&gt;=1, "2-Yellow", "1-White")))</f>
        <v/>
      </c>
      <c r="L389">
        <f>IF(J389="","", IF(ISNUMBER(SEARCH("Critical", J389)), "CRITICAL FAIL", IF(ISNUMBER(SEARCH("Overdue", J389)), "FAIL", "COMPLIANT")))</f>
        <v/>
      </c>
    </row>
    <row r="390">
      <c r="K390">
        <f>IF(A390="","", IF(OR(SUMIF('Code Violations'!A:A, A390, 'Code Violations'!T:T)&gt;=5, VLOOKUP(A390, 'Master Dashboard'!A:L, 9, FALSE)="FAIL", VLOOKUP(A390, 'Master Dashboard'!A:L, 10, FALSE)="FAIL", ISNUMBER(SEARCH("Critical", J390))), "3-Red", IF(SUMIF('Code Violations'!A:A, A390, 'Code Violations'!T:T)&gt;=1, "2-Yellow", "1-White")))</f>
        <v/>
      </c>
      <c r="L390">
        <f>IF(J390="","", IF(ISNUMBER(SEARCH("Critical", J390)), "CRITICAL FAIL", IF(ISNUMBER(SEARCH("Overdue", J390)), "FAIL", "COMPLIANT")))</f>
        <v/>
      </c>
    </row>
    <row r="391">
      <c r="K391">
        <f>IF(A391="","", IF(OR(SUMIF('Code Violations'!A:A, A391, 'Code Violations'!T:T)&gt;=5, VLOOKUP(A391, 'Master Dashboard'!A:L, 9, FALSE)="FAIL", VLOOKUP(A391, 'Master Dashboard'!A:L, 10, FALSE)="FAIL", ISNUMBER(SEARCH("Critical", J391))), "3-Red", IF(SUMIF('Code Violations'!A:A, A391, 'Code Violations'!T:T)&gt;=1, "2-Yellow", "1-White")))</f>
        <v/>
      </c>
      <c r="L391">
        <f>IF(J391="","", IF(ISNUMBER(SEARCH("Critical", J391)), "CRITICAL FAIL", IF(ISNUMBER(SEARCH("Overdue", J391)), "FAIL", "COMPLIANT")))</f>
        <v/>
      </c>
    </row>
    <row r="392">
      <c r="K392">
        <f>IF(A392="","", IF(OR(SUMIF('Code Violations'!A:A, A392, 'Code Violations'!T:T)&gt;=5, VLOOKUP(A392, 'Master Dashboard'!A:L, 9, FALSE)="FAIL", VLOOKUP(A392, 'Master Dashboard'!A:L, 10, FALSE)="FAIL", ISNUMBER(SEARCH("Critical", J392))), "3-Red", IF(SUMIF('Code Violations'!A:A, A392, 'Code Violations'!T:T)&gt;=1, "2-Yellow", "1-White")))</f>
        <v/>
      </c>
      <c r="L392">
        <f>IF(J392="","", IF(ISNUMBER(SEARCH("Critical", J392)), "CRITICAL FAIL", IF(ISNUMBER(SEARCH("Overdue", J392)), "FAIL", "COMPLIANT")))</f>
        <v/>
      </c>
    </row>
    <row r="393">
      <c r="K393">
        <f>IF(A393="","", IF(OR(SUMIF('Code Violations'!A:A, A393, 'Code Violations'!T:T)&gt;=5, VLOOKUP(A393, 'Master Dashboard'!A:L, 9, FALSE)="FAIL", VLOOKUP(A393, 'Master Dashboard'!A:L, 10, FALSE)="FAIL", ISNUMBER(SEARCH("Critical", J393))), "3-Red", IF(SUMIF('Code Violations'!A:A, A393, 'Code Violations'!T:T)&gt;=1, "2-Yellow", "1-White")))</f>
        <v/>
      </c>
      <c r="L393">
        <f>IF(J393="","", IF(ISNUMBER(SEARCH("Critical", J393)), "CRITICAL FAIL", IF(ISNUMBER(SEARCH("Overdue", J393)), "FAIL", "COMPLIANT")))</f>
        <v/>
      </c>
    </row>
    <row r="394">
      <c r="K394">
        <f>IF(A394="","", IF(OR(SUMIF('Code Violations'!A:A, A394, 'Code Violations'!T:T)&gt;=5, VLOOKUP(A394, 'Master Dashboard'!A:L, 9, FALSE)="FAIL", VLOOKUP(A394, 'Master Dashboard'!A:L, 10, FALSE)="FAIL", ISNUMBER(SEARCH("Critical", J394))), "3-Red", IF(SUMIF('Code Violations'!A:A, A394, 'Code Violations'!T:T)&gt;=1, "2-Yellow", "1-White")))</f>
        <v/>
      </c>
      <c r="L394">
        <f>IF(J394="","", IF(ISNUMBER(SEARCH("Critical", J394)), "CRITICAL FAIL", IF(ISNUMBER(SEARCH("Overdue", J394)), "FAIL", "COMPLIANT")))</f>
        <v/>
      </c>
    </row>
    <row r="395">
      <c r="K395">
        <f>IF(A395="","", IF(OR(SUMIF('Code Violations'!A:A, A395, 'Code Violations'!T:T)&gt;=5, VLOOKUP(A395, 'Master Dashboard'!A:L, 9, FALSE)="FAIL", VLOOKUP(A395, 'Master Dashboard'!A:L, 10, FALSE)="FAIL", ISNUMBER(SEARCH("Critical", J395))), "3-Red", IF(SUMIF('Code Violations'!A:A, A395, 'Code Violations'!T:T)&gt;=1, "2-Yellow", "1-White")))</f>
        <v/>
      </c>
      <c r="L395">
        <f>IF(J395="","", IF(ISNUMBER(SEARCH("Critical", J395)), "CRITICAL FAIL", IF(ISNUMBER(SEARCH("Overdue", J395)), "FAIL", "COMPLIANT")))</f>
        <v/>
      </c>
    </row>
    <row r="396">
      <c r="K396">
        <f>IF(A396="","", IF(OR(SUMIF('Code Violations'!A:A, A396, 'Code Violations'!T:T)&gt;=5, VLOOKUP(A396, 'Master Dashboard'!A:L, 9, FALSE)="FAIL", VLOOKUP(A396, 'Master Dashboard'!A:L, 10, FALSE)="FAIL", ISNUMBER(SEARCH("Critical", J396))), "3-Red", IF(SUMIF('Code Violations'!A:A, A396, 'Code Violations'!T:T)&gt;=1, "2-Yellow", "1-White")))</f>
        <v/>
      </c>
      <c r="L396">
        <f>IF(J396="","", IF(ISNUMBER(SEARCH("Critical", J396)), "CRITICAL FAIL", IF(ISNUMBER(SEARCH("Overdue", J396)), "FAIL", "COMPLIANT")))</f>
        <v/>
      </c>
    </row>
    <row r="397">
      <c r="K397">
        <f>IF(A397="","", IF(OR(SUMIF('Code Violations'!A:A, A397, 'Code Violations'!T:T)&gt;=5, VLOOKUP(A397, 'Master Dashboard'!A:L, 9, FALSE)="FAIL", VLOOKUP(A397, 'Master Dashboard'!A:L, 10, FALSE)="FAIL", ISNUMBER(SEARCH("Critical", J397))), "3-Red", IF(SUMIF('Code Violations'!A:A, A397, 'Code Violations'!T:T)&gt;=1, "2-Yellow", "1-White")))</f>
        <v/>
      </c>
      <c r="L397">
        <f>IF(J397="","", IF(ISNUMBER(SEARCH("Critical", J397)), "CRITICAL FAIL", IF(ISNUMBER(SEARCH("Overdue", J397)), "FAIL", "COMPLIANT")))</f>
        <v/>
      </c>
    </row>
    <row r="398">
      <c r="K398">
        <f>IF(A398="","", IF(OR(SUMIF('Code Violations'!A:A, A398, 'Code Violations'!T:T)&gt;=5, VLOOKUP(A398, 'Master Dashboard'!A:L, 9, FALSE)="FAIL", VLOOKUP(A398, 'Master Dashboard'!A:L, 10, FALSE)="FAIL", ISNUMBER(SEARCH("Critical", J398))), "3-Red", IF(SUMIF('Code Violations'!A:A, A398, 'Code Violations'!T:T)&gt;=1, "2-Yellow", "1-White")))</f>
        <v/>
      </c>
      <c r="L398">
        <f>IF(J398="","", IF(ISNUMBER(SEARCH("Critical", J398)), "CRITICAL FAIL", IF(ISNUMBER(SEARCH("Overdue", J398)), "FAIL", "COMPLIANT")))</f>
        <v/>
      </c>
    </row>
    <row r="399">
      <c r="K399">
        <f>IF(A399="","", IF(OR(SUMIF('Code Violations'!A:A, A399, 'Code Violations'!T:T)&gt;=5, VLOOKUP(A399, 'Master Dashboard'!A:L, 9, FALSE)="FAIL", VLOOKUP(A399, 'Master Dashboard'!A:L, 10, FALSE)="FAIL", ISNUMBER(SEARCH("Critical", J399))), "3-Red", IF(SUMIF('Code Violations'!A:A, A399, 'Code Violations'!T:T)&gt;=1, "2-Yellow", "1-White")))</f>
        <v/>
      </c>
      <c r="L399">
        <f>IF(J399="","", IF(ISNUMBER(SEARCH("Critical", J399)), "CRITICAL FAIL", IF(ISNUMBER(SEARCH("Overdue", J399)), "FAIL", "COMPLIANT")))</f>
        <v/>
      </c>
    </row>
    <row r="400">
      <c r="K400">
        <f>IF(A400="","", IF(OR(SUMIF('Code Violations'!A:A, A400, 'Code Violations'!T:T)&gt;=5, VLOOKUP(A400, 'Master Dashboard'!A:L, 9, FALSE)="FAIL", VLOOKUP(A400, 'Master Dashboard'!A:L, 10, FALSE)="FAIL", ISNUMBER(SEARCH("Critical", J400))), "3-Red", IF(SUMIF('Code Violations'!A:A, A400, 'Code Violations'!T:T)&gt;=1, "2-Yellow", "1-White")))</f>
        <v/>
      </c>
      <c r="L400">
        <f>IF(J400="","", IF(ISNUMBER(SEARCH("Critical", J400)), "CRITICAL FAIL", IF(ISNUMBER(SEARCH("Overdue", J400)), "FAIL", "COMPLIANT")))</f>
        <v/>
      </c>
    </row>
    <row r="401">
      <c r="K401">
        <f>IF(A401="","", IF(OR(SUMIF('Code Violations'!A:A, A401, 'Code Violations'!T:T)&gt;=5, VLOOKUP(A401, 'Master Dashboard'!A:L, 9, FALSE)="FAIL", VLOOKUP(A401, 'Master Dashboard'!A:L, 10, FALSE)="FAIL", ISNUMBER(SEARCH("Critical", J401))), "3-Red", IF(SUMIF('Code Violations'!A:A, A401, 'Code Violations'!T:T)&gt;=1, "2-Yellow", "1-White")))</f>
        <v/>
      </c>
      <c r="L401">
        <f>IF(J401="","", IF(ISNUMBER(SEARCH("Critical", J401)), "CRITICAL FAIL", IF(ISNUMBER(SEARCH("Overdue", J401)), "FAIL", "COMPLIANT")))</f>
        <v/>
      </c>
    </row>
    <row r="402">
      <c r="K402">
        <f>IF(A402="","", IF(OR(SUMIF('Code Violations'!A:A, A402, 'Code Violations'!T:T)&gt;=5, VLOOKUP(A402, 'Master Dashboard'!A:L, 9, FALSE)="FAIL", VLOOKUP(A402, 'Master Dashboard'!A:L, 10, FALSE)="FAIL", ISNUMBER(SEARCH("Critical", J402))), "3-Red", IF(SUMIF('Code Violations'!A:A, A402, 'Code Violations'!T:T)&gt;=1, "2-Yellow", "1-White")))</f>
        <v/>
      </c>
      <c r="L402">
        <f>IF(J402="","", IF(ISNUMBER(SEARCH("Critical", J402)), "CRITICAL FAIL", IF(ISNUMBER(SEARCH("Overdue", J402)), "FAIL", "COMPLIANT")))</f>
        <v/>
      </c>
    </row>
    <row r="403">
      <c r="K403">
        <f>IF(A403="","", IF(OR(SUMIF('Code Violations'!A:A, A403, 'Code Violations'!T:T)&gt;=5, VLOOKUP(A403, 'Master Dashboard'!A:L, 9, FALSE)="FAIL", VLOOKUP(A403, 'Master Dashboard'!A:L, 10, FALSE)="FAIL", ISNUMBER(SEARCH("Critical", J403))), "3-Red", IF(SUMIF('Code Violations'!A:A, A403, 'Code Violations'!T:T)&gt;=1, "2-Yellow", "1-White")))</f>
        <v/>
      </c>
      <c r="L403">
        <f>IF(J403="","", IF(ISNUMBER(SEARCH("Critical", J403)), "CRITICAL FAIL", IF(ISNUMBER(SEARCH("Overdue", J403)), "FAIL", "COMPLIANT")))</f>
        <v/>
      </c>
    </row>
    <row r="404">
      <c r="K404">
        <f>IF(A404="","", IF(OR(SUMIF('Code Violations'!A:A, A404, 'Code Violations'!T:T)&gt;=5, VLOOKUP(A404, 'Master Dashboard'!A:L, 9, FALSE)="FAIL", VLOOKUP(A404, 'Master Dashboard'!A:L, 10, FALSE)="FAIL", ISNUMBER(SEARCH("Critical", J404))), "3-Red", IF(SUMIF('Code Violations'!A:A, A404, 'Code Violations'!T:T)&gt;=1, "2-Yellow", "1-White")))</f>
        <v/>
      </c>
      <c r="L404">
        <f>IF(J404="","", IF(ISNUMBER(SEARCH("Critical", J404)), "CRITICAL FAIL", IF(ISNUMBER(SEARCH("Overdue", J404)), "FAIL", "COMPLIANT")))</f>
        <v/>
      </c>
    </row>
    <row r="405">
      <c r="K405">
        <f>IF(A405="","", IF(OR(SUMIF('Code Violations'!A:A, A405, 'Code Violations'!T:T)&gt;=5, VLOOKUP(A405, 'Master Dashboard'!A:L, 9, FALSE)="FAIL", VLOOKUP(A405, 'Master Dashboard'!A:L, 10, FALSE)="FAIL", ISNUMBER(SEARCH("Critical", J405))), "3-Red", IF(SUMIF('Code Violations'!A:A, A405, 'Code Violations'!T:T)&gt;=1, "2-Yellow", "1-White")))</f>
        <v/>
      </c>
      <c r="L405">
        <f>IF(J405="","", IF(ISNUMBER(SEARCH("Critical", J405)), "CRITICAL FAIL", IF(ISNUMBER(SEARCH("Overdue", J405)), "FAIL", "COMPLIANT")))</f>
        <v/>
      </c>
    </row>
    <row r="406">
      <c r="K406">
        <f>IF(A406="","", IF(OR(SUMIF('Code Violations'!A:A, A406, 'Code Violations'!T:T)&gt;=5, VLOOKUP(A406, 'Master Dashboard'!A:L, 9, FALSE)="FAIL", VLOOKUP(A406, 'Master Dashboard'!A:L, 10, FALSE)="FAIL", ISNUMBER(SEARCH("Critical", J406))), "3-Red", IF(SUMIF('Code Violations'!A:A, A406, 'Code Violations'!T:T)&gt;=1, "2-Yellow", "1-White")))</f>
        <v/>
      </c>
      <c r="L406">
        <f>IF(J406="","", IF(ISNUMBER(SEARCH("Critical", J406)), "CRITICAL FAIL", IF(ISNUMBER(SEARCH("Overdue", J406)), "FAIL", "COMPLIANT")))</f>
        <v/>
      </c>
    </row>
    <row r="407">
      <c r="K407">
        <f>IF(A407="","", IF(OR(SUMIF('Code Violations'!A:A, A407, 'Code Violations'!T:T)&gt;=5, VLOOKUP(A407, 'Master Dashboard'!A:L, 9, FALSE)="FAIL", VLOOKUP(A407, 'Master Dashboard'!A:L, 10, FALSE)="FAIL", ISNUMBER(SEARCH("Critical", J407))), "3-Red", IF(SUMIF('Code Violations'!A:A, A407, 'Code Violations'!T:T)&gt;=1, "2-Yellow", "1-White")))</f>
        <v/>
      </c>
      <c r="L407">
        <f>IF(J407="","", IF(ISNUMBER(SEARCH("Critical", J407)), "CRITICAL FAIL", IF(ISNUMBER(SEARCH("Overdue", J407)), "FAIL", "COMPLIANT")))</f>
        <v/>
      </c>
    </row>
    <row r="408">
      <c r="K408">
        <f>IF(A408="","", IF(OR(SUMIF('Code Violations'!A:A, A408, 'Code Violations'!T:T)&gt;=5, VLOOKUP(A408, 'Master Dashboard'!A:L, 9, FALSE)="FAIL", VLOOKUP(A408, 'Master Dashboard'!A:L, 10, FALSE)="FAIL", ISNUMBER(SEARCH("Critical", J408))), "3-Red", IF(SUMIF('Code Violations'!A:A, A408, 'Code Violations'!T:T)&gt;=1, "2-Yellow", "1-White")))</f>
        <v/>
      </c>
      <c r="L408">
        <f>IF(J408="","", IF(ISNUMBER(SEARCH("Critical", J408)), "CRITICAL FAIL", IF(ISNUMBER(SEARCH("Overdue", J408)), "FAIL", "COMPLIANT")))</f>
        <v/>
      </c>
    </row>
    <row r="409">
      <c r="K409">
        <f>IF(A409="","", IF(OR(SUMIF('Code Violations'!A:A, A409, 'Code Violations'!T:T)&gt;=5, VLOOKUP(A409, 'Master Dashboard'!A:L, 9, FALSE)="FAIL", VLOOKUP(A409, 'Master Dashboard'!A:L, 10, FALSE)="FAIL", ISNUMBER(SEARCH("Critical", J409))), "3-Red", IF(SUMIF('Code Violations'!A:A, A409, 'Code Violations'!T:T)&gt;=1, "2-Yellow", "1-White")))</f>
        <v/>
      </c>
      <c r="L409">
        <f>IF(J409="","", IF(ISNUMBER(SEARCH("Critical", J409)), "CRITICAL FAIL", IF(ISNUMBER(SEARCH("Overdue", J409)), "FAIL", "COMPLIANT")))</f>
        <v/>
      </c>
    </row>
    <row r="410">
      <c r="K410">
        <f>IF(A410="","", IF(OR(SUMIF('Code Violations'!A:A, A410, 'Code Violations'!T:T)&gt;=5, VLOOKUP(A410, 'Master Dashboard'!A:L, 9, FALSE)="FAIL", VLOOKUP(A410, 'Master Dashboard'!A:L, 10, FALSE)="FAIL", ISNUMBER(SEARCH("Critical", J410))), "3-Red", IF(SUMIF('Code Violations'!A:A, A410, 'Code Violations'!T:T)&gt;=1, "2-Yellow", "1-White")))</f>
        <v/>
      </c>
      <c r="L410">
        <f>IF(J410="","", IF(ISNUMBER(SEARCH("Critical", J410)), "CRITICAL FAIL", IF(ISNUMBER(SEARCH("Overdue", J410)), "FAIL", "COMPLIANT")))</f>
        <v/>
      </c>
    </row>
    <row r="411">
      <c r="K411">
        <f>IF(A411="","", IF(OR(SUMIF('Code Violations'!A:A, A411, 'Code Violations'!T:T)&gt;=5, VLOOKUP(A411, 'Master Dashboard'!A:L, 9, FALSE)="FAIL", VLOOKUP(A411, 'Master Dashboard'!A:L, 10, FALSE)="FAIL", ISNUMBER(SEARCH("Critical", J411))), "3-Red", IF(SUMIF('Code Violations'!A:A, A411, 'Code Violations'!T:T)&gt;=1, "2-Yellow", "1-White")))</f>
        <v/>
      </c>
      <c r="L411">
        <f>IF(J411="","", IF(ISNUMBER(SEARCH("Critical", J411)), "CRITICAL FAIL", IF(ISNUMBER(SEARCH("Overdue", J411)), "FAIL", "COMPLIANT")))</f>
        <v/>
      </c>
    </row>
    <row r="412">
      <c r="K412">
        <f>IF(A412="","", IF(OR(SUMIF('Code Violations'!A:A, A412, 'Code Violations'!T:T)&gt;=5, VLOOKUP(A412, 'Master Dashboard'!A:L, 9, FALSE)="FAIL", VLOOKUP(A412, 'Master Dashboard'!A:L, 10, FALSE)="FAIL", ISNUMBER(SEARCH("Critical", J412))), "3-Red", IF(SUMIF('Code Violations'!A:A, A412, 'Code Violations'!T:T)&gt;=1, "2-Yellow", "1-White")))</f>
        <v/>
      </c>
      <c r="L412">
        <f>IF(J412="","", IF(ISNUMBER(SEARCH("Critical", J412)), "CRITICAL FAIL", IF(ISNUMBER(SEARCH("Overdue", J412)), "FAIL", "COMPLIANT")))</f>
        <v/>
      </c>
    </row>
    <row r="413">
      <c r="K413">
        <f>IF(A413="","", IF(OR(SUMIF('Code Violations'!A:A, A413, 'Code Violations'!T:T)&gt;=5, VLOOKUP(A413, 'Master Dashboard'!A:L, 9, FALSE)="FAIL", VLOOKUP(A413, 'Master Dashboard'!A:L, 10, FALSE)="FAIL", ISNUMBER(SEARCH("Critical", J413))), "3-Red", IF(SUMIF('Code Violations'!A:A, A413, 'Code Violations'!T:T)&gt;=1, "2-Yellow", "1-White")))</f>
        <v/>
      </c>
      <c r="L413">
        <f>IF(J413="","", IF(ISNUMBER(SEARCH("Critical", J413)), "CRITICAL FAIL", IF(ISNUMBER(SEARCH("Overdue", J413)), "FAIL", "COMPLIANT")))</f>
        <v/>
      </c>
    </row>
    <row r="414">
      <c r="K414">
        <f>IF(A414="","", IF(OR(SUMIF('Code Violations'!A:A, A414, 'Code Violations'!T:T)&gt;=5, VLOOKUP(A414, 'Master Dashboard'!A:L, 9, FALSE)="FAIL", VLOOKUP(A414, 'Master Dashboard'!A:L, 10, FALSE)="FAIL", ISNUMBER(SEARCH("Critical", J414))), "3-Red", IF(SUMIF('Code Violations'!A:A, A414, 'Code Violations'!T:T)&gt;=1, "2-Yellow", "1-White")))</f>
        <v/>
      </c>
      <c r="L414">
        <f>IF(J414="","", IF(ISNUMBER(SEARCH("Critical", J414)), "CRITICAL FAIL", IF(ISNUMBER(SEARCH("Overdue", J414)), "FAIL", "COMPLIANT")))</f>
        <v/>
      </c>
    </row>
    <row r="415">
      <c r="K415">
        <f>IF(A415="","", IF(OR(SUMIF('Code Violations'!A:A, A415, 'Code Violations'!T:T)&gt;=5, VLOOKUP(A415, 'Master Dashboard'!A:L, 9, FALSE)="FAIL", VLOOKUP(A415, 'Master Dashboard'!A:L, 10, FALSE)="FAIL", ISNUMBER(SEARCH("Critical", J415))), "3-Red", IF(SUMIF('Code Violations'!A:A, A415, 'Code Violations'!T:T)&gt;=1, "2-Yellow", "1-White")))</f>
        <v/>
      </c>
      <c r="L415">
        <f>IF(J415="","", IF(ISNUMBER(SEARCH("Critical", J415)), "CRITICAL FAIL", IF(ISNUMBER(SEARCH("Overdue", J415)), "FAIL", "COMPLIANT")))</f>
        <v/>
      </c>
    </row>
    <row r="416">
      <c r="K416">
        <f>IF(A416="","", IF(OR(SUMIF('Code Violations'!A:A, A416, 'Code Violations'!T:T)&gt;=5, VLOOKUP(A416, 'Master Dashboard'!A:L, 9, FALSE)="FAIL", VLOOKUP(A416, 'Master Dashboard'!A:L, 10, FALSE)="FAIL", ISNUMBER(SEARCH("Critical", J416))), "3-Red", IF(SUMIF('Code Violations'!A:A, A416, 'Code Violations'!T:T)&gt;=1, "2-Yellow", "1-White")))</f>
        <v/>
      </c>
      <c r="L416">
        <f>IF(J416="","", IF(ISNUMBER(SEARCH("Critical", J416)), "CRITICAL FAIL", IF(ISNUMBER(SEARCH("Overdue", J416)), "FAIL", "COMPLIANT")))</f>
        <v/>
      </c>
    </row>
    <row r="417">
      <c r="K417">
        <f>IF(A417="","", IF(OR(SUMIF('Code Violations'!A:A, A417, 'Code Violations'!T:T)&gt;=5, VLOOKUP(A417, 'Master Dashboard'!A:L, 9, FALSE)="FAIL", VLOOKUP(A417, 'Master Dashboard'!A:L, 10, FALSE)="FAIL", ISNUMBER(SEARCH("Critical", J417))), "3-Red", IF(SUMIF('Code Violations'!A:A, A417, 'Code Violations'!T:T)&gt;=1, "2-Yellow", "1-White")))</f>
        <v/>
      </c>
      <c r="L417">
        <f>IF(J417="","", IF(ISNUMBER(SEARCH("Critical", J417)), "CRITICAL FAIL", IF(ISNUMBER(SEARCH("Overdue", J417)), "FAIL", "COMPLIANT")))</f>
        <v/>
      </c>
    </row>
    <row r="418">
      <c r="K418">
        <f>IF(A418="","", IF(OR(SUMIF('Code Violations'!A:A, A418, 'Code Violations'!T:T)&gt;=5, VLOOKUP(A418, 'Master Dashboard'!A:L, 9, FALSE)="FAIL", VLOOKUP(A418, 'Master Dashboard'!A:L, 10, FALSE)="FAIL", ISNUMBER(SEARCH("Critical", J418))), "3-Red", IF(SUMIF('Code Violations'!A:A, A418, 'Code Violations'!T:T)&gt;=1, "2-Yellow", "1-White")))</f>
        <v/>
      </c>
      <c r="L418">
        <f>IF(J418="","", IF(ISNUMBER(SEARCH("Critical", J418)), "CRITICAL FAIL", IF(ISNUMBER(SEARCH("Overdue", J418)), "FAIL", "COMPLIANT")))</f>
        <v/>
      </c>
    </row>
    <row r="419">
      <c r="K419">
        <f>IF(A419="","", IF(OR(SUMIF('Code Violations'!A:A, A419, 'Code Violations'!T:T)&gt;=5, VLOOKUP(A419, 'Master Dashboard'!A:L, 9, FALSE)="FAIL", VLOOKUP(A419, 'Master Dashboard'!A:L, 10, FALSE)="FAIL", ISNUMBER(SEARCH("Critical", J419))), "3-Red", IF(SUMIF('Code Violations'!A:A, A419, 'Code Violations'!T:T)&gt;=1, "2-Yellow", "1-White")))</f>
        <v/>
      </c>
      <c r="L419">
        <f>IF(J419="","", IF(ISNUMBER(SEARCH("Critical", J419)), "CRITICAL FAIL", IF(ISNUMBER(SEARCH("Overdue", J419)), "FAIL", "COMPLIANT")))</f>
        <v/>
      </c>
    </row>
    <row r="420">
      <c r="K420">
        <f>IF(A420="","", IF(OR(SUMIF('Code Violations'!A:A, A420, 'Code Violations'!T:T)&gt;=5, VLOOKUP(A420, 'Master Dashboard'!A:L, 9, FALSE)="FAIL", VLOOKUP(A420, 'Master Dashboard'!A:L, 10, FALSE)="FAIL", ISNUMBER(SEARCH("Critical", J420))), "3-Red", IF(SUMIF('Code Violations'!A:A, A420, 'Code Violations'!T:T)&gt;=1, "2-Yellow", "1-White")))</f>
        <v/>
      </c>
      <c r="L420">
        <f>IF(J420="","", IF(ISNUMBER(SEARCH("Critical", J420)), "CRITICAL FAIL", IF(ISNUMBER(SEARCH("Overdue", J420)), "FAIL", "COMPLIANT")))</f>
        <v/>
      </c>
    </row>
    <row r="421">
      <c r="K421">
        <f>IF(A421="","", IF(OR(SUMIF('Code Violations'!A:A, A421, 'Code Violations'!T:T)&gt;=5, VLOOKUP(A421, 'Master Dashboard'!A:L, 9, FALSE)="FAIL", VLOOKUP(A421, 'Master Dashboard'!A:L, 10, FALSE)="FAIL", ISNUMBER(SEARCH("Critical", J421))), "3-Red", IF(SUMIF('Code Violations'!A:A, A421, 'Code Violations'!T:T)&gt;=1, "2-Yellow", "1-White")))</f>
        <v/>
      </c>
      <c r="L421">
        <f>IF(J421="","", IF(ISNUMBER(SEARCH("Critical", J421)), "CRITICAL FAIL", IF(ISNUMBER(SEARCH("Overdue", J421)), "FAIL", "COMPLIANT")))</f>
        <v/>
      </c>
    </row>
    <row r="422">
      <c r="K422">
        <f>IF(A422="","", IF(OR(SUMIF('Code Violations'!A:A, A422, 'Code Violations'!T:T)&gt;=5, VLOOKUP(A422, 'Master Dashboard'!A:L, 9, FALSE)="FAIL", VLOOKUP(A422, 'Master Dashboard'!A:L, 10, FALSE)="FAIL", ISNUMBER(SEARCH("Critical", J422))), "3-Red", IF(SUMIF('Code Violations'!A:A, A422, 'Code Violations'!T:T)&gt;=1, "2-Yellow", "1-White")))</f>
        <v/>
      </c>
      <c r="L422">
        <f>IF(J422="","", IF(ISNUMBER(SEARCH("Critical", J422)), "CRITICAL FAIL", IF(ISNUMBER(SEARCH("Overdue", J422)), "FAIL", "COMPLIANT")))</f>
        <v/>
      </c>
    </row>
    <row r="423">
      <c r="K423">
        <f>IF(A423="","", IF(OR(SUMIF('Code Violations'!A:A, A423, 'Code Violations'!T:T)&gt;=5, VLOOKUP(A423, 'Master Dashboard'!A:L, 9, FALSE)="FAIL", VLOOKUP(A423, 'Master Dashboard'!A:L, 10, FALSE)="FAIL", ISNUMBER(SEARCH("Critical", J423))), "3-Red", IF(SUMIF('Code Violations'!A:A, A423, 'Code Violations'!T:T)&gt;=1, "2-Yellow", "1-White")))</f>
        <v/>
      </c>
      <c r="L423">
        <f>IF(J423="","", IF(ISNUMBER(SEARCH("Critical", J423)), "CRITICAL FAIL", IF(ISNUMBER(SEARCH("Overdue", J423)), "FAIL", "COMPLIANT")))</f>
        <v/>
      </c>
    </row>
    <row r="424">
      <c r="K424">
        <f>IF(A424="","", IF(OR(SUMIF('Code Violations'!A:A, A424, 'Code Violations'!T:T)&gt;=5, VLOOKUP(A424, 'Master Dashboard'!A:L, 9, FALSE)="FAIL", VLOOKUP(A424, 'Master Dashboard'!A:L, 10, FALSE)="FAIL", ISNUMBER(SEARCH("Critical", J424))), "3-Red", IF(SUMIF('Code Violations'!A:A, A424, 'Code Violations'!T:T)&gt;=1, "2-Yellow", "1-White")))</f>
        <v/>
      </c>
      <c r="L424">
        <f>IF(J424="","", IF(ISNUMBER(SEARCH("Critical", J424)), "CRITICAL FAIL", IF(ISNUMBER(SEARCH("Overdue", J424)), "FAIL", "COMPLIANT")))</f>
        <v/>
      </c>
    </row>
    <row r="425">
      <c r="K425">
        <f>IF(A425="","", IF(OR(SUMIF('Code Violations'!A:A, A425, 'Code Violations'!T:T)&gt;=5, VLOOKUP(A425, 'Master Dashboard'!A:L, 9, FALSE)="FAIL", VLOOKUP(A425, 'Master Dashboard'!A:L, 10, FALSE)="FAIL", ISNUMBER(SEARCH("Critical", J425))), "3-Red", IF(SUMIF('Code Violations'!A:A, A425, 'Code Violations'!T:T)&gt;=1, "2-Yellow", "1-White")))</f>
        <v/>
      </c>
      <c r="L425">
        <f>IF(J425="","", IF(ISNUMBER(SEARCH("Critical", J425)), "CRITICAL FAIL", IF(ISNUMBER(SEARCH("Overdue", J425)), "FAIL", "COMPLIANT")))</f>
        <v/>
      </c>
    </row>
    <row r="426">
      <c r="K426">
        <f>IF(A426="","", IF(OR(SUMIF('Code Violations'!A:A, A426, 'Code Violations'!T:T)&gt;=5, VLOOKUP(A426, 'Master Dashboard'!A:L, 9, FALSE)="FAIL", VLOOKUP(A426, 'Master Dashboard'!A:L, 10, FALSE)="FAIL", ISNUMBER(SEARCH("Critical", J426))), "3-Red", IF(SUMIF('Code Violations'!A:A, A426, 'Code Violations'!T:T)&gt;=1, "2-Yellow", "1-White")))</f>
        <v/>
      </c>
      <c r="L426">
        <f>IF(J426="","", IF(ISNUMBER(SEARCH("Critical", J426)), "CRITICAL FAIL", IF(ISNUMBER(SEARCH("Overdue", J426)), "FAIL", "COMPLIANT")))</f>
        <v/>
      </c>
    </row>
    <row r="427">
      <c r="K427">
        <f>IF(A427="","", IF(OR(SUMIF('Code Violations'!A:A, A427, 'Code Violations'!T:T)&gt;=5, VLOOKUP(A427, 'Master Dashboard'!A:L, 9, FALSE)="FAIL", VLOOKUP(A427, 'Master Dashboard'!A:L, 10, FALSE)="FAIL", ISNUMBER(SEARCH("Critical", J427))), "3-Red", IF(SUMIF('Code Violations'!A:A, A427, 'Code Violations'!T:T)&gt;=1, "2-Yellow", "1-White")))</f>
        <v/>
      </c>
      <c r="L427">
        <f>IF(J427="","", IF(ISNUMBER(SEARCH("Critical", J427)), "CRITICAL FAIL", IF(ISNUMBER(SEARCH("Overdue", J427)), "FAIL", "COMPLIANT")))</f>
        <v/>
      </c>
    </row>
    <row r="428">
      <c r="K428">
        <f>IF(A428="","", IF(OR(SUMIF('Code Violations'!A:A, A428, 'Code Violations'!T:T)&gt;=5, VLOOKUP(A428, 'Master Dashboard'!A:L, 9, FALSE)="FAIL", VLOOKUP(A428, 'Master Dashboard'!A:L, 10, FALSE)="FAIL", ISNUMBER(SEARCH("Critical", J428))), "3-Red", IF(SUMIF('Code Violations'!A:A, A428, 'Code Violations'!T:T)&gt;=1, "2-Yellow", "1-White")))</f>
        <v/>
      </c>
      <c r="L428">
        <f>IF(J428="","", IF(ISNUMBER(SEARCH("Critical", J428)), "CRITICAL FAIL", IF(ISNUMBER(SEARCH("Overdue", J428)), "FAIL", "COMPLIANT")))</f>
        <v/>
      </c>
    </row>
    <row r="429">
      <c r="K429">
        <f>IF(A429="","", IF(OR(SUMIF('Code Violations'!A:A, A429, 'Code Violations'!T:T)&gt;=5, VLOOKUP(A429, 'Master Dashboard'!A:L, 9, FALSE)="FAIL", VLOOKUP(A429, 'Master Dashboard'!A:L, 10, FALSE)="FAIL", ISNUMBER(SEARCH("Critical", J429))), "3-Red", IF(SUMIF('Code Violations'!A:A, A429, 'Code Violations'!T:T)&gt;=1, "2-Yellow", "1-White")))</f>
        <v/>
      </c>
      <c r="L429">
        <f>IF(J429="","", IF(ISNUMBER(SEARCH("Critical", J429)), "CRITICAL FAIL", IF(ISNUMBER(SEARCH("Overdue", J429)), "FAIL", "COMPLIANT")))</f>
        <v/>
      </c>
    </row>
    <row r="430">
      <c r="K430">
        <f>IF(A430="","", IF(OR(SUMIF('Code Violations'!A:A, A430, 'Code Violations'!T:T)&gt;=5, VLOOKUP(A430, 'Master Dashboard'!A:L, 9, FALSE)="FAIL", VLOOKUP(A430, 'Master Dashboard'!A:L, 10, FALSE)="FAIL", ISNUMBER(SEARCH("Critical", J430))), "3-Red", IF(SUMIF('Code Violations'!A:A, A430, 'Code Violations'!T:T)&gt;=1, "2-Yellow", "1-White")))</f>
        <v/>
      </c>
      <c r="L430">
        <f>IF(J430="","", IF(ISNUMBER(SEARCH("Critical", J430)), "CRITICAL FAIL", IF(ISNUMBER(SEARCH("Overdue", J430)), "FAIL", "COMPLIANT")))</f>
        <v/>
      </c>
    </row>
    <row r="431">
      <c r="K431">
        <f>IF(A431="","", IF(OR(SUMIF('Code Violations'!A:A, A431, 'Code Violations'!T:T)&gt;=5, VLOOKUP(A431, 'Master Dashboard'!A:L, 9, FALSE)="FAIL", VLOOKUP(A431, 'Master Dashboard'!A:L, 10, FALSE)="FAIL", ISNUMBER(SEARCH("Critical", J431))), "3-Red", IF(SUMIF('Code Violations'!A:A, A431, 'Code Violations'!T:T)&gt;=1, "2-Yellow", "1-White")))</f>
        <v/>
      </c>
      <c r="L431">
        <f>IF(J431="","", IF(ISNUMBER(SEARCH("Critical", J431)), "CRITICAL FAIL", IF(ISNUMBER(SEARCH("Overdue", J431)), "FAIL", "COMPLIANT")))</f>
        <v/>
      </c>
    </row>
    <row r="432">
      <c r="K432">
        <f>IF(A432="","", IF(OR(SUMIF('Code Violations'!A:A, A432, 'Code Violations'!T:T)&gt;=5, VLOOKUP(A432, 'Master Dashboard'!A:L, 9, FALSE)="FAIL", VLOOKUP(A432, 'Master Dashboard'!A:L, 10, FALSE)="FAIL", ISNUMBER(SEARCH("Critical", J432))), "3-Red", IF(SUMIF('Code Violations'!A:A, A432, 'Code Violations'!T:T)&gt;=1, "2-Yellow", "1-White")))</f>
        <v/>
      </c>
      <c r="L432">
        <f>IF(J432="","", IF(ISNUMBER(SEARCH("Critical", J432)), "CRITICAL FAIL", IF(ISNUMBER(SEARCH("Overdue", J432)), "FAIL", "COMPLIANT")))</f>
        <v/>
      </c>
    </row>
    <row r="433">
      <c r="K433">
        <f>IF(A433="","", IF(OR(SUMIF('Code Violations'!A:A, A433, 'Code Violations'!T:T)&gt;=5, VLOOKUP(A433, 'Master Dashboard'!A:L, 9, FALSE)="FAIL", VLOOKUP(A433, 'Master Dashboard'!A:L, 10, FALSE)="FAIL", ISNUMBER(SEARCH("Critical", J433))), "3-Red", IF(SUMIF('Code Violations'!A:A, A433, 'Code Violations'!T:T)&gt;=1, "2-Yellow", "1-White")))</f>
        <v/>
      </c>
      <c r="L433">
        <f>IF(J433="","", IF(ISNUMBER(SEARCH("Critical", J433)), "CRITICAL FAIL", IF(ISNUMBER(SEARCH("Overdue", J433)), "FAIL", "COMPLIANT")))</f>
        <v/>
      </c>
    </row>
    <row r="434">
      <c r="K434">
        <f>IF(A434="","", IF(OR(SUMIF('Code Violations'!A:A, A434, 'Code Violations'!T:T)&gt;=5, VLOOKUP(A434, 'Master Dashboard'!A:L, 9, FALSE)="FAIL", VLOOKUP(A434, 'Master Dashboard'!A:L, 10, FALSE)="FAIL", ISNUMBER(SEARCH("Critical", J434))), "3-Red", IF(SUMIF('Code Violations'!A:A, A434, 'Code Violations'!T:T)&gt;=1, "2-Yellow", "1-White")))</f>
        <v/>
      </c>
      <c r="L434">
        <f>IF(J434="","", IF(ISNUMBER(SEARCH("Critical", J434)), "CRITICAL FAIL", IF(ISNUMBER(SEARCH("Overdue", J434)), "FAIL", "COMPLIANT")))</f>
        <v/>
      </c>
    </row>
    <row r="435">
      <c r="K435">
        <f>IF(A435="","", IF(OR(SUMIF('Code Violations'!A:A, A435, 'Code Violations'!T:T)&gt;=5, VLOOKUP(A435, 'Master Dashboard'!A:L, 9, FALSE)="FAIL", VLOOKUP(A435, 'Master Dashboard'!A:L, 10, FALSE)="FAIL", ISNUMBER(SEARCH("Critical", J435))), "3-Red", IF(SUMIF('Code Violations'!A:A, A435, 'Code Violations'!T:T)&gt;=1, "2-Yellow", "1-White")))</f>
        <v/>
      </c>
      <c r="L435">
        <f>IF(J435="","", IF(ISNUMBER(SEARCH("Critical", J435)), "CRITICAL FAIL", IF(ISNUMBER(SEARCH("Overdue", J435)), "FAIL", "COMPLIANT")))</f>
        <v/>
      </c>
    </row>
    <row r="436">
      <c r="K436">
        <f>IF(A436="","", IF(OR(SUMIF('Code Violations'!A:A, A436, 'Code Violations'!T:T)&gt;=5, VLOOKUP(A436, 'Master Dashboard'!A:L, 9, FALSE)="FAIL", VLOOKUP(A436, 'Master Dashboard'!A:L, 10, FALSE)="FAIL", ISNUMBER(SEARCH("Critical", J436))), "3-Red", IF(SUMIF('Code Violations'!A:A, A436, 'Code Violations'!T:T)&gt;=1, "2-Yellow", "1-White")))</f>
        <v/>
      </c>
      <c r="L436">
        <f>IF(J436="","", IF(ISNUMBER(SEARCH("Critical", J436)), "CRITICAL FAIL", IF(ISNUMBER(SEARCH("Overdue", J436)), "FAIL", "COMPLIANT")))</f>
        <v/>
      </c>
    </row>
    <row r="437">
      <c r="K437">
        <f>IF(A437="","", IF(OR(SUMIF('Code Violations'!A:A, A437, 'Code Violations'!T:T)&gt;=5, VLOOKUP(A437, 'Master Dashboard'!A:L, 9, FALSE)="FAIL", VLOOKUP(A437, 'Master Dashboard'!A:L, 10, FALSE)="FAIL", ISNUMBER(SEARCH("Critical", J437))), "3-Red", IF(SUMIF('Code Violations'!A:A, A437, 'Code Violations'!T:T)&gt;=1, "2-Yellow", "1-White")))</f>
        <v/>
      </c>
      <c r="L437">
        <f>IF(J437="","", IF(ISNUMBER(SEARCH("Critical", J437)), "CRITICAL FAIL", IF(ISNUMBER(SEARCH("Overdue", J437)), "FAIL", "COMPLIANT")))</f>
        <v/>
      </c>
    </row>
    <row r="438">
      <c r="K438">
        <f>IF(A438="","", IF(OR(SUMIF('Code Violations'!A:A, A438, 'Code Violations'!T:T)&gt;=5, VLOOKUP(A438, 'Master Dashboard'!A:L, 9, FALSE)="FAIL", VLOOKUP(A438, 'Master Dashboard'!A:L, 10, FALSE)="FAIL", ISNUMBER(SEARCH("Critical", J438))), "3-Red", IF(SUMIF('Code Violations'!A:A, A438, 'Code Violations'!T:T)&gt;=1, "2-Yellow", "1-White")))</f>
        <v/>
      </c>
      <c r="L438">
        <f>IF(J438="","", IF(ISNUMBER(SEARCH("Critical", J438)), "CRITICAL FAIL", IF(ISNUMBER(SEARCH("Overdue", J438)), "FAIL", "COMPLIANT")))</f>
        <v/>
      </c>
    </row>
    <row r="439">
      <c r="K439">
        <f>IF(A439="","", IF(OR(SUMIF('Code Violations'!A:A, A439, 'Code Violations'!T:T)&gt;=5, VLOOKUP(A439, 'Master Dashboard'!A:L, 9, FALSE)="FAIL", VLOOKUP(A439, 'Master Dashboard'!A:L, 10, FALSE)="FAIL", ISNUMBER(SEARCH("Critical", J439))), "3-Red", IF(SUMIF('Code Violations'!A:A, A439, 'Code Violations'!T:T)&gt;=1, "2-Yellow", "1-White")))</f>
        <v/>
      </c>
      <c r="L439">
        <f>IF(J439="","", IF(ISNUMBER(SEARCH("Critical", J439)), "CRITICAL FAIL", IF(ISNUMBER(SEARCH("Overdue", J439)), "FAIL", "COMPLIANT")))</f>
        <v/>
      </c>
    </row>
    <row r="440">
      <c r="K440">
        <f>IF(A440="","", IF(OR(SUMIF('Code Violations'!A:A, A440, 'Code Violations'!T:T)&gt;=5, VLOOKUP(A440, 'Master Dashboard'!A:L, 9, FALSE)="FAIL", VLOOKUP(A440, 'Master Dashboard'!A:L, 10, FALSE)="FAIL", ISNUMBER(SEARCH("Critical", J440))), "3-Red", IF(SUMIF('Code Violations'!A:A, A440, 'Code Violations'!T:T)&gt;=1, "2-Yellow", "1-White")))</f>
        <v/>
      </c>
      <c r="L440">
        <f>IF(J440="","", IF(ISNUMBER(SEARCH("Critical", J440)), "CRITICAL FAIL", IF(ISNUMBER(SEARCH("Overdue", J440)), "FAIL", "COMPLIANT")))</f>
        <v/>
      </c>
    </row>
    <row r="441">
      <c r="K441">
        <f>IF(A441="","", IF(OR(SUMIF('Code Violations'!A:A, A441, 'Code Violations'!T:T)&gt;=5, VLOOKUP(A441, 'Master Dashboard'!A:L, 9, FALSE)="FAIL", VLOOKUP(A441, 'Master Dashboard'!A:L, 10, FALSE)="FAIL", ISNUMBER(SEARCH("Critical", J441))), "3-Red", IF(SUMIF('Code Violations'!A:A, A441, 'Code Violations'!T:T)&gt;=1, "2-Yellow", "1-White")))</f>
        <v/>
      </c>
      <c r="L441">
        <f>IF(J441="","", IF(ISNUMBER(SEARCH("Critical", J441)), "CRITICAL FAIL", IF(ISNUMBER(SEARCH("Overdue", J441)), "FAIL", "COMPLIANT")))</f>
        <v/>
      </c>
    </row>
    <row r="442">
      <c r="K442">
        <f>IF(A442="","", IF(OR(SUMIF('Code Violations'!A:A, A442, 'Code Violations'!T:T)&gt;=5, VLOOKUP(A442, 'Master Dashboard'!A:L, 9, FALSE)="FAIL", VLOOKUP(A442, 'Master Dashboard'!A:L, 10, FALSE)="FAIL", ISNUMBER(SEARCH("Critical", J442))), "3-Red", IF(SUMIF('Code Violations'!A:A, A442, 'Code Violations'!T:T)&gt;=1, "2-Yellow", "1-White")))</f>
        <v/>
      </c>
      <c r="L442">
        <f>IF(J442="","", IF(ISNUMBER(SEARCH("Critical", J442)), "CRITICAL FAIL", IF(ISNUMBER(SEARCH("Overdue", J442)), "FAIL", "COMPLIANT")))</f>
        <v/>
      </c>
    </row>
    <row r="443">
      <c r="K443">
        <f>IF(A443="","", IF(OR(SUMIF('Code Violations'!A:A, A443, 'Code Violations'!T:T)&gt;=5, VLOOKUP(A443, 'Master Dashboard'!A:L, 9, FALSE)="FAIL", VLOOKUP(A443, 'Master Dashboard'!A:L, 10, FALSE)="FAIL", ISNUMBER(SEARCH("Critical", J443))), "3-Red", IF(SUMIF('Code Violations'!A:A, A443, 'Code Violations'!T:T)&gt;=1, "2-Yellow", "1-White")))</f>
        <v/>
      </c>
      <c r="L443">
        <f>IF(J443="","", IF(ISNUMBER(SEARCH("Critical", J443)), "CRITICAL FAIL", IF(ISNUMBER(SEARCH("Overdue", J443)), "FAIL", "COMPLIANT")))</f>
        <v/>
      </c>
    </row>
    <row r="444">
      <c r="K444">
        <f>IF(A444="","", IF(OR(SUMIF('Code Violations'!A:A, A444, 'Code Violations'!T:T)&gt;=5, VLOOKUP(A444, 'Master Dashboard'!A:L, 9, FALSE)="FAIL", VLOOKUP(A444, 'Master Dashboard'!A:L, 10, FALSE)="FAIL", ISNUMBER(SEARCH("Critical", J444))), "3-Red", IF(SUMIF('Code Violations'!A:A, A444, 'Code Violations'!T:T)&gt;=1, "2-Yellow", "1-White")))</f>
        <v/>
      </c>
      <c r="L444">
        <f>IF(J444="","", IF(ISNUMBER(SEARCH("Critical", J444)), "CRITICAL FAIL", IF(ISNUMBER(SEARCH("Overdue", J444)), "FAIL", "COMPLIANT")))</f>
        <v/>
      </c>
    </row>
    <row r="445">
      <c r="K445">
        <f>IF(A445="","", IF(OR(SUMIF('Code Violations'!A:A, A445, 'Code Violations'!T:T)&gt;=5, VLOOKUP(A445, 'Master Dashboard'!A:L, 9, FALSE)="FAIL", VLOOKUP(A445, 'Master Dashboard'!A:L, 10, FALSE)="FAIL", ISNUMBER(SEARCH("Critical", J445))), "3-Red", IF(SUMIF('Code Violations'!A:A, A445, 'Code Violations'!T:T)&gt;=1, "2-Yellow", "1-White")))</f>
        <v/>
      </c>
      <c r="L445">
        <f>IF(J445="","", IF(ISNUMBER(SEARCH("Critical", J445)), "CRITICAL FAIL", IF(ISNUMBER(SEARCH("Overdue", J445)), "FAIL", "COMPLIANT")))</f>
        <v/>
      </c>
    </row>
    <row r="446">
      <c r="K446">
        <f>IF(A446="","", IF(OR(SUMIF('Code Violations'!A:A, A446, 'Code Violations'!T:T)&gt;=5, VLOOKUP(A446, 'Master Dashboard'!A:L, 9, FALSE)="FAIL", VLOOKUP(A446, 'Master Dashboard'!A:L, 10, FALSE)="FAIL", ISNUMBER(SEARCH("Critical", J446))), "3-Red", IF(SUMIF('Code Violations'!A:A, A446, 'Code Violations'!T:T)&gt;=1, "2-Yellow", "1-White")))</f>
        <v/>
      </c>
      <c r="L446">
        <f>IF(J446="","", IF(ISNUMBER(SEARCH("Critical", J446)), "CRITICAL FAIL", IF(ISNUMBER(SEARCH("Overdue", J446)), "FAIL", "COMPLIANT")))</f>
        <v/>
      </c>
    </row>
    <row r="447">
      <c r="K447">
        <f>IF(A447="","", IF(OR(SUMIF('Code Violations'!A:A, A447, 'Code Violations'!T:T)&gt;=5, VLOOKUP(A447, 'Master Dashboard'!A:L, 9, FALSE)="FAIL", VLOOKUP(A447, 'Master Dashboard'!A:L, 10, FALSE)="FAIL", ISNUMBER(SEARCH("Critical", J447))), "3-Red", IF(SUMIF('Code Violations'!A:A, A447, 'Code Violations'!T:T)&gt;=1, "2-Yellow", "1-White")))</f>
        <v/>
      </c>
      <c r="L447">
        <f>IF(J447="","", IF(ISNUMBER(SEARCH("Critical", J447)), "CRITICAL FAIL", IF(ISNUMBER(SEARCH("Overdue", J447)), "FAIL", "COMPLIANT")))</f>
        <v/>
      </c>
    </row>
    <row r="448">
      <c r="K448">
        <f>IF(A448="","", IF(OR(SUMIF('Code Violations'!A:A, A448, 'Code Violations'!T:T)&gt;=5, VLOOKUP(A448, 'Master Dashboard'!A:L, 9, FALSE)="FAIL", VLOOKUP(A448, 'Master Dashboard'!A:L, 10, FALSE)="FAIL", ISNUMBER(SEARCH("Critical", J448))), "3-Red", IF(SUMIF('Code Violations'!A:A, A448, 'Code Violations'!T:T)&gt;=1, "2-Yellow", "1-White")))</f>
        <v/>
      </c>
      <c r="L448">
        <f>IF(J448="","", IF(ISNUMBER(SEARCH("Critical", J448)), "CRITICAL FAIL", IF(ISNUMBER(SEARCH("Overdue", J448)), "FAIL", "COMPLIANT")))</f>
        <v/>
      </c>
    </row>
    <row r="449">
      <c r="K449">
        <f>IF(A449="","", IF(OR(SUMIF('Code Violations'!A:A, A449, 'Code Violations'!T:T)&gt;=5, VLOOKUP(A449, 'Master Dashboard'!A:L, 9, FALSE)="FAIL", VLOOKUP(A449, 'Master Dashboard'!A:L, 10, FALSE)="FAIL", ISNUMBER(SEARCH("Critical", J449))), "3-Red", IF(SUMIF('Code Violations'!A:A, A449, 'Code Violations'!T:T)&gt;=1, "2-Yellow", "1-White")))</f>
        <v/>
      </c>
      <c r="L449">
        <f>IF(J449="","", IF(ISNUMBER(SEARCH("Critical", J449)), "CRITICAL FAIL", IF(ISNUMBER(SEARCH("Overdue", J449)), "FAIL", "COMPLIANT")))</f>
        <v/>
      </c>
    </row>
    <row r="450">
      <c r="K450">
        <f>IF(A450="","", IF(OR(SUMIF('Code Violations'!A:A, A450, 'Code Violations'!T:T)&gt;=5, VLOOKUP(A450, 'Master Dashboard'!A:L, 9, FALSE)="FAIL", VLOOKUP(A450, 'Master Dashboard'!A:L, 10, FALSE)="FAIL", ISNUMBER(SEARCH("Critical", J450))), "3-Red", IF(SUMIF('Code Violations'!A:A, A450, 'Code Violations'!T:T)&gt;=1, "2-Yellow", "1-White")))</f>
        <v/>
      </c>
      <c r="L450">
        <f>IF(J450="","", IF(ISNUMBER(SEARCH("Critical", J450)), "CRITICAL FAIL", IF(ISNUMBER(SEARCH("Overdue", J450)), "FAIL", "COMPLIANT")))</f>
        <v/>
      </c>
    </row>
    <row r="451">
      <c r="K451">
        <f>IF(A451="","", IF(OR(SUMIF('Code Violations'!A:A, A451, 'Code Violations'!T:T)&gt;=5, VLOOKUP(A451, 'Master Dashboard'!A:L, 9, FALSE)="FAIL", VLOOKUP(A451, 'Master Dashboard'!A:L, 10, FALSE)="FAIL", ISNUMBER(SEARCH("Critical", J451))), "3-Red", IF(SUMIF('Code Violations'!A:A, A451, 'Code Violations'!T:T)&gt;=1, "2-Yellow", "1-White")))</f>
        <v/>
      </c>
      <c r="L451">
        <f>IF(J451="","", IF(ISNUMBER(SEARCH("Critical", J451)), "CRITICAL FAIL", IF(ISNUMBER(SEARCH("Overdue", J451)), "FAIL", "COMPLIANT")))</f>
        <v/>
      </c>
    </row>
    <row r="452">
      <c r="K452">
        <f>IF(A452="","", IF(OR(SUMIF('Code Violations'!A:A, A452, 'Code Violations'!T:T)&gt;=5, VLOOKUP(A452, 'Master Dashboard'!A:L, 9, FALSE)="FAIL", VLOOKUP(A452, 'Master Dashboard'!A:L, 10, FALSE)="FAIL", ISNUMBER(SEARCH("Critical", J452))), "3-Red", IF(SUMIF('Code Violations'!A:A, A452, 'Code Violations'!T:T)&gt;=1, "2-Yellow", "1-White")))</f>
        <v/>
      </c>
      <c r="L452">
        <f>IF(J452="","", IF(ISNUMBER(SEARCH("Critical", J452)), "CRITICAL FAIL", IF(ISNUMBER(SEARCH("Overdue", J452)), "FAIL", "COMPLIANT")))</f>
        <v/>
      </c>
    </row>
    <row r="453">
      <c r="K453">
        <f>IF(A453="","", IF(OR(SUMIF('Code Violations'!A:A, A453, 'Code Violations'!T:T)&gt;=5, VLOOKUP(A453, 'Master Dashboard'!A:L, 9, FALSE)="FAIL", VLOOKUP(A453, 'Master Dashboard'!A:L, 10, FALSE)="FAIL", ISNUMBER(SEARCH("Critical", J453))), "3-Red", IF(SUMIF('Code Violations'!A:A, A453, 'Code Violations'!T:T)&gt;=1, "2-Yellow", "1-White")))</f>
        <v/>
      </c>
      <c r="L453">
        <f>IF(J453="","", IF(ISNUMBER(SEARCH("Critical", J453)), "CRITICAL FAIL", IF(ISNUMBER(SEARCH("Overdue", J453)), "FAIL", "COMPLIANT")))</f>
        <v/>
      </c>
    </row>
    <row r="454">
      <c r="K454">
        <f>IF(A454="","", IF(OR(SUMIF('Code Violations'!A:A, A454, 'Code Violations'!T:T)&gt;=5, VLOOKUP(A454, 'Master Dashboard'!A:L, 9, FALSE)="FAIL", VLOOKUP(A454, 'Master Dashboard'!A:L, 10, FALSE)="FAIL", ISNUMBER(SEARCH("Critical", J454))), "3-Red", IF(SUMIF('Code Violations'!A:A, A454, 'Code Violations'!T:T)&gt;=1, "2-Yellow", "1-White")))</f>
        <v/>
      </c>
      <c r="L454">
        <f>IF(J454="","", IF(ISNUMBER(SEARCH("Critical", J454)), "CRITICAL FAIL", IF(ISNUMBER(SEARCH("Overdue", J454)), "FAIL", "COMPLIANT")))</f>
        <v/>
      </c>
    </row>
    <row r="455">
      <c r="K455">
        <f>IF(A455="","", IF(OR(SUMIF('Code Violations'!A:A, A455, 'Code Violations'!T:T)&gt;=5, VLOOKUP(A455, 'Master Dashboard'!A:L, 9, FALSE)="FAIL", VLOOKUP(A455, 'Master Dashboard'!A:L, 10, FALSE)="FAIL", ISNUMBER(SEARCH("Critical", J455))), "3-Red", IF(SUMIF('Code Violations'!A:A, A455, 'Code Violations'!T:T)&gt;=1, "2-Yellow", "1-White")))</f>
        <v/>
      </c>
      <c r="L455">
        <f>IF(J455="","", IF(ISNUMBER(SEARCH("Critical", J455)), "CRITICAL FAIL", IF(ISNUMBER(SEARCH("Overdue", J455)), "FAIL", "COMPLIANT")))</f>
        <v/>
      </c>
    </row>
    <row r="456">
      <c r="K456">
        <f>IF(A456="","", IF(OR(SUMIF('Code Violations'!A:A, A456, 'Code Violations'!T:T)&gt;=5, VLOOKUP(A456, 'Master Dashboard'!A:L, 9, FALSE)="FAIL", VLOOKUP(A456, 'Master Dashboard'!A:L, 10, FALSE)="FAIL", ISNUMBER(SEARCH("Critical", J456))), "3-Red", IF(SUMIF('Code Violations'!A:A, A456, 'Code Violations'!T:T)&gt;=1, "2-Yellow", "1-White")))</f>
        <v/>
      </c>
      <c r="L456">
        <f>IF(J456="","", IF(ISNUMBER(SEARCH("Critical", J456)), "CRITICAL FAIL", IF(ISNUMBER(SEARCH("Overdue", J456)), "FAIL", "COMPLIANT")))</f>
        <v/>
      </c>
    </row>
    <row r="457">
      <c r="K457">
        <f>IF(A457="","", IF(OR(SUMIF('Code Violations'!A:A, A457, 'Code Violations'!T:T)&gt;=5, VLOOKUP(A457, 'Master Dashboard'!A:L, 9, FALSE)="FAIL", VLOOKUP(A457, 'Master Dashboard'!A:L, 10, FALSE)="FAIL", ISNUMBER(SEARCH("Critical", J457))), "3-Red", IF(SUMIF('Code Violations'!A:A, A457, 'Code Violations'!T:T)&gt;=1, "2-Yellow", "1-White")))</f>
        <v/>
      </c>
      <c r="L457">
        <f>IF(J457="","", IF(ISNUMBER(SEARCH("Critical", J457)), "CRITICAL FAIL", IF(ISNUMBER(SEARCH("Overdue", J457)), "FAIL", "COMPLIANT")))</f>
        <v/>
      </c>
    </row>
    <row r="458">
      <c r="K458">
        <f>IF(A458="","", IF(OR(SUMIF('Code Violations'!A:A, A458, 'Code Violations'!T:T)&gt;=5, VLOOKUP(A458, 'Master Dashboard'!A:L, 9, FALSE)="FAIL", VLOOKUP(A458, 'Master Dashboard'!A:L, 10, FALSE)="FAIL", ISNUMBER(SEARCH("Critical", J458))), "3-Red", IF(SUMIF('Code Violations'!A:A, A458, 'Code Violations'!T:T)&gt;=1, "2-Yellow", "1-White")))</f>
        <v/>
      </c>
      <c r="L458">
        <f>IF(J458="","", IF(ISNUMBER(SEARCH("Critical", J458)), "CRITICAL FAIL", IF(ISNUMBER(SEARCH("Overdue", J458)), "FAIL", "COMPLIANT")))</f>
        <v/>
      </c>
    </row>
    <row r="459">
      <c r="K459">
        <f>IF(A459="","", IF(OR(SUMIF('Code Violations'!A:A, A459, 'Code Violations'!T:T)&gt;=5, VLOOKUP(A459, 'Master Dashboard'!A:L, 9, FALSE)="FAIL", VLOOKUP(A459, 'Master Dashboard'!A:L, 10, FALSE)="FAIL", ISNUMBER(SEARCH("Critical", J459))), "3-Red", IF(SUMIF('Code Violations'!A:A, A459, 'Code Violations'!T:T)&gt;=1, "2-Yellow", "1-White")))</f>
        <v/>
      </c>
      <c r="L459">
        <f>IF(J459="","", IF(ISNUMBER(SEARCH("Critical", J459)), "CRITICAL FAIL", IF(ISNUMBER(SEARCH("Overdue", J459)), "FAIL", "COMPLIANT")))</f>
        <v/>
      </c>
    </row>
    <row r="460">
      <c r="K460">
        <f>IF(A460="","", IF(OR(SUMIF('Code Violations'!A:A, A460, 'Code Violations'!T:T)&gt;=5, VLOOKUP(A460, 'Master Dashboard'!A:L, 9, FALSE)="FAIL", VLOOKUP(A460, 'Master Dashboard'!A:L, 10, FALSE)="FAIL", ISNUMBER(SEARCH("Critical", J460))), "3-Red", IF(SUMIF('Code Violations'!A:A, A460, 'Code Violations'!T:T)&gt;=1, "2-Yellow", "1-White")))</f>
        <v/>
      </c>
      <c r="L460">
        <f>IF(J460="","", IF(ISNUMBER(SEARCH("Critical", J460)), "CRITICAL FAIL", IF(ISNUMBER(SEARCH("Overdue", J460)), "FAIL", "COMPLIANT")))</f>
        <v/>
      </c>
    </row>
    <row r="461">
      <c r="K461">
        <f>IF(A461="","", IF(OR(SUMIF('Code Violations'!A:A, A461, 'Code Violations'!T:T)&gt;=5, VLOOKUP(A461, 'Master Dashboard'!A:L, 9, FALSE)="FAIL", VLOOKUP(A461, 'Master Dashboard'!A:L, 10, FALSE)="FAIL", ISNUMBER(SEARCH("Critical", J461))), "3-Red", IF(SUMIF('Code Violations'!A:A, A461, 'Code Violations'!T:T)&gt;=1, "2-Yellow", "1-White")))</f>
        <v/>
      </c>
      <c r="L461">
        <f>IF(J461="","", IF(ISNUMBER(SEARCH("Critical", J461)), "CRITICAL FAIL", IF(ISNUMBER(SEARCH("Overdue", J461)), "FAIL", "COMPLIANT")))</f>
        <v/>
      </c>
    </row>
    <row r="462">
      <c r="K462">
        <f>IF(A462="","", IF(OR(SUMIF('Code Violations'!A:A, A462, 'Code Violations'!T:T)&gt;=5, VLOOKUP(A462, 'Master Dashboard'!A:L, 9, FALSE)="FAIL", VLOOKUP(A462, 'Master Dashboard'!A:L, 10, FALSE)="FAIL", ISNUMBER(SEARCH("Critical", J462))), "3-Red", IF(SUMIF('Code Violations'!A:A, A462, 'Code Violations'!T:T)&gt;=1, "2-Yellow", "1-White")))</f>
        <v/>
      </c>
      <c r="L462">
        <f>IF(J462="","", IF(ISNUMBER(SEARCH("Critical", J462)), "CRITICAL FAIL", IF(ISNUMBER(SEARCH("Overdue", J462)), "FAIL", "COMPLIANT")))</f>
        <v/>
      </c>
    </row>
    <row r="463">
      <c r="K463">
        <f>IF(A463="","", IF(OR(SUMIF('Code Violations'!A:A, A463, 'Code Violations'!T:T)&gt;=5, VLOOKUP(A463, 'Master Dashboard'!A:L, 9, FALSE)="FAIL", VLOOKUP(A463, 'Master Dashboard'!A:L, 10, FALSE)="FAIL", ISNUMBER(SEARCH("Critical", J463))), "3-Red", IF(SUMIF('Code Violations'!A:A, A463, 'Code Violations'!T:T)&gt;=1, "2-Yellow", "1-White")))</f>
        <v/>
      </c>
      <c r="L463">
        <f>IF(J463="","", IF(ISNUMBER(SEARCH("Critical", J463)), "CRITICAL FAIL", IF(ISNUMBER(SEARCH("Overdue", J463)), "FAIL", "COMPLIANT")))</f>
        <v/>
      </c>
    </row>
    <row r="464">
      <c r="K464">
        <f>IF(A464="","", IF(OR(SUMIF('Code Violations'!A:A, A464, 'Code Violations'!T:T)&gt;=5, VLOOKUP(A464, 'Master Dashboard'!A:L, 9, FALSE)="FAIL", VLOOKUP(A464, 'Master Dashboard'!A:L, 10, FALSE)="FAIL", ISNUMBER(SEARCH("Critical", J464))), "3-Red", IF(SUMIF('Code Violations'!A:A, A464, 'Code Violations'!T:T)&gt;=1, "2-Yellow", "1-White")))</f>
        <v/>
      </c>
      <c r="L464">
        <f>IF(J464="","", IF(ISNUMBER(SEARCH("Critical", J464)), "CRITICAL FAIL", IF(ISNUMBER(SEARCH("Overdue", J464)), "FAIL", "COMPLIANT")))</f>
        <v/>
      </c>
    </row>
    <row r="465">
      <c r="K465">
        <f>IF(A465="","", IF(OR(SUMIF('Code Violations'!A:A, A465, 'Code Violations'!T:T)&gt;=5, VLOOKUP(A465, 'Master Dashboard'!A:L, 9, FALSE)="FAIL", VLOOKUP(A465, 'Master Dashboard'!A:L, 10, FALSE)="FAIL", ISNUMBER(SEARCH("Critical", J465))), "3-Red", IF(SUMIF('Code Violations'!A:A, A465, 'Code Violations'!T:T)&gt;=1, "2-Yellow", "1-White")))</f>
        <v/>
      </c>
      <c r="L465">
        <f>IF(J465="","", IF(ISNUMBER(SEARCH("Critical", J465)), "CRITICAL FAIL", IF(ISNUMBER(SEARCH("Overdue", J465)), "FAIL", "COMPLIANT")))</f>
        <v/>
      </c>
    </row>
    <row r="466">
      <c r="K466">
        <f>IF(A466="","", IF(OR(SUMIF('Code Violations'!A:A, A466, 'Code Violations'!T:T)&gt;=5, VLOOKUP(A466, 'Master Dashboard'!A:L, 9, FALSE)="FAIL", VLOOKUP(A466, 'Master Dashboard'!A:L, 10, FALSE)="FAIL", ISNUMBER(SEARCH("Critical", J466))), "3-Red", IF(SUMIF('Code Violations'!A:A, A466, 'Code Violations'!T:T)&gt;=1, "2-Yellow", "1-White")))</f>
        <v/>
      </c>
      <c r="L466">
        <f>IF(J466="","", IF(ISNUMBER(SEARCH("Critical", J466)), "CRITICAL FAIL", IF(ISNUMBER(SEARCH("Overdue", J466)), "FAIL", "COMPLIANT")))</f>
        <v/>
      </c>
    </row>
    <row r="467">
      <c r="K467">
        <f>IF(A467="","", IF(OR(SUMIF('Code Violations'!A:A, A467, 'Code Violations'!T:T)&gt;=5, VLOOKUP(A467, 'Master Dashboard'!A:L, 9, FALSE)="FAIL", VLOOKUP(A467, 'Master Dashboard'!A:L, 10, FALSE)="FAIL", ISNUMBER(SEARCH("Critical", J467))), "3-Red", IF(SUMIF('Code Violations'!A:A, A467, 'Code Violations'!T:T)&gt;=1, "2-Yellow", "1-White")))</f>
        <v/>
      </c>
      <c r="L467">
        <f>IF(J467="","", IF(ISNUMBER(SEARCH("Critical", J467)), "CRITICAL FAIL", IF(ISNUMBER(SEARCH("Overdue", J467)), "FAIL", "COMPLIANT")))</f>
        <v/>
      </c>
    </row>
    <row r="468">
      <c r="K468">
        <f>IF(A468="","", IF(OR(SUMIF('Code Violations'!A:A, A468, 'Code Violations'!T:T)&gt;=5, VLOOKUP(A468, 'Master Dashboard'!A:L, 9, FALSE)="FAIL", VLOOKUP(A468, 'Master Dashboard'!A:L, 10, FALSE)="FAIL", ISNUMBER(SEARCH("Critical", J468))), "3-Red", IF(SUMIF('Code Violations'!A:A, A468, 'Code Violations'!T:T)&gt;=1, "2-Yellow", "1-White")))</f>
        <v/>
      </c>
      <c r="L468">
        <f>IF(J468="","", IF(ISNUMBER(SEARCH("Critical", J468)), "CRITICAL FAIL", IF(ISNUMBER(SEARCH("Overdue", J468)), "FAIL", "COMPLIANT")))</f>
        <v/>
      </c>
    </row>
    <row r="469">
      <c r="K469">
        <f>IF(A469="","", IF(OR(SUMIF('Code Violations'!A:A, A469, 'Code Violations'!T:T)&gt;=5, VLOOKUP(A469, 'Master Dashboard'!A:L, 9, FALSE)="FAIL", VLOOKUP(A469, 'Master Dashboard'!A:L, 10, FALSE)="FAIL", ISNUMBER(SEARCH("Critical", J469))), "3-Red", IF(SUMIF('Code Violations'!A:A, A469, 'Code Violations'!T:T)&gt;=1, "2-Yellow", "1-White")))</f>
        <v/>
      </c>
      <c r="L469">
        <f>IF(J469="","", IF(ISNUMBER(SEARCH("Critical", J469)), "CRITICAL FAIL", IF(ISNUMBER(SEARCH("Overdue", J469)), "FAIL", "COMPLIANT")))</f>
        <v/>
      </c>
    </row>
    <row r="470">
      <c r="K470">
        <f>IF(A470="","", IF(OR(SUMIF('Code Violations'!A:A, A470, 'Code Violations'!T:T)&gt;=5, VLOOKUP(A470, 'Master Dashboard'!A:L, 9, FALSE)="FAIL", VLOOKUP(A470, 'Master Dashboard'!A:L, 10, FALSE)="FAIL", ISNUMBER(SEARCH("Critical", J470))), "3-Red", IF(SUMIF('Code Violations'!A:A, A470, 'Code Violations'!T:T)&gt;=1, "2-Yellow", "1-White")))</f>
        <v/>
      </c>
      <c r="L470">
        <f>IF(J470="","", IF(ISNUMBER(SEARCH("Critical", J470)), "CRITICAL FAIL", IF(ISNUMBER(SEARCH("Overdue", J470)), "FAIL", "COMPLIANT")))</f>
        <v/>
      </c>
    </row>
    <row r="471">
      <c r="K471">
        <f>IF(A471="","", IF(OR(SUMIF('Code Violations'!A:A, A471, 'Code Violations'!T:T)&gt;=5, VLOOKUP(A471, 'Master Dashboard'!A:L, 9, FALSE)="FAIL", VLOOKUP(A471, 'Master Dashboard'!A:L, 10, FALSE)="FAIL", ISNUMBER(SEARCH("Critical", J471))), "3-Red", IF(SUMIF('Code Violations'!A:A, A471, 'Code Violations'!T:T)&gt;=1, "2-Yellow", "1-White")))</f>
        <v/>
      </c>
      <c r="L471">
        <f>IF(J471="","", IF(ISNUMBER(SEARCH("Critical", J471)), "CRITICAL FAIL", IF(ISNUMBER(SEARCH("Overdue", J471)), "FAIL", "COMPLIANT")))</f>
        <v/>
      </c>
    </row>
    <row r="472">
      <c r="K472">
        <f>IF(A472="","", IF(OR(SUMIF('Code Violations'!A:A, A472, 'Code Violations'!T:T)&gt;=5, VLOOKUP(A472, 'Master Dashboard'!A:L, 9, FALSE)="FAIL", VLOOKUP(A472, 'Master Dashboard'!A:L, 10, FALSE)="FAIL", ISNUMBER(SEARCH("Critical", J472))), "3-Red", IF(SUMIF('Code Violations'!A:A, A472, 'Code Violations'!T:T)&gt;=1, "2-Yellow", "1-White")))</f>
        <v/>
      </c>
      <c r="L472">
        <f>IF(J472="","", IF(ISNUMBER(SEARCH("Critical", J472)), "CRITICAL FAIL", IF(ISNUMBER(SEARCH("Overdue", J472)), "FAIL", "COMPLIANT")))</f>
        <v/>
      </c>
    </row>
    <row r="473">
      <c r="K473">
        <f>IF(A473="","", IF(OR(SUMIF('Code Violations'!A:A, A473, 'Code Violations'!T:T)&gt;=5, VLOOKUP(A473, 'Master Dashboard'!A:L, 9, FALSE)="FAIL", VLOOKUP(A473, 'Master Dashboard'!A:L, 10, FALSE)="FAIL", ISNUMBER(SEARCH("Critical", J473))), "3-Red", IF(SUMIF('Code Violations'!A:A, A473, 'Code Violations'!T:T)&gt;=1, "2-Yellow", "1-White")))</f>
        <v/>
      </c>
      <c r="L473">
        <f>IF(J473="","", IF(ISNUMBER(SEARCH("Critical", J473)), "CRITICAL FAIL", IF(ISNUMBER(SEARCH("Overdue", J473)), "FAIL", "COMPLIANT")))</f>
        <v/>
      </c>
    </row>
    <row r="474">
      <c r="K474">
        <f>IF(A474="","", IF(OR(SUMIF('Code Violations'!A:A, A474, 'Code Violations'!T:T)&gt;=5, VLOOKUP(A474, 'Master Dashboard'!A:L, 9, FALSE)="FAIL", VLOOKUP(A474, 'Master Dashboard'!A:L, 10, FALSE)="FAIL", ISNUMBER(SEARCH("Critical", J474))), "3-Red", IF(SUMIF('Code Violations'!A:A, A474, 'Code Violations'!T:T)&gt;=1, "2-Yellow", "1-White")))</f>
        <v/>
      </c>
      <c r="L474">
        <f>IF(J474="","", IF(ISNUMBER(SEARCH("Critical", J474)), "CRITICAL FAIL", IF(ISNUMBER(SEARCH("Overdue", J474)), "FAIL", "COMPLIANT")))</f>
        <v/>
      </c>
    </row>
    <row r="475">
      <c r="K475">
        <f>IF(A475="","", IF(OR(SUMIF('Code Violations'!A:A, A475, 'Code Violations'!T:T)&gt;=5, VLOOKUP(A475, 'Master Dashboard'!A:L, 9, FALSE)="FAIL", VLOOKUP(A475, 'Master Dashboard'!A:L, 10, FALSE)="FAIL", ISNUMBER(SEARCH("Critical", J475))), "3-Red", IF(SUMIF('Code Violations'!A:A, A475, 'Code Violations'!T:T)&gt;=1, "2-Yellow", "1-White")))</f>
        <v/>
      </c>
      <c r="L475">
        <f>IF(J475="","", IF(ISNUMBER(SEARCH("Critical", J475)), "CRITICAL FAIL", IF(ISNUMBER(SEARCH("Overdue", J475)), "FAIL", "COMPLIANT")))</f>
        <v/>
      </c>
    </row>
    <row r="476">
      <c r="K476">
        <f>IF(A476="","", IF(OR(SUMIF('Code Violations'!A:A, A476, 'Code Violations'!T:T)&gt;=5, VLOOKUP(A476, 'Master Dashboard'!A:L, 9, FALSE)="FAIL", VLOOKUP(A476, 'Master Dashboard'!A:L, 10, FALSE)="FAIL", ISNUMBER(SEARCH("Critical", J476))), "3-Red", IF(SUMIF('Code Violations'!A:A, A476, 'Code Violations'!T:T)&gt;=1, "2-Yellow", "1-White")))</f>
        <v/>
      </c>
      <c r="L476">
        <f>IF(J476="","", IF(ISNUMBER(SEARCH("Critical", J476)), "CRITICAL FAIL", IF(ISNUMBER(SEARCH("Overdue", J476)), "FAIL", "COMPLIANT")))</f>
        <v/>
      </c>
    </row>
    <row r="477">
      <c r="K477">
        <f>IF(A477="","", IF(OR(SUMIF('Code Violations'!A:A, A477, 'Code Violations'!T:T)&gt;=5, VLOOKUP(A477, 'Master Dashboard'!A:L, 9, FALSE)="FAIL", VLOOKUP(A477, 'Master Dashboard'!A:L, 10, FALSE)="FAIL", ISNUMBER(SEARCH("Critical", J477))), "3-Red", IF(SUMIF('Code Violations'!A:A, A477, 'Code Violations'!T:T)&gt;=1, "2-Yellow", "1-White")))</f>
        <v/>
      </c>
      <c r="L477">
        <f>IF(J477="","", IF(ISNUMBER(SEARCH("Critical", J477)), "CRITICAL FAIL", IF(ISNUMBER(SEARCH("Overdue", J477)), "FAIL", "COMPLIANT")))</f>
        <v/>
      </c>
    </row>
    <row r="478">
      <c r="K478">
        <f>IF(A478="","", IF(OR(SUMIF('Code Violations'!A:A, A478, 'Code Violations'!T:T)&gt;=5, VLOOKUP(A478, 'Master Dashboard'!A:L, 9, FALSE)="FAIL", VLOOKUP(A478, 'Master Dashboard'!A:L, 10, FALSE)="FAIL", ISNUMBER(SEARCH("Critical", J478))), "3-Red", IF(SUMIF('Code Violations'!A:A, A478, 'Code Violations'!T:T)&gt;=1, "2-Yellow", "1-White")))</f>
        <v/>
      </c>
      <c r="L478">
        <f>IF(J478="","", IF(ISNUMBER(SEARCH("Critical", J478)), "CRITICAL FAIL", IF(ISNUMBER(SEARCH("Overdue", J478)), "FAIL", "COMPLIANT")))</f>
        <v/>
      </c>
    </row>
    <row r="479">
      <c r="K479">
        <f>IF(A479="","", IF(OR(SUMIF('Code Violations'!A:A, A479, 'Code Violations'!T:T)&gt;=5, VLOOKUP(A479, 'Master Dashboard'!A:L, 9, FALSE)="FAIL", VLOOKUP(A479, 'Master Dashboard'!A:L, 10, FALSE)="FAIL", ISNUMBER(SEARCH("Critical", J479))), "3-Red", IF(SUMIF('Code Violations'!A:A, A479, 'Code Violations'!T:T)&gt;=1, "2-Yellow", "1-White")))</f>
        <v/>
      </c>
      <c r="L479">
        <f>IF(J479="","", IF(ISNUMBER(SEARCH("Critical", J479)), "CRITICAL FAIL", IF(ISNUMBER(SEARCH("Overdue", J479)), "FAIL", "COMPLIANT")))</f>
        <v/>
      </c>
    </row>
    <row r="480">
      <c r="K480">
        <f>IF(A480="","", IF(OR(SUMIF('Code Violations'!A:A, A480, 'Code Violations'!T:T)&gt;=5, VLOOKUP(A480, 'Master Dashboard'!A:L, 9, FALSE)="FAIL", VLOOKUP(A480, 'Master Dashboard'!A:L, 10, FALSE)="FAIL", ISNUMBER(SEARCH("Critical", J480))), "3-Red", IF(SUMIF('Code Violations'!A:A, A480, 'Code Violations'!T:T)&gt;=1, "2-Yellow", "1-White")))</f>
        <v/>
      </c>
      <c r="L480">
        <f>IF(J480="","", IF(ISNUMBER(SEARCH("Critical", J480)), "CRITICAL FAIL", IF(ISNUMBER(SEARCH("Overdue", J480)), "FAIL", "COMPLIANT")))</f>
        <v/>
      </c>
    </row>
    <row r="481">
      <c r="K481">
        <f>IF(A481="","", IF(OR(SUMIF('Code Violations'!A:A, A481, 'Code Violations'!T:T)&gt;=5, VLOOKUP(A481, 'Master Dashboard'!A:L, 9, FALSE)="FAIL", VLOOKUP(A481, 'Master Dashboard'!A:L, 10, FALSE)="FAIL", ISNUMBER(SEARCH("Critical", J481))), "3-Red", IF(SUMIF('Code Violations'!A:A, A481, 'Code Violations'!T:T)&gt;=1, "2-Yellow", "1-White")))</f>
        <v/>
      </c>
      <c r="L481">
        <f>IF(J481="","", IF(ISNUMBER(SEARCH("Critical", J481)), "CRITICAL FAIL", IF(ISNUMBER(SEARCH("Overdue", J481)), "FAIL", "COMPLIANT")))</f>
        <v/>
      </c>
    </row>
    <row r="482">
      <c r="K482">
        <f>IF(A482="","", IF(OR(SUMIF('Code Violations'!A:A, A482, 'Code Violations'!T:T)&gt;=5, VLOOKUP(A482, 'Master Dashboard'!A:L, 9, FALSE)="FAIL", VLOOKUP(A482, 'Master Dashboard'!A:L, 10, FALSE)="FAIL", ISNUMBER(SEARCH("Critical", J482))), "3-Red", IF(SUMIF('Code Violations'!A:A, A482, 'Code Violations'!T:T)&gt;=1, "2-Yellow", "1-White")))</f>
        <v/>
      </c>
      <c r="L482">
        <f>IF(J482="","", IF(ISNUMBER(SEARCH("Critical", J482)), "CRITICAL FAIL", IF(ISNUMBER(SEARCH("Overdue", J482)), "FAIL", "COMPLIANT")))</f>
        <v/>
      </c>
    </row>
    <row r="483">
      <c r="K483">
        <f>IF(A483="","", IF(OR(SUMIF('Code Violations'!A:A, A483, 'Code Violations'!T:T)&gt;=5, VLOOKUP(A483, 'Master Dashboard'!A:L, 9, FALSE)="FAIL", VLOOKUP(A483, 'Master Dashboard'!A:L, 10, FALSE)="FAIL", ISNUMBER(SEARCH("Critical", J483))), "3-Red", IF(SUMIF('Code Violations'!A:A, A483, 'Code Violations'!T:T)&gt;=1, "2-Yellow", "1-White")))</f>
        <v/>
      </c>
      <c r="L483">
        <f>IF(J483="","", IF(ISNUMBER(SEARCH("Critical", J483)), "CRITICAL FAIL", IF(ISNUMBER(SEARCH("Overdue", J483)), "FAIL", "COMPLIANT")))</f>
        <v/>
      </c>
    </row>
    <row r="484">
      <c r="K484">
        <f>IF(A484="","", IF(OR(SUMIF('Code Violations'!A:A, A484, 'Code Violations'!T:T)&gt;=5, VLOOKUP(A484, 'Master Dashboard'!A:L, 9, FALSE)="FAIL", VLOOKUP(A484, 'Master Dashboard'!A:L, 10, FALSE)="FAIL", ISNUMBER(SEARCH("Critical", J484))), "3-Red", IF(SUMIF('Code Violations'!A:A, A484, 'Code Violations'!T:T)&gt;=1, "2-Yellow", "1-White")))</f>
        <v/>
      </c>
      <c r="L484">
        <f>IF(J484="","", IF(ISNUMBER(SEARCH("Critical", J484)), "CRITICAL FAIL", IF(ISNUMBER(SEARCH("Overdue", J484)), "FAIL", "COMPLIANT")))</f>
        <v/>
      </c>
    </row>
    <row r="485">
      <c r="K485">
        <f>IF(A485="","", IF(OR(SUMIF('Code Violations'!A:A, A485, 'Code Violations'!T:T)&gt;=5, VLOOKUP(A485, 'Master Dashboard'!A:L, 9, FALSE)="FAIL", VLOOKUP(A485, 'Master Dashboard'!A:L, 10, FALSE)="FAIL", ISNUMBER(SEARCH("Critical", J485))), "3-Red", IF(SUMIF('Code Violations'!A:A, A485, 'Code Violations'!T:T)&gt;=1, "2-Yellow", "1-White")))</f>
        <v/>
      </c>
      <c r="L485">
        <f>IF(J485="","", IF(ISNUMBER(SEARCH("Critical", J485)), "CRITICAL FAIL", IF(ISNUMBER(SEARCH("Overdue", J485)), "FAIL", "COMPLIANT")))</f>
        <v/>
      </c>
    </row>
    <row r="486">
      <c r="K486">
        <f>IF(A486="","", IF(OR(SUMIF('Code Violations'!A:A, A486, 'Code Violations'!T:T)&gt;=5, VLOOKUP(A486, 'Master Dashboard'!A:L, 9, FALSE)="FAIL", VLOOKUP(A486, 'Master Dashboard'!A:L, 10, FALSE)="FAIL", ISNUMBER(SEARCH("Critical", J486))), "3-Red", IF(SUMIF('Code Violations'!A:A, A486, 'Code Violations'!T:T)&gt;=1, "2-Yellow", "1-White")))</f>
        <v/>
      </c>
      <c r="L486">
        <f>IF(J486="","", IF(ISNUMBER(SEARCH("Critical", J486)), "CRITICAL FAIL", IF(ISNUMBER(SEARCH("Overdue", J486)), "FAIL", "COMPLIANT")))</f>
        <v/>
      </c>
    </row>
    <row r="487">
      <c r="K487">
        <f>IF(A487="","", IF(OR(SUMIF('Code Violations'!A:A, A487, 'Code Violations'!T:T)&gt;=5, VLOOKUP(A487, 'Master Dashboard'!A:L, 9, FALSE)="FAIL", VLOOKUP(A487, 'Master Dashboard'!A:L, 10, FALSE)="FAIL", ISNUMBER(SEARCH("Critical", J487))), "3-Red", IF(SUMIF('Code Violations'!A:A, A487, 'Code Violations'!T:T)&gt;=1, "2-Yellow", "1-White")))</f>
        <v/>
      </c>
      <c r="L487">
        <f>IF(J487="","", IF(ISNUMBER(SEARCH("Critical", J487)), "CRITICAL FAIL", IF(ISNUMBER(SEARCH("Overdue", J487)), "FAIL", "COMPLIANT")))</f>
        <v/>
      </c>
    </row>
    <row r="488">
      <c r="K488">
        <f>IF(A488="","", IF(OR(SUMIF('Code Violations'!A:A, A488, 'Code Violations'!T:T)&gt;=5, VLOOKUP(A488, 'Master Dashboard'!A:L, 9, FALSE)="FAIL", VLOOKUP(A488, 'Master Dashboard'!A:L, 10, FALSE)="FAIL", ISNUMBER(SEARCH("Critical", J488))), "3-Red", IF(SUMIF('Code Violations'!A:A, A488, 'Code Violations'!T:T)&gt;=1, "2-Yellow", "1-White")))</f>
        <v/>
      </c>
      <c r="L488">
        <f>IF(J488="","", IF(ISNUMBER(SEARCH("Critical", J488)), "CRITICAL FAIL", IF(ISNUMBER(SEARCH("Overdue", J488)), "FAIL", "COMPLIANT")))</f>
        <v/>
      </c>
    </row>
    <row r="489">
      <c r="K489">
        <f>IF(A489="","", IF(OR(SUMIF('Code Violations'!A:A, A489, 'Code Violations'!T:T)&gt;=5, VLOOKUP(A489, 'Master Dashboard'!A:L, 9, FALSE)="FAIL", VLOOKUP(A489, 'Master Dashboard'!A:L, 10, FALSE)="FAIL", ISNUMBER(SEARCH("Critical", J489))), "3-Red", IF(SUMIF('Code Violations'!A:A, A489, 'Code Violations'!T:T)&gt;=1, "2-Yellow", "1-White")))</f>
        <v/>
      </c>
      <c r="L489">
        <f>IF(J489="","", IF(ISNUMBER(SEARCH("Critical", J489)), "CRITICAL FAIL", IF(ISNUMBER(SEARCH("Overdue", J489)), "FAIL", "COMPLIANT")))</f>
        <v/>
      </c>
    </row>
    <row r="490">
      <c r="K490">
        <f>IF(A490="","", IF(OR(SUMIF('Code Violations'!A:A, A490, 'Code Violations'!T:T)&gt;=5, VLOOKUP(A490, 'Master Dashboard'!A:L, 9, FALSE)="FAIL", VLOOKUP(A490, 'Master Dashboard'!A:L, 10, FALSE)="FAIL", ISNUMBER(SEARCH("Critical", J490))), "3-Red", IF(SUMIF('Code Violations'!A:A, A490, 'Code Violations'!T:T)&gt;=1, "2-Yellow", "1-White")))</f>
        <v/>
      </c>
      <c r="L490">
        <f>IF(J490="","", IF(ISNUMBER(SEARCH("Critical", J490)), "CRITICAL FAIL", IF(ISNUMBER(SEARCH("Overdue", J490)), "FAIL", "COMPLIANT")))</f>
        <v/>
      </c>
    </row>
    <row r="491">
      <c r="K491">
        <f>IF(A491="","", IF(OR(SUMIF('Code Violations'!A:A, A491, 'Code Violations'!T:T)&gt;=5, VLOOKUP(A491, 'Master Dashboard'!A:L, 9, FALSE)="FAIL", VLOOKUP(A491, 'Master Dashboard'!A:L, 10, FALSE)="FAIL", ISNUMBER(SEARCH("Critical", J491))), "3-Red", IF(SUMIF('Code Violations'!A:A, A491, 'Code Violations'!T:T)&gt;=1, "2-Yellow", "1-White")))</f>
        <v/>
      </c>
      <c r="L491">
        <f>IF(J491="","", IF(ISNUMBER(SEARCH("Critical", J491)), "CRITICAL FAIL", IF(ISNUMBER(SEARCH("Overdue", J491)), "FAIL", "COMPLIANT")))</f>
        <v/>
      </c>
    </row>
    <row r="492">
      <c r="K492">
        <f>IF(A492="","", IF(OR(SUMIF('Code Violations'!A:A, A492, 'Code Violations'!T:T)&gt;=5, VLOOKUP(A492, 'Master Dashboard'!A:L, 9, FALSE)="FAIL", VLOOKUP(A492, 'Master Dashboard'!A:L, 10, FALSE)="FAIL", ISNUMBER(SEARCH("Critical", J492))), "3-Red", IF(SUMIF('Code Violations'!A:A, A492, 'Code Violations'!T:T)&gt;=1, "2-Yellow", "1-White")))</f>
        <v/>
      </c>
      <c r="L492">
        <f>IF(J492="","", IF(ISNUMBER(SEARCH("Critical", J492)), "CRITICAL FAIL", IF(ISNUMBER(SEARCH("Overdue", J492)), "FAIL", "COMPLIANT")))</f>
        <v/>
      </c>
    </row>
    <row r="493">
      <c r="K493">
        <f>IF(A493="","", IF(OR(SUMIF('Code Violations'!A:A, A493, 'Code Violations'!T:T)&gt;=5, VLOOKUP(A493, 'Master Dashboard'!A:L, 9, FALSE)="FAIL", VLOOKUP(A493, 'Master Dashboard'!A:L, 10, FALSE)="FAIL", ISNUMBER(SEARCH("Critical", J493))), "3-Red", IF(SUMIF('Code Violations'!A:A, A493, 'Code Violations'!T:T)&gt;=1, "2-Yellow", "1-White")))</f>
        <v/>
      </c>
      <c r="L493">
        <f>IF(J493="","", IF(ISNUMBER(SEARCH("Critical", J493)), "CRITICAL FAIL", IF(ISNUMBER(SEARCH("Overdue", J493)), "FAIL", "COMPLIANT")))</f>
        <v/>
      </c>
    </row>
    <row r="494">
      <c r="K494">
        <f>IF(A494="","", IF(OR(SUMIF('Code Violations'!A:A, A494, 'Code Violations'!T:T)&gt;=5, VLOOKUP(A494, 'Master Dashboard'!A:L, 9, FALSE)="FAIL", VLOOKUP(A494, 'Master Dashboard'!A:L, 10, FALSE)="FAIL", ISNUMBER(SEARCH("Critical", J494))), "3-Red", IF(SUMIF('Code Violations'!A:A, A494, 'Code Violations'!T:T)&gt;=1, "2-Yellow", "1-White")))</f>
        <v/>
      </c>
      <c r="L494">
        <f>IF(J494="","", IF(ISNUMBER(SEARCH("Critical", J494)), "CRITICAL FAIL", IF(ISNUMBER(SEARCH("Overdue", J494)), "FAIL", "COMPLIANT")))</f>
        <v/>
      </c>
    </row>
    <row r="495">
      <c r="K495">
        <f>IF(A495="","", IF(OR(SUMIF('Code Violations'!A:A, A495, 'Code Violations'!T:T)&gt;=5, VLOOKUP(A495, 'Master Dashboard'!A:L, 9, FALSE)="FAIL", VLOOKUP(A495, 'Master Dashboard'!A:L, 10, FALSE)="FAIL", ISNUMBER(SEARCH("Critical", J495))), "3-Red", IF(SUMIF('Code Violations'!A:A, A495, 'Code Violations'!T:T)&gt;=1, "2-Yellow", "1-White")))</f>
        <v/>
      </c>
      <c r="L495">
        <f>IF(J495="","", IF(ISNUMBER(SEARCH("Critical", J495)), "CRITICAL FAIL", IF(ISNUMBER(SEARCH("Overdue", J495)), "FAIL", "COMPLIANT")))</f>
        <v/>
      </c>
    </row>
    <row r="496">
      <c r="K496">
        <f>IF(A496="","", IF(OR(SUMIF('Code Violations'!A:A, A496, 'Code Violations'!T:T)&gt;=5, VLOOKUP(A496, 'Master Dashboard'!A:L, 9, FALSE)="FAIL", VLOOKUP(A496, 'Master Dashboard'!A:L, 10, FALSE)="FAIL", ISNUMBER(SEARCH("Critical", J496))), "3-Red", IF(SUMIF('Code Violations'!A:A, A496, 'Code Violations'!T:T)&gt;=1, "2-Yellow", "1-White")))</f>
        <v/>
      </c>
      <c r="L496">
        <f>IF(J496="","", IF(ISNUMBER(SEARCH("Critical", J496)), "CRITICAL FAIL", IF(ISNUMBER(SEARCH("Overdue", J496)), "FAIL", "COMPLIANT")))</f>
        <v/>
      </c>
    </row>
    <row r="497">
      <c r="K497">
        <f>IF(A497="","", IF(OR(SUMIF('Code Violations'!A:A, A497, 'Code Violations'!T:T)&gt;=5, VLOOKUP(A497, 'Master Dashboard'!A:L, 9, FALSE)="FAIL", VLOOKUP(A497, 'Master Dashboard'!A:L, 10, FALSE)="FAIL", ISNUMBER(SEARCH("Critical", J497))), "3-Red", IF(SUMIF('Code Violations'!A:A, A497, 'Code Violations'!T:T)&gt;=1, "2-Yellow", "1-White")))</f>
        <v/>
      </c>
      <c r="L497">
        <f>IF(J497="","", IF(ISNUMBER(SEARCH("Critical", J497)), "CRITICAL FAIL", IF(ISNUMBER(SEARCH("Overdue", J497)), "FAIL", "COMPLIANT")))</f>
        <v/>
      </c>
    </row>
    <row r="498">
      <c r="K498">
        <f>IF(A498="","", IF(OR(SUMIF('Code Violations'!A:A, A498, 'Code Violations'!T:T)&gt;=5, VLOOKUP(A498, 'Master Dashboard'!A:L, 9, FALSE)="FAIL", VLOOKUP(A498, 'Master Dashboard'!A:L, 10, FALSE)="FAIL", ISNUMBER(SEARCH("Critical", J498))), "3-Red", IF(SUMIF('Code Violations'!A:A, A498, 'Code Violations'!T:T)&gt;=1, "2-Yellow", "1-White")))</f>
        <v/>
      </c>
      <c r="L498">
        <f>IF(J498="","", IF(ISNUMBER(SEARCH("Critical", J498)), "CRITICAL FAIL", IF(ISNUMBER(SEARCH("Overdue", J498)), "FAIL", "COMPLIANT")))</f>
        <v/>
      </c>
    </row>
    <row r="499">
      <c r="K499">
        <f>IF(A499="","", IF(OR(SUMIF('Code Violations'!A:A, A499, 'Code Violations'!T:T)&gt;=5, VLOOKUP(A499, 'Master Dashboard'!A:L, 9, FALSE)="FAIL", VLOOKUP(A499, 'Master Dashboard'!A:L, 10, FALSE)="FAIL", ISNUMBER(SEARCH("Critical", J499))), "3-Red", IF(SUMIF('Code Violations'!A:A, A499, 'Code Violations'!T:T)&gt;=1, "2-Yellow", "1-White")))</f>
        <v/>
      </c>
      <c r="L499">
        <f>IF(J499="","", IF(ISNUMBER(SEARCH("Critical", J499)), "CRITICAL FAIL", IF(ISNUMBER(SEARCH("Overdue", J499)), "FAIL", "COMPLIANT")))</f>
        <v/>
      </c>
    </row>
  </sheetData>
  <conditionalFormatting sqref="K2:K500">
    <cfRule type="expression" priority="1" dxfId="0" stopIfTrue="1">
      <formula>ISNUMBER(SEARCH("3-Red", K2))</formula>
    </cfRule>
    <cfRule type="expression" priority="2" dxfId="1" stopIfTrue="1">
      <formula>ISNUMBER(SEARCH("2-Yellow", K2))</formula>
    </cfRule>
  </conditionalFormatting>
  <dataValidations count="3">
    <dataValidation sqref="D2:D500" showDropDown="0" showInputMessage="0" showErrorMessage="0" allowBlank="1" type="list">
      <formula1>List_Equip</formula1>
    </dataValidation>
    <dataValidation sqref="I2:I500" showDropDown="0" showInputMessage="0" showErrorMessage="0" allowBlank="1" type="list">
      <formula1>List_Crit</formula1>
    </dataValidation>
    <dataValidation sqref="J2:J500" showDropDown="0" showInputMessage="0" showErrorMessage="0" allowBlank="1" type="list">
      <formula1>List_Maint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Asset Tag</t>
        </is>
      </c>
      <c r="B1" s="1" t="inlineStr">
        <is>
          <t>Functional Name</t>
        </is>
      </c>
      <c r="C1" s="1" t="inlineStr">
        <is>
          <t>Location</t>
        </is>
      </c>
      <c r="D1" s="1" t="inlineStr">
        <is>
          <t>Equipment Type</t>
        </is>
      </c>
      <c r="E1" s="1" t="inlineStr">
        <is>
          <t>Energized</t>
        </is>
      </c>
      <c r="F1" s="1" t="inlineStr">
        <is>
          <t>Insul</t>
        </is>
      </c>
      <c r="G1" s="1" t="inlineStr">
        <is>
          <t>DLRO</t>
        </is>
      </c>
      <c r="H1" s="1" t="inlineStr">
        <is>
          <t>Torque</t>
        </is>
      </c>
      <c r="I1" s="1" t="inlineStr">
        <is>
          <t>IR</t>
        </is>
      </c>
      <c r="J1" s="1" t="inlineStr">
        <is>
          <t>US</t>
        </is>
      </c>
      <c r="K1" s="1" t="inlineStr">
        <is>
          <t>Code</t>
        </is>
      </c>
      <c r="L1" s="1" t="inlineStr">
        <is>
          <t>OVERALL STATUS</t>
        </is>
      </c>
    </row>
    <row r="2">
      <c r="A2">
        <f>IF('Equipment Information'!A2="","", 'Equipment Information'!A2)</f>
        <v/>
      </c>
      <c r="B2">
        <f>IF('Equipment Information'!B2="","", 'Equipment Information'!B2)</f>
        <v/>
      </c>
      <c r="C2">
        <f>IF('Equipment Information'!C2="","", 'Equipment Information'!C2)</f>
        <v/>
      </c>
      <c r="D2">
        <f>IF('Equipment Information'!D2="","", 'Equipment Information'!D2)</f>
        <v/>
      </c>
      <c r="E2">
        <f>IF(A2="","", IFERROR(VLOOKUP(A2, 'Energized Data'!A:T, 20, FALSE), "N/A"))</f>
        <v/>
      </c>
      <c r="F2">
        <f>IF(A2="","", IFERROR(VLOOKUP(A2, 'Insulation'!A:J, 9, FALSE), "N/A"))</f>
        <v/>
      </c>
      <c r="G2">
        <f>IF(A2="","", IFERROR(VLOOKUP(A2, 'DLRO'!A:I, 8, FALSE), "N/A"))</f>
        <v/>
      </c>
      <c r="H2">
        <f>IF(A2="","", IFERROR(VLOOKUP(A2, 'Torque'!A:I, 8, FALSE), "N/A"))</f>
        <v/>
      </c>
      <c r="I2">
        <f>IF(A2="","", IFERROR(VLOOKUP(A2, 'Infrared'!A:G, 6, FALSE), "N/A"))</f>
        <v/>
      </c>
      <c r="J2">
        <f>IF(A2="","", IFERROR(VLOOKUP(A2, 'Ultrasonic'!A:H, 7, FALSE), "N/A"))</f>
        <v/>
      </c>
      <c r="K2">
        <f>IF(A2="","", IFERROR(VLOOKUP(A2, 'Code Violations'!A:V, 22, FALSE), "N/A"))</f>
        <v/>
      </c>
      <c r="L2">
        <f>IF(A2="","", IF(COUNTIF(E2:K2, "FAIL")&gt;0, "FAIL", "PASS"))</f>
        <v/>
      </c>
    </row>
    <row r="3">
      <c r="A3">
        <f>IF('Equipment Information'!A3="","", 'Equipment Information'!A3)</f>
        <v/>
      </c>
      <c r="B3">
        <f>IF('Equipment Information'!B3="","", 'Equipment Information'!B3)</f>
        <v/>
      </c>
      <c r="C3">
        <f>IF('Equipment Information'!C3="","", 'Equipment Information'!C3)</f>
        <v/>
      </c>
      <c r="D3">
        <f>IF('Equipment Information'!D3="","", 'Equipment Information'!D3)</f>
        <v/>
      </c>
      <c r="E3">
        <f>IF(A3="","", IFERROR(VLOOKUP(A3, 'Energized Data'!A:T, 20, FALSE), "N/A"))</f>
        <v/>
      </c>
      <c r="F3">
        <f>IF(A3="","", IFERROR(VLOOKUP(A3, 'Insulation'!A:J, 9, FALSE), "N/A"))</f>
        <v/>
      </c>
      <c r="G3">
        <f>IF(A3="","", IFERROR(VLOOKUP(A3, 'DLRO'!A:I, 8, FALSE), "N/A"))</f>
        <v/>
      </c>
      <c r="H3">
        <f>IF(A3="","", IFERROR(VLOOKUP(A3, 'Torque'!A:I, 8, FALSE), "N/A"))</f>
        <v/>
      </c>
      <c r="I3">
        <f>IF(A3="","", IFERROR(VLOOKUP(A3, 'Infrared'!A:G, 6, FALSE), "N/A"))</f>
        <v/>
      </c>
      <c r="J3">
        <f>IF(A3="","", IFERROR(VLOOKUP(A3, 'Ultrasonic'!A:H, 7, FALSE), "N/A"))</f>
        <v/>
      </c>
      <c r="K3">
        <f>IF(A3="","", IFERROR(VLOOKUP(A3, 'Code Violations'!A:V, 22, FALSE), "N/A"))</f>
        <v/>
      </c>
      <c r="L3">
        <f>IF(A3="","", IF(COUNTIF(E3:K3, "FAIL")&gt;0, "FAIL", "PASS"))</f>
        <v/>
      </c>
    </row>
    <row r="4">
      <c r="A4">
        <f>IF('Equipment Information'!A4="","", 'Equipment Information'!A4)</f>
        <v/>
      </c>
      <c r="B4">
        <f>IF('Equipment Information'!B4="","", 'Equipment Information'!B4)</f>
        <v/>
      </c>
      <c r="C4">
        <f>IF('Equipment Information'!C4="","", 'Equipment Information'!C4)</f>
        <v/>
      </c>
      <c r="D4">
        <f>IF('Equipment Information'!D4="","", 'Equipment Information'!D4)</f>
        <v/>
      </c>
      <c r="E4">
        <f>IF(A4="","", IFERROR(VLOOKUP(A4, 'Energized Data'!A:T, 20, FALSE), "N/A"))</f>
        <v/>
      </c>
      <c r="F4">
        <f>IF(A4="","", IFERROR(VLOOKUP(A4, 'Insulation'!A:J, 9, FALSE), "N/A"))</f>
        <v/>
      </c>
      <c r="G4">
        <f>IF(A4="","", IFERROR(VLOOKUP(A4, 'DLRO'!A:I, 8, FALSE), "N/A"))</f>
        <v/>
      </c>
      <c r="H4">
        <f>IF(A4="","", IFERROR(VLOOKUP(A4, 'Torque'!A:I, 8, FALSE), "N/A"))</f>
        <v/>
      </c>
      <c r="I4">
        <f>IF(A4="","", IFERROR(VLOOKUP(A4, 'Infrared'!A:G, 6, FALSE), "N/A"))</f>
        <v/>
      </c>
      <c r="J4">
        <f>IF(A4="","", IFERROR(VLOOKUP(A4, 'Ultrasonic'!A:H, 7, FALSE), "N/A"))</f>
        <v/>
      </c>
      <c r="K4">
        <f>IF(A4="","", IFERROR(VLOOKUP(A4, 'Code Violations'!A:V, 22, FALSE), "N/A"))</f>
        <v/>
      </c>
      <c r="L4">
        <f>IF(A4="","", IF(COUNTIF(E4:K4, "FAIL")&gt;0, "FAIL", "PASS"))</f>
        <v/>
      </c>
    </row>
    <row r="5">
      <c r="A5">
        <f>IF('Equipment Information'!A5="","", 'Equipment Information'!A5)</f>
        <v/>
      </c>
      <c r="B5">
        <f>IF('Equipment Information'!B5="","", 'Equipment Information'!B5)</f>
        <v/>
      </c>
      <c r="C5">
        <f>IF('Equipment Information'!C5="","", 'Equipment Information'!C5)</f>
        <v/>
      </c>
      <c r="D5">
        <f>IF('Equipment Information'!D5="","", 'Equipment Information'!D5)</f>
        <v/>
      </c>
      <c r="E5">
        <f>IF(A5="","", IFERROR(VLOOKUP(A5, 'Energized Data'!A:T, 20, FALSE), "N/A"))</f>
        <v/>
      </c>
      <c r="F5">
        <f>IF(A5="","", IFERROR(VLOOKUP(A5, 'Insulation'!A:J, 9, FALSE), "N/A"))</f>
        <v/>
      </c>
      <c r="G5">
        <f>IF(A5="","", IFERROR(VLOOKUP(A5, 'DLRO'!A:I, 8, FALSE), "N/A"))</f>
        <v/>
      </c>
      <c r="H5">
        <f>IF(A5="","", IFERROR(VLOOKUP(A5, 'Torque'!A:I, 8, FALSE), "N/A"))</f>
        <v/>
      </c>
      <c r="I5">
        <f>IF(A5="","", IFERROR(VLOOKUP(A5, 'Infrared'!A:G, 6, FALSE), "N/A"))</f>
        <v/>
      </c>
      <c r="J5">
        <f>IF(A5="","", IFERROR(VLOOKUP(A5, 'Ultrasonic'!A:H, 7, FALSE), "N/A"))</f>
        <v/>
      </c>
      <c r="K5">
        <f>IF(A5="","", IFERROR(VLOOKUP(A5, 'Code Violations'!A:V, 22, FALSE), "N/A"))</f>
        <v/>
      </c>
      <c r="L5">
        <f>IF(A5="","", IF(COUNTIF(E5:K5, "FAIL")&gt;0, "FAIL", "PASS"))</f>
        <v/>
      </c>
    </row>
    <row r="6">
      <c r="A6">
        <f>IF('Equipment Information'!A6="","", 'Equipment Information'!A6)</f>
        <v/>
      </c>
      <c r="B6">
        <f>IF('Equipment Information'!B6="","", 'Equipment Information'!B6)</f>
        <v/>
      </c>
      <c r="C6">
        <f>IF('Equipment Information'!C6="","", 'Equipment Information'!C6)</f>
        <v/>
      </c>
      <c r="D6">
        <f>IF('Equipment Information'!D6="","", 'Equipment Information'!D6)</f>
        <v/>
      </c>
      <c r="E6">
        <f>IF(A6="","", IFERROR(VLOOKUP(A6, 'Energized Data'!A:T, 20, FALSE), "N/A"))</f>
        <v/>
      </c>
      <c r="F6">
        <f>IF(A6="","", IFERROR(VLOOKUP(A6, 'Insulation'!A:J, 9, FALSE), "N/A"))</f>
        <v/>
      </c>
      <c r="G6">
        <f>IF(A6="","", IFERROR(VLOOKUP(A6, 'DLRO'!A:I, 8, FALSE), "N/A"))</f>
        <v/>
      </c>
      <c r="H6">
        <f>IF(A6="","", IFERROR(VLOOKUP(A6, 'Torque'!A:I, 8, FALSE), "N/A"))</f>
        <v/>
      </c>
      <c r="I6">
        <f>IF(A6="","", IFERROR(VLOOKUP(A6, 'Infrared'!A:G, 6, FALSE), "N/A"))</f>
        <v/>
      </c>
      <c r="J6">
        <f>IF(A6="","", IFERROR(VLOOKUP(A6, 'Ultrasonic'!A:H, 7, FALSE), "N/A"))</f>
        <v/>
      </c>
      <c r="K6">
        <f>IF(A6="","", IFERROR(VLOOKUP(A6, 'Code Violations'!A:V, 22, FALSE), "N/A"))</f>
        <v/>
      </c>
      <c r="L6">
        <f>IF(A6="","", IF(COUNTIF(E6:K6, "FAIL")&gt;0, "FAIL", "PASS"))</f>
        <v/>
      </c>
    </row>
    <row r="7">
      <c r="A7">
        <f>IF('Equipment Information'!A7="","", 'Equipment Information'!A7)</f>
        <v/>
      </c>
      <c r="B7">
        <f>IF('Equipment Information'!B7="","", 'Equipment Information'!B7)</f>
        <v/>
      </c>
      <c r="C7">
        <f>IF('Equipment Information'!C7="","", 'Equipment Information'!C7)</f>
        <v/>
      </c>
      <c r="D7">
        <f>IF('Equipment Information'!D7="","", 'Equipment Information'!D7)</f>
        <v/>
      </c>
      <c r="E7">
        <f>IF(A7="","", IFERROR(VLOOKUP(A7, 'Energized Data'!A:T, 20, FALSE), "N/A"))</f>
        <v/>
      </c>
      <c r="F7">
        <f>IF(A7="","", IFERROR(VLOOKUP(A7, 'Insulation'!A:J, 9, FALSE), "N/A"))</f>
        <v/>
      </c>
      <c r="G7">
        <f>IF(A7="","", IFERROR(VLOOKUP(A7, 'DLRO'!A:I, 8, FALSE), "N/A"))</f>
        <v/>
      </c>
      <c r="H7">
        <f>IF(A7="","", IFERROR(VLOOKUP(A7, 'Torque'!A:I, 8, FALSE), "N/A"))</f>
        <v/>
      </c>
      <c r="I7">
        <f>IF(A7="","", IFERROR(VLOOKUP(A7, 'Infrared'!A:G, 6, FALSE), "N/A"))</f>
        <v/>
      </c>
      <c r="J7">
        <f>IF(A7="","", IFERROR(VLOOKUP(A7, 'Ultrasonic'!A:H, 7, FALSE), "N/A"))</f>
        <v/>
      </c>
      <c r="K7">
        <f>IF(A7="","", IFERROR(VLOOKUP(A7, 'Code Violations'!A:V, 22, FALSE), "N/A"))</f>
        <v/>
      </c>
      <c r="L7">
        <f>IF(A7="","", IF(COUNTIF(E7:K7, "FAIL")&gt;0, "FAIL", "PASS"))</f>
        <v/>
      </c>
    </row>
    <row r="8">
      <c r="A8">
        <f>IF('Equipment Information'!A8="","", 'Equipment Information'!A8)</f>
        <v/>
      </c>
      <c r="B8">
        <f>IF('Equipment Information'!B8="","", 'Equipment Information'!B8)</f>
        <v/>
      </c>
      <c r="C8">
        <f>IF('Equipment Information'!C8="","", 'Equipment Information'!C8)</f>
        <v/>
      </c>
      <c r="D8">
        <f>IF('Equipment Information'!D8="","", 'Equipment Information'!D8)</f>
        <v/>
      </c>
      <c r="E8">
        <f>IF(A8="","", IFERROR(VLOOKUP(A8, 'Energized Data'!A:T, 20, FALSE), "N/A"))</f>
        <v/>
      </c>
      <c r="F8">
        <f>IF(A8="","", IFERROR(VLOOKUP(A8, 'Insulation'!A:J, 9, FALSE), "N/A"))</f>
        <v/>
      </c>
      <c r="G8">
        <f>IF(A8="","", IFERROR(VLOOKUP(A8, 'DLRO'!A:I, 8, FALSE), "N/A"))</f>
        <v/>
      </c>
      <c r="H8">
        <f>IF(A8="","", IFERROR(VLOOKUP(A8, 'Torque'!A:I, 8, FALSE), "N/A"))</f>
        <v/>
      </c>
      <c r="I8">
        <f>IF(A8="","", IFERROR(VLOOKUP(A8, 'Infrared'!A:G, 6, FALSE), "N/A"))</f>
        <v/>
      </c>
      <c r="J8">
        <f>IF(A8="","", IFERROR(VLOOKUP(A8, 'Ultrasonic'!A:H, 7, FALSE), "N/A"))</f>
        <v/>
      </c>
      <c r="K8">
        <f>IF(A8="","", IFERROR(VLOOKUP(A8, 'Code Violations'!A:V, 22, FALSE), "N/A"))</f>
        <v/>
      </c>
      <c r="L8">
        <f>IF(A8="","", IF(COUNTIF(E8:K8, "FAIL")&gt;0, "FAIL", "PASS"))</f>
        <v/>
      </c>
    </row>
    <row r="9">
      <c r="A9">
        <f>IF('Equipment Information'!A9="","", 'Equipment Information'!A9)</f>
        <v/>
      </c>
      <c r="B9">
        <f>IF('Equipment Information'!B9="","", 'Equipment Information'!B9)</f>
        <v/>
      </c>
      <c r="C9">
        <f>IF('Equipment Information'!C9="","", 'Equipment Information'!C9)</f>
        <v/>
      </c>
      <c r="D9">
        <f>IF('Equipment Information'!D9="","", 'Equipment Information'!D9)</f>
        <v/>
      </c>
      <c r="E9">
        <f>IF(A9="","", IFERROR(VLOOKUP(A9, 'Energized Data'!A:T, 20, FALSE), "N/A"))</f>
        <v/>
      </c>
      <c r="F9">
        <f>IF(A9="","", IFERROR(VLOOKUP(A9, 'Insulation'!A:J, 9, FALSE), "N/A"))</f>
        <v/>
      </c>
      <c r="G9">
        <f>IF(A9="","", IFERROR(VLOOKUP(A9, 'DLRO'!A:I, 8, FALSE), "N/A"))</f>
        <v/>
      </c>
      <c r="H9">
        <f>IF(A9="","", IFERROR(VLOOKUP(A9, 'Torque'!A:I, 8, FALSE), "N/A"))</f>
        <v/>
      </c>
      <c r="I9">
        <f>IF(A9="","", IFERROR(VLOOKUP(A9, 'Infrared'!A:G, 6, FALSE), "N/A"))</f>
        <v/>
      </c>
      <c r="J9">
        <f>IF(A9="","", IFERROR(VLOOKUP(A9, 'Ultrasonic'!A:H, 7, FALSE), "N/A"))</f>
        <v/>
      </c>
      <c r="K9">
        <f>IF(A9="","", IFERROR(VLOOKUP(A9, 'Code Violations'!A:V, 22, FALSE), "N/A"))</f>
        <v/>
      </c>
      <c r="L9">
        <f>IF(A9="","", IF(COUNTIF(E9:K9, "FAIL")&gt;0, "FAIL", "PASS"))</f>
        <v/>
      </c>
    </row>
    <row r="10">
      <c r="A10">
        <f>IF('Equipment Information'!A10="","", 'Equipment Information'!A10)</f>
        <v/>
      </c>
      <c r="B10">
        <f>IF('Equipment Information'!B10="","", 'Equipment Information'!B10)</f>
        <v/>
      </c>
      <c r="C10">
        <f>IF('Equipment Information'!C10="","", 'Equipment Information'!C10)</f>
        <v/>
      </c>
      <c r="D10">
        <f>IF('Equipment Information'!D10="","", 'Equipment Information'!D10)</f>
        <v/>
      </c>
      <c r="E10">
        <f>IF(A10="","", IFERROR(VLOOKUP(A10, 'Energized Data'!A:T, 20, FALSE), "N/A"))</f>
        <v/>
      </c>
      <c r="F10">
        <f>IF(A10="","", IFERROR(VLOOKUP(A10, 'Insulation'!A:J, 9, FALSE), "N/A"))</f>
        <v/>
      </c>
      <c r="G10">
        <f>IF(A10="","", IFERROR(VLOOKUP(A10, 'DLRO'!A:I, 8, FALSE), "N/A"))</f>
        <v/>
      </c>
      <c r="H10">
        <f>IF(A10="","", IFERROR(VLOOKUP(A10, 'Torque'!A:I, 8, FALSE), "N/A"))</f>
        <v/>
      </c>
      <c r="I10">
        <f>IF(A10="","", IFERROR(VLOOKUP(A10, 'Infrared'!A:G, 6, FALSE), "N/A"))</f>
        <v/>
      </c>
      <c r="J10">
        <f>IF(A10="","", IFERROR(VLOOKUP(A10, 'Ultrasonic'!A:H, 7, FALSE), "N/A"))</f>
        <v/>
      </c>
      <c r="K10">
        <f>IF(A10="","", IFERROR(VLOOKUP(A10, 'Code Violations'!A:V, 22, FALSE), "N/A"))</f>
        <v/>
      </c>
      <c r="L10">
        <f>IF(A10="","", IF(COUNTIF(E10:K10, "FAIL")&gt;0, "FAIL", "PASS"))</f>
        <v/>
      </c>
    </row>
    <row r="11">
      <c r="A11">
        <f>IF('Equipment Information'!A11="","", 'Equipment Information'!A11)</f>
        <v/>
      </c>
      <c r="B11">
        <f>IF('Equipment Information'!B11="","", 'Equipment Information'!B11)</f>
        <v/>
      </c>
      <c r="C11">
        <f>IF('Equipment Information'!C11="","", 'Equipment Information'!C11)</f>
        <v/>
      </c>
      <c r="D11">
        <f>IF('Equipment Information'!D11="","", 'Equipment Information'!D11)</f>
        <v/>
      </c>
      <c r="E11">
        <f>IF(A11="","", IFERROR(VLOOKUP(A11, 'Energized Data'!A:T, 20, FALSE), "N/A"))</f>
        <v/>
      </c>
      <c r="F11">
        <f>IF(A11="","", IFERROR(VLOOKUP(A11, 'Insulation'!A:J, 9, FALSE), "N/A"))</f>
        <v/>
      </c>
      <c r="G11">
        <f>IF(A11="","", IFERROR(VLOOKUP(A11, 'DLRO'!A:I, 8, FALSE), "N/A"))</f>
        <v/>
      </c>
      <c r="H11">
        <f>IF(A11="","", IFERROR(VLOOKUP(A11, 'Torque'!A:I, 8, FALSE), "N/A"))</f>
        <v/>
      </c>
      <c r="I11">
        <f>IF(A11="","", IFERROR(VLOOKUP(A11, 'Infrared'!A:G, 6, FALSE), "N/A"))</f>
        <v/>
      </c>
      <c r="J11">
        <f>IF(A11="","", IFERROR(VLOOKUP(A11, 'Ultrasonic'!A:H, 7, FALSE), "N/A"))</f>
        <v/>
      </c>
      <c r="K11">
        <f>IF(A11="","", IFERROR(VLOOKUP(A11, 'Code Violations'!A:V, 22, FALSE), "N/A"))</f>
        <v/>
      </c>
      <c r="L11">
        <f>IF(A11="","", IF(COUNTIF(E11:K11, "FAIL")&gt;0, "FAIL", "PASS"))</f>
        <v/>
      </c>
    </row>
    <row r="12">
      <c r="A12">
        <f>IF('Equipment Information'!A12="","", 'Equipment Information'!A12)</f>
        <v/>
      </c>
      <c r="B12">
        <f>IF('Equipment Information'!B12="","", 'Equipment Information'!B12)</f>
        <v/>
      </c>
      <c r="C12">
        <f>IF('Equipment Information'!C12="","", 'Equipment Information'!C12)</f>
        <v/>
      </c>
      <c r="D12">
        <f>IF('Equipment Information'!D12="","", 'Equipment Information'!D12)</f>
        <v/>
      </c>
      <c r="E12">
        <f>IF(A12="","", IFERROR(VLOOKUP(A12, 'Energized Data'!A:T, 20, FALSE), "N/A"))</f>
        <v/>
      </c>
      <c r="F12">
        <f>IF(A12="","", IFERROR(VLOOKUP(A12, 'Insulation'!A:J, 9, FALSE), "N/A"))</f>
        <v/>
      </c>
      <c r="G12">
        <f>IF(A12="","", IFERROR(VLOOKUP(A12, 'DLRO'!A:I, 8, FALSE), "N/A"))</f>
        <v/>
      </c>
      <c r="H12">
        <f>IF(A12="","", IFERROR(VLOOKUP(A12, 'Torque'!A:I, 8, FALSE), "N/A"))</f>
        <v/>
      </c>
      <c r="I12">
        <f>IF(A12="","", IFERROR(VLOOKUP(A12, 'Infrared'!A:G, 6, FALSE), "N/A"))</f>
        <v/>
      </c>
      <c r="J12">
        <f>IF(A12="","", IFERROR(VLOOKUP(A12, 'Ultrasonic'!A:H, 7, FALSE), "N/A"))</f>
        <v/>
      </c>
      <c r="K12">
        <f>IF(A12="","", IFERROR(VLOOKUP(A12, 'Code Violations'!A:V, 22, FALSE), "N/A"))</f>
        <v/>
      </c>
      <c r="L12">
        <f>IF(A12="","", IF(COUNTIF(E12:K12, "FAIL")&gt;0, "FAIL", "PASS"))</f>
        <v/>
      </c>
    </row>
    <row r="13">
      <c r="A13">
        <f>IF('Equipment Information'!A13="","", 'Equipment Information'!A13)</f>
        <v/>
      </c>
      <c r="B13">
        <f>IF('Equipment Information'!B13="","", 'Equipment Information'!B13)</f>
        <v/>
      </c>
      <c r="C13">
        <f>IF('Equipment Information'!C13="","", 'Equipment Information'!C13)</f>
        <v/>
      </c>
      <c r="D13">
        <f>IF('Equipment Information'!D13="","", 'Equipment Information'!D13)</f>
        <v/>
      </c>
      <c r="E13">
        <f>IF(A13="","", IFERROR(VLOOKUP(A13, 'Energized Data'!A:T, 20, FALSE), "N/A"))</f>
        <v/>
      </c>
      <c r="F13">
        <f>IF(A13="","", IFERROR(VLOOKUP(A13, 'Insulation'!A:J, 9, FALSE), "N/A"))</f>
        <v/>
      </c>
      <c r="G13">
        <f>IF(A13="","", IFERROR(VLOOKUP(A13, 'DLRO'!A:I, 8, FALSE), "N/A"))</f>
        <v/>
      </c>
      <c r="H13">
        <f>IF(A13="","", IFERROR(VLOOKUP(A13, 'Torque'!A:I, 8, FALSE), "N/A"))</f>
        <v/>
      </c>
      <c r="I13">
        <f>IF(A13="","", IFERROR(VLOOKUP(A13, 'Infrared'!A:G, 6, FALSE), "N/A"))</f>
        <v/>
      </c>
      <c r="J13">
        <f>IF(A13="","", IFERROR(VLOOKUP(A13, 'Ultrasonic'!A:H, 7, FALSE), "N/A"))</f>
        <v/>
      </c>
      <c r="K13">
        <f>IF(A13="","", IFERROR(VLOOKUP(A13, 'Code Violations'!A:V, 22, FALSE), "N/A"))</f>
        <v/>
      </c>
      <c r="L13">
        <f>IF(A13="","", IF(COUNTIF(E13:K13, "FAIL")&gt;0, "FAIL", "PASS"))</f>
        <v/>
      </c>
    </row>
    <row r="14">
      <c r="A14">
        <f>IF('Equipment Information'!A14="","", 'Equipment Information'!A14)</f>
        <v/>
      </c>
      <c r="B14">
        <f>IF('Equipment Information'!B14="","", 'Equipment Information'!B14)</f>
        <v/>
      </c>
      <c r="C14">
        <f>IF('Equipment Information'!C14="","", 'Equipment Information'!C14)</f>
        <v/>
      </c>
      <c r="D14">
        <f>IF('Equipment Information'!D14="","", 'Equipment Information'!D14)</f>
        <v/>
      </c>
      <c r="E14">
        <f>IF(A14="","", IFERROR(VLOOKUP(A14, 'Energized Data'!A:T, 20, FALSE), "N/A"))</f>
        <v/>
      </c>
      <c r="F14">
        <f>IF(A14="","", IFERROR(VLOOKUP(A14, 'Insulation'!A:J, 9, FALSE), "N/A"))</f>
        <v/>
      </c>
      <c r="G14">
        <f>IF(A14="","", IFERROR(VLOOKUP(A14, 'DLRO'!A:I, 8, FALSE), "N/A"))</f>
        <v/>
      </c>
      <c r="H14">
        <f>IF(A14="","", IFERROR(VLOOKUP(A14, 'Torque'!A:I, 8, FALSE), "N/A"))</f>
        <v/>
      </c>
      <c r="I14">
        <f>IF(A14="","", IFERROR(VLOOKUP(A14, 'Infrared'!A:G, 6, FALSE), "N/A"))</f>
        <v/>
      </c>
      <c r="J14">
        <f>IF(A14="","", IFERROR(VLOOKUP(A14, 'Ultrasonic'!A:H, 7, FALSE), "N/A"))</f>
        <v/>
      </c>
      <c r="K14">
        <f>IF(A14="","", IFERROR(VLOOKUP(A14, 'Code Violations'!A:V, 22, FALSE), "N/A"))</f>
        <v/>
      </c>
      <c r="L14">
        <f>IF(A14="","", IF(COUNTIF(E14:K14, "FAIL")&gt;0, "FAIL", "PASS"))</f>
        <v/>
      </c>
    </row>
    <row r="15">
      <c r="A15">
        <f>IF('Equipment Information'!A15="","", 'Equipment Information'!A15)</f>
        <v/>
      </c>
      <c r="B15">
        <f>IF('Equipment Information'!B15="","", 'Equipment Information'!B15)</f>
        <v/>
      </c>
      <c r="C15">
        <f>IF('Equipment Information'!C15="","", 'Equipment Information'!C15)</f>
        <v/>
      </c>
      <c r="D15">
        <f>IF('Equipment Information'!D15="","", 'Equipment Information'!D15)</f>
        <v/>
      </c>
      <c r="E15">
        <f>IF(A15="","", IFERROR(VLOOKUP(A15, 'Energized Data'!A:T, 20, FALSE), "N/A"))</f>
        <v/>
      </c>
      <c r="F15">
        <f>IF(A15="","", IFERROR(VLOOKUP(A15, 'Insulation'!A:J, 9, FALSE), "N/A"))</f>
        <v/>
      </c>
      <c r="G15">
        <f>IF(A15="","", IFERROR(VLOOKUP(A15, 'DLRO'!A:I, 8, FALSE), "N/A"))</f>
        <v/>
      </c>
      <c r="H15">
        <f>IF(A15="","", IFERROR(VLOOKUP(A15, 'Torque'!A:I, 8, FALSE), "N/A"))</f>
        <v/>
      </c>
      <c r="I15">
        <f>IF(A15="","", IFERROR(VLOOKUP(A15, 'Infrared'!A:G, 6, FALSE), "N/A"))</f>
        <v/>
      </c>
      <c r="J15">
        <f>IF(A15="","", IFERROR(VLOOKUP(A15, 'Ultrasonic'!A:H, 7, FALSE), "N/A"))</f>
        <v/>
      </c>
      <c r="K15">
        <f>IF(A15="","", IFERROR(VLOOKUP(A15, 'Code Violations'!A:V, 22, FALSE), "N/A"))</f>
        <v/>
      </c>
      <c r="L15">
        <f>IF(A15="","", IF(COUNTIF(E15:K15, "FAIL")&gt;0, "FAIL", "PASS"))</f>
        <v/>
      </c>
    </row>
    <row r="16">
      <c r="A16">
        <f>IF('Equipment Information'!A16="","", 'Equipment Information'!A16)</f>
        <v/>
      </c>
      <c r="B16">
        <f>IF('Equipment Information'!B16="","", 'Equipment Information'!B16)</f>
        <v/>
      </c>
      <c r="C16">
        <f>IF('Equipment Information'!C16="","", 'Equipment Information'!C16)</f>
        <v/>
      </c>
      <c r="D16">
        <f>IF('Equipment Information'!D16="","", 'Equipment Information'!D16)</f>
        <v/>
      </c>
      <c r="E16">
        <f>IF(A16="","", IFERROR(VLOOKUP(A16, 'Energized Data'!A:T, 20, FALSE), "N/A"))</f>
        <v/>
      </c>
      <c r="F16">
        <f>IF(A16="","", IFERROR(VLOOKUP(A16, 'Insulation'!A:J, 9, FALSE), "N/A"))</f>
        <v/>
      </c>
      <c r="G16">
        <f>IF(A16="","", IFERROR(VLOOKUP(A16, 'DLRO'!A:I, 8, FALSE), "N/A"))</f>
        <v/>
      </c>
      <c r="H16">
        <f>IF(A16="","", IFERROR(VLOOKUP(A16, 'Torque'!A:I, 8, FALSE), "N/A"))</f>
        <v/>
      </c>
      <c r="I16">
        <f>IF(A16="","", IFERROR(VLOOKUP(A16, 'Infrared'!A:G, 6, FALSE), "N/A"))</f>
        <v/>
      </c>
      <c r="J16">
        <f>IF(A16="","", IFERROR(VLOOKUP(A16, 'Ultrasonic'!A:H, 7, FALSE), "N/A"))</f>
        <v/>
      </c>
      <c r="K16">
        <f>IF(A16="","", IFERROR(VLOOKUP(A16, 'Code Violations'!A:V, 22, FALSE), "N/A"))</f>
        <v/>
      </c>
      <c r="L16">
        <f>IF(A16="","", IF(COUNTIF(E16:K16, "FAIL")&gt;0, "FAIL", "PASS"))</f>
        <v/>
      </c>
    </row>
    <row r="17">
      <c r="A17">
        <f>IF('Equipment Information'!A17="","", 'Equipment Information'!A17)</f>
        <v/>
      </c>
      <c r="B17">
        <f>IF('Equipment Information'!B17="","", 'Equipment Information'!B17)</f>
        <v/>
      </c>
      <c r="C17">
        <f>IF('Equipment Information'!C17="","", 'Equipment Information'!C17)</f>
        <v/>
      </c>
      <c r="D17">
        <f>IF('Equipment Information'!D17="","", 'Equipment Information'!D17)</f>
        <v/>
      </c>
      <c r="E17">
        <f>IF(A17="","", IFERROR(VLOOKUP(A17, 'Energized Data'!A:T, 20, FALSE), "N/A"))</f>
        <v/>
      </c>
      <c r="F17">
        <f>IF(A17="","", IFERROR(VLOOKUP(A17, 'Insulation'!A:J, 9, FALSE), "N/A"))</f>
        <v/>
      </c>
      <c r="G17">
        <f>IF(A17="","", IFERROR(VLOOKUP(A17, 'DLRO'!A:I, 8, FALSE), "N/A"))</f>
        <v/>
      </c>
      <c r="H17">
        <f>IF(A17="","", IFERROR(VLOOKUP(A17, 'Torque'!A:I, 8, FALSE), "N/A"))</f>
        <v/>
      </c>
      <c r="I17">
        <f>IF(A17="","", IFERROR(VLOOKUP(A17, 'Infrared'!A:G, 6, FALSE), "N/A"))</f>
        <v/>
      </c>
      <c r="J17">
        <f>IF(A17="","", IFERROR(VLOOKUP(A17, 'Ultrasonic'!A:H, 7, FALSE), "N/A"))</f>
        <v/>
      </c>
      <c r="K17">
        <f>IF(A17="","", IFERROR(VLOOKUP(A17, 'Code Violations'!A:V, 22, FALSE), "N/A"))</f>
        <v/>
      </c>
      <c r="L17">
        <f>IF(A17="","", IF(COUNTIF(E17:K17, "FAIL")&gt;0, "FAIL", "PASS"))</f>
        <v/>
      </c>
    </row>
    <row r="18">
      <c r="A18">
        <f>IF('Equipment Information'!A18="","", 'Equipment Information'!A18)</f>
        <v/>
      </c>
      <c r="B18">
        <f>IF('Equipment Information'!B18="","", 'Equipment Information'!B18)</f>
        <v/>
      </c>
      <c r="C18">
        <f>IF('Equipment Information'!C18="","", 'Equipment Information'!C18)</f>
        <v/>
      </c>
      <c r="D18">
        <f>IF('Equipment Information'!D18="","", 'Equipment Information'!D18)</f>
        <v/>
      </c>
      <c r="E18">
        <f>IF(A18="","", IFERROR(VLOOKUP(A18, 'Energized Data'!A:T, 20, FALSE), "N/A"))</f>
        <v/>
      </c>
      <c r="F18">
        <f>IF(A18="","", IFERROR(VLOOKUP(A18, 'Insulation'!A:J, 9, FALSE), "N/A"))</f>
        <v/>
      </c>
      <c r="G18">
        <f>IF(A18="","", IFERROR(VLOOKUP(A18, 'DLRO'!A:I, 8, FALSE), "N/A"))</f>
        <v/>
      </c>
      <c r="H18">
        <f>IF(A18="","", IFERROR(VLOOKUP(A18, 'Torque'!A:I, 8, FALSE), "N/A"))</f>
        <v/>
      </c>
      <c r="I18">
        <f>IF(A18="","", IFERROR(VLOOKUP(A18, 'Infrared'!A:G, 6, FALSE), "N/A"))</f>
        <v/>
      </c>
      <c r="J18">
        <f>IF(A18="","", IFERROR(VLOOKUP(A18, 'Ultrasonic'!A:H, 7, FALSE), "N/A"))</f>
        <v/>
      </c>
      <c r="K18">
        <f>IF(A18="","", IFERROR(VLOOKUP(A18, 'Code Violations'!A:V, 22, FALSE), "N/A"))</f>
        <v/>
      </c>
      <c r="L18">
        <f>IF(A18="","", IF(COUNTIF(E18:K18, "FAIL")&gt;0, "FAIL", "PASS"))</f>
        <v/>
      </c>
    </row>
    <row r="19">
      <c r="A19">
        <f>IF('Equipment Information'!A19="","", 'Equipment Information'!A19)</f>
        <v/>
      </c>
      <c r="B19">
        <f>IF('Equipment Information'!B19="","", 'Equipment Information'!B19)</f>
        <v/>
      </c>
      <c r="C19">
        <f>IF('Equipment Information'!C19="","", 'Equipment Information'!C19)</f>
        <v/>
      </c>
      <c r="D19">
        <f>IF('Equipment Information'!D19="","", 'Equipment Information'!D19)</f>
        <v/>
      </c>
      <c r="E19">
        <f>IF(A19="","", IFERROR(VLOOKUP(A19, 'Energized Data'!A:T, 20, FALSE), "N/A"))</f>
        <v/>
      </c>
      <c r="F19">
        <f>IF(A19="","", IFERROR(VLOOKUP(A19, 'Insulation'!A:J, 9, FALSE), "N/A"))</f>
        <v/>
      </c>
      <c r="G19">
        <f>IF(A19="","", IFERROR(VLOOKUP(A19, 'DLRO'!A:I, 8, FALSE), "N/A"))</f>
        <v/>
      </c>
      <c r="H19">
        <f>IF(A19="","", IFERROR(VLOOKUP(A19, 'Torque'!A:I, 8, FALSE), "N/A"))</f>
        <v/>
      </c>
      <c r="I19">
        <f>IF(A19="","", IFERROR(VLOOKUP(A19, 'Infrared'!A:G, 6, FALSE), "N/A"))</f>
        <v/>
      </c>
      <c r="J19">
        <f>IF(A19="","", IFERROR(VLOOKUP(A19, 'Ultrasonic'!A:H, 7, FALSE), "N/A"))</f>
        <v/>
      </c>
      <c r="K19">
        <f>IF(A19="","", IFERROR(VLOOKUP(A19, 'Code Violations'!A:V, 22, FALSE), "N/A"))</f>
        <v/>
      </c>
      <c r="L19">
        <f>IF(A19="","", IF(COUNTIF(E19:K19, "FAIL")&gt;0, "FAIL", "PASS"))</f>
        <v/>
      </c>
    </row>
    <row r="20">
      <c r="A20">
        <f>IF('Equipment Information'!A20="","", 'Equipment Information'!A20)</f>
        <v/>
      </c>
      <c r="B20">
        <f>IF('Equipment Information'!B20="","", 'Equipment Information'!B20)</f>
        <v/>
      </c>
      <c r="C20">
        <f>IF('Equipment Information'!C20="","", 'Equipment Information'!C20)</f>
        <v/>
      </c>
      <c r="D20">
        <f>IF('Equipment Information'!D20="","", 'Equipment Information'!D20)</f>
        <v/>
      </c>
      <c r="E20">
        <f>IF(A20="","", IFERROR(VLOOKUP(A20, 'Energized Data'!A:T, 20, FALSE), "N/A"))</f>
        <v/>
      </c>
      <c r="F20">
        <f>IF(A20="","", IFERROR(VLOOKUP(A20, 'Insulation'!A:J, 9, FALSE), "N/A"))</f>
        <v/>
      </c>
      <c r="G20">
        <f>IF(A20="","", IFERROR(VLOOKUP(A20, 'DLRO'!A:I, 8, FALSE), "N/A"))</f>
        <v/>
      </c>
      <c r="H20">
        <f>IF(A20="","", IFERROR(VLOOKUP(A20, 'Torque'!A:I, 8, FALSE), "N/A"))</f>
        <v/>
      </c>
      <c r="I20">
        <f>IF(A20="","", IFERROR(VLOOKUP(A20, 'Infrared'!A:G, 6, FALSE), "N/A"))</f>
        <v/>
      </c>
      <c r="J20">
        <f>IF(A20="","", IFERROR(VLOOKUP(A20, 'Ultrasonic'!A:H, 7, FALSE), "N/A"))</f>
        <v/>
      </c>
      <c r="K20">
        <f>IF(A20="","", IFERROR(VLOOKUP(A20, 'Code Violations'!A:V, 22, FALSE), "N/A"))</f>
        <v/>
      </c>
      <c r="L20">
        <f>IF(A20="","", IF(COUNTIF(E20:K20, "FAIL")&gt;0, "FAIL", "PASS"))</f>
        <v/>
      </c>
    </row>
    <row r="21">
      <c r="A21">
        <f>IF('Equipment Information'!A21="","", 'Equipment Information'!A21)</f>
        <v/>
      </c>
      <c r="B21">
        <f>IF('Equipment Information'!B21="","", 'Equipment Information'!B21)</f>
        <v/>
      </c>
      <c r="C21">
        <f>IF('Equipment Information'!C21="","", 'Equipment Information'!C21)</f>
        <v/>
      </c>
      <c r="D21">
        <f>IF('Equipment Information'!D21="","", 'Equipment Information'!D21)</f>
        <v/>
      </c>
      <c r="E21">
        <f>IF(A21="","", IFERROR(VLOOKUP(A21, 'Energized Data'!A:T, 20, FALSE), "N/A"))</f>
        <v/>
      </c>
      <c r="F21">
        <f>IF(A21="","", IFERROR(VLOOKUP(A21, 'Insulation'!A:J, 9, FALSE), "N/A"))</f>
        <v/>
      </c>
      <c r="G21">
        <f>IF(A21="","", IFERROR(VLOOKUP(A21, 'DLRO'!A:I, 8, FALSE), "N/A"))</f>
        <v/>
      </c>
      <c r="H21">
        <f>IF(A21="","", IFERROR(VLOOKUP(A21, 'Torque'!A:I, 8, FALSE), "N/A"))</f>
        <v/>
      </c>
      <c r="I21">
        <f>IF(A21="","", IFERROR(VLOOKUP(A21, 'Infrared'!A:G, 6, FALSE), "N/A"))</f>
        <v/>
      </c>
      <c r="J21">
        <f>IF(A21="","", IFERROR(VLOOKUP(A21, 'Ultrasonic'!A:H, 7, FALSE), "N/A"))</f>
        <v/>
      </c>
      <c r="K21">
        <f>IF(A21="","", IFERROR(VLOOKUP(A21, 'Code Violations'!A:V, 22, FALSE), "N/A"))</f>
        <v/>
      </c>
      <c r="L21">
        <f>IF(A21="","", IF(COUNTIF(E21:K21, "FAIL")&gt;0, "FAIL", "PASS"))</f>
        <v/>
      </c>
    </row>
    <row r="22">
      <c r="A22">
        <f>IF('Equipment Information'!A22="","", 'Equipment Information'!A22)</f>
        <v/>
      </c>
      <c r="B22">
        <f>IF('Equipment Information'!B22="","", 'Equipment Information'!B22)</f>
        <v/>
      </c>
      <c r="C22">
        <f>IF('Equipment Information'!C22="","", 'Equipment Information'!C22)</f>
        <v/>
      </c>
      <c r="D22">
        <f>IF('Equipment Information'!D22="","", 'Equipment Information'!D22)</f>
        <v/>
      </c>
      <c r="E22">
        <f>IF(A22="","", IFERROR(VLOOKUP(A22, 'Energized Data'!A:T, 20, FALSE), "N/A"))</f>
        <v/>
      </c>
      <c r="F22">
        <f>IF(A22="","", IFERROR(VLOOKUP(A22, 'Insulation'!A:J, 9, FALSE), "N/A"))</f>
        <v/>
      </c>
      <c r="G22">
        <f>IF(A22="","", IFERROR(VLOOKUP(A22, 'DLRO'!A:I, 8, FALSE), "N/A"))</f>
        <v/>
      </c>
      <c r="H22">
        <f>IF(A22="","", IFERROR(VLOOKUP(A22, 'Torque'!A:I, 8, FALSE), "N/A"))</f>
        <v/>
      </c>
      <c r="I22">
        <f>IF(A22="","", IFERROR(VLOOKUP(A22, 'Infrared'!A:G, 6, FALSE), "N/A"))</f>
        <v/>
      </c>
      <c r="J22">
        <f>IF(A22="","", IFERROR(VLOOKUP(A22, 'Ultrasonic'!A:H, 7, FALSE), "N/A"))</f>
        <v/>
      </c>
      <c r="K22">
        <f>IF(A22="","", IFERROR(VLOOKUP(A22, 'Code Violations'!A:V, 22, FALSE), "N/A"))</f>
        <v/>
      </c>
      <c r="L22">
        <f>IF(A22="","", IF(COUNTIF(E22:K22, "FAIL")&gt;0, "FAIL", "PASS"))</f>
        <v/>
      </c>
    </row>
    <row r="23">
      <c r="A23">
        <f>IF('Equipment Information'!A23="","", 'Equipment Information'!A23)</f>
        <v/>
      </c>
      <c r="B23">
        <f>IF('Equipment Information'!B23="","", 'Equipment Information'!B23)</f>
        <v/>
      </c>
      <c r="C23">
        <f>IF('Equipment Information'!C23="","", 'Equipment Information'!C23)</f>
        <v/>
      </c>
      <c r="D23">
        <f>IF('Equipment Information'!D23="","", 'Equipment Information'!D23)</f>
        <v/>
      </c>
      <c r="E23">
        <f>IF(A23="","", IFERROR(VLOOKUP(A23, 'Energized Data'!A:T, 20, FALSE), "N/A"))</f>
        <v/>
      </c>
      <c r="F23">
        <f>IF(A23="","", IFERROR(VLOOKUP(A23, 'Insulation'!A:J, 9, FALSE), "N/A"))</f>
        <v/>
      </c>
      <c r="G23">
        <f>IF(A23="","", IFERROR(VLOOKUP(A23, 'DLRO'!A:I, 8, FALSE), "N/A"))</f>
        <v/>
      </c>
      <c r="H23">
        <f>IF(A23="","", IFERROR(VLOOKUP(A23, 'Torque'!A:I, 8, FALSE), "N/A"))</f>
        <v/>
      </c>
      <c r="I23">
        <f>IF(A23="","", IFERROR(VLOOKUP(A23, 'Infrared'!A:G, 6, FALSE), "N/A"))</f>
        <v/>
      </c>
      <c r="J23">
        <f>IF(A23="","", IFERROR(VLOOKUP(A23, 'Ultrasonic'!A:H, 7, FALSE), "N/A"))</f>
        <v/>
      </c>
      <c r="K23">
        <f>IF(A23="","", IFERROR(VLOOKUP(A23, 'Code Violations'!A:V, 22, FALSE), "N/A"))</f>
        <v/>
      </c>
      <c r="L23">
        <f>IF(A23="","", IF(COUNTIF(E23:K23, "FAIL")&gt;0, "FAIL", "PASS"))</f>
        <v/>
      </c>
    </row>
    <row r="24">
      <c r="A24">
        <f>IF('Equipment Information'!A24="","", 'Equipment Information'!A24)</f>
        <v/>
      </c>
      <c r="B24">
        <f>IF('Equipment Information'!B24="","", 'Equipment Information'!B24)</f>
        <v/>
      </c>
      <c r="C24">
        <f>IF('Equipment Information'!C24="","", 'Equipment Information'!C24)</f>
        <v/>
      </c>
      <c r="D24">
        <f>IF('Equipment Information'!D24="","", 'Equipment Information'!D24)</f>
        <v/>
      </c>
      <c r="E24">
        <f>IF(A24="","", IFERROR(VLOOKUP(A24, 'Energized Data'!A:T, 20, FALSE), "N/A"))</f>
        <v/>
      </c>
      <c r="F24">
        <f>IF(A24="","", IFERROR(VLOOKUP(A24, 'Insulation'!A:J, 9, FALSE), "N/A"))</f>
        <v/>
      </c>
      <c r="G24">
        <f>IF(A24="","", IFERROR(VLOOKUP(A24, 'DLRO'!A:I, 8, FALSE), "N/A"))</f>
        <v/>
      </c>
      <c r="H24">
        <f>IF(A24="","", IFERROR(VLOOKUP(A24, 'Torque'!A:I, 8, FALSE), "N/A"))</f>
        <v/>
      </c>
      <c r="I24">
        <f>IF(A24="","", IFERROR(VLOOKUP(A24, 'Infrared'!A:G, 6, FALSE), "N/A"))</f>
        <v/>
      </c>
      <c r="J24">
        <f>IF(A24="","", IFERROR(VLOOKUP(A24, 'Ultrasonic'!A:H, 7, FALSE), "N/A"))</f>
        <v/>
      </c>
      <c r="K24">
        <f>IF(A24="","", IFERROR(VLOOKUP(A24, 'Code Violations'!A:V, 22, FALSE), "N/A"))</f>
        <v/>
      </c>
      <c r="L24">
        <f>IF(A24="","", IF(COUNTIF(E24:K24, "FAIL")&gt;0, "FAIL", "PASS"))</f>
        <v/>
      </c>
    </row>
    <row r="25">
      <c r="A25">
        <f>IF('Equipment Information'!A25="","", 'Equipment Information'!A25)</f>
        <v/>
      </c>
      <c r="B25">
        <f>IF('Equipment Information'!B25="","", 'Equipment Information'!B25)</f>
        <v/>
      </c>
      <c r="C25">
        <f>IF('Equipment Information'!C25="","", 'Equipment Information'!C25)</f>
        <v/>
      </c>
      <c r="D25">
        <f>IF('Equipment Information'!D25="","", 'Equipment Information'!D25)</f>
        <v/>
      </c>
      <c r="E25">
        <f>IF(A25="","", IFERROR(VLOOKUP(A25, 'Energized Data'!A:T, 20, FALSE), "N/A"))</f>
        <v/>
      </c>
      <c r="F25">
        <f>IF(A25="","", IFERROR(VLOOKUP(A25, 'Insulation'!A:J, 9, FALSE), "N/A"))</f>
        <v/>
      </c>
      <c r="G25">
        <f>IF(A25="","", IFERROR(VLOOKUP(A25, 'DLRO'!A:I, 8, FALSE), "N/A"))</f>
        <v/>
      </c>
      <c r="H25">
        <f>IF(A25="","", IFERROR(VLOOKUP(A25, 'Torque'!A:I, 8, FALSE), "N/A"))</f>
        <v/>
      </c>
      <c r="I25">
        <f>IF(A25="","", IFERROR(VLOOKUP(A25, 'Infrared'!A:G, 6, FALSE), "N/A"))</f>
        <v/>
      </c>
      <c r="J25">
        <f>IF(A25="","", IFERROR(VLOOKUP(A25, 'Ultrasonic'!A:H, 7, FALSE), "N/A"))</f>
        <v/>
      </c>
      <c r="K25">
        <f>IF(A25="","", IFERROR(VLOOKUP(A25, 'Code Violations'!A:V, 22, FALSE), "N/A"))</f>
        <v/>
      </c>
      <c r="L25">
        <f>IF(A25="","", IF(COUNTIF(E25:K25, "FAIL")&gt;0, "FAIL", "PASS"))</f>
        <v/>
      </c>
    </row>
    <row r="26">
      <c r="A26">
        <f>IF('Equipment Information'!A26="","", 'Equipment Information'!A26)</f>
        <v/>
      </c>
      <c r="B26">
        <f>IF('Equipment Information'!B26="","", 'Equipment Information'!B26)</f>
        <v/>
      </c>
      <c r="C26">
        <f>IF('Equipment Information'!C26="","", 'Equipment Information'!C26)</f>
        <v/>
      </c>
      <c r="D26">
        <f>IF('Equipment Information'!D26="","", 'Equipment Information'!D26)</f>
        <v/>
      </c>
      <c r="E26">
        <f>IF(A26="","", IFERROR(VLOOKUP(A26, 'Energized Data'!A:T, 20, FALSE), "N/A"))</f>
        <v/>
      </c>
      <c r="F26">
        <f>IF(A26="","", IFERROR(VLOOKUP(A26, 'Insulation'!A:J, 9, FALSE), "N/A"))</f>
        <v/>
      </c>
      <c r="G26">
        <f>IF(A26="","", IFERROR(VLOOKUP(A26, 'DLRO'!A:I, 8, FALSE), "N/A"))</f>
        <v/>
      </c>
      <c r="H26">
        <f>IF(A26="","", IFERROR(VLOOKUP(A26, 'Torque'!A:I, 8, FALSE), "N/A"))</f>
        <v/>
      </c>
      <c r="I26">
        <f>IF(A26="","", IFERROR(VLOOKUP(A26, 'Infrared'!A:G, 6, FALSE), "N/A"))</f>
        <v/>
      </c>
      <c r="J26">
        <f>IF(A26="","", IFERROR(VLOOKUP(A26, 'Ultrasonic'!A:H, 7, FALSE), "N/A"))</f>
        <v/>
      </c>
      <c r="K26">
        <f>IF(A26="","", IFERROR(VLOOKUP(A26, 'Code Violations'!A:V, 22, FALSE), "N/A"))</f>
        <v/>
      </c>
      <c r="L26">
        <f>IF(A26="","", IF(COUNTIF(E26:K26, "FAIL")&gt;0, "FAIL", "PASS"))</f>
        <v/>
      </c>
    </row>
    <row r="27">
      <c r="A27">
        <f>IF('Equipment Information'!A27="","", 'Equipment Information'!A27)</f>
        <v/>
      </c>
      <c r="B27">
        <f>IF('Equipment Information'!B27="","", 'Equipment Information'!B27)</f>
        <v/>
      </c>
      <c r="C27">
        <f>IF('Equipment Information'!C27="","", 'Equipment Information'!C27)</f>
        <v/>
      </c>
      <c r="D27">
        <f>IF('Equipment Information'!D27="","", 'Equipment Information'!D27)</f>
        <v/>
      </c>
      <c r="E27">
        <f>IF(A27="","", IFERROR(VLOOKUP(A27, 'Energized Data'!A:T, 20, FALSE), "N/A"))</f>
        <v/>
      </c>
      <c r="F27">
        <f>IF(A27="","", IFERROR(VLOOKUP(A27, 'Insulation'!A:J, 9, FALSE), "N/A"))</f>
        <v/>
      </c>
      <c r="G27">
        <f>IF(A27="","", IFERROR(VLOOKUP(A27, 'DLRO'!A:I, 8, FALSE), "N/A"))</f>
        <v/>
      </c>
      <c r="H27">
        <f>IF(A27="","", IFERROR(VLOOKUP(A27, 'Torque'!A:I, 8, FALSE), "N/A"))</f>
        <v/>
      </c>
      <c r="I27">
        <f>IF(A27="","", IFERROR(VLOOKUP(A27, 'Infrared'!A:G, 6, FALSE), "N/A"))</f>
        <v/>
      </c>
      <c r="J27">
        <f>IF(A27="","", IFERROR(VLOOKUP(A27, 'Ultrasonic'!A:H, 7, FALSE), "N/A"))</f>
        <v/>
      </c>
      <c r="K27">
        <f>IF(A27="","", IFERROR(VLOOKUP(A27, 'Code Violations'!A:V, 22, FALSE), "N/A"))</f>
        <v/>
      </c>
      <c r="L27">
        <f>IF(A27="","", IF(COUNTIF(E27:K27, "FAIL")&gt;0, "FAIL", "PASS"))</f>
        <v/>
      </c>
    </row>
    <row r="28">
      <c r="A28">
        <f>IF('Equipment Information'!A28="","", 'Equipment Information'!A28)</f>
        <v/>
      </c>
      <c r="B28">
        <f>IF('Equipment Information'!B28="","", 'Equipment Information'!B28)</f>
        <v/>
      </c>
      <c r="C28">
        <f>IF('Equipment Information'!C28="","", 'Equipment Information'!C28)</f>
        <v/>
      </c>
      <c r="D28">
        <f>IF('Equipment Information'!D28="","", 'Equipment Information'!D28)</f>
        <v/>
      </c>
      <c r="E28">
        <f>IF(A28="","", IFERROR(VLOOKUP(A28, 'Energized Data'!A:T, 20, FALSE), "N/A"))</f>
        <v/>
      </c>
      <c r="F28">
        <f>IF(A28="","", IFERROR(VLOOKUP(A28, 'Insulation'!A:J, 9, FALSE), "N/A"))</f>
        <v/>
      </c>
      <c r="G28">
        <f>IF(A28="","", IFERROR(VLOOKUP(A28, 'DLRO'!A:I, 8, FALSE), "N/A"))</f>
        <v/>
      </c>
      <c r="H28">
        <f>IF(A28="","", IFERROR(VLOOKUP(A28, 'Torque'!A:I, 8, FALSE), "N/A"))</f>
        <v/>
      </c>
      <c r="I28">
        <f>IF(A28="","", IFERROR(VLOOKUP(A28, 'Infrared'!A:G, 6, FALSE), "N/A"))</f>
        <v/>
      </c>
      <c r="J28">
        <f>IF(A28="","", IFERROR(VLOOKUP(A28, 'Ultrasonic'!A:H, 7, FALSE), "N/A"))</f>
        <v/>
      </c>
      <c r="K28">
        <f>IF(A28="","", IFERROR(VLOOKUP(A28, 'Code Violations'!A:V, 22, FALSE), "N/A"))</f>
        <v/>
      </c>
      <c r="L28">
        <f>IF(A28="","", IF(COUNTIF(E28:K28, "FAIL")&gt;0, "FAIL", "PASS"))</f>
        <v/>
      </c>
    </row>
    <row r="29">
      <c r="A29">
        <f>IF('Equipment Information'!A29="","", 'Equipment Information'!A29)</f>
        <v/>
      </c>
      <c r="B29">
        <f>IF('Equipment Information'!B29="","", 'Equipment Information'!B29)</f>
        <v/>
      </c>
      <c r="C29">
        <f>IF('Equipment Information'!C29="","", 'Equipment Information'!C29)</f>
        <v/>
      </c>
      <c r="D29">
        <f>IF('Equipment Information'!D29="","", 'Equipment Information'!D29)</f>
        <v/>
      </c>
      <c r="E29">
        <f>IF(A29="","", IFERROR(VLOOKUP(A29, 'Energized Data'!A:T, 20, FALSE), "N/A"))</f>
        <v/>
      </c>
      <c r="F29">
        <f>IF(A29="","", IFERROR(VLOOKUP(A29, 'Insulation'!A:J, 9, FALSE), "N/A"))</f>
        <v/>
      </c>
      <c r="G29">
        <f>IF(A29="","", IFERROR(VLOOKUP(A29, 'DLRO'!A:I, 8, FALSE), "N/A"))</f>
        <v/>
      </c>
      <c r="H29">
        <f>IF(A29="","", IFERROR(VLOOKUP(A29, 'Torque'!A:I, 8, FALSE), "N/A"))</f>
        <v/>
      </c>
      <c r="I29">
        <f>IF(A29="","", IFERROR(VLOOKUP(A29, 'Infrared'!A:G, 6, FALSE), "N/A"))</f>
        <v/>
      </c>
      <c r="J29">
        <f>IF(A29="","", IFERROR(VLOOKUP(A29, 'Ultrasonic'!A:H, 7, FALSE), "N/A"))</f>
        <v/>
      </c>
      <c r="K29">
        <f>IF(A29="","", IFERROR(VLOOKUP(A29, 'Code Violations'!A:V, 22, FALSE), "N/A"))</f>
        <v/>
      </c>
      <c r="L29">
        <f>IF(A29="","", IF(COUNTIF(E29:K29, "FAIL")&gt;0, "FAIL", "PASS"))</f>
        <v/>
      </c>
    </row>
    <row r="30">
      <c r="A30">
        <f>IF('Equipment Information'!A30="","", 'Equipment Information'!A30)</f>
        <v/>
      </c>
      <c r="B30">
        <f>IF('Equipment Information'!B30="","", 'Equipment Information'!B30)</f>
        <v/>
      </c>
      <c r="C30">
        <f>IF('Equipment Information'!C30="","", 'Equipment Information'!C30)</f>
        <v/>
      </c>
      <c r="D30">
        <f>IF('Equipment Information'!D30="","", 'Equipment Information'!D30)</f>
        <v/>
      </c>
      <c r="E30">
        <f>IF(A30="","", IFERROR(VLOOKUP(A30, 'Energized Data'!A:T, 20, FALSE), "N/A"))</f>
        <v/>
      </c>
      <c r="F30">
        <f>IF(A30="","", IFERROR(VLOOKUP(A30, 'Insulation'!A:J, 9, FALSE), "N/A"))</f>
        <v/>
      </c>
      <c r="G30">
        <f>IF(A30="","", IFERROR(VLOOKUP(A30, 'DLRO'!A:I, 8, FALSE), "N/A"))</f>
        <v/>
      </c>
      <c r="H30">
        <f>IF(A30="","", IFERROR(VLOOKUP(A30, 'Torque'!A:I, 8, FALSE), "N/A"))</f>
        <v/>
      </c>
      <c r="I30">
        <f>IF(A30="","", IFERROR(VLOOKUP(A30, 'Infrared'!A:G, 6, FALSE), "N/A"))</f>
        <v/>
      </c>
      <c r="J30">
        <f>IF(A30="","", IFERROR(VLOOKUP(A30, 'Ultrasonic'!A:H, 7, FALSE), "N/A"))</f>
        <v/>
      </c>
      <c r="K30">
        <f>IF(A30="","", IFERROR(VLOOKUP(A30, 'Code Violations'!A:V, 22, FALSE), "N/A"))</f>
        <v/>
      </c>
      <c r="L30">
        <f>IF(A30="","", IF(COUNTIF(E30:K30, "FAIL")&gt;0, "FAIL", "PASS"))</f>
        <v/>
      </c>
    </row>
    <row r="31">
      <c r="A31">
        <f>IF('Equipment Information'!A31="","", 'Equipment Information'!A31)</f>
        <v/>
      </c>
      <c r="B31">
        <f>IF('Equipment Information'!B31="","", 'Equipment Information'!B31)</f>
        <v/>
      </c>
      <c r="C31">
        <f>IF('Equipment Information'!C31="","", 'Equipment Information'!C31)</f>
        <v/>
      </c>
      <c r="D31">
        <f>IF('Equipment Information'!D31="","", 'Equipment Information'!D31)</f>
        <v/>
      </c>
      <c r="E31">
        <f>IF(A31="","", IFERROR(VLOOKUP(A31, 'Energized Data'!A:T, 20, FALSE), "N/A"))</f>
        <v/>
      </c>
      <c r="F31">
        <f>IF(A31="","", IFERROR(VLOOKUP(A31, 'Insulation'!A:J, 9, FALSE), "N/A"))</f>
        <v/>
      </c>
      <c r="G31">
        <f>IF(A31="","", IFERROR(VLOOKUP(A31, 'DLRO'!A:I, 8, FALSE), "N/A"))</f>
        <v/>
      </c>
      <c r="H31">
        <f>IF(A31="","", IFERROR(VLOOKUP(A31, 'Torque'!A:I, 8, FALSE), "N/A"))</f>
        <v/>
      </c>
      <c r="I31">
        <f>IF(A31="","", IFERROR(VLOOKUP(A31, 'Infrared'!A:G, 6, FALSE), "N/A"))</f>
        <v/>
      </c>
      <c r="J31">
        <f>IF(A31="","", IFERROR(VLOOKUP(A31, 'Ultrasonic'!A:H, 7, FALSE), "N/A"))</f>
        <v/>
      </c>
      <c r="K31">
        <f>IF(A31="","", IFERROR(VLOOKUP(A31, 'Code Violations'!A:V, 22, FALSE), "N/A"))</f>
        <v/>
      </c>
      <c r="L31">
        <f>IF(A31="","", IF(COUNTIF(E31:K31, "FAIL")&gt;0, "FAIL", "PASS"))</f>
        <v/>
      </c>
    </row>
    <row r="32">
      <c r="A32">
        <f>IF('Equipment Information'!A32="","", 'Equipment Information'!A32)</f>
        <v/>
      </c>
      <c r="B32">
        <f>IF('Equipment Information'!B32="","", 'Equipment Information'!B32)</f>
        <v/>
      </c>
      <c r="C32">
        <f>IF('Equipment Information'!C32="","", 'Equipment Information'!C32)</f>
        <v/>
      </c>
      <c r="D32">
        <f>IF('Equipment Information'!D32="","", 'Equipment Information'!D32)</f>
        <v/>
      </c>
      <c r="E32">
        <f>IF(A32="","", IFERROR(VLOOKUP(A32, 'Energized Data'!A:T, 20, FALSE), "N/A"))</f>
        <v/>
      </c>
      <c r="F32">
        <f>IF(A32="","", IFERROR(VLOOKUP(A32, 'Insulation'!A:J, 9, FALSE), "N/A"))</f>
        <v/>
      </c>
      <c r="G32">
        <f>IF(A32="","", IFERROR(VLOOKUP(A32, 'DLRO'!A:I, 8, FALSE), "N/A"))</f>
        <v/>
      </c>
      <c r="H32">
        <f>IF(A32="","", IFERROR(VLOOKUP(A32, 'Torque'!A:I, 8, FALSE), "N/A"))</f>
        <v/>
      </c>
      <c r="I32">
        <f>IF(A32="","", IFERROR(VLOOKUP(A32, 'Infrared'!A:G, 6, FALSE), "N/A"))</f>
        <v/>
      </c>
      <c r="J32">
        <f>IF(A32="","", IFERROR(VLOOKUP(A32, 'Ultrasonic'!A:H, 7, FALSE), "N/A"))</f>
        <v/>
      </c>
      <c r="K32">
        <f>IF(A32="","", IFERROR(VLOOKUP(A32, 'Code Violations'!A:V, 22, FALSE), "N/A"))</f>
        <v/>
      </c>
      <c r="L32">
        <f>IF(A32="","", IF(COUNTIF(E32:K32, "FAIL")&gt;0, "FAIL", "PASS"))</f>
        <v/>
      </c>
    </row>
    <row r="33">
      <c r="A33">
        <f>IF('Equipment Information'!A33="","", 'Equipment Information'!A33)</f>
        <v/>
      </c>
      <c r="B33">
        <f>IF('Equipment Information'!B33="","", 'Equipment Information'!B33)</f>
        <v/>
      </c>
      <c r="C33">
        <f>IF('Equipment Information'!C33="","", 'Equipment Information'!C33)</f>
        <v/>
      </c>
      <c r="D33">
        <f>IF('Equipment Information'!D33="","", 'Equipment Information'!D33)</f>
        <v/>
      </c>
      <c r="E33">
        <f>IF(A33="","", IFERROR(VLOOKUP(A33, 'Energized Data'!A:T, 20, FALSE), "N/A"))</f>
        <v/>
      </c>
      <c r="F33">
        <f>IF(A33="","", IFERROR(VLOOKUP(A33, 'Insulation'!A:J, 9, FALSE), "N/A"))</f>
        <v/>
      </c>
      <c r="G33">
        <f>IF(A33="","", IFERROR(VLOOKUP(A33, 'DLRO'!A:I, 8, FALSE), "N/A"))</f>
        <v/>
      </c>
      <c r="H33">
        <f>IF(A33="","", IFERROR(VLOOKUP(A33, 'Torque'!A:I, 8, FALSE), "N/A"))</f>
        <v/>
      </c>
      <c r="I33">
        <f>IF(A33="","", IFERROR(VLOOKUP(A33, 'Infrared'!A:G, 6, FALSE), "N/A"))</f>
        <v/>
      </c>
      <c r="J33">
        <f>IF(A33="","", IFERROR(VLOOKUP(A33, 'Ultrasonic'!A:H, 7, FALSE), "N/A"))</f>
        <v/>
      </c>
      <c r="K33">
        <f>IF(A33="","", IFERROR(VLOOKUP(A33, 'Code Violations'!A:V, 22, FALSE), "N/A"))</f>
        <v/>
      </c>
      <c r="L33">
        <f>IF(A33="","", IF(COUNTIF(E33:K33, "FAIL")&gt;0, "FAIL", "PASS"))</f>
        <v/>
      </c>
    </row>
    <row r="34">
      <c r="A34">
        <f>IF('Equipment Information'!A34="","", 'Equipment Information'!A34)</f>
        <v/>
      </c>
      <c r="B34">
        <f>IF('Equipment Information'!B34="","", 'Equipment Information'!B34)</f>
        <v/>
      </c>
      <c r="C34">
        <f>IF('Equipment Information'!C34="","", 'Equipment Information'!C34)</f>
        <v/>
      </c>
      <c r="D34">
        <f>IF('Equipment Information'!D34="","", 'Equipment Information'!D34)</f>
        <v/>
      </c>
      <c r="E34">
        <f>IF(A34="","", IFERROR(VLOOKUP(A34, 'Energized Data'!A:T, 20, FALSE), "N/A"))</f>
        <v/>
      </c>
      <c r="F34">
        <f>IF(A34="","", IFERROR(VLOOKUP(A34, 'Insulation'!A:J, 9, FALSE), "N/A"))</f>
        <v/>
      </c>
      <c r="G34">
        <f>IF(A34="","", IFERROR(VLOOKUP(A34, 'DLRO'!A:I, 8, FALSE), "N/A"))</f>
        <v/>
      </c>
      <c r="H34">
        <f>IF(A34="","", IFERROR(VLOOKUP(A34, 'Torque'!A:I, 8, FALSE), "N/A"))</f>
        <v/>
      </c>
      <c r="I34">
        <f>IF(A34="","", IFERROR(VLOOKUP(A34, 'Infrared'!A:G, 6, FALSE), "N/A"))</f>
        <v/>
      </c>
      <c r="J34">
        <f>IF(A34="","", IFERROR(VLOOKUP(A34, 'Ultrasonic'!A:H, 7, FALSE), "N/A"))</f>
        <v/>
      </c>
      <c r="K34">
        <f>IF(A34="","", IFERROR(VLOOKUP(A34, 'Code Violations'!A:V, 22, FALSE), "N/A"))</f>
        <v/>
      </c>
      <c r="L34">
        <f>IF(A34="","", IF(COUNTIF(E34:K34, "FAIL")&gt;0, "FAIL", "PASS"))</f>
        <v/>
      </c>
    </row>
    <row r="35">
      <c r="A35">
        <f>IF('Equipment Information'!A35="","", 'Equipment Information'!A35)</f>
        <v/>
      </c>
      <c r="B35">
        <f>IF('Equipment Information'!B35="","", 'Equipment Information'!B35)</f>
        <v/>
      </c>
      <c r="C35">
        <f>IF('Equipment Information'!C35="","", 'Equipment Information'!C35)</f>
        <v/>
      </c>
      <c r="D35">
        <f>IF('Equipment Information'!D35="","", 'Equipment Information'!D35)</f>
        <v/>
      </c>
      <c r="E35">
        <f>IF(A35="","", IFERROR(VLOOKUP(A35, 'Energized Data'!A:T, 20, FALSE), "N/A"))</f>
        <v/>
      </c>
      <c r="F35">
        <f>IF(A35="","", IFERROR(VLOOKUP(A35, 'Insulation'!A:J, 9, FALSE), "N/A"))</f>
        <v/>
      </c>
      <c r="G35">
        <f>IF(A35="","", IFERROR(VLOOKUP(A35, 'DLRO'!A:I, 8, FALSE), "N/A"))</f>
        <v/>
      </c>
      <c r="H35">
        <f>IF(A35="","", IFERROR(VLOOKUP(A35, 'Torque'!A:I, 8, FALSE), "N/A"))</f>
        <v/>
      </c>
      <c r="I35">
        <f>IF(A35="","", IFERROR(VLOOKUP(A35, 'Infrared'!A:G, 6, FALSE), "N/A"))</f>
        <v/>
      </c>
      <c r="J35">
        <f>IF(A35="","", IFERROR(VLOOKUP(A35, 'Ultrasonic'!A:H, 7, FALSE), "N/A"))</f>
        <v/>
      </c>
      <c r="K35">
        <f>IF(A35="","", IFERROR(VLOOKUP(A35, 'Code Violations'!A:V, 22, FALSE), "N/A"))</f>
        <v/>
      </c>
      <c r="L35">
        <f>IF(A35="","", IF(COUNTIF(E35:K35, "FAIL")&gt;0, "FAIL", "PASS"))</f>
        <v/>
      </c>
    </row>
    <row r="36">
      <c r="A36">
        <f>IF('Equipment Information'!A36="","", 'Equipment Information'!A36)</f>
        <v/>
      </c>
      <c r="B36">
        <f>IF('Equipment Information'!B36="","", 'Equipment Information'!B36)</f>
        <v/>
      </c>
      <c r="C36">
        <f>IF('Equipment Information'!C36="","", 'Equipment Information'!C36)</f>
        <v/>
      </c>
      <c r="D36">
        <f>IF('Equipment Information'!D36="","", 'Equipment Information'!D36)</f>
        <v/>
      </c>
      <c r="E36">
        <f>IF(A36="","", IFERROR(VLOOKUP(A36, 'Energized Data'!A:T, 20, FALSE), "N/A"))</f>
        <v/>
      </c>
      <c r="F36">
        <f>IF(A36="","", IFERROR(VLOOKUP(A36, 'Insulation'!A:J, 9, FALSE), "N/A"))</f>
        <v/>
      </c>
      <c r="G36">
        <f>IF(A36="","", IFERROR(VLOOKUP(A36, 'DLRO'!A:I, 8, FALSE), "N/A"))</f>
        <v/>
      </c>
      <c r="H36">
        <f>IF(A36="","", IFERROR(VLOOKUP(A36, 'Torque'!A:I, 8, FALSE), "N/A"))</f>
        <v/>
      </c>
      <c r="I36">
        <f>IF(A36="","", IFERROR(VLOOKUP(A36, 'Infrared'!A:G, 6, FALSE), "N/A"))</f>
        <v/>
      </c>
      <c r="J36">
        <f>IF(A36="","", IFERROR(VLOOKUP(A36, 'Ultrasonic'!A:H, 7, FALSE), "N/A"))</f>
        <v/>
      </c>
      <c r="K36">
        <f>IF(A36="","", IFERROR(VLOOKUP(A36, 'Code Violations'!A:V, 22, FALSE), "N/A"))</f>
        <v/>
      </c>
      <c r="L36">
        <f>IF(A36="","", IF(COUNTIF(E36:K36, "FAIL")&gt;0, "FAIL", "PASS"))</f>
        <v/>
      </c>
    </row>
    <row r="37">
      <c r="A37">
        <f>IF('Equipment Information'!A37="","", 'Equipment Information'!A37)</f>
        <v/>
      </c>
      <c r="B37">
        <f>IF('Equipment Information'!B37="","", 'Equipment Information'!B37)</f>
        <v/>
      </c>
      <c r="C37">
        <f>IF('Equipment Information'!C37="","", 'Equipment Information'!C37)</f>
        <v/>
      </c>
      <c r="D37">
        <f>IF('Equipment Information'!D37="","", 'Equipment Information'!D37)</f>
        <v/>
      </c>
      <c r="E37">
        <f>IF(A37="","", IFERROR(VLOOKUP(A37, 'Energized Data'!A:T, 20, FALSE), "N/A"))</f>
        <v/>
      </c>
      <c r="F37">
        <f>IF(A37="","", IFERROR(VLOOKUP(A37, 'Insulation'!A:J, 9, FALSE), "N/A"))</f>
        <v/>
      </c>
      <c r="G37">
        <f>IF(A37="","", IFERROR(VLOOKUP(A37, 'DLRO'!A:I, 8, FALSE), "N/A"))</f>
        <v/>
      </c>
      <c r="H37">
        <f>IF(A37="","", IFERROR(VLOOKUP(A37, 'Torque'!A:I, 8, FALSE), "N/A"))</f>
        <v/>
      </c>
      <c r="I37">
        <f>IF(A37="","", IFERROR(VLOOKUP(A37, 'Infrared'!A:G, 6, FALSE), "N/A"))</f>
        <v/>
      </c>
      <c r="J37">
        <f>IF(A37="","", IFERROR(VLOOKUP(A37, 'Ultrasonic'!A:H, 7, FALSE), "N/A"))</f>
        <v/>
      </c>
      <c r="K37">
        <f>IF(A37="","", IFERROR(VLOOKUP(A37, 'Code Violations'!A:V, 22, FALSE), "N/A"))</f>
        <v/>
      </c>
      <c r="L37">
        <f>IF(A37="","", IF(COUNTIF(E37:K37, "FAIL")&gt;0, "FAIL", "PASS"))</f>
        <v/>
      </c>
    </row>
    <row r="38">
      <c r="A38">
        <f>IF('Equipment Information'!A38="","", 'Equipment Information'!A38)</f>
        <v/>
      </c>
      <c r="B38">
        <f>IF('Equipment Information'!B38="","", 'Equipment Information'!B38)</f>
        <v/>
      </c>
      <c r="C38">
        <f>IF('Equipment Information'!C38="","", 'Equipment Information'!C38)</f>
        <v/>
      </c>
      <c r="D38">
        <f>IF('Equipment Information'!D38="","", 'Equipment Information'!D38)</f>
        <v/>
      </c>
      <c r="E38">
        <f>IF(A38="","", IFERROR(VLOOKUP(A38, 'Energized Data'!A:T, 20, FALSE), "N/A"))</f>
        <v/>
      </c>
      <c r="F38">
        <f>IF(A38="","", IFERROR(VLOOKUP(A38, 'Insulation'!A:J, 9, FALSE), "N/A"))</f>
        <v/>
      </c>
      <c r="G38">
        <f>IF(A38="","", IFERROR(VLOOKUP(A38, 'DLRO'!A:I, 8, FALSE), "N/A"))</f>
        <v/>
      </c>
      <c r="H38">
        <f>IF(A38="","", IFERROR(VLOOKUP(A38, 'Torque'!A:I, 8, FALSE), "N/A"))</f>
        <v/>
      </c>
      <c r="I38">
        <f>IF(A38="","", IFERROR(VLOOKUP(A38, 'Infrared'!A:G, 6, FALSE), "N/A"))</f>
        <v/>
      </c>
      <c r="J38">
        <f>IF(A38="","", IFERROR(VLOOKUP(A38, 'Ultrasonic'!A:H, 7, FALSE), "N/A"))</f>
        <v/>
      </c>
      <c r="K38">
        <f>IF(A38="","", IFERROR(VLOOKUP(A38, 'Code Violations'!A:V, 22, FALSE), "N/A"))</f>
        <v/>
      </c>
      <c r="L38">
        <f>IF(A38="","", IF(COUNTIF(E38:K38, "FAIL")&gt;0, "FAIL", "PASS"))</f>
        <v/>
      </c>
    </row>
    <row r="39">
      <c r="A39">
        <f>IF('Equipment Information'!A39="","", 'Equipment Information'!A39)</f>
        <v/>
      </c>
      <c r="B39">
        <f>IF('Equipment Information'!B39="","", 'Equipment Information'!B39)</f>
        <v/>
      </c>
      <c r="C39">
        <f>IF('Equipment Information'!C39="","", 'Equipment Information'!C39)</f>
        <v/>
      </c>
      <c r="D39">
        <f>IF('Equipment Information'!D39="","", 'Equipment Information'!D39)</f>
        <v/>
      </c>
      <c r="E39">
        <f>IF(A39="","", IFERROR(VLOOKUP(A39, 'Energized Data'!A:T, 20, FALSE), "N/A"))</f>
        <v/>
      </c>
      <c r="F39">
        <f>IF(A39="","", IFERROR(VLOOKUP(A39, 'Insulation'!A:J, 9, FALSE), "N/A"))</f>
        <v/>
      </c>
      <c r="G39">
        <f>IF(A39="","", IFERROR(VLOOKUP(A39, 'DLRO'!A:I, 8, FALSE), "N/A"))</f>
        <v/>
      </c>
      <c r="H39">
        <f>IF(A39="","", IFERROR(VLOOKUP(A39, 'Torque'!A:I, 8, FALSE), "N/A"))</f>
        <v/>
      </c>
      <c r="I39">
        <f>IF(A39="","", IFERROR(VLOOKUP(A39, 'Infrared'!A:G, 6, FALSE), "N/A"))</f>
        <v/>
      </c>
      <c r="J39">
        <f>IF(A39="","", IFERROR(VLOOKUP(A39, 'Ultrasonic'!A:H, 7, FALSE), "N/A"))</f>
        <v/>
      </c>
      <c r="K39">
        <f>IF(A39="","", IFERROR(VLOOKUP(A39, 'Code Violations'!A:V, 22, FALSE), "N/A"))</f>
        <v/>
      </c>
      <c r="L39">
        <f>IF(A39="","", IF(COUNTIF(E39:K39, "FAIL")&gt;0, "FAIL", "PASS"))</f>
        <v/>
      </c>
    </row>
    <row r="40">
      <c r="A40">
        <f>IF('Equipment Information'!A40="","", 'Equipment Information'!A40)</f>
        <v/>
      </c>
      <c r="B40">
        <f>IF('Equipment Information'!B40="","", 'Equipment Information'!B40)</f>
        <v/>
      </c>
      <c r="C40">
        <f>IF('Equipment Information'!C40="","", 'Equipment Information'!C40)</f>
        <v/>
      </c>
      <c r="D40">
        <f>IF('Equipment Information'!D40="","", 'Equipment Information'!D40)</f>
        <v/>
      </c>
      <c r="E40">
        <f>IF(A40="","", IFERROR(VLOOKUP(A40, 'Energized Data'!A:T, 20, FALSE), "N/A"))</f>
        <v/>
      </c>
      <c r="F40">
        <f>IF(A40="","", IFERROR(VLOOKUP(A40, 'Insulation'!A:J, 9, FALSE), "N/A"))</f>
        <v/>
      </c>
      <c r="G40">
        <f>IF(A40="","", IFERROR(VLOOKUP(A40, 'DLRO'!A:I, 8, FALSE), "N/A"))</f>
        <v/>
      </c>
      <c r="H40">
        <f>IF(A40="","", IFERROR(VLOOKUP(A40, 'Torque'!A:I, 8, FALSE), "N/A"))</f>
        <v/>
      </c>
      <c r="I40">
        <f>IF(A40="","", IFERROR(VLOOKUP(A40, 'Infrared'!A:G, 6, FALSE), "N/A"))</f>
        <v/>
      </c>
      <c r="J40">
        <f>IF(A40="","", IFERROR(VLOOKUP(A40, 'Ultrasonic'!A:H, 7, FALSE), "N/A"))</f>
        <v/>
      </c>
      <c r="K40">
        <f>IF(A40="","", IFERROR(VLOOKUP(A40, 'Code Violations'!A:V, 22, FALSE), "N/A"))</f>
        <v/>
      </c>
      <c r="L40">
        <f>IF(A40="","", IF(COUNTIF(E40:K40, "FAIL")&gt;0, "FAIL", "PASS"))</f>
        <v/>
      </c>
    </row>
    <row r="41">
      <c r="A41">
        <f>IF('Equipment Information'!A41="","", 'Equipment Information'!A41)</f>
        <v/>
      </c>
      <c r="B41">
        <f>IF('Equipment Information'!B41="","", 'Equipment Information'!B41)</f>
        <v/>
      </c>
      <c r="C41">
        <f>IF('Equipment Information'!C41="","", 'Equipment Information'!C41)</f>
        <v/>
      </c>
      <c r="D41">
        <f>IF('Equipment Information'!D41="","", 'Equipment Information'!D41)</f>
        <v/>
      </c>
      <c r="E41">
        <f>IF(A41="","", IFERROR(VLOOKUP(A41, 'Energized Data'!A:T, 20, FALSE), "N/A"))</f>
        <v/>
      </c>
      <c r="F41">
        <f>IF(A41="","", IFERROR(VLOOKUP(A41, 'Insulation'!A:J, 9, FALSE), "N/A"))</f>
        <v/>
      </c>
      <c r="G41">
        <f>IF(A41="","", IFERROR(VLOOKUP(A41, 'DLRO'!A:I, 8, FALSE), "N/A"))</f>
        <v/>
      </c>
      <c r="H41">
        <f>IF(A41="","", IFERROR(VLOOKUP(A41, 'Torque'!A:I, 8, FALSE), "N/A"))</f>
        <v/>
      </c>
      <c r="I41">
        <f>IF(A41="","", IFERROR(VLOOKUP(A41, 'Infrared'!A:G, 6, FALSE), "N/A"))</f>
        <v/>
      </c>
      <c r="J41">
        <f>IF(A41="","", IFERROR(VLOOKUP(A41, 'Ultrasonic'!A:H, 7, FALSE), "N/A"))</f>
        <v/>
      </c>
      <c r="K41">
        <f>IF(A41="","", IFERROR(VLOOKUP(A41, 'Code Violations'!A:V, 22, FALSE), "N/A"))</f>
        <v/>
      </c>
      <c r="L41">
        <f>IF(A41="","", IF(COUNTIF(E41:K41, "FAIL")&gt;0, "FAIL", "PASS"))</f>
        <v/>
      </c>
    </row>
    <row r="42">
      <c r="A42">
        <f>IF('Equipment Information'!A42="","", 'Equipment Information'!A42)</f>
        <v/>
      </c>
      <c r="B42">
        <f>IF('Equipment Information'!B42="","", 'Equipment Information'!B42)</f>
        <v/>
      </c>
      <c r="C42">
        <f>IF('Equipment Information'!C42="","", 'Equipment Information'!C42)</f>
        <v/>
      </c>
      <c r="D42">
        <f>IF('Equipment Information'!D42="","", 'Equipment Information'!D42)</f>
        <v/>
      </c>
      <c r="E42">
        <f>IF(A42="","", IFERROR(VLOOKUP(A42, 'Energized Data'!A:T, 20, FALSE), "N/A"))</f>
        <v/>
      </c>
      <c r="F42">
        <f>IF(A42="","", IFERROR(VLOOKUP(A42, 'Insulation'!A:J, 9, FALSE), "N/A"))</f>
        <v/>
      </c>
      <c r="G42">
        <f>IF(A42="","", IFERROR(VLOOKUP(A42, 'DLRO'!A:I, 8, FALSE), "N/A"))</f>
        <v/>
      </c>
      <c r="H42">
        <f>IF(A42="","", IFERROR(VLOOKUP(A42, 'Torque'!A:I, 8, FALSE), "N/A"))</f>
        <v/>
      </c>
      <c r="I42">
        <f>IF(A42="","", IFERROR(VLOOKUP(A42, 'Infrared'!A:G, 6, FALSE), "N/A"))</f>
        <v/>
      </c>
      <c r="J42">
        <f>IF(A42="","", IFERROR(VLOOKUP(A42, 'Ultrasonic'!A:H, 7, FALSE), "N/A"))</f>
        <v/>
      </c>
      <c r="K42">
        <f>IF(A42="","", IFERROR(VLOOKUP(A42, 'Code Violations'!A:V, 22, FALSE), "N/A"))</f>
        <v/>
      </c>
      <c r="L42">
        <f>IF(A42="","", IF(COUNTIF(E42:K42, "FAIL")&gt;0, "FAIL", "PASS"))</f>
        <v/>
      </c>
    </row>
    <row r="43">
      <c r="A43">
        <f>IF('Equipment Information'!A43="","", 'Equipment Information'!A43)</f>
        <v/>
      </c>
      <c r="B43">
        <f>IF('Equipment Information'!B43="","", 'Equipment Information'!B43)</f>
        <v/>
      </c>
      <c r="C43">
        <f>IF('Equipment Information'!C43="","", 'Equipment Information'!C43)</f>
        <v/>
      </c>
      <c r="D43">
        <f>IF('Equipment Information'!D43="","", 'Equipment Information'!D43)</f>
        <v/>
      </c>
      <c r="E43">
        <f>IF(A43="","", IFERROR(VLOOKUP(A43, 'Energized Data'!A:T, 20, FALSE), "N/A"))</f>
        <v/>
      </c>
      <c r="F43">
        <f>IF(A43="","", IFERROR(VLOOKUP(A43, 'Insulation'!A:J, 9, FALSE), "N/A"))</f>
        <v/>
      </c>
      <c r="G43">
        <f>IF(A43="","", IFERROR(VLOOKUP(A43, 'DLRO'!A:I, 8, FALSE), "N/A"))</f>
        <v/>
      </c>
      <c r="H43">
        <f>IF(A43="","", IFERROR(VLOOKUP(A43, 'Torque'!A:I, 8, FALSE), "N/A"))</f>
        <v/>
      </c>
      <c r="I43">
        <f>IF(A43="","", IFERROR(VLOOKUP(A43, 'Infrared'!A:G, 6, FALSE), "N/A"))</f>
        <v/>
      </c>
      <c r="J43">
        <f>IF(A43="","", IFERROR(VLOOKUP(A43, 'Ultrasonic'!A:H, 7, FALSE), "N/A"))</f>
        <v/>
      </c>
      <c r="K43">
        <f>IF(A43="","", IFERROR(VLOOKUP(A43, 'Code Violations'!A:V, 22, FALSE), "N/A"))</f>
        <v/>
      </c>
      <c r="L43">
        <f>IF(A43="","", IF(COUNTIF(E43:K43, "FAIL")&gt;0, "FAIL", "PASS"))</f>
        <v/>
      </c>
    </row>
    <row r="44">
      <c r="A44">
        <f>IF('Equipment Information'!A44="","", 'Equipment Information'!A44)</f>
        <v/>
      </c>
      <c r="B44">
        <f>IF('Equipment Information'!B44="","", 'Equipment Information'!B44)</f>
        <v/>
      </c>
      <c r="C44">
        <f>IF('Equipment Information'!C44="","", 'Equipment Information'!C44)</f>
        <v/>
      </c>
      <c r="D44">
        <f>IF('Equipment Information'!D44="","", 'Equipment Information'!D44)</f>
        <v/>
      </c>
      <c r="E44">
        <f>IF(A44="","", IFERROR(VLOOKUP(A44, 'Energized Data'!A:T, 20, FALSE), "N/A"))</f>
        <v/>
      </c>
      <c r="F44">
        <f>IF(A44="","", IFERROR(VLOOKUP(A44, 'Insulation'!A:J, 9, FALSE), "N/A"))</f>
        <v/>
      </c>
      <c r="G44">
        <f>IF(A44="","", IFERROR(VLOOKUP(A44, 'DLRO'!A:I, 8, FALSE), "N/A"))</f>
        <v/>
      </c>
      <c r="H44">
        <f>IF(A44="","", IFERROR(VLOOKUP(A44, 'Torque'!A:I, 8, FALSE), "N/A"))</f>
        <v/>
      </c>
      <c r="I44">
        <f>IF(A44="","", IFERROR(VLOOKUP(A44, 'Infrared'!A:G, 6, FALSE), "N/A"))</f>
        <v/>
      </c>
      <c r="J44">
        <f>IF(A44="","", IFERROR(VLOOKUP(A44, 'Ultrasonic'!A:H, 7, FALSE), "N/A"))</f>
        <v/>
      </c>
      <c r="K44">
        <f>IF(A44="","", IFERROR(VLOOKUP(A44, 'Code Violations'!A:V, 22, FALSE), "N/A"))</f>
        <v/>
      </c>
      <c r="L44">
        <f>IF(A44="","", IF(COUNTIF(E44:K44, "FAIL")&gt;0, "FAIL", "PASS"))</f>
        <v/>
      </c>
    </row>
    <row r="45">
      <c r="A45">
        <f>IF('Equipment Information'!A45="","", 'Equipment Information'!A45)</f>
        <v/>
      </c>
      <c r="B45">
        <f>IF('Equipment Information'!B45="","", 'Equipment Information'!B45)</f>
        <v/>
      </c>
      <c r="C45">
        <f>IF('Equipment Information'!C45="","", 'Equipment Information'!C45)</f>
        <v/>
      </c>
      <c r="D45">
        <f>IF('Equipment Information'!D45="","", 'Equipment Information'!D45)</f>
        <v/>
      </c>
      <c r="E45">
        <f>IF(A45="","", IFERROR(VLOOKUP(A45, 'Energized Data'!A:T, 20, FALSE), "N/A"))</f>
        <v/>
      </c>
      <c r="F45">
        <f>IF(A45="","", IFERROR(VLOOKUP(A45, 'Insulation'!A:J, 9, FALSE), "N/A"))</f>
        <v/>
      </c>
      <c r="G45">
        <f>IF(A45="","", IFERROR(VLOOKUP(A45, 'DLRO'!A:I, 8, FALSE), "N/A"))</f>
        <v/>
      </c>
      <c r="H45">
        <f>IF(A45="","", IFERROR(VLOOKUP(A45, 'Torque'!A:I, 8, FALSE), "N/A"))</f>
        <v/>
      </c>
      <c r="I45">
        <f>IF(A45="","", IFERROR(VLOOKUP(A45, 'Infrared'!A:G, 6, FALSE), "N/A"))</f>
        <v/>
      </c>
      <c r="J45">
        <f>IF(A45="","", IFERROR(VLOOKUP(A45, 'Ultrasonic'!A:H, 7, FALSE), "N/A"))</f>
        <v/>
      </c>
      <c r="K45">
        <f>IF(A45="","", IFERROR(VLOOKUP(A45, 'Code Violations'!A:V, 22, FALSE), "N/A"))</f>
        <v/>
      </c>
      <c r="L45">
        <f>IF(A45="","", IF(COUNTIF(E45:K45, "FAIL")&gt;0, "FAIL", "PASS"))</f>
        <v/>
      </c>
    </row>
    <row r="46">
      <c r="A46">
        <f>IF('Equipment Information'!A46="","", 'Equipment Information'!A46)</f>
        <v/>
      </c>
      <c r="B46">
        <f>IF('Equipment Information'!B46="","", 'Equipment Information'!B46)</f>
        <v/>
      </c>
      <c r="C46">
        <f>IF('Equipment Information'!C46="","", 'Equipment Information'!C46)</f>
        <v/>
      </c>
      <c r="D46">
        <f>IF('Equipment Information'!D46="","", 'Equipment Information'!D46)</f>
        <v/>
      </c>
      <c r="E46">
        <f>IF(A46="","", IFERROR(VLOOKUP(A46, 'Energized Data'!A:T, 20, FALSE), "N/A"))</f>
        <v/>
      </c>
      <c r="F46">
        <f>IF(A46="","", IFERROR(VLOOKUP(A46, 'Insulation'!A:J, 9, FALSE), "N/A"))</f>
        <v/>
      </c>
      <c r="G46">
        <f>IF(A46="","", IFERROR(VLOOKUP(A46, 'DLRO'!A:I, 8, FALSE), "N/A"))</f>
        <v/>
      </c>
      <c r="H46">
        <f>IF(A46="","", IFERROR(VLOOKUP(A46, 'Torque'!A:I, 8, FALSE), "N/A"))</f>
        <v/>
      </c>
      <c r="I46">
        <f>IF(A46="","", IFERROR(VLOOKUP(A46, 'Infrared'!A:G, 6, FALSE), "N/A"))</f>
        <v/>
      </c>
      <c r="J46">
        <f>IF(A46="","", IFERROR(VLOOKUP(A46, 'Ultrasonic'!A:H, 7, FALSE), "N/A"))</f>
        <v/>
      </c>
      <c r="K46">
        <f>IF(A46="","", IFERROR(VLOOKUP(A46, 'Code Violations'!A:V, 22, FALSE), "N/A"))</f>
        <v/>
      </c>
      <c r="L46">
        <f>IF(A46="","", IF(COUNTIF(E46:K46, "FAIL")&gt;0, "FAIL", "PASS"))</f>
        <v/>
      </c>
    </row>
    <row r="47">
      <c r="A47">
        <f>IF('Equipment Information'!A47="","", 'Equipment Information'!A47)</f>
        <v/>
      </c>
      <c r="B47">
        <f>IF('Equipment Information'!B47="","", 'Equipment Information'!B47)</f>
        <v/>
      </c>
      <c r="C47">
        <f>IF('Equipment Information'!C47="","", 'Equipment Information'!C47)</f>
        <v/>
      </c>
      <c r="D47">
        <f>IF('Equipment Information'!D47="","", 'Equipment Information'!D47)</f>
        <v/>
      </c>
      <c r="E47">
        <f>IF(A47="","", IFERROR(VLOOKUP(A47, 'Energized Data'!A:T, 20, FALSE), "N/A"))</f>
        <v/>
      </c>
      <c r="F47">
        <f>IF(A47="","", IFERROR(VLOOKUP(A47, 'Insulation'!A:J, 9, FALSE), "N/A"))</f>
        <v/>
      </c>
      <c r="G47">
        <f>IF(A47="","", IFERROR(VLOOKUP(A47, 'DLRO'!A:I, 8, FALSE), "N/A"))</f>
        <v/>
      </c>
      <c r="H47">
        <f>IF(A47="","", IFERROR(VLOOKUP(A47, 'Torque'!A:I, 8, FALSE), "N/A"))</f>
        <v/>
      </c>
      <c r="I47">
        <f>IF(A47="","", IFERROR(VLOOKUP(A47, 'Infrared'!A:G, 6, FALSE), "N/A"))</f>
        <v/>
      </c>
      <c r="J47">
        <f>IF(A47="","", IFERROR(VLOOKUP(A47, 'Ultrasonic'!A:H, 7, FALSE), "N/A"))</f>
        <v/>
      </c>
      <c r="K47">
        <f>IF(A47="","", IFERROR(VLOOKUP(A47, 'Code Violations'!A:V, 22, FALSE), "N/A"))</f>
        <v/>
      </c>
      <c r="L47">
        <f>IF(A47="","", IF(COUNTIF(E47:K47, "FAIL")&gt;0, "FAIL", "PASS"))</f>
        <v/>
      </c>
    </row>
    <row r="48">
      <c r="A48">
        <f>IF('Equipment Information'!A48="","", 'Equipment Information'!A48)</f>
        <v/>
      </c>
      <c r="B48">
        <f>IF('Equipment Information'!B48="","", 'Equipment Information'!B48)</f>
        <v/>
      </c>
      <c r="C48">
        <f>IF('Equipment Information'!C48="","", 'Equipment Information'!C48)</f>
        <v/>
      </c>
      <c r="D48">
        <f>IF('Equipment Information'!D48="","", 'Equipment Information'!D48)</f>
        <v/>
      </c>
      <c r="E48">
        <f>IF(A48="","", IFERROR(VLOOKUP(A48, 'Energized Data'!A:T, 20, FALSE), "N/A"))</f>
        <v/>
      </c>
      <c r="F48">
        <f>IF(A48="","", IFERROR(VLOOKUP(A48, 'Insulation'!A:J, 9, FALSE), "N/A"))</f>
        <v/>
      </c>
      <c r="G48">
        <f>IF(A48="","", IFERROR(VLOOKUP(A48, 'DLRO'!A:I, 8, FALSE), "N/A"))</f>
        <v/>
      </c>
      <c r="H48">
        <f>IF(A48="","", IFERROR(VLOOKUP(A48, 'Torque'!A:I, 8, FALSE), "N/A"))</f>
        <v/>
      </c>
      <c r="I48">
        <f>IF(A48="","", IFERROR(VLOOKUP(A48, 'Infrared'!A:G, 6, FALSE), "N/A"))</f>
        <v/>
      </c>
      <c r="J48">
        <f>IF(A48="","", IFERROR(VLOOKUP(A48, 'Ultrasonic'!A:H, 7, FALSE), "N/A"))</f>
        <v/>
      </c>
      <c r="K48">
        <f>IF(A48="","", IFERROR(VLOOKUP(A48, 'Code Violations'!A:V, 22, FALSE), "N/A"))</f>
        <v/>
      </c>
      <c r="L48">
        <f>IF(A48="","", IF(COUNTIF(E48:K48, "FAIL")&gt;0, "FAIL", "PASS"))</f>
        <v/>
      </c>
    </row>
    <row r="49">
      <c r="A49">
        <f>IF('Equipment Information'!A49="","", 'Equipment Information'!A49)</f>
        <v/>
      </c>
      <c r="B49">
        <f>IF('Equipment Information'!B49="","", 'Equipment Information'!B49)</f>
        <v/>
      </c>
      <c r="C49">
        <f>IF('Equipment Information'!C49="","", 'Equipment Information'!C49)</f>
        <v/>
      </c>
      <c r="D49">
        <f>IF('Equipment Information'!D49="","", 'Equipment Information'!D49)</f>
        <v/>
      </c>
      <c r="E49">
        <f>IF(A49="","", IFERROR(VLOOKUP(A49, 'Energized Data'!A:T, 20, FALSE), "N/A"))</f>
        <v/>
      </c>
      <c r="F49">
        <f>IF(A49="","", IFERROR(VLOOKUP(A49, 'Insulation'!A:J, 9, FALSE), "N/A"))</f>
        <v/>
      </c>
      <c r="G49">
        <f>IF(A49="","", IFERROR(VLOOKUP(A49, 'DLRO'!A:I, 8, FALSE), "N/A"))</f>
        <v/>
      </c>
      <c r="H49">
        <f>IF(A49="","", IFERROR(VLOOKUP(A49, 'Torque'!A:I, 8, FALSE), "N/A"))</f>
        <v/>
      </c>
      <c r="I49">
        <f>IF(A49="","", IFERROR(VLOOKUP(A49, 'Infrared'!A:G, 6, FALSE), "N/A"))</f>
        <v/>
      </c>
      <c r="J49">
        <f>IF(A49="","", IFERROR(VLOOKUP(A49, 'Ultrasonic'!A:H, 7, FALSE), "N/A"))</f>
        <v/>
      </c>
      <c r="K49">
        <f>IF(A49="","", IFERROR(VLOOKUP(A49, 'Code Violations'!A:V, 22, FALSE), "N/A"))</f>
        <v/>
      </c>
      <c r="L49">
        <f>IF(A49="","", IF(COUNTIF(E49:K49, "FAIL")&gt;0, "FAIL", "PASS"))</f>
        <v/>
      </c>
    </row>
    <row r="50">
      <c r="A50">
        <f>IF('Equipment Information'!A50="","", 'Equipment Information'!A50)</f>
        <v/>
      </c>
      <c r="B50">
        <f>IF('Equipment Information'!B50="","", 'Equipment Information'!B50)</f>
        <v/>
      </c>
      <c r="C50">
        <f>IF('Equipment Information'!C50="","", 'Equipment Information'!C50)</f>
        <v/>
      </c>
      <c r="D50">
        <f>IF('Equipment Information'!D50="","", 'Equipment Information'!D50)</f>
        <v/>
      </c>
      <c r="E50">
        <f>IF(A50="","", IFERROR(VLOOKUP(A50, 'Energized Data'!A:T, 20, FALSE), "N/A"))</f>
        <v/>
      </c>
      <c r="F50">
        <f>IF(A50="","", IFERROR(VLOOKUP(A50, 'Insulation'!A:J, 9, FALSE), "N/A"))</f>
        <v/>
      </c>
      <c r="G50">
        <f>IF(A50="","", IFERROR(VLOOKUP(A50, 'DLRO'!A:I, 8, FALSE), "N/A"))</f>
        <v/>
      </c>
      <c r="H50">
        <f>IF(A50="","", IFERROR(VLOOKUP(A50, 'Torque'!A:I, 8, FALSE), "N/A"))</f>
        <v/>
      </c>
      <c r="I50">
        <f>IF(A50="","", IFERROR(VLOOKUP(A50, 'Infrared'!A:G, 6, FALSE), "N/A"))</f>
        <v/>
      </c>
      <c r="J50">
        <f>IF(A50="","", IFERROR(VLOOKUP(A50, 'Ultrasonic'!A:H, 7, FALSE), "N/A"))</f>
        <v/>
      </c>
      <c r="K50">
        <f>IF(A50="","", IFERROR(VLOOKUP(A50, 'Code Violations'!A:V, 22, FALSE), "N/A"))</f>
        <v/>
      </c>
      <c r="L50">
        <f>IF(A50="","", IF(COUNTIF(E50:K50, "FAIL")&gt;0, "FAIL", "PASS"))</f>
        <v/>
      </c>
    </row>
    <row r="51">
      <c r="A51">
        <f>IF('Equipment Information'!A51="","", 'Equipment Information'!A51)</f>
        <v/>
      </c>
      <c r="B51">
        <f>IF('Equipment Information'!B51="","", 'Equipment Information'!B51)</f>
        <v/>
      </c>
      <c r="C51">
        <f>IF('Equipment Information'!C51="","", 'Equipment Information'!C51)</f>
        <v/>
      </c>
      <c r="D51">
        <f>IF('Equipment Information'!D51="","", 'Equipment Information'!D51)</f>
        <v/>
      </c>
      <c r="E51">
        <f>IF(A51="","", IFERROR(VLOOKUP(A51, 'Energized Data'!A:T, 20, FALSE), "N/A"))</f>
        <v/>
      </c>
      <c r="F51">
        <f>IF(A51="","", IFERROR(VLOOKUP(A51, 'Insulation'!A:J, 9, FALSE), "N/A"))</f>
        <v/>
      </c>
      <c r="G51">
        <f>IF(A51="","", IFERROR(VLOOKUP(A51, 'DLRO'!A:I, 8, FALSE), "N/A"))</f>
        <v/>
      </c>
      <c r="H51">
        <f>IF(A51="","", IFERROR(VLOOKUP(A51, 'Torque'!A:I, 8, FALSE), "N/A"))</f>
        <v/>
      </c>
      <c r="I51">
        <f>IF(A51="","", IFERROR(VLOOKUP(A51, 'Infrared'!A:G, 6, FALSE), "N/A"))</f>
        <v/>
      </c>
      <c r="J51">
        <f>IF(A51="","", IFERROR(VLOOKUP(A51, 'Ultrasonic'!A:H, 7, FALSE), "N/A"))</f>
        <v/>
      </c>
      <c r="K51">
        <f>IF(A51="","", IFERROR(VLOOKUP(A51, 'Code Violations'!A:V, 22, FALSE), "N/A"))</f>
        <v/>
      </c>
      <c r="L51">
        <f>IF(A51="","", IF(COUNTIF(E51:K51, "FAIL")&gt;0, "FAIL", "PASS"))</f>
        <v/>
      </c>
    </row>
    <row r="52">
      <c r="A52">
        <f>IF('Equipment Information'!A52="","", 'Equipment Information'!A52)</f>
        <v/>
      </c>
      <c r="B52">
        <f>IF('Equipment Information'!B52="","", 'Equipment Information'!B52)</f>
        <v/>
      </c>
      <c r="C52">
        <f>IF('Equipment Information'!C52="","", 'Equipment Information'!C52)</f>
        <v/>
      </c>
      <c r="D52">
        <f>IF('Equipment Information'!D52="","", 'Equipment Information'!D52)</f>
        <v/>
      </c>
      <c r="E52">
        <f>IF(A52="","", IFERROR(VLOOKUP(A52, 'Energized Data'!A:T, 20, FALSE), "N/A"))</f>
        <v/>
      </c>
      <c r="F52">
        <f>IF(A52="","", IFERROR(VLOOKUP(A52, 'Insulation'!A:J, 9, FALSE), "N/A"))</f>
        <v/>
      </c>
      <c r="G52">
        <f>IF(A52="","", IFERROR(VLOOKUP(A52, 'DLRO'!A:I, 8, FALSE), "N/A"))</f>
        <v/>
      </c>
      <c r="H52">
        <f>IF(A52="","", IFERROR(VLOOKUP(A52, 'Torque'!A:I, 8, FALSE), "N/A"))</f>
        <v/>
      </c>
      <c r="I52">
        <f>IF(A52="","", IFERROR(VLOOKUP(A52, 'Infrared'!A:G, 6, FALSE), "N/A"))</f>
        <v/>
      </c>
      <c r="J52">
        <f>IF(A52="","", IFERROR(VLOOKUP(A52, 'Ultrasonic'!A:H, 7, FALSE), "N/A"))</f>
        <v/>
      </c>
      <c r="K52">
        <f>IF(A52="","", IFERROR(VLOOKUP(A52, 'Code Violations'!A:V, 22, FALSE), "N/A"))</f>
        <v/>
      </c>
      <c r="L52">
        <f>IF(A52="","", IF(COUNTIF(E52:K52, "FAIL")&gt;0, "FAIL", "PASS"))</f>
        <v/>
      </c>
    </row>
    <row r="53">
      <c r="A53">
        <f>IF('Equipment Information'!A53="","", 'Equipment Information'!A53)</f>
        <v/>
      </c>
      <c r="B53">
        <f>IF('Equipment Information'!B53="","", 'Equipment Information'!B53)</f>
        <v/>
      </c>
      <c r="C53">
        <f>IF('Equipment Information'!C53="","", 'Equipment Information'!C53)</f>
        <v/>
      </c>
      <c r="D53">
        <f>IF('Equipment Information'!D53="","", 'Equipment Information'!D53)</f>
        <v/>
      </c>
      <c r="E53">
        <f>IF(A53="","", IFERROR(VLOOKUP(A53, 'Energized Data'!A:T, 20, FALSE), "N/A"))</f>
        <v/>
      </c>
      <c r="F53">
        <f>IF(A53="","", IFERROR(VLOOKUP(A53, 'Insulation'!A:J, 9, FALSE), "N/A"))</f>
        <v/>
      </c>
      <c r="G53">
        <f>IF(A53="","", IFERROR(VLOOKUP(A53, 'DLRO'!A:I, 8, FALSE), "N/A"))</f>
        <v/>
      </c>
      <c r="H53">
        <f>IF(A53="","", IFERROR(VLOOKUP(A53, 'Torque'!A:I, 8, FALSE), "N/A"))</f>
        <v/>
      </c>
      <c r="I53">
        <f>IF(A53="","", IFERROR(VLOOKUP(A53, 'Infrared'!A:G, 6, FALSE), "N/A"))</f>
        <v/>
      </c>
      <c r="J53">
        <f>IF(A53="","", IFERROR(VLOOKUP(A53, 'Ultrasonic'!A:H, 7, FALSE), "N/A"))</f>
        <v/>
      </c>
      <c r="K53">
        <f>IF(A53="","", IFERROR(VLOOKUP(A53, 'Code Violations'!A:V, 22, FALSE), "N/A"))</f>
        <v/>
      </c>
      <c r="L53">
        <f>IF(A53="","", IF(COUNTIF(E53:K53, "FAIL")&gt;0, "FAIL", "PASS"))</f>
        <v/>
      </c>
    </row>
    <row r="54">
      <c r="A54">
        <f>IF('Equipment Information'!A54="","", 'Equipment Information'!A54)</f>
        <v/>
      </c>
      <c r="B54">
        <f>IF('Equipment Information'!B54="","", 'Equipment Information'!B54)</f>
        <v/>
      </c>
      <c r="C54">
        <f>IF('Equipment Information'!C54="","", 'Equipment Information'!C54)</f>
        <v/>
      </c>
      <c r="D54">
        <f>IF('Equipment Information'!D54="","", 'Equipment Information'!D54)</f>
        <v/>
      </c>
      <c r="E54">
        <f>IF(A54="","", IFERROR(VLOOKUP(A54, 'Energized Data'!A:T, 20, FALSE), "N/A"))</f>
        <v/>
      </c>
      <c r="F54">
        <f>IF(A54="","", IFERROR(VLOOKUP(A54, 'Insulation'!A:J, 9, FALSE), "N/A"))</f>
        <v/>
      </c>
      <c r="G54">
        <f>IF(A54="","", IFERROR(VLOOKUP(A54, 'DLRO'!A:I, 8, FALSE), "N/A"))</f>
        <v/>
      </c>
      <c r="H54">
        <f>IF(A54="","", IFERROR(VLOOKUP(A54, 'Torque'!A:I, 8, FALSE), "N/A"))</f>
        <v/>
      </c>
      <c r="I54">
        <f>IF(A54="","", IFERROR(VLOOKUP(A54, 'Infrared'!A:G, 6, FALSE), "N/A"))</f>
        <v/>
      </c>
      <c r="J54">
        <f>IF(A54="","", IFERROR(VLOOKUP(A54, 'Ultrasonic'!A:H, 7, FALSE), "N/A"))</f>
        <v/>
      </c>
      <c r="K54">
        <f>IF(A54="","", IFERROR(VLOOKUP(A54, 'Code Violations'!A:V, 22, FALSE), "N/A"))</f>
        <v/>
      </c>
      <c r="L54">
        <f>IF(A54="","", IF(COUNTIF(E54:K54, "FAIL")&gt;0, "FAIL", "PASS"))</f>
        <v/>
      </c>
    </row>
    <row r="55">
      <c r="A55">
        <f>IF('Equipment Information'!A55="","", 'Equipment Information'!A55)</f>
        <v/>
      </c>
      <c r="B55">
        <f>IF('Equipment Information'!B55="","", 'Equipment Information'!B55)</f>
        <v/>
      </c>
      <c r="C55">
        <f>IF('Equipment Information'!C55="","", 'Equipment Information'!C55)</f>
        <v/>
      </c>
      <c r="D55">
        <f>IF('Equipment Information'!D55="","", 'Equipment Information'!D55)</f>
        <v/>
      </c>
      <c r="E55">
        <f>IF(A55="","", IFERROR(VLOOKUP(A55, 'Energized Data'!A:T, 20, FALSE), "N/A"))</f>
        <v/>
      </c>
      <c r="F55">
        <f>IF(A55="","", IFERROR(VLOOKUP(A55, 'Insulation'!A:J, 9, FALSE), "N/A"))</f>
        <v/>
      </c>
      <c r="G55">
        <f>IF(A55="","", IFERROR(VLOOKUP(A55, 'DLRO'!A:I, 8, FALSE), "N/A"))</f>
        <v/>
      </c>
      <c r="H55">
        <f>IF(A55="","", IFERROR(VLOOKUP(A55, 'Torque'!A:I, 8, FALSE), "N/A"))</f>
        <v/>
      </c>
      <c r="I55">
        <f>IF(A55="","", IFERROR(VLOOKUP(A55, 'Infrared'!A:G, 6, FALSE), "N/A"))</f>
        <v/>
      </c>
      <c r="J55">
        <f>IF(A55="","", IFERROR(VLOOKUP(A55, 'Ultrasonic'!A:H, 7, FALSE), "N/A"))</f>
        <v/>
      </c>
      <c r="K55">
        <f>IF(A55="","", IFERROR(VLOOKUP(A55, 'Code Violations'!A:V, 22, FALSE), "N/A"))</f>
        <v/>
      </c>
      <c r="L55">
        <f>IF(A55="","", IF(COUNTIF(E55:K55, "FAIL")&gt;0, "FAIL", "PASS"))</f>
        <v/>
      </c>
    </row>
    <row r="56">
      <c r="A56">
        <f>IF('Equipment Information'!A56="","", 'Equipment Information'!A56)</f>
        <v/>
      </c>
      <c r="B56">
        <f>IF('Equipment Information'!B56="","", 'Equipment Information'!B56)</f>
        <v/>
      </c>
      <c r="C56">
        <f>IF('Equipment Information'!C56="","", 'Equipment Information'!C56)</f>
        <v/>
      </c>
      <c r="D56">
        <f>IF('Equipment Information'!D56="","", 'Equipment Information'!D56)</f>
        <v/>
      </c>
      <c r="E56">
        <f>IF(A56="","", IFERROR(VLOOKUP(A56, 'Energized Data'!A:T, 20, FALSE), "N/A"))</f>
        <v/>
      </c>
      <c r="F56">
        <f>IF(A56="","", IFERROR(VLOOKUP(A56, 'Insulation'!A:J, 9, FALSE), "N/A"))</f>
        <v/>
      </c>
      <c r="G56">
        <f>IF(A56="","", IFERROR(VLOOKUP(A56, 'DLRO'!A:I, 8, FALSE), "N/A"))</f>
        <v/>
      </c>
      <c r="H56">
        <f>IF(A56="","", IFERROR(VLOOKUP(A56, 'Torque'!A:I, 8, FALSE), "N/A"))</f>
        <v/>
      </c>
      <c r="I56">
        <f>IF(A56="","", IFERROR(VLOOKUP(A56, 'Infrared'!A:G, 6, FALSE), "N/A"))</f>
        <v/>
      </c>
      <c r="J56">
        <f>IF(A56="","", IFERROR(VLOOKUP(A56, 'Ultrasonic'!A:H, 7, FALSE), "N/A"))</f>
        <v/>
      </c>
      <c r="K56">
        <f>IF(A56="","", IFERROR(VLOOKUP(A56, 'Code Violations'!A:V, 22, FALSE), "N/A"))</f>
        <v/>
      </c>
      <c r="L56">
        <f>IF(A56="","", IF(COUNTIF(E56:K56, "FAIL")&gt;0, "FAIL", "PASS"))</f>
        <v/>
      </c>
    </row>
    <row r="57">
      <c r="A57">
        <f>IF('Equipment Information'!A57="","", 'Equipment Information'!A57)</f>
        <v/>
      </c>
      <c r="B57">
        <f>IF('Equipment Information'!B57="","", 'Equipment Information'!B57)</f>
        <v/>
      </c>
      <c r="C57">
        <f>IF('Equipment Information'!C57="","", 'Equipment Information'!C57)</f>
        <v/>
      </c>
      <c r="D57">
        <f>IF('Equipment Information'!D57="","", 'Equipment Information'!D57)</f>
        <v/>
      </c>
      <c r="E57">
        <f>IF(A57="","", IFERROR(VLOOKUP(A57, 'Energized Data'!A:T, 20, FALSE), "N/A"))</f>
        <v/>
      </c>
      <c r="F57">
        <f>IF(A57="","", IFERROR(VLOOKUP(A57, 'Insulation'!A:J, 9, FALSE), "N/A"))</f>
        <v/>
      </c>
      <c r="G57">
        <f>IF(A57="","", IFERROR(VLOOKUP(A57, 'DLRO'!A:I, 8, FALSE), "N/A"))</f>
        <v/>
      </c>
      <c r="H57">
        <f>IF(A57="","", IFERROR(VLOOKUP(A57, 'Torque'!A:I, 8, FALSE), "N/A"))</f>
        <v/>
      </c>
      <c r="I57">
        <f>IF(A57="","", IFERROR(VLOOKUP(A57, 'Infrared'!A:G, 6, FALSE), "N/A"))</f>
        <v/>
      </c>
      <c r="J57">
        <f>IF(A57="","", IFERROR(VLOOKUP(A57, 'Ultrasonic'!A:H, 7, FALSE), "N/A"))</f>
        <v/>
      </c>
      <c r="K57">
        <f>IF(A57="","", IFERROR(VLOOKUP(A57, 'Code Violations'!A:V, 22, FALSE), "N/A"))</f>
        <v/>
      </c>
      <c r="L57">
        <f>IF(A57="","", IF(COUNTIF(E57:K57, "FAIL")&gt;0, "FAIL", "PASS"))</f>
        <v/>
      </c>
    </row>
    <row r="58">
      <c r="A58">
        <f>IF('Equipment Information'!A58="","", 'Equipment Information'!A58)</f>
        <v/>
      </c>
      <c r="B58">
        <f>IF('Equipment Information'!B58="","", 'Equipment Information'!B58)</f>
        <v/>
      </c>
      <c r="C58">
        <f>IF('Equipment Information'!C58="","", 'Equipment Information'!C58)</f>
        <v/>
      </c>
      <c r="D58">
        <f>IF('Equipment Information'!D58="","", 'Equipment Information'!D58)</f>
        <v/>
      </c>
      <c r="E58">
        <f>IF(A58="","", IFERROR(VLOOKUP(A58, 'Energized Data'!A:T, 20, FALSE), "N/A"))</f>
        <v/>
      </c>
      <c r="F58">
        <f>IF(A58="","", IFERROR(VLOOKUP(A58, 'Insulation'!A:J, 9, FALSE), "N/A"))</f>
        <v/>
      </c>
      <c r="G58">
        <f>IF(A58="","", IFERROR(VLOOKUP(A58, 'DLRO'!A:I, 8, FALSE), "N/A"))</f>
        <v/>
      </c>
      <c r="H58">
        <f>IF(A58="","", IFERROR(VLOOKUP(A58, 'Torque'!A:I, 8, FALSE), "N/A"))</f>
        <v/>
      </c>
      <c r="I58">
        <f>IF(A58="","", IFERROR(VLOOKUP(A58, 'Infrared'!A:G, 6, FALSE), "N/A"))</f>
        <v/>
      </c>
      <c r="J58">
        <f>IF(A58="","", IFERROR(VLOOKUP(A58, 'Ultrasonic'!A:H, 7, FALSE), "N/A"))</f>
        <v/>
      </c>
      <c r="K58">
        <f>IF(A58="","", IFERROR(VLOOKUP(A58, 'Code Violations'!A:V, 22, FALSE), "N/A"))</f>
        <v/>
      </c>
      <c r="L58">
        <f>IF(A58="","", IF(COUNTIF(E58:K58, "FAIL")&gt;0, "FAIL", "PASS"))</f>
        <v/>
      </c>
    </row>
    <row r="59">
      <c r="A59">
        <f>IF('Equipment Information'!A59="","", 'Equipment Information'!A59)</f>
        <v/>
      </c>
      <c r="B59">
        <f>IF('Equipment Information'!B59="","", 'Equipment Information'!B59)</f>
        <v/>
      </c>
      <c r="C59">
        <f>IF('Equipment Information'!C59="","", 'Equipment Information'!C59)</f>
        <v/>
      </c>
      <c r="D59">
        <f>IF('Equipment Information'!D59="","", 'Equipment Information'!D59)</f>
        <v/>
      </c>
      <c r="E59">
        <f>IF(A59="","", IFERROR(VLOOKUP(A59, 'Energized Data'!A:T, 20, FALSE), "N/A"))</f>
        <v/>
      </c>
      <c r="F59">
        <f>IF(A59="","", IFERROR(VLOOKUP(A59, 'Insulation'!A:J, 9, FALSE), "N/A"))</f>
        <v/>
      </c>
      <c r="G59">
        <f>IF(A59="","", IFERROR(VLOOKUP(A59, 'DLRO'!A:I, 8, FALSE), "N/A"))</f>
        <v/>
      </c>
      <c r="H59">
        <f>IF(A59="","", IFERROR(VLOOKUP(A59, 'Torque'!A:I, 8, FALSE), "N/A"))</f>
        <v/>
      </c>
      <c r="I59">
        <f>IF(A59="","", IFERROR(VLOOKUP(A59, 'Infrared'!A:G, 6, FALSE), "N/A"))</f>
        <v/>
      </c>
      <c r="J59">
        <f>IF(A59="","", IFERROR(VLOOKUP(A59, 'Ultrasonic'!A:H, 7, FALSE), "N/A"))</f>
        <v/>
      </c>
      <c r="K59">
        <f>IF(A59="","", IFERROR(VLOOKUP(A59, 'Code Violations'!A:V, 22, FALSE), "N/A"))</f>
        <v/>
      </c>
      <c r="L59">
        <f>IF(A59="","", IF(COUNTIF(E59:K59, "FAIL")&gt;0, "FAIL", "PASS"))</f>
        <v/>
      </c>
    </row>
    <row r="60">
      <c r="A60">
        <f>IF('Equipment Information'!A60="","", 'Equipment Information'!A60)</f>
        <v/>
      </c>
      <c r="B60">
        <f>IF('Equipment Information'!B60="","", 'Equipment Information'!B60)</f>
        <v/>
      </c>
      <c r="C60">
        <f>IF('Equipment Information'!C60="","", 'Equipment Information'!C60)</f>
        <v/>
      </c>
      <c r="D60">
        <f>IF('Equipment Information'!D60="","", 'Equipment Information'!D60)</f>
        <v/>
      </c>
      <c r="E60">
        <f>IF(A60="","", IFERROR(VLOOKUP(A60, 'Energized Data'!A:T, 20, FALSE), "N/A"))</f>
        <v/>
      </c>
      <c r="F60">
        <f>IF(A60="","", IFERROR(VLOOKUP(A60, 'Insulation'!A:J, 9, FALSE), "N/A"))</f>
        <v/>
      </c>
      <c r="G60">
        <f>IF(A60="","", IFERROR(VLOOKUP(A60, 'DLRO'!A:I, 8, FALSE), "N/A"))</f>
        <v/>
      </c>
      <c r="H60">
        <f>IF(A60="","", IFERROR(VLOOKUP(A60, 'Torque'!A:I, 8, FALSE), "N/A"))</f>
        <v/>
      </c>
      <c r="I60">
        <f>IF(A60="","", IFERROR(VLOOKUP(A60, 'Infrared'!A:G, 6, FALSE), "N/A"))</f>
        <v/>
      </c>
      <c r="J60">
        <f>IF(A60="","", IFERROR(VLOOKUP(A60, 'Ultrasonic'!A:H, 7, FALSE), "N/A"))</f>
        <v/>
      </c>
      <c r="K60">
        <f>IF(A60="","", IFERROR(VLOOKUP(A60, 'Code Violations'!A:V, 22, FALSE), "N/A"))</f>
        <v/>
      </c>
      <c r="L60">
        <f>IF(A60="","", IF(COUNTIF(E60:K60, "FAIL")&gt;0, "FAIL", "PASS"))</f>
        <v/>
      </c>
    </row>
    <row r="61">
      <c r="A61">
        <f>IF('Equipment Information'!A61="","", 'Equipment Information'!A61)</f>
        <v/>
      </c>
      <c r="B61">
        <f>IF('Equipment Information'!B61="","", 'Equipment Information'!B61)</f>
        <v/>
      </c>
      <c r="C61">
        <f>IF('Equipment Information'!C61="","", 'Equipment Information'!C61)</f>
        <v/>
      </c>
      <c r="D61">
        <f>IF('Equipment Information'!D61="","", 'Equipment Information'!D61)</f>
        <v/>
      </c>
      <c r="E61">
        <f>IF(A61="","", IFERROR(VLOOKUP(A61, 'Energized Data'!A:T, 20, FALSE), "N/A"))</f>
        <v/>
      </c>
      <c r="F61">
        <f>IF(A61="","", IFERROR(VLOOKUP(A61, 'Insulation'!A:J, 9, FALSE), "N/A"))</f>
        <v/>
      </c>
      <c r="G61">
        <f>IF(A61="","", IFERROR(VLOOKUP(A61, 'DLRO'!A:I, 8, FALSE), "N/A"))</f>
        <v/>
      </c>
      <c r="H61">
        <f>IF(A61="","", IFERROR(VLOOKUP(A61, 'Torque'!A:I, 8, FALSE), "N/A"))</f>
        <v/>
      </c>
      <c r="I61">
        <f>IF(A61="","", IFERROR(VLOOKUP(A61, 'Infrared'!A:G, 6, FALSE), "N/A"))</f>
        <v/>
      </c>
      <c r="J61">
        <f>IF(A61="","", IFERROR(VLOOKUP(A61, 'Ultrasonic'!A:H, 7, FALSE), "N/A"))</f>
        <v/>
      </c>
      <c r="K61">
        <f>IF(A61="","", IFERROR(VLOOKUP(A61, 'Code Violations'!A:V, 22, FALSE), "N/A"))</f>
        <v/>
      </c>
      <c r="L61">
        <f>IF(A61="","", IF(COUNTIF(E61:K61, "FAIL")&gt;0, "FAIL", "PASS"))</f>
        <v/>
      </c>
    </row>
    <row r="62">
      <c r="A62">
        <f>IF('Equipment Information'!A62="","", 'Equipment Information'!A62)</f>
        <v/>
      </c>
      <c r="B62">
        <f>IF('Equipment Information'!B62="","", 'Equipment Information'!B62)</f>
        <v/>
      </c>
      <c r="C62">
        <f>IF('Equipment Information'!C62="","", 'Equipment Information'!C62)</f>
        <v/>
      </c>
      <c r="D62">
        <f>IF('Equipment Information'!D62="","", 'Equipment Information'!D62)</f>
        <v/>
      </c>
      <c r="E62">
        <f>IF(A62="","", IFERROR(VLOOKUP(A62, 'Energized Data'!A:T, 20, FALSE), "N/A"))</f>
        <v/>
      </c>
      <c r="F62">
        <f>IF(A62="","", IFERROR(VLOOKUP(A62, 'Insulation'!A:J, 9, FALSE), "N/A"))</f>
        <v/>
      </c>
      <c r="G62">
        <f>IF(A62="","", IFERROR(VLOOKUP(A62, 'DLRO'!A:I, 8, FALSE), "N/A"))</f>
        <v/>
      </c>
      <c r="H62">
        <f>IF(A62="","", IFERROR(VLOOKUP(A62, 'Torque'!A:I, 8, FALSE), "N/A"))</f>
        <v/>
      </c>
      <c r="I62">
        <f>IF(A62="","", IFERROR(VLOOKUP(A62, 'Infrared'!A:G, 6, FALSE), "N/A"))</f>
        <v/>
      </c>
      <c r="J62">
        <f>IF(A62="","", IFERROR(VLOOKUP(A62, 'Ultrasonic'!A:H, 7, FALSE), "N/A"))</f>
        <v/>
      </c>
      <c r="K62">
        <f>IF(A62="","", IFERROR(VLOOKUP(A62, 'Code Violations'!A:V, 22, FALSE), "N/A"))</f>
        <v/>
      </c>
      <c r="L62">
        <f>IF(A62="","", IF(COUNTIF(E62:K62, "FAIL")&gt;0, "FAIL", "PASS"))</f>
        <v/>
      </c>
    </row>
    <row r="63">
      <c r="A63">
        <f>IF('Equipment Information'!A63="","", 'Equipment Information'!A63)</f>
        <v/>
      </c>
      <c r="B63">
        <f>IF('Equipment Information'!B63="","", 'Equipment Information'!B63)</f>
        <v/>
      </c>
      <c r="C63">
        <f>IF('Equipment Information'!C63="","", 'Equipment Information'!C63)</f>
        <v/>
      </c>
      <c r="D63">
        <f>IF('Equipment Information'!D63="","", 'Equipment Information'!D63)</f>
        <v/>
      </c>
      <c r="E63">
        <f>IF(A63="","", IFERROR(VLOOKUP(A63, 'Energized Data'!A:T, 20, FALSE), "N/A"))</f>
        <v/>
      </c>
      <c r="F63">
        <f>IF(A63="","", IFERROR(VLOOKUP(A63, 'Insulation'!A:J, 9, FALSE), "N/A"))</f>
        <v/>
      </c>
      <c r="G63">
        <f>IF(A63="","", IFERROR(VLOOKUP(A63, 'DLRO'!A:I, 8, FALSE), "N/A"))</f>
        <v/>
      </c>
      <c r="H63">
        <f>IF(A63="","", IFERROR(VLOOKUP(A63, 'Torque'!A:I, 8, FALSE), "N/A"))</f>
        <v/>
      </c>
      <c r="I63">
        <f>IF(A63="","", IFERROR(VLOOKUP(A63, 'Infrared'!A:G, 6, FALSE), "N/A"))</f>
        <v/>
      </c>
      <c r="J63">
        <f>IF(A63="","", IFERROR(VLOOKUP(A63, 'Ultrasonic'!A:H, 7, FALSE), "N/A"))</f>
        <v/>
      </c>
      <c r="K63">
        <f>IF(A63="","", IFERROR(VLOOKUP(A63, 'Code Violations'!A:V, 22, FALSE), "N/A"))</f>
        <v/>
      </c>
      <c r="L63">
        <f>IF(A63="","", IF(COUNTIF(E63:K63, "FAIL")&gt;0, "FAIL", "PASS"))</f>
        <v/>
      </c>
    </row>
    <row r="64">
      <c r="A64">
        <f>IF('Equipment Information'!A64="","", 'Equipment Information'!A64)</f>
        <v/>
      </c>
      <c r="B64">
        <f>IF('Equipment Information'!B64="","", 'Equipment Information'!B64)</f>
        <v/>
      </c>
      <c r="C64">
        <f>IF('Equipment Information'!C64="","", 'Equipment Information'!C64)</f>
        <v/>
      </c>
      <c r="D64">
        <f>IF('Equipment Information'!D64="","", 'Equipment Information'!D64)</f>
        <v/>
      </c>
      <c r="E64">
        <f>IF(A64="","", IFERROR(VLOOKUP(A64, 'Energized Data'!A:T, 20, FALSE), "N/A"))</f>
        <v/>
      </c>
      <c r="F64">
        <f>IF(A64="","", IFERROR(VLOOKUP(A64, 'Insulation'!A:J, 9, FALSE), "N/A"))</f>
        <v/>
      </c>
      <c r="G64">
        <f>IF(A64="","", IFERROR(VLOOKUP(A64, 'DLRO'!A:I, 8, FALSE), "N/A"))</f>
        <v/>
      </c>
      <c r="H64">
        <f>IF(A64="","", IFERROR(VLOOKUP(A64, 'Torque'!A:I, 8, FALSE), "N/A"))</f>
        <v/>
      </c>
      <c r="I64">
        <f>IF(A64="","", IFERROR(VLOOKUP(A64, 'Infrared'!A:G, 6, FALSE), "N/A"))</f>
        <v/>
      </c>
      <c r="J64">
        <f>IF(A64="","", IFERROR(VLOOKUP(A64, 'Ultrasonic'!A:H, 7, FALSE), "N/A"))</f>
        <v/>
      </c>
      <c r="K64">
        <f>IF(A64="","", IFERROR(VLOOKUP(A64, 'Code Violations'!A:V, 22, FALSE), "N/A"))</f>
        <v/>
      </c>
      <c r="L64">
        <f>IF(A64="","", IF(COUNTIF(E64:K64, "FAIL")&gt;0, "FAIL", "PASS"))</f>
        <v/>
      </c>
    </row>
    <row r="65">
      <c r="A65">
        <f>IF('Equipment Information'!A65="","", 'Equipment Information'!A65)</f>
        <v/>
      </c>
      <c r="B65">
        <f>IF('Equipment Information'!B65="","", 'Equipment Information'!B65)</f>
        <v/>
      </c>
      <c r="C65">
        <f>IF('Equipment Information'!C65="","", 'Equipment Information'!C65)</f>
        <v/>
      </c>
      <c r="D65">
        <f>IF('Equipment Information'!D65="","", 'Equipment Information'!D65)</f>
        <v/>
      </c>
      <c r="E65">
        <f>IF(A65="","", IFERROR(VLOOKUP(A65, 'Energized Data'!A:T, 20, FALSE), "N/A"))</f>
        <v/>
      </c>
      <c r="F65">
        <f>IF(A65="","", IFERROR(VLOOKUP(A65, 'Insulation'!A:J, 9, FALSE), "N/A"))</f>
        <v/>
      </c>
      <c r="G65">
        <f>IF(A65="","", IFERROR(VLOOKUP(A65, 'DLRO'!A:I, 8, FALSE), "N/A"))</f>
        <v/>
      </c>
      <c r="H65">
        <f>IF(A65="","", IFERROR(VLOOKUP(A65, 'Torque'!A:I, 8, FALSE), "N/A"))</f>
        <v/>
      </c>
      <c r="I65">
        <f>IF(A65="","", IFERROR(VLOOKUP(A65, 'Infrared'!A:G, 6, FALSE), "N/A"))</f>
        <v/>
      </c>
      <c r="J65">
        <f>IF(A65="","", IFERROR(VLOOKUP(A65, 'Ultrasonic'!A:H, 7, FALSE), "N/A"))</f>
        <v/>
      </c>
      <c r="K65">
        <f>IF(A65="","", IFERROR(VLOOKUP(A65, 'Code Violations'!A:V, 22, FALSE), "N/A"))</f>
        <v/>
      </c>
      <c r="L65">
        <f>IF(A65="","", IF(COUNTIF(E65:K65, "FAIL")&gt;0, "FAIL", "PASS"))</f>
        <v/>
      </c>
    </row>
    <row r="66">
      <c r="A66">
        <f>IF('Equipment Information'!A66="","", 'Equipment Information'!A66)</f>
        <v/>
      </c>
      <c r="B66">
        <f>IF('Equipment Information'!B66="","", 'Equipment Information'!B66)</f>
        <v/>
      </c>
      <c r="C66">
        <f>IF('Equipment Information'!C66="","", 'Equipment Information'!C66)</f>
        <v/>
      </c>
      <c r="D66">
        <f>IF('Equipment Information'!D66="","", 'Equipment Information'!D66)</f>
        <v/>
      </c>
      <c r="E66">
        <f>IF(A66="","", IFERROR(VLOOKUP(A66, 'Energized Data'!A:T, 20, FALSE), "N/A"))</f>
        <v/>
      </c>
      <c r="F66">
        <f>IF(A66="","", IFERROR(VLOOKUP(A66, 'Insulation'!A:J, 9, FALSE), "N/A"))</f>
        <v/>
      </c>
      <c r="G66">
        <f>IF(A66="","", IFERROR(VLOOKUP(A66, 'DLRO'!A:I, 8, FALSE), "N/A"))</f>
        <v/>
      </c>
      <c r="H66">
        <f>IF(A66="","", IFERROR(VLOOKUP(A66, 'Torque'!A:I, 8, FALSE), "N/A"))</f>
        <v/>
      </c>
      <c r="I66">
        <f>IF(A66="","", IFERROR(VLOOKUP(A66, 'Infrared'!A:G, 6, FALSE), "N/A"))</f>
        <v/>
      </c>
      <c r="J66">
        <f>IF(A66="","", IFERROR(VLOOKUP(A66, 'Ultrasonic'!A:H, 7, FALSE), "N/A"))</f>
        <v/>
      </c>
      <c r="K66">
        <f>IF(A66="","", IFERROR(VLOOKUP(A66, 'Code Violations'!A:V, 22, FALSE), "N/A"))</f>
        <v/>
      </c>
      <c r="L66">
        <f>IF(A66="","", IF(COUNTIF(E66:K66, "FAIL")&gt;0, "FAIL", "PASS"))</f>
        <v/>
      </c>
    </row>
    <row r="67">
      <c r="A67">
        <f>IF('Equipment Information'!A67="","", 'Equipment Information'!A67)</f>
        <v/>
      </c>
      <c r="B67">
        <f>IF('Equipment Information'!B67="","", 'Equipment Information'!B67)</f>
        <v/>
      </c>
      <c r="C67">
        <f>IF('Equipment Information'!C67="","", 'Equipment Information'!C67)</f>
        <v/>
      </c>
      <c r="D67">
        <f>IF('Equipment Information'!D67="","", 'Equipment Information'!D67)</f>
        <v/>
      </c>
      <c r="E67">
        <f>IF(A67="","", IFERROR(VLOOKUP(A67, 'Energized Data'!A:T, 20, FALSE), "N/A"))</f>
        <v/>
      </c>
      <c r="F67">
        <f>IF(A67="","", IFERROR(VLOOKUP(A67, 'Insulation'!A:J, 9, FALSE), "N/A"))</f>
        <v/>
      </c>
      <c r="G67">
        <f>IF(A67="","", IFERROR(VLOOKUP(A67, 'DLRO'!A:I, 8, FALSE), "N/A"))</f>
        <v/>
      </c>
      <c r="H67">
        <f>IF(A67="","", IFERROR(VLOOKUP(A67, 'Torque'!A:I, 8, FALSE), "N/A"))</f>
        <v/>
      </c>
      <c r="I67">
        <f>IF(A67="","", IFERROR(VLOOKUP(A67, 'Infrared'!A:G, 6, FALSE), "N/A"))</f>
        <v/>
      </c>
      <c r="J67">
        <f>IF(A67="","", IFERROR(VLOOKUP(A67, 'Ultrasonic'!A:H, 7, FALSE), "N/A"))</f>
        <v/>
      </c>
      <c r="K67">
        <f>IF(A67="","", IFERROR(VLOOKUP(A67, 'Code Violations'!A:V, 22, FALSE), "N/A"))</f>
        <v/>
      </c>
      <c r="L67">
        <f>IF(A67="","", IF(COUNTIF(E67:K67, "FAIL")&gt;0, "FAIL", "PASS"))</f>
        <v/>
      </c>
    </row>
    <row r="68">
      <c r="A68">
        <f>IF('Equipment Information'!A68="","", 'Equipment Information'!A68)</f>
        <v/>
      </c>
      <c r="B68">
        <f>IF('Equipment Information'!B68="","", 'Equipment Information'!B68)</f>
        <v/>
      </c>
      <c r="C68">
        <f>IF('Equipment Information'!C68="","", 'Equipment Information'!C68)</f>
        <v/>
      </c>
      <c r="D68">
        <f>IF('Equipment Information'!D68="","", 'Equipment Information'!D68)</f>
        <v/>
      </c>
      <c r="E68">
        <f>IF(A68="","", IFERROR(VLOOKUP(A68, 'Energized Data'!A:T, 20, FALSE), "N/A"))</f>
        <v/>
      </c>
      <c r="F68">
        <f>IF(A68="","", IFERROR(VLOOKUP(A68, 'Insulation'!A:J, 9, FALSE), "N/A"))</f>
        <v/>
      </c>
      <c r="G68">
        <f>IF(A68="","", IFERROR(VLOOKUP(A68, 'DLRO'!A:I, 8, FALSE), "N/A"))</f>
        <v/>
      </c>
      <c r="H68">
        <f>IF(A68="","", IFERROR(VLOOKUP(A68, 'Torque'!A:I, 8, FALSE), "N/A"))</f>
        <v/>
      </c>
      <c r="I68">
        <f>IF(A68="","", IFERROR(VLOOKUP(A68, 'Infrared'!A:G, 6, FALSE), "N/A"))</f>
        <v/>
      </c>
      <c r="J68">
        <f>IF(A68="","", IFERROR(VLOOKUP(A68, 'Ultrasonic'!A:H, 7, FALSE), "N/A"))</f>
        <v/>
      </c>
      <c r="K68">
        <f>IF(A68="","", IFERROR(VLOOKUP(A68, 'Code Violations'!A:V, 22, FALSE), "N/A"))</f>
        <v/>
      </c>
      <c r="L68">
        <f>IF(A68="","", IF(COUNTIF(E68:K68, "FAIL")&gt;0, "FAIL", "PASS"))</f>
        <v/>
      </c>
    </row>
    <row r="69">
      <c r="A69">
        <f>IF('Equipment Information'!A69="","", 'Equipment Information'!A69)</f>
        <v/>
      </c>
      <c r="B69">
        <f>IF('Equipment Information'!B69="","", 'Equipment Information'!B69)</f>
        <v/>
      </c>
      <c r="C69">
        <f>IF('Equipment Information'!C69="","", 'Equipment Information'!C69)</f>
        <v/>
      </c>
      <c r="D69">
        <f>IF('Equipment Information'!D69="","", 'Equipment Information'!D69)</f>
        <v/>
      </c>
      <c r="E69">
        <f>IF(A69="","", IFERROR(VLOOKUP(A69, 'Energized Data'!A:T, 20, FALSE), "N/A"))</f>
        <v/>
      </c>
      <c r="F69">
        <f>IF(A69="","", IFERROR(VLOOKUP(A69, 'Insulation'!A:J, 9, FALSE), "N/A"))</f>
        <v/>
      </c>
      <c r="G69">
        <f>IF(A69="","", IFERROR(VLOOKUP(A69, 'DLRO'!A:I, 8, FALSE), "N/A"))</f>
        <v/>
      </c>
      <c r="H69">
        <f>IF(A69="","", IFERROR(VLOOKUP(A69, 'Torque'!A:I, 8, FALSE), "N/A"))</f>
        <v/>
      </c>
      <c r="I69">
        <f>IF(A69="","", IFERROR(VLOOKUP(A69, 'Infrared'!A:G, 6, FALSE), "N/A"))</f>
        <v/>
      </c>
      <c r="J69">
        <f>IF(A69="","", IFERROR(VLOOKUP(A69, 'Ultrasonic'!A:H, 7, FALSE), "N/A"))</f>
        <v/>
      </c>
      <c r="K69">
        <f>IF(A69="","", IFERROR(VLOOKUP(A69, 'Code Violations'!A:V, 22, FALSE), "N/A"))</f>
        <v/>
      </c>
      <c r="L69">
        <f>IF(A69="","", IF(COUNTIF(E69:K69, "FAIL")&gt;0, "FAIL", "PASS"))</f>
        <v/>
      </c>
    </row>
    <row r="70">
      <c r="A70">
        <f>IF('Equipment Information'!A70="","", 'Equipment Information'!A70)</f>
        <v/>
      </c>
      <c r="B70">
        <f>IF('Equipment Information'!B70="","", 'Equipment Information'!B70)</f>
        <v/>
      </c>
      <c r="C70">
        <f>IF('Equipment Information'!C70="","", 'Equipment Information'!C70)</f>
        <v/>
      </c>
      <c r="D70">
        <f>IF('Equipment Information'!D70="","", 'Equipment Information'!D70)</f>
        <v/>
      </c>
      <c r="E70">
        <f>IF(A70="","", IFERROR(VLOOKUP(A70, 'Energized Data'!A:T, 20, FALSE), "N/A"))</f>
        <v/>
      </c>
      <c r="F70">
        <f>IF(A70="","", IFERROR(VLOOKUP(A70, 'Insulation'!A:J, 9, FALSE), "N/A"))</f>
        <v/>
      </c>
      <c r="G70">
        <f>IF(A70="","", IFERROR(VLOOKUP(A70, 'DLRO'!A:I, 8, FALSE), "N/A"))</f>
        <v/>
      </c>
      <c r="H70">
        <f>IF(A70="","", IFERROR(VLOOKUP(A70, 'Torque'!A:I, 8, FALSE), "N/A"))</f>
        <v/>
      </c>
      <c r="I70">
        <f>IF(A70="","", IFERROR(VLOOKUP(A70, 'Infrared'!A:G, 6, FALSE), "N/A"))</f>
        <v/>
      </c>
      <c r="J70">
        <f>IF(A70="","", IFERROR(VLOOKUP(A70, 'Ultrasonic'!A:H, 7, FALSE), "N/A"))</f>
        <v/>
      </c>
      <c r="K70">
        <f>IF(A70="","", IFERROR(VLOOKUP(A70, 'Code Violations'!A:V, 22, FALSE), "N/A"))</f>
        <v/>
      </c>
      <c r="L70">
        <f>IF(A70="","", IF(COUNTIF(E70:K70, "FAIL")&gt;0, "FAIL", "PASS"))</f>
        <v/>
      </c>
    </row>
    <row r="71">
      <c r="A71">
        <f>IF('Equipment Information'!A71="","", 'Equipment Information'!A71)</f>
        <v/>
      </c>
      <c r="B71">
        <f>IF('Equipment Information'!B71="","", 'Equipment Information'!B71)</f>
        <v/>
      </c>
      <c r="C71">
        <f>IF('Equipment Information'!C71="","", 'Equipment Information'!C71)</f>
        <v/>
      </c>
      <c r="D71">
        <f>IF('Equipment Information'!D71="","", 'Equipment Information'!D71)</f>
        <v/>
      </c>
      <c r="E71">
        <f>IF(A71="","", IFERROR(VLOOKUP(A71, 'Energized Data'!A:T, 20, FALSE), "N/A"))</f>
        <v/>
      </c>
      <c r="F71">
        <f>IF(A71="","", IFERROR(VLOOKUP(A71, 'Insulation'!A:J, 9, FALSE), "N/A"))</f>
        <v/>
      </c>
      <c r="G71">
        <f>IF(A71="","", IFERROR(VLOOKUP(A71, 'DLRO'!A:I, 8, FALSE), "N/A"))</f>
        <v/>
      </c>
      <c r="H71">
        <f>IF(A71="","", IFERROR(VLOOKUP(A71, 'Torque'!A:I, 8, FALSE), "N/A"))</f>
        <v/>
      </c>
      <c r="I71">
        <f>IF(A71="","", IFERROR(VLOOKUP(A71, 'Infrared'!A:G, 6, FALSE), "N/A"))</f>
        <v/>
      </c>
      <c r="J71">
        <f>IF(A71="","", IFERROR(VLOOKUP(A71, 'Ultrasonic'!A:H, 7, FALSE), "N/A"))</f>
        <v/>
      </c>
      <c r="K71">
        <f>IF(A71="","", IFERROR(VLOOKUP(A71, 'Code Violations'!A:V, 22, FALSE), "N/A"))</f>
        <v/>
      </c>
      <c r="L71">
        <f>IF(A71="","", IF(COUNTIF(E71:K71, "FAIL")&gt;0, "FAIL", "PASS"))</f>
        <v/>
      </c>
    </row>
    <row r="72">
      <c r="A72">
        <f>IF('Equipment Information'!A72="","", 'Equipment Information'!A72)</f>
        <v/>
      </c>
      <c r="B72">
        <f>IF('Equipment Information'!B72="","", 'Equipment Information'!B72)</f>
        <v/>
      </c>
      <c r="C72">
        <f>IF('Equipment Information'!C72="","", 'Equipment Information'!C72)</f>
        <v/>
      </c>
      <c r="D72">
        <f>IF('Equipment Information'!D72="","", 'Equipment Information'!D72)</f>
        <v/>
      </c>
      <c r="E72">
        <f>IF(A72="","", IFERROR(VLOOKUP(A72, 'Energized Data'!A:T, 20, FALSE), "N/A"))</f>
        <v/>
      </c>
      <c r="F72">
        <f>IF(A72="","", IFERROR(VLOOKUP(A72, 'Insulation'!A:J, 9, FALSE), "N/A"))</f>
        <v/>
      </c>
      <c r="G72">
        <f>IF(A72="","", IFERROR(VLOOKUP(A72, 'DLRO'!A:I, 8, FALSE), "N/A"))</f>
        <v/>
      </c>
      <c r="H72">
        <f>IF(A72="","", IFERROR(VLOOKUP(A72, 'Torque'!A:I, 8, FALSE), "N/A"))</f>
        <v/>
      </c>
      <c r="I72">
        <f>IF(A72="","", IFERROR(VLOOKUP(A72, 'Infrared'!A:G, 6, FALSE), "N/A"))</f>
        <v/>
      </c>
      <c r="J72">
        <f>IF(A72="","", IFERROR(VLOOKUP(A72, 'Ultrasonic'!A:H, 7, FALSE), "N/A"))</f>
        <v/>
      </c>
      <c r="K72">
        <f>IF(A72="","", IFERROR(VLOOKUP(A72, 'Code Violations'!A:V, 22, FALSE), "N/A"))</f>
        <v/>
      </c>
      <c r="L72">
        <f>IF(A72="","", IF(COUNTIF(E72:K72, "FAIL")&gt;0, "FAIL", "PASS"))</f>
        <v/>
      </c>
    </row>
    <row r="73">
      <c r="A73">
        <f>IF('Equipment Information'!A73="","", 'Equipment Information'!A73)</f>
        <v/>
      </c>
      <c r="B73">
        <f>IF('Equipment Information'!B73="","", 'Equipment Information'!B73)</f>
        <v/>
      </c>
      <c r="C73">
        <f>IF('Equipment Information'!C73="","", 'Equipment Information'!C73)</f>
        <v/>
      </c>
      <c r="D73">
        <f>IF('Equipment Information'!D73="","", 'Equipment Information'!D73)</f>
        <v/>
      </c>
      <c r="E73">
        <f>IF(A73="","", IFERROR(VLOOKUP(A73, 'Energized Data'!A:T, 20, FALSE), "N/A"))</f>
        <v/>
      </c>
      <c r="F73">
        <f>IF(A73="","", IFERROR(VLOOKUP(A73, 'Insulation'!A:J, 9, FALSE), "N/A"))</f>
        <v/>
      </c>
      <c r="G73">
        <f>IF(A73="","", IFERROR(VLOOKUP(A73, 'DLRO'!A:I, 8, FALSE), "N/A"))</f>
        <v/>
      </c>
      <c r="H73">
        <f>IF(A73="","", IFERROR(VLOOKUP(A73, 'Torque'!A:I, 8, FALSE), "N/A"))</f>
        <v/>
      </c>
      <c r="I73">
        <f>IF(A73="","", IFERROR(VLOOKUP(A73, 'Infrared'!A:G, 6, FALSE), "N/A"))</f>
        <v/>
      </c>
      <c r="J73">
        <f>IF(A73="","", IFERROR(VLOOKUP(A73, 'Ultrasonic'!A:H, 7, FALSE), "N/A"))</f>
        <v/>
      </c>
      <c r="K73">
        <f>IF(A73="","", IFERROR(VLOOKUP(A73, 'Code Violations'!A:V, 22, FALSE), "N/A"))</f>
        <v/>
      </c>
      <c r="L73">
        <f>IF(A73="","", IF(COUNTIF(E73:K73, "FAIL")&gt;0, "FAIL", "PASS"))</f>
        <v/>
      </c>
    </row>
    <row r="74">
      <c r="A74">
        <f>IF('Equipment Information'!A74="","", 'Equipment Information'!A74)</f>
        <v/>
      </c>
      <c r="B74">
        <f>IF('Equipment Information'!B74="","", 'Equipment Information'!B74)</f>
        <v/>
      </c>
      <c r="C74">
        <f>IF('Equipment Information'!C74="","", 'Equipment Information'!C74)</f>
        <v/>
      </c>
      <c r="D74">
        <f>IF('Equipment Information'!D74="","", 'Equipment Information'!D74)</f>
        <v/>
      </c>
      <c r="E74">
        <f>IF(A74="","", IFERROR(VLOOKUP(A74, 'Energized Data'!A:T, 20, FALSE), "N/A"))</f>
        <v/>
      </c>
      <c r="F74">
        <f>IF(A74="","", IFERROR(VLOOKUP(A74, 'Insulation'!A:J, 9, FALSE), "N/A"))</f>
        <v/>
      </c>
      <c r="G74">
        <f>IF(A74="","", IFERROR(VLOOKUP(A74, 'DLRO'!A:I, 8, FALSE), "N/A"))</f>
        <v/>
      </c>
      <c r="H74">
        <f>IF(A74="","", IFERROR(VLOOKUP(A74, 'Torque'!A:I, 8, FALSE), "N/A"))</f>
        <v/>
      </c>
      <c r="I74">
        <f>IF(A74="","", IFERROR(VLOOKUP(A74, 'Infrared'!A:G, 6, FALSE), "N/A"))</f>
        <v/>
      </c>
      <c r="J74">
        <f>IF(A74="","", IFERROR(VLOOKUP(A74, 'Ultrasonic'!A:H, 7, FALSE), "N/A"))</f>
        <v/>
      </c>
      <c r="K74">
        <f>IF(A74="","", IFERROR(VLOOKUP(A74, 'Code Violations'!A:V, 22, FALSE), "N/A"))</f>
        <v/>
      </c>
      <c r="L74">
        <f>IF(A74="","", IF(COUNTIF(E74:K74, "FAIL")&gt;0, "FAIL", "PASS"))</f>
        <v/>
      </c>
    </row>
    <row r="75">
      <c r="A75">
        <f>IF('Equipment Information'!A75="","", 'Equipment Information'!A75)</f>
        <v/>
      </c>
      <c r="B75">
        <f>IF('Equipment Information'!B75="","", 'Equipment Information'!B75)</f>
        <v/>
      </c>
      <c r="C75">
        <f>IF('Equipment Information'!C75="","", 'Equipment Information'!C75)</f>
        <v/>
      </c>
      <c r="D75">
        <f>IF('Equipment Information'!D75="","", 'Equipment Information'!D75)</f>
        <v/>
      </c>
      <c r="E75">
        <f>IF(A75="","", IFERROR(VLOOKUP(A75, 'Energized Data'!A:T, 20, FALSE), "N/A"))</f>
        <v/>
      </c>
      <c r="F75">
        <f>IF(A75="","", IFERROR(VLOOKUP(A75, 'Insulation'!A:J, 9, FALSE), "N/A"))</f>
        <v/>
      </c>
      <c r="G75">
        <f>IF(A75="","", IFERROR(VLOOKUP(A75, 'DLRO'!A:I, 8, FALSE), "N/A"))</f>
        <v/>
      </c>
      <c r="H75">
        <f>IF(A75="","", IFERROR(VLOOKUP(A75, 'Torque'!A:I, 8, FALSE), "N/A"))</f>
        <v/>
      </c>
      <c r="I75">
        <f>IF(A75="","", IFERROR(VLOOKUP(A75, 'Infrared'!A:G, 6, FALSE), "N/A"))</f>
        <v/>
      </c>
      <c r="J75">
        <f>IF(A75="","", IFERROR(VLOOKUP(A75, 'Ultrasonic'!A:H, 7, FALSE), "N/A"))</f>
        <v/>
      </c>
      <c r="K75">
        <f>IF(A75="","", IFERROR(VLOOKUP(A75, 'Code Violations'!A:V, 22, FALSE), "N/A"))</f>
        <v/>
      </c>
      <c r="L75">
        <f>IF(A75="","", IF(COUNTIF(E75:K75, "FAIL")&gt;0, "FAIL", "PASS"))</f>
        <v/>
      </c>
    </row>
    <row r="76">
      <c r="A76">
        <f>IF('Equipment Information'!A76="","", 'Equipment Information'!A76)</f>
        <v/>
      </c>
      <c r="B76">
        <f>IF('Equipment Information'!B76="","", 'Equipment Information'!B76)</f>
        <v/>
      </c>
      <c r="C76">
        <f>IF('Equipment Information'!C76="","", 'Equipment Information'!C76)</f>
        <v/>
      </c>
      <c r="D76">
        <f>IF('Equipment Information'!D76="","", 'Equipment Information'!D76)</f>
        <v/>
      </c>
      <c r="E76">
        <f>IF(A76="","", IFERROR(VLOOKUP(A76, 'Energized Data'!A:T, 20, FALSE), "N/A"))</f>
        <v/>
      </c>
      <c r="F76">
        <f>IF(A76="","", IFERROR(VLOOKUP(A76, 'Insulation'!A:J, 9, FALSE), "N/A"))</f>
        <v/>
      </c>
      <c r="G76">
        <f>IF(A76="","", IFERROR(VLOOKUP(A76, 'DLRO'!A:I, 8, FALSE), "N/A"))</f>
        <v/>
      </c>
      <c r="H76">
        <f>IF(A76="","", IFERROR(VLOOKUP(A76, 'Torque'!A:I, 8, FALSE), "N/A"))</f>
        <v/>
      </c>
      <c r="I76">
        <f>IF(A76="","", IFERROR(VLOOKUP(A76, 'Infrared'!A:G, 6, FALSE), "N/A"))</f>
        <v/>
      </c>
      <c r="J76">
        <f>IF(A76="","", IFERROR(VLOOKUP(A76, 'Ultrasonic'!A:H, 7, FALSE), "N/A"))</f>
        <v/>
      </c>
      <c r="K76">
        <f>IF(A76="","", IFERROR(VLOOKUP(A76, 'Code Violations'!A:V, 22, FALSE), "N/A"))</f>
        <v/>
      </c>
      <c r="L76">
        <f>IF(A76="","", IF(COUNTIF(E76:K76, "FAIL")&gt;0, "FAIL", "PASS"))</f>
        <v/>
      </c>
    </row>
    <row r="77">
      <c r="A77">
        <f>IF('Equipment Information'!A77="","", 'Equipment Information'!A77)</f>
        <v/>
      </c>
      <c r="B77">
        <f>IF('Equipment Information'!B77="","", 'Equipment Information'!B77)</f>
        <v/>
      </c>
      <c r="C77">
        <f>IF('Equipment Information'!C77="","", 'Equipment Information'!C77)</f>
        <v/>
      </c>
      <c r="D77">
        <f>IF('Equipment Information'!D77="","", 'Equipment Information'!D77)</f>
        <v/>
      </c>
      <c r="E77">
        <f>IF(A77="","", IFERROR(VLOOKUP(A77, 'Energized Data'!A:T, 20, FALSE), "N/A"))</f>
        <v/>
      </c>
      <c r="F77">
        <f>IF(A77="","", IFERROR(VLOOKUP(A77, 'Insulation'!A:J, 9, FALSE), "N/A"))</f>
        <v/>
      </c>
      <c r="G77">
        <f>IF(A77="","", IFERROR(VLOOKUP(A77, 'DLRO'!A:I, 8, FALSE), "N/A"))</f>
        <v/>
      </c>
      <c r="H77">
        <f>IF(A77="","", IFERROR(VLOOKUP(A77, 'Torque'!A:I, 8, FALSE), "N/A"))</f>
        <v/>
      </c>
      <c r="I77">
        <f>IF(A77="","", IFERROR(VLOOKUP(A77, 'Infrared'!A:G, 6, FALSE), "N/A"))</f>
        <v/>
      </c>
      <c r="J77">
        <f>IF(A77="","", IFERROR(VLOOKUP(A77, 'Ultrasonic'!A:H, 7, FALSE), "N/A"))</f>
        <v/>
      </c>
      <c r="K77">
        <f>IF(A77="","", IFERROR(VLOOKUP(A77, 'Code Violations'!A:V, 22, FALSE), "N/A"))</f>
        <v/>
      </c>
      <c r="L77">
        <f>IF(A77="","", IF(COUNTIF(E77:K77, "FAIL")&gt;0, "FAIL", "PASS"))</f>
        <v/>
      </c>
    </row>
    <row r="78">
      <c r="A78">
        <f>IF('Equipment Information'!A78="","", 'Equipment Information'!A78)</f>
        <v/>
      </c>
      <c r="B78">
        <f>IF('Equipment Information'!B78="","", 'Equipment Information'!B78)</f>
        <v/>
      </c>
      <c r="C78">
        <f>IF('Equipment Information'!C78="","", 'Equipment Information'!C78)</f>
        <v/>
      </c>
      <c r="D78">
        <f>IF('Equipment Information'!D78="","", 'Equipment Information'!D78)</f>
        <v/>
      </c>
      <c r="E78">
        <f>IF(A78="","", IFERROR(VLOOKUP(A78, 'Energized Data'!A:T, 20, FALSE), "N/A"))</f>
        <v/>
      </c>
      <c r="F78">
        <f>IF(A78="","", IFERROR(VLOOKUP(A78, 'Insulation'!A:J, 9, FALSE), "N/A"))</f>
        <v/>
      </c>
      <c r="G78">
        <f>IF(A78="","", IFERROR(VLOOKUP(A78, 'DLRO'!A:I, 8, FALSE), "N/A"))</f>
        <v/>
      </c>
      <c r="H78">
        <f>IF(A78="","", IFERROR(VLOOKUP(A78, 'Torque'!A:I, 8, FALSE), "N/A"))</f>
        <v/>
      </c>
      <c r="I78">
        <f>IF(A78="","", IFERROR(VLOOKUP(A78, 'Infrared'!A:G, 6, FALSE), "N/A"))</f>
        <v/>
      </c>
      <c r="J78">
        <f>IF(A78="","", IFERROR(VLOOKUP(A78, 'Ultrasonic'!A:H, 7, FALSE), "N/A"))</f>
        <v/>
      </c>
      <c r="K78">
        <f>IF(A78="","", IFERROR(VLOOKUP(A78, 'Code Violations'!A:V, 22, FALSE), "N/A"))</f>
        <v/>
      </c>
      <c r="L78">
        <f>IF(A78="","", IF(COUNTIF(E78:K78, "FAIL")&gt;0, "FAIL", "PASS"))</f>
        <v/>
      </c>
    </row>
    <row r="79">
      <c r="A79">
        <f>IF('Equipment Information'!A79="","", 'Equipment Information'!A79)</f>
        <v/>
      </c>
      <c r="B79">
        <f>IF('Equipment Information'!B79="","", 'Equipment Information'!B79)</f>
        <v/>
      </c>
      <c r="C79">
        <f>IF('Equipment Information'!C79="","", 'Equipment Information'!C79)</f>
        <v/>
      </c>
      <c r="D79">
        <f>IF('Equipment Information'!D79="","", 'Equipment Information'!D79)</f>
        <v/>
      </c>
      <c r="E79">
        <f>IF(A79="","", IFERROR(VLOOKUP(A79, 'Energized Data'!A:T, 20, FALSE), "N/A"))</f>
        <v/>
      </c>
      <c r="F79">
        <f>IF(A79="","", IFERROR(VLOOKUP(A79, 'Insulation'!A:J, 9, FALSE), "N/A"))</f>
        <v/>
      </c>
      <c r="G79">
        <f>IF(A79="","", IFERROR(VLOOKUP(A79, 'DLRO'!A:I, 8, FALSE), "N/A"))</f>
        <v/>
      </c>
      <c r="H79">
        <f>IF(A79="","", IFERROR(VLOOKUP(A79, 'Torque'!A:I, 8, FALSE), "N/A"))</f>
        <v/>
      </c>
      <c r="I79">
        <f>IF(A79="","", IFERROR(VLOOKUP(A79, 'Infrared'!A:G, 6, FALSE), "N/A"))</f>
        <v/>
      </c>
      <c r="J79">
        <f>IF(A79="","", IFERROR(VLOOKUP(A79, 'Ultrasonic'!A:H, 7, FALSE), "N/A"))</f>
        <v/>
      </c>
      <c r="K79">
        <f>IF(A79="","", IFERROR(VLOOKUP(A79, 'Code Violations'!A:V, 22, FALSE), "N/A"))</f>
        <v/>
      </c>
      <c r="L79">
        <f>IF(A79="","", IF(COUNTIF(E79:K79, "FAIL")&gt;0, "FAIL", "PASS"))</f>
        <v/>
      </c>
    </row>
    <row r="80">
      <c r="A80">
        <f>IF('Equipment Information'!A80="","", 'Equipment Information'!A80)</f>
        <v/>
      </c>
      <c r="B80">
        <f>IF('Equipment Information'!B80="","", 'Equipment Information'!B80)</f>
        <v/>
      </c>
      <c r="C80">
        <f>IF('Equipment Information'!C80="","", 'Equipment Information'!C80)</f>
        <v/>
      </c>
      <c r="D80">
        <f>IF('Equipment Information'!D80="","", 'Equipment Information'!D80)</f>
        <v/>
      </c>
      <c r="E80">
        <f>IF(A80="","", IFERROR(VLOOKUP(A80, 'Energized Data'!A:T, 20, FALSE), "N/A"))</f>
        <v/>
      </c>
      <c r="F80">
        <f>IF(A80="","", IFERROR(VLOOKUP(A80, 'Insulation'!A:J, 9, FALSE), "N/A"))</f>
        <v/>
      </c>
      <c r="G80">
        <f>IF(A80="","", IFERROR(VLOOKUP(A80, 'DLRO'!A:I, 8, FALSE), "N/A"))</f>
        <v/>
      </c>
      <c r="H80">
        <f>IF(A80="","", IFERROR(VLOOKUP(A80, 'Torque'!A:I, 8, FALSE), "N/A"))</f>
        <v/>
      </c>
      <c r="I80">
        <f>IF(A80="","", IFERROR(VLOOKUP(A80, 'Infrared'!A:G, 6, FALSE), "N/A"))</f>
        <v/>
      </c>
      <c r="J80">
        <f>IF(A80="","", IFERROR(VLOOKUP(A80, 'Ultrasonic'!A:H, 7, FALSE), "N/A"))</f>
        <v/>
      </c>
      <c r="K80">
        <f>IF(A80="","", IFERROR(VLOOKUP(A80, 'Code Violations'!A:V, 22, FALSE), "N/A"))</f>
        <v/>
      </c>
      <c r="L80">
        <f>IF(A80="","", IF(COUNTIF(E80:K80, "FAIL")&gt;0, "FAIL", "PASS"))</f>
        <v/>
      </c>
    </row>
    <row r="81">
      <c r="A81">
        <f>IF('Equipment Information'!A81="","", 'Equipment Information'!A81)</f>
        <v/>
      </c>
      <c r="B81">
        <f>IF('Equipment Information'!B81="","", 'Equipment Information'!B81)</f>
        <v/>
      </c>
      <c r="C81">
        <f>IF('Equipment Information'!C81="","", 'Equipment Information'!C81)</f>
        <v/>
      </c>
      <c r="D81">
        <f>IF('Equipment Information'!D81="","", 'Equipment Information'!D81)</f>
        <v/>
      </c>
      <c r="E81">
        <f>IF(A81="","", IFERROR(VLOOKUP(A81, 'Energized Data'!A:T, 20, FALSE), "N/A"))</f>
        <v/>
      </c>
      <c r="F81">
        <f>IF(A81="","", IFERROR(VLOOKUP(A81, 'Insulation'!A:J, 9, FALSE), "N/A"))</f>
        <v/>
      </c>
      <c r="G81">
        <f>IF(A81="","", IFERROR(VLOOKUP(A81, 'DLRO'!A:I, 8, FALSE), "N/A"))</f>
        <v/>
      </c>
      <c r="H81">
        <f>IF(A81="","", IFERROR(VLOOKUP(A81, 'Torque'!A:I, 8, FALSE), "N/A"))</f>
        <v/>
      </c>
      <c r="I81">
        <f>IF(A81="","", IFERROR(VLOOKUP(A81, 'Infrared'!A:G, 6, FALSE), "N/A"))</f>
        <v/>
      </c>
      <c r="J81">
        <f>IF(A81="","", IFERROR(VLOOKUP(A81, 'Ultrasonic'!A:H, 7, FALSE), "N/A"))</f>
        <v/>
      </c>
      <c r="K81">
        <f>IF(A81="","", IFERROR(VLOOKUP(A81, 'Code Violations'!A:V, 22, FALSE), "N/A"))</f>
        <v/>
      </c>
      <c r="L81">
        <f>IF(A81="","", IF(COUNTIF(E81:K81, "FAIL")&gt;0, "FAIL", "PASS"))</f>
        <v/>
      </c>
    </row>
    <row r="82">
      <c r="A82">
        <f>IF('Equipment Information'!A82="","", 'Equipment Information'!A82)</f>
        <v/>
      </c>
      <c r="B82">
        <f>IF('Equipment Information'!B82="","", 'Equipment Information'!B82)</f>
        <v/>
      </c>
      <c r="C82">
        <f>IF('Equipment Information'!C82="","", 'Equipment Information'!C82)</f>
        <v/>
      </c>
      <c r="D82">
        <f>IF('Equipment Information'!D82="","", 'Equipment Information'!D82)</f>
        <v/>
      </c>
      <c r="E82">
        <f>IF(A82="","", IFERROR(VLOOKUP(A82, 'Energized Data'!A:T, 20, FALSE), "N/A"))</f>
        <v/>
      </c>
      <c r="F82">
        <f>IF(A82="","", IFERROR(VLOOKUP(A82, 'Insulation'!A:J, 9, FALSE), "N/A"))</f>
        <v/>
      </c>
      <c r="G82">
        <f>IF(A82="","", IFERROR(VLOOKUP(A82, 'DLRO'!A:I, 8, FALSE), "N/A"))</f>
        <v/>
      </c>
      <c r="H82">
        <f>IF(A82="","", IFERROR(VLOOKUP(A82, 'Torque'!A:I, 8, FALSE), "N/A"))</f>
        <v/>
      </c>
      <c r="I82">
        <f>IF(A82="","", IFERROR(VLOOKUP(A82, 'Infrared'!A:G, 6, FALSE), "N/A"))</f>
        <v/>
      </c>
      <c r="J82">
        <f>IF(A82="","", IFERROR(VLOOKUP(A82, 'Ultrasonic'!A:H, 7, FALSE), "N/A"))</f>
        <v/>
      </c>
      <c r="K82">
        <f>IF(A82="","", IFERROR(VLOOKUP(A82, 'Code Violations'!A:V, 22, FALSE), "N/A"))</f>
        <v/>
      </c>
      <c r="L82">
        <f>IF(A82="","", IF(COUNTIF(E82:K82, "FAIL")&gt;0, "FAIL", "PASS"))</f>
        <v/>
      </c>
    </row>
    <row r="83">
      <c r="A83">
        <f>IF('Equipment Information'!A83="","", 'Equipment Information'!A83)</f>
        <v/>
      </c>
      <c r="B83">
        <f>IF('Equipment Information'!B83="","", 'Equipment Information'!B83)</f>
        <v/>
      </c>
      <c r="C83">
        <f>IF('Equipment Information'!C83="","", 'Equipment Information'!C83)</f>
        <v/>
      </c>
      <c r="D83">
        <f>IF('Equipment Information'!D83="","", 'Equipment Information'!D83)</f>
        <v/>
      </c>
      <c r="E83">
        <f>IF(A83="","", IFERROR(VLOOKUP(A83, 'Energized Data'!A:T, 20, FALSE), "N/A"))</f>
        <v/>
      </c>
      <c r="F83">
        <f>IF(A83="","", IFERROR(VLOOKUP(A83, 'Insulation'!A:J, 9, FALSE), "N/A"))</f>
        <v/>
      </c>
      <c r="G83">
        <f>IF(A83="","", IFERROR(VLOOKUP(A83, 'DLRO'!A:I, 8, FALSE), "N/A"))</f>
        <v/>
      </c>
      <c r="H83">
        <f>IF(A83="","", IFERROR(VLOOKUP(A83, 'Torque'!A:I, 8, FALSE), "N/A"))</f>
        <v/>
      </c>
      <c r="I83">
        <f>IF(A83="","", IFERROR(VLOOKUP(A83, 'Infrared'!A:G, 6, FALSE), "N/A"))</f>
        <v/>
      </c>
      <c r="J83">
        <f>IF(A83="","", IFERROR(VLOOKUP(A83, 'Ultrasonic'!A:H, 7, FALSE), "N/A"))</f>
        <v/>
      </c>
      <c r="K83">
        <f>IF(A83="","", IFERROR(VLOOKUP(A83, 'Code Violations'!A:V, 22, FALSE), "N/A"))</f>
        <v/>
      </c>
      <c r="L83">
        <f>IF(A83="","", IF(COUNTIF(E83:K83, "FAIL")&gt;0, "FAIL", "PASS"))</f>
        <v/>
      </c>
    </row>
    <row r="84">
      <c r="A84">
        <f>IF('Equipment Information'!A84="","", 'Equipment Information'!A84)</f>
        <v/>
      </c>
      <c r="B84">
        <f>IF('Equipment Information'!B84="","", 'Equipment Information'!B84)</f>
        <v/>
      </c>
      <c r="C84">
        <f>IF('Equipment Information'!C84="","", 'Equipment Information'!C84)</f>
        <v/>
      </c>
      <c r="D84">
        <f>IF('Equipment Information'!D84="","", 'Equipment Information'!D84)</f>
        <v/>
      </c>
      <c r="E84">
        <f>IF(A84="","", IFERROR(VLOOKUP(A84, 'Energized Data'!A:T, 20, FALSE), "N/A"))</f>
        <v/>
      </c>
      <c r="F84">
        <f>IF(A84="","", IFERROR(VLOOKUP(A84, 'Insulation'!A:J, 9, FALSE), "N/A"))</f>
        <v/>
      </c>
      <c r="G84">
        <f>IF(A84="","", IFERROR(VLOOKUP(A84, 'DLRO'!A:I, 8, FALSE), "N/A"))</f>
        <v/>
      </c>
      <c r="H84">
        <f>IF(A84="","", IFERROR(VLOOKUP(A84, 'Torque'!A:I, 8, FALSE), "N/A"))</f>
        <v/>
      </c>
      <c r="I84">
        <f>IF(A84="","", IFERROR(VLOOKUP(A84, 'Infrared'!A:G, 6, FALSE), "N/A"))</f>
        <v/>
      </c>
      <c r="J84">
        <f>IF(A84="","", IFERROR(VLOOKUP(A84, 'Ultrasonic'!A:H, 7, FALSE), "N/A"))</f>
        <v/>
      </c>
      <c r="K84">
        <f>IF(A84="","", IFERROR(VLOOKUP(A84, 'Code Violations'!A:V, 22, FALSE), "N/A"))</f>
        <v/>
      </c>
      <c r="L84">
        <f>IF(A84="","", IF(COUNTIF(E84:K84, "FAIL")&gt;0, "FAIL", "PASS"))</f>
        <v/>
      </c>
    </row>
    <row r="85">
      <c r="A85">
        <f>IF('Equipment Information'!A85="","", 'Equipment Information'!A85)</f>
        <v/>
      </c>
      <c r="B85">
        <f>IF('Equipment Information'!B85="","", 'Equipment Information'!B85)</f>
        <v/>
      </c>
      <c r="C85">
        <f>IF('Equipment Information'!C85="","", 'Equipment Information'!C85)</f>
        <v/>
      </c>
      <c r="D85">
        <f>IF('Equipment Information'!D85="","", 'Equipment Information'!D85)</f>
        <v/>
      </c>
      <c r="E85">
        <f>IF(A85="","", IFERROR(VLOOKUP(A85, 'Energized Data'!A:T, 20, FALSE), "N/A"))</f>
        <v/>
      </c>
      <c r="F85">
        <f>IF(A85="","", IFERROR(VLOOKUP(A85, 'Insulation'!A:J, 9, FALSE), "N/A"))</f>
        <v/>
      </c>
      <c r="G85">
        <f>IF(A85="","", IFERROR(VLOOKUP(A85, 'DLRO'!A:I, 8, FALSE), "N/A"))</f>
        <v/>
      </c>
      <c r="H85">
        <f>IF(A85="","", IFERROR(VLOOKUP(A85, 'Torque'!A:I, 8, FALSE), "N/A"))</f>
        <v/>
      </c>
      <c r="I85">
        <f>IF(A85="","", IFERROR(VLOOKUP(A85, 'Infrared'!A:G, 6, FALSE), "N/A"))</f>
        <v/>
      </c>
      <c r="J85">
        <f>IF(A85="","", IFERROR(VLOOKUP(A85, 'Ultrasonic'!A:H, 7, FALSE), "N/A"))</f>
        <v/>
      </c>
      <c r="K85">
        <f>IF(A85="","", IFERROR(VLOOKUP(A85, 'Code Violations'!A:V, 22, FALSE), "N/A"))</f>
        <v/>
      </c>
      <c r="L85">
        <f>IF(A85="","", IF(COUNTIF(E85:K85, "FAIL")&gt;0, "FAIL", "PASS"))</f>
        <v/>
      </c>
    </row>
    <row r="86">
      <c r="A86">
        <f>IF('Equipment Information'!A86="","", 'Equipment Information'!A86)</f>
        <v/>
      </c>
      <c r="B86">
        <f>IF('Equipment Information'!B86="","", 'Equipment Information'!B86)</f>
        <v/>
      </c>
      <c r="C86">
        <f>IF('Equipment Information'!C86="","", 'Equipment Information'!C86)</f>
        <v/>
      </c>
      <c r="D86">
        <f>IF('Equipment Information'!D86="","", 'Equipment Information'!D86)</f>
        <v/>
      </c>
      <c r="E86">
        <f>IF(A86="","", IFERROR(VLOOKUP(A86, 'Energized Data'!A:T, 20, FALSE), "N/A"))</f>
        <v/>
      </c>
      <c r="F86">
        <f>IF(A86="","", IFERROR(VLOOKUP(A86, 'Insulation'!A:J, 9, FALSE), "N/A"))</f>
        <v/>
      </c>
      <c r="G86">
        <f>IF(A86="","", IFERROR(VLOOKUP(A86, 'DLRO'!A:I, 8, FALSE), "N/A"))</f>
        <v/>
      </c>
      <c r="H86">
        <f>IF(A86="","", IFERROR(VLOOKUP(A86, 'Torque'!A:I, 8, FALSE), "N/A"))</f>
        <v/>
      </c>
      <c r="I86">
        <f>IF(A86="","", IFERROR(VLOOKUP(A86, 'Infrared'!A:G, 6, FALSE), "N/A"))</f>
        <v/>
      </c>
      <c r="J86">
        <f>IF(A86="","", IFERROR(VLOOKUP(A86, 'Ultrasonic'!A:H, 7, FALSE), "N/A"))</f>
        <v/>
      </c>
      <c r="K86">
        <f>IF(A86="","", IFERROR(VLOOKUP(A86, 'Code Violations'!A:V, 22, FALSE), "N/A"))</f>
        <v/>
      </c>
      <c r="L86">
        <f>IF(A86="","", IF(COUNTIF(E86:K86, "FAIL")&gt;0, "FAIL", "PASS"))</f>
        <v/>
      </c>
    </row>
    <row r="87">
      <c r="A87">
        <f>IF('Equipment Information'!A87="","", 'Equipment Information'!A87)</f>
        <v/>
      </c>
      <c r="B87">
        <f>IF('Equipment Information'!B87="","", 'Equipment Information'!B87)</f>
        <v/>
      </c>
      <c r="C87">
        <f>IF('Equipment Information'!C87="","", 'Equipment Information'!C87)</f>
        <v/>
      </c>
      <c r="D87">
        <f>IF('Equipment Information'!D87="","", 'Equipment Information'!D87)</f>
        <v/>
      </c>
      <c r="E87">
        <f>IF(A87="","", IFERROR(VLOOKUP(A87, 'Energized Data'!A:T, 20, FALSE), "N/A"))</f>
        <v/>
      </c>
      <c r="F87">
        <f>IF(A87="","", IFERROR(VLOOKUP(A87, 'Insulation'!A:J, 9, FALSE), "N/A"))</f>
        <v/>
      </c>
      <c r="G87">
        <f>IF(A87="","", IFERROR(VLOOKUP(A87, 'DLRO'!A:I, 8, FALSE), "N/A"))</f>
        <v/>
      </c>
      <c r="H87">
        <f>IF(A87="","", IFERROR(VLOOKUP(A87, 'Torque'!A:I, 8, FALSE), "N/A"))</f>
        <v/>
      </c>
      <c r="I87">
        <f>IF(A87="","", IFERROR(VLOOKUP(A87, 'Infrared'!A:G, 6, FALSE), "N/A"))</f>
        <v/>
      </c>
      <c r="J87">
        <f>IF(A87="","", IFERROR(VLOOKUP(A87, 'Ultrasonic'!A:H, 7, FALSE), "N/A"))</f>
        <v/>
      </c>
      <c r="K87">
        <f>IF(A87="","", IFERROR(VLOOKUP(A87, 'Code Violations'!A:V, 22, FALSE), "N/A"))</f>
        <v/>
      </c>
      <c r="L87">
        <f>IF(A87="","", IF(COUNTIF(E87:K87, "FAIL")&gt;0, "FAIL", "PASS"))</f>
        <v/>
      </c>
    </row>
    <row r="88">
      <c r="A88">
        <f>IF('Equipment Information'!A88="","", 'Equipment Information'!A88)</f>
        <v/>
      </c>
      <c r="B88">
        <f>IF('Equipment Information'!B88="","", 'Equipment Information'!B88)</f>
        <v/>
      </c>
      <c r="C88">
        <f>IF('Equipment Information'!C88="","", 'Equipment Information'!C88)</f>
        <v/>
      </c>
      <c r="D88">
        <f>IF('Equipment Information'!D88="","", 'Equipment Information'!D88)</f>
        <v/>
      </c>
      <c r="E88">
        <f>IF(A88="","", IFERROR(VLOOKUP(A88, 'Energized Data'!A:T, 20, FALSE), "N/A"))</f>
        <v/>
      </c>
      <c r="F88">
        <f>IF(A88="","", IFERROR(VLOOKUP(A88, 'Insulation'!A:J, 9, FALSE), "N/A"))</f>
        <v/>
      </c>
      <c r="G88">
        <f>IF(A88="","", IFERROR(VLOOKUP(A88, 'DLRO'!A:I, 8, FALSE), "N/A"))</f>
        <v/>
      </c>
      <c r="H88">
        <f>IF(A88="","", IFERROR(VLOOKUP(A88, 'Torque'!A:I, 8, FALSE), "N/A"))</f>
        <v/>
      </c>
      <c r="I88">
        <f>IF(A88="","", IFERROR(VLOOKUP(A88, 'Infrared'!A:G, 6, FALSE), "N/A"))</f>
        <v/>
      </c>
      <c r="J88">
        <f>IF(A88="","", IFERROR(VLOOKUP(A88, 'Ultrasonic'!A:H, 7, FALSE), "N/A"))</f>
        <v/>
      </c>
      <c r="K88">
        <f>IF(A88="","", IFERROR(VLOOKUP(A88, 'Code Violations'!A:V, 22, FALSE), "N/A"))</f>
        <v/>
      </c>
      <c r="L88">
        <f>IF(A88="","", IF(COUNTIF(E88:K88, "FAIL")&gt;0, "FAIL", "PASS"))</f>
        <v/>
      </c>
    </row>
    <row r="89">
      <c r="A89">
        <f>IF('Equipment Information'!A89="","", 'Equipment Information'!A89)</f>
        <v/>
      </c>
      <c r="B89">
        <f>IF('Equipment Information'!B89="","", 'Equipment Information'!B89)</f>
        <v/>
      </c>
      <c r="C89">
        <f>IF('Equipment Information'!C89="","", 'Equipment Information'!C89)</f>
        <v/>
      </c>
      <c r="D89">
        <f>IF('Equipment Information'!D89="","", 'Equipment Information'!D89)</f>
        <v/>
      </c>
      <c r="E89">
        <f>IF(A89="","", IFERROR(VLOOKUP(A89, 'Energized Data'!A:T, 20, FALSE), "N/A"))</f>
        <v/>
      </c>
      <c r="F89">
        <f>IF(A89="","", IFERROR(VLOOKUP(A89, 'Insulation'!A:J, 9, FALSE), "N/A"))</f>
        <v/>
      </c>
      <c r="G89">
        <f>IF(A89="","", IFERROR(VLOOKUP(A89, 'DLRO'!A:I, 8, FALSE), "N/A"))</f>
        <v/>
      </c>
      <c r="H89">
        <f>IF(A89="","", IFERROR(VLOOKUP(A89, 'Torque'!A:I, 8, FALSE), "N/A"))</f>
        <v/>
      </c>
      <c r="I89">
        <f>IF(A89="","", IFERROR(VLOOKUP(A89, 'Infrared'!A:G, 6, FALSE), "N/A"))</f>
        <v/>
      </c>
      <c r="J89">
        <f>IF(A89="","", IFERROR(VLOOKUP(A89, 'Ultrasonic'!A:H, 7, FALSE), "N/A"))</f>
        <v/>
      </c>
      <c r="K89">
        <f>IF(A89="","", IFERROR(VLOOKUP(A89, 'Code Violations'!A:V, 22, FALSE), "N/A"))</f>
        <v/>
      </c>
      <c r="L89">
        <f>IF(A89="","", IF(COUNTIF(E89:K89, "FAIL")&gt;0, "FAIL", "PASS"))</f>
        <v/>
      </c>
    </row>
    <row r="90">
      <c r="A90">
        <f>IF('Equipment Information'!A90="","", 'Equipment Information'!A90)</f>
        <v/>
      </c>
      <c r="B90">
        <f>IF('Equipment Information'!B90="","", 'Equipment Information'!B90)</f>
        <v/>
      </c>
      <c r="C90">
        <f>IF('Equipment Information'!C90="","", 'Equipment Information'!C90)</f>
        <v/>
      </c>
      <c r="D90">
        <f>IF('Equipment Information'!D90="","", 'Equipment Information'!D90)</f>
        <v/>
      </c>
      <c r="E90">
        <f>IF(A90="","", IFERROR(VLOOKUP(A90, 'Energized Data'!A:T, 20, FALSE), "N/A"))</f>
        <v/>
      </c>
      <c r="F90">
        <f>IF(A90="","", IFERROR(VLOOKUP(A90, 'Insulation'!A:J, 9, FALSE), "N/A"))</f>
        <v/>
      </c>
      <c r="G90">
        <f>IF(A90="","", IFERROR(VLOOKUP(A90, 'DLRO'!A:I, 8, FALSE), "N/A"))</f>
        <v/>
      </c>
      <c r="H90">
        <f>IF(A90="","", IFERROR(VLOOKUP(A90, 'Torque'!A:I, 8, FALSE), "N/A"))</f>
        <v/>
      </c>
      <c r="I90">
        <f>IF(A90="","", IFERROR(VLOOKUP(A90, 'Infrared'!A:G, 6, FALSE), "N/A"))</f>
        <v/>
      </c>
      <c r="J90">
        <f>IF(A90="","", IFERROR(VLOOKUP(A90, 'Ultrasonic'!A:H, 7, FALSE), "N/A"))</f>
        <v/>
      </c>
      <c r="K90">
        <f>IF(A90="","", IFERROR(VLOOKUP(A90, 'Code Violations'!A:V, 22, FALSE), "N/A"))</f>
        <v/>
      </c>
      <c r="L90">
        <f>IF(A90="","", IF(COUNTIF(E90:K90, "FAIL")&gt;0, "FAIL", "PASS"))</f>
        <v/>
      </c>
    </row>
    <row r="91">
      <c r="A91">
        <f>IF('Equipment Information'!A91="","", 'Equipment Information'!A91)</f>
        <v/>
      </c>
      <c r="B91">
        <f>IF('Equipment Information'!B91="","", 'Equipment Information'!B91)</f>
        <v/>
      </c>
      <c r="C91">
        <f>IF('Equipment Information'!C91="","", 'Equipment Information'!C91)</f>
        <v/>
      </c>
      <c r="D91">
        <f>IF('Equipment Information'!D91="","", 'Equipment Information'!D91)</f>
        <v/>
      </c>
      <c r="E91">
        <f>IF(A91="","", IFERROR(VLOOKUP(A91, 'Energized Data'!A:T, 20, FALSE), "N/A"))</f>
        <v/>
      </c>
      <c r="F91">
        <f>IF(A91="","", IFERROR(VLOOKUP(A91, 'Insulation'!A:J, 9, FALSE), "N/A"))</f>
        <v/>
      </c>
      <c r="G91">
        <f>IF(A91="","", IFERROR(VLOOKUP(A91, 'DLRO'!A:I, 8, FALSE), "N/A"))</f>
        <v/>
      </c>
      <c r="H91">
        <f>IF(A91="","", IFERROR(VLOOKUP(A91, 'Torque'!A:I, 8, FALSE), "N/A"))</f>
        <v/>
      </c>
      <c r="I91">
        <f>IF(A91="","", IFERROR(VLOOKUP(A91, 'Infrared'!A:G, 6, FALSE), "N/A"))</f>
        <v/>
      </c>
      <c r="J91">
        <f>IF(A91="","", IFERROR(VLOOKUP(A91, 'Ultrasonic'!A:H, 7, FALSE), "N/A"))</f>
        <v/>
      </c>
      <c r="K91">
        <f>IF(A91="","", IFERROR(VLOOKUP(A91, 'Code Violations'!A:V, 22, FALSE), "N/A"))</f>
        <v/>
      </c>
      <c r="L91">
        <f>IF(A91="","", IF(COUNTIF(E91:K91, "FAIL")&gt;0, "FAIL", "PASS"))</f>
        <v/>
      </c>
    </row>
    <row r="92">
      <c r="A92">
        <f>IF('Equipment Information'!A92="","", 'Equipment Information'!A92)</f>
        <v/>
      </c>
      <c r="B92">
        <f>IF('Equipment Information'!B92="","", 'Equipment Information'!B92)</f>
        <v/>
      </c>
      <c r="C92">
        <f>IF('Equipment Information'!C92="","", 'Equipment Information'!C92)</f>
        <v/>
      </c>
      <c r="D92">
        <f>IF('Equipment Information'!D92="","", 'Equipment Information'!D92)</f>
        <v/>
      </c>
      <c r="E92">
        <f>IF(A92="","", IFERROR(VLOOKUP(A92, 'Energized Data'!A:T, 20, FALSE), "N/A"))</f>
        <v/>
      </c>
      <c r="F92">
        <f>IF(A92="","", IFERROR(VLOOKUP(A92, 'Insulation'!A:J, 9, FALSE), "N/A"))</f>
        <v/>
      </c>
      <c r="G92">
        <f>IF(A92="","", IFERROR(VLOOKUP(A92, 'DLRO'!A:I, 8, FALSE), "N/A"))</f>
        <v/>
      </c>
      <c r="H92">
        <f>IF(A92="","", IFERROR(VLOOKUP(A92, 'Torque'!A:I, 8, FALSE), "N/A"))</f>
        <v/>
      </c>
      <c r="I92">
        <f>IF(A92="","", IFERROR(VLOOKUP(A92, 'Infrared'!A:G, 6, FALSE), "N/A"))</f>
        <v/>
      </c>
      <c r="J92">
        <f>IF(A92="","", IFERROR(VLOOKUP(A92, 'Ultrasonic'!A:H, 7, FALSE), "N/A"))</f>
        <v/>
      </c>
      <c r="K92">
        <f>IF(A92="","", IFERROR(VLOOKUP(A92, 'Code Violations'!A:V, 22, FALSE), "N/A"))</f>
        <v/>
      </c>
      <c r="L92">
        <f>IF(A92="","", IF(COUNTIF(E92:K92, "FAIL")&gt;0, "FAIL", "PASS"))</f>
        <v/>
      </c>
    </row>
    <row r="93">
      <c r="A93">
        <f>IF('Equipment Information'!A93="","", 'Equipment Information'!A93)</f>
        <v/>
      </c>
      <c r="B93">
        <f>IF('Equipment Information'!B93="","", 'Equipment Information'!B93)</f>
        <v/>
      </c>
      <c r="C93">
        <f>IF('Equipment Information'!C93="","", 'Equipment Information'!C93)</f>
        <v/>
      </c>
      <c r="D93">
        <f>IF('Equipment Information'!D93="","", 'Equipment Information'!D93)</f>
        <v/>
      </c>
      <c r="E93">
        <f>IF(A93="","", IFERROR(VLOOKUP(A93, 'Energized Data'!A:T, 20, FALSE), "N/A"))</f>
        <v/>
      </c>
      <c r="F93">
        <f>IF(A93="","", IFERROR(VLOOKUP(A93, 'Insulation'!A:J, 9, FALSE), "N/A"))</f>
        <v/>
      </c>
      <c r="G93">
        <f>IF(A93="","", IFERROR(VLOOKUP(A93, 'DLRO'!A:I, 8, FALSE), "N/A"))</f>
        <v/>
      </c>
      <c r="H93">
        <f>IF(A93="","", IFERROR(VLOOKUP(A93, 'Torque'!A:I, 8, FALSE), "N/A"))</f>
        <v/>
      </c>
      <c r="I93">
        <f>IF(A93="","", IFERROR(VLOOKUP(A93, 'Infrared'!A:G, 6, FALSE), "N/A"))</f>
        <v/>
      </c>
      <c r="J93">
        <f>IF(A93="","", IFERROR(VLOOKUP(A93, 'Ultrasonic'!A:H, 7, FALSE), "N/A"))</f>
        <v/>
      </c>
      <c r="K93">
        <f>IF(A93="","", IFERROR(VLOOKUP(A93, 'Code Violations'!A:V, 22, FALSE), "N/A"))</f>
        <v/>
      </c>
      <c r="L93">
        <f>IF(A93="","", IF(COUNTIF(E93:K93, "FAIL")&gt;0, "FAIL", "PASS"))</f>
        <v/>
      </c>
    </row>
    <row r="94">
      <c r="A94">
        <f>IF('Equipment Information'!A94="","", 'Equipment Information'!A94)</f>
        <v/>
      </c>
      <c r="B94">
        <f>IF('Equipment Information'!B94="","", 'Equipment Information'!B94)</f>
        <v/>
      </c>
      <c r="C94">
        <f>IF('Equipment Information'!C94="","", 'Equipment Information'!C94)</f>
        <v/>
      </c>
      <c r="D94">
        <f>IF('Equipment Information'!D94="","", 'Equipment Information'!D94)</f>
        <v/>
      </c>
      <c r="E94">
        <f>IF(A94="","", IFERROR(VLOOKUP(A94, 'Energized Data'!A:T, 20, FALSE), "N/A"))</f>
        <v/>
      </c>
      <c r="F94">
        <f>IF(A94="","", IFERROR(VLOOKUP(A94, 'Insulation'!A:J, 9, FALSE), "N/A"))</f>
        <v/>
      </c>
      <c r="G94">
        <f>IF(A94="","", IFERROR(VLOOKUP(A94, 'DLRO'!A:I, 8, FALSE), "N/A"))</f>
        <v/>
      </c>
      <c r="H94">
        <f>IF(A94="","", IFERROR(VLOOKUP(A94, 'Torque'!A:I, 8, FALSE), "N/A"))</f>
        <v/>
      </c>
      <c r="I94">
        <f>IF(A94="","", IFERROR(VLOOKUP(A94, 'Infrared'!A:G, 6, FALSE), "N/A"))</f>
        <v/>
      </c>
      <c r="J94">
        <f>IF(A94="","", IFERROR(VLOOKUP(A94, 'Ultrasonic'!A:H, 7, FALSE), "N/A"))</f>
        <v/>
      </c>
      <c r="K94">
        <f>IF(A94="","", IFERROR(VLOOKUP(A94, 'Code Violations'!A:V, 22, FALSE), "N/A"))</f>
        <v/>
      </c>
      <c r="L94">
        <f>IF(A94="","", IF(COUNTIF(E94:K94, "FAIL")&gt;0, "FAIL", "PASS"))</f>
        <v/>
      </c>
    </row>
    <row r="95">
      <c r="A95">
        <f>IF('Equipment Information'!A95="","", 'Equipment Information'!A95)</f>
        <v/>
      </c>
      <c r="B95">
        <f>IF('Equipment Information'!B95="","", 'Equipment Information'!B95)</f>
        <v/>
      </c>
      <c r="C95">
        <f>IF('Equipment Information'!C95="","", 'Equipment Information'!C95)</f>
        <v/>
      </c>
      <c r="D95">
        <f>IF('Equipment Information'!D95="","", 'Equipment Information'!D95)</f>
        <v/>
      </c>
      <c r="E95">
        <f>IF(A95="","", IFERROR(VLOOKUP(A95, 'Energized Data'!A:T, 20, FALSE), "N/A"))</f>
        <v/>
      </c>
      <c r="F95">
        <f>IF(A95="","", IFERROR(VLOOKUP(A95, 'Insulation'!A:J, 9, FALSE), "N/A"))</f>
        <v/>
      </c>
      <c r="G95">
        <f>IF(A95="","", IFERROR(VLOOKUP(A95, 'DLRO'!A:I, 8, FALSE), "N/A"))</f>
        <v/>
      </c>
      <c r="H95">
        <f>IF(A95="","", IFERROR(VLOOKUP(A95, 'Torque'!A:I, 8, FALSE), "N/A"))</f>
        <v/>
      </c>
      <c r="I95">
        <f>IF(A95="","", IFERROR(VLOOKUP(A95, 'Infrared'!A:G, 6, FALSE), "N/A"))</f>
        <v/>
      </c>
      <c r="J95">
        <f>IF(A95="","", IFERROR(VLOOKUP(A95, 'Ultrasonic'!A:H, 7, FALSE), "N/A"))</f>
        <v/>
      </c>
      <c r="K95">
        <f>IF(A95="","", IFERROR(VLOOKUP(A95, 'Code Violations'!A:V, 22, FALSE), "N/A"))</f>
        <v/>
      </c>
      <c r="L95">
        <f>IF(A95="","", IF(COUNTIF(E95:K95, "FAIL")&gt;0, "FAIL", "PASS"))</f>
        <v/>
      </c>
    </row>
    <row r="96">
      <c r="A96">
        <f>IF('Equipment Information'!A96="","", 'Equipment Information'!A96)</f>
        <v/>
      </c>
      <c r="B96">
        <f>IF('Equipment Information'!B96="","", 'Equipment Information'!B96)</f>
        <v/>
      </c>
      <c r="C96">
        <f>IF('Equipment Information'!C96="","", 'Equipment Information'!C96)</f>
        <v/>
      </c>
      <c r="D96">
        <f>IF('Equipment Information'!D96="","", 'Equipment Information'!D96)</f>
        <v/>
      </c>
      <c r="E96">
        <f>IF(A96="","", IFERROR(VLOOKUP(A96, 'Energized Data'!A:T, 20, FALSE), "N/A"))</f>
        <v/>
      </c>
      <c r="F96">
        <f>IF(A96="","", IFERROR(VLOOKUP(A96, 'Insulation'!A:J, 9, FALSE), "N/A"))</f>
        <v/>
      </c>
      <c r="G96">
        <f>IF(A96="","", IFERROR(VLOOKUP(A96, 'DLRO'!A:I, 8, FALSE), "N/A"))</f>
        <v/>
      </c>
      <c r="H96">
        <f>IF(A96="","", IFERROR(VLOOKUP(A96, 'Torque'!A:I, 8, FALSE), "N/A"))</f>
        <v/>
      </c>
      <c r="I96">
        <f>IF(A96="","", IFERROR(VLOOKUP(A96, 'Infrared'!A:G, 6, FALSE), "N/A"))</f>
        <v/>
      </c>
      <c r="J96">
        <f>IF(A96="","", IFERROR(VLOOKUP(A96, 'Ultrasonic'!A:H, 7, FALSE), "N/A"))</f>
        <v/>
      </c>
      <c r="K96">
        <f>IF(A96="","", IFERROR(VLOOKUP(A96, 'Code Violations'!A:V, 22, FALSE), "N/A"))</f>
        <v/>
      </c>
      <c r="L96">
        <f>IF(A96="","", IF(COUNTIF(E96:K96, "FAIL")&gt;0, "FAIL", "PASS"))</f>
        <v/>
      </c>
    </row>
    <row r="97">
      <c r="A97">
        <f>IF('Equipment Information'!A97="","", 'Equipment Information'!A97)</f>
        <v/>
      </c>
      <c r="B97">
        <f>IF('Equipment Information'!B97="","", 'Equipment Information'!B97)</f>
        <v/>
      </c>
      <c r="C97">
        <f>IF('Equipment Information'!C97="","", 'Equipment Information'!C97)</f>
        <v/>
      </c>
      <c r="D97">
        <f>IF('Equipment Information'!D97="","", 'Equipment Information'!D97)</f>
        <v/>
      </c>
      <c r="E97">
        <f>IF(A97="","", IFERROR(VLOOKUP(A97, 'Energized Data'!A:T, 20, FALSE), "N/A"))</f>
        <v/>
      </c>
      <c r="F97">
        <f>IF(A97="","", IFERROR(VLOOKUP(A97, 'Insulation'!A:J, 9, FALSE), "N/A"))</f>
        <v/>
      </c>
      <c r="G97">
        <f>IF(A97="","", IFERROR(VLOOKUP(A97, 'DLRO'!A:I, 8, FALSE), "N/A"))</f>
        <v/>
      </c>
      <c r="H97">
        <f>IF(A97="","", IFERROR(VLOOKUP(A97, 'Torque'!A:I, 8, FALSE), "N/A"))</f>
        <v/>
      </c>
      <c r="I97">
        <f>IF(A97="","", IFERROR(VLOOKUP(A97, 'Infrared'!A:G, 6, FALSE), "N/A"))</f>
        <v/>
      </c>
      <c r="J97">
        <f>IF(A97="","", IFERROR(VLOOKUP(A97, 'Ultrasonic'!A:H, 7, FALSE), "N/A"))</f>
        <v/>
      </c>
      <c r="K97">
        <f>IF(A97="","", IFERROR(VLOOKUP(A97, 'Code Violations'!A:V, 22, FALSE), "N/A"))</f>
        <v/>
      </c>
      <c r="L97">
        <f>IF(A97="","", IF(COUNTIF(E97:K97, "FAIL")&gt;0, "FAIL", "PASS"))</f>
        <v/>
      </c>
    </row>
    <row r="98">
      <c r="A98">
        <f>IF('Equipment Information'!A98="","", 'Equipment Information'!A98)</f>
        <v/>
      </c>
      <c r="B98">
        <f>IF('Equipment Information'!B98="","", 'Equipment Information'!B98)</f>
        <v/>
      </c>
      <c r="C98">
        <f>IF('Equipment Information'!C98="","", 'Equipment Information'!C98)</f>
        <v/>
      </c>
      <c r="D98">
        <f>IF('Equipment Information'!D98="","", 'Equipment Information'!D98)</f>
        <v/>
      </c>
      <c r="E98">
        <f>IF(A98="","", IFERROR(VLOOKUP(A98, 'Energized Data'!A:T, 20, FALSE), "N/A"))</f>
        <v/>
      </c>
      <c r="F98">
        <f>IF(A98="","", IFERROR(VLOOKUP(A98, 'Insulation'!A:J, 9, FALSE), "N/A"))</f>
        <v/>
      </c>
      <c r="G98">
        <f>IF(A98="","", IFERROR(VLOOKUP(A98, 'DLRO'!A:I, 8, FALSE), "N/A"))</f>
        <v/>
      </c>
      <c r="H98">
        <f>IF(A98="","", IFERROR(VLOOKUP(A98, 'Torque'!A:I, 8, FALSE), "N/A"))</f>
        <v/>
      </c>
      <c r="I98">
        <f>IF(A98="","", IFERROR(VLOOKUP(A98, 'Infrared'!A:G, 6, FALSE), "N/A"))</f>
        <v/>
      </c>
      <c r="J98">
        <f>IF(A98="","", IFERROR(VLOOKUP(A98, 'Ultrasonic'!A:H, 7, FALSE), "N/A"))</f>
        <v/>
      </c>
      <c r="K98">
        <f>IF(A98="","", IFERROR(VLOOKUP(A98, 'Code Violations'!A:V, 22, FALSE), "N/A"))</f>
        <v/>
      </c>
      <c r="L98">
        <f>IF(A98="","", IF(COUNTIF(E98:K98, "FAIL")&gt;0, "FAIL", "PASS"))</f>
        <v/>
      </c>
    </row>
    <row r="99">
      <c r="A99">
        <f>IF('Equipment Information'!A99="","", 'Equipment Information'!A99)</f>
        <v/>
      </c>
      <c r="B99">
        <f>IF('Equipment Information'!B99="","", 'Equipment Information'!B99)</f>
        <v/>
      </c>
      <c r="C99">
        <f>IF('Equipment Information'!C99="","", 'Equipment Information'!C99)</f>
        <v/>
      </c>
      <c r="D99">
        <f>IF('Equipment Information'!D99="","", 'Equipment Information'!D99)</f>
        <v/>
      </c>
      <c r="E99">
        <f>IF(A99="","", IFERROR(VLOOKUP(A99, 'Energized Data'!A:T, 20, FALSE), "N/A"))</f>
        <v/>
      </c>
      <c r="F99">
        <f>IF(A99="","", IFERROR(VLOOKUP(A99, 'Insulation'!A:J, 9, FALSE), "N/A"))</f>
        <v/>
      </c>
      <c r="G99">
        <f>IF(A99="","", IFERROR(VLOOKUP(A99, 'DLRO'!A:I, 8, FALSE), "N/A"))</f>
        <v/>
      </c>
      <c r="H99">
        <f>IF(A99="","", IFERROR(VLOOKUP(A99, 'Torque'!A:I, 8, FALSE), "N/A"))</f>
        <v/>
      </c>
      <c r="I99">
        <f>IF(A99="","", IFERROR(VLOOKUP(A99, 'Infrared'!A:G, 6, FALSE), "N/A"))</f>
        <v/>
      </c>
      <c r="J99">
        <f>IF(A99="","", IFERROR(VLOOKUP(A99, 'Ultrasonic'!A:H, 7, FALSE), "N/A"))</f>
        <v/>
      </c>
      <c r="K99">
        <f>IF(A99="","", IFERROR(VLOOKUP(A99, 'Code Violations'!A:V, 22, FALSE), "N/A"))</f>
        <v/>
      </c>
      <c r="L99">
        <f>IF(A99="","", IF(COUNTIF(E99:K99, "FAIL")&gt;0, "FAIL", "PASS"))</f>
        <v/>
      </c>
    </row>
    <row r="100">
      <c r="A100">
        <f>IF('Equipment Information'!A100="","", 'Equipment Information'!A100)</f>
        <v/>
      </c>
      <c r="B100">
        <f>IF('Equipment Information'!B100="","", 'Equipment Information'!B100)</f>
        <v/>
      </c>
      <c r="C100">
        <f>IF('Equipment Information'!C100="","", 'Equipment Information'!C100)</f>
        <v/>
      </c>
      <c r="D100">
        <f>IF('Equipment Information'!D100="","", 'Equipment Information'!D100)</f>
        <v/>
      </c>
      <c r="E100">
        <f>IF(A100="","", IFERROR(VLOOKUP(A100, 'Energized Data'!A:T, 20, FALSE), "N/A"))</f>
        <v/>
      </c>
      <c r="F100">
        <f>IF(A100="","", IFERROR(VLOOKUP(A100, 'Insulation'!A:J, 9, FALSE), "N/A"))</f>
        <v/>
      </c>
      <c r="G100">
        <f>IF(A100="","", IFERROR(VLOOKUP(A100, 'DLRO'!A:I, 8, FALSE), "N/A"))</f>
        <v/>
      </c>
      <c r="H100">
        <f>IF(A100="","", IFERROR(VLOOKUP(A100, 'Torque'!A:I, 8, FALSE), "N/A"))</f>
        <v/>
      </c>
      <c r="I100">
        <f>IF(A100="","", IFERROR(VLOOKUP(A100, 'Infrared'!A:G, 6, FALSE), "N/A"))</f>
        <v/>
      </c>
      <c r="J100">
        <f>IF(A100="","", IFERROR(VLOOKUP(A100, 'Ultrasonic'!A:H, 7, FALSE), "N/A"))</f>
        <v/>
      </c>
      <c r="K100">
        <f>IF(A100="","", IFERROR(VLOOKUP(A100, 'Code Violations'!A:V, 22, FALSE), "N/A"))</f>
        <v/>
      </c>
      <c r="L100">
        <f>IF(A100="","", IF(COUNTIF(E100:K100, "FAIL")&gt;0, "FAIL", "PASS"))</f>
        <v/>
      </c>
    </row>
    <row r="101">
      <c r="A101">
        <f>IF('Equipment Information'!A101="","", 'Equipment Information'!A101)</f>
        <v/>
      </c>
      <c r="B101">
        <f>IF('Equipment Information'!B101="","", 'Equipment Information'!B101)</f>
        <v/>
      </c>
      <c r="C101">
        <f>IF('Equipment Information'!C101="","", 'Equipment Information'!C101)</f>
        <v/>
      </c>
      <c r="D101">
        <f>IF('Equipment Information'!D101="","", 'Equipment Information'!D101)</f>
        <v/>
      </c>
      <c r="E101">
        <f>IF(A101="","", IFERROR(VLOOKUP(A101, 'Energized Data'!A:T, 20, FALSE), "N/A"))</f>
        <v/>
      </c>
      <c r="F101">
        <f>IF(A101="","", IFERROR(VLOOKUP(A101, 'Insulation'!A:J, 9, FALSE), "N/A"))</f>
        <v/>
      </c>
      <c r="G101">
        <f>IF(A101="","", IFERROR(VLOOKUP(A101, 'DLRO'!A:I, 8, FALSE), "N/A"))</f>
        <v/>
      </c>
      <c r="H101">
        <f>IF(A101="","", IFERROR(VLOOKUP(A101, 'Torque'!A:I, 8, FALSE), "N/A"))</f>
        <v/>
      </c>
      <c r="I101">
        <f>IF(A101="","", IFERROR(VLOOKUP(A101, 'Infrared'!A:G, 6, FALSE), "N/A"))</f>
        <v/>
      </c>
      <c r="J101">
        <f>IF(A101="","", IFERROR(VLOOKUP(A101, 'Ultrasonic'!A:H, 7, FALSE), "N/A"))</f>
        <v/>
      </c>
      <c r="K101">
        <f>IF(A101="","", IFERROR(VLOOKUP(A101, 'Code Violations'!A:V, 22, FALSE), "N/A"))</f>
        <v/>
      </c>
      <c r="L101">
        <f>IF(A101="","", IF(COUNTIF(E101:K101, "FAIL")&gt;0, "FAIL", "PASS"))</f>
        <v/>
      </c>
    </row>
    <row r="102">
      <c r="A102">
        <f>IF('Equipment Information'!A102="","", 'Equipment Information'!A102)</f>
        <v/>
      </c>
      <c r="B102">
        <f>IF('Equipment Information'!B102="","", 'Equipment Information'!B102)</f>
        <v/>
      </c>
      <c r="C102">
        <f>IF('Equipment Information'!C102="","", 'Equipment Information'!C102)</f>
        <v/>
      </c>
      <c r="D102">
        <f>IF('Equipment Information'!D102="","", 'Equipment Information'!D102)</f>
        <v/>
      </c>
      <c r="E102">
        <f>IF(A102="","", IFERROR(VLOOKUP(A102, 'Energized Data'!A:T, 20, FALSE), "N/A"))</f>
        <v/>
      </c>
      <c r="F102">
        <f>IF(A102="","", IFERROR(VLOOKUP(A102, 'Insulation'!A:J, 9, FALSE), "N/A"))</f>
        <v/>
      </c>
      <c r="G102">
        <f>IF(A102="","", IFERROR(VLOOKUP(A102, 'DLRO'!A:I, 8, FALSE), "N/A"))</f>
        <v/>
      </c>
      <c r="H102">
        <f>IF(A102="","", IFERROR(VLOOKUP(A102, 'Torque'!A:I, 8, FALSE), "N/A"))</f>
        <v/>
      </c>
      <c r="I102">
        <f>IF(A102="","", IFERROR(VLOOKUP(A102, 'Infrared'!A:G, 6, FALSE), "N/A"))</f>
        <v/>
      </c>
      <c r="J102">
        <f>IF(A102="","", IFERROR(VLOOKUP(A102, 'Ultrasonic'!A:H, 7, FALSE), "N/A"))</f>
        <v/>
      </c>
      <c r="K102">
        <f>IF(A102="","", IFERROR(VLOOKUP(A102, 'Code Violations'!A:V, 22, FALSE), "N/A"))</f>
        <v/>
      </c>
      <c r="L102">
        <f>IF(A102="","", IF(COUNTIF(E102:K102, "FAIL")&gt;0, "FAIL", "PASS"))</f>
        <v/>
      </c>
    </row>
    <row r="103">
      <c r="A103">
        <f>IF('Equipment Information'!A103="","", 'Equipment Information'!A103)</f>
        <v/>
      </c>
      <c r="B103">
        <f>IF('Equipment Information'!B103="","", 'Equipment Information'!B103)</f>
        <v/>
      </c>
      <c r="C103">
        <f>IF('Equipment Information'!C103="","", 'Equipment Information'!C103)</f>
        <v/>
      </c>
      <c r="D103">
        <f>IF('Equipment Information'!D103="","", 'Equipment Information'!D103)</f>
        <v/>
      </c>
      <c r="E103">
        <f>IF(A103="","", IFERROR(VLOOKUP(A103, 'Energized Data'!A:T, 20, FALSE), "N/A"))</f>
        <v/>
      </c>
      <c r="F103">
        <f>IF(A103="","", IFERROR(VLOOKUP(A103, 'Insulation'!A:J, 9, FALSE), "N/A"))</f>
        <v/>
      </c>
      <c r="G103">
        <f>IF(A103="","", IFERROR(VLOOKUP(A103, 'DLRO'!A:I, 8, FALSE), "N/A"))</f>
        <v/>
      </c>
      <c r="H103">
        <f>IF(A103="","", IFERROR(VLOOKUP(A103, 'Torque'!A:I, 8, FALSE), "N/A"))</f>
        <v/>
      </c>
      <c r="I103">
        <f>IF(A103="","", IFERROR(VLOOKUP(A103, 'Infrared'!A:G, 6, FALSE), "N/A"))</f>
        <v/>
      </c>
      <c r="J103">
        <f>IF(A103="","", IFERROR(VLOOKUP(A103, 'Ultrasonic'!A:H, 7, FALSE), "N/A"))</f>
        <v/>
      </c>
      <c r="K103">
        <f>IF(A103="","", IFERROR(VLOOKUP(A103, 'Code Violations'!A:V, 22, FALSE), "N/A"))</f>
        <v/>
      </c>
      <c r="L103">
        <f>IF(A103="","", IF(COUNTIF(E103:K103, "FAIL")&gt;0, "FAIL", "PASS"))</f>
        <v/>
      </c>
    </row>
    <row r="104">
      <c r="A104">
        <f>IF('Equipment Information'!A104="","", 'Equipment Information'!A104)</f>
        <v/>
      </c>
      <c r="B104">
        <f>IF('Equipment Information'!B104="","", 'Equipment Information'!B104)</f>
        <v/>
      </c>
      <c r="C104">
        <f>IF('Equipment Information'!C104="","", 'Equipment Information'!C104)</f>
        <v/>
      </c>
      <c r="D104">
        <f>IF('Equipment Information'!D104="","", 'Equipment Information'!D104)</f>
        <v/>
      </c>
      <c r="E104">
        <f>IF(A104="","", IFERROR(VLOOKUP(A104, 'Energized Data'!A:T, 20, FALSE), "N/A"))</f>
        <v/>
      </c>
      <c r="F104">
        <f>IF(A104="","", IFERROR(VLOOKUP(A104, 'Insulation'!A:J, 9, FALSE), "N/A"))</f>
        <v/>
      </c>
      <c r="G104">
        <f>IF(A104="","", IFERROR(VLOOKUP(A104, 'DLRO'!A:I, 8, FALSE), "N/A"))</f>
        <v/>
      </c>
      <c r="H104">
        <f>IF(A104="","", IFERROR(VLOOKUP(A104, 'Torque'!A:I, 8, FALSE), "N/A"))</f>
        <v/>
      </c>
      <c r="I104">
        <f>IF(A104="","", IFERROR(VLOOKUP(A104, 'Infrared'!A:G, 6, FALSE), "N/A"))</f>
        <v/>
      </c>
      <c r="J104">
        <f>IF(A104="","", IFERROR(VLOOKUP(A104, 'Ultrasonic'!A:H, 7, FALSE), "N/A"))</f>
        <v/>
      </c>
      <c r="K104">
        <f>IF(A104="","", IFERROR(VLOOKUP(A104, 'Code Violations'!A:V, 22, FALSE), "N/A"))</f>
        <v/>
      </c>
      <c r="L104">
        <f>IF(A104="","", IF(COUNTIF(E104:K104, "FAIL")&gt;0, "FAIL", "PASS"))</f>
        <v/>
      </c>
    </row>
    <row r="105">
      <c r="A105">
        <f>IF('Equipment Information'!A105="","", 'Equipment Information'!A105)</f>
        <v/>
      </c>
      <c r="B105">
        <f>IF('Equipment Information'!B105="","", 'Equipment Information'!B105)</f>
        <v/>
      </c>
      <c r="C105">
        <f>IF('Equipment Information'!C105="","", 'Equipment Information'!C105)</f>
        <v/>
      </c>
      <c r="D105">
        <f>IF('Equipment Information'!D105="","", 'Equipment Information'!D105)</f>
        <v/>
      </c>
      <c r="E105">
        <f>IF(A105="","", IFERROR(VLOOKUP(A105, 'Energized Data'!A:T, 20, FALSE), "N/A"))</f>
        <v/>
      </c>
      <c r="F105">
        <f>IF(A105="","", IFERROR(VLOOKUP(A105, 'Insulation'!A:J, 9, FALSE), "N/A"))</f>
        <v/>
      </c>
      <c r="G105">
        <f>IF(A105="","", IFERROR(VLOOKUP(A105, 'DLRO'!A:I, 8, FALSE), "N/A"))</f>
        <v/>
      </c>
      <c r="H105">
        <f>IF(A105="","", IFERROR(VLOOKUP(A105, 'Torque'!A:I, 8, FALSE), "N/A"))</f>
        <v/>
      </c>
      <c r="I105">
        <f>IF(A105="","", IFERROR(VLOOKUP(A105, 'Infrared'!A:G, 6, FALSE), "N/A"))</f>
        <v/>
      </c>
      <c r="J105">
        <f>IF(A105="","", IFERROR(VLOOKUP(A105, 'Ultrasonic'!A:H, 7, FALSE), "N/A"))</f>
        <v/>
      </c>
      <c r="K105">
        <f>IF(A105="","", IFERROR(VLOOKUP(A105, 'Code Violations'!A:V, 22, FALSE), "N/A"))</f>
        <v/>
      </c>
      <c r="L105">
        <f>IF(A105="","", IF(COUNTIF(E105:K105, "FAIL")&gt;0, "FAIL", "PASS"))</f>
        <v/>
      </c>
    </row>
    <row r="106">
      <c r="A106">
        <f>IF('Equipment Information'!A106="","", 'Equipment Information'!A106)</f>
        <v/>
      </c>
      <c r="B106">
        <f>IF('Equipment Information'!B106="","", 'Equipment Information'!B106)</f>
        <v/>
      </c>
      <c r="C106">
        <f>IF('Equipment Information'!C106="","", 'Equipment Information'!C106)</f>
        <v/>
      </c>
      <c r="D106">
        <f>IF('Equipment Information'!D106="","", 'Equipment Information'!D106)</f>
        <v/>
      </c>
      <c r="E106">
        <f>IF(A106="","", IFERROR(VLOOKUP(A106, 'Energized Data'!A:T, 20, FALSE), "N/A"))</f>
        <v/>
      </c>
      <c r="F106">
        <f>IF(A106="","", IFERROR(VLOOKUP(A106, 'Insulation'!A:J, 9, FALSE), "N/A"))</f>
        <v/>
      </c>
      <c r="G106">
        <f>IF(A106="","", IFERROR(VLOOKUP(A106, 'DLRO'!A:I, 8, FALSE), "N/A"))</f>
        <v/>
      </c>
      <c r="H106">
        <f>IF(A106="","", IFERROR(VLOOKUP(A106, 'Torque'!A:I, 8, FALSE), "N/A"))</f>
        <v/>
      </c>
      <c r="I106">
        <f>IF(A106="","", IFERROR(VLOOKUP(A106, 'Infrared'!A:G, 6, FALSE), "N/A"))</f>
        <v/>
      </c>
      <c r="J106">
        <f>IF(A106="","", IFERROR(VLOOKUP(A106, 'Ultrasonic'!A:H, 7, FALSE), "N/A"))</f>
        <v/>
      </c>
      <c r="K106">
        <f>IF(A106="","", IFERROR(VLOOKUP(A106, 'Code Violations'!A:V, 22, FALSE), "N/A"))</f>
        <v/>
      </c>
      <c r="L106">
        <f>IF(A106="","", IF(COUNTIF(E106:K106, "FAIL")&gt;0, "FAIL", "PASS"))</f>
        <v/>
      </c>
    </row>
    <row r="107">
      <c r="A107">
        <f>IF('Equipment Information'!A107="","", 'Equipment Information'!A107)</f>
        <v/>
      </c>
      <c r="B107">
        <f>IF('Equipment Information'!B107="","", 'Equipment Information'!B107)</f>
        <v/>
      </c>
      <c r="C107">
        <f>IF('Equipment Information'!C107="","", 'Equipment Information'!C107)</f>
        <v/>
      </c>
      <c r="D107">
        <f>IF('Equipment Information'!D107="","", 'Equipment Information'!D107)</f>
        <v/>
      </c>
      <c r="E107">
        <f>IF(A107="","", IFERROR(VLOOKUP(A107, 'Energized Data'!A:T, 20, FALSE), "N/A"))</f>
        <v/>
      </c>
      <c r="F107">
        <f>IF(A107="","", IFERROR(VLOOKUP(A107, 'Insulation'!A:J, 9, FALSE), "N/A"))</f>
        <v/>
      </c>
      <c r="G107">
        <f>IF(A107="","", IFERROR(VLOOKUP(A107, 'DLRO'!A:I, 8, FALSE), "N/A"))</f>
        <v/>
      </c>
      <c r="H107">
        <f>IF(A107="","", IFERROR(VLOOKUP(A107, 'Torque'!A:I, 8, FALSE), "N/A"))</f>
        <v/>
      </c>
      <c r="I107">
        <f>IF(A107="","", IFERROR(VLOOKUP(A107, 'Infrared'!A:G, 6, FALSE), "N/A"))</f>
        <v/>
      </c>
      <c r="J107">
        <f>IF(A107="","", IFERROR(VLOOKUP(A107, 'Ultrasonic'!A:H, 7, FALSE), "N/A"))</f>
        <v/>
      </c>
      <c r="K107">
        <f>IF(A107="","", IFERROR(VLOOKUP(A107, 'Code Violations'!A:V, 22, FALSE), "N/A"))</f>
        <v/>
      </c>
      <c r="L107">
        <f>IF(A107="","", IF(COUNTIF(E107:K107, "FAIL")&gt;0, "FAIL", "PASS"))</f>
        <v/>
      </c>
    </row>
    <row r="108">
      <c r="A108">
        <f>IF('Equipment Information'!A108="","", 'Equipment Information'!A108)</f>
        <v/>
      </c>
      <c r="B108">
        <f>IF('Equipment Information'!B108="","", 'Equipment Information'!B108)</f>
        <v/>
      </c>
      <c r="C108">
        <f>IF('Equipment Information'!C108="","", 'Equipment Information'!C108)</f>
        <v/>
      </c>
      <c r="D108">
        <f>IF('Equipment Information'!D108="","", 'Equipment Information'!D108)</f>
        <v/>
      </c>
      <c r="E108">
        <f>IF(A108="","", IFERROR(VLOOKUP(A108, 'Energized Data'!A:T, 20, FALSE), "N/A"))</f>
        <v/>
      </c>
      <c r="F108">
        <f>IF(A108="","", IFERROR(VLOOKUP(A108, 'Insulation'!A:J, 9, FALSE), "N/A"))</f>
        <v/>
      </c>
      <c r="G108">
        <f>IF(A108="","", IFERROR(VLOOKUP(A108, 'DLRO'!A:I, 8, FALSE), "N/A"))</f>
        <v/>
      </c>
      <c r="H108">
        <f>IF(A108="","", IFERROR(VLOOKUP(A108, 'Torque'!A:I, 8, FALSE), "N/A"))</f>
        <v/>
      </c>
      <c r="I108">
        <f>IF(A108="","", IFERROR(VLOOKUP(A108, 'Infrared'!A:G, 6, FALSE), "N/A"))</f>
        <v/>
      </c>
      <c r="J108">
        <f>IF(A108="","", IFERROR(VLOOKUP(A108, 'Ultrasonic'!A:H, 7, FALSE), "N/A"))</f>
        <v/>
      </c>
      <c r="K108">
        <f>IF(A108="","", IFERROR(VLOOKUP(A108, 'Code Violations'!A:V, 22, FALSE), "N/A"))</f>
        <v/>
      </c>
      <c r="L108">
        <f>IF(A108="","", IF(COUNTIF(E108:K108, "FAIL")&gt;0, "FAIL", "PASS"))</f>
        <v/>
      </c>
    </row>
    <row r="109">
      <c r="A109">
        <f>IF('Equipment Information'!A109="","", 'Equipment Information'!A109)</f>
        <v/>
      </c>
      <c r="B109">
        <f>IF('Equipment Information'!B109="","", 'Equipment Information'!B109)</f>
        <v/>
      </c>
      <c r="C109">
        <f>IF('Equipment Information'!C109="","", 'Equipment Information'!C109)</f>
        <v/>
      </c>
      <c r="D109">
        <f>IF('Equipment Information'!D109="","", 'Equipment Information'!D109)</f>
        <v/>
      </c>
      <c r="E109">
        <f>IF(A109="","", IFERROR(VLOOKUP(A109, 'Energized Data'!A:T, 20, FALSE), "N/A"))</f>
        <v/>
      </c>
      <c r="F109">
        <f>IF(A109="","", IFERROR(VLOOKUP(A109, 'Insulation'!A:J, 9, FALSE), "N/A"))</f>
        <v/>
      </c>
      <c r="G109">
        <f>IF(A109="","", IFERROR(VLOOKUP(A109, 'DLRO'!A:I, 8, FALSE), "N/A"))</f>
        <v/>
      </c>
      <c r="H109">
        <f>IF(A109="","", IFERROR(VLOOKUP(A109, 'Torque'!A:I, 8, FALSE), "N/A"))</f>
        <v/>
      </c>
      <c r="I109">
        <f>IF(A109="","", IFERROR(VLOOKUP(A109, 'Infrared'!A:G, 6, FALSE), "N/A"))</f>
        <v/>
      </c>
      <c r="J109">
        <f>IF(A109="","", IFERROR(VLOOKUP(A109, 'Ultrasonic'!A:H, 7, FALSE), "N/A"))</f>
        <v/>
      </c>
      <c r="K109">
        <f>IF(A109="","", IFERROR(VLOOKUP(A109, 'Code Violations'!A:V, 22, FALSE), "N/A"))</f>
        <v/>
      </c>
      <c r="L109">
        <f>IF(A109="","", IF(COUNTIF(E109:K109, "FAIL")&gt;0, "FAIL", "PASS"))</f>
        <v/>
      </c>
    </row>
    <row r="110">
      <c r="A110">
        <f>IF('Equipment Information'!A110="","", 'Equipment Information'!A110)</f>
        <v/>
      </c>
      <c r="B110">
        <f>IF('Equipment Information'!B110="","", 'Equipment Information'!B110)</f>
        <v/>
      </c>
      <c r="C110">
        <f>IF('Equipment Information'!C110="","", 'Equipment Information'!C110)</f>
        <v/>
      </c>
      <c r="D110">
        <f>IF('Equipment Information'!D110="","", 'Equipment Information'!D110)</f>
        <v/>
      </c>
      <c r="E110">
        <f>IF(A110="","", IFERROR(VLOOKUP(A110, 'Energized Data'!A:T, 20, FALSE), "N/A"))</f>
        <v/>
      </c>
      <c r="F110">
        <f>IF(A110="","", IFERROR(VLOOKUP(A110, 'Insulation'!A:J, 9, FALSE), "N/A"))</f>
        <v/>
      </c>
      <c r="G110">
        <f>IF(A110="","", IFERROR(VLOOKUP(A110, 'DLRO'!A:I, 8, FALSE), "N/A"))</f>
        <v/>
      </c>
      <c r="H110">
        <f>IF(A110="","", IFERROR(VLOOKUP(A110, 'Torque'!A:I, 8, FALSE), "N/A"))</f>
        <v/>
      </c>
      <c r="I110">
        <f>IF(A110="","", IFERROR(VLOOKUP(A110, 'Infrared'!A:G, 6, FALSE), "N/A"))</f>
        <v/>
      </c>
      <c r="J110">
        <f>IF(A110="","", IFERROR(VLOOKUP(A110, 'Ultrasonic'!A:H, 7, FALSE), "N/A"))</f>
        <v/>
      </c>
      <c r="K110">
        <f>IF(A110="","", IFERROR(VLOOKUP(A110, 'Code Violations'!A:V, 22, FALSE), "N/A"))</f>
        <v/>
      </c>
      <c r="L110">
        <f>IF(A110="","", IF(COUNTIF(E110:K110, "FAIL")&gt;0, "FAIL", "PASS"))</f>
        <v/>
      </c>
    </row>
    <row r="111">
      <c r="A111">
        <f>IF('Equipment Information'!A111="","", 'Equipment Information'!A111)</f>
        <v/>
      </c>
      <c r="B111">
        <f>IF('Equipment Information'!B111="","", 'Equipment Information'!B111)</f>
        <v/>
      </c>
      <c r="C111">
        <f>IF('Equipment Information'!C111="","", 'Equipment Information'!C111)</f>
        <v/>
      </c>
      <c r="D111">
        <f>IF('Equipment Information'!D111="","", 'Equipment Information'!D111)</f>
        <v/>
      </c>
      <c r="E111">
        <f>IF(A111="","", IFERROR(VLOOKUP(A111, 'Energized Data'!A:T, 20, FALSE), "N/A"))</f>
        <v/>
      </c>
      <c r="F111">
        <f>IF(A111="","", IFERROR(VLOOKUP(A111, 'Insulation'!A:J, 9, FALSE), "N/A"))</f>
        <v/>
      </c>
      <c r="G111">
        <f>IF(A111="","", IFERROR(VLOOKUP(A111, 'DLRO'!A:I, 8, FALSE), "N/A"))</f>
        <v/>
      </c>
      <c r="H111">
        <f>IF(A111="","", IFERROR(VLOOKUP(A111, 'Torque'!A:I, 8, FALSE), "N/A"))</f>
        <v/>
      </c>
      <c r="I111">
        <f>IF(A111="","", IFERROR(VLOOKUP(A111, 'Infrared'!A:G, 6, FALSE), "N/A"))</f>
        <v/>
      </c>
      <c r="J111">
        <f>IF(A111="","", IFERROR(VLOOKUP(A111, 'Ultrasonic'!A:H, 7, FALSE), "N/A"))</f>
        <v/>
      </c>
      <c r="K111">
        <f>IF(A111="","", IFERROR(VLOOKUP(A111, 'Code Violations'!A:V, 22, FALSE), "N/A"))</f>
        <v/>
      </c>
      <c r="L111">
        <f>IF(A111="","", IF(COUNTIF(E111:K111, "FAIL")&gt;0, "FAIL", "PASS"))</f>
        <v/>
      </c>
    </row>
    <row r="112">
      <c r="A112">
        <f>IF('Equipment Information'!A112="","", 'Equipment Information'!A112)</f>
        <v/>
      </c>
      <c r="B112">
        <f>IF('Equipment Information'!B112="","", 'Equipment Information'!B112)</f>
        <v/>
      </c>
      <c r="C112">
        <f>IF('Equipment Information'!C112="","", 'Equipment Information'!C112)</f>
        <v/>
      </c>
      <c r="D112">
        <f>IF('Equipment Information'!D112="","", 'Equipment Information'!D112)</f>
        <v/>
      </c>
      <c r="E112">
        <f>IF(A112="","", IFERROR(VLOOKUP(A112, 'Energized Data'!A:T, 20, FALSE), "N/A"))</f>
        <v/>
      </c>
      <c r="F112">
        <f>IF(A112="","", IFERROR(VLOOKUP(A112, 'Insulation'!A:J, 9, FALSE), "N/A"))</f>
        <v/>
      </c>
      <c r="G112">
        <f>IF(A112="","", IFERROR(VLOOKUP(A112, 'DLRO'!A:I, 8, FALSE), "N/A"))</f>
        <v/>
      </c>
      <c r="H112">
        <f>IF(A112="","", IFERROR(VLOOKUP(A112, 'Torque'!A:I, 8, FALSE), "N/A"))</f>
        <v/>
      </c>
      <c r="I112">
        <f>IF(A112="","", IFERROR(VLOOKUP(A112, 'Infrared'!A:G, 6, FALSE), "N/A"))</f>
        <v/>
      </c>
      <c r="J112">
        <f>IF(A112="","", IFERROR(VLOOKUP(A112, 'Ultrasonic'!A:H, 7, FALSE), "N/A"))</f>
        <v/>
      </c>
      <c r="K112">
        <f>IF(A112="","", IFERROR(VLOOKUP(A112, 'Code Violations'!A:V, 22, FALSE), "N/A"))</f>
        <v/>
      </c>
      <c r="L112">
        <f>IF(A112="","", IF(COUNTIF(E112:K112, "FAIL")&gt;0, "FAIL", "PASS"))</f>
        <v/>
      </c>
    </row>
    <row r="113">
      <c r="A113">
        <f>IF('Equipment Information'!A113="","", 'Equipment Information'!A113)</f>
        <v/>
      </c>
      <c r="B113">
        <f>IF('Equipment Information'!B113="","", 'Equipment Information'!B113)</f>
        <v/>
      </c>
      <c r="C113">
        <f>IF('Equipment Information'!C113="","", 'Equipment Information'!C113)</f>
        <v/>
      </c>
      <c r="D113">
        <f>IF('Equipment Information'!D113="","", 'Equipment Information'!D113)</f>
        <v/>
      </c>
      <c r="E113">
        <f>IF(A113="","", IFERROR(VLOOKUP(A113, 'Energized Data'!A:T, 20, FALSE), "N/A"))</f>
        <v/>
      </c>
      <c r="F113">
        <f>IF(A113="","", IFERROR(VLOOKUP(A113, 'Insulation'!A:J, 9, FALSE), "N/A"))</f>
        <v/>
      </c>
      <c r="G113">
        <f>IF(A113="","", IFERROR(VLOOKUP(A113, 'DLRO'!A:I, 8, FALSE), "N/A"))</f>
        <v/>
      </c>
      <c r="H113">
        <f>IF(A113="","", IFERROR(VLOOKUP(A113, 'Torque'!A:I, 8, FALSE), "N/A"))</f>
        <v/>
      </c>
      <c r="I113">
        <f>IF(A113="","", IFERROR(VLOOKUP(A113, 'Infrared'!A:G, 6, FALSE), "N/A"))</f>
        <v/>
      </c>
      <c r="J113">
        <f>IF(A113="","", IFERROR(VLOOKUP(A113, 'Ultrasonic'!A:H, 7, FALSE), "N/A"))</f>
        <v/>
      </c>
      <c r="K113">
        <f>IF(A113="","", IFERROR(VLOOKUP(A113, 'Code Violations'!A:V, 22, FALSE), "N/A"))</f>
        <v/>
      </c>
      <c r="L113">
        <f>IF(A113="","", IF(COUNTIF(E113:K113, "FAIL")&gt;0, "FAIL", "PASS"))</f>
        <v/>
      </c>
    </row>
    <row r="114">
      <c r="A114">
        <f>IF('Equipment Information'!A114="","", 'Equipment Information'!A114)</f>
        <v/>
      </c>
      <c r="B114">
        <f>IF('Equipment Information'!B114="","", 'Equipment Information'!B114)</f>
        <v/>
      </c>
      <c r="C114">
        <f>IF('Equipment Information'!C114="","", 'Equipment Information'!C114)</f>
        <v/>
      </c>
      <c r="D114">
        <f>IF('Equipment Information'!D114="","", 'Equipment Information'!D114)</f>
        <v/>
      </c>
      <c r="E114">
        <f>IF(A114="","", IFERROR(VLOOKUP(A114, 'Energized Data'!A:T, 20, FALSE), "N/A"))</f>
        <v/>
      </c>
      <c r="F114">
        <f>IF(A114="","", IFERROR(VLOOKUP(A114, 'Insulation'!A:J, 9, FALSE), "N/A"))</f>
        <v/>
      </c>
      <c r="G114">
        <f>IF(A114="","", IFERROR(VLOOKUP(A114, 'DLRO'!A:I, 8, FALSE), "N/A"))</f>
        <v/>
      </c>
      <c r="H114">
        <f>IF(A114="","", IFERROR(VLOOKUP(A114, 'Torque'!A:I, 8, FALSE), "N/A"))</f>
        <v/>
      </c>
      <c r="I114">
        <f>IF(A114="","", IFERROR(VLOOKUP(A114, 'Infrared'!A:G, 6, FALSE), "N/A"))</f>
        <v/>
      </c>
      <c r="J114">
        <f>IF(A114="","", IFERROR(VLOOKUP(A114, 'Ultrasonic'!A:H, 7, FALSE), "N/A"))</f>
        <v/>
      </c>
      <c r="K114">
        <f>IF(A114="","", IFERROR(VLOOKUP(A114, 'Code Violations'!A:V, 22, FALSE), "N/A"))</f>
        <v/>
      </c>
      <c r="L114">
        <f>IF(A114="","", IF(COUNTIF(E114:K114, "FAIL")&gt;0, "FAIL", "PASS"))</f>
        <v/>
      </c>
    </row>
    <row r="115">
      <c r="A115">
        <f>IF('Equipment Information'!A115="","", 'Equipment Information'!A115)</f>
        <v/>
      </c>
      <c r="B115">
        <f>IF('Equipment Information'!B115="","", 'Equipment Information'!B115)</f>
        <v/>
      </c>
      <c r="C115">
        <f>IF('Equipment Information'!C115="","", 'Equipment Information'!C115)</f>
        <v/>
      </c>
      <c r="D115">
        <f>IF('Equipment Information'!D115="","", 'Equipment Information'!D115)</f>
        <v/>
      </c>
      <c r="E115">
        <f>IF(A115="","", IFERROR(VLOOKUP(A115, 'Energized Data'!A:T, 20, FALSE), "N/A"))</f>
        <v/>
      </c>
      <c r="F115">
        <f>IF(A115="","", IFERROR(VLOOKUP(A115, 'Insulation'!A:J, 9, FALSE), "N/A"))</f>
        <v/>
      </c>
      <c r="G115">
        <f>IF(A115="","", IFERROR(VLOOKUP(A115, 'DLRO'!A:I, 8, FALSE), "N/A"))</f>
        <v/>
      </c>
      <c r="H115">
        <f>IF(A115="","", IFERROR(VLOOKUP(A115, 'Torque'!A:I, 8, FALSE), "N/A"))</f>
        <v/>
      </c>
      <c r="I115">
        <f>IF(A115="","", IFERROR(VLOOKUP(A115, 'Infrared'!A:G, 6, FALSE), "N/A"))</f>
        <v/>
      </c>
      <c r="J115">
        <f>IF(A115="","", IFERROR(VLOOKUP(A115, 'Ultrasonic'!A:H, 7, FALSE), "N/A"))</f>
        <v/>
      </c>
      <c r="K115">
        <f>IF(A115="","", IFERROR(VLOOKUP(A115, 'Code Violations'!A:V, 22, FALSE), "N/A"))</f>
        <v/>
      </c>
      <c r="L115">
        <f>IF(A115="","", IF(COUNTIF(E115:K115, "FAIL")&gt;0, "FAIL", "PASS"))</f>
        <v/>
      </c>
    </row>
    <row r="116">
      <c r="A116">
        <f>IF('Equipment Information'!A116="","", 'Equipment Information'!A116)</f>
        <v/>
      </c>
      <c r="B116">
        <f>IF('Equipment Information'!B116="","", 'Equipment Information'!B116)</f>
        <v/>
      </c>
      <c r="C116">
        <f>IF('Equipment Information'!C116="","", 'Equipment Information'!C116)</f>
        <v/>
      </c>
      <c r="D116">
        <f>IF('Equipment Information'!D116="","", 'Equipment Information'!D116)</f>
        <v/>
      </c>
      <c r="E116">
        <f>IF(A116="","", IFERROR(VLOOKUP(A116, 'Energized Data'!A:T, 20, FALSE), "N/A"))</f>
        <v/>
      </c>
      <c r="F116">
        <f>IF(A116="","", IFERROR(VLOOKUP(A116, 'Insulation'!A:J, 9, FALSE), "N/A"))</f>
        <v/>
      </c>
      <c r="G116">
        <f>IF(A116="","", IFERROR(VLOOKUP(A116, 'DLRO'!A:I, 8, FALSE), "N/A"))</f>
        <v/>
      </c>
      <c r="H116">
        <f>IF(A116="","", IFERROR(VLOOKUP(A116, 'Torque'!A:I, 8, FALSE), "N/A"))</f>
        <v/>
      </c>
      <c r="I116">
        <f>IF(A116="","", IFERROR(VLOOKUP(A116, 'Infrared'!A:G, 6, FALSE), "N/A"))</f>
        <v/>
      </c>
      <c r="J116">
        <f>IF(A116="","", IFERROR(VLOOKUP(A116, 'Ultrasonic'!A:H, 7, FALSE), "N/A"))</f>
        <v/>
      </c>
      <c r="K116">
        <f>IF(A116="","", IFERROR(VLOOKUP(A116, 'Code Violations'!A:V, 22, FALSE), "N/A"))</f>
        <v/>
      </c>
      <c r="L116">
        <f>IF(A116="","", IF(COUNTIF(E116:K116, "FAIL")&gt;0, "FAIL", "PASS"))</f>
        <v/>
      </c>
    </row>
    <row r="117">
      <c r="A117">
        <f>IF('Equipment Information'!A117="","", 'Equipment Information'!A117)</f>
        <v/>
      </c>
      <c r="B117">
        <f>IF('Equipment Information'!B117="","", 'Equipment Information'!B117)</f>
        <v/>
      </c>
      <c r="C117">
        <f>IF('Equipment Information'!C117="","", 'Equipment Information'!C117)</f>
        <v/>
      </c>
      <c r="D117">
        <f>IF('Equipment Information'!D117="","", 'Equipment Information'!D117)</f>
        <v/>
      </c>
      <c r="E117">
        <f>IF(A117="","", IFERROR(VLOOKUP(A117, 'Energized Data'!A:T, 20, FALSE), "N/A"))</f>
        <v/>
      </c>
      <c r="F117">
        <f>IF(A117="","", IFERROR(VLOOKUP(A117, 'Insulation'!A:J, 9, FALSE), "N/A"))</f>
        <v/>
      </c>
      <c r="G117">
        <f>IF(A117="","", IFERROR(VLOOKUP(A117, 'DLRO'!A:I, 8, FALSE), "N/A"))</f>
        <v/>
      </c>
      <c r="H117">
        <f>IF(A117="","", IFERROR(VLOOKUP(A117, 'Torque'!A:I, 8, FALSE), "N/A"))</f>
        <v/>
      </c>
      <c r="I117">
        <f>IF(A117="","", IFERROR(VLOOKUP(A117, 'Infrared'!A:G, 6, FALSE), "N/A"))</f>
        <v/>
      </c>
      <c r="J117">
        <f>IF(A117="","", IFERROR(VLOOKUP(A117, 'Ultrasonic'!A:H, 7, FALSE), "N/A"))</f>
        <v/>
      </c>
      <c r="K117">
        <f>IF(A117="","", IFERROR(VLOOKUP(A117, 'Code Violations'!A:V, 22, FALSE), "N/A"))</f>
        <v/>
      </c>
      <c r="L117">
        <f>IF(A117="","", IF(COUNTIF(E117:K117, "FAIL")&gt;0, "FAIL", "PASS"))</f>
        <v/>
      </c>
    </row>
    <row r="118">
      <c r="A118">
        <f>IF('Equipment Information'!A118="","", 'Equipment Information'!A118)</f>
        <v/>
      </c>
      <c r="B118">
        <f>IF('Equipment Information'!B118="","", 'Equipment Information'!B118)</f>
        <v/>
      </c>
      <c r="C118">
        <f>IF('Equipment Information'!C118="","", 'Equipment Information'!C118)</f>
        <v/>
      </c>
      <c r="D118">
        <f>IF('Equipment Information'!D118="","", 'Equipment Information'!D118)</f>
        <v/>
      </c>
      <c r="E118">
        <f>IF(A118="","", IFERROR(VLOOKUP(A118, 'Energized Data'!A:T, 20, FALSE), "N/A"))</f>
        <v/>
      </c>
      <c r="F118">
        <f>IF(A118="","", IFERROR(VLOOKUP(A118, 'Insulation'!A:J, 9, FALSE), "N/A"))</f>
        <v/>
      </c>
      <c r="G118">
        <f>IF(A118="","", IFERROR(VLOOKUP(A118, 'DLRO'!A:I, 8, FALSE), "N/A"))</f>
        <v/>
      </c>
      <c r="H118">
        <f>IF(A118="","", IFERROR(VLOOKUP(A118, 'Torque'!A:I, 8, FALSE), "N/A"))</f>
        <v/>
      </c>
      <c r="I118">
        <f>IF(A118="","", IFERROR(VLOOKUP(A118, 'Infrared'!A:G, 6, FALSE), "N/A"))</f>
        <v/>
      </c>
      <c r="J118">
        <f>IF(A118="","", IFERROR(VLOOKUP(A118, 'Ultrasonic'!A:H, 7, FALSE), "N/A"))</f>
        <v/>
      </c>
      <c r="K118">
        <f>IF(A118="","", IFERROR(VLOOKUP(A118, 'Code Violations'!A:V, 22, FALSE), "N/A"))</f>
        <v/>
      </c>
      <c r="L118">
        <f>IF(A118="","", IF(COUNTIF(E118:K118, "FAIL")&gt;0, "FAIL", "PASS"))</f>
        <v/>
      </c>
    </row>
    <row r="119">
      <c r="A119">
        <f>IF('Equipment Information'!A119="","", 'Equipment Information'!A119)</f>
        <v/>
      </c>
      <c r="B119">
        <f>IF('Equipment Information'!B119="","", 'Equipment Information'!B119)</f>
        <v/>
      </c>
      <c r="C119">
        <f>IF('Equipment Information'!C119="","", 'Equipment Information'!C119)</f>
        <v/>
      </c>
      <c r="D119">
        <f>IF('Equipment Information'!D119="","", 'Equipment Information'!D119)</f>
        <v/>
      </c>
      <c r="E119">
        <f>IF(A119="","", IFERROR(VLOOKUP(A119, 'Energized Data'!A:T, 20, FALSE), "N/A"))</f>
        <v/>
      </c>
      <c r="F119">
        <f>IF(A119="","", IFERROR(VLOOKUP(A119, 'Insulation'!A:J, 9, FALSE), "N/A"))</f>
        <v/>
      </c>
      <c r="G119">
        <f>IF(A119="","", IFERROR(VLOOKUP(A119, 'DLRO'!A:I, 8, FALSE), "N/A"))</f>
        <v/>
      </c>
      <c r="H119">
        <f>IF(A119="","", IFERROR(VLOOKUP(A119, 'Torque'!A:I, 8, FALSE), "N/A"))</f>
        <v/>
      </c>
      <c r="I119">
        <f>IF(A119="","", IFERROR(VLOOKUP(A119, 'Infrared'!A:G, 6, FALSE), "N/A"))</f>
        <v/>
      </c>
      <c r="J119">
        <f>IF(A119="","", IFERROR(VLOOKUP(A119, 'Ultrasonic'!A:H, 7, FALSE), "N/A"))</f>
        <v/>
      </c>
      <c r="K119">
        <f>IF(A119="","", IFERROR(VLOOKUP(A119, 'Code Violations'!A:V, 22, FALSE), "N/A"))</f>
        <v/>
      </c>
      <c r="L119">
        <f>IF(A119="","", IF(COUNTIF(E119:K119, "FAIL")&gt;0, "FAIL", "PASS"))</f>
        <v/>
      </c>
    </row>
    <row r="120">
      <c r="A120">
        <f>IF('Equipment Information'!A120="","", 'Equipment Information'!A120)</f>
        <v/>
      </c>
      <c r="B120">
        <f>IF('Equipment Information'!B120="","", 'Equipment Information'!B120)</f>
        <v/>
      </c>
      <c r="C120">
        <f>IF('Equipment Information'!C120="","", 'Equipment Information'!C120)</f>
        <v/>
      </c>
      <c r="D120">
        <f>IF('Equipment Information'!D120="","", 'Equipment Information'!D120)</f>
        <v/>
      </c>
      <c r="E120">
        <f>IF(A120="","", IFERROR(VLOOKUP(A120, 'Energized Data'!A:T, 20, FALSE), "N/A"))</f>
        <v/>
      </c>
      <c r="F120">
        <f>IF(A120="","", IFERROR(VLOOKUP(A120, 'Insulation'!A:J, 9, FALSE), "N/A"))</f>
        <v/>
      </c>
      <c r="G120">
        <f>IF(A120="","", IFERROR(VLOOKUP(A120, 'DLRO'!A:I, 8, FALSE), "N/A"))</f>
        <v/>
      </c>
      <c r="H120">
        <f>IF(A120="","", IFERROR(VLOOKUP(A120, 'Torque'!A:I, 8, FALSE), "N/A"))</f>
        <v/>
      </c>
      <c r="I120">
        <f>IF(A120="","", IFERROR(VLOOKUP(A120, 'Infrared'!A:G, 6, FALSE), "N/A"))</f>
        <v/>
      </c>
      <c r="J120">
        <f>IF(A120="","", IFERROR(VLOOKUP(A120, 'Ultrasonic'!A:H, 7, FALSE), "N/A"))</f>
        <v/>
      </c>
      <c r="K120">
        <f>IF(A120="","", IFERROR(VLOOKUP(A120, 'Code Violations'!A:V, 22, FALSE), "N/A"))</f>
        <v/>
      </c>
      <c r="L120">
        <f>IF(A120="","", IF(COUNTIF(E120:K120, "FAIL")&gt;0, "FAIL", "PASS"))</f>
        <v/>
      </c>
    </row>
    <row r="121">
      <c r="A121">
        <f>IF('Equipment Information'!A121="","", 'Equipment Information'!A121)</f>
        <v/>
      </c>
      <c r="B121">
        <f>IF('Equipment Information'!B121="","", 'Equipment Information'!B121)</f>
        <v/>
      </c>
      <c r="C121">
        <f>IF('Equipment Information'!C121="","", 'Equipment Information'!C121)</f>
        <v/>
      </c>
      <c r="D121">
        <f>IF('Equipment Information'!D121="","", 'Equipment Information'!D121)</f>
        <v/>
      </c>
      <c r="E121">
        <f>IF(A121="","", IFERROR(VLOOKUP(A121, 'Energized Data'!A:T, 20, FALSE), "N/A"))</f>
        <v/>
      </c>
      <c r="F121">
        <f>IF(A121="","", IFERROR(VLOOKUP(A121, 'Insulation'!A:J, 9, FALSE), "N/A"))</f>
        <v/>
      </c>
      <c r="G121">
        <f>IF(A121="","", IFERROR(VLOOKUP(A121, 'DLRO'!A:I, 8, FALSE), "N/A"))</f>
        <v/>
      </c>
      <c r="H121">
        <f>IF(A121="","", IFERROR(VLOOKUP(A121, 'Torque'!A:I, 8, FALSE), "N/A"))</f>
        <v/>
      </c>
      <c r="I121">
        <f>IF(A121="","", IFERROR(VLOOKUP(A121, 'Infrared'!A:G, 6, FALSE), "N/A"))</f>
        <v/>
      </c>
      <c r="J121">
        <f>IF(A121="","", IFERROR(VLOOKUP(A121, 'Ultrasonic'!A:H, 7, FALSE), "N/A"))</f>
        <v/>
      </c>
      <c r="K121">
        <f>IF(A121="","", IFERROR(VLOOKUP(A121, 'Code Violations'!A:V, 22, FALSE), "N/A"))</f>
        <v/>
      </c>
      <c r="L121">
        <f>IF(A121="","", IF(COUNTIF(E121:K121, "FAIL")&gt;0, "FAIL", "PASS"))</f>
        <v/>
      </c>
    </row>
    <row r="122">
      <c r="A122">
        <f>IF('Equipment Information'!A122="","", 'Equipment Information'!A122)</f>
        <v/>
      </c>
      <c r="B122">
        <f>IF('Equipment Information'!B122="","", 'Equipment Information'!B122)</f>
        <v/>
      </c>
      <c r="C122">
        <f>IF('Equipment Information'!C122="","", 'Equipment Information'!C122)</f>
        <v/>
      </c>
      <c r="D122">
        <f>IF('Equipment Information'!D122="","", 'Equipment Information'!D122)</f>
        <v/>
      </c>
      <c r="E122">
        <f>IF(A122="","", IFERROR(VLOOKUP(A122, 'Energized Data'!A:T, 20, FALSE), "N/A"))</f>
        <v/>
      </c>
      <c r="F122">
        <f>IF(A122="","", IFERROR(VLOOKUP(A122, 'Insulation'!A:J, 9, FALSE), "N/A"))</f>
        <v/>
      </c>
      <c r="G122">
        <f>IF(A122="","", IFERROR(VLOOKUP(A122, 'DLRO'!A:I, 8, FALSE), "N/A"))</f>
        <v/>
      </c>
      <c r="H122">
        <f>IF(A122="","", IFERROR(VLOOKUP(A122, 'Torque'!A:I, 8, FALSE), "N/A"))</f>
        <v/>
      </c>
      <c r="I122">
        <f>IF(A122="","", IFERROR(VLOOKUP(A122, 'Infrared'!A:G, 6, FALSE), "N/A"))</f>
        <v/>
      </c>
      <c r="J122">
        <f>IF(A122="","", IFERROR(VLOOKUP(A122, 'Ultrasonic'!A:H, 7, FALSE), "N/A"))</f>
        <v/>
      </c>
      <c r="K122">
        <f>IF(A122="","", IFERROR(VLOOKUP(A122, 'Code Violations'!A:V, 22, FALSE), "N/A"))</f>
        <v/>
      </c>
      <c r="L122">
        <f>IF(A122="","", IF(COUNTIF(E122:K122, "FAIL")&gt;0, "FAIL", "PASS"))</f>
        <v/>
      </c>
    </row>
    <row r="123">
      <c r="A123">
        <f>IF('Equipment Information'!A123="","", 'Equipment Information'!A123)</f>
        <v/>
      </c>
      <c r="B123">
        <f>IF('Equipment Information'!B123="","", 'Equipment Information'!B123)</f>
        <v/>
      </c>
      <c r="C123">
        <f>IF('Equipment Information'!C123="","", 'Equipment Information'!C123)</f>
        <v/>
      </c>
      <c r="D123">
        <f>IF('Equipment Information'!D123="","", 'Equipment Information'!D123)</f>
        <v/>
      </c>
      <c r="E123">
        <f>IF(A123="","", IFERROR(VLOOKUP(A123, 'Energized Data'!A:T, 20, FALSE), "N/A"))</f>
        <v/>
      </c>
      <c r="F123">
        <f>IF(A123="","", IFERROR(VLOOKUP(A123, 'Insulation'!A:J, 9, FALSE), "N/A"))</f>
        <v/>
      </c>
      <c r="G123">
        <f>IF(A123="","", IFERROR(VLOOKUP(A123, 'DLRO'!A:I, 8, FALSE), "N/A"))</f>
        <v/>
      </c>
      <c r="H123">
        <f>IF(A123="","", IFERROR(VLOOKUP(A123, 'Torque'!A:I, 8, FALSE), "N/A"))</f>
        <v/>
      </c>
      <c r="I123">
        <f>IF(A123="","", IFERROR(VLOOKUP(A123, 'Infrared'!A:G, 6, FALSE), "N/A"))</f>
        <v/>
      </c>
      <c r="J123">
        <f>IF(A123="","", IFERROR(VLOOKUP(A123, 'Ultrasonic'!A:H, 7, FALSE), "N/A"))</f>
        <v/>
      </c>
      <c r="K123">
        <f>IF(A123="","", IFERROR(VLOOKUP(A123, 'Code Violations'!A:V, 22, FALSE), "N/A"))</f>
        <v/>
      </c>
      <c r="L123">
        <f>IF(A123="","", IF(COUNTIF(E123:K123, "FAIL")&gt;0, "FAIL", "PASS"))</f>
        <v/>
      </c>
    </row>
    <row r="124">
      <c r="A124">
        <f>IF('Equipment Information'!A124="","", 'Equipment Information'!A124)</f>
        <v/>
      </c>
      <c r="B124">
        <f>IF('Equipment Information'!B124="","", 'Equipment Information'!B124)</f>
        <v/>
      </c>
      <c r="C124">
        <f>IF('Equipment Information'!C124="","", 'Equipment Information'!C124)</f>
        <v/>
      </c>
      <c r="D124">
        <f>IF('Equipment Information'!D124="","", 'Equipment Information'!D124)</f>
        <v/>
      </c>
      <c r="E124">
        <f>IF(A124="","", IFERROR(VLOOKUP(A124, 'Energized Data'!A:T, 20, FALSE), "N/A"))</f>
        <v/>
      </c>
      <c r="F124">
        <f>IF(A124="","", IFERROR(VLOOKUP(A124, 'Insulation'!A:J, 9, FALSE), "N/A"))</f>
        <v/>
      </c>
      <c r="G124">
        <f>IF(A124="","", IFERROR(VLOOKUP(A124, 'DLRO'!A:I, 8, FALSE), "N/A"))</f>
        <v/>
      </c>
      <c r="H124">
        <f>IF(A124="","", IFERROR(VLOOKUP(A124, 'Torque'!A:I, 8, FALSE), "N/A"))</f>
        <v/>
      </c>
      <c r="I124">
        <f>IF(A124="","", IFERROR(VLOOKUP(A124, 'Infrared'!A:G, 6, FALSE), "N/A"))</f>
        <v/>
      </c>
      <c r="J124">
        <f>IF(A124="","", IFERROR(VLOOKUP(A124, 'Ultrasonic'!A:H, 7, FALSE), "N/A"))</f>
        <v/>
      </c>
      <c r="K124">
        <f>IF(A124="","", IFERROR(VLOOKUP(A124, 'Code Violations'!A:V, 22, FALSE), "N/A"))</f>
        <v/>
      </c>
      <c r="L124">
        <f>IF(A124="","", IF(COUNTIF(E124:K124, "FAIL")&gt;0, "FAIL", "PASS"))</f>
        <v/>
      </c>
    </row>
    <row r="125">
      <c r="A125">
        <f>IF('Equipment Information'!A125="","", 'Equipment Information'!A125)</f>
        <v/>
      </c>
      <c r="B125">
        <f>IF('Equipment Information'!B125="","", 'Equipment Information'!B125)</f>
        <v/>
      </c>
      <c r="C125">
        <f>IF('Equipment Information'!C125="","", 'Equipment Information'!C125)</f>
        <v/>
      </c>
      <c r="D125">
        <f>IF('Equipment Information'!D125="","", 'Equipment Information'!D125)</f>
        <v/>
      </c>
      <c r="E125">
        <f>IF(A125="","", IFERROR(VLOOKUP(A125, 'Energized Data'!A:T, 20, FALSE), "N/A"))</f>
        <v/>
      </c>
      <c r="F125">
        <f>IF(A125="","", IFERROR(VLOOKUP(A125, 'Insulation'!A:J, 9, FALSE), "N/A"))</f>
        <v/>
      </c>
      <c r="G125">
        <f>IF(A125="","", IFERROR(VLOOKUP(A125, 'DLRO'!A:I, 8, FALSE), "N/A"))</f>
        <v/>
      </c>
      <c r="H125">
        <f>IF(A125="","", IFERROR(VLOOKUP(A125, 'Torque'!A:I, 8, FALSE), "N/A"))</f>
        <v/>
      </c>
      <c r="I125">
        <f>IF(A125="","", IFERROR(VLOOKUP(A125, 'Infrared'!A:G, 6, FALSE), "N/A"))</f>
        <v/>
      </c>
      <c r="J125">
        <f>IF(A125="","", IFERROR(VLOOKUP(A125, 'Ultrasonic'!A:H, 7, FALSE), "N/A"))</f>
        <v/>
      </c>
      <c r="K125">
        <f>IF(A125="","", IFERROR(VLOOKUP(A125, 'Code Violations'!A:V, 22, FALSE), "N/A"))</f>
        <v/>
      </c>
      <c r="L125">
        <f>IF(A125="","", IF(COUNTIF(E125:K125, "FAIL")&gt;0, "FAIL", "PASS"))</f>
        <v/>
      </c>
    </row>
    <row r="126">
      <c r="A126">
        <f>IF('Equipment Information'!A126="","", 'Equipment Information'!A126)</f>
        <v/>
      </c>
      <c r="B126">
        <f>IF('Equipment Information'!B126="","", 'Equipment Information'!B126)</f>
        <v/>
      </c>
      <c r="C126">
        <f>IF('Equipment Information'!C126="","", 'Equipment Information'!C126)</f>
        <v/>
      </c>
      <c r="D126">
        <f>IF('Equipment Information'!D126="","", 'Equipment Information'!D126)</f>
        <v/>
      </c>
      <c r="E126">
        <f>IF(A126="","", IFERROR(VLOOKUP(A126, 'Energized Data'!A:T, 20, FALSE), "N/A"))</f>
        <v/>
      </c>
      <c r="F126">
        <f>IF(A126="","", IFERROR(VLOOKUP(A126, 'Insulation'!A:J, 9, FALSE), "N/A"))</f>
        <v/>
      </c>
      <c r="G126">
        <f>IF(A126="","", IFERROR(VLOOKUP(A126, 'DLRO'!A:I, 8, FALSE), "N/A"))</f>
        <v/>
      </c>
      <c r="H126">
        <f>IF(A126="","", IFERROR(VLOOKUP(A126, 'Torque'!A:I, 8, FALSE), "N/A"))</f>
        <v/>
      </c>
      <c r="I126">
        <f>IF(A126="","", IFERROR(VLOOKUP(A126, 'Infrared'!A:G, 6, FALSE), "N/A"))</f>
        <v/>
      </c>
      <c r="J126">
        <f>IF(A126="","", IFERROR(VLOOKUP(A126, 'Ultrasonic'!A:H, 7, FALSE), "N/A"))</f>
        <v/>
      </c>
      <c r="K126">
        <f>IF(A126="","", IFERROR(VLOOKUP(A126, 'Code Violations'!A:V, 22, FALSE), "N/A"))</f>
        <v/>
      </c>
      <c r="L126">
        <f>IF(A126="","", IF(COUNTIF(E126:K126, "FAIL")&gt;0, "FAIL", "PASS"))</f>
        <v/>
      </c>
    </row>
    <row r="127">
      <c r="A127">
        <f>IF('Equipment Information'!A127="","", 'Equipment Information'!A127)</f>
        <v/>
      </c>
      <c r="B127">
        <f>IF('Equipment Information'!B127="","", 'Equipment Information'!B127)</f>
        <v/>
      </c>
      <c r="C127">
        <f>IF('Equipment Information'!C127="","", 'Equipment Information'!C127)</f>
        <v/>
      </c>
      <c r="D127">
        <f>IF('Equipment Information'!D127="","", 'Equipment Information'!D127)</f>
        <v/>
      </c>
      <c r="E127">
        <f>IF(A127="","", IFERROR(VLOOKUP(A127, 'Energized Data'!A:T, 20, FALSE), "N/A"))</f>
        <v/>
      </c>
      <c r="F127">
        <f>IF(A127="","", IFERROR(VLOOKUP(A127, 'Insulation'!A:J, 9, FALSE), "N/A"))</f>
        <v/>
      </c>
      <c r="G127">
        <f>IF(A127="","", IFERROR(VLOOKUP(A127, 'DLRO'!A:I, 8, FALSE), "N/A"))</f>
        <v/>
      </c>
      <c r="H127">
        <f>IF(A127="","", IFERROR(VLOOKUP(A127, 'Torque'!A:I, 8, FALSE), "N/A"))</f>
        <v/>
      </c>
      <c r="I127">
        <f>IF(A127="","", IFERROR(VLOOKUP(A127, 'Infrared'!A:G, 6, FALSE), "N/A"))</f>
        <v/>
      </c>
      <c r="J127">
        <f>IF(A127="","", IFERROR(VLOOKUP(A127, 'Ultrasonic'!A:H, 7, FALSE), "N/A"))</f>
        <v/>
      </c>
      <c r="K127">
        <f>IF(A127="","", IFERROR(VLOOKUP(A127, 'Code Violations'!A:V, 22, FALSE), "N/A"))</f>
        <v/>
      </c>
      <c r="L127">
        <f>IF(A127="","", IF(COUNTIF(E127:K127, "FAIL")&gt;0, "FAIL", "PASS"))</f>
        <v/>
      </c>
    </row>
    <row r="128">
      <c r="A128">
        <f>IF('Equipment Information'!A128="","", 'Equipment Information'!A128)</f>
        <v/>
      </c>
      <c r="B128">
        <f>IF('Equipment Information'!B128="","", 'Equipment Information'!B128)</f>
        <v/>
      </c>
      <c r="C128">
        <f>IF('Equipment Information'!C128="","", 'Equipment Information'!C128)</f>
        <v/>
      </c>
      <c r="D128">
        <f>IF('Equipment Information'!D128="","", 'Equipment Information'!D128)</f>
        <v/>
      </c>
      <c r="E128">
        <f>IF(A128="","", IFERROR(VLOOKUP(A128, 'Energized Data'!A:T, 20, FALSE), "N/A"))</f>
        <v/>
      </c>
      <c r="F128">
        <f>IF(A128="","", IFERROR(VLOOKUP(A128, 'Insulation'!A:J, 9, FALSE), "N/A"))</f>
        <v/>
      </c>
      <c r="G128">
        <f>IF(A128="","", IFERROR(VLOOKUP(A128, 'DLRO'!A:I, 8, FALSE), "N/A"))</f>
        <v/>
      </c>
      <c r="H128">
        <f>IF(A128="","", IFERROR(VLOOKUP(A128, 'Torque'!A:I, 8, FALSE), "N/A"))</f>
        <v/>
      </c>
      <c r="I128">
        <f>IF(A128="","", IFERROR(VLOOKUP(A128, 'Infrared'!A:G, 6, FALSE), "N/A"))</f>
        <v/>
      </c>
      <c r="J128">
        <f>IF(A128="","", IFERROR(VLOOKUP(A128, 'Ultrasonic'!A:H, 7, FALSE), "N/A"))</f>
        <v/>
      </c>
      <c r="K128">
        <f>IF(A128="","", IFERROR(VLOOKUP(A128, 'Code Violations'!A:V, 22, FALSE), "N/A"))</f>
        <v/>
      </c>
      <c r="L128">
        <f>IF(A128="","", IF(COUNTIF(E128:K128, "FAIL")&gt;0, "FAIL", "PASS"))</f>
        <v/>
      </c>
    </row>
    <row r="129">
      <c r="A129">
        <f>IF('Equipment Information'!A129="","", 'Equipment Information'!A129)</f>
        <v/>
      </c>
      <c r="B129">
        <f>IF('Equipment Information'!B129="","", 'Equipment Information'!B129)</f>
        <v/>
      </c>
      <c r="C129">
        <f>IF('Equipment Information'!C129="","", 'Equipment Information'!C129)</f>
        <v/>
      </c>
      <c r="D129">
        <f>IF('Equipment Information'!D129="","", 'Equipment Information'!D129)</f>
        <v/>
      </c>
      <c r="E129">
        <f>IF(A129="","", IFERROR(VLOOKUP(A129, 'Energized Data'!A:T, 20, FALSE), "N/A"))</f>
        <v/>
      </c>
      <c r="F129">
        <f>IF(A129="","", IFERROR(VLOOKUP(A129, 'Insulation'!A:J, 9, FALSE), "N/A"))</f>
        <v/>
      </c>
      <c r="G129">
        <f>IF(A129="","", IFERROR(VLOOKUP(A129, 'DLRO'!A:I, 8, FALSE), "N/A"))</f>
        <v/>
      </c>
      <c r="H129">
        <f>IF(A129="","", IFERROR(VLOOKUP(A129, 'Torque'!A:I, 8, FALSE), "N/A"))</f>
        <v/>
      </c>
      <c r="I129">
        <f>IF(A129="","", IFERROR(VLOOKUP(A129, 'Infrared'!A:G, 6, FALSE), "N/A"))</f>
        <v/>
      </c>
      <c r="J129">
        <f>IF(A129="","", IFERROR(VLOOKUP(A129, 'Ultrasonic'!A:H, 7, FALSE), "N/A"))</f>
        <v/>
      </c>
      <c r="K129">
        <f>IF(A129="","", IFERROR(VLOOKUP(A129, 'Code Violations'!A:V, 22, FALSE), "N/A"))</f>
        <v/>
      </c>
      <c r="L129">
        <f>IF(A129="","", IF(COUNTIF(E129:K129, "FAIL")&gt;0, "FAIL", "PASS"))</f>
        <v/>
      </c>
    </row>
    <row r="130">
      <c r="A130">
        <f>IF('Equipment Information'!A130="","", 'Equipment Information'!A130)</f>
        <v/>
      </c>
      <c r="B130">
        <f>IF('Equipment Information'!B130="","", 'Equipment Information'!B130)</f>
        <v/>
      </c>
      <c r="C130">
        <f>IF('Equipment Information'!C130="","", 'Equipment Information'!C130)</f>
        <v/>
      </c>
      <c r="D130">
        <f>IF('Equipment Information'!D130="","", 'Equipment Information'!D130)</f>
        <v/>
      </c>
      <c r="E130">
        <f>IF(A130="","", IFERROR(VLOOKUP(A130, 'Energized Data'!A:T, 20, FALSE), "N/A"))</f>
        <v/>
      </c>
      <c r="F130">
        <f>IF(A130="","", IFERROR(VLOOKUP(A130, 'Insulation'!A:J, 9, FALSE), "N/A"))</f>
        <v/>
      </c>
      <c r="G130">
        <f>IF(A130="","", IFERROR(VLOOKUP(A130, 'DLRO'!A:I, 8, FALSE), "N/A"))</f>
        <v/>
      </c>
      <c r="H130">
        <f>IF(A130="","", IFERROR(VLOOKUP(A130, 'Torque'!A:I, 8, FALSE), "N/A"))</f>
        <v/>
      </c>
      <c r="I130">
        <f>IF(A130="","", IFERROR(VLOOKUP(A130, 'Infrared'!A:G, 6, FALSE), "N/A"))</f>
        <v/>
      </c>
      <c r="J130">
        <f>IF(A130="","", IFERROR(VLOOKUP(A130, 'Ultrasonic'!A:H, 7, FALSE), "N/A"))</f>
        <v/>
      </c>
      <c r="K130">
        <f>IF(A130="","", IFERROR(VLOOKUP(A130, 'Code Violations'!A:V, 22, FALSE), "N/A"))</f>
        <v/>
      </c>
      <c r="L130">
        <f>IF(A130="","", IF(COUNTIF(E130:K130, "FAIL")&gt;0, "FAIL", "PASS"))</f>
        <v/>
      </c>
    </row>
    <row r="131">
      <c r="A131">
        <f>IF('Equipment Information'!A131="","", 'Equipment Information'!A131)</f>
        <v/>
      </c>
      <c r="B131">
        <f>IF('Equipment Information'!B131="","", 'Equipment Information'!B131)</f>
        <v/>
      </c>
      <c r="C131">
        <f>IF('Equipment Information'!C131="","", 'Equipment Information'!C131)</f>
        <v/>
      </c>
      <c r="D131">
        <f>IF('Equipment Information'!D131="","", 'Equipment Information'!D131)</f>
        <v/>
      </c>
      <c r="E131">
        <f>IF(A131="","", IFERROR(VLOOKUP(A131, 'Energized Data'!A:T, 20, FALSE), "N/A"))</f>
        <v/>
      </c>
      <c r="F131">
        <f>IF(A131="","", IFERROR(VLOOKUP(A131, 'Insulation'!A:J, 9, FALSE), "N/A"))</f>
        <v/>
      </c>
      <c r="G131">
        <f>IF(A131="","", IFERROR(VLOOKUP(A131, 'DLRO'!A:I, 8, FALSE), "N/A"))</f>
        <v/>
      </c>
      <c r="H131">
        <f>IF(A131="","", IFERROR(VLOOKUP(A131, 'Torque'!A:I, 8, FALSE), "N/A"))</f>
        <v/>
      </c>
      <c r="I131">
        <f>IF(A131="","", IFERROR(VLOOKUP(A131, 'Infrared'!A:G, 6, FALSE), "N/A"))</f>
        <v/>
      </c>
      <c r="J131">
        <f>IF(A131="","", IFERROR(VLOOKUP(A131, 'Ultrasonic'!A:H, 7, FALSE), "N/A"))</f>
        <v/>
      </c>
      <c r="K131">
        <f>IF(A131="","", IFERROR(VLOOKUP(A131, 'Code Violations'!A:V, 22, FALSE), "N/A"))</f>
        <v/>
      </c>
      <c r="L131">
        <f>IF(A131="","", IF(COUNTIF(E131:K131, "FAIL")&gt;0, "FAIL", "PASS"))</f>
        <v/>
      </c>
    </row>
    <row r="132">
      <c r="A132">
        <f>IF('Equipment Information'!A132="","", 'Equipment Information'!A132)</f>
        <v/>
      </c>
      <c r="B132">
        <f>IF('Equipment Information'!B132="","", 'Equipment Information'!B132)</f>
        <v/>
      </c>
      <c r="C132">
        <f>IF('Equipment Information'!C132="","", 'Equipment Information'!C132)</f>
        <v/>
      </c>
      <c r="D132">
        <f>IF('Equipment Information'!D132="","", 'Equipment Information'!D132)</f>
        <v/>
      </c>
      <c r="E132">
        <f>IF(A132="","", IFERROR(VLOOKUP(A132, 'Energized Data'!A:T, 20, FALSE), "N/A"))</f>
        <v/>
      </c>
      <c r="F132">
        <f>IF(A132="","", IFERROR(VLOOKUP(A132, 'Insulation'!A:J, 9, FALSE), "N/A"))</f>
        <v/>
      </c>
      <c r="G132">
        <f>IF(A132="","", IFERROR(VLOOKUP(A132, 'DLRO'!A:I, 8, FALSE), "N/A"))</f>
        <v/>
      </c>
      <c r="H132">
        <f>IF(A132="","", IFERROR(VLOOKUP(A132, 'Torque'!A:I, 8, FALSE), "N/A"))</f>
        <v/>
      </c>
      <c r="I132">
        <f>IF(A132="","", IFERROR(VLOOKUP(A132, 'Infrared'!A:G, 6, FALSE), "N/A"))</f>
        <v/>
      </c>
      <c r="J132">
        <f>IF(A132="","", IFERROR(VLOOKUP(A132, 'Ultrasonic'!A:H, 7, FALSE), "N/A"))</f>
        <v/>
      </c>
      <c r="K132">
        <f>IF(A132="","", IFERROR(VLOOKUP(A132, 'Code Violations'!A:V, 22, FALSE), "N/A"))</f>
        <v/>
      </c>
      <c r="L132">
        <f>IF(A132="","", IF(COUNTIF(E132:K132, "FAIL")&gt;0, "FAIL", "PASS"))</f>
        <v/>
      </c>
    </row>
    <row r="133">
      <c r="A133">
        <f>IF('Equipment Information'!A133="","", 'Equipment Information'!A133)</f>
        <v/>
      </c>
      <c r="B133">
        <f>IF('Equipment Information'!B133="","", 'Equipment Information'!B133)</f>
        <v/>
      </c>
      <c r="C133">
        <f>IF('Equipment Information'!C133="","", 'Equipment Information'!C133)</f>
        <v/>
      </c>
      <c r="D133">
        <f>IF('Equipment Information'!D133="","", 'Equipment Information'!D133)</f>
        <v/>
      </c>
      <c r="E133">
        <f>IF(A133="","", IFERROR(VLOOKUP(A133, 'Energized Data'!A:T, 20, FALSE), "N/A"))</f>
        <v/>
      </c>
      <c r="F133">
        <f>IF(A133="","", IFERROR(VLOOKUP(A133, 'Insulation'!A:J, 9, FALSE), "N/A"))</f>
        <v/>
      </c>
      <c r="G133">
        <f>IF(A133="","", IFERROR(VLOOKUP(A133, 'DLRO'!A:I, 8, FALSE), "N/A"))</f>
        <v/>
      </c>
      <c r="H133">
        <f>IF(A133="","", IFERROR(VLOOKUP(A133, 'Torque'!A:I, 8, FALSE), "N/A"))</f>
        <v/>
      </c>
      <c r="I133">
        <f>IF(A133="","", IFERROR(VLOOKUP(A133, 'Infrared'!A:G, 6, FALSE), "N/A"))</f>
        <v/>
      </c>
      <c r="J133">
        <f>IF(A133="","", IFERROR(VLOOKUP(A133, 'Ultrasonic'!A:H, 7, FALSE), "N/A"))</f>
        <v/>
      </c>
      <c r="K133">
        <f>IF(A133="","", IFERROR(VLOOKUP(A133, 'Code Violations'!A:V, 22, FALSE), "N/A"))</f>
        <v/>
      </c>
      <c r="L133">
        <f>IF(A133="","", IF(COUNTIF(E133:K133, "FAIL")&gt;0, "FAIL", "PASS"))</f>
        <v/>
      </c>
    </row>
    <row r="134">
      <c r="A134">
        <f>IF('Equipment Information'!A134="","", 'Equipment Information'!A134)</f>
        <v/>
      </c>
      <c r="B134">
        <f>IF('Equipment Information'!B134="","", 'Equipment Information'!B134)</f>
        <v/>
      </c>
      <c r="C134">
        <f>IF('Equipment Information'!C134="","", 'Equipment Information'!C134)</f>
        <v/>
      </c>
      <c r="D134">
        <f>IF('Equipment Information'!D134="","", 'Equipment Information'!D134)</f>
        <v/>
      </c>
      <c r="E134">
        <f>IF(A134="","", IFERROR(VLOOKUP(A134, 'Energized Data'!A:T, 20, FALSE), "N/A"))</f>
        <v/>
      </c>
      <c r="F134">
        <f>IF(A134="","", IFERROR(VLOOKUP(A134, 'Insulation'!A:J, 9, FALSE), "N/A"))</f>
        <v/>
      </c>
      <c r="G134">
        <f>IF(A134="","", IFERROR(VLOOKUP(A134, 'DLRO'!A:I, 8, FALSE), "N/A"))</f>
        <v/>
      </c>
      <c r="H134">
        <f>IF(A134="","", IFERROR(VLOOKUP(A134, 'Torque'!A:I, 8, FALSE), "N/A"))</f>
        <v/>
      </c>
      <c r="I134">
        <f>IF(A134="","", IFERROR(VLOOKUP(A134, 'Infrared'!A:G, 6, FALSE), "N/A"))</f>
        <v/>
      </c>
      <c r="J134">
        <f>IF(A134="","", IFERROR(VLOOKUP(A134, 'Ultrasonic'!A:H, 7, FALSE), "N/A"))</f>
        <v/>
      </c>
      <c r="K134">
        <f>IF(A134="","", IFERROR(VLOOKUP(A134, 'Code Violations'!A:V, 22, FALSE), "N/A"))</f>
        <v/>
      </c>
      <c r="L134">
        <f>IF(A134="","", IF(COUNTIF(E134:K134, "FAIL")&gt;0, "FAIL", "PASS"))</f>
        <v/>
      </c>
    </row>
    <row r="135">
      <c r="A135">
        <f>IF('Equipment Information'!A135="","", 'Equipment Information'!A135)</f>
        <v/>
      </c>
      <c r="B135">
        <f>IF('Equipment Information'!B135="","", 'Equipment Information'!B135)</f>
        <v/>
      </c>
      <c r="C135">
        <f>IF('Equipment Information'!C135="","", 'Equipment Information'!C135)</f>
        <v/>
      </c>
      <c r="D135">
        <f>IF('Equipment Information'!D135="","", 'Equipment Information'!D135)</f>
        <v/>
      </c>
      <c r="E135">
        <f>IF(A135="","", IFERROR(VLOOKUP(A135, 'Energized Data'!A:T, 20, FALSE), "N/A"))</f>
        <v/>
      </c>
      <c r="F135">
        <f>IF(A135="","", IFERROR(VLOOKUP(A135, 'Insulation'!A:J, 9, FALSE), "N/A"))</f>
        <v/>
      </c>
      <c r="G135">
        <f>IF(A135="","", IFERROR(VLOOKUP(A135, 'DLRO'!A:I, 8, FALSE), "N/A"))</f>
        <v/>
      </c>
      <c r="H135">
        <f>IF(A135="","", IFERROR(VLOOKUP(A135, 'Torque'!A:I, 8, FALSE), "N/A"))</f>
        <v/>
      </c>
      <c r="I135">
        <f>IF(A135="","", IFERROR(VLOOKUP(A135, 'Infrared'!A:G, 6, FALSE), "N/A"))</f>
        <v/>
      </c>
      <c r="J135">
        <f>IF(A135="","", IFERROR(VLOOKUP(A135, 'Ultrasonic'!A:H, 7, FALSE), "N/A"))</f>
        <v/>
      </c>
      <c r="K135">
        <f>IF(A135="","", IFERROR(VLOOKUP(A135, 'Code Violations'!A:V, 22, FALSE), "N/A"))</f>
        <v/>
      </c>
      <c r="L135">
        <f>IF(A135="","", IF(COUNTIF(E135:K135, "FAIL")&gt;0, "FAIL", "PASS"))</f>
        <v/>
      </c>
    </row>
    <row r="136">
      <c r="A136">
        <f>IF('Equipment Information'!A136="","", 'Equipment Information'!A136)</f>
        <v/>
      </c>
      <c r="B136">
        <f>IF('Equipment Information'!B136="","", 'Equipment Information'!B136)</f>
        <v/>
      </c>
      <c r="C136">
        <f>IF('Equipment Information'!C136="","", 'Equipment Information'!C136)</f>
        <v/>
      </c>
      <c r="D136">
        <f>IF('Equipment Information'!D136="","", 'Equipment Information'!D136)</f>
        <v/>
      </c>
      <c r="E136">
        <f>IF(A136="","", IFERROR(VLOOKUP(A136, 'Energized Data'!A:T, 20, FALSE), "N/A"))</f>
        <v/>
      </c>
      <c r="F136">
        <f>IF(A136="","", IFERROR(VLOOKUP(A136, 'Insulation'!A:J, 9, FALSE), "N/A"))</f>
        <v/>
      </c>
      <c r="G136">
        <f>IF(A136="","", IFERROR(VLOOKUP(A136, 'DLRO'!A:I, 8, FALSE), "N/A"))</f>
        <v/>
      </c>
      <c r="H136">
        <f>IF(A136="","", IFERROR(VLOOKUP(A136, 'Torque'!A:I, 8, FALSE), "N/A"))</f>
        <v/>
      </c>
      <c r="I136">
        <f>IF(A136="","", IFERROR(VLOOKUP(A136, 'Infrared'!A:G, 6, FALSE), "N/A"))</f>
        <v/>
      </c>
      <c r="J136">
        <f>IF(A136="","", IFERROR(VLOOKUP(A136, 'Ultrasonic'!A:H, 7, FALSE), "N/A"))</f>
        <v/>
      </c>
      <c r="K136">
        <f>IF(A136="","", IFERROR(VLOOKUP(A136, 'Code Violations'!A:V, 22, FALSE), "N/A"))</f>
        <v/>
      </c>
      <c r="L136">
        <f>IF(A136="","", IF(COUNTIF(E136:K136, "FAIL")&gt;0, "FAIL", "PASS"))</f>
        <v/>
      </c>
    </row>
    <row r="137">
      <c r="A137">
        <f>IF('Equipment Information'!A137="","", 'Equipment Information'!A137)</f>
        <v/>
      </c>
      <c r="B137">
        <f>IF('Equipment Information'!B137="","", 'Equipment Information'!B137)</f>
        <v/>
      </c>
      <c r="C137">
        <f>IF('Equipment Information'!C137="","", 'Equipment Information'!C137)</f>
        <v/>
      </c>
      <c r="D137">
        <f>IF('Equipment Information'!D137="","", 'Equipment Information'!D137)</f>
        <v/>
      </c>
      <c r="E137">
        <f>IF(A137="","", IFERROR(VLOOKUP(A137, 'Energized Data'!A:T, 20, FALSE), "N/A"))</f>
        <v/>
      </c>
      <c r="F137">
        <f>IF(A137="","", IFERROR(VLOOKUP(A137, 'Insulation'!A:J, 9, FALSE), "N/A"))</f>
        <v/>
      </c>
      <c r="G137">
        <f>IF(A137="","", IFERROR(VLOOKUP(A137, 'DLRO'!A:I, 8, FALSE), "N/A"))</f>
        <v/>
      </c>
      <c r="H137">
        <f>IF(A137="","", IFERROR(VLOOKUP(A137, 'Torque'!A:I, 8, FALSE), "N/A"))</f>
        <v/>
      </c>
      <c r="I137">
        <f>IF(A137="","", IFERROR(VLOOKUP(A137, 'Infrared'!A:G, 6, FALSE), "N/A"))</f>
        <v/>
      </c>
      <c r="J137">
        <f>IF(A137="","", IFERROR(VLOOKUP(A137, 'Ultrasonic'!A:H, 7, FALSE), "N/A"))</f>
        <v/>
      </c>
      <c r="K137">
        <f>IF(A137="","", IFERROR(VLOOKUP(A137, 'Code Violations'!A:V, 22, FALSE), "N/A"))</f>
        <v/>
      </c>
      <c r="L137">
        <f>IF(A137="","", IF(COUNTIF(E137:K137, "FAIL")&gt;0, "FAIL", "PASS"))</f>
        <v/>
      </c>
    </row>
    <row r="138">
      <c r="A138">
        <f>IF('Equipment Information'!A138="","", 'Equipment Information'!A138)</f>
        <v/>
      </c>
      <c r="B138">
        <f>IF('Equipment Information'!B138="","", 'Equipment Information'!B138)</f>
        <v/>
      </c>
      <c r="C138">
        <f>IF('Equipment Information'!C138="","", 'Equipment Information'!C138)</f>
        <v/>
      </c>
      <c r="D138">
        <f>IF('Equipment Information'!D138="","", 'Equipment Information'!D138)</f>
        <v/>
      </c>
      <c r="E138">
        <f>IF(A138="","", IFERROR(VLOOKUP(A138, 'Energized Data'!A:T, 20, FALSE), "N/A"))</f>
        <v/>
      </c>
      <c r="F138">
        <f>IF(A138="","", IFERROR(VLOOKUP(A138, 'Insulation'!A:J, 9, FALSE), "N/A"))</f>
        <v/>
      </c>
      <c r="G138">
        <f>IF(A138="","", IFERROR(VLOOKUP(A138, 'DLRO'!A:I, 8, FALSE), "N/A"))</f>
        <v/>
      </c>
      <c r="H138">
        <f>IF(A138="","", IFERROR(VLOOKUP(A138, 'Torque'!A:I, 8, FALSE), "N/A"))</f>
        <v/>
      </c>
      <c r="I138">
        <f>IF(A138="","", IFERROR(VLOOKUP(A138, 'Infrared'!A:G, 6, FALSE), "N/A"))</f>
        <v/>
      </c>
      <c r="J138">
        <f>IF(A138="","", IFERROR(VLOOKUP(A138, 'Ultrasonic'!A:H, 7, FALSE), "N/A"))</f>
        <v/>
      </c>
      <c r="K138">
        <f>IF(A138="","", IFERROR(VLOOKUP(A138, 'Code Violations'!A:V, 22, FALSE), "N/A"))</f>
        <v/>
      </c>
      <c r="L138">
        <f>IF(A138="","", IF(COUNTIF(E138:K138, "FAIL")&gt;0, "FAIL", "PASS"))</f>
        <v/>
      </c>
    </row>
    <row r="139">
      <c r="A139">
        <f>IF('Equipment Information'!A139="","", 'Equipment Information'!A139)</f>
        <v/>
      </c>
      <c r="B139">
        <f>IF('Equipment Information'!B139="","", 'Equipment Information'!B139)</f>
        <v/>
      </c>
      <c r="C139">
        <f>IF('Equipment Information'!C139="","", 'Equipment Information'!C139)</f>
        <v/>
      </c>
      <c r="D139">
        <f>IF('Equipment Information'!D139="","", 'Equipment Information'!D139)</f>
        <v/>
      </c>
      <c r="E139">
        <f>IF(A139="","", IFERROR(VLOOKUP(A139, 'Energized Data'!A:T, 20, FALSE), "N/A"))</f>
        <v/>
      </c>
      <c r="F139">
        <f>IF(A139="","", IFERROR(VLOOKUP(A139, 'Insulation'!A:J, 9, FALSE), "N/A"))</f>
        <v/>
      </c>
      <c r="G139">
        <f>IF(A139="","", IFERROR(VLOOKUP(A139, 'DLRO'!A:I, 8, FALSE), "N/A"))</f>
        <v/>
      </c>
      <c r="H139">
        <f>IF(A139="","", IFERROR(VLOOKUP(A139, 'Torque'!A:I, 8, FALSE), "N/A"))</f>
        <v/>
      </c>
      <c r="I139">
        <f>IF(A139="","", IFERROR(VLOOKUP(A139, 'Infrared'!A:G, 6, FALSE), "N/A"))</f>
        <v/>
      </c>
      <c r="J139">
        <f>IF(A139="","", IFERROR(VLOOKUP(A139, 'Ultrasonic'!A:H, 7, FALSE), "N/A"))</f>
        <v/>
      </c>
      <c r="K139">
        <f>IF(A139="","", IFERROR(VLOOKUP(A139, 'Code Violations'!A:V, 22, FALSE), "N/A"))</f>
        <v/>
      </c>
      <c r="L139">
        <f>IF(A139="","", IF(COUNTIF(E139:K139, "FAIL")&gt;0, "FAIL", "PASS"))</f>
        <v/>
      </c>
    </row>
    <row r="140">
      <c r="A140">
        <f>IF('Equipment Information'!A140="","", 'Equipment Information'!A140)</f>
        <v/>
      </c>
      <c r="B140">
        <f>IF('Equipment Information'!B140="","", 'Equipment Information'!B140)</f>
        <v/>
      </c>
      <c r="C140">
        <f>IF('Equipment Information'!C140="","", 'Equipment Information'!C140)</f>
        <v/>
      </c>
      <c r="D140">
        <f>IF('Equipment Information'!D140="","", 'Equipment Information'!D140)</f>
        <v/>
      </c>
      <c r="E140">
        <f>IF(A140="","", IFERROR(VLOOKUP(A140, 'Energized Data'!A:T, 20, FALSE), "N/A"))</f>
        <v/>
      </c>
      <c r="F140">
        <f>IF(A140="","", IFERROR(VLOOKUP(A140, 'Insulation'!A:J, 9, FALSE), "N/A"))</f>
        <v/>
      </c>
      <c r="G140">
        <f>IF(A140="","", IFERROR(VLOOKUP(A140, 'DLRO'!A:I, 8, FALSE), "N/A"))</f>
        <v/>
      </c>
      <c r="H140">
        <f>IF(A140="","", IFERROR(VLOOKUP(A140, 'Torque'!A:I, 8, FALSE), "N/A"))</f>
        <v/>
      </c>
      <c r="I140">
        <f>IF(A140="","", IFERROR(VLOOKUP(A140, 'Infrared'!A:G, 6, FALSE), "N/A"))</f>
        <v/>
      </c>
      <c r="J140">
        <f>IF(A140="","", IFERROR(VLOOKUP(A140, 'Ultrasonic'!A:H, 7, FALSE), "N/A"))</f>
        <v/>
      </c>
      <c r="K140">
        <f>IF(A140="","", IFERROR(VLOOKUP(A140, 'Code Violations'!A:V, 22, FALSE), "N/A"))</f>
        <v/>
      </c>
      <c r="L140">
        <f>IF(A140="","", IF(COUNTIF(E140:K140, "FAIL")&gt;0, "FAIL", "PASS"))</f>
        <v/>
      </c>
    </row>
    <row r="141">
      <c r="A141">
        <f>IF('Equipment Information'!A141="","", 'Equipment Information'!A141)</f>
        <v/>
      </c>
      <c r="B141">
        <f>IF('Equipment Information'!B141="","", 'Equipment Information'!B141)</f>
        <v/>
      </c>
      <c r="C141">
        <f>IF('Equipment Information'!C141="","", 'Equipment Information'!C141)</f>
        <v/>
      </c>
      <c r="D141">
        <f>IF('Equipment Information'!D141="","", 'Equipment Information'!D141)</f>
        <v/>
      </c>
      <c r="E141">
        <f>IF(A141="","", IFERROR(VLOOKUP(A141, 'Energized Data'!A:T, 20, FALSE), "N/A"))</f>
        <v/>
      </c>
      <c r="F141">
        <f>IF(A141="","", IFERROR(VLOOKUP(A141, 'Insulation'!A:J, 9, FALSE), "N/A"))</f>
        <v/>
      </c>
      <c r="G141">
        <f>IF(A141="","", IFERROR(VLOOKUP(A141, 'DLRO'!A:I, 8, FALSE), "N/A"))</f>
        <v/>
      </c>
      <c r="H141">
        <f>IF(A141="","", IFERROR(VLOOKUP(A141, 'Torque'!A:I, 8, FALSE), "N/A"))</f>
        <v/>
      </c>
      <c r="I141">
        <f>IF(A141="","", IFERROR(VLOOKUP(A141, 'Infrared'!A:G, 6, FALSE), "N/A"))</f>
        <v/>
      </c>
      <c r="J141">
        <f>IF(A141="","", IFERROR(VLOOKUP(A141, 'Ultrasonic'!A:H, 7, FALSE), "N/A"))</f>
        <v/>
      </c>
      <c r="K141">
        <f>IF(A141="","", IFERROR(VLOOKUP(A141, 'Code Violations'!A:V, 22, FALSE), "N/A"))</f>
        <v/>
      </c>
      <c r="L141">
        <f>IF(A141="","", IF(COUNTIF(E141:K141, "FAIL")&gt;0, "FAIL", "PASS"))</f>
        <v/>
      </c>
    </row>
    <row r="142">
      <c r="A142">
        <f>IF('Equipment Information'!A142="","", 'Equipment Information'!A142)</f>
        <v/>
      </c>
      <c r="B142">
        <f>IF('Equipment Information'!B142="","", 'Equipment Information'!B142)</f>
        <v/>
      </c>
      <c r="C142">
        <f>IF('Equipment Information'!C142="","", 'Equipment Information'!C142)</f>
        <v/>
      </c>
      <c r="D142">
        <f>IF('Equipment Information'!D142="","", 'Equipment Information'!D142)</f>
        <v/>
      </c>
      <c r="E142">
        <f>IF(A142="","", IFERROR(VLOOKUP(A142, 'Energized Data'!A:T, 20, FALSE), "N/A"))</f>
        <v/>
      </c>
      <c r="F142">
        <f>IF(A142="","", IFERROR(VLOOKUP(A142, 'Insulation'!A:J, 9, FALSE), "N/A"))</f>
        <v/>
      </c>
      <c r="G142">
        <f>IF(A142="","", IFERROR(VLOOKUP(A142, 'DLRO'!A:I, 8, FALSE), "N/A"))</f>
        <v/>
      </c>
      <c r="H142">
        <f>IF(A142="","", IFERROR(VLOOKUP(A142, 'Torque'!A:I, 8, FALSE), "N/A"))</f>
        <v/>
      </c>
      <c r="I142">
        <f>IF(A142="","", IFERROR(VLOOKUP(A142, 'Infrared'!A:G, 6, FALSE), "N/A"))</f>
        <v/>
      </c>
      <c r="J142">
        <f>IF(A142="","", IFERROR(VLOOKUP(A142, 'Ultrasonic'!A:H, 7, FALSE), "N/A"))</f>
        <v/>
      </c>
      <c r="K142">
        <f>IF(A142="","", IFERROR(VLOOKUP(A142, 'Code Violations'!A:V, 22, FALSE), "N/A"))</f>
        <v/>
      </c>
      <c r="L142">
        <f>IF(A142="","", IF(COUNTIF(E142:K142, "FAIL")&gt;0, "FAIL", "PASS"))</f>
        <v/>
      </c>
    </row>
    <row r="143">
      <c r="A143">
        <f>IF('Equipment Information'!A143="","", 'Equipment Information'!A143)</f>
        <v/>
      </c>
      <c r="B143">
        <f>IF('Equipment Information'!B143="","", 'Equipment Information'!B143)</f>
        <v/>
      </c>
      <c r="C143">
        <f>IF('Equipment Information'!C143="","", 'Equipment Information'!C143)</f>
        <v/>
      </c>
      <c r="D143">
        <f>IF('Equipment Information'!D143="","", 'Equipment Information'!D143)</f>
        <v/>
      </c>
      <c r="E143">
        <f>IF(A143="","", IFERROR(VLOOKUP(A143, 'Energized Data'!A:T, 20, FALSE), "N/A"))</f>
        <v/>
      </c>
      <c r="F143">
        <f>IF(A143="","", IFERROR(VLOOKUP(A143, 'Insulation'!A:J, 9, FALSE), "N/A"))</f>
        <v/>
      </c>
      <c r="G143">
        <f>IF(A143="","", IFERROR(VLOOKUP(A143, 'DLRO'!A:I, 8, FALSE), "N/A"))</f>
        <v/>
      </c>
      <c r="H143">
        <f>IF(A143="","", IFERROR(VLOOKUP(A143, 'Torque'!A:I, 8, FALSE), "N/A"))</f>
        <v/>
      </c>
      <c r="I143">
        <f>IF(A143="","", IFERROR(VLOOKUP(A143, 'Infrared'!A:G, 6, FALSE), "N/A"))</f>
        <v/>
      </c>
      <c r="J143">
        <f>IF(A143="","", IFERROR(VLOOKUP(A143, 'Ultrasonic'!A:H, 7, FALSE), "N/A"))</f>
        <v/>
      </c>
      <c r="K143">
        <f>IF(A143="","", IFERROR(VLOOKUP(A143, 'Code Violations'!A:V, 22, FALSE), "N/A"))</f>
        <v/>
      </c>
      <c r="L143">
        <f>IF(A143="","", IF(COUNTIF(E143:K143, "FAIL")&gt;0, "FAIL", "PASS"))</f>
        <v/>
      </c>
    </row>
    <row r="144">
      <c r="A144">
        <f>IF('Equipment Information'!A144="","", 'Equipment Information'!A144)</f>
        <v/>
      </c>
      <c r="B144">
        <f>IF('Equipment Information'!B144="","", 'Equipment Information'!B144)</f>
        <v/>
      </c>
      <c r="C144">
        <f>IF('Equipment Information'!C144="","", 'Equipment Information'!C144)</f>
        <v/>
      </c>
      <c r="D144">
        <f>IF('Equipment Information'!D144="","", 'Equipment Information'!D144)</f>
        <v/>
      </c>
      <c r="E144">
        <f>IF(A144="","", IFERROR(VLOOKUP(A144, 'Energized Data'!A:T, 20, FALSE), "N/A"))</f>
        <v/>
      </c>
      <c r="F144">
        <f>IF(A144="","", IFERROR(VLOOKUP(A144, 'Insulation'!A:J, 9, FALSE), "N/A"))</f>
        <v/>
      </c>
      <c r="G144">
        <f>IF(A144="","", IFERROR(VLOOKUP(A144, 'DLRO'!A:I, 8, FALSE), "N/A"))</f>
        <v/>
      </c>
      <c r="H144">
        <f>IF(A144="","", IFERROR(VLOOKUP(A144, 'Torque'!A:I, 8, FALSE), "N/A"))</f>
        <v/>
      </c>
      <c r="I144">
        <f>IF(A144="","", IFERROR(VLOOKUP(A144, 'Infrared'!A:G, 6, FALSE), "N/A"))</f>
        <v/>
      </c>
      <c r="J144">
        <f>IF(A144="","", IFERROR(VLOOKUP(A144, 'Ultrasonic'!A:H, 7, FALSE), "N/A"))</f>
        <v/>
      </c>
      <c r="K144">
        <f>IF(A144="","", IFERROR(VLOOKUP(A144, 'Code Violations'!A:V, 22, FALSE), "N/A"))</f>
        <v/>
      </c>
      <c r="L144">
        <f>IF(A144="","", IF(COUNTIF(E144:K144, "FAIL")&gt;0, "FAIL", "PASS"))</f>
        <v/>
      </c>
    </row>
    <row r="145">
      <c r="A145">
        <f>IF('Equipment Information'!A145="","", 'Equipment Information'!A145)</f>
        <v/>
      </c>
      <c r="B145">
        <f>IF('Equipment Information'!B145="","", 'Equipment Information'!B145)</f>
        <v/>
      </c>
      <c r="C145">
        <f>IF('Equipment Information'!C145="","", 'Equipment Information'!C145)</f>
        <v/>
      </c>
      <c r="D145">
        <f>IF('Equipment Information'!D145="","", 'Equipment Information'!D145)</f>
        <v/>
      </c>
      <c r="E145">
        <f>IF(A145="","", IFERROR(VLOOKUP(A145, 'Energized Data'!A:T, 20, FALSE), "N/A"))</f>
        <v/>
      </c>
      <c r="F145">
        <f>IF(A145="","", IFERROR(VLOOKUP(A145, 'Insulation'!A:J, 9, FALSE), "N/A"))</f>
        <v/>
      </c>
      <c r="G145">
        <f>IF(A145="","", IFERROR(VLOOKUP(A145, 'DLRO'!A:I, 8, FALSE), "N/A"))</f>
        <v/>
      </c>
      <c r="H145">
        <f>IF(A145="","", IFERROR(VLOOKUP(A145, 'Torque'!A:I, 8, FALSE), "N/A"))</f>
        <v/>
      </c>
      <c r="I145">
        <f>IF(A145="","", IFERROR(VLOOKUP(A145, 'Infrared'!A:G, 6, FALSE), "N/A"))</f>
        <v/>
      </c>
      <c r="J145">
        <f>IF(A145="","", IFERROR(VLOOKUP(A145, 'Ultrasonic'!A:H, 7, FALSE), "N/A"))</f>
        <v/>
      </c>
      <c r="K145">
        <f>IF(A145="","", IFERROR(VLOOKUP(A145, 'Code Violations'!A:V, 22, FALSE), "N/A"))</f>
        <v/>
      </c>
      <c r="L145">
        <f>IF(A145="","", IF(COUNTIF(E145:K145, "FAIL")&gt;0, "FAIL", "PASS"))</f>
        <v/>
      </c>
    </row>
    <row r="146">
      <c r="A146">
        <f>IF('Equipment Information'!A146="","", 'Equipment Information'!A146)</f>
        <v/>
      </c>
      <c r="B146">
        <f>IF('Equipment Information'!B146="","", 'Equipment Information'!B146)</f>
        <v/>
      </c>
      <c r="C146">
        <f>IF('Equipment Information'!C146="","", 'Equipment Information'!C146)</f>
        <v/>
      </c>
      <c r="D146">
        <f>IF('Equipment Information'!D146="","", 'Equipment Information'!D146)</f>
        <v/>
      </c>
      <c r="E146">
        <f>IF(A146="","", IFERROR(VLOOKUP(A146, 'Energized Data'!A:T, 20, FALSE), "N/A"))</f>
        <v/>
      </c>
      <c r="F146">
        <f>IF(A146="","", IFERROR(VLOOKUP(A146, 'Insulation'!A:J, 9, FALSE), "N/A"))</f>
        <v/>
      </c>
      <c r="G146">
        <f>IF(A146="","", IFERROR(VLOOKUP(A146, 'DLRO'!A:I, 8, FALSE), "N/A"))</f>
        <v/>
      </c>
      <c r="H146">
        <f>IF(A146="","", IFERROR(VLOOKUP(A146, 'Torque'!A:I, 8, FALSE), "N/A"))</f>
        <v/>
      </c>
      <c r="I146">
        <f>IF(A146="","", IFERROR(VLOOKUP(A146, 'Infrared'!A:G, 6, FALSE), "N/A"))</f>
        <v/>
      </c>
      <c r="J146">
        <f>IF(A146="","", IFERROR(VLOOKUP(A146, 'Ultrasonic'!A:H, 7, FALSE), "N/A"))</f>
        <v/>
      </c>
      <c r="K146">
        <f>IF(A146="","", IFERROR(VLOOKUP(A146, 'Code Violations'!A:V, 22, FALSE), "N/A"))</f>
        <v/>
      </c>
      <c r="L146">
        <f>IF(A146="","", IF(COUNTIF(E146:K146, "FAIL")&gt;0, "FAIL", "PASS"))</f>
        <v/>
      </c>
    </row>
    <row r="147">
      <c r="A147">
        <f>IF('Equipment Information'!A147="","", 'Equipment Information'!A147)</f>
        <v/>
      </c>
      <c r="B147">
        <f>IF('Equipment Information'!B147="","", 'Equipment Information'!B147)</f>
        <v/>
      </c>
      <c r="C147">
        <f>IF('Equipment Information'!C147="","", 'Equipment Information'!C147)</f>
        <v/>
      </c>
      <c r="D147">
        <f>IF('Equipment Information'!D147="","", 'Equipment Information'!D147)</f>
        <v/>
      </c>
      <c r="E147">
        <f>IF(A147="","", IFERROR(VLOOKUP(A147, 'Energized Data'!A:T, 20, FALSE), "N/A"))</f>
        <v/>
      </c>
      <c r="F147">
        <f>IF(A147="","", IFERROR(VLOOKUP(A147, 'Insulation'!A:J, 9, FALSE), "N/A"))</f>
        <v/>
      </c>
      <c r="G147">
        <f>IF(A147="","", IFERROR(VLOOKUP(A147, 'DLRO'!A:I, 8, FALSE), "N/A"))</f>
        <v/>
      </c>
      <c r="H147">
        <f>IF(A147="","", IFERROR(VLOOKUP(A147, 'Torque'!A:I, 8, FALSE), "N/A"))</f>
        <v/>
      </c>
      <c r="I147">
        <f>IF(A147="","", IFERROR(VLOOKUP(A147, 'Infrared'!A:G, 6, FALSE), "N/A"))</f>
        <v/>
      </c>
      <c r="J147">
        <f>IF(A147="","", IFERROR(VLOOKUP(A147, 'Ultrasonic'!A:H, 7, FALSE), "N/A"))</f>
        <v/>
      </c>
      <c r="K147">
        <f>IF(A147="","", IFERROR(VLOOKUP(A147, 'Code Violations'!A:V, 22, FALSE), "N/A"))</f>
        <v/>
      </c>
      <c r="L147">
        <f>IF(A147="","", IF(COUNTIF(E147:K147, "FAIL")&gt;0, "FAIL", "PASS"))</f>
        <v/>
      </c>
    </row>
    <row r="148">
      <c r="A148">
        <f>IF('Equipment Information'!A148="","", 'Equipment Information'!A148)</f>
        <v/>
      </c>
      <c r="B148">
        <f>IF('Equipment Information'!B148="","", 'Equipment Information'!B148)</f>
        <v/>
      </c>
      <c r="C148">
        <f>IF('Equipment Information'!C148="","", 'Equipment Information'!C148)</f>
        <v/>
      </c>
      <c r="D148">
        <f>IF('Equipment Information'!D148="","", 'Equipment Information'!D148)</f>
        <v/>
      </c>
      <c r="E148">
        <f>IF(A148="","", IFERROR(VLOOKUP(A148, 'Energized Data'!A:T, 20, FALSE), "N/A"))</f>
        <v/>
      </c>
      <c r="F148">
        <f>IF(A148="","", IFERROR(VLOOKUP(A148, 'Insulation'!A:J, 9, FALSE), "N/A"))</f>
        <v/>
      </c>
      <c r="G148">
        <f>IF(A148="","", IFERROR(VLOOKUP(A148, 'DLRO'!A:I, 8, FALSE), "N/A"))</f>
        <v/>
      </c>
      <c r="H148">
        <f>IF(A148="","", IFERROR(VLOOKUP(A148, 'Torque'!A:I, 8, FALSE), "N/A"))</f>
        <v/>
      </c>
      <c r="I148">
        <f>IF(A148="","", IFERROR(VLOOKUP(A148, 'Infrared'!A:G, 6, FALSE), "N/A"))</f>
        <v/>
      </c>
      <c r="J148">
        <f>IF(A148="","", IFERROR(VLOOKUP(A148, 'Ultrasonic'!A:H, 7, FALSE), "N/A"))</f>
        <v/>
      </c>
      <c r="K148">
        <f>IF(A148="","", IFERROR(VLOOKUP(A148, 'Code Violations'!A:V, 22, FALSE), "N/A"))</f>
        <v/>
      </c>
      <c r="L148">
        <f>IF(A148="","", IF(COUNTIF(E148:K148, "FAIL")&gt;0, "FAIL", "PASS"))</f>
        <v/>
      </c>
    </row>
    <row r="149">
      <c r="A149">
        <f>IF('Equipment Information'!A149="","", 'Equipment Information'!A149)</f>
        <v/>
      </c>
      <c r="B149">
        <f>IF('Equipment Information'!B149="","", 'Equipment Information'!B149)</f>
        <v/>
      </c>
      <c r="C149">
        <f>IF('Equipment Information'!C149="","", 'Equipment Information'!C149)</f>
        <v/>
      </c>
      <c r="D149">
        <f>IF('Equipment Information'!D149="","", 'Equipment Information'!D149)</f>
        <v/>
      </c>
      <c r="E149">
        <f>IF(A149="","", IFERROR(VLOOKUP(A149, 'Energized Data'!A:T, 20, FALSE), "N/A"))</f>
        <v/>
      </c>
      <c r="F149">
        <f>IF(A149="","", IFERROR(VLOOKUP(A149, 'Insulation'!A:J, 9, FALSE), "N/A"))</f>
        <v/>
      </c>
      <c r="G149">
        <f>IF(A149="","", IFERROR(VLOOKUP(A149, 'DLRO'!A:I, 8, FALSE), "N/A"))</f>
        <v/>
      </c>
      <c r="H149">
        <f>IF(A149="","", IFERROR(VLOOKUP(A149, 'Torque'!A:I, 8, FALSE), "N/A"))</f>
        <v/>
      </c>
      <c r="I149">
        <f>IF(A149="","", IFERROR(VLOOKUP(A149, 'Infrared'!A:G, 6, FALSE), "N/A"))</f>
        <v/>
      </c>
      <c r="J149">
        <f>IF(A149="","", IFERROR(VLOOKUP(A149, 'Ultrasonic'!A:H, 7, FALSE), "N/A"))</f>
        <v/>
      </c>
      <c r="K149">
        <f>IF(A149="","", IFERROR(VLOOKUP(A149, 'Code Violations'!A:V, 22, FALSE), "N/A"))</f>
        <v/>
      </c>
      <c r="L149">
        <f>IF(A149="","", IF(COUNTIF(E149:K149, "FAIL")&gt;0, "FAIL", "PASS"))</f>
        <v/>
      </c>
    </row>
    <row r="150">
      <c r="A150">
        <f>IF('Equipment Information'!A150="","", 'Equipment Information'!A150)</f>
        <v/>
      </c>
      <c r="B150">
        <f>IF('Equipment Information'!B150="","", 'Equipment Information'!B150)</f>
        <v/>
      </c>
      <c r="C150">
        <f>IF('Equipment Information'!C150="","", 'Equipment Information'!C150)</f>
        <v/>
      </c>
      <c r="D150">
        <f>IF('Equipment Information'!D150="","", 'Equipment Information'!D150)</f>
        <v/>
      </c>
      <c r="E150">
        <f>IF(A150="","", IFERROR(VLOOKUP(A150, 'Energized Data'!A:T, 20, FALSE), "N/A"))</f>
        <v/>
      </c>
      <c r="F150">
        <f>IF(A150="","", IFERROR(VLOOKUP(A150, 'Insulation'!A:J, 9, FALSE), "N/A"))</f>
        <v/>
      </c>
      <c r="G150">
        <f>IF(A150="","", IFERROR(VLOOKUP(A150, 'DLRO'!A:I, 8, FALSE), "N/A"))</f>
        <v/>
      </c>
      <c r="H150">
        <f>IF(A150="","", IFERROR(VLOOKUP(A150, 'Torque'!A:I, 8, FALSE), "N/A"))</f>
        <v/>
      </c>
      <c r="I150">
        <f>IF(A150="","", IFERROR(VLOOKUP(A150, 'Infrared'!A:G, 6, FALSE), "N/A"))</f>
        <v/>
      </c>
      <c r="J150">
        <f>IF(A150="","", IFERROR(VLOOKUP(A150, 'Ultrasonic'!A:H, 7, FALSE), "N/A"))</f>
        <v/>
      </c>
      <c r="K150">
        <f>IF(A150="","", IFERROR(VLOOKUP(A150, 'Code Violations'!A:V, 22, FALSE), "N/A"))</f>
        <v/>
      </c>
      <c r="L150">
        <f>IF(A150="","", IF(COUNTIF(E150:K150, "FAIL")&gt;0, "FAIL", "PASS"))</f>
        <v/>
      </c>
    </row>
    <row r="151">
      <c r="A151">
        <f>IF('Equipment Information'!A151="","", 'Equipment Information'!A151)</f>
        <v/>
      </c>
      <c r="B151">
        <f>IF('Equipment Information'!B151="","", 'Equipment Information'!B151)</f>
        <v/>
      </c>
      <c r="C151">
        <f>IF('Equipment Information'!C151="","", 'Equipment Information'!C151)</f>
        <v/>
      </c>
      <c r="D151">
        <f>IF('Equipment Information'!D151="","", 'Equipment Information'!D151)</f>
        <v/>
      </c>
      <c r="E151">
        <f>IF(A151="","", IFERROR(VLOOKUP(A151, 'Energized Data'!A:T, 20, FALSE), "N/A"))</f>
        <v/>
      </c>
      <c r="F151">
        <f>IF(A151="","", IFERROR(VLOOKUP(A151, 'Insulation'!A:J, 9, FALSE), "N/A"))</f>
        <v/>
      </c>
      <c r="G151">
        <f>IF(A151="","", IFERROR(VLOOKUP(A151, 'DLRO'!A:I, 8, FALSE), "N/A"))</f>
        <v/>
      </c>
      <c r="H151">
        <f>IF(A151="","", IFERROR(VLOOKUP(A151, 'Torque'!A:I, 8, FALSE), "N/A"))</f>
        <v/>
      </c>
      <c r="I151">
        <f>IF(A151="","", IFERROR(VLOOKUP(A151, 'Infrared'!A:G, 6, FALSE), "N/A"))</f>
        <v/>
      </c>
      <c r="J151">
        <f>IF(A151="","", IFERROR(VLOOKUP(A151, 'Ultrasonic'!A:H, 7, FALSE), "N/A"))</f>
        <v/>
      </c>
      <c r="K151">
        <f>IF(A151="","", IFERROR(VLOOKUP(A151, 'Code Violations'!A:V, 22, FALSE), "N/A"))</f>
        <v/>
      </c>
      <c r="L151">
        <f>IF(A151="","", IF(COUNTIF(E151:K151, "FAIL")&gt;0, "FAIL", "PASS"))</f>
        <v/>
      </c>
    </row>
    <row r="152">
      <c r="A152">
        <f>IF('Equipment Information'!A152="","", 'Equipment Information'!A152)</f>
        <v/>
      </c>
      <c r="B152">
        <f>IF('Equipment Information'!B152="","", 'Equipment Information'!B152)</f>
        <v/>
      </c>
      <c r="C152">
        <f>IF('Equipment Information'!C152="","", 'Equipment Information'!C152)</f>
        <v/>
      </c>
      <c r="D152">
        <f>IF('Equipment Information'!D152="","", 'Equipment Information'!D152)</f>
        <v/>
      </c>
      <c r="E152">
        <f>IF(A152="","", IFERROR(VLOOKUP(A152, 'Energized Data'!A:T, 20, FALSE), "N/A"))</f>
        <v/>
      </c>
      <c r="F152">
        <f>IF(A152="","", IFERROR(VLOOKUP(A152, 'Insulation'!A:J, 9, FALSE), "N/A"))</f>
        <v/>
      </c>
      <c r="G152">
        <f>IF(A152="","", IFERROR(VLOOKUP(A152, 'DLRO'!A:I, 8, FALSE), "N/A"))</f>
        <v/>
      </c>
      <c r="H152">
        <f>IF(A152="","", IFERROR(VLOOKUP(A152, 'Torque'!A:I, 8, FALSE), "N/A"))</f>
        <v/>
      </c>
      <c r="I152">
        <f>IF(A152="","", IFERROR(VLOOKUP(A152, 'Infrared'!A:G, 6, FALSE), "N/A"))</f>
        <v/>
      </c>
      <c r="J152">
        <f>IF(A152="","", IFERROR(VLOOKUP(A152, 'Ultrasonic'!A:H, 7, FALSE), "N/A"))</f>
        <v/>
      </c>
      <c r="K152">
        <f>IF(A152="","", IFERROR(VLOOKUP(A152, 'Code Violations'!A:V, 22, FALSE), "N/A"))</f>
        <v/>
      </c>
      <c r="L152">
        <f>IF(A152="","", IF(COUNTIF(E152:K152, "FAIL")&gt;0, "FAIL", "PASS"))</f>
        <v/>
      </c>
    </row>
    <row r="153">
      <c r="A153">
        <f>IF('Equipment Information'!A153="","", 'Equipment Information'!A153)</f>
        <v/>
      </c>
      <c r="B153">
        <f>IF('Equipment Information'!B153="","", 'Equipment Information'!B153)</f>
        <v/>
      </c>
      <c r="C153">
        <f>IF('Equipment Information'!C153="","", 'Equipment Information'!C153)</f>
        <v/>
      </c>
      <c r="D153">
        <f>IF('Equipment Information'!D153="","", 'Equipment Information'!D153)</f>
        <v/>
      </c>
      <c r="E153">
        <f>IF(A153="","", IFERROR(VLOOKUP(A153, 'Energized Data'!A:T, 20, FALSE), "N/A"))</f>
        <v/>
      </c>
      <c r="F153">
        <f>IF(A153="","", IFERROR(VLOOKUP(A153, 'Insulation'!A:J, 9, FALSE), "N/A"))</f>
        <v/>
      </c>
      <c r="G153">
        <f>IF(A153="","", IFERROR(VLOOKUP(A153, 'DLRO'!A:I, 8, FALSE), "N/A"))</f>
        <v/>
      </c>
      <c r="H153">
        <f>IF(A153="","", IFERROR(VLOOKUP(A153, 'Torque'!A:I, 8, FALSE), "N/A"))</f>
        <v/>
      </c>
      <c r="I153">
        <f>IF(A153="","", IFERROR(VLOOKUP(A153, 'Infrared'!A:G, 6, FALSE), "N/A"))</f>
        <v/>
      </c>
      <c r="J153">
        <f>IF(A153="","", IFERROR(VLOOKUP(A153, 'Ultrasonic'!A:H, 7, FALSE), "N/A"))</f>
        <v/>
      </c>
      <c r="K153">
        <f>IF(A153="","", IFERROR(VLOOKUP(A153, 'Code Violations'!A:V, 22, FALSE), "N/A"))</f>
        <v/>
      </c>
      <c r="L153">
        <f>IF(A153="","", IF(COUNTIF(E153:K153, "FAIL")&gt;0, "FAIL", "PASS"))</f>
        <v/>
      </c>
    </row>
    <row r="154">
      <c r="A154">
        <f>IF('Equipment Information'!A154="","", 'Equipment Information'!A154)</f>
        <v/>
      </c>
      <c r="B154">
        <f>IF('Equipment Information'!B154="","", 'Equipment Information'!B154)</f>
        <v/>
      </c>
      <c r="C154">
        <f>IF('Equipment Information'!C154="","", 'Equipment Information'!C154)</f>
        <v/>
      </c>
      <c r="D154">
        <f>IF('Equipment Information'!D154="","", 'Equipment Information'!D154)</f>
        <v/>
      </c>
      <c r="E154">
        <f>IF(A154="","", IFERROR(VLOOKUP(A154, 'Energized Data'!A:T, 20, FALSE), "N/A"))</f>
        <v/>
      </c>
      <c r="F154">
        <f>IF(A154="","", IFERROR(VLOOKUP(A154, 'Insulation'!A:J, 9, FALSE), "N/A"))</f>
        <v/>
      </c>
      <c r="G154">
        <f>IF(A154="","", IFERROR(VLOOKUP(A154, 'DLRO'!A:I, 8, FALSE), "N/A"))</f>
        <v/>
      </c>
      <c r="H154">
        <f>IF(A154="","", IFERROR(VLOOKUP(A154, 'Torque'!A:I, 8, FALSE), "N/A"))</f>
        <v/>
      </c>
      <c r="I154">
        <f>IF(A154="","", IFERROR(VLOOKUP(A154, 'Infrared'!A:G, 6, FALSE), "N/A"))</f>
        <v/>
      </c>
      <c r="J154">
        <f>IF(A154="","", IFERROR(VLOOKUP(A154, 'Ultrasonic'!A:H, 7, FALSE), "N/A"))</f>
        <v/>
      </c>
      <c r="K154">
        <f>IF(A154="","", IFERROR(VLOOKUP(A154, 'Code Violations'!A:V, 22, FALSE), "N/A"))</f>
        <v/>
      </c>
      <c r="L154">
        <f>IF(A154="","", IF(COUNTIF(E154:K154, "FAIL")&gt;0, "FAIL", "PASS"))</f>
        <v/>
      </c>
    </row>
    <row r="155">
      <c r="A155">
        <f>IF('Equipment Information'!A155="","", 'Equipment Information'!A155)</f>
        <v/>
      </c>
      <c r="B155">
        <f>IF('Equipment Information'!B155="","", 'Equipment Information'!B155)</f>
        <v/>
      </c>
      <c r="C155">
        <f>IF('Equipment Information'!C155="","", 'Equipment Information'!C155)</f>
        <v/>
      </c>
      <c r="D155">
        <f>IF('Equipment Information'!D155="","", 'Equipment Information'!D155)</f>
        <v/>
      </c>
      <c r="E155">
        <f>IF(A155="","", IFERROR(VLOOKUP(A155, 'Energized Data'!A:T, 20, FALSE), "N/A"))</f>
        <v/>
      </c>
      <c r="F155">
        <f>IF(A155="","", IFERROR(VLOOKUP(A155, 'Insulation'!A:J, 9, FALSE), "N/A"))</f>
        <v/>
      </c>
      <c r="G155">
        <f>IF(A155="","", IFERROR(VLOOKUP(A155, 'DLRO'!A:I, 8, FALSE), "N/A"))</f>
        <v/>
      </c>
      <c r="H155">
        <f>IF(A155="","", IFERROR(VLOOKUP(A155, 'Torque'!A:I, 8, FALSE), "N/A"))</f>
        <v/>
      </c>
      <c r="I155">
        <f>IF(A155="","", IFERROR(VLOOKUP(A155, 'Infrared'!A:G, 6, FALSE), "N/A"))</f>
        <v/>
      </c>
      <c r="J155">
        <f>IF(A155="","", IFERROR(VLOOKUP(A155, 'Ultrasonic'!A:H, 7, FALSE), "N/A"))</f>
        <v/>
      </c>
      <c r="K155">
        <f>IF(A155="","", IFERROR(VLOOKUP(A155, 'Code Violations'!A:V, 22, FALSE), "N/A"))</f>
        <v/>
      </c>
      <c r="L155">
        <f>IF(A155="","", IF(COUNTIF(E155:K155, "FAIL")&gt;0, "FAIL", "PASS"))</f>
        <v/>
      </c>
    </row>
    <row r="156">
      <c r="A156">
        <f>IF('Equipment Information'!A156="","", 'Equipment Information'!A156)</f>
        <v/>
      </c>
      <c r="B156">
        <f>IF('Equipment Information'!B156="","", 'Equipment Information'!B156)</f>
        <v/>
      </c>
      <c r="C156">
        <f>IF('Equipment Information'!C156="","", 'Equipment Information'!C156)</f>
        <v/>
      </c>
      <c r="D156">
        <f>IF('Equipment Information'!D156="","", 'Equipment Information'!D156)</f>
        <v/>
      </c>
      <c r="E156">
        <f>IF(A156="","", IFERROR(VLOOKUP(A156, 'Energized Data'!A:T, 20, FALSE), "N/A"))</f>
        <v/>
      </c>
      <c r="F156">
        <f>IF(A156="","", IFERROR(VLOOKUP(A156, 'Insulation'!A:J, 9, FALSE), "N/A"))</f>
        <v/>
      </c>
      <c r="G156">
        <f>IF(A156="","", IFERROR(VLOOKUP(A156, 'DLRO'!A:I, 8, FALSE), "N/A"))</f>
        <v/>
      </c>
      <c r="H156">
        <f>IF(A156="","", IFERROR(VLOOKUP(A156, 'Torque'!A:I, 8, FALSE), "N/A"))</f>
        <v/>
      </c>
      <c r="I156">
        <f>IF(A156="","", IFERROR(VLOOKUP(A156, 'Infrared'!A:G, 6, FALSE), "N/A"))</f>
        <v/>
      </c>
      <c r="J156">
        <f>IF(A156="","", IFERROR(VLOOKUP(A156, 'Ultrasonic'!A:H, 7, FALSE), "N/A"))</f>
        <v/>
      </c>
      <c r="K156">
        <f>IF(A156="","", IFERROR(VLOOKUP(A156, 'Code Violations'!A:V, 22, FALSE), "N/A"))</f>
        <v/>
      </c>
      <c r="L156">
        <f>IF(A156="","", IF(COUNTIF(E156:K156, "FAIL")&gt;0, "FAIL", "PASS"))</f>
        <v/>
      </c>
    </row>
    <row r="157">
      <c r="A157">
        <f>IF('Equipment Information'!A157="","", 'Equipment Information'!A157)</f>
        <v/>
      </c>
      <c r="B157">
        <f>IF('Equipment Information'!B157="","", 'Equipment Information'!B157)</f>
        <v/>
      </c>
      <c r="C157">
        <f>IF('Equipment Information'!C157="","", 'Equipment Information'!C157)</f>
        <v/>
      </c>
      <c r="D157">
        <f>IF('Equipment Information'!D157="","", 'Equipment Information'!D157)</f>
        <v/>
      </c>
      <c r="E157">
        <f>IF(A157="","", IFERROR(VLOOKUP(A157, 'Energized Data'!A:T, 20, FALSE), "N/A"))</f>
        <v/>
      </c>
      <c r="F157">
        <f>IF(A157="","", IFERROR(VLOOKUP(A157, 'Insulation'!A:J, 9, FALSE), "N/A"))</f>
        <v/>
      </c>
      <c r="G157">
        <f>IF(A157="","", IFERROR(VLOOKUP(A157, 'DLRO'!A:I, 8, FALSE), "N/A"))</f>
        <v/>
      </c>
      <c r="H157">
        <f>IF(A157="","", IFERROR(VLOOKUP(A157, 'Torque'!A:I, 8, FALSE), "N/A"))</f>
        <v/>
      </c>
      <c r="I157">
        <f>IF(A157="","", IFERROR(VLOOKUP(A157, 'Infrared'!A:G, 6, FALSE), "N/A"))</f>
        <v/>
      </c>
      <c r="J157">
        <f>IF(A157="","", IFERROR(VLOOKUP(A157, 'Ultrasonic'!A:H, 7, FALSE), "N/A"))</f>
        <v/>
      </c>
      <c r="K157">
        <f>IF(A157="","", IFERROR(VLOOKUP(A157, 'Code Violations'!A:V, 22, FALSE), "N/A"))</f>
        <v/>
      </c>
      <c r="L157">
        <f>IF(A157="","", IF(COUNTIF(E157:K157, "FAIL")&gt;0, "FAIL", "PASS"))</f>
        <v/>
      </c>
    </row>
    <row r="158">
      <c r="A158">
        <f>IF('Equipment Information'!A158="","", 'Equipment Information'!A158)</f>
        <v/>
      </c>
      <c r="B158">
        <f>IF('Equipment Information'!B158="","", 'Equipment Information'!B158)</f>
        <v/>
      </c>
      <c r="C158">
        <f>IF('Equipment Information'!C158="","", 'Equipment Information'!C158)</f>
        <v/>
      </c>
      <c r="D158">
        <f>IF('Equipment Information'!D158="","", 'Equipment Information'!D158)</f>
        <v/>
      </c>
      <c r="E158">
        <f>IF(A158="","", IFERROR(VLOOKUP(A158, 'Energized Data'!A:T, 20, FALSE), "N/A"))</f>
        <v/>
      </c>
      <c r="F158">
        <f>IF(A158="","", IFERROR(VLOOKUP(A158, 'Insulation'!A:J, 9, FALSE), "N/A"))</f>
        <v/>
      </c>
      <c r="G158">
        <f>IF(A158="","", IFERROR(VLOOKUP(A158, 'DLRO'!A:I, 8, FALSE), "N/A"))</f>
        <v/>
      </c>
      <c r="H158">
        <f>IF(A158="","", IFERROR(VLOOKUP(A158, 'Torque'!A:I, 8, FALSE), "N/A"))</f>
        <v/>
      </c>
      <c r="I158">
        <f>IF(A158="","", IFERROR(VLOOKUP(A158, 'Infrared'!A:G, 6, FALSE), "N/A"))</f>
        <v/>
      </c>
      <c r="J158">
        <f>IF(A158="","", IFERROR(VLOOKUP(A158, 'Ultrasonic'!A:H, 7, FALSE), "N/A"))</f>
        <v/>
      </c>
      <c r="K158">
        <f>IF(A158="","", IFERROR(VLOOKUP(A158, 'Code Violations'!A:V, 22, FALSE), "N/A"))</f>
        <v/>
      </c>
      <c r="L158">
        <f>IF(A158="","", IF(COUNTIF(E158:K158, "FAIL")&gt;0, "FAIL", "PASS"))</f>
        <v/>
      </c>
    </row>
    <row r="159">
      <c r="A159">
        <f>IF('Equipment Information'!A159="","", 'Equipment Information'!A159)</f>
        <v/>
      </c>
      <c r="B159">
        <f>IF('Equipment Information'!B159="","", 'Equipment Information'!B159)</f>
        <v/>
      </c>
      <c r="C159">
        <f>IF('Equipment Information'!C159="","", 'Equipment Information'!C159)</f>
        <v/>
      </c>
      <c r="D159">
        <f>IF('Equipment Information'!D159="","", 'Equipment Information'!D159)</f>
        <v/>
      </c>
      <c r="E159">
        <f>IF(A159="","", IFERROR(VLOOKUP(A159, 'Energized Data'!A:T, 20, FALSE), "N/A"))</f>
        <v/>
      </c>
      <c r="F159">
        <f>IF(A159="","", IFERROR(VLOOKUP(A159, 'Insulation'!A:J, 9, FALSE), "N/A"))</f>
        <v/>
      </c>
      <c r="G159">
        <f>IF(A159="","", IFERROR(VLOOKUP(A159, 'DLRO'!A:I, 8, FALSE), "N/A"))</f>
        <v/>
      </c>
      <c r="H159">
        <f>IF(A159="","", IFERROR(VLOOKUP(A159, 'Torque'!A:I, 8, FALSE), "N/A"))</f>
        <v/>
      </c>
      <c r="I159">
        <f>IF(A159="","", IFERROR(VLOOKUP(A159, 'Infrared'!A:G, 6, FALSE), "N/A"))</f>
        <v/>
      </c>
      <c r="J159">
        <f>IF(A159="","", IFERROR(VLOOKUP(A159, 'Ultrasonic'!A:H, 7, FALSE), "N/A"))</f>
        <v/>
      </c>
      <c r="K159">
        <f>IF(A159="","", IFERROR(VLOOKUP(A159, 'Code Violations'!A:V, 22, FALSE), "N/A"))</f>
        <v/>
      </c>
      <c r="L159">
        <f>IF(A159="","", IF(COUNTIF(E159:K159, "FAIL")&gt;0, "FAIL", "PASS"))</f>
        <v/>
      </c>
    </row>
    <row r="160">
      <c r="A160">
        <f>IF('Equipment Information'!A160="","", 'Equipment Information'!A160)</f>
        <v/>
      </c>
      <c r="B160">
        <f>IF('Equipment Information'!B160="","", 'Equipment Information'!B160)</f>
        <v/>
      </c>
      <c r="C160">
        <f>IF('Equipment Information'!C160="","", 'Equipment Information'!C160)</f>
        <v/>
      </c>
      <c r="D160">
        <f>IF('Equipment Information'!D160="","", 'Equipment Information'!D160)</f>
        <v/>
      </c>
      <c r="E160">
        <f>IF(A160="","", IFERROR(VLOOKUP(A160, 'Energized Data'!A:T, 20, FALSE), "N/A"))</f>
        <v/>
      </c>
      <c r="F160">
        <f>IF(A160="","", IFERROR(VLOOKUP(A160, 'Insulation'!A:J, 9, FALSE), "N/A"))</f>
        <v/>
      </c>
      <c r="G160">
        <f>IF(A160="","", IFERROR(VLOOKUP(A160, 'DLRO'!A:I, 8, FALSE), "N/A"))</f>
        <v/>
      </c>
      <c r="H160">
        <f>IF(A160="","", IFERROR(VLOOKUP(A160, 'Torque'!A:I, 8, FALSE), "N/A"))</f>
        <v/>
      </c>
      <c r="I160">
        <f>IF(A160="","", IFERROR(VLOOKUP(A160, 'Infrared'!A:G, 6, FALSE), "N/A"))</f>
        <v/>
      </c>
      <c r="J160">
        <f>IF(A160="","", IFERROR(VLOOKUP(A160, 'Ultrasonic'!A:H, 7, FALSE), "N/A"))</f>
        <v/>
      </c>
      <c r="K160">
        <f>IF(A160="","", IFERROR(VLOOKUP(A160, 'Code Violations'!A:V, 22, FALSE), "N/A"))</f>
        <v/>
      </c>
      <c r="L160">
        <f>IF(A160="","", IF(COUNTIF(E160:K160, "FAIL")&gt;0, "FAIL", "PASS"))</f>
        <v/>
      </c>
    </row>
    <row r="161">
      <c r="A161">
        <f>IF('Equipment Information'!A161="","", 'Equipment Information'!A161)</f>
        <v/>
      </c>
      <c r="B161">
        <f>IF('Equipment Information'!B161="","", 'Equipment Information'!B161)</f>
        <v/>
      </c>
      <c r="C161">
        <f>IF('Equipment Information'!C161="","", 'Equipment Information'!C161)</f>
        <v/>
      </c>
      <c r="D161">
        <f>IF('Equipment Information'!D161="","", 'Equipment Information'!D161)</f>
        <v/>
      </c>
      <c r="E161">
        <f>IF(A161="","", IFERROR(VLOOKUP(A161, 'Energized Data'!A:T, 20, FALSE), "N/A"))</f>
        <v/>
      </c>
      <c r="F161">
        <f>IF(A161="","", IFERROR(VLOOKUP(A161, 'Insulation'!A:J, 9, FALSE), "N/A"))</f>
        <v/>
      </c>
      <c r="G161">
        <f>IF(A161="","", IFERROR(VLOOKUP(A161, 'DLRO'!A:I, 8, FALSE), "N/A"))</f>
        <v/>
      </c>
      <c r="H161">
        <f>IF(A161="","", IFERROR(VLOOKUP(A161, 'Torque'!A:I, 8, FALSE), "N/A"))</f>
        <v/>
      </c>
      <c r="I161">
        <f>IF(A161="","", IFERROR(VLOOKUP(A161, 'Infrared'!A:G, 6, FALSE), "N/A"))</f>
        <v/>
      </c>
      <c r="J161">
        <f>IF(A161="","", IFERROR(VLOOKUP(A161, 'Ultrasonic'!A:H, 7, FALSE), "N/A"))</f>
        <v/>
      </c>
      <c r="K161">
        <f>IF(A161="","", IFERROR(VLOOKUP(A161, 'Code Violations'!A:V, 22, FALSE), "N/A"))</f>
        <v/>
      </c>
      <c r="L161">
        <f>IF(A161="","", IF(COUNTIF(E161:K161, "FAIL")&gt;0, "FAIL", "PASS"))</f>
        <v/>
      </c>
    </row>
    <row r="162">
      <c r="A162">
        <f>IF('Equipment Information'!A162="","", 'Equipment Information'!A162)</f>
        <v/>
      </c>
      <c r="B162">
        <f>IF('Equipment Information'!B162="","", 'Equipment Information'!B162)</f>
        <v/>
      </c>
      <c r="C162">
        <f>IF('Equipment Information'!C162="","", 'Equipment Information'!C162)</f>
        <v/>
      </c>
      <c r="D162">
        <f>IF('Equipment Information'!D162="","", 'Equipment Information'!D162)</f>
        <v/>
      </c>
      <c r="E162">
        <f>IF(A162="","", IFERROR(VLOOKUP(A162, 'Energized Data'!A:T, 20, FALSE), "N/A"))</f>
        <v/>
      </c>
      <c r="F162">
        <f>IF(A162="","", IFERROR(VLOOKUP(A162, 'Insulation'!A:J, 9, FALSE), "N/A"))</f>
        <v/>
      </c>
      <c r="G162">
        <f>IF(A162="","", IFERROR(VLOOKUP(A162, 'DLRO'!A:I, 8, FALSE), "N/A"))</f>
        <v/>
      </c>
      <c r="H162">
        <f>IF(A162="","", IFERROR(VLOOKUP(A162, 'Torque'!A:I, 8, FALSE), "N/A"))</f>
        <v/>
      </c>
      <c r="I162">
        <f>IF(A162="","", IFERROR(VLOOKUP(A162, 'Infrared'!A:G, 6, FALSE), "N/A"))</f>
        <v/>
      </c>
      <c r="J162">
        <f>IF(A162="","", IFERROR(VLOOKUP(A162, 'Ultrasonic'!A:H, 7, FALSE), "N/A"))</f>
        <v/>
      </c>
      <c r="K162">
        <f>IF(A162="","", IFERROR(VLOOKUP(A162, 'Code Violations'!A:V, 22, FALSE), "N/A"))</f>
        <v/>
      </c>
      <c r="L162">
        <f>IF(A162="","", IF(COUNTIF(E162:K162, "FAIL")&gt;0, "FAIL", "PASS"))</f>
        <v/>
      </c>
    </row>
    <row r="163">
      <c r="A163">
        <f>IF('Equipment Information'!A163="","", 'Equipment Information'!A163)</f>
        <v/>
      </c>
      <c r="B163">
        <f>IF('Equipment Information'!B163="","", 'Equipment Information'!B163)</f>
        <v/>
      </c>
      <c r="C163">
        <f>IF('Equipment Information'!C163="","", 'Equipment Information'!C163)</f>
        <v/>
      </c>
      <c r="D163">
        <f>IF('Equipment Information'!D163="","", 'Equipment Information'!D163)</f>
        <v/>
      </c>
      <c r="E163">
        <f>IF(A163="","", IFERROR(VLOOKUP(A163, 'Energized Data'!A:T, 20, FALSE), "N/A"))</f>
        <v/>
      </c>
      <c r="F163">
        <f>IF(A163="","", IFERROR(VLOOKUP(A163, 'Insulation'!A:J, 9, FALSE), "N/A"))</f>
        <v/>
      </c>
      <c r="G163">
        <f>IF(A163="","", IFERROR(VLOOKUP(A163, 'DLRO'!A:I, 8, FALSE), "N/A"))</f>
        <v/>
      </c>
      <c r="H163">
        <f>IF(A163="","", IFERROR(VLOOKUP(A163, 'Torque'!A:I, 8, FALSE), "N/A"))</f>
        <v/>
      </c>
      <c r="I163">
        <f>IF(A163="","", IFERROR(VLOOKUP(A163, 'Infrared'!A:G, 6, FALSE), "N/A"))</f>
        <v/>
      </c>
      <c r="J163">
        <f>IF(A163="","", IFERROR(VLOOKUP(A163, 'Ultrasonic'!A:H, 7, FALSE), "N/A"))</f>
        <v/>
      </c>
      <c r="K163">
        <f>IF(A163="","", IFERROR(VLOOKUP(A163, 'Code Violations'!A:V, 22, FALSE), "N/A"))</f>
        <v/>
      </c>
      <c r="L163">
        <f>IF(A163="","", IF(COUNTIF(E163:K163, "FAIL")&gt;0, "FAIL", "PASS"))</f>
        <v/>
      </c>
    </row>
    <row r="164">
      <c r="A164">
        <f>IF('Equipment Information'!A164="","", 'Equipment Information'!A164)</f>
        <v/>
      </c>
      <c r="B164">
        <f>IF('Equipment Information'!B164="","", 'Equipment Information'!B164)</f>
        <v/>
      </c>
      <c r="C164">
        <f>IF('Equipment Information'!C164="","", 'Equipment Information'!C164)</f>
        <v/>
      </c>
      <c r="D164">
        <f>IF('Equipment Information'!D164="","", 'Equipment Information'!D164)</f>
        <v/>
      </c>
      <c r="E164">
        <f>IF(A164="","", IFERROR(VLOOKUP(A164, 'Energized Data'!A:T, 20, FALSE), "N/A"))</f>
        <v/>
      </c>
      <c r="F164">
        <f>IF(A164="","", IFERROR(VLOOKUP(A164, 'Insulation'!A:J, 9, FALSE), "N/A"))</f>
        <v/>
      </c>
      <c r="G164">
        <f>IF(A164="","", IFERROR(VLOOKUP(A164, 'DLRO'!A:I, 8, FALSE), "N/A"))</f>
        <v/>
      </c>
      <c r="H164">
        <f>IF(A164="","", IFERROR(VLOOKUP(A164, 'Torque'!A:I, 8, FALSE), "N/A"))</f>
        <v/>
      </c>
      <c r="I164">
        <f>IF(A164="","", IFERROR(VLOOKUP(A164, 'Infrared'!A:G, 6, FALSE), "N/A"))</f>
        <v/>
      </c>
      <c r="J164">
        <f>IF(A164="","", IFERROR(VLOOKUP(A164, 'Ultrasonic'!A:H, 7, FALSE), "N/A"))</f>
        <v/>
      </c>
      <c r="K164">
        <f>IF(A164="","", IFERROR(VLOOKUP(A164, 'Code Violations'!A:V, 22, FALSE), "N/A"))</f>
        <v/>
      </c>
      <c r="L164">
        <f>IF(A164="","", IF(COUNTIF(E164:K164, "FAIL")&gt;0, "FAIL", "PASS"))</f>
        <v/>
      </c>
    </row>
    <row r="165">
      <c r="A165">
        <f>IF('Equipment Information'!A165="","", 'Equipment Information'!A165)</f>
        <v/>
      </c>
      <c r="B165">
        <f>IF('Equipment Information'!B165="","", 'Equipment Information'!B165)</f>
        <v/>
      </c>
      <c r="C165">
        <f>IF('Equipment Information'!C165="","", 'Equipment Information'!C165)</f>
        <v/>
      </c>
      <c r="D165">
        <f>IF('Equipment Information'!D165="","", 'Equipment Information'!D165)</f>
        <v/>
      </c>
      <c r="E165">
        <f>IF(A165="","", IFERROR(VLOOKUP(A165, 'Energized Data'!A:T, 20, FALSE), "N/A"))</f>
        <v/>
      </c>
      <c r="F165">
        <f>IF(A165="","", IFERROR(VLOOKUP(A165, 'Insulation'!A:J, 9, FALSE), "N/A"))</f>
        <v/>
      </c>
      <c r="G165">
        <f>IF(A165="","", IFERROR(VLOOKUP(A165, 'DLRO'!A:I, 8, FALSE), "N/A"))</f>
        <v/>
      </c>
      <c r="H165">
        <f>IF(A165="","", IFERROR(VLOOKUP(A165, 'Torque'!A:I, 8, FALSE), "N/A"))</f>
        <v/>
      </c>
      <c r="I165">
        <f>IF(A165="","", IFERROR(VLOOKUP(A165, 'Infrared'!A:G, 6, FALSE), "N/A"))</f>
        <v/>
      </c>
      <c r="J165">
        <f>IF(A165="","", IFERROR(VLOOKUP(A165, 'Ultrasonic'!A:H, 7, FALSE), "N/A"))</f>
        <v/>
      </c>
      <c r="K165">
        <f>IF(A165="","", IFERROR(VLOOKUP(A165, 'Code Violations'!A:V, 22, FALSE), "N/A"))</f>
        <v/>
      </c>
      <c r="L165">
        <f>IF(A165="","", IF(COUNTIF(E165:K165, "FAIL")&gt;0, "FAIL", "PASS"))</f>
        <v/>
      </c>
    </row>
    <row r="166">
      <c r="A166">
        <f>IF('Equipment Information'!A166="","", 'Equipment Information'!A166)</f>
        <v/>
      </c>
      <c r="B166">
        <f>IF('Equipment Information'!B166="","", 'Equipment Information'!B166)</f>
        <v/>
      </c>
      <c r="C166">
        <f>IF('Equipment Information'!C166="","", 'Equipment Information'!C166)</f>
        <v/>
      </c>
      <c r="D166">
        <f>IF('Equipment Information'!D166="","", 'Equipment Information'!D166)</f>
        <v/>
      </c>
      <c r="E166">
        <f>IF(A166="","", IFERROR(VLOOKUP(A166, 'Energized Data'!A:T, 20, FALSE), "N/A"))</f>
        <v/>
      </c>
      <c r="F166">
        <f>IF(A166="","", IFERROR(VLOOKUP(A166, 'Insulation'!A:J, 9, FALSE), "N/A"))</f>
        <v/>
      </c>
      <c r="G166">
        <f>IF(A166="","", IFERROR(VLOOKUP(A166, 'DLRO'!A:I, 8, FALSE), "N/A"))</f>
        <v/>
      </c>
      <c r="H166">
        <f>IF(A166="","", IFERROR(VLOOKUP(A166, 'Torque'!A:I, 8, FALSE), "N/A"))</f>
        <v/>
      </c>
      <c r="I166">
        <f>IF(A166="","", IFERROR(VLOOKUP(A166, 'Infrared'!A:G, 6, FALSE), "N/A"))</f>
        <v/>
      </c>
      <c r="J166">
        <f>IF(A166="","", IFERROR(VLOOKUP(A166, 'Ultrasonic'!A:H, 7, FALSE), "N/A"))</f>
        <v/>
      </c>
      <c r="K166">
        <f>IF(A166="","", IFERROR(VLOOKUP(A166, 'Code Violations'!A:V, 22, FALSE), "N/A"))</f>
        <v/>
      </c>
      <c r="L166">
        <f>IF(A166="","", IF(COUNTIF(E166:K166, "FAIL")&gt;0, "FAIL", "PASS"))</f>
        <v/>
      </c>
    </row>
    <row r="167">
      <c r="A167">
        <f>IF('Equipment Information'!A167="","", 'Equipment Information'!A167)</f>
        <v/>
      </c>
      <c r="B167">
        <f>IF('Equipment Information'!B167="","", 'Equipment Information'!B167)</f>
        <v/>
      </c>
      <c r="C167">
        <f>IF('Equipment Information'!C167="","", 'Equipment Information'!C167)</f>
        <v/>
      </c>
      <c r="D167">
        <f>IF('Equipment Information'!D167="","", 'Equipment Information'!D167)</f>
        <v/>
      </c>
      <c r="E167">
        <f>IF(A167="","", IFERROR(VLOOKUP(A167, 'Energized Data'!A:T, 20, FALSE), "N/A"))</f>
        <v/>
      </c>
      <c r="F167">
        <f>IF(A167="","", IFERROR(VLOOKUP(A167, 'Insulation'!A:J, 9, FALSE), "N/A"))</f>
        <v/>
      </c>
      <c r="G167">
        <f>IF(A167="","", IFERROR(VLOOKUP(A167, 'DLRO'!A:I, 8, FALSE), "N/A"))</f>
        <v/>
      </c>
      <c r="H167">
        <f>IF(A167="","", IFERROR(VLOOKUP(A167, 'Torque'!A:I, 8, FALSE), "N/A"))</f>
        <v/>
      </c>
      <c r="I167">
        <f>IF(A167="","", IFERROR(VLOOKUP(A167, 'Infrared'!A:G, 6, FALSE), "N/A"))</f>
        <v/>
      </c>
      <c r="J167">
        <f>IF(A167="","", IFERROR(VLOOKUP(A167, 'Ultrasonic'!A:H, 7, FALSE), "N/A"))</f>
        <v/>
      </c>
      <c r="K167">
        <f>IF(A167="","", IFERROR(VLOOKUP(A167, 'Code Violations'!A:V, 22, FALSE), "N/A"))</f>
        <v/>
      </c>
      <c r="L167">
        <f>IF(A167="","", IF(COUNTIF(E167:K167, "FAIL")&gt;0, "FAIL", "PASS"))</f>
        <v/>
      </c>
    </row>
    <row r="168">
      <c r="A168">
        <f>IF('Equipment Information'!A168="","", 'Equipment Information'!A168)</f>
        <v/>
      </c>
      <c r="B168">
        <f>IF('Equipment Information'!B168="","", 'Equipment Information'!B168)</f>
        <v/>
      </c>
      <c r="C168">
        <f>IF('Equipment Information'!C168="","", 'Equipment Information'!C168)</f>
        <v/>
      </c>
      <c r="D168">
        <f>IF('Equipment Information'!D168="","", 'Equipment Information'!D168)</f>
        <v/>
      </c>
      <c r="E168">
        <f>IF(A168="","", IFERROR(VLOOKUP(A168, 'Energized Data'!A:T, 20, FALSE), "N/A"))</f>
        <v/>
      </c>
      <c r="F168">
        <f>IF(A168="","", IFERROR(VLOOKUP(A168, 'Insulation'!A:J, 9, FALSE), "N/A"))</f>
        <v/>
      </c>
      <c r="G168">
        <f>IF(A168="","", IFERROR(VLOOKUP(A168, 'DLRO'!A:I, 8, FALSE), "N/A"))</f>
        <v/>
      </c>
      <c r="H168">
        <f>IF(A168="","", IFERROR(VLOOKUP(A168, 'Torque'!A:I, 8, FALSE), "N/A"))</f>
        <v/>
      </c>
      <c r="I168">
        <f>IF(A168="","", IFERROR(VLOOKUP(A168, 'Infrared'!A:G, 6, FALSE), "N/A"))</f>
        <v/>
      </c>
      <c r="J168">
        <f>IF(A168="","", IFERROR(VLOOKUP(A168, 'Ultrasonic'!A:H, 7, FALSE), "N/A"))</f>
        <v/>
      </c>
      <c r="K168">
        <f>IF(A168="","", IFERROR(VLOOKUP(A168, 'Code Violations'!A:V, 22, FALSE), "N/A"))</f>
        <v/>
      </c>
      <c r="L168">
        <f>IF(A168="","", IF(COUNTIF(E168:K168, "FAIL")&gt;0, "FAIL", "PASS"))</f>
        <v/>
      </c>
    </row>
    <row r="169">
      <c r="A169">
        <f>IF('Equipment Information'!A169="","", 'Equipment Information'!A169)</f>
        <v/>
      </c>
      <c r="B169">
        <f>IF('Equipment Information'!B169="","", 'Equipment Information'!B169)</f>
        <v/>
      </c>
      <c r="C169">
        <f>IF('Equipment Information'!C169="","", 'Equipment Information'!C169)</f>
        <v/>
      </c>
      <c r="D169">
        <f>IF('Equipment Information'!D169="","", 'Equipment Information'!D169)</f>
        <v/>
      </c>
      <c r="E169">
        <f>IF(A169="","", IFERROR(VLOOKUP(A169, 'Energized Data'!A:T, 20, FALSE), "N/A"))</f>
        <v/>
      </c>
      <c r="F169">
        <f>IF(A169="","", IFERROR(VLOOKUP(A169, 'Insulation'!A:J, 9, FALSE), "N/A"))</f>
        <v/>
      </c>
      <c r="G169">
        <f>IF(A169="","", IFERROR(VLOOKUP(A169, 'DLRO'!A:I, 8, FALSE), "N/A"))</f>
        <v/>
      </c>
      <c r="H169">
        <f>IF(A169="","", IFERROR(VLOOKUP(A169, 'Torque'!A:I, 8, FALSE), "N/A"))</f>
        <v/>
      </c>
      <c r="I169">
        <f>IF(A169="","", IFERROR(VLOOKUP(A169, 'Infrared'!A:G, 6, FALSE), "N/A"))</f>
        <v/>
      </c>
      <c r="J169">
        <f>IF(A169="","", IFERROR(VLOOKUP(A169, 'Ultrasonic'!A:H, 7, FALSE), "N/A"))</f>
        <v/>
      </c>
      <c r="K169">
        <f>IF(A169="","", IFERROR(VLOOKUP(A169, 'Code Violations'!A:V, 22, FALSE), "N/A"))</f>
        <v/>
      </c>
      <c r="L169">
        <f>IF(A169="","", IF(COUNTIF(E169:K169, "FAIL")&gt;0, "FAIL", "PASS"))</f>
        <v/>
      </c>
    </row>
    <row r="170">
      <c r="A170">
        <f>IF('Equipment Information'!A170="","", 'Equipment Information'!A170)</f>
        <v/>
      </c>
      <c r="B170">
        <f>IF('Equipment Information'!B170="","", 'Equipment Information'!B170)</f>
        <v/>
      </c>
      <c r="C170">
        <f>IF('Equipment Information'!C170="","", 'Equipment Information'!C170)</f>
        <v/>
      </c>
      <c r="D170">
        <f>IF('Equipment Information'!D170="","", 'Equipment Information'!D170)</f>
        <v/>
      </c>
      <c r="E170">
        <f>IF(A170="","", IFERROR(VLOOKUP(A170, 'Energized Data'!A:T, 20, FALSE), "N/A"))</f>
        <v/>
      </c>
      <c r="F170">
        <f>IF(A170="","", IFERROR(VLOOKUP(A170, 'Insulation'!A:J, 9, FALSE), "N/A"))</f>
        <v/>
      </c>
      <c r="G170">
        <f>IF(A170="","", IFERROR(VLOOKUP(A170, 'DLRO'!A:I, 8, FALSE), "N/A"))</f>
        <v/>
      </c>
      <c r="H170">
        <f>IF(A170="","", IFERROR(VLOOKUP(A170, 'Torque'!A:I, 8, FALSE), "N/A"))</f>
        <v/>
      </c>
      <c r="I170">
        <f>IF(A170="","", IFERROR(VLOOKUP(A170, 'Infrared'!A:G, 6, FALSE), "N/A"))</f>
        <v/>
      </c>
      <c r="J170">
        <f>IF(A170="","", IFERROR(VLOOKUP(A170, 'Ultrasonic'!A:H, 7, FALSE), "N/A"))</f>
        <v/>
      </c>
      <c r="K170">
        <f>IF(A170="","", IFERROR(VLOOKUP(A170, 'Code Violations'!A:V, 22, FALSE), "N/A"))</f>
        <v/>
      </c>
      <c r="L170">
        <f>IF(A170="","", IF(COUNTIF(E170:K170, "FAIL")&gt;0, "FAIL", "PASS"))</f>
        <v/>
      </c>
    </row>
    <row r="171">
      <c r="A171">
        <f>IF('Equipment Information'!A171="","", 'Equipment Information'!A171)</f>
        <v/>
      </c>
      <c r="B171">
        <f>IF('Equipment Information'!B171="","", 'Equipment Information'!B171)</f>
        <v/>
      </c>
      <c r="C171">
        <f>IF('Equipment Information'!C171="","", 'Equipment Information'!C171)</f>
        <v/>
      </c>
      <c r="D171">
        <f>IF('Equipment Information'!D171="","", 'Equipment Information'!D171)</f>
        <v/>
      </c>
      <c r="E171">
        <f>IF(A171="","", IFERROR(VLOOKUP(A171, 'Energized Data'!A:T, 20, FALSE), "N/A"))</f>
        <v/>
      </c>
      <c r="F171">
        <f>IF(A171="","", IFERROR(VLOOKUP(A171, 'Insulation'!A:J, 9, FALSE), "N/A"))</f>
        <v/>
      </c>
      <c r="G171">
        <f>IF(A171="","", IFERROR(VLOOKUP(A171, 'DLRO'!A:I, 8, FALSE), "N/A"))</f>
        <v/>
      </c>
      <c r="H171">
        <f>IF(A171="","", IFERROR(VLOOKUP(A171, 'Torque'!A:I, 8, FALSE), "N/A"))</f>
        <v/>
      </c>
      <c r="I171">
        <f>IF(A171="","", IFERROR(VLOOKUP(A171, 'Infrared'!A:G, 6, FALSE), "N/A"))</f>
        <v/>
      </c>
      <c r="J171">
        <f>IF(A171="","", IFERROR(VLOOKUP(A171, 'Ultrasonic'!A:H, 7, FALSE), "N/A"))</f>
        <v/>
      </c>
      <c r="K171">
        <f>IF(A171="","", IFERROR(VLOOKUP(A171, 'Code Violations'!A:V, 22, FALSE), "N/A"))</f>
        <v/>
      </c>
      <c r="L171">
        <f>IF(A171="","", IF(COUNTIF(E171:K171, "FAIL")&gt;0, "FAIL", "PASS"))</f>
        <v/>
      </c>
    </row>
    <row r="172">
      <c r="A172">
        <f>IF('Equipment Information'!A172="","", 'Equipment Information'!A172)</f>
        <v/>
      </c>
      <c r="B172">
        <f>IF('Equipment Information'!B172="","", 'Equipment Information'!B172)</f>
        <v/>
      </c>
      <c r="C172">
        <f>IF('Equipment Information'!C172="","", 'Equipment Information'!C172)</f>
        <v/>
      </c>
      <c r="D172">
        <f>IF('Equipment Information'!D172="","", 'Equipment Information'!D172)</f>
        <v/>
      </c>
      <c r="E172">
        <f>IF(A172="","", IFERROR(VLOOKUP(A172, 'Energized Data'!A:T, 20, FALSE), "N/A"))</f>
        <v/>
      </c>
      <c r="F172">
        <f>IF(A172="","", IFERROR(VLOOKUP(A172, 'Insulation'!A:J, 9, FALSE), "N/A"))</f>
        <v/>
      </c>
      <c r="G172">
        <f>IF(A172="","", IFERROR(VLOOKUP(A172, 'DLRO'!A:I, 8, FALSE), "N/A"))</f>
        <v/>
      </c>
      <c r="H172">
        <f>IF(A172="","", IFERROR(VLOOKUP(A172, 'Torque'!A:I, 8, FALSE), "N/A"))</f>
        <v/>
      </c>
      <c r="I172">
        <f>IF(A172="","", IFERROR(VLOOKUP(A172, 'Infrared'!A:G, 6, FALSE), "N/A"))</f>
        <v/>
      </c>
      <c r="J172">
        <f>IF(A172="","", IFERROR(VLOOKUP(A172, 'Ultrasonic'!A:H, 7, FALSE), "N/A"))</f>
        <v/>
      </c>
      <c r="K172">
        <f>IF(A172="","", IFERROR(VLOOKUP(A172, 'Code Violations'!A:V, 22, FALSE), "N/A"))</f>
        <v/>
      </c>
      <c r="L172">
        <f>IF(A172="","", IF(COUNTIF(E172:K172, "FAIL")&gt;0, "FAIL", "PASS"))</f>
        <v/>
      </c>
    </row>
    <row r="173">
      <c r="A173">
        <f>IF('Equipment Information'!A173="","", 'Equipment Information'!A173)</f>
        <v/>
      </c>
      <c r="B173">
        <f>IF('Equipment Information'!B173="","", 'Equipment Information'!B173)</f>
        <v/>
      </c>
      <c r="C173">
        <f>IF('Equipment Information'!C173="","", 'Equipment Information'!C173)</f>
        <v/>
      </c>
      <c r="D173">
        <f>IF('Equipment Information'!D173="","", 'Equipment Information'!D173)</f>
        <v/>
      </c>
      <c r="E173">
        <f>IF(A173="","", IFERROR(VLOOKUP(A173, 'Energized Data'!A:T, 20, FALSE), "N/A"))</f>
        <v/>
      </c>
      <c r="F173">
        <f>IF(A173="","", IFERROR(VLOOKUP(A173, 'Insulation'!A:J, 9, FALSE), "N/A"))</f>
        <v/>
      </c>
      <c r="G173">
        <f>IF(A173="","", IFERROR(VLOOKUP(A173, 'DLRO'!A:I, 8, FALSE), "N/A"))</f>
        <v/>
      </c>
      <c r="H173">
        <f>IF(A173="","", IFERROR(VLOOKUP(A173, 'Torque'!A:I, 8, FALSE), "N/A"))</f>
        <v/>
      </c>
      <c r="I173">
        <f>IF(A173="","", IFERROR(VLOOKUP(A173, 'Infrared'!A:G, 6, FALSE), "N/A"))</f>
        <v/>
      </c>
      <c r="J173">
        <f>IF(A173="","", IFERROR(VLOOKUP(A173, 'Ultrasonic'!A:H, 7, FALSE), "N/A"))</f>
        <v/>
      </c>
      <c r="K173">
        <f>IF(A173="","", IFERROR(VLOOKUP(A173, 'Code Violations'!A:V, 22, FALSE), "N/A"))</f>
        <v/>
      </c>
      <c r="L173">
        <f>IF(A173="","", IF(COUNTIF(E173:K173, "FAIL")&gt;0, "FAIL", "PASS"))</f>
        <v/>
      </c>
    </row>
    <row r="174">
      <c r="A174">
        <f>IF('Equipment Information'!A174="","", 'Equipment Information'!A174)</f>
        <v/>
      </c>
      <c r="B174">
        <f>IF('Equipment Information'!B174="","", 'Equipment Information'!B174)</f>
        <v/>
      </c>
      <c r="C174">
        <f>IF('Equipment Information'!C174="","", 'Equipment Information'!C174)</f>
        <v/>
      </c>
      <c r="D174">
        <f>IF('Equipment Information'!D174="","", 'Equipment Information'!D174)</f>
        <v/>
      </c>
      <c r="E174">
        <f>IF(A174="","", IFERROR(VLOOKUP(A174, 'Energized Data'!A:T, 20, FALSE), "N/A"))</f>
        <v/>
      </c>
      <c r="F174">
        <f>IF(A174="","", IFERROR(VLOOKUP(A174, 'Insulation'!A:J, 9, FALSE), "N/A"))</f>
        <v/>
      </c>
      <c r="G174">
        <f>IF(A174="","", IFERROR(VLOOKUP(A174, 'DLRO'!A:I, 8, FALSE), "N/A"))</f>
        <v/>
      </c>
      <c r="H174">
        <f>IF(A174="","", IFERROR(VLOOKUP(A174, 'Torque'!A:I, 8, FALSE), "N/A"))</f>
        <v/>
      </c>
      <c r="I174">
        <f>IF(A174="","", IFERROR(VLOOKUP(A174, 'Infrared'!A:G, 6, FALSE), "N/A"))</f>
        <v/>
      </c>
      <c r="J174">
        <f>IF(A174="","", IFERROR(VLOOKUP(A174, 'Ultrasonic'!A:H, 7, FALSE), "N/A"))</f>
        <v/>
      </c>
      <c r="K174">
        <f>IF(A174="","", IFERROR(VLOOKUP(A174, 'Code Violations'!A:V, 22, FALSE), "N/A"))</f>
        <v/>
      </c>
      <c r="L174">
        <f>IF(A174="","", IF(COUNTIF(E174:K174, "FAIL")&gt;0, "FAIL", "PASS"))</f>
        <v/>
      </c>
    </row>
    <row r="175">
      <c r="A175">
        <f>IF('Equipment Information'!A175="","", 'Equipment Information'!A175)</f>
        <v/>
      </c>
      <c r="B175">
        <f>IF('Equipment Information'!B175="","", 'Equipment Information'!B175)</f>
        <v/>
      </c>
      <c r="C175">
        <f>IF('Equipment Information'!C175="","", 'Equipment Information'!C175)</f>
        <v/>
      </c>
      <c r="D175">
        <f>IF('Equipment Information'!D175="","", 'Equipment Information'!D175)</f>
        <v/>
      </c>
      <c r="E175">
        <f>IF(A175="","", IFERROR(VLOOKUP(A175, 'Energized Data'!A:T, 20, FALSE), "N/A"))</f>
        <v/>
      </c>
      <c r="F175">
        <f>IF(A175="","", IFERROR(VLOOKUP(A175, 'Insulation'!A:J, 9, FALSE), "N/A"))</f>
        <v/>
      </c>
      <c r="G175">
        <f>IF(A175="","", IFERROR(VLOOKUP(A175, 'DLRO'!A:I, 8, FALSE), "N/A"))</f>
        <v/>
      </c>
      <c r="H175">
        <f>IF(A175="","", IFERROR(VLOOKUP(A175, 'Torque'!A:I, 8, FALSE), "N/A"))</f>
        <v/>
      </c>
      <c r="I175">
        <f>IF(A175="","", IFERROR(VLOOKUP(A175, 'Infrared'!A:G, 6, FALSE), "N/A"))</f>
        <v/>
      </c>
      <c r="J175">
        <f>IF(A175="","", IFERROR(VLOOKUP(A175, 'Ultrasonic'!A:H, 7, FALSE), "N/A"))</f>
        <v/>
      </c>
      <c r="K175">
        <f>IF(A175="","", IFERROR(VLOOKUP(A175, 'Code Violations'!A:V, 22, FALSE), "N/A"))</f>
        <v/>
      </c>
      <c r="L175">
        <f>IF(A175="","", IF(COUNTIF(E175:K175, "FAIL")&gt;0, "FAIL", "PASS"))</f>
        <v/>
      </c>
    </row>
    <row r="176">
      <c r="A176">
        <f>IF('Equipment Information'!A176="","", 'Equipment Information'!A176)</f>
        <v/>
      </c>
      <c r="B176">
        <f>IF('Equipment Information'!B176="","", 'Equipment Information'!B176)</f>
        <v/>
      </c>
      <c r="C176">
        <f>IF('Equipment Information'!C176="","", 'Equipment Information'!C176)</f>
        <v/>
      </c>
      <c r="D176">
        <f>IF('Equipment Information'!D176="","", 'Equipment Information'!D176)</f>
        <v/>
      </c>
      <c r="E176">
        <f>IF(A176="","", IFERROR(VLOOKUP(A176, 'Energized Data'!A:T, 20, FALSE), "N/A"))</f>
        <v/>
      </c>
      <c r="F176">
        <f>IF(A176="","", IFERROR(VLOOKUP(A176, 'Insulation'!A:J, 9, FALSE), "N/A"))</f>
        <v/>
      </c>
      <c r="G176">
        <f>IF(A176="","", IFERROR(VLOOKUP(A176, 'DLRO'!A:I, 8, FALSE), "N/A"))</f>
        <v/>
      </c>
      <c r="H176">
        <f>IF(A176="","", IFERROR(VLOOKUP(A176, 'Torque'!A:I, 8, FALSE), "N/A"))</f>
        <v/>
      </c>
      <c r="I176">
        <f>IF(A176="","", IFERROR(VLOOKUP(A176, 'Infrared'!A:G, 6, FALSE), "N/A"))</f>
        <v/>
      </c>
      <c r="J176">
        <f>IF(A176="","", IFERROR(VLOOKUP(A176, 'Ultrasonic'!A:H, 7, FALSE), "N/A"))</f>
        <v/>
      </c>
      <c r="K176">
        <f>IF(A176="","", IFERROR(VLOOKUP(A176, 'Code Violations'!A:V, 22, FALSE), "N/A"))</f>
        <v/>
      </c>
      <c r="L176">
        <f>IF(A176="","", IF(COUNTIF(E176:K176, "FAIL")&gt;0, "FAIL", "PASS"))</f>
        <v/>
      </c>
    </row>
    <row r="177">
      <c r="A177">
        <f>IF('Equipment Information'!A177="","", 'Equipment Information'!A177)</f>
        <v/>
      </c>
      <c r="B177">
        <f>IF('Equipment Information'!B177="","", 'Equipment Information'!B177)</f>
        <v/>
      </c>
      <c r="C177">
        <f>IF('Equipment Information'!C177="","", 'Equipment Information'!C177)</f>
        <v/>
      </c>
      <c r="D177">
        <f>IF('Equipment Information'!D177="","", 'Equipment Information'!D177)</f>
        <v/>
      </c>
      <c r="E177">
        <f>IF(A177="","", IFERROR(VLOOKUP(A177, 'Energized Data'!A:T, 20, FALSE), "N/A"))</f>
        <v/>
      </c>
      <c r="F177">
        <f>IF(A177="","", IFERROR(VLOOKUP(A177, 'Insulation'!A:J, 9, FALSE), "N/A"))</f>
        <v/>
      </c>
      <c r="G177">
        <f>IF(A177="","", IFERROR(VLOOKUP(A177, 'DLRO'!A:I, 8, FALSE), "N/A"))</f>
        <v/>
      </c>
      <c r="H177">
        <f>IF(A177="","", IFERROR(VLOOKUP(A177, 'Torque'!A:I, 8, FALSE), "N/A"))</f>
        <v/>
      </c>
      <c r="I177">
        <f>IF(A177="","", IFERROR(VLOOKUP(A177, 'Infrared'!A:G, 6, FALSE), "N/A"))</f>
        <v/>
      </c>
      <c r="J177">
        <f>IF(A177="","", IFERROR(VLOOKUP(A177, 'Ultrasonic'!A:H, 7, FALSE), "N/A"))</f>
        <v/>
      </c>
      <c r="K177">
        <f>IF(A177="","", IFERROR(VLOOKUP(A177, 'Code Violations'!A:V, 22, FALSE), "N/A"))</f>
        <v/>
      </c>
      <c r="L177">
        <f>IF(A177="","", IF(COUNTIF(E177:K177, "FAIL")&gt;0, "FAIL", "PASS"))</f>
        <v/>
      </c>
    </row>
    <row r="178">
      <c r="A178">
        <f>IF('Equipment Information'!A178="","", 'Equipment Information'!A178)</f>
        <v/>
      </c>
      <c r="B178">
        <f>IF('Equipment Information'!B178="","", 'Equipment Information'!B178)</f>
        <v/>
      </c>
      <c r="C178">
        <f>IF('Equipment Information'!C178="","", 'Equipment Information'!C178)</f>
        <v/>
      </c>
      <c r="D178">
        <f>IF('Equipment Information'!D178="","", 'Equipment Information'!D178)</f>
        <v/>
      </c>
      <c r="E178">
        <f>IF(A178="","", IFERROR(VLOOKUP(A178, 'Energized Data'!A:T, 20, FALSE), "N/A"))</f>
        <v/>
      </c>
      <c r="F178">
        <f>IF(A178="","", IFERROR(VLOOKUP(A178, 'Insulation'!A:J, 9, FALSE), "N/A"))</f>
        <v/>
      </c>
      <c r="G178">
        <f>IF(A178="","", IFERROR(VLOOKUP(A178, 'DLRO'!A:I, 8, FALSE), "N/A"))</f>
        <v/>
      </c>
      <c r="H178">
        <f>IF(A178="","", IFERROR(VLOOKUP(A178, 'Torque'!A:I, 8, FALSE), "N/A"))</f>
        <v/>
      </c>
      <c r="I178">
        <f>IF(A178="","", IFERROR(VLOOKUP(A178, 'Infrared'!A:G, 6, FALSE), "N/A"))</f>
        <v/>
      </c>
      <c r="J178">
        <f>IF(A178="","", IFERROR(VLOOKUP(A178, 'Ultrasonic'!A:H, 7, FALSE), "N/A"))</f>
        <v/>
      </c>
      <c r="K178">
        <f>IF(A178="","", IFERROR(VLOOKUP(A178, 'Code Violations'!A:V, 22, FALSE), "N/A"))</f>
        <v/>
      </c>
      <c r="L178">
        <f>IF(A178="","", IF(COUNTIF(E178:K178, "FAIL")&gt;0, "FAIL", "PASS"))</f>
        <v/>
      </c>
    </row>
    <row r="179">
      <c r="A179">
        <f>IF('Equipment Information'!A179="","", 'Equipment Information'!A179)</f>
        <v/>
      </c>
      <c r="B179">
        <f>IF('Equipment Information'!B179="","", 'Equipment Information'!B179)</f>
        <v/>
      </c>
      <c r="C179">
        <f>IF('Equipment Information'!C179="","", 'Equipment Information'!C179)</f>
        <v/>
      </c>
      <c r="D179">
        <f>IF('Equipment Information'!D179="","", 'Equipment Information'!D179)</f>
        <v/>
      </c>
      <c r="E179">
        <f>IF(A179="","", IFERROR(VLOOKUP(A179, 'Energized Data'!A:T, 20, FALSE), "N/A"))</f>
        <v/>
      </c>
      <c r="F179">
        <f>IF(A179="","", IFERROR(VLOOKUP(A179, 'Insulation'!A:J, 9, FALSE), "N/A"))</f>
        <v/>
      </c>
      <c r="G179">
        <f>IF(A179="","", IFERROR(VLOOKUP(A179, 'DLRO'!A:I, 8, FALSE), "N/A"))</f>
        <v/>
      </c>
      <c r="H179">
        <f>IF(A179="","", IFERROR(VLOOKUP(A179, 'Torque'!A:I, 8, FALSE), "N/A"))</f>
        <v/>
      </c>
      <c r="I179">
        <f>IF(A179="","", IFERROR(VLOOKUP(A179, 'Infrared'!A:G, 6, FALSE), "N/A"))</f>
        <v/>
      </c>
      <c r="J179">
        <f>IF(A179="","", IFERROR(VLOOKUP(A179, 'Ultrasonic'!A:H, 7, FALSE), "N/A"))</f>
        <v/>
      </c>
      <c r="K179">
        <f>IF(A179="","", IFERROR(VLOOKUP(A179, 'Code Violations'!A:V, 22, FALSE), "N/A"))</f>
        <v/>
      </c>
      <c r="L179">
        <f>IF(A179="","", IF(COUNTIF(E179:K179, "FAIL")&gt;0, "FAIL", "PASS"))</f>
        <v/>
      </c>
    </row>
    <row r="180">
      <c r="A180">
        <f>IF('Equipment Information'!A180="","", 'Equipment Information'!A180)</f>
        <v/>
      </c>
      <c r="B180">
        <f>IF('Equipment Information'!B180="","", 'Equipment Information'!B180)</f>
        <v/>
      </c>
      <c r="C180">
        <f>IF('Equipment Information'!C180="","", 'Equipment Information'!C180)</f>
        <v/>
      </c>
      <c r="D180">
        <f>IF('Equipment Information'!D180="","", 'Equipment Information'!D180)</f>
        <v/>
      </c>
      <c r="E180">
        <f>IF(A180="","", IFERROR(VLOOKUP(A180, 'Energized Data'!A:T, 20, FALSE), "N/A"))</f>
        <v/>
      </c>
      <c r="F180">
        <f>IF(A180="","", IFERROR(VLOOKUP(A180, 'Insulation'!A:J, 9, FALSE), "N/A"))</f>
        <v/>
      </c>
      <c r="G180">
        <f>IF(A180="","", IFERROR(VLOOKUP(A180, 'DLRO'!A:I, 8, FALSE), "N/A"))</f>
        <v/>
      </c>
      <c r="H180">
        <f>IF(A180="","", IFERROR(VLOOKUP(A180, 'Torque'!A:I, 8, FALSE), "N/A"))</f>
        <v/>
      </c>
      <c r="I180">
        <f>IF(A180="","", IFERROR(VLOOKUP(A180, 'Infrared'!A:G, 6, FALSE), "N/A"))</f>
        <v/>
      </c>
      <c r="J180">
        <f>IF(A180="","", IFERROR(VLOOKUP(A180, 'Ultrasonic'!A:H, 7, FALSE), "N/A"))</f>
        <v/>
      </c>
      <c r="K180">
        <f>IF(A180="","", IFERROR(VLOOKUP(A180, 'Code Violations'!A:V, 22, FALSE), "N/A"))</f>
        <v/>
      </c>
      <c r="L180">
        <f>IF(A180="","", IF(COUNTIF(E180:K180, "FAIL")&gt;0, "FAIL", "PASS"))</f>
        <v/>
      </c>
    </row>
    <row r="181">
      <c r="A181">
        <f>IF('Equipment Information'!A181="","", 'Equipment Information'!A181)</f>
        <v/>
      </c>
      <c r="B181">
        <f>IF('Equipment Information'!B181="","", 'Equipment Information'!B181)</f>
        <v/>
      </c>
      <c r="C181">
        <f>IF('Equipment Information'!C181="","", 'Equipment Information'!C181)</f>
        <v/>
      </c>
      <c r="D181">
        <f>IF('Equipment Information'!D181="","", 'Equipment Information'!D181)</f>
        <v/>
      </c>
      <c r="E181">
        <f>IF(A181="","", IFERROR(VLOOKUP(A181, 'Energized Data'!A:T, 20, FALSE), "N/A"))</f>
        <v/>
      </c>
      <c r="F181">
        <f>IF(A181="","", IFERROR(VLOOKUP(A181, 'Insulation'!A:J, 9, FALSE), "N/A"))</f>
        <v/>
      </c>
      <c r="G181">
        <f>IF(A181="","", IFERROR(VLOOKUP(A181, 'DLRO'!A:I, 8, FALSE), "N/A"))</f>
        <v/>
      </c>
      <c r="H181">
        <f>IF(A181="","", IFERROR(VLOOKUP(A181, 'Torque'!A:I, 8, FALSE), "N/A"))</f>
        <v/>
      </c>
      <c r="I181">
        <f>IF(A181="","", IFERROR(VLOOKUP(A181, 'Infrared'!A:G, 6, FALSE), "N/A"))</f>
        <v/>
      </c>
      <c r="J181">
        <f>IF(A181="","", IFERROR(VLOOKUP(A181, 'Ultrasonic'!A:H, 7, FALSE), "N/A"))</f>
        <v/>
      </c>
      <c r="K181">
        <f>IF(A181="","", IFERROR(VLOOKUP(A181, 'Code Violations'!A:V, 22, FALSE), "N/A"))</f>
        <v/>
      </c>
      <c r="L181">
        <f>IF(A181="","", IF(COUNTIF(E181:K181, "FAIL")&gt;0, "FAIL", "PASS"))</f>
        <v/>
      </c>
    </row>
    <row r="182">
      <c r="A182">
        <f>IF('Equipment Information'!A182="","", 'Equipment Information'!A182)</f>
        <v/>
      </c>
      <c r="B182">
        <f>IF('Equipment Information'!B182="","", 'Equipment Information'!B182)</f>
        <v/>
      </c>
      <c r="C182">
        <f>IF('Equipment Information'!C182="","", 'Equipment Information'!C182)</f>
        <v/>
      </c>
      <c r="D182">
        <f>IF('Equipment Information'!D182="","", 'Equipment Information'!D182)</f>
        <v/>
      </c>
      <c r="E182">
        <f>IF(A182="","", IFERROR(VLOOKUP(A182, 'Energized Data'!A:T, 20, FALSE), "N/A"))</f>
        <v/>
      </c>
      <c r="F182">
        <f>IF(A182="","", IFERROR(VLOOKUP(A182, 'Insulation'!A:J, 9, FALSE), "N/A"))</f>
        <v/>
      </c>
      <c r="G182">
        <f>IF(A182="","", IFERROR(VLOOKUP(A182, 'DLRO'!A:I, 8, FALSE), "N/A"))</f>
        <v/>
      </c>
      <c r="H182">
        <f>IF(A182="","", IFERROR(VLOOKUP(A182, 'Torque'!A:I, 8, FALSE), "N/A"))</f>
        <v/>
      </c>
      <c r="I182">
        <f>IF(A182="","", IFERROR(VLOOKUP(A182, 'Infrared'!A:G, 6, FALSE), "N/A"))</f>
        <v/>
      </c>
      <c r="J182">
        <f>IF(A182="","", IFERROR(VLOOKUP(A182, 'Ultrasonic'!A:H, 7, FALSE), "N/A"))</f>
        <v/>
      </c>
      <c r="K182">
        <f>IF(A182="","", IFERROR(VLOOKUP(A182, 'Code Violations'!A:V, 22, FALSE), "N/A"))</f>
        <v/>
      </c>
      <c r="L182">
        <f>IF(A182="","", IF(COUNTIF(E182:K182, "FAIL")&gt;0, "FAIL", "PASS"))</f>
        <v/>
      </c>
    </row>
    <row r="183">
      <c r="A183">
        <f>IF('Equipment Information'!A183="","", 'Equipment Information'!A183)</f>
        <v/>
      </c>
      <c r="B183">
        <f>IF('Equipment Information'!B183="","", 'Equipment Information'!B183)</f>
        <v/>
      </c>
      <c r="C183">
        <f>IF('Equipment Information'!C183="","", 'Equipment Information'!C183)</f>
        <v/>
      </c>
      <c r="D183">
        <f>IF('Equipment Information'!D183="","", 'Equipment Information'!D183)</f>
        <v/>
      </c>
      <c r="E183">
        <f>IF(A183="","", IFERROR(VLOOKUP(A183, 'Energized Data'!A:T, 20, FALSE), "N/A"))</f>
        <v/>
      </c>
      <c r="F183">
        <f>IF(A183="","", IFERROR(VLOOKUP(A183, 'Insulation'!A:J, 9, FALSE), "N/A"))</f>
        <v/>
      </c>
      <c r="G183">
        <f>IF(A183="","", IFERROR(VLOOKUP(A183, 'DLRO'!A:I, 8, FALSE), "N/A"))</f>
        <v/>
      </c>
      <c r="H183">
        <f>IF(A183="","", IFERROR(VLOOKUP(A183, 'Torque'!A:I, 8, FALSE), "N/A"))</f>
        <v/>
      </c>
      <c r="I183">
        <f>IF(A183="","", IFERROR(VLOOKUP(A183, 'Infrared'!A:G, 6, FALSE), "N/A"))</f>
        <v/>
      </c>
      <c r="J183">
        <f>IF(A183="","", IFERROR(VLOOKUP(A183, 'Ultrasonic'!A:H, 7, FALSE), "N/A"))</f>
        <v/>
      </c>
      <c r="K183">
        <f>IF(A183="","", IFERROR(VLOOKUP(A183, 'Code Violations'!A:V, 22, FALSE), "N/A"))</f>
        <v/>
      </c>
      <c r="L183">
        <f>IF(A183="","", IF(COUNTIF(E183:K183, "FAIL")&gt;0, "FAIL", "PASS"))</f>
        <v/>
      </c>
    </row>
    <row r="184">
      <c r="A184">
        <f>IF('Equipment Information'!A184="","", 'Equipment Information'!A184)</f>
        <v/>
      </c>
      <c r="B184">
        <f>IF('Equipment Information'!B184="","", 'Equipment Information'!B184)</f>
        <v/>
      </c>
      <c r="C184">
        <f>IF('Equipment Information'!C184="","", 'Equipment Information'!C184)</f>
        <v/>
      </c>
      <c r="D184">
        <f>IF('Equipment Information'!D184="","", 'Equipment Information'!D184)</f>
        <v/>
      </c>
      <c r="E184">
        <f>IF(A184="","", IFERROR(VLOOKUP(A184, 'Energized Data'!A:T, 20, FALSE), "N/A"))</f>
        <v/>
      </c>
      <c r="F184">
        <f>IF(A184="","", IFERROR(VLOOKUP(A184, 'Insulation'!A:J, 9, FALSE), "N/A"))</f>
        <v/>
      </c>
      <c r="G184">
        <f>IF(A184="","", IFERROR(VLOOKUP(A184, 'DLRO'!A:I, 8, FALSE), "N/A"))</f>
        <v/>
      </c>
      <c r="H184">
        <f>IF(A184="","", IFERROR(VLOOKUP(A184, 'Torque'!A:I, 8, FALSE), "N/A"))</f>
        <v/>
      </c>
      <c r="I184">
        <f>IF(A184="","", IFERROR(VLOOKUP(A184, 'Infrared'!A:G, 6, FALSE), "N/A"))</f>
        <v/>
      </c>
      <c r="J184">
        <f>IF(A184="","", IFERROR(VLOOKUP(A184, 'Ultrasonic'!A:H, 7, FALSE), "N/A"))</f>
        <v/>
      </c>
      <c r="K184">
        <f>IF(A184="","", IFERROR(VLOOKUP(A184, 'Code Violations'!A:V, 22, FALSE), "N/A"))</f>
        <v/>
      </c>
      <c r="L184">
        <f>IF(A184="","", IF(COUNTIF(E184:K184, "FAIL")&gt;0, "FAIL", "PASS"))</f>
        <v/>
      </c>
    </row>
    <row r="185">
      <c r="A185">
        <f>IF('Equipment Information'!A185="","", 'Equipment Information'!A185)</f>
        <v/>
      </c>
      <c r="B185">
        <f>IF('Equipment Information'!B185="","", 'Equipment Information'!B185)</f>
        <v/>
      </c>
      <c r="C185">
        <f>IF('Equipment Information'!C185="","", 'Equipment Information'!C185)</f>
        <v/>
      </c>
      <c r="D185">
        <f>IF('Equipment Information'!D185="","", 'Equipment Information'!D185)</f>
        <v/>
      </c>
      <c r="E185">
        <f>IF(A185="","", IFERROR(VLOOKUP(A185, 'Energized Data'!A:T, 20, FALSE), "N/A"))</f>
        <v/>
      </c>
      <c r="F185">
        <f>IF(A185="","", IFERROR(VLOOKUP(A185, 'Insulation'!A:J, 9, FALSE), "N/A"))</f>
        <v/>
      </c>
      <c r="G185">
        <f>IF(A185="","", IFERROR(VLOOKUP(A185, 'DLRO'!A:I, 8, FALSE), "N/A"))</f>
        <v/>
      </c>
      <c r="H185">
        <f>IF(A185="","", IFERROR(VLOOKUP(A185, 'Torque'!A:I, 8, FALSE), "N/A"))</f>
        <v/>
      </c>
      <c r="I185">
        <f>IF(A185="","", IFERROR(VLOOKUP(A185, 'Infrared'!A:G, 6, FALSE), "N/A"))</f>
        <v/>
      </c>
      <c r="J185">
        <f>IF(A185="","", IFERROR(VLOOKUP(A185, 'Ultrasonic'!A:H, 7, FALSE), "N/A"))</f>
        <v/>
      </c>
      <c r="K185">
        <f>IF(A185="","", IFERROR(VLOOKUP(A185, 'Code Violations'!A:V, 22, FALSE), "N/A"))</f>
        <v/>
      </c>
      <c r="L185">
        <f>IF(A185="","", IF(COUNTIF(E185:K185, "FAIL")&gt;0, "FAIL", "PASS"))</f>
        <v/>
      </c>
    </row>
    <row r="186">
      <c r="A186">
        <f>IF('Equipment Information'!A186="","", 'Equipment Information'!A186)</f>
        <v/>
      </c>
      <c r="B186">
        <f>IF('Equipment Information'!B186="","", 'Equipment Information'!B186)</f>
        <v/>
      </c>
      <c r="C186">
        <f>IF('Equipment Information'!C186="","", 'Equipment Information'!C186)</f>
        <v/>
      </c>
      <c r="D186">
        <f>IF('Equipment Information'!D186="","", 'Equipment Information'!D186)</f>
        <v/>
      </c>
      <c r="E186">
        <f>IF(A186="","", IFERROR(VLOOKUP(A186, 'Energized Data'!A:T, 20, FALSE), "N/A"))</f>
        <v/>
      </c>
      <c r="F186">
        <f>IF(A186="","", IFERROR(VLOOKUP(A186, 'Insulation'!A:J, 9, FALSE), "N/A"))</f>
        <v/>
      </c>
      <c r="G186">
        <f>IF(A186="","", IFERROR(VLOOKUP(A186, 'DLRO'!A:I, 8, FALSE), "N/A"))</f>
        <v/>
      </c>
      <c r="H186">
        <f>IF(A186="","", IFERROR(VLOOKUP(A186, 'Torque'!A:I, 8, FALSE), "N/A"))</f>
        <v/>
      </c>
      <c r="I186">
        <f>IF(A186="","", IFERROR(VLOOKUP(A186, 'Infrared'!A:G, 6, FALSE), "N/A"))</f>
        <v/>
      </c>
      <c r="J186">
        <f>IF(A186="","", IFERROR(VLOOKUP(A186, 'Ultrasonic'!A:H, 7, FALSE), "N/A"))</f>
        <v/>
      </c>
      <c r="K186">
        <f>IF(A186="","", IFERROR(VLOOKUP(A186, 'Code Violations'!A:V, 22, FALSE), "N/A"))</f>
        <v/>
      </c>
      <c r="L186">
        <f>IF(A186="","", IF(COUNTIF(E186:K186, "FAIL")&gt;0, "FAIL", "PASS"))</f>
        <v/>
      </c>
    </row>
    <row r="187">
      <c r="A187">
        <f>IF('Equipment Information'!A187="","", 'Equipment Information'!A187)</f>
        <v/>
      </c>
      <c r="B187">
        <f>IF('Equipment Information'!B187="","", 'Equipment Information'!B187)</f>
        <v/>
      </c>
      <c r="C187">
        <f>IF('Equipment Information'!C187="","", 'Equipment Information'!C187)</f>
        <v/>
      </c>
      <c r="D187">
        <f>IF('Equipment Information'!D187="","", 'Equipment Information'!D187)</f>
        <v/>
      </c>
      <c r="E187">
        <f>IF(A187="","", IFERROR(VLOOKUP(A187, 'Energized Data'!A:T, 20, FALSE), "N/A"))</f>
        <v/>
      </c>
      <c r="F187">
        <f>IF(A187="","", IFERROR(VLOOKUP(A187, 'Insulation'!A:J, 9, FALSE), "N/A"))</f>
        <v/>
      </c>
      <c r="G187">
        <f>IF(A187="","", IFERROR(VLOOKUP(A187, 'DLRO'!A:I, 8, FALSE), "N/A"))</f>
        <v/>
      </c>
      <c r="H187">
        <f>IF(A187="","", IFERROR(VLOOKUP(A187, 'Torque'!A:I, 8, FALSE), "N/A"))</f>
        <v/>
      </c>
      <c r="I187">
        <f>IF(A187="","", IFERROR(VLOOKUP(A187, 'Infrared'!A:G, 6, FALSE), "N/A"))</f>
        <v/>
      </c>
      <c r="J187">
        <f>IF(A187="","", IFERROR(VLOOKUP(A187, 'Ultrasonic'!A:H, 7, FALSE), "N/A"))</f>
        <v/>
      </c>
      <c r="K187">
        <f>IF(A187="","", IFERROR(VLOOKUP(A187, 'Code Violations'!A:V, 22, FALSE), "N/A"))</f>
        <v/>
      </c>
      <c r="L187">
        <f>IF(A187="","", IF(COUNTIF(E187:K187, "FAIL")&gt;0, "FAIL", "PASS"))</f>
        <v/>
      </c>
    </row>
    <row r="188">
      <c r="A188">
        <f>IF('Equipment Information'!A188="","", 'Equipment Information'!A188)</f>
        <v/>
      </c>
      <c r="B188">
        <f>IF('Equipment Information'!B188="","", 'Equipment Information'!B188)</f>
        <v/>
      </c>
      <c r="C188">
        <f>IF('Equipment Information'!C188="","", 'Equipment Information'!C188)</f>
        <v/>
      </c>
      <c r="D188">
        <f>IF('Equipment Information'!D188="","", 'Equipment Information'!D188)</f>
        <v/>
      </c>
      <c r="E188">
        <f>IF(A188="","", IFERROR(VLOOKUP(A188, 'Energized Data'!A:T, 20, FALSE), "N/A"))</f>
        <v/>
      </c>
      <c r="F188">
        <f>IF(A188="","", IFERROR(VLOOKUP(A188, 'Insulation'!A:J, 9, FALSE), "N/A"))</f>
        <v/>
      </c>
      <c r="G188">
        <f>IF(A188="","", IFERROR(VLOOKUP(A188, 'DLRO'!A:I, 8, FALSE), "N/A"))</f>
        <v/>
      </c>
      <c r="H188">
        <f>IF(A188="","", IFERROR(VLOOKUP(A188, 'Torque'!A:I, 8, FALSE), "N/A"))</f>
        <v/>
      </c>
      <c r="I188">
        <f>IF(A188="","", IFERROR(VLOOKUP(A188, 'Infrared'!A:G, 6, FALSE), "N/A"))</f>
        <v/>
      </c>
      <c r="J188">
        <f>IF(A188="","", IFERROR(VLOOKUP(A188, 'Ultrasonic'!A:H, 7, FALSE), "N/A"))</f>
        <v/>
      </c>
      <c r="K188">
        <f>IF(A188="","", IFERROR(VLOOKUP(A188, 'Code Violations'!A:V, 22, FALSE), "N/A"))</f>
        <v/>
      </c>
      <c r="L188">
        <f>IF(A188="","", IF(COUNTIF(E188:K188, "FAIL")&gt;0, "FAIL", "PASS"))</f>
        <v/>
      </c>
    </row>
    <row r="189">
      <c r="A189">
        <f>IF('Equipment Information'!A189="","", 'Equipment Information'!A189)</f>
        <v/>
      </c>
      <c r="B189">
        <f>IF('Equipment Information'!B189="","", 'Equipment Information'!B189)</f>
        <v/>
      </c>
      <c r="C189">
        <f>IF('Equipment Information'!C189="","", 'Equipment Information'!C189)</f>
        <v/>
      </c>
      <c r="D189">
        <f>IF('Equipment Information'!D189="","", 'Equipment Information'!D189)</f>
        <v/>
      </c>
      <c r="E189">
        <f>IF(A189="","", IFERROR(VLOOKUP(A189, 'Energized Data'!A:T, 20, FALSE), "N/A"))</f>
        <v/>
      </c>
      <c r="F189">
        <f>IF(A189="","", IFERROR(VLOOKUP(A189, 'Insulation'!A:J, 9, FALSE), "N/A"))</f>
        <v/>
      </c>
      <c r="G189">
        <f>IF(A189="","", IFERROR(VLOOKUP(A189, 'DLRO'!A:I, 8, FALSE), "N/A"))</f>
        <v/>
      </c>
      <c r="H189">
        <f>IF(A189="","", IFERROR(VLOOKUP(A189, 'Torque'!A:I, 8, FALSE), "N/A"))</f>
        <v/>
      </c>
      <c r="I189">
        <f>IF(A189="","", IFERROR(VLOOKUP(A189, 'Infrared'!A:G, 6, FALSE), "N/A"))</f>
        <v/>
      </c>
      <c r="J189">
        <f>IF(A189="","", IFERROR(VLOOKUP(A189, 'Ultrasonic'!A:H, 7, FALSE), "N/A"))</f>
        <v/>
      </c>
      <c r="K189">
        <f>IF(A189="","", IFERROR(VLOOKUP(A189, 'Code Violations'!A:V, 22, FALSE), "N/A"))</f>
        <v/>
      </c>
      <c r="L189">
        <f>IF(A189="","", IF(COUNTIF(E189:K189, "FAIL")&gt;0, "FAIL", "PASS"))</f>
        <v/>
      </c>
    </row>
    <row r="190">
      <c r="A190">
        <f>IF('Equipment Information'!A190="","", 'Equipment Information'!A190)</f>
        <v/>
      </c>
      <c r="B190">
        <f>IF('Equipment Information'!B190="","", 'Equipment Information'!B190)</f>
        <v/>
      </c>
      <c r="C190">
        <f>IF('Equipment Information'!C190="","", 'Equipment Information'!C190)</f>
        <v/>
      </c>
      <c r="D190">
        <f>IF('Equipment Information'!D190="","", 'Equipment Information'!D190)</f>
        <v/>
      </c>
      <c r="E190">
        <f>IF(A190="","", IFERROR(VLOOKUP(A190, 'Energized Data'!A:T, 20, FALSE), "N/A"))</f>
        <v/>
      </c>
      <c r="F190">
        <f>IF(A190="","", IFERROR(VLOOKUP(A190, 'Insulation'!A:J, 9, FALSE), "N/A"))</f>
        <v/>
      </c>
      <c r="G190">
        <f>IF(A190="","", IFERROR(VLOOKUP(A190, 'DLRO'!A:I, 8, FALSE), "N/A"))</f>
        <v/>
      </c>
      <c r="H190">
        <f>IF(A190="","", IFERROR(VLOOKUP(A190, 'Torque'!A:I, 8, FALSE), "N/A"))</f>
        <v/>
      </c>
      <c r="I190">
        <f>IF(A190="","", IFERROR(VLOOKUP(A190, 'Infrared'!A:G, 6, FALSE), "N/A"))</f>
        <v/>
      </c>
      <c r="J190">
        <f>IF(A190="","", IFERROR(VLOOKUP(A190, 'Ultrasonic'!A:H, 7, FALSE), "N/A"))</f>
        <v/>
      </c>
      <c r="K190">
        <f>IF(A190="","", IFERROR(VLOOKUP(A190, 'Code Violations'!A:V, 22, FALSE), "N/A"))</f>
        <v/>
      </c>
      <c r="L190">
        <f>IF(A190="","", IF(COUNTIF(E190:K190, "FAIL")&gt;0, "FAIL", "PASS"))</f>
        <v/>
      </c>
    </row>
    <row r="191">
      <c r="A191">
        <f>IF('Equipment Information'!A191="","", 'Equipment Information'!A191)</f>
        <v/>
      </c>
      <c r="B191">
        <f>IF('Equipment Information'!B191="","", 'Equipment Information'!B191)</f>
        <v/>
      </c>
      <c r="C191">
        <f>IF('Equipment Information'!C191="","", 'Equipment Information'!C191)</f>
        <v/>
      </c>
      <c r="D191">
        <f>IF('Equipment Information'!D191="","", 'Equipment Information'!D191)</f>
        <v/>
      </c>
      <c r="E191">
        <f>IF(A191="","", IFERROR(VLOOKUP(A191, 'Energized Data'!A:T, 20, FALSE), "N/A"))</f>
        <v/>
      </c>
      <c r="F191">
        <f>IF(A191="","", IFERROR(VLOOKUP(A191, 'Insulation'!A:J, 9, FALSE), "N/A"))</f>
        <v/>
      </c>
      <c r="G191">
        <f>IF(A191="","", IFERROR(VLOOKUP(A191, 'DLRO'!A:I, 8, FALSE), "N/A"))</f>
        <v/>
      </c>
      <c r="H191">
        <f>IF(A191="","", IFERROR(VLOOKUP(A191, 'Torque'!A:I, 8, FALSE), "N/A"))</f>
        <v/>
      </c>
      <c r="I191">
        <f>IF(A191="","", IFERROR(VLOOKUP(A191, 'Infrared'!A:G, 6, FALSE), "N/A"))</f>
        <v/>
      </c>
      <c r="J191">
        <f>IF(A191="","", IFERROR(VLOOKUP(A191, 'Ultrasonic'!A:H, 7, FALSE), "N/A"))</f>
        <v/>
      </c>
      <c r="K191">
        <f>IF(A191="","", IFERROR(VLOOKUP(A191, 'Code Violations'!A:V, 22, FALSE), "N/A"))</f>
        <v/>
      </c>
      <c r="L191">
        <f>IF(A191="","", IF(COUNTIF(E191:K191, "FAIL")&gt;0, "FAIL", "PASS"))</f>
        <v/>
      </c>
    </row>
    <row r="192">
      <c r="A192">
        <f>IF('Equipment Information'!A192="","", 'Equipment Information'!A192)</f>
        <v/>
      </c>
      <c r="B192">
        <f>IF('Equipment Information'!B192="","", 'Equipment Information'!B192)</f>
        <v/>
      </c>
      <c r="C192">
        <f>IF('Equipment Information'!C192="","", 'Equipment Information'!C192)</f>
        <v/>
      </c>
      <c r="D192">
        <f>IF('Equipment Information'!D192="","", 'Equipment Information'!D192)</f>
        <v/>
      </c>
      <c r="E192">
        <f>IF(A192="","", IFERROR(VLOOKUP(A192, 'Energized Data'!A:T, 20, FALSE), "N/A"))</f>
        <v/>
      </c>
      <c r="F192">
        <f>IF(A192="","", IFERROR(VLOOKUP(A192, 'Insulation'!A:J, 9, FALSE), "N/A"))</f>
        <v/>
      </c>
      <c r="G192">
        <f>IF(A192="","", IFERROR(VLOOKUP(A192, 'DLRO'!A:I, 8, FALSE), "N/A"))</f>
        <v/>
      </c>
      <c r="H192">
        <f>IF(A192="","", IFERROR(VLOOKUP(A192, 'Torque'!A:I, 8, FALSE), "N/A"))</f>
        <v/>
      </c>
      <c r="I192">
        <f>IF(A192="","", IFERROR(VLOOKUP(A192, 'Infrared'!A:G, 6, FALSE), "N/A"))</f>
        <v/>
      </c>
      <c r="J192">
        <f>IF(A192="","", IFERROR(VLOOKUP(A192, 'Ultrasonic'!A:H, 7, FALSE), "N/A"))</f>
        <v/>
      </c>
      <c r="K192">
        <f>IF(A192="","", IFERROR(VLOOKUP(A192, 'Code Violations'!A:V, 22, FALSE), "N/A"))</f>
        <v/>
      </c>
      <c r="L192">
        <f>IF(A192="","", IF(COUNTIF(E192:K192, "FAIL")&gt;0, "FAIL", "PASS"))</f>
        <v/>
      </c>
    </row>
    <row r="193">
      <c r="A193">
        <f>IF('Equipment Information'!A193="","", 'Equipment Information'!A193)</f>
        <v/>
      </c>
      <c r="B193">
        <f>IF('Equipment Information'!B193="","", 'Equipment Information'!B193)</f>
        <v/>
      </c>
      <c r="C193">
        <f>IF('Equipment Information'!C193="","", 'Equipment Information'!C193)</f>
        <v/>
      </c>
      <c r="D193">
        <f>IF('Equipment Information'!D193="","", 'Equipment Information'!D193)</f>
        <v/>
      </c>
      <c r="E193">
        <f>IF(A193="","", IFERROR(VLOOKUP(A193, 'Energized Data'!A:T, 20, FALSE), "N/A"))</f>
        <v/>
      </c>
      <c r="F193">
        <f>IF(A193="","", IFERROR(VLOOKUP(A193, 'Insulation'!A:J, 9, FALSE), "N/A"))</f>
        <v/>
      </c>
      <c r="G193">
        <f>IF(A193="","", IFERROR(VLOOKUP(A193, 'DLRO'!A:I, 8, FALSE), "N/A"))</f>
        <v/>
      </c>
      <c r="H193">
        <f>IF(A193="","", IFERROR(VLOOKUP(A193, 'Torque'!A:I, 8, FALSE), "N/A"))</f>
        <v/>
      </c>
      <c r="I193">
        <f>IF(A193="","", IFERROR(VLOOKUP(A193, 'Infrared'!A:G, 6, FALSE), "N/A"))</f>
        <v/>
      </c>
      <c r="J193">
        <f>IF(A193="","", IFERROR(VLOOKUP(A193, 'Ultrasonic'!A:H, 7, FALSE), "N/A"))</f>
        <v/>
      </c>
      <c r="K193">
        <f>IF(A193="","", IFERROR(VLOOKUP(A193, 'Code Violations'!A:V, 22, FALSE), "N/A"))</f>
        <v/>
      </c>
      <c r="L193">
        <f>IF(A193="","", IF(COUNTIF(E193:K193, "FAIL")&gt;0, "FAIL", "PASS"))</f>
        <v/>
      </c>
    </row>
    <row r="194">
      <c r="A194">
        <f>IF('Equipment Information'!A194="","", 'Equipment Information'!A194)</f>
        <v/>
      </c>
      <c r="B194">
        <f>IF('Equipment Information'!B194="","", 'Equipment Information'!B194)</f>
        <v/>
      </c>
      <c r="C194">
        <f>IF('Equipment Information'!C194="","", 'Equipment Information'!C194)</f>
        <v/>
      </c>
      <c r="D194">
        <f>IF('Equipment Information'!D194="","", 'Equipment Information'!D194)</f>
        <v/>
      </c>
      <c r="E194">
        <f>IF(A194="","", IFERROR(VLOOKUP(A194, 'Energized Data'!A:T, 20, FALSE), "N/A"))</f>
        <v/>
      </c>
      <c r="F194">
        <f>IF(A194="","", IFERROR(VLOOKUP(A194, 'Insulation'!A:J, 9, FALSE), "N/A"))</f>
        <v/>
      </c>
      <c r="G194">
        <f>IF(A194="","", IFERROR(VLOOKUP(A194, 'DLRO'!A:I, 8, FALSE), "N/A"))</f>
        <v/>
      </c>
      <c r="H194">
        <f>IF(A194="","", IFERROR(VLOOKUP(A194, 'Torque'!A:I, 8, FALSE), "N/A"))</f>
        <v/>
      </c>
      <c r="I194">
        <f>IF(A194="","", IFERROR(VLOOKUP(A194, 'Infrared'!A:G, 6, FALSE), "N/A"))</f>
        <v/>
      </c>
      <c r="J194">
        <f>IF(A194="","", IFERROR(VLOOKUP(A194, 'Ultrasonic'!A:H, 7, FALSE), "N/A"))</f>
        <v/>
      </c>
      <c r="K194">
        <f>IF(A194="","", IFERROR(VLOOKUP(A194, 'Code Violations'!A:V, 22, FALSE), "N/A"))</f>
        <v/>
      </c>
      <c r="L194">
        <f>IF(A194="","", IF(COUNTIF(E194:K194, "FAIL")&gt;0, "FAIL", "PASS"))</f>
        <v/>
      </c>
    </row>
    <row r="195">
      <c r="A195">
        <f>IF('Equipment Information'!A195="","", 'Equipment Information'!A195)</f>
        <v/>
      </c>
      <c r="B195">
        <f>IF('Equipment Information'!B195="","", 'Equipment Information'!B195)</f>
        <v/>
      </c>
      <c r="C195">
        <f>IF('Equipment Information'!C195="","", 'Equipment Information'!C195)</f>
        <v/>
      </c>
      <c r="D195">
        <f>IF('Equipment Information'!D195="","", 'Equipment Information'!D195)</f>
        <v/>
      </c>
      <c r="E195">
        <f>IF(A195="","", IFERROR(VLOOKUP(A195, 'Energized Data'!A:T, 20, FALSE), "N/A"))</f>
        <v/>
      </c>
      <c r="F195">
        <f>IF(A195="","", IFERROR(VLOOKUP(A195, 'Insulation'!A:J, 9, FALSE), "N/A"))</f>
        <v/>
      </c>
      <c r="G195">
        <f>IF(A195="","", IFERROR(VLOOKUP(A195, 'DLRO'!A:I, 8, FALSE), "N/A"))</f>
        <v/>
      </c>
      <c r="H195">
        <f>IF(A195="","", IFERROR(VLOOKUP(A195, 'Torque'!A:I, 8, FALSE), "N/A"))</f>
        <v/>
      </c>
      <c r="I195">
        <f>IF(A195="","", IFERROR(VLOOKUP(A195, 'Infrared'!A:G, 6, FALSE), "N/A"))</f>
        <v/>
      </c>
      <c r="J195">
        <f>IF(A195="","", IFERROR(VLOOKUP(A195, 'Ultrasonic'!A:H, 7, FALSE), "N/A"))</f>
        <v/>
      </c>
      <c r="K195">
        <f>IF(A195="","", IFERROR(VLOOKUP(A195, 'Code Violations'!A:V, 22, FALSE), "N/A"))</f>
        <v/>
      </c>
      <c r="L195">
        <f>IF(A195="","", IF(COUNTIF(E195:K195, "FAIL")&gt;0, "FAIL", "PASS"))</f>
        <v/>
      </c>
    </row>
    <row r="196">
      <c r="A196">
        <f>IF('Equipment Information'!A196="","", 'Equipment Information'!A196)</f>
        <v/>
      </c>
      <c r="B196">
        <f>IF('Equipment Information'!B196="","", 'Equipment Information'!B196)</f>
        <v/>
      </c>
      <c r="C196">
        <f>IF('Equipment Information'!C196="","", 'Equipment Information'!C196)</f>
        <v/>
      </c>
      <c r="D196">
        <f>IF('Equipment Information'!D196="","", 'Equipment Information'!D196)</f>
        <v/>
      </c>
      <c r="E196">
        <f>IF(A196="","", IFERROR(VLOOKUP(A196, 'Energized Data'!A:T, 20, FALSE), "N/A"))</f>
        <v/>
      </c>
      <c r="F196">
        <f>IF(A196="","", IFERROR(VLOOKUP(A196, 'Insulation'!A:J, 9, FALSE), "N/A"))</f>
        <v/>
      </c>
      <c r="G196">
        <f>IF(A196="","", IFERROR(VLOOKUP(A196, 'DLRO'!A:I, 8, FALSE), "N/A"))</f>
        <v/>
      </c>
      <c r="H196">
        <f>IF(A196="","", IFERROR(VLOOKUP(A196, 'Torque'!A:I, 8, FALSE), "N/A"))</f>
        <v/>
      </c>
      <c r="I196">
        <f>IF(A196="","", IFERROR(VLOOKUP(A196, 'Infrared'!A:G, 6, FALSE), "N/A"))</f>
        <v/>
      </c>
      <c r="J196">
        <f>IF(A196="","", IFERROR(VLOOKUP(A196, 'Ultrasonic'!A:H, 7, FALSE), "N/A"))</f>
        <v/>
      </c>
      <c r="K196">
        <f>IF(A196="","", IFERROR(VLOOKUP(A196, 'Code Violations'!A:V, 22, FALSE), "N/A"))</f>
        <v/>
      </c>
      <c r="L196">
        <f>IF(A196="","", IF(COUNTIF(E196:K196, "FAIL")&gt;0, "FAIL", "PASS"))</f>
        <v/>
      </c>
    </row>
    <row r="197">
      <c r="A197">
        <f>IF('Equipment Information'!A197="","", 'Equipment Information'!A197)</f>
        <v/>
      </c>
      <c r="B197">
        <f>IF('Equipment Information'!B197="","", 'Equipment Information'!B197)</f>
        <v/>
      </c>
      <c r="C197">
        <f>IF('Equipment Information'!C197="","", 'Equipment Information'!C197)</f>
        <v/>
      </c>
      <c r="D197">
        <f>IF('Equipment Information'!D197="","", 'Equipment Information'!D197)</f>
        <v/>
      </c>
      <c r="E197">
        <f>IF(A197="","", IFERROR(VLOOKUP(A197, 'Energized Data'!A:T, 20, FALSE), "N/A"))</f>
        <v/>
      </c>
      <c r="F197">
        <f>IF(A197="","", IFERROR(VLOOKUP(A197, 'Insulation'!A:J, 9, FALSE), "N/A"))</f>
        <v/>
      </c>
      <c r="G197">
        <f>IF(A197="","", IFERROR(VLOOKUP(A197, 'DLRO'!A:I, 8, FALSE), "N/A"))</f>
        <v/>
      </c>
      <c r="H197">
        <f>IF(A197="","", IFERROR(VLOOKUP(A197, 'Torque'!A:I, 8, FALSE), "N/A"))</f>
        <v/>
      </c>
      <c r="I197">
        <f>IF(A197="","", IFERROR(VLOOKUP(A197, 'Infrared'!A:G, 6, FALSE), "N/A"))</f>
        <v/>
      </c>
      <c r="J197">
        <f>IF(A197="","", IFERROR(VLOOKUP(A197, 'Ultrasonic'!A:H, 7, FALSE), "N/A"))</f>
        <v/>
      </c>
      <c r="K197">
        <f>IF(A197="","", IFERROR(VLOOKUP(A197, 'Code Violations'!A:V, 22, FALSE), "N/A"))</f>
        <v/>
      </c>
      <c r="L197">
        <f>IF(A197="","", IF(COUNTIF(E197:K197, "FAIL")&gt;0, "FAIL", "PASS"))</f>
        <v/>
      </c>
    </row>
    <row r="198">
      <c r="A198">
        <f>IF('Equipment Information'!A198="","", 'Equipment Information'!A198)</f>
        <v/>
      </c>
      <c r="B198">
        <f>IF('Equipment Information'!B198="","", 'Equipment Information'!B198)</f>
        <v/>
      </c>
      <c r="C198">
        <f>IF('Equipment Information'!C198="","", 'Equipment Information'!C198)</f>
        <v/>
      </c>
      <c r="D198">
        <f>IF('Equipment Information'!D198="","", 'Equipment Information'!D198)</f>
        <v/>
      </c>
      <c r="E198">
        <f>IF(A198="","", IFERROR(VLOOKUP(A198, 'Energized Data'!A:T, 20, FALSE), "N/A"))</f>
        <v/>
      </c>
      <c r="F198">
        <f>IF(A198="","", IFERROR(VLOOKUP(A198, 'Insulation'!A:J, 9, FALSE), "N/A"))</f>
        <v/>
      </c>
      <c r="G198">
        <f>IF(A198="","", IFERROR(VLOOKUP(A198, 'DLRO'!A:I, 8, FALSE), "N/A"))</f>
        <v/>
      </c>
      <c r="H198">
        <f>IF(A198="","", IFERROR(VLOOKUP(A198, 'Torque'!A:I, 8, FALSE), "N/A"))</f>
        <v/>
      </c>
      <c r="I198">
        <f>IF(A198="","", IFERROR(VLOOKUP(A198, 'Infrared'!A:G, 6, FALSE), "N/A"))</f>
        <v/>
      </c>
      <c r="J198">
        <f>IF(A198="","", IFERROR(VLOOKUP(A198, 'Ultrasonic'!A:H, 7, FALSE), "N/A"))</f>
        <v/>
      </c>
      <c r="K198">
        <f>IF(A198="","", IFERROR(VLOOKUP(A198, 'Code Violations'!A:V, 22, FALSE), "N/A"))</f>
        <v/>
      </c>
      <c r="L198">
        <f>IF(A198="","", IF(COUNTIF(E198:K198, "FAIL")&gt;0, "FAIL", "PASS"))</f>
        <v/>
      </c>
    </row>
    <row r="199">
      <c r="A199">
        <f>IF('Equipment Information'!A199="","", 'Equipment Information'!A199)</f>
        <v/>
      </c>
      <c r="B199">
        <f>IF('Equipment Information'!B199="","", 'Equipment Information'!B199)</f>
        <v/>
      </c>
      <c r="C199">
        <f>IF('Equipment Information'!C199="","", 'Equipment Information'!C199)</f>
        <v/>
      </c>
      <c r="D199">
        <f>IF('Equipment Information'!D199="","", 'Equipment Information'!D199)</f>
        <v/>
      </c>
      <c r="E199">
        <f>IF(A199="","", IFERROR(VLOOKUP(A199, 'Energized Data'!A:T, 20, FALSE), "N/A"))</f>
        <v/>
      </c>
      <c r="F199">
        <f>IF(A199="","", IFERROR(VLOOKUP(A199, 'Insulation'!A:J, 9, FALSE), "N/A"))</f>
        <v/>
      </c>
      <c r="G199">
        <f>IF(A199="","", IFERROR(VLOOKUP(A199, 'DLRO'!A:I, 8, FALSE), "N/A"))</f>
        <v/>
      </c>
      <c r="H199">
        <f>IF(A199="","", IFERROR(VLOOKUP(A199, 'Torque'!A:I, 8, FALSE), "N/A"))</f>
        <v/>
      </c>
      <c r="I199">
        <f>IF(A199="","", IFERROR(VLOOKUP(A199, 'Infrared'!A:G, 6, FALSE), "N/A"))</f>
        <v/>
      </c>
      <c r="J199">
        <f>IF(A199="","", IFERROR(VLOOKUP(A199, 'Ultrasonic'!A:H, 7, FALSE), "N/A"))</f>
        <v/>
      </c>
      <c r="K199">
        <f>IF(A199="","", IFERROR(VLOOKUP(A199, 'Code Violations'!A:V, 22, FALSE), "N/A"))</f>
        <v/>
      </c>
      <c r="L199">
        <f>IF(A199="","", IF(COUNTIF(E199:K199, "FAIL")&gt;0, "FAIL", "PASS"))</f>
        <v/>
      </c>
    </row>
    <row r="200">
      <c r="A200">
        <f>IF('Equipment Information'!A200="","", 'Equipment Information'!A200)</f>
        <v/>
      </c>
      <c r="B200">
        <f>IF('Equipment Information'!B200="","", 'Equipment Information'!B200)</f>
        <v/>
      </c>
      <c r="C200">
        <f>IF('Equipment Information'!C200="","", 'Equipment Information'!C200)</f>
        <v/>
      </c>
      <c r="D200">
        <f>IF('Equipment Information'!D200="","", 'Equipment Information'!D200)</f>
        <v/>
      </c>
      <c r="E200">
        <f>IF(A200="","", IFERROR(VLOOKUP(A200, 'Energized Data'!A:T, 20, FALSE), "N/A"))</f>
        <v/>
      </c>
      <c r="F200">
        <f>IF(A200="","", IFERROR(VLOOKUP(A200, 'Insulation'!A:J, 9, FALSE), "N/A"))</f>
        <v/>
      </c>
      <c r="G200">
        <f>IF(A200="","", IFERROR(VLOOKUP(A200, 'DLRO'!A:I, 8, FALSE), "N/A"))</f>
        <v/>
      </c>
      <c r="H200">
        <f>IF(A200="","", IFERROR(VLOOKUP(A200, 'Torque'!A:I, 8, FALSE), "N/A"))</f>
        <v/>
      </c>
      <c r="I200">
        <f>IF(A200="","", IFERROR(VLOOKUP(A200, 'Infrared'!A:G, 6, FALSE), "N/A"))</f>
        <v/>
      </c>
      <c r="J200">
        <f>IF(A200="","", IFERROR(VLOOKUP(A200, 'Ultrasonic'!A:H, 7, FALSE), "N/A"))</f>
        <v/>
      </c>
      <c r="K200">
        <f>IF(A200="","", IFERROR(VLOOKUP(A200, 'Code Violations'!A:V, 22, FALSE), "N/A"))</f>
        <v/>
      </c>
      <c r="L200">
        <f>IF(A200="","", IF(COUNTIF(E200:K200, "FAIL")&gt;0, "FAIL", "PASS"))</f>
        <v/>
      </c>
    </row>
    <row r="201">
      <c r="A201">
        <f>IF('Equipment Information'!A201="","", 'Equipment Information'!A201)</f>
        <v/>
      </c>
      <c r="B201">
        <f>IF('Equipment Information'!B201="","", 'Equipment Information'!B201)</f>
        <v/>
      </c>
      <c r="C201">
        <f>IF('Equipment Information'!C201="","", 'Equipment Information'!C201)</f>
        <v/>
      </c>
      <c r="D201">
        <f>IF('Equipment Information'!D201="","", 'Equipment Information'!D201)</f>
        <v/>
      </c>
      <c r="E201">
        <f>IF(A201="","", IFERROR(VLOOKUP(A201, 'Energized Data'!A:T, 20, FALSE), "N/A"))</f>
        <v/>
      </c>
      <c r="F201">
        <f>IF(A201="","", IFERROR(VLOOKUP(A201, 'Insulation'!A:J, 9, FALSE), "N/A"))</f>
        <v/>
      </c>
      <c r="G201">
        <f>IF(A201="","", IFERROR(VLOOKUP(A201, 'DLRO'!A:I, 8, FALSE), "N/A"))</f>
        <v/>
      </c>
      <c r="H201">
        <f>IF(A201="","", IFERROR(VLOOKUP(A201, 'Torque'!A:I, 8, FALSE), "N/A"))</f>
        <v/>
      </c>
      <c r="I201">
        <f>IF(A201="","", IFERROR(VLOOKUP(A201, 'Infrared'!A:G, 6, FALSE), "N/A"))</f>
        <v/>
      </c>
      <c r="J201">
        <f>IF(A201="","", IFERROR(VLOOKUP(A201, 'Ultrasonic'!A:H, 7, FALSE), "N/A"))</f>
        <v/>
      </c>
      <c r="K201">
        <f>IF(A201="","", IFERROR(VLOOKUP(A201, 'Code Violations'!A:V, 22, FALSE), "N/A"))</f>
        <v/>
      </c>
      <c r="L201">
        <f>IF(A201="","", IF(COUNTIF(E201:K201, "FAIL")&gt;0, "FAIL", "PASS"))</f>
        <v/>
      </c>
    </row>
    <row r="202">
      <c r="A202">
        <f>IF('Equipment Information'!A202="","", 'Equipment Information'!A202)</f>
        <v/>
      </c>
      <c r="B202">
        <f>IF('Equipment Information'!B202="","", 'Equipment Information'!B202)</f>
        <v/>
      </c>
      <c r="C202">
        <f>IF('Equipment Information'!C202="","", 'Equipment Information'!C202)</f>
        <v/>
      </c>
      <c r="D202">
        <f>IF('Equipment Information'!D202="","", 'Equipment Information'!D202)</f>
        <v/>
      </c>
      <c r="E202">
        <f>IF(A202="","", IFERROR(VLOOKUP(A202, 'Energized Data'!A:T, 20, FALSE), "N/A"))</f>
        <v/>
      </c>
      <c r="F202">
        <f>IF(A202="","", IFERROR(VLOOKUP(A202, 'Insulation'!A:J, 9, FALSE), "N/A"))</f>
        <v/>
      </c>
      <c r="G202">
        <f>IF(A202="","", IFERROR(VLOOKUP(A202, 'DLRO'!A:I, 8, FALSE), "N/A"))</f>
        <v/>
      </c>
      <c r="H202">
        <f>IF(A202="","", IFERROR(VLOOKUP(A202, 'Torque'!A:I, 8, FALSE), "N/A"))</f>
        <v/>
      </c>
      <c r="I202">
        <f>IF(A202="","", IFERROR(VLOOKUP(A202, 'Infrared'!A:G, 6, FALSE), "N/A"))</f>
        <v/>
      </c>
      <c r="J202">
        <f>IF(A202="","", IFERROR(VLOOKUP(A202, 'Ultrasonic'!A:H, 7, FALSE), "N/A"))</f>
        <v/>
      </c>
      <c r="K202">
        <f>IF(A202="","", IFERROR(VLOOKUP(A202, 'Code Violations'!A:V, 22, FALSE), "N/A"))</f>
        <v/>
      </c>
      <c r="L202">
        <f>IF(A202="","", IF(COUNTIF(E202:K202, "FAIL")&gt;0, "FAIL", "PASS"))</f>
        <v/>
      </c>
    </row>
    <row r="203">
      <c r="A203">
        <f>IF('Equipment Information'!A203="","", 'Equipment Information'!A203)</f>
        <v/>
      </c>
      <c r="B203">
        <f>IF('Equipment Information'!B203="","", 'Equipment Information'!B203)</f>
        <v/>
      </c>
      <c r="C203">
        <f>IF('Equipment Information'!C203="","", 'Equipment Information'!C203)</f>
        <v/>
      </c>
      <c r="D203">
        <f>IF('Equipment Information'!D203="","", 'Equipment Information'!D203)</f>
        <v/>
      </c>
      <c r="E203">
        <f>IF(A203="","", IFERROR(VLOOKUP(A203, 'Energized Data'!A:T, 20, FALSE), "N/A"))</f>
        <v/>
      </c>
      <c r="F203">
        <f>IF(A203="","", IFERROR(VLOOKUP(A203, 'Insulation'!A:J, 9, FALSE), "N/A"))</f>
        <v/>
      </c>
      <c r="G203">
        <f>IF(A203="","", IFERROR(VLOOKUP(A203, 'DLRO'!A:I, 8, FALSE), "N/A"))</f>
        <v/>
      </c>
      <c r="H203">
        <f>IF(A203="","", IFERROR(VLOOKUP(A203, 'Torque'!A:I, 8, FALSE), "N/A"))</f>
        <v/>
      </c>
      <c r="I203">
        <f>IF(A203="","", IFERROR(VLOOKUP(A203, 'Infrared'!A:G, 6, FALSE), "N/A"))</f>
        <v/>
      </c>
      <c r="J203">
        <f>IF(A203="","", IFERROR(VLOOKUP(A203, 'Ultrasonic'!A:H, 7, FALSE), "N/A"))</f>
        <v/>
      </c>
      <c r="K203">
        <f>IF(A203="","", IFERROR(VLOOKUP(A203, 'Code Violations'!A:V, 22, FALSE), "N/A"))</f>
        <v/>
      </c>
      <c r="L203">
        <f>IF(A203="","", IF(COUNTIF(E203:K203, "FAIL")&gt;0, "FAIL", "PASS"))</f>
        <v/>
      </c>
    </row>
    <row r="204">
      <c r="A204">
        <f>IF('Equipment Information'!A204="","", 'Equipment Information'!A204)</f>
        <v/>
      </c>
      <c r="B204">
        <f>IF('Equipment Information'!B204="","", 'Equipment Information'!B204)</f>
        <v/>
      </c>
      <c r="C204">
        <f>IF('Equipment Information'!C204="","", 'Equipment Information'!C204)</f>
        <v/>
      </c>
      <c r="D204">
        <f>IF('Equipment Information'!D204="","", 'Equipment Information'!D204)</f>
        <v/>
      </c>
      <c r="E204">
        <f>IF(A204="","", IFERROR(VLOOKUP(A204, 'Energized Data'!A:T, 20, FALSE), "N/A"))</f>
        <v/>
      </c>
      <c r="F204">
        <f>IF(A204="","", IFERROR(VLOOKUP(A204, 'Insulation'!A:J, 9, FALSE), "N/A"))</f>
        <v/>
      </c>
      <c r="G204">
        <f>IF(A204="","", IFERROR(VLOOKUP(A204, 'DLRO'!A:I, 8, FALSE), "N/A"))</f>
        <v/>
      </c>
      <c r="H204">
        <f>IF(A204="","", IFERROR(VLOOKUP(A204, 'Torque'!A:I, 8, FALSE), "N/A"))</f>
        <v/>
      </c>
      <c r="I204">
        <f>IF(A204="","", IFERROR(VLOOKUP(A204, 'Infrared'!A:G, 6, FALSE), "N/A"))</f>
        <v/>
      </c>
      <c r="J204">
        <f>IF(A204="","", IFERROR(VLOOKUP(A204, 'Ultrasonic'!A:H, 7, FALSE), "N/A"))</f>
        <v/>
      </c>
      <c r="K204">
        <f>IF(A204="","", IFERROR(VLOOKUP(A204, 'Code Violations'!A:V, 22, FALSE), "N/A"))</f>
        <v/>
      </c>
      <c r="L204">
        <f>IF(A204="","", IF(COUNTIF(E204:K204, "FAIL")&gt;0, "FAIL", "PASS"))</f>
        <v/>
      </c>
    </row>
    <row r="205">
      <c r="A205">
        <f>IF('Equipment Information'!A205="","", 'Equipment Information'!A205)</f>
        <v/>
      </c>
      <c r="B205">
        <f>IF('Equipment Information'!B205="","", 'Equipment Information'!B205)</f>
        <v/>
      </c>
      <c r="C205">
        <f>IF('Equipment Information'!C205="","", 'Equipment Information'!C205)</f>
        <v/>
      </c>
      <c r="D205">
        <f>IF('Equipment Information'!D205="","", 'Equipment Information'!D205)</f>
        <v/>
      </c>
      <c r="E205">
        <f>IF(A205="","", IFERROR(VLOOKUP(A205, 'Energized Data'!A:T, 20, FALSE), "N/A"))</f>
        <v/>
      </c>
      <c r="F205">
        <f>IF(A205="","", IFERROR(VLOOKUP(A205, 'Insulation'!A:J, 9, FALSE), "N/A"))</f>
        <v/>
      </c>
      <c r="G205">
        <f>IF(A205="","", IFERROR(VLOOKUP(A205, 'DLRO'!A:I, 8, FALSE), "N/A"))</f>
        <v/>
      </c>
      <c r="H205">
        <f>IF(A205="","", IFERROR(VLOOKUP(A205, 'Torque'!A:I, 8, FALSE), "N/A"))</f>
        <v/>
      </c>
      <c r="I205">
        <f>IF(A205="","", IFERROR(VLOOKUP(A205, 'Infrared'!A:G, 6, FALSE), "N/A"))</f>
        <v/>
      </c>
      <c r="J205">
        <f>IF(A205="","", IFERROR(VLOOKUP(A205, 'Ultrasonic'!A:H, 7, FALSE), "N/A"))</f>
        <v/>
      </c>
      <c r="K205">
        <f>IF(A205="","", IFERROR(VLOOKUP(A205, 'Code Violations'!A:V, 22, FALSE), "N/A"))</f>
        <v/>
      </c>
      <c r="L205">
        <f>IF(A205="","", IF(COUNTIF(E205:K205, "FAIL")&gt;0, "FAIL", "PASS"))</f>
        <v/>
      </c>
    </row>
    <row r="206">
      <c r="A206">
        <f>IF('Equipment Information'!A206="","", 'Equipment Information'!A206)</f>
        <v/>
      </c>
      <c r="B206">
        <f>IF('Equipment Information'!B206="","", 'Equipment Information'!B206)</f>
        <v/>
      </c>
      <c r="C206">
        <f>IF('Equipment Information'!C206="","", 'Equipment Information'!C206)</f>
        <v/>
      </c>
      <c r="D206">
        <f>IF('Equipment Information'!D206="","", 'Equipment Information'!D206)</f>
        <v/>
      </c>
      <c r="E206">
        <f>IF(A206="","", IFERROR(VLOOKUP(A206, 'Energized Data'!A:T, 20, FALSE), "N/A"))</f>
        <v/>
      </c>
      <c r="F206">
        <f>IF(A206="","", IFERROR(VLOOKUP(A206, 'Insulation'!A:J, 9, FALSE), "N/A"))</f>
        <v/>
      </c>
      <c r="G206">
        <f>IF(A206="","", IFERROR(VLOOKUP(A206, 'DLRO'!A:I, 8, FALSE), "N/A"))</f>
        <v/>
      </c>
      <c r="H206">
        <f>IF(A206="","", IFERROR(VLOOKUP(A206, 'Torque'!A:I, 8, FALSE), "N/A"))</f>
        <v/>
      </c>
      <c r="I206">
        <f>IF(A206="","", IFERROR(VLOOKUP(A206, 'Infrared'!A:G, 6, FALSE), "N/A"))</f>
        <v/>
      </c>
      <c r="J206">
        <f>IF(A206="","", IFERROR(VLOOKUP(A206, 'Ultrasonic'!A:H, 7, FALSE), "N/A"))</f>
        <v/>
      </c>
      <c r="K206">
        <f>IF(A206="","", IFERROR(VLOOKUP(A206, 'Code Violations'!A:V, 22, FALSE), "N/A"))</f>
        <v/>
      </c>
      <c r="L206">
        <f>IF(A206="","", IF(COUNTIF(E206:K206, "FAIL")&gt;0, "FAIL", "PASS"))</f>
        <v/>
      </c>
    </row>
    <row r="207">
      <c r="A207">
        <f>IF('Equipment Information'!A207="","", 'Equipment Information'!A207)</f>
        <v/>
      </c>
      <c r="B207">
        <f>IF('Equipment Information'!B207="","", 'Equipment Information'!B207)</f>
        <v/>
      </c>
      <c r="C207">
        <f>IF('Equipment Information'!C207="","", 'Equipment Information'!C207)</f>
        <v/>
      </c>
      <c r="D207">
        <f>IF('Equipment Information'!D207="","", 'Equipment Information'!D207)</f>
        <v/>
      </c>
      <c r="E207">
        <f>IF(A207="","", IFERROR(VLOOKUP(A207, 'Energized Data'!A:T, 20, FALSE), "N/A"))</f>
        <v/>
      </c>
      <c r="F207">
        <f>IF(A207="","", IFERROR(VLOOKUP(A207, 'Insulation'!A:J, 9, FALSE), "N/A"))</f>
        <v/>
      </c>
      <c r="G207">
        <f>IF(A207="","", IFERROR(VLOOKUP(A207, 'DLRO'!A:I, 8, FALSE), "N/A"))</f>
        <v/>
      </c>
      <c r="H207">
        <f>IF(A207="","", IFERROR(VLOOKUP(A207, 'Torque'!A:I, 8, FALSE), "N/A"))</f>
        <v/>
      </c>
      <c r="I207">
        <f>IF(A207="","", IFERROR(VLOOKUP(A207, 'Infrared'!A:G, 6, FALSE), "N/A"))</f>
        <v/>
      </c>
      <c r="J207">
        <f>IF(A207="","", IFERROR(VLOOKUP(A207, 'Ultrasonic'!A:H, 7, FALSE), "N/A"))</f>
        <v/>
      </c>
      <c r="K207">
        <f>IF(A207="","", IFERROR(VLOOKUP(A207, 'Code Violations'!A:V, 22, FALSE), "N/A"))</f>
        <v/>
      </c>
      <c r="L207">
        <f>IF(A207="","", IF(COUNTIF(E207:K207, "FAIL")&gt;0, "FAIL", "PASS"))</f>
        <v/>
      </c>
    </row>
    <row r="208">
      <c r="A208">
        <f>IF('Equipment Information'!A208="","", 'Equipment Information'!A208)</f>
        <v/>
      </c>
      <c r="B208">
        <f>IF('Equipment Information'!B208="","", 'Equipment Information'!B208)</f>
        <v/>
      </c>
      <c r="C208">
        <f>IF('Equipment Information'!C208="","", 'Equipment Information'!C208)</f>
        <v/>
      </c>
      <c r="D208">
        <f>IF('Equipment Information'!D208="","", 'Equipment Information'!D208)</f>
        <v/>
      </c>
      <c r="E208">
        <f>IF(A208="","", IFERROR(VLOOKUP(A208, 'Energized Data'!A:T, 20, FALSE), "N/A"))</f>
        <v/>
      </c>
      <c r="F208">
        <f>IF(A208="","", IFERROR(VLOOKUP(A208, 'Insulation'!A:J, 9, FALSE), "N/A"))</f>
        <v/>
      </c>
      <c r="G208">
        <f>IF(A208="","", IFERROR(VLOOKUP(A208, 'DLRO'!A:I, 8, FALSE), "N/A"))</f>
        <v/>
      </c>
      <c r="H208">
        <f>IF(A208="","", IFERROR(VLOOKUP(A208, 'Torque'!A:I, 8, FALSE), "N/A"))</f>
        <v/>
      </c>
      <c r="I208">
        <f>IF(A208="","", IFERROR(VLOOKUP(A208, 'Infrared'!A:G, 6, FALSE), "N/A"))</f>
        <v/>
      </c>
      <c r="J208">
        <f>IF(A208="","", IFERROR(VLOOKUP(A208, 'Ultrasonic'!A:H, 7, FALSE), "N/A"))</f>
        <v/>
      </c>
      <c r="K208">
        <f>IF(A208="","", IFERROR(VLOOKUP(A208, 'Code Violations'!A:V, 22, FALSE), "N/A"))</f>
        <v/>
      </c>
      <c r="L208">
        <f>IF(A208="","", IF(COUNTIF(E208:K208, "FAIL")&gt;0, "FAIL", "PASS"))</f>
        <v/>
      </c>
    </row>
    <row r="209">
      <c r="A209">
        <f>IF('Equipment Information'!A209="","", 'Equipment Information'!A209)</f>
        <v/>
      </c>
      <c r="B209">
        <f>IF('Equipment Information'!B209="","", 'Equipment Information'!B209)</f>
        <v/>
      </c>
      <c r="C209">
        <f>IF('Equipment Information'!C209="","", 'Equipment Information'!C209)</f>
        <v/>
      </c>
      <c r="D209">
        <f>IF('Equipment Information'!D209="","", 'Equipment Information'!D209)</f>
        <v/>
      </c>
      <c r="E209">
        <f>IF(A209="","", IFERROR(VLOOKUP(A209, 'Energized Data'!A:T, 20, FALSE), "N/A"))</f>
        <v/>
      </c>
      <c r="F209">
        <f>IF(A209="","", IFERROR(VLOOKUP(A209, 'Insulation'!A:J, 9, FALSE), "N/A"))</f>
        <v/>
      </c>
      <c r="G209">
        <f>IF(A209="","", IFERROR(VLOOKUP(A209, 'DLRO'!A:I, 8, FALSE), "N/A"))</f>
        <v/>
      </c>
      <c r="H209">
        <f>IF(A209="","", IFERROR(VLOOKUP(A209, 'Torque'!A:I, 8, FALSE), "N/A"))</f>
        <v/>
      </c>
      <c r="I209">
        <f>IF(A209="","", IFERROR(VLOOKUP(A209, 'Infrared'!A:G, 6, FALSE), "N/A"))</f>
        <v/>
      </c>
      <c r="J209">
        <f>IF(A209="","", IFERROR(VLOOKUP(A209, 'Ultrasonic'!A:H, 7, FALSE), "N/A"))</f>
        <v/>
      </c>
      <c r="K209">
        <f>IF(A209="","", IFERROR(VLOOKUP(A209, 'Code Violations'!A:V, 22, FALSE), "N/A"))</f>
        <v/>
      </c>
      <c r="L209">
        <f>IF(A209="","", IF(COUNTIF(E209:K209, "FAIL")&gt;0, "FAIL", "PASS"))</f>
        <v/>
      </c>
    </row>
    <row r="210">
      <c r="A210">
        <f>IF('Equipment Information'!A210="","", 'Equipment Information'!A210)</f>
        <v/>
      </c>
      <c r="B210">
        <f>IF('Equipment Information'!B210="","", 'Equipment Information'!B210)</f>
        <v/>
      </c>
      <c r="C210">
        <f>IF('Equipment Information'!C210="","", 'Equipment Information'!C210)</f>
        <v/>
      </c>
      <c r="D210">
        <f>IF('Equipment Information'!D210="","", 'Equipment Information'!D210)</f>
        <v/>
      </c>
      <c r="E210">
        <f>IF(A210="","", IFERROR(VLOOKUP(A210, 'Energized Data'!A:T, 20, FALSE), "N/A"))</f>
        <v/>
      </c>
      <c r="F210">
        <f>IF(A210="","", IFERROR(VLOOKUP(A210, 'Insulation'!A:J, 9, FALSE), "N/A"))</f>
        <v/>
      </c>
      <c r="G210">
        <f>IF(A210="","", IFERROR(VLOOKUP(A210, 'DLRO'!A:I, 8, FALSE), "N/A"))</f>
        <v/>
      </c>
      <c r="H210">
        <f>IF(A210="","", IFERROR(VLOOKUP(A210, 'Torque'!A:I, 8, FALSE), "N/A"))</f>
        <v/>
      </c>
      <c r="I210">
        <f>IF(A210="","", IFERROR(VLOOKUP(A210, 'Infrared'!A:G, 6, FALSE), "N/A"))</f>
        <v/>
      </c>
      <c r="J210">
        <f>IF(A210="","", IFERROR(VLOOKUP(A210, 'Ultrasonic'!A:H, 7, FALSE), "N/A"))</f>
        <v/>
      </c>
      <c r="K210">
        <f>IF(A210="","", IFERROR(VLOOKUP(A210, 'Code Violations'!A:V, 22, FALSE), "N/A"))</f>
        <v/>
      </c>
      <c r="L210">
        <f>IF(A210="","", IF(COUNTIF(E210:K210, "FAIL")&gt;0, "FAIL", "PASS"))</f>
        <v/>
      </c>
    </row>
    <row r="211">
      <c r="A211">
        <f>IF('Equipment Information'!A211="","", 'Equipment Information'!A211)</f>
        <v/>
      </c>
      <c r="B211">
        <f>IF('Equipment Information'!B211="","", 'Equipment Information'!B211)</f>
        <v/>
      </c>
      <c r="C211">
        <f>IF('Equipment Information'!C211="","", 'Equipment Information'!C211)</f>
        <v/>
      </c>
      <c r="D211">
        <f>IF('Equipment Information'!D211="","", 'Equipment Information'!D211)</f>
        <v/>
      </c>
      <c r="E211">
        <f>IF(A211="","", IFERROR(VLOOKUP(A211, 'Energized Data'!A:T, 20, FALSE), "N/A"))</f>
        <v/>
      </c>
      <c r="F211">
        <f>IF(A211="","", IFERROR(VLOOKUP(A211, 'Insulation'!A:J, 9, FALSE), "N/A"))</f>
        <v/>
      </c>
      <c r="G211">
        <f>IF(A211="","", IFERROR(VLOOKUP(A211, 'DLRO'!A:I, 8, FALSE), "N/A"))</f>
        <v/>
      </c>
      <c r="H211">
        <f>IF(A211="","", IFERROR(VLOOKUP(A211, 'Torque'!A:I, 8, FALSE), "N/A"))</f>
        <v/>
      </c>
      <c r="I211">
        <f>IF(A211="","", IFERROR(VLOOKUP(A211, 'Infrared'!A:G, 6, FALSE), "N/A"))</f>
        <v/>
      </c>
      <c r="J211">
        <f>IF(A211="","", IFERROR(VLOOKUP(A211, 'Ultrasonic'!A:H, 7, FALSE), "N/A"))</f>
        <v/>
      </c>
      <c r="K211">
        <f>IF(A211="","", IFERROR(VLOOKUP(A211, 'Code Violations'!A:V, 22, FALSE), "N/A"))</f>
        <v/>
      </c>
      <c r="L211">
        <f>IF(A211="","", IF(COUNTIF(E211:K211, "FAIL")&gt;0, "FAIL", "PASS"))</f>
        <v/>
      </c>
    </row>
    <row r="212">
      <c r="A212">
        <f>IF('Equipment Information'!A212="","", 'Equipment Information'!A212)</f>
        <v/>
      </c>
      <c r="B212">
        <f>IF('Equipment Information'!B212="","", 'Equipment Information'!B212)</f>
        <v/>
      </c>
      <c r="C212">
        <f>IF('Equipment Information'!C212="","", 'Equipment Information'!C212)</f>
        <v/>
      </c>
      <c r="D212">
        <f>IF('Equipment Information'!D212="","", 'Equipment Information'!D212)</f>
        <v/>
      </c>
      <c r="E212">
        <f>IF(A212="","", IFERROR(VLOOKUP(A212, 'Energized Data'!A:T, 20, FALSE), "N/A"))</f>
        <v/>
      </c>
      <c r="F212">
        <f>IF(A212="","", IFERROR(VLOOKUP(A212, 'Insulation'!A:J, 9, FALSE), "N/A"))</f>
        <v/>
      </c>
      <c r="G212">
        <f>IF(A212="","", IFERROR(VLOOKUP(A212, 'DLRO'!A:I, 8, FALSE), "N/A"))</f>
        <v/>
      </c>
      <c r="H212">
        <f>IF(A212="","", IFERROR(VLOOKUP(A212, 'Torque'!A:I, 8, FALSE), "N/A"))</f>
        <v/>
      </c>
      <c r="I212">
        <f>IF(A212="","", IFERROR(VLOOKUP(A212, 'Infrared'!A:G, 6, FALSE), "N/A"))</f>
        <v/>
      </c>
      <c r="J212">
        <f>IF(A212="","", IFERROR(VLOOKUP(A212, 'Ultrasonic'!A:H, 7, FALSE), "N/A"))</f>
        <v/>
      </c>
      <c r="K212">
        <f>IF(A212="","", IFERROR(VLOOKUP(A212, 'Code Violations'!A:V, 22, FALSE), "N/A"))</f>
        <v/>
      </c>
      <c r="L212">
        <f>IF(A212="","", IF(COUNTIF(E212:K212, "FAIL")&gt;0, "FAIL", "PASS"))</f>
        <v/>
      </c>
    </row>
    <row r="213">
      <c r="A213">
        <f>IF('Equipment Information'!A213="","", 'Equipment Information'!A213)</f>
        <v/>
      </c>
      <c r="B213">
        <f>IF('Equipment Information'!B213="","", 'Equipment Information'!B213)</f>
        <v/>
      </c>
      <c r="C213">
        <f>IF('Equipment Information'!C213="","", 'Equipment Information'!C213)</f>
        <v/>
      </c>
      <c r="D213">
        <f>IF('Equipment Information'!D213="","", 'Equipment Information'!D213)</f>
        <v/>
      </c>
      <c r="E213">
        <f>IF(A213="","", IFERROR(VLOOKUP(A213, 'Energized Data'!A:T, 20, FALSE), "N/A"))</f>
        <v/>
      </c>
      <c r="F213">
        <f>IF(A213="","", IFERROR(VLOOKUP(A213, 'Insulation'!A:J, 9, FALSE), "N/A"))</f>
        <v/>
      </c>
      <c r="G213">
        <f>IF(A213="","", IFERROR(VLOOKUP(A213, 'DLRO'!A:I, 8, FALSE), "N/A"))</f>
        <v/>
      </c>
      <c r="H213">
        <f>IF(A213="","", IFERROR(VLOOKUP(A213, 'Torque'!A:I, 8, FALSE), "N/A"))</f>
        <v/>
      </c>
      <c r="I213">
        <f>IF(A213="","", IFERROR(VLOOKUP(A213, 'Infrared'!A:G, 6, FALSE), "N/A"))</f>
        <v/>
      </c>
      <c r="J213">
        <f>IF(A213="","", IFERROR(VLOOKUP(A213, 'Ultrasonic'!A:H, 7, FALSE), "N/A"))</f>
        <v/>
      </c>
      <c r="K213">
        <f>IF(A213="","", IFERROR(VLOOKUP(A213, 'Code Violations'!A:V, 22, FALSE), "N/A"))</f>
        <v/>
      </c>
      <c r="L213">
        <f>IF(A213="","", IF(COUNTIF(E213:K213, "FAIL")&gt;0, "FAIL", "PASS"))</f>
        <v/>
      </c>
    </row>
    <row r="214">
      <c r="A214">
        <f>IF('Equipment Information'!A214="","", 'Equipment Information'!A214)</f>
        <v/>
      </c>
      <c r="B214">
        <f>IF('Equipment Information'!B214="","", 'Equipment Information'!B214)</f>
        <v/>
      </c>
      <c r="C214">
        <f>IF('Equipment Information'!C214="","", 'Equipment Information'!C214)</f>
        <v/>
      </c>
      <c r="D214">
        <f>IF('Equipment Information'!D214="","", 'Equipment Information'!D214)</f>
        <v/>
      </c>
      <c r="E214">
        <f>IF(A214="","", IFERROR(VLOOKUP(A214, 'Energized Data'!A:T, 20, FALSE), "N/A"))</f>
        <v/>
      </c>
      <c r="F214">
        <f>IF(A214="","", IFERROR(VLOOKUP(A214, 'Insulation'!A:J, 9, FALSE), "N/A"))</f>
        <v/>
      </c>
      <c r="G214">
        <f>IF(A214="","", IFERROR(VLOOKUP(A214, 'DLRO'!A:I, 8, FALSE), "N/A"))</f>
        <v/>
      </c>
      <c r="H214">
        <f>IF(A214="","", IFERROR(VLOOKUP(A214, 'Torque'!A:I, 8, FALSE), "N/A"))</f>
        <v/>
      </c>
      <c r="I214">
        <f>IF(A214="","", IFERROR(VLOOKUP(A214, 'Infrared'!A:G, 6, FALSE), "N/A"))</f>
        <v/>
      </c>
      <c r="J214">
        <f>IF(A214="","", IFERROR(VLOOKUP(A214, 'Ultrasonic'!A:H, 7, FALSE), "N/A"))</f>
        <v/>
      </c>
      <c r="K214">
        <f>IF(A214="","", IFERROR(VLOOKUP(A214, 'Code Violations'!A:V, 22, FALSE), "N/A"))</f>
        <v/>
      </c>
      <c r="L214">
        <f>IF(A214="","", IF(COUNTIF(E214:K214, "FAIL")&gt;0, "FAIL", "PASS"))</f>
        <v/>
      </c>
    </row>
    <row r="215">
      <c r="A215">
        <f>IF('Equipment Information'!A215="","", 'Equipment Information'!A215)</f>
        <v/>
      </c>
      <c r="B215">
        <f>IF('Equipment Information'!B215="","", 'Equipment Information'!B215)</f>
        <v/>
      </c>
      <c r="C215">
        <f>IF('Equipment Information'!C215="","", 'Equipment Information'!C215)</f>
        <v/>
      </c>
      <c r="D215">
        <f>IF('Equipment Information'!D215="","", 'Equipment Information'!D215)</f>
        <v/>
      </c>
      <c r="E215">
        <f>IF(A215="","", IFERROR(VLOOKUP(A215, 'Energized Data'!A:T, 20, FALSE), "N/A"))</f>
        <v/>
      </c>
      <c r="F215">
        <f>IF(A215="","", IFERROR(VLOOKUP(A215, 'Insulation'!A:J, 9, FALSE), "N/A"))</f>
        <v/>
      </c>
      <c r="G215">
        <f>IF(A215="","", IFERROR(VLOOKUP(A215, 'DLRO'!A:I, 8, FALSE), "N/A"))</f>
        <v/>
      </c>
      <c r="H215">
        <f>IF(A215="","", IFERROR(VLOOKUP(A215, 'Torque'!A:I, 8, FALSE), "N/A"))</f>
        <v/>
      </c>
      <c r="I215">
        <f>IF(A215="","", IFERROR(VLOOKUP(A215, 'Infrared'!A:G, 6, FALSE), "N/A"))</f>
        <v/>
      </c>
      <c r="J215">
        <f>IF(A215="","", IFERROR(VLOOKUP(A215, 'Ultrasonic'!A:H, 7, FALSE), "N/A"))</f>
        <v/>
      </c>
      <c r="K215">
        <f>IF(A215="","", IFERROR(VLOOKUP(A215, 'Code Violations'!A:V, 22, FALSE), "N/A"))</f>
        <v/>
      </c>
      <c r="L215">
        <f>IF(A215="","", IF(COUNTIF(E215:K215, "FAIL")&gt;0, "FAIL", "PASS"))</f>
        <v/>
      </c>
    </row>
    <row r="216">
      <c r="A216">
        <f>IF('Equipment Information'!A216="","", 'Equipment Information'!A216)</f>
        <v/>
      </c>
      <c r="B216">
        <f>IF('Equipment Information'!B216="","", 'Equipment Information'!B216)</f>
        <v/>
      </c>
      <c r="C216">
        <f>IF('Equipment Information'!C216="","", 'Equipment Information'!C216)</f>
        <v/>
      </c>
      <c r="D216">
        <f>IF('Equipment Information'!D216="","", 'Equipment Information'!D216)</f>
        <v/>
      </c>
      <c r="E216">
        <f>IF(A216="","", IFERROR(VLOOKUP(A216, 'Energized Data'!A:T, 20, FALSE), "N/A"))</f>
        <v/>
      </c>
      <c r="F216">
        <f>IF(A216="","", IFERROR(VLOOKUP(A216, 'Insulation'!A:J, 9, FALSE), "N/A"))</f>
        <v/>
      </c>
      <c r="G216">
        <f>IF(A216="","", IFERROR(VLOOKUP(A216, 'DLRO'!A:I, 8, FALSE), "N/A"))</f>
        <v/>
      </c>
      <c r="H216">
        <f>IF(A216="","", IFERROR(VLOOKUP(A216, 'Torque'!A:I, 8, FALSE), "N/A"))</f>
        <v/>
      </c>
      <c r="I216">
        <f>IF(A216="","", IFERROR(VLOOKUP(A216, 'Infrared'!A:G, 6, FALSE), "N/A"))</f>
        <v/>
      </c>
      <c r="J216">
        <f>IF(A216="","", IFERROR(VLOOKUP(A216, 'Ultrasonic'!A:H, 7, FALSE), "N/A"))</f>
        <v/>
      </c>
      <c r="K216">
        <f>IF(A216="","", IFERROR(VLOOKUP(A216, 'Code Violations'!A:V, 22, FALSE), "N/A"))</f>
        <v/>
      </c>
      <c r="L216">
        <f>IF(A216="","", IF(COUNTIF(E216:K216, "FAIL")&gt;0, "FAIL", "PASS"))</f>
        <v/>
      </c>
    </row>
    <row r="217">
      <c r="A217">
        <f>IF('Equipment Information'!A217="","", 'Equipment Information'!A217)</f>
        <v/>
      </c>
      <c r="B217">
        <f>IF('Equipment Information'!B217="","", 'Equipment Information'!B217)</f>
        <v/>
      </c>
      <c r="C217">
        <f>IF('Equipment Information'!C217="","", 'Equipment Information'!C217)</f>
        <v/>
      </c>
      <c r="D217">
        <f>IF('Equipment Information'!D217="","", 'Equipment Information'!D217)</f>
        <v/>
      </c>
      <c r="E217">
        <f>IF(A217="","", IFERROR(VLOOKUP(A217, 'Energized Data'!A:T, 20, FALSE), "N/A"))</f>
        <v/>
      </c>
      <c r="F217">
        <f>IF(A217="","", IFERROR(VLOOKUP(A217, 'Insulation'!A:J, 9, FALSE), "N/A"))</f>
        <v/>
      </c>
      <c r="G217">
        <f>IF(A217="","", IFERROR(VLOOKUP(A217, 'DLRO'!A:I, 8, FALSE), "N/A"))</f>
        <v/>
      </c>
      <c r="H217">
        <f>IF(A217="","", IFERROR(VLOOKUP(A217, 'Torque'!A:I, 8, FALSE), "N/A"))</f>
        <v/>
      </c>
      <c r="I217">
        <f>IF(A217="","", IFERROR(VLOOKUP(A217, 'Infrared'!A:G, 6, FALSE), "N/A"))</f>
        <v/>
      </c>
      <c r="J217">
        <f>IF(A217="","", IFERROR(VLOOKUP(A217, 'Ultrasonic'!A:H, 7, FALSE), "N/A"))</f>
        <v/>
      </c>
      <c r="K217">
        <f>IF(A217="","", IFERROR(VLOOKUP(A217, 'Code Violations'!A:V, 22, FALSE), "N/A"))</f>
        <v/>
      </c>
      <c r="L217">
        <f>IF(A217="","", IF(COUNTIF(E217:K217, "FAIL")&gt;0, "FAIL", "PASS"))</f>
        <v/>
      </c>
    </row>
    <row r="218">
      <c r="A218">
        <f>IF('Equipment Information'!A218="","", 'Equipment Information'!A218)</f>
        <v/>
      </c>
      <c r="B218">
        <f>IF('Equipment Information'!B218="","", 'Equipment Information'!B218)</f>
        <v/>
      </c>
      <c r="C218">
        <f>IF('Equipment Information'!C218="","", 'Equipment Information'!C218)</f>
        <v/>
      </c>
      <c r="D218">
        <f>IF('Equipment Information'!D218="","", 'Equipment Information'!D218)</f>
        <v/>
      </c>
      <c r="E218">
        <f>IF(A218="","", IFERROR(VLOOKUP(A218, 'Energized Data'!A:T, 20, FALSE), "N/A"))</f>
        <v/>
      </c>
      <c r="F218">
        <f>IF(A218="","", IFERROR(VLOOKUP(A218, 'Insulation'!A:J, 9, FALSE), "N/A"))</f>
        <v/>
      </c>
      <c r="G218">
        <f>IF(A218="","", IFERROR(VLOOKUP(A218, 'DLRO'!A:I, 8, FALSE), "N/A"))</f>
        <v/>
      </c>
      <c r="H218">
        <f>IF(A218="","", IFERROR(VLOOKUP(A218, 'Torque'!A:I, 8, FALSE), "N/A"))</f>
        <v/>
      </c>
      <c r="I218">
        <f>IF(A218="","", IFERROR(VLOOKUP(A218, 'Infrared'!A:G, 6, FALSE), "N/A"))</f>
        <v/>
      </c>
      <c r="J218">
        <f>IF(A218="","", IFERROR(VLOOKUP(A218, 'Ultrasonic'!A:H, 7, FALSE), "N/A"))</f>
        <v/>
      </c>
      <c r="K218">
        <f>IF(A218="","", IFERROR(VLOOKUP(A218, 'Code Violations'!A:V, 22, FALSE), "N/A"))</f>
        <v/>
      </c>
      <c r="L218">
        <f>IF(A218="","", IF(COUNTIF(E218:K218, "FAIL")&gt;0, "FAIL", "PASS"))</f>
        <v/>
      </c>
    </row>
    <row r="219">
      <c r="A219">
        <f>IF('Equipment Information'!A219="","", 'Equipment Information'!A219)</f>
        <v/>
      </c>
      <c r="B219">
        <f>IF('Equipment Information'!B219="","", 'Equipment Information'!B219)</f>
        <v/>
      </c>
      <c r="C219">
        <f>IF('Equipment Information'!C219="","", 'Equipment Information'!C219)</f>
        <v/>
      </c>
      <c r="D219">
        <f>IF('Equipment Information'!D219="","", 'Equipment Information'!D219)</f>
        <v/>
      </c>
      <c r="E219">
        <f>IF(A219="","", IFERROR(VLOOKUP(A219, 'Energized Data'!A:T, 20, FALSE), "N/A"))</f>
        <v/>
      </c>
      <c r="F219">
        <f>IF(A219="","", IFERROR(VLOOKUP(A219, 'Insulation'!A:J, 9, FALSE), "N/A"))</f>
        <v/>
      </c>
      <c r="G219">
        <f>IF(A219="","", IFERROR(VLOOKUP(A219, 'DLRO'!A:I, 8, FALSE), "N/A"))</f>
        <v/>
      </c>
      <c r="H219">
        <f>IF(A219="","", IFERROR(VLOOKUP(A219, 'Torque'!A:I, 8, FALSE), "N/A"))</f>
        <v/>
      </c>
      <c r="I219">
        <f>IF(A219="","", IFERROR(VLOOKUP(A219, 'Infrared'!A:G, 6, FALSE), "N/A"))</f>
        <v/>
      </c>
      <c r="J219">
        <f>IF(A219="","", IFERROR(VLOOKUP(A219, 'Ultrasonic'!A:H, 7, FALSE), "N/A"))</f>
        <v/>
      </c>
      <c r="K219">
        <f>IF(A219="","", IFERROR(VLOOKUP(A219, 'Code Violations'!A:V, 22, FALSE), "N/A"))</f>
        <v/>
      </c>
      <c r="L219">
        <f>IF(A219="","", IF(COUNTIF(E219:K219, "FAIL")&gt;0, "FAIL", "PASS"))</f>
        <v/>
      </c>
    </row>
    <row r="220">
      <c r="A220">
        <f>IF('Equipment Information'!A220="","", 'Equipment Information'!A220)</f>
        <v/>
      </c>
      <c r="B220">
        <f>IF('Equipment Information'!B220="","", 'Equipment Information'!B220)</f>
        <v/>
      </c>
      <c r="C220">
        <f>IF('Equipment Information'!C220="","", 'Equipment Information'!C220)</f>
        <v/>
      </c>
      <c r="D220">
        <f>IF('Equipment Information'!D220="","", 'Equipment Information'!D220)</f>
        <v/>
      </c>
      <c r="E220">
        <f>IF(A220="","", IFERROR(VLOOKUP(A220, 'Energized Data'!A:T, 20, FALSE), "N/A"))</f>
        <v/>
      </c>
      <c r="F220">
        <f>IF(A220="","", IFERROR(VLOOKUP(A220, 'Insulation'!A:J, 9, FALSE), "N/A"))</f>
        <v/>
      </c>
      <c r="G220">
        <f>IF(A220="","", IFERROR(VLOOKUP(A220, 'DLRO'!A:I, 8, FALSE), "N/A"))</f>
        <v/>
      </c>
      <c r="H220">
        <f>IF(A220="","", IFERROR(VLOOKUP(A220, 'Torque'!A:I, 8, FALSE), "N/A"))</f>
        <v/>
      </c>
      <c r="I220">
        <f>IF(A220="","", IFERROR(VLOOKUP(A220, 'Infrared'!A:G, 6, FALSE), "N/A"))</f>
        <v/>
      </c>
      <c r="J220">
        <f>IF(A220="","", IFERROR(VLOOKUP(A220, 'Ultrasonic'!A:H, 7, FALSE), "N/A"))</f>
        <v/>
      </c>
      <c r="K220">
        <f>IF(A220="","", IFERROR(VLOOKUP(A220, 'Code Violations'!A:V, 22, FALSE), "N/A"))</f>
        <v/>
      </c>
      <c r="L220">
        <f>IF(A220="","", IF(COUNTIF(E220:K220, "FAIL")&gt;0, "FAIL", "PASS"))</f>
        <v/>
      </c>
    </row>
    <row r="221">
      <c r="A221">
        <f>IF('Equipment Information'!A221="","", 'Equipment Information'!A221)</f>
        <v/>
      </c>
      <c r="B221">
        <f>IF('Equipment Information'!B221="","", 'Equipment Information'!B221)</f>
        <v/>
      </c>
      <c r="C221">
        <f>IF('Equipment Information'!C221="","", 'Equipment Information'!C221)</f>
        <v/>
      </c>
      <c r="D221">
        <f>IF('Equipment Information'!D221="","", 'Equipment Information'!D221)</f>
        <v/>
      </c>
      <c r="E221">
        <f>IF(A221="","", IFERROR(VLOOKUP(A221, 'Energized Data'!A:T, 20, FALSE), "N/A"))</f>
        <v/>
      </c>
      <c r="F221">
        <f>IF(A221="","", IFERROR(VLOOKUP(A221, 'Insulation'!A:J, 9, FALSE), "N/A"))</f>
        <v/>
      </c>
      <c r="G221">
        <f>IF(A221="","", IFERROR(VLOOKUP(A221, 'DLRO'!A:I, 8, FALSE), "N/A"))</f>
        <v/>
      </c>
      <c r="H221">
        <f>IF(A221="","", IFERROR(VLOOKUP(A221, 'Torque'!A:I, 8, FALSE), "N/A"))</f>
        <v/>
      </c>
      <c r="I221">
        <f>IF(A221="","", IFERROR(VLOOKUP(A221, 'Infrared'!A:G, 6, FALSE), "N/A"))</f>
        <v/>
      </c>
      <c r="J221">
        <f>IF(A221="","", IFERROR(VLOOKUP(A221, 'Ultrasonic'!A:H, 7, FALSE), "N/A"))</f>
        <v/>
      </c>
      <c r="K221">
        <f>IF(A221="","", IFERROR(VLOOKUP(A221, 'Code Violations'!A:V, 22, FALSE), "N/A"))</f>
        <v/>
      </c>
      <c r="L221">
        <f>IF(A221="","", IF(COUNTIF(E221:K221, "FAIL")&gt;0, "FAIL", "PASS"))</f>
        <v/>
      </c>
    </row>
    <row r="222">
      <c r="A222">
        <f>IF('Equipment Information'!A222="","", 'Equipment Information'!A222)</f>
        <v/>
      </c>
      <c r="B222">
        <f>IF('Equipment Information'!B222="","", 'Equipment Information'!B222)</f>
        <v/>
      </c>
      <c r="C222">
        <f>IF('Equipment Information'!C222="","", 'Equipment Information'!C222)</f>
        <v/>
      </c>
      <c r="D222">
        <f>IF('Equipment Information'!D222="","", 'Equipment Information'!D222)</f>
        <v/>
      </c>
      <c r="E222">
        <f>IF(A222="","", IFERROR(VLOOKUP(A222, 'Energized Data'!A:T, 20, FALSE), "N/A"))</f>
        <v/>
      </c>
      <c r="F222">
        <f>IF(A222="","", IFERROR(VLOOKUP(A222, 'Insulation'!A:J, 9, FALSE), "N/A"))</f>
        <v/>
      </c>
      <c r="G222">
        <f>IF(A222="","", IFERROR(VLOOKUP(A222, 'DLRO'!A:I, 8, FALSE), "N/A"))</f>
        <v/>
      </c>
      <c r="H222">
        <f>IF(A222="","", IFERROR(VLOOKUP(A222, 'Torque'!A:I, 8, FALSE), "N/A"))</f>
        <v/>
      </c>
      <c r="I222">
        <f>IF(A222="","", IFERROR(VLOOKUP(A222, 'Infrared'!A:G, 6, FALSE), "N/A"))</f>
        <v/>
      </c>
      <c r="J222">
        <f>IF(A222="","", IFERROR(VLOOKUP(A222, 'Ultrasonic'!A:H, 7, FALSE), "N/A"))</f>
        <v/>
      </c>
      <c r="K222">
        <f>IF(A222="","", IFERROR(VLOOKUP(A222, 'Code Violations'!A:V, 22, FALSE), "N/A"))</f>
        <v/>
      </c>
      <c r="L222">
        <f>IF(A222="","", IF(COUNTIF(E222:K222, "FAIL")&gt;0, "FAIL", "PASS"))</f>
        <v/>
      </c>
    </row>
    <row r="223">
      <c r="A223">
        <f>IF('Equipment Information'!A223="","", 'Equipment Information'!A223)</f>
        <v/>
      </c>
      <c r="B223">
        <f>IF('Equipment Information'!B223="","", 'Equipment Information'!B223)</f>
        <v/>
      </c>
      <c r="C223">
        <f>IF('Equipment Information'!C223="","", 'Equipment Information'!C223)</f>
        <v/>
      </c>
      <c r="D223">
        <f>IF('Equipment Information'!D223="","", 'Equipment Information'!D223)</f>
        <v/>
      </c>
      <c r="E223">
        <f>IF(A223="","", IFERROR(VLOOKUP(A223, 'Energized Data'!A:T, 20, FALSE), "N/A"))</f>
        <v/>
      </c>
      <c r="F223">
        <f>IF(A223="","", IFERROR(VLOOKUP(A223, 'Insulation'!A:J, 9, FALSE), "N/A"))</f>
        <v/>
      </c>
      <c r="G223">
        <f>IF(A223="","", IFERROR(VLOOKUP(A223, 'DLRO'!A:I, 8, FALSE), "N/A"))</f>
        <v/>
      </c>
      <c r="H223">
        <f>IF(A223="","", IFERROR(VLOOKUP(A223, 'Torque'!A:I, 8, FALSE), "N/A"))</f>
        <v/>
      </c>
      <c r="I223">
        <f>IF(A223="","", IFERROR(VLOOKUP(A223, 'Infrared'!A:G, 6, FALSE), "N/A"))</f>
        <v/>
      </c>
      <c r="J223">
        <f>IF(A223="","", IFERROR(VLOOKUP(A223, 'Ultrasonic'!A:H, 7, FALSE), "N/A"))</f>
        <v/>
      </c>
      <c r="K223">
        <f>IF(A223="","", IFERROR(VLOOKUP(A223, 'Code Violations'!A:V, 22, FALSE), "N/A"))</f>
        <v/>
      </c>
      <c r="L223">
        <f>IF(A223="","", IF(COUNTIF(E223:K223, "FAIL")&gt;0, "FAIL", "PASS"))</f>
        <v/>
      </c>
    </row>
    <row r="224">
      <c r="A224">
        <f>IF('Equipment Information'!A224="","", 'Equipment Information'!A224)</f>
        <v/>
      </c>
      <c r="B224">
        <f>IF('Equipment Information'!B224="","", 'Equipment Information'!B224)</f>
        <v/>
      </c>
      <c r="C224">
        <f>IF('Equipment Information'!C224="","", 'Equipment Information'!C224)</f>
        <v/>
      </c>
      <c r="D224">
        <f>IF('Equipment Information'!D224="","", 'Equipment Information'!D224)</f>
        <v/>
      </c>
      <c r="E224">
        <f>IF(A224="","", IFERROR(VLOOKUP(A224, 'Energized Data'!A:T, 20, FALSE), "N/A"))</f>
        <v/>
      </c>
      <c r="F224">
        <f>IF(A224="","", IFERROR(VLOOKUP(A224, 'Insulation'!A:J, 9, FALSE), "N/A"))</f>
        <v/>
      </c>
      <c r="G224">
        <f>IF(A224="","", IFERROR(VLOOKUP(A224, 'DLRO'!A:I, 8, FALSE), "N/A"))</f>
        <v/>
      </c>
      <c r="H224">
        <f>IF(A224="","", IFERROR(VLOOKUP(A224, 'Torque'!A:I, 8, FALSE), "N/A"))</f>
        <v/>
      </c>
      <c r="I224">
        <f>IF(A224="","", IFERROR(VLOOKUP(A224, 'Infrared'!A:G, 6, FALSE), "N/A"))</f>
        <v/>
      </c>
      <c r="J224">
        <f>IF(A224="","", IFERROR(VLOOKUP(A224, 'Ultrasonic'!A:H, 7, FALSE), "N/A"))</f>
        <v/>
      </c>
      <c r="K224">
        <f>IF(A224="","", IFERROR(VLOOKUP(A224, 'Code Violations'!A:V, 22, FALSE), "N/A"))</f>
        <v/>
      </c>
      <c r="L224">
        <f>IF(A224="","", IF(COUNTIF(E224:K224, "FAIL")&gt;0, "FAIL", "PASS"))</f>
        <v/>
      </c>
    </row>
    <row r="225">
      <c r="A225">
        <f>IF('Equipment Information'!A225="","", 'Equipment Information'!A225)</f>
        <v/>
      </c>
      <c r="B225">
        <f>IF('Equipment Information'!B225="","", 'Equipment Information'!B225)</f>
        <v/>
      </c>
      <c r="C225">
        <f>IF('Equipment Information'!C225="","", 'Equipment Information'!C225)</f>
        <v/>
      </c>
      <c r="D225">
        <f>IF('Equipment Information'!D225="","", 'Equipment Information'!D225)</f>
        <v/>
      </c>
      <c r="E225">
        <f>IF(A225="","", IFERROR(VLOOKUP(A225, 'Energized Data'!A:T, 20, FALSE), "N/A"))</f>
        <v/>
      </c>
      <c r="F225">
        <f>IF(A225="","", IFERROR(VLOOKUP(A225, 'Insulation'!A:J, 9, FALSE), "N/A"))</f>
        <v/>
      </c>
      <c r="G225">
        <f>IF(A225="","", IFERROR(VLOOKUP(A225, 'DLRO'!A:I, 8, FALSE), "N/A"))</f>
        <v/>
      </c>
      <c r="H225">
        <f>IF(A225="","", IFERROR(VLOOKUP(A225, 'Torque'!A:I, 8, FALSE), "N/A"))</f>
        <v/>
      </c>
      <c r="I225">
        <f>IF(A225="","", IFERROR(VLOOKUP(A225, 'Infrared'!A:G, 6, FALSE), "N/A"))</f>
        <v/>
      </c>
      <c r="J225">
        <f>IF(A225="","", IFERROR(VLOOKUP(A225, 'Ultrasonic'!A:H, 7, FALSE), "N/A"))</f>
        <v/>
      </c>
      <c r="K225">
        <f>IF(A225="","", IFERROR(VLOOKUP(A225, 'Code Violations'!A:V, 22, FALSE), "N/A"))</f>
        <v/>
      </c>
      <c r="L225">
        <f>IF(A225="","", IF(COUNTIF(E225:K225, "FAIL")&gt;0, "FAIL", "PASS"))</f>
        <v/>
      </c>
    </row>
    <row r="226">
      <c r="A226">
        <f>IF('Equipment Information'!A226="","", 'Equipment Information'!A226)</f>
        <v/>
      </c>
      <c r="B226">
        <f>IF('Equipment Information'!B226="","", 'Equipment Information'!B226)</f>
        <v/>
      </c>
      <c r="C226">
        <f>IF('Equipment Information'!C226="","", 'Equipment Information'!C226)</f>
        <v/>
      </c>
      <c r="D226">
        <f>IF('Equipment Information'!D226="","", 'Equipment Information'!D226)</f>
        <v/>
      </c>
      <c r="E226">
        <f>IF(A226="","", IFERROR(VLOOKUP(A226, 'Energized Data'!A:T, 20, FALSE), "N/A"))</f>
        <v/>
      </c>
      <c r="F226">
        <f>IF(A226="","", IFERROR(VLOOKUP(A226, 'Insulation'!A:J, 9, FALSE), "N/A"))</f>
        <v/>
      </c>
      <c r="G226">
        <f>IF(A226="","", IFERROR(VLOOKUP(A226, 'DLRO'!A:I, 8, FALSE), "N/A"))</f>
        <v/>
      </c>
      <c r="H226">
        <f>IF(A226="","", IFERROR(VLOOKUP(A226, 'Torque'!A:I, 8, FALSE), "N/A"))</f>
        <v/>
      </c>
      <c r="I226">
        <f>IF(A226="","", IFERROR(VLOOKUP(A226, 'Infrared'!A:G, 6, FALSE), "N/A"))</f>
        <v/>
      </c>
      <c r="J226">
        <f>IF(A226="","", IFERROR(VLOOKUP(A226, 'Ultrasonic'!A:H, 7, FALSE), "N/A"))</f>
        <v/>
      </c>
      <c r="K226">
        <f>IF(A226="","", IFERROR(VLOOKUP(A226, 'Code Violations'!A:V, 22, FALSE), "N/A"))</f>
        <v/>
      </c>
      <c r="L226">
        <f>IF(A226="","", IF(COUNTIF(E226:K226, "FAIL")&gt;0, "FAIL", "PASS"))</f>
        <v/>
      </c>
    </row>
    <row r="227">
      <c r="A227">
        <f>IF('Equipment Information'!A227="","", 'Equipment Information'!A227)</f>
        <v/>
      </c>
      <c r="B227">
        <f>IF('Equipment Information'!B227="","", 'Equipment Information'!B227)</f>
        <v/>
      </c>
      <c r="C227">
        <f>IF('Equipment Information'!C227="","", 'Equipment Information'!C227)</f>
        <v/>
      </c>
      <c r="D227">
        <f>IF('Equipment Information'!D227="","", 'Equipment Information'!D227)</f>
        <v/>
      </c>
      <c r="E227">
        <f>IF(A227="","", IFERROR(VLOOKUP(A227, 'Energized Data'!A:T, 20, FALSE), "N/A"))</f>
        <v/>
      </c>
      <c r="F227">
        <f>IF(A227="","", IFERROR(VLOOKUP(A227, 'Insulation'!A:J, 9, FALSE), "N/A"))</f>
        <v/>
      </c>
      <c r="G227">
        <f>IF(A227="","", IFERROR(VLOOKUP(A227, 'DLRO'!A:I, 8, FALSE), "N/A"))</f>
        <v/>
      </c>
      <c r="H227">
        <f>IF(A227="","", IFERROR(VLOOKUP(A227, 'Torque'!A:I, 8, FALSE), "N/A"))</f>
        <v/>
      </c>
      <c r="I227">
        <f>IF(A227="","", IFERROR(VLOOKUP(A227, 'Infrared'!A:G, 6, FALSE), "N/A"))</f>
        <v/>
      </c>
      <c r="J227">
        <f>IF(A227="","", IFERROR(VLOOKUP(A227, 'Ultrasonic'!A:H, 7, FALSE), "N/A"))</f>
        <v/>
      </c>
      <c r="K227">
        <f>IF(A227="","", IFERROR(VLOOKUP(A227, 'Code Violations'!A:V, 22, FALSE), "N/A"))</f>
        <v/>
      </c>
      <c r="L227">
        <f>IF(A227="","", IF(COUNTIF(E227:K227, "FAIL")&gt;0, "FAIL", "PASS"))</f>
        <v/>
      </c>
    </row>
    <row r="228">
      <c r="A228">
        <f>IF('Equipment Information'!A228="","", 'Equipment Information'!A228)</f>
        <v/>
      </c>
      <c r="B228">
        <f>IF('Equipment Information'!B228="","", 'Equipment Information'!B228)</f>
        <v/>
      </c>
      <c r="C228">
        <f>IF('Equipment Information'!C228="","", 'Equipment Information'!C228)</f>
        <v/>
      </c>
      <c r="D228">
        <f>IF('Equipment Information'!D228="","", 'Equipment Information'!D228)</f>
        <v/>
      </c>
      <c r="E228">
        <f>IF(A228="","", IFERROR(VLOOKUP(A228, 'Energized Data'!A:T, 20, FALSE), "N/A"))</f>
        <v/>
      </c>
      <c r="F228">
        <f>IF(A228="","", IFERROR(VLOOKUP(A228, 'Insulation'!A:J, 9, FALSE), "N/A"))</f>
        <v/>
      </c>
      <c r="G228">
        <f>IF(A228="","", IFERROR(VLOOKUP(A228, 'DLRO'!A:I, 8, FALSE), "N/A"))</f>
        <v/>
      </c>
      <c r="H228">
        <f>IF(A228="","", IFERROR(VLOOKUP(A228, 'Torque'!A:I, 8, FALSE), "N/A"))</f>
        <v/>
      </c>
      <c r="I228">
        <f>IF(A228="","", IFERROR(VLOOKUP(A228, 'Infrared'!A:G, 6, FALSE), "N/A"))</f>
        <v/>
      </c>
      <c r="J228">
        <f>IF(A228="","", IFERROR(VLOOKUP(A228, 'Ultrasonic'!A:H, 7, FALSE), "N/A"))</f>
        <v/>
      </c>
      <c r="K228">
        <f>IF(A228="","", IFERROR(VLOOKUP(A228, 'Code Violations'!A:V, 22, FALSE), "N/A"))</f>
        <v/>
      </c>
      <c r="L228">
        <f>IF(A228="","", IF(COUNTIF(E228:K228, "FAIL")&gt;0, "FAIL", "PASS"))</f>
        <v/>
      </c>
    </row>
    <row r="229">
      <c r="A229">
        <f>IF('Equipment Information'!A229="","", 'Equipment Information'!A229)</f>
        <v/>
      </c>
      <c r="B229">
        <f>IF('Equipment Information'!B229="","", 'Equipment Information'!B229)</f>
        <v/>
      </c>
      <c r="C229">
        <f>IF('Equipment Information'!C229="","", 'Equipment Information'!C229)</f>
        <v/>
      </c>
      <c r="D229">
        <f>IF('Equipment Information'!D229="","", 'Equipment Information'!D229)</f>
        <v/>
      </c>
      <c r="E229">
        <f>IF(A229="","", IFERROR(VLOOKUP(A229, 'Energized Data'!A:T, 20, FALSE), "N/A"))</f>
        <v/>
      </c>
      <c r="F229">
        <f>IF(A229="","", IFERROR(VLOOKUP(A229, 'Insulation'!A:J, 9, FALSE), "N/A"))</f>
        <v/>
      </c>
      <c r="G229">
        <f>IF(A229="","", IFERROR(VLOOKUP(A229, 'DLRO'!A:I, 8, FALSE), "N/A"))</f>
        <v/>
      </c>
      <c r="H229">
        <f>IF(A229="","", IFERROR(VLOOKUP(A229, 'Torque'!A:I, 8, FALSE), "N/A"))</f>
        <v/>
      </c>
      <c r="I229">
        <f>IF(A229="","", IFERROR(VLOOKUP(A229, 'Infrared'!A:G, 6, FALSE), "N/A"))</f>
        <v/>
      </c>
      <c r="J229">
        <f>IF(A229="","", IFERROR(VLOOKUP(A229, 'Ultrasonic'!A:H, 7, FALSE), "N/A"))</f>
        <v/>
      </c>
      <c r="K229">
        <f>IF(A229="","", IFERROR(VLOOKUP(A229, 'Code Violations'!A:V, 22, FALSE), "N/A"))</f>
        <v/>
      </c>
      <c r="L229">
        <f>IF(A229="","", IF(COUNTIF(E229:K229, "FAIL")&gt;0, "FAIL", "PASS"))</f>
        <v/>
      </c>
    </row>
    <row r="230">
      <c r="A230">
        <f>IF('Equipment Information'!A230="","", 'Equipment Information'!A230)</f>
        <v/>
      </c>
      <c r="B230">
        <f>IF('Equipment Information'!B230="","", 'Equipment Information'!B230)</f>
        <v/>
      </c>
      <c r="C230">
        <f>IF('Equipment Information'!C230="","", 'Equipment Information'!C230)</f>
        <v/>
      </c>
      <c r="D230">
        <f>IF('Equipment Information'!D230="","", 'Equipment Information'!D230)</f>
        <v/>
      </c>
      <c r="E230">
        <f>IF(A230="","", IFERROR(VLOOKUP(A230, 'Energized Data'!A:T, 20, FALSE), "N/A"))</f>
        <v/>
      </c>
      <c r="F230">
        <f>IF(A230="","", IFERROR(VLOOKUP(A230, 'Insulation'!A:J, 9, FALSE), "N/A"))</f>
        <v/>
      </c>
      <c r="G230">
        <f>IF(A230="","", IFERROR(VLOOKUP(A230, 'DLRO'!A:I, 8, FALSE), "N/A"))</f>
        <v/>
      </c>
      <c r="H230">
        <f>IF(A230="","", IFERROR(VLOOKUP(A230, 'Torque'!A:I, 8, FALSE), "N/A"))</f>
        <v/>
      </c>
      <c r="I230">
        <f>IF(A230="","", IFERROR(VLOOKUP(A230, 'Infrared'!A:G, 6, FALSE), "N/A"))</f>
        <v/>
      </c>
      <c r="J230">
        <f>IF(A230="","", IFERROR(VLOOKUP(A230, 'Ultrasonic'!A:H, 7, FALSE), "N/A"))</f>
        <v/>
      </c>
      <c r="K230">
        <f>IF(A230="","", IFERROR(VLOOKUP(A230, 'Code Violations'!A:V, 22, FALSE), "N/A"))</f>
        <v/>
      </c>
      <c r="L230">
        <f>IF(A230="","", IF(COUNTIF(E230:K230, "FAIL")&gt;0, "FAIL", "PASS"))</f>
        <v/>
      </c>
    </row>
    <row r="231">
      <c r="A231">
        <f>IF('Equipment Information'!A231="","", 'Equipment Information'!A231)</f>
        <v/>
      </c>
      <c r="B231">
        <f>IF('Equipment Information'!B231="","", 'Equipment Information'!B231)</f>
        <v/>
      </c>
      <c r="C231">
        <f>IF('Equipment Information'!C231="","", 'Equipment Information'!C231)</f>
        <v/>
      </c>
      <c r="D231">
        <f>IF('Equipment Information'!D231="","", 'Equipment Information'!D231)</f>
        <v/>
      </c>
      <c r="E231">
        <f>IF(A231="","", IFERROR(VLOOKUP(A231, 'Energized Data'!A:T, 20, FALSE), "N/A"))</f>
        <v/>
      </c>
      <c r="F231">
        <f>IF(A231="","", IFERROR(VLOOKUP(A231, 'Insulation'!A:J, 9, FALSE), "N/A"))</f>
        <v/>
      </c>
      <c r="G231">
        <f>IF(A231="","", IFERROR(VLOOKUP(A231, 'DLRO'!A:I, 8, FALSE), "N/A"))</f>
        <v/>
      </c>
      <c r="H231">
        <f>IF(A231="","", IFERROR(VLOOKUP(A231, 'Torque'!A:I, 8, FALSE), "N/A"))</f>
        <v/>
      </c>
      <c r="I231">
        <f>IF(A231="","", IFERROR(VLOOKUP(A231, 'Infrared'!A:G, 6, FALSE), "N/A"))</f>
        <v/>
      </c>
      <c r="J231">
        <f>IF(A231="","", IFERROR(VLOOKUP(A231, 'Ultrasonic'!A:H, 7, FALSE), "N/A"))</f>
        <v/>
      </c>
      <c r="K231">
        <f>IF(A231="","", IFERROR(VLOOKUP(A231, 'Code Violations'!A:V, 22, FALSE), "N/A"))</f>
        <v/>
      </c>
      <c r="L231">
        <f>IF(A231="","", IF(COUNTIF(E231:K231, "FAIL")&gt;0, "FAIL", "PASS"))</f>
        <v/>
      </c>
    </row>
    <row r="232">
      <c r="A232">
        <f>IF('Equipment Information'!A232="","", 'Equipment Information'!A232)</f>
        <v/>
      </c>
      <c r="B232">
        <f>IF('Equipment Information'!B232="","", 'Equipment Information'!B232)</f>
        <v/>
      </c>
      <c r="C232">
        <f>IF('Equipment Information'!C232="","", 'Equipment Information'!C232)</f>
        <v/>
      </c>
      <c r="D232">
        <f>IF('Equipment Information'!D232="","", 'Equipment Information'!D232)</f>
        <v/>
      </c>
      <c r="E232">
        <f>IF(A232="","", IFERROR(VLOOKUP(A232, 'Energized Data'!A:T, 20, FALSE), "N/A"))</f>
        <v/>
      </c>
      <c r="F232">
        <f>IF(A232="","", IFERROR(VLOOKUP(A232, 'Insulation'!A:J, 9, FALSE), "N/A"))</f>
        <v/>
      </c>
      <c r="G232">
        <f>IF(A232="","", IFERROR(VLOOKUP(A232, 'DLRO'!A:I, 8, FALSE), "N/A"))</f>
        <v/>
      </c>
      <c r="H232">
        <f>IF(A232="","", IFERROR(VLOOKUP(A232, 'Torque'!A:I, 8, FALSE), "N/A"))</f>
        <v/>
      </c>
      <c r="I232">
        <f>IF(A232="","", IFERROR(VLOOKUP(A232, 'Infrared'!A:G, 6, FALSE), "N/A"))</f>
        <v/>
      </c>
      <c r="J232">
        <f>IF(A232="","", IFERROR(VLOOKUP(A232, 'Ultrasonic'!A:H, 7, FALSE), "N/A"))</f>
        <v/>
      </c>
      <c r="K232">
        <f>IF(A232="","", IFERROR(VLOOKUP(A232, 'Code Violations'!A:V, 22, FALSE), "N/A"))</f>
        <v/>
      </c>
      <c r="L232">
        <f>IF(A232="","", IF(COUNTIF(E232:K232, "FAIL")&gt;0, "FAIL", "PASS"))</f>
        <v/>
      </c>
    </row>
    <row r="233">
      <c r="A233">
        <f>IF('Equipment Information'!A233="","", 'Equipment Information'!A233)</f>
        <v/>
      </c>
      <c r="B233">
        <f>IF('Equipment Information'!B233="","", 'Equipment Information'!B233)</f>
        <v/>
      </c>
      <c r="C233">
        <f>IF('Equipment Information'!C233="","", 'Equipment Information'!C233)</f>
        <v/>
      </c>
      <c r="D233">
        <f>IF('Equipment Information'!D233="","", 'Equipment Information'!D233)</f>
        <v/>
      </c>
      <c r="E233">
        <f>IF(A233="","", IFERROR(VLOOKUP(A233, 'Energized Data'!A:T, 20, FALSE), "N/A"))</f>
        <v/>
      </c>
      <c r="F233">
        <f>IF(A233="","", IFERROR(VLOOKUP(A233, 'Insulation'!A:J, 9, FALSE), "N/A"))</f>
        <v/>
      </c>
      <c r="G233">
        <f>IF(A233="","", IFERROR(VLOOKUP(A233, 'DLRO'!A:I, 8, FALSE), "N/A"))</f>
        <v/>
      </c>
      <c r="H233">
        <f>IF(A233="","", IFERROR(VLOOKUP(A233, 'Torque'!A:I, 8, FALSE), "N/A"))</f>
        <v/>
      </c>
      <c r="I233">
        <f>IF(A233="","", IFERROR(VLOOKUP(A233, 'Infrared'!A:G, 6, FALSE), "N/A"))</f>
        <v/>
      </c>
      <c r="J233">
        <f>IF(A233="","", IFERROR(VLOOKUP(A233, 'Ultrasonic'!A:H, 7, FALSE), "N/A"))</f>
        <v/>
      </c>
      <c r="K233">
        <f>IF(A233="","", IFERROR(VLOOKUP(A233, 'Code Violations'!A:V, 22, FALSE), "N/A"))</f>
        <v/>
      </c>
      <c r="L233">
        <f>IF(A233="","", IF(COUNTIF(E233:K233, "FAIL")&gt;0, "FAIL", "PASS"))</f>
        <v/>
      </c>
    </row>
    <row r="234">
      <c r="A234">
        <f>IF('Equipment Information'!A234="","", 'Equipment Information'!A234)</f>
        <v/>
      </c>
      <c r="B234">
        <f>IF('Equipment Information'!B234="","", 'Equipment Information'!B234)</f>
        <v/>
      </c>
      <c r="C234">
        <f>IF('Equipment Information'!C234="","", 'Equipment Information'!C234)</f>
        <v/>
      </c>
      <c r="D234">
        <f>IF('Equipment Information'!D234="","", 'Equipment Information'!D234)</f>
        <v/>
      </c>
      <c r="E234">
        <f>IF(A234="","", IFERROR(VLOOKUP(A234, 'Energized Data'!A:T, 20, FALSE), "N/A"))</f>
        <v/>
      </c>
      <c r="F234">
        <f>IF(A234="","", IFERROR(VLOOKUP(A234, 'Insulation'!A:J, 9, FALSE), "N/A"))</f>
        <v/>
      </c>
      <c r="G234">
        <f>IF(A234="","", IFERROR(VLOOKUP(A234, 'DLRO'!A:I, 8, FALSE), "N/A"))</f>
        <v/>
      </c>
      <c r="H234">
        <f>IF(A234="","", IFERROR(VLOOKUP(A234, 'Torque'!A:I, 8, FALSE), "N/A"))</f>
        <v/>
      </c>
      <c r="I234">
        <f>IF(A234="","", IFERROR(VLOOKUP(A234, 'Infrared'!A:G, 6, FALSE), "N/A"))</f>
        <v/>
      </c>
      <c r="J234">
        <f>IF(A234="","", IFERROR(VLOOKUP(A234, 'Ultrasonic'!A:H, 7, FALSE), "N/A"))</f>
        <v/>
      </c>
      <c r="K234">
        <f>IF(A234="","", IFERROR(VLOOKUP(A234, 'Code Violations'!A:V, 22, FALSE), "N/A"))</f>
        <v/>
      </c>
      <c r="L234">
        <f>IF(A234="","", IF(COUNTIF(E234:K234, "FAIL")&gt;0, "FAIL", "PASS"))</f>
        <v/>
      </c>
    </row>
    <row r="235">
      <c r="A235">
        <f>IF('Equipment Information'!A235="","", 'Equipment Information'!A235)</f>
        <v/>
      </c>
      <c r="B235">
        <f>IF('Equipment Information'!B235="","", 'Equipment Information'!B235)</f>
        <v/>
      </c>
      <c r="C235">
        <f>IF('Equipment Information'!C235="","", 'Equipment Information'!C235)</f>
        <v/>
      </c>
      <c r="D235">
        <f>IF('Equipment Information'!D235="","", 'Equipment Information'!D235)</f>
        <v/>
      </c>
      <c r="E235">
        <f>IF(A235="","", IFERROR(VLOOKUP(A235, 'Energized Data'!A:T, 20, FALSE), "N/A"))</f>
        <v/>
      </c>
      <c r="F235">
        <f>IF(A235="","", IFERROR(VLOOKUP(A235, 'Insulation'!A:J, 9, FALSE), "N/A"))</f>
        <v/>
      </c>
      <c r="G235">
        <f>IF(A235="","", IFERROR(VLOOKUP(A235, 'DLRO'!A:I, 8, FALSE), "N/A"))</f>
        <v/>
      </c>
      <c r="H235">
        <f>IF(A235="","", IFERROR(VLOOKUP(A235, 'Torque'!A:I, 8, FALSE), "N/A"))</f>
        <v/>
      </c>
      <c r="I235">
        <f>IF(A235="","", IFERROR(VLOOKUP(A235, 'Infrared'!A:G, 6, FALSE), "N/A"))</f>
        <v/>
      </c>
      <c r="J235">
        <f>IF(A235="","", IFERROR(VLOOKUP(A235, 'Ultrasonic'!A:H, 7, FALSE), "N/A"))</f>
        <v/>
      </c>
      <c r="K235">
        <f>IF(A235="","", IFERROR(VLOOKUP(A235, 'Code Violations'!A:V, 22, FALSE), "N/A"))</f>
        <v/>
      </c>
      <c r="L235">
        <f>IF(A235="","", IF(COUNTIF(E235:K235, "FAIL")&gt;0, "FAIL", "PASS"))</f>
        <v/>
      </c>
    </row>
    <row r="236">
      <c r="A236">
        <f>IF('Equipment Information'!A236="","", 'Equipment Information'!A236)</f>
        <v/>
      </c>
      <c r="B236">
        <f>IF('Equipment Information'!B236="","", 'Equipment Information'!B236)</f>
        <v/>
      </c>
      <c r="C236">
        <f>IF('Equipment Information'!C236="","", 'Equipment Information'!C236)</f>
        <v/>
      </c>
      <c r="D236">
        <f>IF('Equipment Information'!D236="","", 'Equipment Information'!D236)</f>
        <v/>
      </c>
      <c r="E236">
        <f>IF(A236="","", IFERROR(VLOOKUP(A236, 'Energized Data'!A:T, 20, FALSE), "N/A"))</f>
        <v/>
      </c>
      <c r="F236">
        <f>IF(A236="","", IFERROR(VLOOKUP(A236, 'Insulation'!A:J, 9, FALSE), "N/A"))</f>
        <v/>
      </c>
      <c r="G236">
        <f>IF(A236="","", IFERROR(VLOOKUP(A236, 'DLRO'!A:I, 8, FALSE), "N/A"))</f>
        <v/>
      </c>
      <c r="H236">
        <f>IF(A236="","", IFERROR(VLOOKUP(A236, 'Torque'!A:I, 8, FALSE), "N/A"))</f>
        <v/>
      </c>
      <c r="I236">
        <f>IF(A236="","", IFERROR(VLOOKUP(A236, 'Infrared'!A:G, 6, FALSE), "N/A"))</f>
        <v/>
      </c>
      <c r="J236">
        <f>IF(A236="","", IFERROR(VLOOKUP(A236, 'Ultrasonic'!A:H, 7, FALSE), "N/A"))</f>
        <v/>
      </c>
      <c r="K236">
        <f>IF(A236="","", IFERROR(VLOOKUP(A236, 'Code Violations'!A:V, 22, FALSE), "N/A"))</f>
        <v/>
      </c>
      <c r="L236">
        <f>IF(A236="","", IF(COUNTIF(E236:K236, "FAIL")&gt;0, "FAIL", "PASS"))</f>
        <v/>
      </c>
    </row>
    <row r="237">
      <c r="A237">
        <f>IF('Equipment Information'!A237="","", 'Equipment Information'!A237)</f>
        <v/>
      </c>
      <c r="B237">
        <f>IF('Equipment Information'!B237="","", 'Equipment Information'!B237)</f>
        <v/>
      </c>
      <c r="C237">
        <f>IF('Equipment Information'!C237="","", 'Equipment Information'!C237)</f>
        <v/>
      </c>
      <c r="D237">
        <f>IF('Equipment Information'!D237="","", 'Equipment Information'!D237)</f>
        <v/>
      </c>
      <c r="E237">
        <f>IF(A237="","", IFERROR(VLOOKUP(A237, 'Energized Data'!A:T, 20, FALSE), "N/A"))</f>
        <v/>
      </c>
      <c r="F237">
        <f>IF(A237="","", IFERROR(VLOOKUP(A237, 'Insulation'!A:J, 9, FALSE), "N/A"))</f>
        <v/>
      </c>
      <c r="G237">
        <f>IF(A237="","", IFERROR(VLOOKUP(A237, 'DLRO'!A:I, 8, FALSE), "N/A"))</f>
        <v/>
      </c>
      <c r="H237">
        <f>IF(A237="","", IFERROR(VLOOKUP(A237, 'Torque'!A:I, 8, FALSE), "N/A"))</f>
        <v/>
      </c>
      <c r="I237">
        <f>IF(A237="","", IFERROR(VLOOKUP(A237, 'Infrared'!A:G, 6, FALSE), "N/A"))</f>
        <v/>
      </c>
      <c r="J237">
        <f>IF(A237="","", IFERROR(VLOOKUP(A237, 'Ultrasonic'!A:H, 7, FALSE), "N/A"))</f>
        <v/>
      </c>
      <c r="K237">
        <f>IF(A237="","", IFERROR(VLOOKUP(A237, 'Code Violations'!A:V, 22, FALSE), "N/A"))</f>
        <v/>
      </c>
      <c r="L237">
        <f>IF(A237="","", IF(COUNTIF(E237:K237, "FAIL")&gt;0, "FAIL", "PASS"))</f>
        <v/>
      </c>
    </row>
    <row r="238">
      <c r="A238">
        <f>IF('Equipment Information'!A238="","", 'Equipment Information'!A238)</f>
        <v/>
      </c>
      <c r="B238">
        <f>IF('Equipment Information'!B238="","", 'Equipment Information'!B238)</f>
        <v/>
      </c>
      <c r="C238">
        <f>IF('Equipment Information'!C238="","", 'Equipment Information'!C238)</f>
        <v/>
      </c>
      <c r="D238">
        <f>IF('Equipment Information'!D238="","", 'Equipment Information'!D238)</f>
        <v/>
      </c>
      <c r="E238">
        <f>IF(A238="","", IFERROR(VLOOKUP(A238, 'Energized Data'!A:T, 20, FALSE), "N/A"))</f>
        <v/>
      </c>
      <c r="F238">
        <f>IF(A238="","", IFERROR(VLOOKUP(A238, 'Insulation'!A:J, 9, FALSE), "N/A"))</f>
        <v/>
      </c>
      <c r="G238">
        <f>IF(A238="","", IFERROR(VLOOKUP(A238, 'DLRO'!A:I, 8, FALSE), "N/A"))</f>
        <v/>
      </c>
      <c r="H238">
        <f>IF(A238="","", IFERROR(VLOOKUP(A238, 'Torque'!A:I, 8, FALSE), "N/A"))</f>
        <v/>
      </c>
      <c r="I238">
        <f>IF(A238="","", IFERROR(VLOOKUP(A238, 'Infrared'!A:G, 6, FALSE), "N/A"))</f>
        <v/>
      </c>
      <c r="J238">
        <f>IF(A238="","", IFERROR(VLOOKUP(A238, 'Ultrasonic'!A:H, 7, FALSE), "N/A"))</f>
        <v/>
      </c>
      <c r="K238">
        <f>IF(A238="","", IFERROR(VLOOKUP(A238, 'Code Violations'!A:V, 22, FALSE), "N/A"))</f>
        <v/>
      </c>
      <c r="L238">
        <f>IF(A238="","", IF(COUNTIF(E238:K238, "FAIL")&gt;0, "FAIL", "PASS"))</f>
        <v/>
      </c>
    </row>
    <row r="239">
      <c r="A239">
        <f>IF('Equipment Information'!A239="","", 'Equipment Information'!A239)</f>
        <v/>
      </c>
      <c r="B239">
        <f>IF('Equipment Information'!B239="","", 'Equipment Information'!B239)</f>
        <v/>
      </c>
      <c r="C239">
        <f>IF('Equipment Information'!C239="","", 'Equipment Information'!C239)</f>
        <v/>
      </c>
      <c r="D239">
        <f>IF('Equipment Information'!D239="","", 'Equipment Information'!D239)</f>
        <v/>
      </c>
      <c r="E239">
        <f>IF(A239="","", IFERROR(VLOOKUP(A239, 'Energized Data'!A:T, 20, FALSE), "N/A"))</f>
        <v/>
      </c>
      <c r="F239">
        <f>IF(A239="","", IFERROR(VLOOKUP(A239, 'Insulation'!A:J, 9, FALSE), "N/A"))</f>
        <v/>
      </c>
      <c r="G239">
        <f>IF(A239="","", IFERROR(VLOOKUP(A239, 'DLRO'!A:I, 8, FALSE), "N/A"))</f>
        <v/>
      </c>
      <c r="H239">
        <f>IF(A239="","", IFERROR(VLOOKUP(A239, 'Torque'!A:I, 8, FALSE), "N/A"))</f>
        <v/>
      </c>
      <c r="I239">
        <f>IF(A239="","", IFERROR(VLOOKUP(A239, 'Infrared'!A:G, 6, FALSE), "N/A"))</f>
        <v/>
      </c>
      <c r="J239">
        <f>IF(A239="","", IFERROR(VLOOKUP(A239, 'Ultrasonic'!A:H, 7, FALSE), "N/A"))</f>
        <v/>
      </c>
      <c r="K239">
        <f>IF(A239="","", IFERROR(VLOOKUP(A239, 'Code Violations'!A:V, 22, FALSE), "N/A"))</f>
        <v/>
      </c>
      <c r="L239">
        <f>IF(A239="","", IF(COUNTIF(E239:K239, "FAIL")&gt;0, "FAIL", "PASS"))</f>
        <v/>
      </c>
    </row>
    <row r="240">
      <c r="A240">
        <f>IF('Equipment Information'!A240="","", 'Equipment Information'!A240)</f>
        <v/>
      </c>
      <c r="B240">
        <f>IF('Equipment Information'!B240="","", 'Equipment Information'!B240)</f>
        <v/>
      </c>
      <c r="C240">
        <f>IF('Equipment Information'!C240="","", 'Equipment Information'!C240)</f>
        <v/>
      </c>
      <c r="D240">
        <f>IF('Equipment Information'!D240="","", 'Equipment Information'!D240)</f>
        <v/>
      </c>
      <c r="E240">
        <f>IF(A240="","", IFERROR(VLOOKUP(A240, 'Energized Data'!A:T, 20, FALSE), "N/A"))</f>
        <v/>
      </c>
      <c r="F240">
        <f>IF(A240="","", IFERROR(VLOOKUP(A240, 'Insulation'!A:J, 9, FALSE), "N/A"))</f>
        <v/>
      </c>
      <c r="G240">
        <f>IF(A240="","", IFERROR(VLOOKUP(A240, 'DLRO'!A:I, 8, FALSE), "N/A"))</f>
        <v/>
      </c>
      <c r="H240">
        <f>IF(A240="","", IFERROR(VLOOKUP(A240, 'Torque'!A:I, 8, FALSE), "N/A"))</f>
        <v/>
      </c>
      <c r="I240">
        <f>IF(A240="","", IFERROR(VLOOKUP(A240, 'Infrared'!A:G, 6, FALSE), "N/A"))</f>
        <v/>
      </c>
      <c r="J240">
        <f>IF(A240="","", IFERROR(VLOOKUP(A240, 'Ultrasonic'!A:H, 7, FALSE), "N/A"))</f>
        <v/>
      </c>
      <c r="K240">
        <f>IF(A240="","", IFERROR(VLOOKUP(A240, 'Code Violations'!A:V, 22, FALSE), "N/A"))</f>
        <v/>
      </c>
      <c r="L240">
        <f>IF(A240="","", IF(COUNTIF(E240:K240, "FAIL")&gt;0, "FAIL", "PASS"))</f>
        <v/>
      </c>
    </row>
    <row r="241">
      <c r="A241">
        <f>IF('Equipment Information'!A241="","", 'Equipment Information'!A241)</f>
        <v/>
      </c>
      <c r="B241">
        <f>IF('Equipment Information'!B241="","", 'Equipment Information'!B241)</f>
        <v/>
      </c>
      <c r="C241">
        <f>IF('Equipment Information'!C241="","", 'Equipment Information'!C241)</f>
        <v/>
      </c>
      <c r="D241">
        <f>IF('Equipment Information'!D241="","", 'Equipment Information'!D241)</f>
        <v/>
      </c>
      <c r="E241">
        <f>IF(A241="","", IFERROR(VLOOKUP(A241, 'Energized Data'!A:T, 20, FALSE), "N/A"))</f>
        <v/>
      </c>
      <c r="F241">
        <f>IF(A241="","", IFERROR(VLOOKUP(A241, 'Insulation'!A:J, 9, FALSE), "N/A"))</f>
        <v/>
      </c>
      <c r="G241">
        <f>IF(A241="","", IFERROR(VLOOKUP(A241, 'DLRO'!A:I, 8, FALSE), "N/A"))</f>
        <v/>
      </c>
      <c r="H241">
        <f>IF(A241="","", IFERROR(VLOOKUP(A241, 'Torque'!A:I, 8, FALSE), "N/A"))</f>
        <v/>
      </c>
      <c r="I241">
        <f>IF(A241="","", IFERROR(VLOOKUP(A241, 'Infrared'!A:G, 6, FALSE), "N/A"))</f>
        <v/>
      </c>
      <c r="J241">
        <f>IF(A241="","", IFERROR(VLOOKUP(A241, 'Ultrasonic'!A:H, 7, FALSE), "N/A"))</f>
        <v/>
      </c>
      <c r="K241">
        <f>IF(A241="","", IFERROR(VLOOKUP(A241, 'Code Violations'!A:V, 22, FALSE), "N/A"))</f>
        <v/>
      </c>
      <c r="L241">
        <f>IF(A241="","", IF(COUNTIF(E241:K241, "FAIL")&gt;0, "FAIL", "PASS"))</f>
        <v/>
      </c>
    </row>
    <row r="242">
      <c r="A242">
        <f>IF('Equipment Information'!A242="","", 'Equipment Information'!A242)</f>
        <v/>
      </c>
      <c r="B242">
        <f>IF('Equipment Information'!B242="","", 'Equipment Information'!B242)</f>
        <v/>
      </c>
      <c r="C242">
        <f>IF('Equipment Information'!C242="","", 'Equipment Information'!C242)</f>
        <v/>
      </c>
      <c r="D242">
        <f>IF('Equipment Information'!D242="","", 'Equipment Information'!D242)</f>
        <v/>
      </c>
      <c r="E242">
        <f>IF(A242="","", IFERROR(VLOOKUP(A242, 'Energized Data'!A:T, 20, FALSE), "N/A"))</f>
        <v/>
      </c>
      <c r="F242">
        <f>IF(A242="","", IFERROR(VLOOKUP(A242, 'Insulation'!A:J, 9, FALSE), "N/A"))</f>
        <v/>
      </c>
      <c r="G242">
        <f>IF(A242="","", IFERROR(VLOOKUP(A242, 'DLRO'!A:I, 8, FALSE), "N/A"))</f>
        <v/>
      </c>
      <c r="H242">
        <f>IF(A242="","", IFERROR(VLOOKUP(A242, 'Torque'!A:I, 8, FALSE), "N/A"))</f>
        <v/>
      </c>
      <c r="I242">
        <f>IF(A242="","", IFERROR(VLOOKUP(A242, 'Infrared'!A:G, 6, FALSE), "N/A"))</f>
        <v/>
      </c>
      <c r="J242">
        <f>IF(A242="","", IFERROR(VLOOKUP(A242, 'Ultrasonic'!A:H, 7, FALSE), "N/A"))</f>
        <v/>
      </c>
      <c r="K242">
        <f>IF(A242="","", IFERROR(VLOOKUP(A242, 'Code Violations'!A:V, 22, FALSE), "N/A"))</f>
        <v/>
      </c>
      <c r="L242">
        <f>IF(A242="","", IF(COUNTIF(E242:K242, "FAIL")&gt;0, "FAIL", "PASS"))</f>
        <v/>
      </c>
    </row>
    <row r="243">
      <c r="A243">
        <f>IF('Equipment Information'!A243="","", 'Equipment Information'!A243)</f>
        <v/>
      </c>
      <c r="B243">
        <f>IF('Equipment Information'!B243="","", 'Equipment Information'!B243)</f>
        <v/>
      </c>
      <c r="C243">
        <f>IF('Equipment Information'!C243="","", 'Equipment Information'!C243)</f>
        <v/>
      </c>
      <c r="D243">
        <f>IF('Equipment Information'!D243="","", 'Equipment Information'!D243)</f>
        <v/>
      </c>
      <c r="E243">
        <f>IF(A243="","", IFERROR(VLOOKUP(A243, 'Energized Data'!A:T, 20, FALSE), "N/A"))</f>
        <v/>
      </c>
      <c r="F243">
        <f>IF(A243="","", IFERROR(VLOOKUP(A243, 'Insulation'!A:J, 9, FALSE), "N/A"))</f>
        <v/>
      </c>
      <c r="G243">
        <f>IF(A243="","", IFERROR(VLOOKUP(A243, 'DLRO'!A:I, 8, FALSE), "N/A"))</f>
        <v/>
      </c>
      <c r="H243">
        <f>IF(A243="","", IFERROR(VLOOKUP(A243, 'Torque'!A:I, 8, FALSE), "N/A"))</f>
        <v/>
      </c>
      <c r="I243">
        <f>IF(A243="","", IFERROR(VLOOKUP(A243, 'Infrared'!A:G, 6, FALSE), "N/A"))</f>
        <v/>
      </c>
      <c r="J243">
        <f>IF(A243="","", IFERROR(VLOOKUP(A243, 'Ultrasonic'!A:H, 7, FALSE), "N/A"))</f>
        <v/>
      </c>
      <c r="K243">
        <f>IF(A243="","", IFERROR(VLOOKUP(A243, 'Code Violations'!A:V, 22, FALSE), "N/A"))</f>
        <v/>
      </c>
      <c r="L243">
        <f>IF(A243="","", IF(COUNTIF(E243:K243, "FAIL")&gt;0, "FAIL", "PASS"))</f>
        <v/>
      </c>
    </row>
    <row r="244">
      <c r="A244">
        <f>IF('Equipment Information'!A244="","", 'Equipment Information'!A244)</f>
        <v/>
      </c>
      <c r="B244">
        <f>IF('Equipment Information'!B244="","", 'Equipment Information'!B244)</f>
        <v/>
      </c>
      <c r="C244">
        <f>IF('Equipment Information'!C244="","", 'Equipment Information'!C244)</f>
        <v/>
      </c>
      <c r="D244">
        <f>IF('Equipment Information'!D244="","", 'Equipment Information'!D244)</f>
        <v/>
      </c>
      <c r="E244">
        <f>IF(A244="","", IFERROR(VLOOKUP(A244, 'Energized Data'!A:T, 20, FALSE), "N/A"))</f>
        <v/>
      </c>
      <c r="F244">
        <f>IF(A244="","", IFERROR(VLOOKUP(A244, 'Insulation'!A:J, 9, FALSE), "N/A"))</f>
        <v/>
      </c>
      <c r="G244">
        <f>IF(A244="","", IFERROR(VLOOKUP(A244, 'DLRO'!A:I, 8, FALSE), "N/A"))</f>
        <v/>
      </c>
      <c r="H244">
        <f>IF(A244="","", IFERROR(VLOOKUP(A244, 'Torque'!A:I, 8, FALSE), "N/A"))</f>
        <v/>
      </c>
      <c r="I244">
        <f>IF(A244="","", IFERROR(VLOOKUP(A244, 'Infrared'!A:G, 6, FALSE), "N/A"))</f>
        <v/>
      </c>
      <c r="J244">
        <f>IF(A244="","", IFERROR(VLOOKUP(A244, 'Ultrasonic'!A:H, 7, FALSE), "N/A"))</f>
        <v/>
      </c>
      <c r="K244">
        <f>IF(A244="","", IFERROR(VLOOKUP(A244, 'Code Violations'!A:V, 22, FALSE), "N/A"))</f>
        <v/>
      </c>
      <c r="L244">
        <f>IF(A244="","", IF(COUNTIF(E244:K244, "FAIL")&gt;0, "FAIL", "PASS"))</f>
        <v/>
      </c>
    </row>
    <row r="245">
      <c r="A245">
        <f>IF('Equipment Information'!A245="","", 'Equipment Information'!A245)</f>
        <v/>
      </c>
      <c r="B245">
        <f>IF('Equipment Information'!B245="","", 'Equipment Information'!B245)</f>
        <v/>
      </c>
      <c r="C245">
        <f>IF('Equipment Information'!C245="","", 'Equipment Information'!C245)</f>
        <v/>
      </c>
      <c r="D245">
        <f>IF('Equipment Information'!D245="","", 'Equipment Information'!D245)</f>
        <v/>
      </c>
      <c r="E245">
        <f>IF(A245="","", IFERROR(VLOOKUP(A245, 'Energized Data'!A:T, 20, FALSE), "N/A"))</f>
        <v/>
      </c>
      <c r="F245">
        <f>IF(A245="","", IFERROR(VLOOKUP(A245, 'Insulation'!A:J, 9, FALSE), "N/A"))</f>
        <v/>
      </c>
      <c r="G245">
        <f>IF(A245="","", IFERROR(VLOOKUP(A245, 'DLRO'!A:I, 8, FALSE), "N/A"))</f>
        <v/>
      </c>
      <c r="H245">
        <f>IF(A245="","", IFERROR(VLOOKUP(A245, 'Torque'!A:I, 8, FALSE), "N/A"))</f>
        <v/>
      </c>
      <c r="I245">
        <f>IF(A245="","", IFERROR(VLOOKUP(A245, 'Infrared'!A:G, 6, FALSE), "N/A"))</f>
        <v/>
      </c>
      <c r="J245">
        <f>IF(A245="","", IFERROR(VLOOKUP(A245, 'Ultrasonic'!A:H, 7, FALSE), "N/A"))</f>
        <v/>
      </c>
      <c r="K245">
        <f>IF(A245="","", IFERROR(VLOOKUP(A245, 'Code Violations'!A:V, 22, FALSE), "N/A"))</f>
        <v/>
      </c>
      <c r="L245">
        <f>IF(A245="","", IF(COUNTIF(E245:K245, "FAIL")&gt;0, "FAIL", "PASS"))</f>
        <v/>
      </c>
    </row>
    <row r="246">
      <c r="A246">
        <f>IF('Equipment Information'!A246="","", 'Equipment Information'!A246)</f>
        <v/>
      </c>
      <c r="B246">
        <f>IF('Equipment Information'!B246="","", 'Equipment Information'!B246)</f>
        <v/>
      </c>
      <c r="C246">
        <f>IF('Equipment Information'!C246="","", 'Equipment Information'!C246)</f>
        <v/>
      </c>
      <c r="D246">
        <f>IF('Equipment Information'!D246="","", 'Equipment Information'!D246)</f>
        <v/>
      </c>
      <c r="E246">
        <f>IF(A246="","", IFERROR(VLOOKUP(A246, 'Energized Data'!A:T, 20, FALSE), "N/A"))</f>
        <v/>
      </c>
      <c r="F246">
        <f>IF(A246="","", IFERROR(VLOOKUP(A246, 'Insulation'!A:J, 9, FALSE), "N/A"))</f>
        <v/>
      </c>
      <c r="G246">
        <f>IF(A246="","", IFERROR(VLOOKUP(A246, 'DLRO'!A:I, 8, FALSE), "N/A"))</f>
        <v/>
      </c>
      <c r="H246">
        <f>IF(A246="","", IFERROR(VLOOKUP(A246, 'Torque'!A:I, 8, FALSE), "N/A"))</f>
        <v/>
      </c>
      <c r="I246">
        <f>IF(A246="","", IFERROR(VLOOKUP(A246, 'Infrared'!A:G, 6, FALSE), "N/A"))</f>
        <v/>
      </c>
      <c r="J246">
        <f>IF(A246="","", IFERROR(VLOOKUP(A246, 'Ultrasonic'!A:H, 7, FALSE), "N/A"))</f>
        <v/>
      </c>
      <c r="K246">
        <f>IF(A246="","", IFERROR(VLOOKUP(A246, 'Code Violations'!A:V, 22, FALSE), "N/A"))</f>
        <v/>
      </c>
      <c r="L246">
        <f>IF(A246="","", IF(COUNTIF(E246:K246, "FAIL")&gt;0, "FAIL", "PASS"))</f>
        <v/>
      </c>
    </row>
    <row r="247">
      <c r="A247">
        <f>IF('Equipment Information'!A247="","", 'Equipment Information'!A247)</f>
        <v/>
      </c>
      <c r="B247">
        <f>IF('Equipment Information'!B247="","", 'Equipment Information'!B247)</f>
        <v/>
      </c>
      <c r="C247">
        <f>IF('Equipment Information'!C247="","", 'Equipment Information'!C247)</f>
        <v/>
      </c>
      <c r="D247">
        <f>IF('Equipment Information'!D247="","", 'Equipment Information'!D247)</f>
        <v/>
      </c>
      <c r="E247">
        <f>IF(A247="","", IFERROR(VLOOKUP(A247, 'Energized Data'!A:T, 20, FALSE), "N/A"))</f>
        <v/>
      </c>
      <c r="F247">
        <f>IF(A247="","", IFERROR(VLOOKUP(A247, 'Insulation'!A:J, 9, FALSE), "N/A"))</f>
        <v/>
      </c>
      <c r="G247">
        <f>IF(A247="","", IFERROR(VLOOKUP(A247, 'DLRO'!A:I, 8, FALSE), "N/A"))</f>
        <v/>
      </c>
      <c r="H247">
        <f>IF(A247="","", IFERROR(VLOOKUP(A247, 'Torque'!A:I, 8, FALSE), "N/A"))</f>
        <v/>
      </c>
      <c r="I247">
        <f>IF(A247="","", IFERROR(VLOOKUP(A247, 'Infrared'!A:G, 6, FALSE), "N/A"))</f>
        <v/>
      </c>
      <c r="J247">
        <f>IF(A247="","", IFERROR(VLOOKUP(A247, 'Ultrasonic'!A:H, 7, FALSE), "N/A"))</f>
        <v/>
      </c>
      <c r="K247">
        <f>IF(A247="","", IFERROR(VLOOKUP(A247, 'Code Violations'!A:V, 22, FALSE), "N/A"))</f>
        <v/>
      </c>
      <c r="L247">
        <f>IF(A247="","", IF(COUNTIF(E247:K247, "FAIL")&gt;0, "FAIL", "PASS"))</f>
        <v/>
      </c>
    </row>
    <row r="248">
      <c r="A248">
        <f>IF('Equipment Information'!A248="","", 'Equipment Information'!A248)</f>
        <v/>
      </c>
      <c r="B248">
        <f>IF('Equipment Information'!B248="","", 'Equipment Information'!B248)</f>
        <v/>
      </c>
      <c r="C248">
        <f>IF('Equipment Information'!C248="","", 'Equipment Information'!C248)</f>
        <v/>
      </c>
      <c r="D248">
        <f>IF('Equipment Information'!D248="","", 'Equipment Information'!D248)</f>
        <v/>
      </c>
      <c r="E248">
        <f>IF(A248="","", IFERROR(VLOOKUP(A248, 'Energized Data'!A:T, 20, FALSE), "N/A"))</f>
        <v/>
      </c>
      <c r="F248">
        <f>IF(A248="","", IFERROR(VLOOKUP(A248, 'Insulation'!A:J, 9, FALSE), "N/A"))</f>
        <v/>
      </c>
      <c r="G248">
        <f>IF(A248="","", IFERROR(VLOOKUP(A248, 'DLRO'!A:I, 8, FALSE), "N/A"))</f>
        <v/>
      </c>
      <c r="H248">
        <f>IF(A248="","", IFERROR(VLOOKUP(A248, 'Torque'!A:I, 8, FALSE), "N/A"))</f>
        <v/>
      </c>
      <c r="I248">
        <f>IF(A248="","", IFERROR(VLOOKUP(A248, 'Infrared'!A:G, 6, FALSE), "N/A"))</f>
        <v/>
      </c>
      <c r="J248">
        <f>IF(A248="","", IFERROR(VLOOKUP(A248, 'Ultrasonic'!A:H, 7, FALSE), "N/A"))</f>
        <v/>
      </c>
      <c r="K248">
        <f>IF(A248="","", IFERROR(VLOOKUP(A248, 'Code Violations'!A:V, 22, FALSE), "N/A"))</f>
        <v/>
      </c>
      <c r="L248">
        <f>IF(A248="","", IF(COUNTIF(E248:K248, "FAIL")&gt;0, "FAIL", "PASS"))</f>
        <v/>
      </c>
    </row>
    <row r="249">
      <c r="A249">
        <f>IF('Equipment Information'!A249="","", 'Equipment Information'!A249)</f>
        <v/>
      </c>
      <c r="B249">
        <f>IF('Equipment Information'!B249="","", 'Equipment Information'!B249)</f>
        <v/>
      </c>
      <c r="C249">
        <f>IF('Equipment Information'!C249="","", 'Equipment Information'!C249)</f>
        <v/>
      </c>
      <c r="D249">
        <f>IF('Equipment Information'!D249="","", 'Equipment Information'!D249)</f>
        <v/>
      </c>
      <c r="E249">
        <f>IF(A249="","", IFERROR(VLOOKUP(A249, 'Energized Data'!A:T, 20, FALSE), "N/A"))</f>
        <v/>
      </c>
      <c r="F249">
        <f>IF(A249="","", IFERROR(VLOOKUP(A249, 'Insulation'!A:J, 9, FALSE), "N/A"))</f>
        <v/>
      </c>
      <c r="G249">
        <f>IF(A249="","", IFERROR(VLOOKUP(A249, 'DLRO'!A:I, 8, FALSE), "N/A"))</f>
        <v/>
      </c>
      <c r="H249">
        <f>IF(A249="","", IFERROR(VLOOKUP(A249, 'Torque'!A:I, 8, FALSE), "N/A"))</f>
        <v/>
      </c>
      <c r="I249">
        <f>IF(A249="","", IFERROR(VLOOKUP(A249, 'Infrared'!A:G, 6, FALSE), "N/A"))</f>
        <v/>
      </c>
      <c r="J249">
        <f>IF(A249="","", IFERROR(VLOOKUP(A249, 'Ultrasonic'!A:H, 7, FALSE), "N/A"))</f>
        <v/>
      </c>
      <c r="K249">
        <f>IF(A249="","", IFERROR(VLOOKUP(A249, 'Code Violations'!A:V, 22, FALSE), "N/A"))</f>
        <v/>
      </c>
      <c r="L249">
        <f>IF(A249="","", IF(COUNTIF(E249:K249, "FAIL")&gt;0, "FAIL", "PASS"))</f>
        <v/>
      </c>
    </row>
    <row r="250">
      <c r="A250">
        <f>IF('Equipment Information'!A250="","", 'Equipment Information'!A250)</f>
        <v/>
      </c>
      <c r="B250">
        <f>IF('Equipment Information'!B250="","", 'Equipment Information'!B250)</f>
        <v/>
      </c>
      <c r="C250">
        <f>IF('Equipment Information'!C250="","", 'Equipment Information'!C250)</f>
        <v/>
      </c>
      <c r="D250">
        <f>IF('Equipment Information'!D250="","", 'Equipment Information'!D250)</f>
        <v/>
      </c>
      <c r="E250">
        <f>IF(A250="","", IFERROR(VLOOKUP(A250, 'Energized Data'!A:T, 20, FALSE), "N/A"))</f>
        <v/>
      </c>
      <c r="F250">
        <f>IF(A250="","", IFERROR(VLOOKUP(A250, 'Insulation'!A:J, 9, FALSE), "N/A"))</f>
        <v/>
      </c>
      <c r="G250">
        <f>IF(A250="","", IFERROR(VLOOKUP(A250, 'DLRO'!A:I, 8, FALSE), "N/A"))</f>
        <v/>
      </c>
      <c r="H250">
        <f>IF(A250="","", IFERROR(VLOOKUP(A250, 'Torque'!A:I, 8, FALSE), "N/A"))</f>
        <v/>
      </c>
      <c r="I250">
        <f>IF(A250="","", IFERROR(VLOOKUP(A250, 'Infrared'!A:G, 6, FALSE), "N/A"))</f>
        <v/>
      </c>
      <c r="J250">
        <f>IF(A250="","", IFERROR(VLOOKUP(A250, 'Ultrasonic'!A:H, 7, FALSE), "N/A"))</f>
        <v/>
      </c>
      <c r="K250">
        <f>IF(A250="","", IFERROR(VLOOKUP(A250, 'Code Violations'!A:V, 22, FALSE), "N/A"))</f>
        <v/>
      </c>
      <c r="L250">
        <f>IF(A250="","", IF(COUNTIF(E250:K250, "FAIL")&gt;0, "FAIL", "PASS"))</f>
        <v/>
      </c>
    </row>
    <row r="251">
      <c r="A251">
        <f>IF('Equipment Information'!A251="","", 'Equipment Information'!A251)</f>
        <v/>
      </c>
      <c r="B251">
        <f>IF('Equipment Information'!B251="","", 'Equipment Information'!B251)</f>
        <v/>
      </c>
      <c r="C251">
        <f>IF('Equipment Information'!C251="","", 'Equipment Information'!C251)</f>
        <v/>
      </c>
      <c r="D251">
        <f>IF('Equipment Information'!D251="","", 'Equipment Information'!D251)</f>
        <v/>
      </c>
      <c r="E251">
        <f>IF(A251="","", IFERROR(VLOOKUP(A251, 'Energized Data'!A:T, 20, FALSE), "N/A"))</f>
        <v/>
      </c>
      <c r="F251">
        <f>IF(A251="","", IFERROR(VLOOKUP(A251, 'Insulation'!A:J, 9, FALSE), "N/A"))</f>
        <v/>
      </c>
      <c r="G251">
        <f>IF(A251="","", IFERROR(VLOOKUP(A251, 'DLRO'!A:I, 8, FALSE), "N/A"))</f>
        <v/>
      </c>
      <c r="H251">
        <f>IF(A251="","", IFERROR(VLOOKUP(A251, 'Torque'!A:I, 8, FALSE), "N/A"))</f>
        <v/>
      </c>
      <c r="I251">
        <f>IF(A251="","", IFERROR(VLOOKUP(A251, 'Infrared'!A:G, 6, FALSE), "N/A"))</f>
        <v/>
      </c>
      <c r="J251">
        <f>IF(A251="","", IFERROR(VLOOKUP(A251, 'Ultrasonic'!A:H, 7, FALSE), "N/A"))</f>
        <v/>
      </c>
      <c r="K251">
        <f>IF(A251="","", IFERROR(VLOOKUP(A251, 'Code Violations'!A:V, 22, FALSE), "N/A"))</f>
        <v/>
      </c>
      <c r="L251">
        <f>IF(A251="","", IF(COUNTIF(E251:K251, "FAIL")&gt;0, "FAIL", "PASS"))</f>
        <v/>
      </c>
    </row>
    <row r="252">
      <c r="A252">
        <f>IF('Equipment Information'!A252="","", 'Equipment Information'!A252)</f>
        <v/>
      </c>
      <c r="B252">
        <f>IF('Equipment Information'!B252="","", 'Equipment Information'!B252)</f>
        <v/>
      </c>
      <c r="C252">
        <f>IF('Equipment Information'!C252="","", 'Equipment Information'!C252)</f>
        <v/>
      </c>
      <c r="D252">
        <f>IF('Equipment Information'!D252="","", 'Equipment Information'!D252)</f>
        <v/>
      </c>
      <c r="E252">
        <f>IF(A252="","", IFERROR(VLOOKUP(A252, 'Energized Data'!A:T, 20, FALSE), "N/A"))</f>
        <v/>
      </c>
      <c r="F252">
        <f>IF(A252="","", IFERROR(VLOOKUP(A252, 'Insulation'!A:J, 9, FALSE), "N/A"))</f>
        <v/>
      </c>
      <c r="G252">
        <f>IF(A252="","", IFERROR(VLOOKUP(A252, 'DLRO'!A:I, 8, FALSE), "N/A"))</f>
        <v/>
      </c>
      <c r="H252">
        <f>IF(A252="","", IFERROR(VLOOKUP(A252, 'Torque'!A:I, 8, FALSE), "N/A"))</f>
        <v/>
      </c>
      <c r="I252">
        <f>IF(A252="","", IFERROR(VLOOKUP(A252, 'Infrared'!A:G, 6, FALSE), "N/A"))</f>
        <v/>
      </c>
      <c r="J252">
        <f>IF(A252="","", IFERROR(VLOOKUP(A252, 'Ultrasonic'!A:H, 7, FALSE), "N/A"))</f>
        <v/>
      </c>
      <c r="K252">
        <f>IF(A252="","", IFERROR(VLOOKUP(A252, 'Code Violations'!A:V, 22, FALSE), "N/A"))</f>
        <v/>
      </c>
      <c r="L252">
        <f>IF(A252="","", IF(COUNTIF(E252:K252, "FAIL")&gt;0, "FAIL", "PASS"))</f>
        <v/>
      </c>
    </row>
    <row r="253">
      <c r="A253">
        <f>IF('Equipment Information'!A253="","", 'Equipment Information'!A253)</f>
        <v/>
      </c>
      <c r="B253">
        <f>IF('Equipment Information'!B253="","", 'Equipment Information'!B253)</f>
        <v/>
      </c>
      <c r="C253">
        <f>IF('Equipment Information'!C253="","", 'Equipment Information'!C253)</f>
        <v/>
      </c>
      <c r="D253">
        <f>IF('Equipment Information'!D253="","", 'Equipment Information'!D253)</f>
        <v/>
      </c>
      <c r="E253">
        <f>IF(A253="","", IFERROR(VLOOKUP(A253, 'Energized Data'!A:T, 20, FALSE), "N/A"))</f>
        <v/>
      </c>
      <c r="F253">
        <f>IF(A253="","", IFERROR(VLOOKUP(A253, 'Insulation'!A:J, 9, FALSE), "N/A"))</f>
        <v/>
      </c>
      <c r="G253">
        <f>IF(A253="","", IFERROR(VLOOKUP(A253, 'DLRO'!A:I, 8, FALSE), "N/A"))</f>
        <v/>
      </c>
      <c r="H253">
        <f>IF(A253="","", IFERROR(VLOOKUP(A253, 'Torque'!A:I, 8, FALSE), "N/A"))</f>
        <v/>
      </c>
      <c r="I253">
        <f>IF(A253="","", IFERROR(VLOOKUP(A253, 'Infrared'!A:G, 6, FALSE), "N/A"))</f>
        <v/>
      </c>
      <c r="J253">
        <f>IF(A253="","", IFERROR(VLOOKUP(A253, 'Ultrasonic'!A:H, 7, FALSE), "N/A"))</f>
        <v/>
      </c>
      <c r="K253">
        <f>IF(A253="","", IFERROR(VLOOKUP(A253, 'Code Violations'!A:V, 22, FALSE), "N/A"))</f>
        <v/>
      </c>
      <c r="L253">
        <f>IF(A253="","", IF(COUNTIF(E253:K253, "FAIL")&gt;0, "FAIL", "PASS"))</f>
        <v/>
      </c>
    </row>
    <row r="254">
      <c r="A254">
        <f>IF('Equipment Information'!A254="","", 'Equipment Information'!A254)</f>
        <v/>
      </c>
      <c r="B254">
        <f>IF('Equipment Information'!B254="","", 'Equipment Information'!B254)</f>
        <v/>
      </c>
      <c r="C254">
        <f>IF('Equipment Information'!C254="","", 'Equipment Information'!C254)</f>
        <v/>
      </c>
      <c r="D254">
        <f>IF('Equipment Information'!D254="","", 'Equipment Information'!D254)</f>
        <v/>
      </c>
      <c r="E254">
        <f>IF(A254="","", IFERROR(VLOOKUP(A254, 'Energized Data'!A:T, 20, FALSE), "N/A"))</f>
        <v/>
      </c>
      <c r="F254">
        <f>IF(A254="","", IFERROR(VLOOKUP(A254, 'Insulation'!A:J, 9, FALSE), "N/A"))</f>
        <v/>
      </c>
      <c r="G254">
        <f>IF(A254="","", IFERROR(VLOOKUP(A254, 'DLRO'!A:I, 8, FALSE), "N/A"))</f>
        <v/>
      </c>
      <c r="H254">
        <f>IF(A254="","", IFERROR(VLOOKUP(A254, 'Torque'!A:I, 8, FALSE), "N/A"))</f>
        <v/>
      </c>
      <c r="I254">
        <f>IF(A254="","", IFERROR(VLOOKUP(A254, 'Infrared'!A:G, 6, FALSE), "N/A"))</f>
        <v/>
      </c>
      <c r="J254">
        <f>IF(A254="","", IFERROR(VLOOKUP(A254, 'Ultrasonic'!A:H, 7, FALSE), "N/A"))</f>
        <v/>
      </c>
      <c r="K254">
        <f>IF(A254="","", IFERROR(VLOOKUP(A254, 'Code Violations'!A:V, 22, FALSE), "N/A"))</f>
        <v/>
      </c>
      <c r="L254">
        <f>IF(A254="","", IF(COUNTIF(E254:K254, "FAIL")&gt;0, "FAIL", "PASS"))</f>
        <v/>
      </c>
    </row>
    <row r="255">
      <c r="A255">
        <f>IF('Equipment Information'!A255="","", 'Equipment Information'!A255)</f>
        <v/>
      </c>
      <c r="B255">
        <f>IF('Equipment Information'!B255="","", 'Equipment Information'!B255)</f>
        <v/>
      </c>
      <c r="C255">
        <f>IF('Equipment Information'!C255="","", 'Equipment Information'!C255)</f>
        <v/>
      </c>
      <c r="D255">
        <f>IF('Equipment Information'!D255="","", 'Equipment Information'!D255)</f>
        <v/>
      </c>
      <c r="E255">
        <f>IF(A255="","", IFERROR(VLOOKUP(A255, 'Energized Data'!A:T, 20, FALSE), "N/A"))</f>
        <v/>
      </c>
      <c r="F255">
        <f>IF(A255="","", IFERROR(VLOOKUP(A255, 'Insulation'!A:J, 9, FALSE), "N/A"))</f>
        <v/>
      </c>
      <c r="G255">
        <f>IF(A255="","", IFERROR(VLOOKUP(A255, 'DLRO'!A:I, 8, FALSE), "N/A"))</f>
        <v/>
      </c>
      <c r="H255">
        <f>IF(A255="","", IFERROR(VLOOKUP(A255, 'Torque'!A:I, 8, FALSE), "N/A"))</f>
        <v/>
      </c>
      <c r="I255">
        <f>IF(A255="","", IFERROR(VLOOKUP(A255, 'Infrared'!A:G, 6, FALSE), "N/A"))</f>
        <v/>
      </c>
      <c r="J255">
        <f>IF(A255="","", IFERROR(VLOOKUP(A255, 'Ultrasonic'!A:H, 7, FALSE), "N/A"))</f>
        <v/>
      </c>
      <c r="K255">
        <f>IF(A255="","", IFERROR(VLOOKUP(A255, 'Code Violations'!A:V, 22, FALSE), "N/A"))</f>
        <v/>
      </c>
      <c r="L255">
        <f>IF(A255="","", IF(COUNTIF(E255:K255, "FAIL")&gt;0, "FAIL", "PASS"))</f>
        <v/>
      </c>
    </row>
    <row r="256">
      <c r="A256">
        <f>IF('Equipment Information'!A256="","", 'Equipment Information'!A256)</f>
        <v/>
      </c>
      <c r="B256">
        <f>IF('Equipment Information'!B256="","", 'Equipment Information'!B256)</f>
        <v/>
      </c>
      <c r="C256">
        <f>IF('Equipment Information'!C256="","", 'Equipment Information'!C256)</f>
        <v/>
      </c>
      <c r="D256">
        <f>IF('Equipment Information'!D256="","", 'Equipment Information'!D256)</f>
        <v/>
      </c>
      <c r="E256">
        <f>IF(A256="","", IFERROR(VLOOKUP(A256, 'Energized Data'!A:T, 20, FALSE), "N/A"))</f>
        <v/>
      </c>
      <c r="F256">
        <f>IF(A256="","", IFERROR(VLOOKUP(A256, 'Insulation'!A:J, 9, FALSE), "N/A"))</f>
        <v/>
      </c>
      <c r="G256">
        <f>IF(A256="","", IFERROR(VLOOKUP(A256, 'DLRO'!A:I, 8, FALSE), "N/A"))</f>
        <v/>
      </c>
      <c r="H256">
        <f>IF(A256="","", IFERROR(VLOOKUP(A256, 'Torque'!A:I, 8, FALSE), "N/A"))</f>
        <v/>
      </c>
      <c r="I256">
        <f>IF(A256="","", IFERROR(VLOOKUP(A256, 'Infrared'!A:G, 6, FALSE), "N/A"))</f>
        <v/>
      </c>
      <c r="J256">
        <f>IF(A256="","", IFERROR(VLOOKUP(A256, 'Ultrasonic'!A:H, 7, FALSE), "N/A"))</f>
        <v/>
      </c>
      <c r="K256">
        <f>IF(A256="","", IFERROR(VLOOKUP(A256, 'Code Violations'!A:V, 22, FALSE), "N/A"))</f>
        <v/>
      </c>
      <c r="L256">
        <f>IF(A256="","", IF(COUNTIF(E256:K256, "FAIL")&gt;0, "FAIL", "PASS"))</f>
        <v/>
      </c>
    </row>
    <row r="257">
      <c r="A257">
        <f>IF('Equipment Information'!A257="","", 'Equipment Information'!A257)</f>
        <v/>
      </c>
      <c r="B257">
        <f>IF('Equipment Information'!B257="","", 'Equipment Information'!B257)</f>
        <v/>
      </c>
      <c r="C257">
        <f>IF('Equipment Information'!C257="","", 'Equipment Information'!C257)</f>
        <v/>
      </c>
      <c r="D257">
        <f>IF('Equipment Information'!D257="","", 'Equipment Information'!D257)</f>
        <v/>
      </c>
      <c r="E257">
        <f>IF(A257="","", IFERROR(VLOOKUP(A257, 'Energized Data'!A:T, 20, FALSE), "N/A"))</f>
        <v/>
      </c>
      <c r="F257">
        <f>IF(A257="","", IFERROR(VLOOKUP(A257, 'Insulation'!A:J, 9, FALSE), "N/A"))</f>
        <v/>
      </c>
      <c r="G257">
        <f>IF(A257="","", IFERROR(VLOOKUP(A257, 'DLRO'!A:I, 8, FALSE), "N/A"))</f>
        <v/>
      </c>
      <c r="H257">
        <f>IF(A257="","", IFERROR(VLOOKUP(A257, 'Torque'!A:I, 8, FALSE), "N/A"))</f>
        <v/>
      </c>
      <c r="I257">
        <f>IF(A257="","", IFERROR(VLOOKUP(A257, 'Infrared'!A:G, 6, FALSE), "N/A"))</f>
        <v/>
      </c>
      <c r="J257">
        <f>IF(A257="","", IFERROR(VLOOKUP(A257, 'Ultrasonic'!A:H, 7, FALSE), "N/A"))</f>
        <v/>
      </c>
      <c r="K257">
        <f>IF(A257="","", IFERROR(VLOOKUP(A257, 'Code Violations'!A:V, 22, FALSE), "N/A"))</f>
        <v/>
      </c>
      <c r="L257">
        <f>IF(A257="","", IF(COUNTIF(E257:K257, "FAIL")&gt;0, "FAIL", "PASS"))</f>
        <v/>
      </c>
    </row>
    <row r="258">
      <c r="A258">
        <f>IF('Equipment Information'!A258="","", 'Equipment Information'!A258)</f>
        <v/>
      </c>
      <c r="B258">
        <f>IF('Equipment Information'!B258="","", 'Equipment Information'!B258)</f>
        <v/>
      </c>
      <c r="C258">
        <f>IF('Equipment Information'!C258="","", 'Equipment Information'!C258)</f>
        <v/>
      </c>
      <c r="D258">
        <f>IF('Equipment Information'!D258="","", 'Equipment Information'!D258)</f>
        <v/>
      </c>
      <c r="E258">
        <f>IF(A258="","", IFERROR(VLOOKUP(A258, 'Energized Data'!A:T, 20, FALSE), "N/A"))</f>
        <v/>
      </c>
      <c r="F258">
        <f>IF(A258="","", IFERROR(VLOOKUP(A258, 'Insulation'!A:J, 9, FALSE), "N/A"))</f>
        <v/>
      </c>
      <c r="G258">
        <f>IF(A258="","", IFERROR(VLOOKUP(A258, 'DLRO'!A:I, 8, FALSE), "N/A"))</f>
        <v/>
      </c>
      <c r="H258">
        <f>IF(A258="","", IFERROR(VLOOKUP(A258, 'Torque'!A:I, 8, FALSE), "N/A"))</f>
        <v/>
      </c>
      <c r="I258">
        <f>IF(A258="","", IFERROR(VLOOKUP(A258, 'Infrared'!A:G, 6, FALSE), "N/A"))</f>
        <v/>
      </c>
      <c r="J258">
        <f>IF(A258="","", IFERROR(VLOOKUP(A258, 'Ultrasonic'!A:H, 7, FALSE), "N/A"))</f>
        <v/>
      </c>
      <c r="K258">
        <f>IF(A258="","", IFERROR(VLOOKUP(A258, 'Code Violations'!A:V, 22, FALSE), "N/A"))</f>
        <v/>
      </c>
      <c r="L258">
        <f>IF(A258="","", IF(COUNTIF(E258:K258, "FAIL")&gt;0, "FAIL", "PASS"))</f>
        <v/>
      </c>
    </row>
    <row r="259">
      <c r="A259">
        <f>IF('Equipment Information'!A259="","", 'Equipment Information'!A259)</f>
        <v/>
      </c>
      <c r="B259">
        <f>IF('Equipment Information'!B259="","", 'Equipment Information'!B259)</f>
        <v/>
      </c>
      <c r="C259">
        <f>IF('Equipment Information'!C259="","", 'Equipment Information'!C259)</f>
        <v/>
      </c>
      <c r="D259">
        <f>IF('Equipment Information'!D259="","", 'Equipment Information'!D259)</f>
        <v/>
      </c>
      <c r="E259">
        <f>IF(A259="","", IFERROR(VLOOKUP(A259, 'Energized Data'!A:T, 20, FALSE), "N/A"))</f>
        <v/>
      </c>
      <c r="F259">
        <f>IF(A259="","", IFERROR(VLOOKUP(A259, 'Insulation'!A:J, 9, FALSE), "N/A"))</f>
        <v/>
      </c>
      <c r="G259">
        <f>IF(A259="","", IFERROR(VLOOKUP(A259, 'DLRO'!A:I, 8, FALSE), "N/A"))</f>
        <v/>
      </c>
      <c r="H259">
        <f>IF(A259="","", IFERROR(VLOOKUP(A259, 'Torque'!A:I, 8, FALSE), "N/A"))</f>
        <v/>
      </c>
      <c r="I259">
        <f>IF(A259="","", IFERROR(VLOOKUP(A259, 'Infrared'!A:G, 6, FALSE), "N/A"))</f>
        <v/>
      </c>
      <c r="J259">
        <f>IF(A259="","", IFERROR(VLOOKUP(A259, 'Ultrasonic'!A:H, 7, FALSE), "N/A"))</f>
        <v/>
      </c>
      <c r="K259">
        <f>IF(A259="","", IFERROR(VLOOKUP(A259, 'Code Violations'!A:V, 22, FALSE), "N/A"))</f>
        <v/>
      </c>
      <c r="L259">
        <f>IF(A259="","", IF(COUNTIF(E259:K259, "FAIL")&gt;0, "FAIL", "PASS"))</f>
        <v/>
      </c>
    </row>
    <row r="260">
      <c r="A260">
        <f>IF('Equipment Information'!A260="","", 'Equipment Information'!A260)</f>
        <v/>
      </c>
      <c r="B260">
        <f>IF('Equipment Information'!B260="","", 'Equipment Information'!B260)</f>
        <v/>
      </c>
      <c r="C260">
        <f>IF('Equipment Information'!C260="","", 'Equipment Information'!C260)</f>
        <v/>
      </c>
      <c r="D260">
        <f>IF('Equipment Information'!D260="","", 'Equipment Information'!D260)</f>
        <v/>
      </c>
      <c r="E260">
        <f>IF(A260="","", IFERROR(VLOOKUP(A260, 'Energized Data'!A:T, 20, FALSE), "N/A"))</f>
        <v/>
      </c>
      <c r="F260">
        <f>IF(A260="","", IFERROR(VLOOKUP(A260, 'Insulation'!A:J, 9, FALSE), "N/A"))</f>
        <v/>
      </c>
      <c r="G260">
        <f>IF(A260="","", IFERROR(VLOOKUP(A260, 'DLRO'!A:I, 8, FALSE), "N/A"))</f>
        <v/>
      </c>
      <c r="H260">
        <f>IF(A260="","", IFERROR(VLOOKUP(A260, 'Torque'!A:I, 8, FALSE), "N/A"))</f>
        <v/>
      </c>
      <c r="I260">
        <f>IF(A260="","", IFERROR(VLOOKUP(A260, 'Infrared'!A:G, 6, FALSE), "N/A"))</f>
        <v/>
      </c>
      <c r="J260">
        <f>IF(A260="","", IFERROR(VLOOKUP(A260, 'Ultrasonic'!A:H, 7, FALSE), "N/A"))</f>
        <v/>
      </c>
      <c r="K260">
        <f>IF(A260="","", IFERROR(VLOOKUP(A260, 'Code Violations'!A:V, 22, FALSE), "N/A"))</f>
        <v/>
      </c>
      <c r="L260">
        <f>IF(A260="","", IF(COUNTIF(E260:K260, "FAIL")&gt;0, "FAIL", "PASS"))</f>
        <v/>
      </c>
    </row>
    <row r="261">
      <c r="A261">
        <f>IF('Equipment Information'!A261="","", 'Equipment Information'!A261)</f>
        <v/>
      </c>
      <c r="B261">
        <f>IF('Equipment Information'!B261="","", 'Equipment Information'!B261)</f>
        <v/>
      </c>
      <c r="C261">
        <f>IF('Equipment Information'!C261="","", 'Equipment Information'!C261)</f>
        <v/>
      </c>
      <c r="D261">
        <f>IF('Equipment Information'!D261="","", 'Equipment Information'!D261)</f>
        <v/>
      </c>
      <c r="E261">
        <f>IF(A261="","", IFERROR(VLOOKUP(A261, 'Energized Data'!A:T, 20, FALSE), "N/A"))</f>
        <v/>
      </c>
      <c r="F261">
        <f>IF(A261="","", IFERROR(VLOOKUP(A261, 'Insulation'!A:J, 9, FALSE), "N/A"))</f>
        <v/>
      </c>
      <c r="G261">
        <f>IF(A261="","", IFERROR(VLOOKUP(A261, 'DLRO'!A:I, 8, FALSE), "N/A"))</f>
        <v/>
      </c>
      <c r="H261">
        <f>IF(A261="","", IFERROR(VLOOKUP(A261, 'Torque'!A:I, 8, FALSE), "N/A"))</f>
        <v/>
      </c>
      <c r="I261">
        <f>IF(A261="","", IFERROR(VLOOKUP(A261, 'Infrared'!A:G, 6, FALSE), "N/A"))</f>
        <v/>
      </c>
      <c r="J261">
        <f>IF(A261="","", IFERROR(VLOOKUP(A261, 'Ultrasonic'!A:H, 7, FALSE), "N/A"))</f>
        <v/>
      </c>
      <c r="K261">
        <f>IF(A261="","", IFERROR(VLOOKUP(A261, 'Code Violations'!A:V, 22, FALSE), "N/A"))</f>
        <v/>
      </c>
      <c r="L261">
        <f>IF(A261="","", IF(COUNTIF(E261:K261, "FAIL")&gt;0, "FAIL", "PASS"))</f>
        <v/>
      </c>
    </row>
    <row r="262">
      <c r="A262">
        <f>IF('Equipment Information'!A262="","", 'Equipment Information'!A262)</f>
        <v/>
      </c>
      <c r="B262">
        <f>IF('Equipment Information'!B262="","", 'Equipment Information'!B262)</f>
        <v/>
      </c>
      <c r="C262">
        <f>IF('Equipment Information'!C262="","", 'Equipment Information'!C262)</f>
        <v/>
      </c>
      <c r="D262">
        <f>IF('Equipment Information'!D262="","", 'Equipment Information'!D262)</f>
        <v/>
      </c>
      <c r="E262">
        <f>IF(A262="","", IFERROR(VLOOKUP(A262, 'Energized Data'!A:T, 20, FALSE), "N/A"))</f>
        <v/>
      </c>
      <c r="F262">
        <f>IF(A262="","", IFERROR(VLOOKUP(A262, 'Insulation'!A:J, 9, FALSE), "N/A"))</f>
        <v/>
      </c>
      <c r="G262">
        <f>IF(A262="","", IFERROR(VLOOKUP(A262, 'DLRO'!A:I, 8, FALSE), "N/A"))</f>
        <v/>
      </c>
      <c r="H262">
        <f>IF(A262="","", IFERROR(VLOOKUP(A262, 'Torque'!A:I, 8, FALSE), "N/A"))</f>
        <v/>
      </c>
      <c r="I262">
        <f>IF(A262="","", IFERROR(VLOOKUP(A262, 'Infrared'!A:G, 6, FALSE), "N/A"))</f>
        <v/>
      </c>
      <c r="J262">
        <f>IF(A262="","", IFERROR(VLOOKUP(A262, 'Ultrasonic'!A:H, 7, FALSE), "N/A"))</f>
        <v/>
      </c>
      <c r="K262">
        <f>IF(A262="","", IFERROR(VLOOKUP(A262, 'Code Violations'!A:V, 22, FALSE), "N/A"))</f>
        <v/>
      </c>
      <c r="L262">
        <f>IF(A262="","", IF(COUNTIF(E262:K262, "FAIL")&gt;0, "FAIL", "PASS"))</f>
        <v/>
      </c>
    </row>
    <row r="263">
      <c r="A263">
        <f>IF('Equipment Information'!A263="","", 'Equipment Information'!A263)</f>
        <v/>
      </c>
      <c r="B263">
        <f>IF('Equipment Information'!B263="","", 'Equipment Information'!B263)</f>
        <v/>
      </c>
      <c r="C263">
        <f>IF('Equipment Information'!C263="","", 'Equipment Information'!C263)</f>
        <v/>
      </c>
      <c r="D263">
        <f>IF('Equipment Information'!D263="","", 'Equipment Information'!D263)</f>
        <v/>
      </c>
      <c r="E263">
        <f>IF(A263="","", IFERROR(VLOOKUP(A263, 'Energized Data'!A:T, 20, FALSE), "N/A"))</f>
        <v/>
      </c>
      <c r="F263">
        <f>IF(A263="","", IFERROR(VLOOKUP(A263, 'Insulation'!A:J, 9, FALSE), "N/A"))</f>
        <v/>
      </c>
      <c r="G263">
        <f>IF(A263="","", IFERROR(VLOOKUP(A263, 'DLRO'!A:I, 8, FALSE), "N/A"))</f>
        <v/>
      </c>
      <c r="H263">
        <f>IF(A263="","", IFERROR(VLOOKUP(A263, 'Torque'!A:I, 8, FALSE), "N/A"))</f>
        <v/>
      </c>
      <c r="I263">
        <f>IF(A263="","", IFERROR(VLOOKUP(A263, 'Infrared'!A:G, 6, FALSE), "N/A"))</f>
        <v/>
      </c>
      <c r="J263">
        <f>IF(A263="","", IFERROR(VLOOKUP(A263, 'Ultrasonic'!A:H, 7, FALSE), "N/A"))</f>
        <v/>
      </c>
      <c r="K263">
        <f>IF(A263="","", IFERROR(VLOOKUP(A263, 'Code Violations'!A:V, 22, FALSE), "N/A"))</f>
        <v/>
      </c>
      <c r="L263">
        <f>IF(A263="","", IF(COUNTIF(E263:K263, "FAIL")&gt;0, "FAIL", "PASS"))</f>
        <v/>
      </c>
    </row>
    <row r="264">
      <c r="A264">
        <f>IF('Equipment Information'!A264="","", 'Equipment Information'!A264)</f>
        <v/>
      </c>
      <c r="B264">
        <f>IF('Equipment Information'!B264="","", 'Equipment Information'!B264)</f>
        <v/>
      </c>
      <c r="C264">
        <f>IF('Equipment Information'!C264="","", 'Equipment Information'!C264)</f>
        <v/>
      </c>
      <c r="D264">
        <f>IF('Equipment Information'!D264="","", 'Equipment Information'!D264)</f>
        <v/>
      </c>
      <c r="E264">
        <f>IF(A264="","", IFERROR(VLOOKUP(A264, 'Energized Data'!A:T, 20, FALSE), "N/A"))</f>
        <v/>
      </c>
      <c r="F264">
        <f>IF(A264="","", IFERROR(VLOOKUP(A264, 'Insulation'!A:J, 9, FALSE), "N/A"))</f>
        <v/>
      </c>
      <c r="G264">
        <f>IF(A264="","", IFERROR(VLOOKUP(A264, 'DLRO'!A:I, 8, FALSE), "N/A"))</f>
        <v/>
      </c>
      <c r="H264">
        <f>IF(A264="","", IFERROR(VLOOKUP(A264, 'Torque'!A:I, 8, FALSE), "N/A"))</f>
        <v/>
      </c>
      <c r="I264">
        <f>IF(A264="","", IFERROR(VLOOKUP(A264, 'Infrared'!A:G, 6, FALSE), "N/A"))</f>
        <v/>
      </c>
      <c r="J264">
        <f>IF(A264="","", IFERROR(VLOOKUP(A264, 'Ultrasonic'!A:H, 7, FALSE), "N/A"))</f>
        <v/>
      </c>
      <c r="K264">
        <f>IF(A264="","", IFERROR(VLOOKUP(A264, 'Code Violations'!A:V, 22, FALSE), "N/A"))</f>
        <v/>
      </c>
      <c r="L264">
        <f>IF(A264="","", IF(COUNTIF(E264:K264, "FAIL")&gt;0, "FAIL", "PASS"))</f>
        <v/>
      </c>
    </row>
    <row r="265">
      <c r="A265">
        <f>IF('Equipment Information'!A265="","", 'Equipment Information'!A265)</f>
        <v/>
      </c>
      <c r="B265">
        <f>IF('Equipment Information'!B265="","", 'Equipment Information'!B265)</f>
        <v/>
      </c>
      <c r="C265">
        <f>IF('Equipment Information'!C265="","", 'Equipment Information'!C265)</f>
        <v/>
      </c>
      <c r="D265">
        <f>IF('Equipment Information'!D265="","", 'Equipment Information'!D265)</f>
        <v/>
      </c>
      <c r="E265">
        <f>IF(A265="","", IFERROR(VLOOKUP(A265, 'Energized Data'!A:T, 20, FALSE), "N/A"))</f>
        <v/>
      </c>
      <c r="F265">
        <f>IF(A265="","", IFERROR(VLOOKUP(A265, 'Insulation'!A:J, 9, FALSE), "N/A"))</f>
        <v/>
      </c>
      <c r="G265">
        <f>IF(A265="","", IFERROR(VLOOKUP(A265, 'DLRO'!A:I, 8, FALSE), "N/A"))</f>
        <v/>
      </c>
      <c r="H265">
        <f>IF(A265="","", IFERROR(VLOOKUP(A265, 'Torque'!A:I, 8, FALSE), "N/A"))</f>
        <v/>
      </c>
      <c r="I265">
        <f>IF(A265="","", IFERROR(VLOOKUP(A265, 'Infrared'!A:G, 6, FALSE), "N/A"))</f>
        <v/>
      </c>
      <c r="J265">
        <f>IF(A265="","", IFERROR(VLOOKUP(A265, 'Ultrasonic'!A:H, 7, FALSE), "N/A"))</f>
        <v/>
      </c>
      <c r="K265">
        <f>IF(A265="","", IFERROR(VLOOKUP(A265, 'Code Violations'!A:V, 22, FALSE), "N/A"))</f>
        <v/>
      </c>
      <c r="L265">
        <f>IF(A265="","", IF(COUNTIF(E265:K265, "FAIL")&gt;0, "FAIL", "PASS"))</f>
        <v/>
      </c>
    </row>
    <row r="266">
      <c r="A266">
        <f>IF('Equipment Information'!A266="","", 'Equipment Information'!A266)</f>
        <v/>
      </c>
      <c r="B266">
        <f>IF('Equipment Information'!B266="","", 'Equipment Information'!B266)</f>
        <v/>
      </c>
      <c r="C266">
        <f>IF('Equipment Information'!C266="","", 'Equipment Information'!C266)</f>
        <v/>
      </c>
      <c r="D266">
        <f>IF('Equipment Information'!D266="","", 'Equipment Information'!D266)</f>
        <v/>
      </c>
      <c r="E266">
        <f>IF(A266="","", IFERROR(VLOOKUP(A266, 'Energized Data'!A:T, 20, FALSE), "N/A"))</f>
        <v/>
      </c>
      <c r="F266">
        <f>IF(A266="","", IFERROR(VLOOKUP(A266, 'Insulation'!A:J, 9, FALSE), "N/A"))</f>
        <v/>
      </c>
      <c r="G266">
        <f>IF(A266="","", IFERROR(VLOOKUP(A266, 'DLRO'!A:I, 8, FALSE), "N/A"))</f>
        <v/>
      </c>
      <c r="H266">
        <f>IF(A266="","", IFERROR(VLOOKUP(A266, 'Torque'!A:I, 8, FALSE), "N/A"))</f>
        <v/>
      </c>
      <c r="I266">
        <f>IF(A266="","", IFERROR(VLOOKUP(A266, 'Infrared'!A:G, 6, FALSE), "N/A"))</f>
        <v/>
      </c>
      <c r="J266">
        <f>IF(A266="","", IFERROR(VLOOKUP(A266, 'Ultrasonic'!A:H, 7, FALSE), "N/A"))</f>
        <v/>
      </c>
      <c r="K266">
        <f>IF(A266="","", IFERROR(VLOOKUP(A266, 'Code Violations'!A:V, 22, FALSE), "N/A"))</f>
        <v/>
      </c>
      <c r="L266">
        <f>IF(A266="","", IF(COUNTIF(E266:K266, "FAIL")&gt;0, "FAIL", "PASS"))</f>
        <v/>
      </c>
    </row>
    <row r="267">
      <c r="A267">
        <f>IF('Equipment Information'!A267="","", 'Equipment Information'!A267)</f>
        <v/>
      </c>
      <c r="B267">
        <f>IF('Equipment Information'!B267="","", 'Equipment Information'!B267)</f>
        <v/>
      </c>
      <c r="C267">
        <f>IF('Equipment Information'!C267="","", 'Equipment Information'!C267)</f>
        <v/>
      </c>
      <c r="D267">
        <f>IF('Equipment Information'!D267="","", 'Equipment Information'!D267)</f>
        <v/>
      </c>
      <c r="E267">
        <f>IF(A267="","", IFERROR(VLOOKUP(A267, 'Energized Data'!A:T, 20, FALSE), "N/A"))</f>
        <v/>
      </c>
      <c r="F267">
        <f>IF(A267="","", IFERROR(VLOOKUP(A267, 'Insulation'!A:J, 9, FALSE), "N/A"))</f>
        <v/>
      </c>
      <c r="G267">
        <f>IF(A267="","", IFERROR(VLOOKUP(A267, 'DLRO'!A:I, 8, FALSE), "N/A"))</f>
        <v/>
      </c>
      <c r="H267">
        <f>IF(A267="","", IFERROR(VLOOKUP(A267, 'Torque'!A:I, 8, FALSE), "N/A"))</f>
        <v/>
      </c>
      <c r="I267">
        <f>IF(A267="","", IFERROR(VLOOKUP(A267, 'Infrared'!A:G, 6, FALSE), "N/A"))</f>
        <v/>
      </c>
      <c r="J267">
        <f>IF(A267="","", IFERROR(VLOOKUP(A267, 'Ultrasonic'!A:H, 7, FALSE), "N/A"))</f>
        <v/>
      </c>
      <c r="K267">
        <f>IF(A267="","", IFERROR(VLOOKUP(A267, 'Code Violations'!A:V, 22, FALSE), "N/A"))</f>
        <v/>
      </c>
      <c r="L267">
        <f>IF(A267="","", IF(COUNTIF(E267:K267, "FAIL")&gt;0, "FAIL", "PASS"))</f>
        <v/>
      </c>
    </row>
    <row r="268">
      <c r="A268">
        <f>IF('Equipment Information'!A268="","", 'Equipment Information'!A268)</f>
        <v/>
      </c>
      <c r="B268">
        <f>IF('Equipment Information'!B268="","", 'Equipment Information'!B268)</f>
        <v/>
      </c>
      <c r="C268">
        <f>IF('Equipment Information'!C268="","", 'Equipment Information'!C268)</f>
        <v/>
      </c>
      <c r="D268">
        <f>IF('Equipment Information'!D268="","", 'Equipment Information'!D268)</f>
        <v/>
      </c>
      <c r="E268">
        <f>IF(A268="","", IFERROR(VLOOKUP(A268, 'Energized Data'!A:T, 20, FALSE), "N/A"))</f>
        <v/>
      </c>
      <c r="F268">
        <f>IF(A268="","", IFERROR(VLOOKUP(A268, 'Insulation'!A:J, 9, FALSE), "N/A"))</f>
        <v/>
      </c>
      <c r="G268">
        <f>IF(A268="","", IFERROR(VLOOKUP(A268, 'DLRO'!A:I, 8, FALSE), "N/A"))</f>
        <v/>
      </c>
      <c r="H268">
        <f>IF(A268="","", IFERROR(VLOOKUP(A268, 'Torque'!A:I, 8, FALSE), "N/A"))</f>
        <v/>
      </c>
      <c r="I268">
        <f>IF(A268="","", IFERROR(VLOOKUP(A268, 'Infrared'!A:G, 6, FALSE), "N/A"))</f>
        <v/>
      </c>
      <c r="J268">
        <f>IF(A268="","", IFERROR(VLOOKUP(A268, 'Ultrasonic'!A:H, 7, FALSE), "N/A"))</f>
        <v/>
      </c>
      <c r="K268">
        <f>IF(A268="","", IFERROR(VLOOKUP(A268, 'Code Violations'!A:V, 22, FALSE), "N/A"))</f>
        <v/>
      </c>
      <c r="L268">
        <f>IF(A268="","", IF(COUNTIF(E268:K268, "FAIL")&gt;0, "FAIL", "PASS"))</f>
        <v/>
      </c>
    </row>
    <row r="269">
      <c r="A269">
        <f>IF('Equipment Information'!A269="","", 'Equipment Information'!A269)</f>
        <v/>
      </c>
      <c r="B269">
        <f>IF('Equipment Information'!B269="","", 'Equipment Information'!B269)</f>
        <v/>
      </c>
      <c r="C269">
        <f>IF('Equipment Information'!C269="","", 'Equipment Information'!C269)</f>
        <v/>
      </c>
      <c r="D269">
        <f>IF('Equipment Information'!D269="","", 'Equipment Information'!D269)</f>
        <v/>
      </c>
      <c r="E269">
        <f>IF(A269="","", IFERROR(VLOOKUP(A269, 'Energized Data'!A:T, 20, FALSE), "N/A"))</f>
        <v/>
      </c>
      <c r="F269">
        <f>IF(A269="","", IFERROR(VLOOKUP(A269, 'Insulation'!A:J, 9, FALSE), "N/A"))</f>
        <v/>
      </c>
      <c r="G269">
        <f>IF(A269="","", IFERROR(VLOOKUP(A269, 'DLRO'!A:I, 8, FALSE), "N/A"))</f>
        <v/>
      </c>
      <c r="H269">
        <f>IF(A269="","", IFERROR(VLOOKUP(A269, 'Torque'!A:I, 8, FALSE), "N/A"))</f>
        <v/>
      </c>
      <c r="I269">
        <f>IF(A269="","", IFERROR(VLOOKUP(A269, 'Infrared'!A:G, 6, FALSE), "N/A"))</f>
        <v/>
      </c>
      <c r="J269">
        <f>IF(A269="","", IFERROR(VLOOKUP(A269, 'Ultrasonic'!A:H, 7, FALSE), "N/A"))</f>
        <v/>
      </c>
      <c r="K269">
        <f>IF(A269="","", IFERROR(VLOOKUP(A269, 'Code Violations'!A:V, 22, FALSE), "N/A"))</f>
        <v/>
      </c>
      <c r="L269">
        <f>IF(A269="","", IF(COUNTIF(E269:K269, "FAIL")&gt;0, "FAIL", "PASS"))</f>
        <v/>
      </c>
    </row>
    <row r="270">
      <c r="A270">
        <f>IF('Equipment Information'!A270="","", 'Equipment Information'!A270)</f>
        <v/>
      </c>
      <c r="B270">
        <f>IF('Equipment Information'!B270="","", 'Equipment Information'!B270)</f>
        <v/>
      </c>
      <c r="C270">
        <f>IF('Equipment Information'!C270="","", 'Equipment Information'!C270)</f>
        <v/>
      </c>
      <c r="D270">
        <f>IF('Equipment Information'!D270="","", 'Equipment Information'!D270)</f>
        <v/>
      </c>
      <c r="E270">
        <f>IF(A270="","", IFERROR(VLOOKUP(A270, 'Energized Data'!A:T, 20, FALSE), "N/A"))</f>
        <v/>
      </c>
      <c r="F270">
        <f>IF(A270="","", IFERROR(VLOOKUP(A270, 'Insulation'!A:J, 9, FALSE), "N/A"))</f>
        <v/>
      </c>
      <c r="G270">
        <f>IF(A270="","", IFERROR(VLOOKUP(A270, 'DLRO'!A:I, 8, FALSE), "N/A"))</f>
        <v/>
      </c>
      <c r="H270">
        <f>IF(A270="","", IFERROR(VLOOKUP(A270, 'Torque'!A:I, 8, FALSE), "N/A"))</f>
        <v/>
      </c>
      <c r="I270">
        <f>IF(A270="","", IFERROR(VLOOKUP(A270, 'Infrared'!A:G, 6, FALSE), "N/A"))</f>
        <v/>
      </c>
      <c r="J270">
        <f>IF(A270="","", IFERROR(VLOOKUP(A270, 'Ultrasonic'!A:H, 7, FALSE), "N/A"))</f>
        <v/>
      </c>
      <c r="K270">
        <f>IF(A270="","", IFERROR(VLOOKUP(A270, 'Code Violations'!A:V, 22, FALSE), "N/A"))</f>
        <v/>
      </c>
      <c r="L270">
        <f>IF(A270="","", IF(COUNTIF(E270:K270, "FAIL")&gt;0, "FAIL", "PASS"))</f>
        <v/>
      </c>
    </row>
    <row r="271">
      <c r="A271">
        <f>IF('Equipment Information'!A271="","", 'Equipment Information'!A271)</f>
        <v/>
      </c>
      <c r="B271">
        <f>IF('Equipment Information'!B271="","", 'Equipment Information'!B271)</f>
        <v/>
      </c>
      <c r="C271">
        <f>IF('Equipment Information'!C271="","", 'Equipment Information'!C271)</f>
        <v/>
      </c>
      <c r="D271">
        <f>IF('Equipment Information'!D271="","", 'Equipment Information'!D271)</f>
        <v/>
      </c>
      <c r="E271">
        <f>IF(A271="","", IFERROR(VLOOKUP(A271, 'Energized Data'!A:T, 20, FALSE), "N/A"))</f>
        <v/>
      </c>
      <c r="F271">
        <f>IF(A271="","", IFERROR(VLOOKUP(A271, 'Insulation'!A:J, 9, FALSE), "N/A"))</f>
        <v/>
      </c>
      <c r="G271">
        <f>IF(A271="","", IFERROR(VLOOKUP(A271, 'DLRO'!A:I, 8, FALSE), "N/A"))</f>
        <v/>
      </c>
      <c r="H271">
        <f>IF(A271="","", IFERROR(VLOOKUP(A271, 'Torque'!A:I, 8, FALSE), "N/A"))</f>
        <v/>
      </c>
      <c r="I271">
        <f>IF(A271="","", IFERROR(VLOOKUP(A271, 'Infrared'!A:G, 6, FALSE), "N/A"))</f>
        <v/>
      </c>
      <c r="J271">
        <f>IF(A271="","", IFERROR(VLOOKUP(A271, 'Ultrasonic'!A:H, 7, FALSE), "N/A"))</f>
        <v/>
      </c>
      <c r="K271">
        <f>IF(A271="","", IFERROR(VLOOKUP(A271, 'Code Violations'!A:V, 22, FALSE), "N/A"))</f>
        <v/>
      </c>
      <c r="L271">
        <f>IF(A271="","", IF(COUNTIF(E271:K271, "FAIL")&gt;0, "FAIL", "PASS"))</f>
        <v/>
      </c>
    </row>
    <row r="272">
      <c r="A272">
        <f>IF('Equipment Information'!A272="","", 'Equipment Information'!A272)</f>
        <v/>
      </c>
      <c r="B272">
        <f>IF('Equipment Information'!B272="","", 'Equipment Information'!B272)</f>
        <v/>
      </c>
      <c r="C272">
        <f>IF('Equipment Information'!C272="","", 'Equipment Information'!C272)</f>
        <v/>
      </c>
      <c r="D272">
        <f>IF('Equipment Information'!D272="","", 'Equipment Information'!D272)</f>
        <v/>
      </c>
      <c r="E272">
        <f>IF(A272="","", IFERROR(VLOOKUP(A272, 'Energized Data'!A:T, 20, FALSE), "N/A"))</f>
        <v/>
      </c>
      <c r="F272">
        <f>IF(A272="","", IFERROR(VLOOKUP(A272, 'Insulation'!A:J, 9, FALSE), "N/A"))</f>
        <v/>
      </c>
      <c r="G272">
        <f>IF(A272="","", IFERROR(VLOOKUP(A272, 'DLRO'!A:I, 8, FALSE), "N/A"))</f>
        <v/>
      </c>
      <c r="H272">
        <f>IF(A272="","", IFERROR(VLOOKUP(A272, 'Torque'!A:I, 8, FALSE), "N/A"))</f>
        <v/>
      </c>
      <c r="I272">
        <f>IF(A272="","", IFERROR(VLOOKUP(A272, 'Infrared'!A:G, 6, FALSE), "N/A"))</f>
        <v/>
      </c>
      <c r="J272">
        <f>IF(A272="","", IFERROR(VLOOKUP(A272, 'Ultrasonic'!A:H, 7, FALSE), "N/A"))</f>
        <v/>
      </c>
      <c r="K272">
        <f>IF(A272="","", IFERROR(VLOOKUP(A272, 'Code Violations'!A:V, 22, FALSE), "N/A"))</f>
        <v/>
      </c>
      <c r="L272">
        <f>IF(A272="","", IF(COUNTIF(E272:K272, "FAIL")&gt;0, "FAIL", "PASS"))</f>
        <v/>
      </c>
    </row>
    <row r="273">
      <c r="A273">
        <f>IF('Equipment Information'!A273="","", 'Equipment Information'!A273)</f>
        <v/>
      </c>
      <c r="B273">
        <f>IF('Equipment Information'!B273="","", 'Equipment Information'!B273)</f>
        <v/>
      </c>
      <c r="C273">
        <f>IF('Equipment Information'!C273="","", 'Equipment Information'!C273)</f>
        <v/>
      </c>
      <c r="D273">
        <f>IF('Equipment Information'!D273="","", 'Equipment Information'!D273)</f>
        <v/>
      </c>
      <c r="E273">
        <f>IF(A273="","", IFERROR(VLOOKUP(A273, 'Energized Data'!A:T, 20, FALSE), "N/A"))</f>
        <v/>
      </c>
      <c r="F273">
        <f>IF(A273="","", IFERROR(VLOOKUP(A273, 'Insulation'!A:J, 9, FALSE), "N/A"))</f>
        <v/>
      </c>
      <c r="G273">
        <f>IF(A273="","", IFERROR(VLOOKUP(A273, 'DLRO'!A:I, 8, FALSE), "N/A"))</f>
        <v/>
      </c>
      <c r="H273">
        <f>IF(A273="","", IFERROR(VLOOKUP(A273, 'Torque'!A:I, 8, FALSE), "N/A"))</f>
        <v/>
      </c>
      <c r="I273">
        <f>IF(A273="","", IFERROR(VLOOKUP(A273, 'Infrared'!A:G, 6, FALSE), "N/A"))</f>
        <v/>
      </c>
      <c r="J273">
        <f>IF(A273="","", IFERROR(VLOOKUP(A273, 'Ultrasonic'!A:H, 7, FALSE), "N/A"))</f>
        <v/>
      </c>
      <c r="K273">
        <f>IF(A273="","", IFERROR(VLOOKUP(A273, 'Code Violations'!A:V, 22, FALSE), "N/A"))</f>
        <v/>
      </c>
      <c r="L273">
        <f>IF(A273="","", IF(COUNTIF(E273:K273, "FAIL")&gt;0, "FAIL", "PASS"))</f>
        <v/>
      </c>
    </row>
    <row r="274">
      <c r="A274">
        <f>IF('Equipment Information'!A274="","", 'Equipment Information'!A274)</f>
        <v/>
      </c>
      <c r="B274">
        <f>IF('Equipment Information'!B274="","", 'Equipment Information'!B274)</f>
        <v/>
      </c>
      <c r="C274">
        <f>IF('Equipment Information'!C274="","", 'Equipment Information'!C274)</f>
        <v/>
      </c>
      <c r="D274">
        <f>IF('Equipment Information'!D274="","", 'Equipment Information'!D274)</f>
        <v/>
      </c>
      <c r="E274">
        <f>IF(A274="","", IFERROR(VLOOKUP(A274, 'Energized Data'!A:T, 20, FALSE), "N/A"))</f>
        <v/>
      </c>
      <c r="F274">
        <f>IF(A274="","", IFERROR(VLOOKUP(A274, 'Insulation'!A:J, 9, FALSE), "N/A"))</f>
        <v/>
      </c>
      <c r="G274">
        <f>IF(A274="","", IFERROR(VLOOKUP(A274, 'DLRO'!A:I, 8, FALSE), "N/A"))</f>
        <v/>
      </c>
      <c r="H274">
        <f>IF(A274="","", IFERROR(VLOOKUP(A274, 'Torque'!A:I, 8, FALSE), "N/A"))</f>
        <v/>
      </c>
      <c r="I274">
        <f>IF(A274="","", IFERROR(VLOOKUP(A274, 'Infrared'!A:G, 6, FALSE), "N/A"))</f>
        <v/>
      </c>
      <c r="J274">
        <f>IF(A274="","", IFERROR(VLOOKUP(A274, 'Ultrasonic'!A:H, 7, FALSE), "N/A"))</f>
        <v/>
      </c>
      <c r="K274">
        <f>IF(A274="","", IFERROR(VLOOKUP(A274, 'Code Violations'!A:V, 22, FALSE), "N/A"))</f>
        <v/>
      </c>
      <c r="L274">
        <f>IF(A274="","", IF(COUNTIF(E274:K274, "FAIL")&gt;0, "FAIL", "PASS"))</f>
        <v/>
      </c>
    </row>
    <row r="275">
      <c r="A275">
        <f>IF('Equipment Information'!A275="","", 'Equipment Information'!A275)</f>
        <v/>
      </c>
      <c r="B275">
        <f>IF('Equipment Information'!B275="","", 'Equipment Information'!B275)</f>
        <v/>
      </c>
      <c r="C275">
        <f>IF('Equipment Information'!C275="","", 'Equipment Information'!C275)</f>
        <v/>
      </c>
      <c r="D275">
        <f>IF('Equipment Information'!D275="","", 'Equipment Information'!D275)</f>
        <v/>
      </c>
      <c r="E275">
        <f>IF(A275="","", IFERROR(VLOOKUP(A275, 'Energized Data'!A:T, 20, FALSE), "N/A"))</f>
        <v/>
      </c>
      <c r="F275">
        <f>IF(A275="","", IFERROR(VLOOKUP(A275, 'Insulation'!A:J, 9, FALSE), "N/A"))</f>
        <v/>
      </c>
      <c r="G275">
        <f>IF(A275="","", IFERROR(VLOOKUP(A275, 'DLRO'!A:I, 8, FALSE), "N/A"))</f>
        <v/>
      </c>
      <c r="H275">
        <f>IF(A275="","", IFERROR(VLOOKUP(A275, 'Torque'!A:I, 8, FALSE), "N/A"))</f>
        <v/>
      </c>
      <c r="I275">
        <f>IF(A275="","", IFERROR(VLOOKUP(A275, 'Infrared'!A:G, 6, FALSE), "N/A"))</f>
        <v/>
      </c>
      <c r="J275">
        <f>IF(A275="","", IFERROR(VLOOKUP(A275, 'Ultrasonic'!A:H, 7, FALSE), "N/A"))</f>
        <v/>
      </c>
      <c r="K275">
        <f>IF(A275="","", IFERROR(VLOOKUP(A275, 'Code Violations'!A:V, 22, FALSE), "N/A"))</f>
        <v/>
      </c>
      <c r="L275">
        <f>IF(A275="","", IF(COUNTIF(E275:K275, "FAIL")&gt;0, "FAIL", "PASS"))</f>
        <v/>
      </c>
    </row>
    <row r="276">
      <c r="A276">
        <f>IF('Equipment Information'!A276="","", 'Equipment Information'!A276)</f>
        <v/>
      </c>
      <c r="B276">
        <f>IF('Equipment Information'!B276="","", 'Equipment Information'!B276)</f>
        <v/>
      </c>
      <c r="C276">
        <f>IF('Equipment Information'!C276="","", 'Equipment Information'!C276)</f>
        <v/>
      </c>
      <c r="D276">
        <f>IF('Equipment Information'!D276="","", 'Equipment Information'!D276)</f>
        <v/>
      </c>
      <c r="E276">
        <f>IF(A276="","", IFERROR(VLOOKUP(A276, 'Energized Data'!A:T, 20, FALSE), "N/A"))</f>
        <v/>
      </c>
      <c r="F276">
        <f>IF(A276="","", IFERROR(VLOOKUP(A276, 'Insulation'!A:J, 9, FALSE), "N/A"))</f>
        <v/>
      </c>
      <c r="G276">
        <f>IF(A276="","", IFERROR(VLOOKUP(A276, 'DLRO'!A:I, 8, FALSE), "N/A"))</f>
        <v/>
      </c>
      <c r="H276">
        <f>IF(A276="","", IFERROR(VLOOKUP(A276, 'Torque'!A:I, 8, FALSE), "N/A"))</f>
        <v/>
      </c>
      <c r="I276">
        <f>IF(A276="","", IFERROR(VLOOKUP(A276, 'Infrared'!A:G, 6, FALSE), "N/A"))</f>
        <v/>
      </c>
      <c r="J276">
        <f>IF(A276="","", IFERROR(VLOOKUP(A276, 'Ultrasonic'!A:H, 7, FALSE), "N/A"))</f>
        <v/>
      </c>
      <c r="K276">
        <f>IF(A276="","", IFERROR(VLOOKUP(A276, 'Code Violations'!A:V, 22, FALSE), "N/A"))</f>
        <v/>
      </c>
      <c r="L276">
        <f>IF(A276="","", IF(COUNTIF(E276:K276, "FAIL")&gt;0, "FAIL", "PASS"))</f>
        <v/>
      </c>
    </row>
    <row r="277">
      <c r="A277">
        <f>IF('Equipment Information'!A277="","", 'Equipment Information'!A277)</f>
        <v/>
      </c>
      <c r="B277">
        <f>IF('Equipment Information'!B277="","", 'Equipment Information'!B277)</f>
        <v/>
      </c>
      <c r="C277">
        <f>IF('Equipment Information'!C277="","", 'Equipment Information'!C277)</f>
        <v/>
      </c>
      <c r="D277">
        <f>IF('Equipment Information'!D277="","", 'Equipment Information'!D277)</f>
        <v/>
      </c>
      <c r="E277">
        <f>IF(A277="","", IFERROR(VLOOKUP(A277, 'Energized Data'!A:T, 20, FALSE), "N/A"))</f>
        <v/>
      </c>
      <c r="F277">
        <f>IF(A277="","", IFERROR(VLOOKUP(A277, 'Insulation'!A:J, 9, FALSE), "N/A"))</f>
        <v/>
      </c>
      <c r="G277">
        <f>IF(A277="","", IFERROR(VLOOKUP(A277, 'DLRO'!A:I, 8, FALSE), "N/A"))</f>
        <v/>
      </c>
      <c r="H277">
        <f>IF(A277="","", IFERROR(VLOOKUP(A277, 'Torque'!A:I, 8, FALSE), "N/A"))</f>
        <v/>
      </c>
      <c r="I277">
        <f>IF(A277="","", IFERROR(VLOOKUP(A277, 'Infrared'!A:G, 6, FALSE), "N/A"))</f>
        <v/>
      </c>
      <c r="J277">
        <f>IF(A277="","", IFERROR(VLOOKUP(A277, 'Ultrasonic'!A:H, 7, FALSE), "N/A"))</f>
        <v/>
      </c>
      <c r="K277">
        <f>IF(A277="","", IFERROR(VLOOKUP(A277, 'Code Violations'!A:V, 22, FALSE), "N/A"))</f>
        <v/>
      </c>
      <c r="L277">
        <f>IF(A277="","", IF(COUNTIF(E277:K277, "FAIL")&gt;0, "FAIL", "PASS"))</f>
        <v/>
      </c>
    </row>
    <row r="278">
      <c r="A278">
        <f>IF('Equipment Information'!A278="","", 'Equipment Information'!A278)</f>
        <v/>
      </c>
      <c r="B278">
        <f>IF('Equipment Information'!B278="","", 'Equipment Information'!B278)</f>
        <v/>
      </c>
      <c r="C278">
        <f>IF('Equipment Information'!C278="","", 'Equipment Information'!C278)</f>
        <v/>
      </c>
      <c r="D278">
        <f>IF('Equipment Information'!D278="","", 'Equipment Information'!D278)</f>
        <v/>
      </c>
      <c r="E278">
        <f>IF(A278="","", IFERROR(VLOOKUP(A278, 'Energized Data'!A:T, 20, FALSE), "N/A"))</f>
        <v/>
      </c>
      <c r="F278">
        <f>IF(A278="","", IFERROR(VLOOKUP(A278, 'Insulation'!A:J, 9, FALSE), "N/A"))</f>
        <v/>
      </c>
      <c r="G278">
        <f>IF(A278="","", IFERROR(VLOOKUP(A278, 'DLRO'!A:I, 8, FALSE), "N/A"))</f>
        <v/>
      </c>
      <c r="H278">
        <f>IF(A278="","", IFERROR(VLOOKUP(A278, 'Torque'!A:I, 8, FALSE), "N/A"))</f>
        <v/>
      </c>
      <c r="I278">
        <f>IF(A278="","", IFERROR(VLOOKUP(A278, 'Infrared'!A:G, 6, FALSE), "N/A"))</f>
        <v/>
      </c>
      <c r="J278">
        <f>IF(A278="","", IFERROR(VLOOKUP(A278, 'Ultrasonic'!A:H, 7, FALSE), "N/A"))</f>
        <v/>
      </c>
      <c r="K278">
        <f>IF(A278="","", IFERROR(VLOOKUP(A278, 'Code Violations'!A:V, 22, FALSE), "N/A"))</f>
        <v/>
      </c>
      <c r="L278">
        <f>IF(A278="","", IF(COUNTIF(E278:K278, "FAIL")&gt;0, "FAIL", "PASS"))</f>
        <v/>
      </c>
    </row>
    <row r="279">
      <c r="A279">
        <f>IF('Equipment Information'!A279="","", 'Equipment Information'!A279)</f>
        <v/>
      </c>
      <c r="B279">
        <f>IF('Equipment Information'!B279="","", 'Equipment Information'!B279)</f>
        <v/>
      </c>
      <c r="C279">
        <f>IF('Equipment Information'!C279="","", 'Equipment Information'!C279)</f>
        <v/>
      </c>
      <c r="D279">
        <f>IF('Equipment Information'!D279="","", 'Equipment Information'!D279)</f>
        <v/>
      </c>
      <c r="E279">
        <f>IF(A279="","", IFERROR(VLOOKUP(A279, 'Energized Data'!A:T, 20, FALSE), "N/A"))</f>
        <v/>
      </c>
      <c r="F279">
        <f>IF(A279="","", IFERROR(VLOOKUP(A279, 'Insulation'!A:J, 9, FALSE), "N/A"))</f>
        <v/>
      </c>
      <c r="G279">
        <f>IF(A279="","", IFERROR(VLOOKUP(A279, 'DLRO'!A:I, 8, FALSE), "N/A"))</f>
        <v/>
      </c>
      <c r="H279">
        <f>IF(A279="","", IFERROR(VLOOKUP(A279, 'Torque'!A:I, 8, FALSE), "N/A"))</f>
        <v/>
      </c>
      <c r="I279">
        <f>IF(A279="","", IFERROR(VLOOKUP(A279, 'Infrared'!A:G, 6, FALSE), "N/A"))</f>
        <v/>
      </c>
      <c r="J279">
        <f>IF(A279="","", IFERROR(VLOOKUP(A279, 'Ultrasonic'!A:H, 7, FALSE), "N/A"))</f>
        <v/>
      </c>
      <c r="K279">
        <f>IF(A279="","", IFERROR(VLOOKUP(A279, 'Code Violations'!A:V, 22, FALSE), "N/A"))</f>
        <v/>
      </c>
      <c r="L279">
        <f>IF(A279="","", IF(COUNTIF(E279:K279, "FAIL")&gt;0, "FAIL", "PASS"))</f>
        <v/>
      </c>
    </row>
    <row r="280">
      <c r="A280">
        <f>IF('Equipment Information'!A280="","", 'Equipment Information'!A280)</f>
        <v/>
      </c>
      <c r="B280">
        <f>IF('Equipment Information'!B280="","", 'Equipment Information'!B280)</f>
        <v/>
      </c>
      <c r="C280">
        <f>IF('Equipment Information'!C280="","", 'Equipment Information'!C280)</f>
        <v/>
      </c>
      <c r="D280">
        <f>IF('Equipment Information'!D280="","", 'Equipment Information'!D280)</f>
        <v/>
      </c>
      <c r="E280">
        <f>IF(A280="","", IFERROR(VLOOKUP(A280, 'Energized Data'!A:T, 20, FALSE), "N/A"))</f>
        <v/>
      </c>
      <c r="F280">
        <f>IF(A280="","", IFERROR(VLOOKUP(A280, 'Insulation'!A:J, 9, FALSE), "N/A"))</f>
        <v/>
      </c>
      <c r="G280">
        <f>IF(A280="","", IFERROR(VLOOKUP(A280, 'DLRO'!A:I, 8, FALSE), "N/A"))</f>
        <v/>
      </c>
      <c r="H280">
        <f>IF(A280="","", IFERROR(VLOOKUP(A280, 'Torque'!A:I, 8, FALSE), "N/A"))</f>
        <v/>
      </c>
      <c r="I280">
        <f>IF(A280="","", IFERROR(VLOOKUP(A280, 'Infrared'!A:G, 6, FALSE), "N/A"))</f>
        <v/>
      </c>
      <c r="J280">
        <f>IF(A280="","", IFERROR(VLOOKUP(A280, 'Ultrasonic'!A:H, 7, FALSE), "N/A"))</f>
        <v/>
      </c>
      <c r="K280">
        <f>IF(A280="","", IFERROR(VLOOKUP(A280, 'Code Violations'!A:V, 22, FALSE), "N/A"))</f>
        <v/>
      </c>
      <c r="L280">
        <f>IF(A280="","", IF(COUNTIF(E280:K280, "FAIL")&gt;0, "FAIL", "PASS"))</f>
        <v/>
      </c>
    </row>
    <row r="281">
      <c r="A281">
        <f>IF('Equipment Information'!A281="","", 'Equipment Information'!A281)</f>
        <v/>
      </c>
      <c r="B281">
        <f>IF('Equipment Information'!B281="","", 'Equipment Information'!B281)</f>
        <v/>
      </c>
      <c r="C281">
        <f>IF('Equipment Information'!C281="","", 'Equipment Information'!C281)</f>
        <v/>
      </c>
      <c r="D281">
        <f>IF('Equipment Information'!D281="","", 'Equipment Information'!D281)</f>
        <v/>
      </c>
      <c r="E281">
        <f>IF(A281="","", IFERROR(VLOOKUP(A281, 'Energized Data'!A:T, 20, FALSE), "N/A"))</f>
        <v/>
      </c>
      <c r="F281">
        <f>IF(A281="","", IFERROR(VLOOKUP(A281, 'Insulation'!A:J, 9, FALSE), "N/A"))</f>
        <v/>
      </c>
      <c r="G281">
        <f>IF(A281="","", IFERROR(VLOOKUP(A281, 'DLRO'!A:I, 8, FALSE), "N/A"))</f>
        <v/>
      </c>
      <c r="H281">
        <f>IF(A281="","", IFERROR(VLOOKUP(A281, 'Torque'!A:I, 8, FALSE), "N/A"))</f>
        <v/>
      </c>
      <c r="I281">
        <f>IF(A281="","", IFERROR(VLOOKUP(A281, 'Infrared'!A:G, 6, FALSE), "N/A"))</f>
        <v/>
      </c>
      <c r="J281">
        <f>IF(A281="","", IFERROR(VLOOKUP(A281, 'Ultrasonic'!A:H, 7, FALSE), "N/A"))</f>
        <v/>
      </c>
      <c r="K281">
        <f>IF(A281="","", IFERROR(VLOOKUP(A281, 'Code Violations'!A:V, 22, FALSE), "N/A"))</f>
        <v/>
      </c>
      <c r="L281">
        <f>IF(A281="","", IF(COUNTIF(E281:K281, "FAIL")&gt;0, "FAIL", "PASS"))</f>
        <v/>
      </c>
    </row>
    <row r="282">
      <c r="A282">
        <f>IF('Equipment Information'!A282="","", 'Equipment Information'!A282)</f>
        <v/>
      </c>
      <c r="B282">
        <f>IF('Equipment Information'!B282="","", 'Equipment Information'!B282)</f>
        <v/>
      </c>
      <c r="C282">
        <f>IF('Equipment Information'!C282="","", 'Equipment Information'!C282)</f>
        <v/>
      </c>
      <c r="D282">
        <f>IF('Equipment Information'!D282="","", 'Equipment Information'!D282)</f>
        <v/>
      </c>
      <c r="E282">
        <f>IF(A282="","", IFERROR(VLOOKUP(A282, 'Energized Data'!A:T, 20, FALSE), "N/A"))</f>
        <v/>
      </c>
      <c r="F282">
        <f>IF(A282="","", IFERROR(VLOOKUP(A282, 'Insulation'!A:J, 9, FALSE), "N/A"))</f>
        <v/>
      </c>
      <c r="G282">
        <f>IF(A282="","", IFERROR(VLOOKUP(A282, 'DLRO'!A:I, 8, FALSE), "N/A"))</f>
        <v/>
      </c>
      <c r="H282">
        <f>IF(A282="","", IFERROR(VLOOKUP(A282, 'Torque'!A:I, 8, FALSE), "N/A"))</f>
        <v/>
      </c>
      <c r="I282">
        <f>IF(A282="","", IFERROR(VLOOKUP(A282, 'Infrared'!A:G, 6, FALSE), "N/A"))</f>
        <v/>
      </c>
      <c r="J282">
        <f>IF(A282="","", IFERROR(VLOOKUP(A282, 'Ultrasonic'!A:H, 7, FALSE), "N/A"))</f>
        <v/>
      </c>
      <c r="K282">
        <f>IF(A282="","", IFERROR(VLOOKUP(A282, 'Code Violations'!A:V, 22, FALSE), "N/A"))</f>
        <v/>
      </c>
      <c r="L282">
        <f>IF(A282="","", IF(COUNTIF(E282:K282, "FAIL")&gt;0, "FAIL", "PASS"))</f>
        <v/>
      </c>
    </row>
    <row r="283">
      <c r="A283">
        <f>IF('Equipment Information'!A283="","", 'Equipment Information'!A283)</f>
        <v/>
      </c>
      <c r="B283">
        <f>IF('Equipment Information'!B283="","", 'Equipment Information'!B283)</f>
        <v/>
      </c>
      <c r="C283">
        <f>IF('Equipment Information'!C283="","", 'Equipment Information'!C283)</f>
        <v/>
      </c>
      <c r="D283">
        <f>IF('Equipment Information'!D283="","", 'Equipment Information'!D283)</f>
        <v/>
      </c>
      <c r="E283">
        <f>IF(A283="","", IFERROR(VLOOKUP(A283, 'Energized Data'!A:T, 20, FALSE), "N/A"))</f>
        <v/>
      </c>
      <c r="F283">
        <f>IF(A283="","", IFERROR(VLOOKUP(A283, 'Insulation'!A:J, 9, FALSE), "N/A"))</f>
        <v/>
      </c>
      <c r="G283">
        <f>IF(A283="","", IFERROR(VLOOKUP(A283, 'DLRO'!A:I, 8, FALSE), "N/A"))</f>
        <v/>
      </c>
      <c r="H283">
        <f>IF(A283="","", IFERROR(VLOOKUP(A283, 'Torque'!A:I, 8, FALSE), "N/A"))</f>
        <v/>
      </c>
      <c r="I283">
        <f>IF(A283="","", IFERROR(VLOOKUP(A283, 'Infrared'!A:G, 6, FALSE), "N/A"))</f>
        <v/>
      </c>
      <c r="J283">
        <f>IF(A283="","", IFERROR(VLOOKUP(A283, 'Ultrasonic'!A:H, 7, FALSE), "N/A"))</f>
        <v/>
      </c>
      <c r="K283">
        <f>IF(A283="","", IFERROR(VLOOKUP(A283, 'Code Violations'!A:V, 22, FALSE), "N/A"))</f>
        <v/>
      </c>
      <c r="L283">
        <f>IF(A283="","", IF(COUNTIF(E283:K283, "FAIL")&gt;0, "FAIL", "PASS"))</f>
        <v/>
      </c>
    </row>
    <row r="284">
      <c r="A284">
        <f>IF('Equipment Information'!A284="","", 'Equipment Information'!A284)</f>
        <v/>
      </c>
      <c r="B284">
        <f>IF('Equipment Information'!B284="","", 'Equipment Information'!B284)</f>
        <v/>
      </c>
      <c r="C284">
        <f>IF('Equipment Information'!C284="","", 'Equipment Information'!C284)</f>
        <v/>
      </c>
      <c r="D284">
        <f>IF('Equipment Information'!D284="","", 'Equipment Information'!D284)</f>
        <v/>
      </c>
      <c r="E284">
        <f>IF(A284="","", IFERROR(VLOOKUP(A284, 'Energized Data'!A:T, 20, FALSE), "N/A"))</f>
        <v/>
      </c>
      <c r="F284">
        <f>IF(A284="","", IFERROR(VLOOKUP(A284, 'Insulation'!A:J, 9, FALSE), "N/A"))</f>
        <v/>
      </c>
      <c r="G284">
        <f>IF(A284="","", IFERROR(VLOOKUP(A284, 'DLRO'!A:I, 8, FALSE), "N/A"))</f>
        <v/>
      </c>
      <c r="H284">
        <f>IF(A284="","", IFERROR(VLOOKUP(A284, 'Torque'!A:I, 8, FALSE), "N/A"))</f>
        <v/>
      </c>
      <c r="I284">
        <f>IF(A284="","", IFERROR(VLOOKUP(A284, 'Infrared'!A:G, 6, FALSE), "N/A"))</f>
        <v/>
      </c>
      <c r="J284">
        <f>IF(A284="","", IFERROR(VLOOKUP(A284, 'Ultrasonic'!A:H, 7, FALSE), "N/A"))</f>
        <v/>
      </c>
      <c r="K284">
        <f>IF(A284="","", IFERROR(VLOOKUP(A284, 'Code Violations'!A:V, 22, FALSE), "N/A"))</f>
        <v/>
      </c>
      <c r="L284">
        <f>IF(A284="","", IF(COUNTIF(E284:K284, "FAIL")&gt;0, "FAIL", "PASS"))</f>
        <v/>
      </c>
    </row>
    <row r="285">
      <c r="A285">
        <f>IF('Equipment Information'!A285="","", 'Equipment Information'!A285)</f>
        <v/>
      </c>
      <c r="B285">
        <f>IF('Equipment Information'!B285="","", 'Equipment Information'!B285)</f>
        <v/>
      </c>
      <c r="C285">
        <f>IF('Equipment Information'!C285="","", 'Equipment Information'!C285)</f>
        <v/>
      </c>
      <c r="D285">
        <f>IF('Equipment Information'!D285="","", 'Equipment Information'!D285)</f>
        <v/>
      </c>
      <c r="E285">
        <f>IF(A285="","", IFERROR(VLOOKUP(A285, 'Energized Data'!A:T, 20, FALSE), "N/A"))</f>
        <v/>
      </c>
      <c r="F285">
        <f>IF(A285="","", IFERROR(VLOOKUP(A285, 'Insulation'!A:J, 9, FALSE), "N/A"))</f>
        <v/>
      </c>
      <c r="G285">
        <f>IF(A285="","", IFERROR(VLOOKUP(A285, 'DLRO'!A:I, 8, FALSE), "N/A"))</f>
        <v/>
      </c>
      <c r="H285">
        <f>IF(A285="","", IFERROR(VLOOKUP(A285, 'Torque'!A:I, 8, FALSE), "N/A"))</f>
        <v/>
      </c>
      <c r="I285">
        <f>IF(A285="","", IFERROR(VLOOKUP(A285, 'Infrared'!A:G, 6, FALSE), "N/A"))</f>
        <v/>
      </c>
      <c r="J285">
        <f>IF(A285="","", IFERROR(VLOOKUP(A285, 'Ultrasonic'!A:H, 7, FALSE), "N/A"))</f>
        <v/>
      </c>
      <c r="K285">
        <f>IF(A285="","", IFERROR(VLOOKUP(A285, 'Code Violations'!A:V, 22, FALSE), "N/A"))</f>
        <v/>
      </c>
      <c r="L285">
        <f>IF(A285="","", IF(COUNTIF(E285:K285, "FAIL")&gt;0, "FAIL", "PASS"))</f>
        <v/>
      </c>
    </row>
    <row r="286">
      <c r="A286">
        <f>IF('Equipment Information'!A286="","", 'Equipment Information'!A286)</f>
        <v/>
      </c>
      <c r="B286">
        <f>IF('Equipment Information'!B286="","", 'Equipment Information'!B286)</f>
        <v/>
      </c>
      <c r="C286">
        <f>IF('Equipment Information'!C286="","", 'Equipment Information'!C286)</f>
        <v/>
      </c>
      <c r="D286">
        <f>IF('Equipment Information'!D286="","", 'Equipment Information'!D286)</f>
        <v/>
      </c>
      <c r="E286">
        <f>IF(A286="","", IFERROR(VLOOKUP(A286, 'Energized Data'!A:T, 20, FALSE), "N/A"))</f>
        <v/>
      </c>
      <c r="F286">
        <f>IF(A286="","", IFERROR(VLOOKUP(A286, 'Insulation'!A:J, 9, FALSE), "N/A"))</f>
        <v/>
      </c>
      <c r="G286">
        <f>IF(A286="","", IFERROR(VLOOKUP(A286, 'DLRO'!A:I, 8, FALSE), "N/A"))</f>
        <v/>
      </c>
      <c r="H286">
        <f>IF(A286="","", IFERROR(VLOOKUP(A286, 'Torque'!A:I, 8, FALSE), "N/A"))</f>
        <v/>
      </c>
      <c r="I286">
        <f>IF(A286="","", IFERROR(VLOOKUP(A286, 'Infrared'!A:G, 6, FALSE), "N/A"))</f>
        <v/>
      </c>
      <c r="J286">
        <f>IF(A286="","", IFERROR(VLOOKUP(A286, 'Ultrasonic'!A:H, 7, FALSE), "N/A"))</f>
        <v/>
      </c>
      <c r="K286">
        <f>IF(A286="","", IFERROR(VLOOKUP(A286, 'Code Violations'!A:V, 22, FALSE), "N/A"))</f>
        <v/>
      </c>
      <c r="L286">
        <f>IF(A286="","", IF(COUNTIF(E286:K286, "FAIL")&gt;0, "FAIL", "PASS"))</f>
        <v/>
      </c>
    </row>
    <row r="287">
      <c r="A287">
        <f>IF('Equipment Information'!A287="","", 'Equipment Information'!A287)</f>
        <v/>
      </c>
      <c r="B287">
        <f>IF('Equipment Information'!B287="","", 'Equipment Information'!B287)</f>
        <v/>
      </c>
      <c r="C287">
        <f>IF('Equipment Information'!C287="","", 'Equipment Information'!C287)</f>
        <v/>
      </c>
      <c r="D287">
        <f>IF('Equipment Information'!D287="","", 'Equipment Information'!D287)</f>
        <v/>
      </c>
      <c r="E287">
        <f>IF(A287="","", IFERROR(VLOOKUP(A287, 'Energized Data'!A:T, 20, FALSE), "N/A"))</f>
        <v/>
      </c>
      <c r="F287">
        <f>IF(A287="","", IFERROR(VLOOKUP(A287, 'Insulation'!A:J, 9, FALSE), "N/A"))</f>
        <v/>
      </c>
      <c r="G287">
        <f>IF(A287="","", IFERROR(VLOOKUP(A287, 'DLRO'!A:I, 8, FALSE), "N/A"))</f>
        <v/>
      </c>
      <c r="H287">
        <f>IF(A287="","", IFERROR(VLOOKUP(A287, 'Torque'!A:I, 8, FALSE), "N/A"))</f>
        <v/>
      </c>
      <c r="I287">
        <f>IF(A287="","", IFERROR(VLOOKUP(A287, 'Infrared'!A:G, 6, FALSE), "N/A"))</f>
        <v/>
      </c>
      <c r="J287">
        <f>IF(A287="","", IFERROR(VLOOKUP(A287, 'Ultrasonic'!A:H, 7, FALSE), "N/A"))</f>
        <v/>
      </c>
      <c r="K287">
        <f>IF(A287="","", IFERROR(VLOOKUP(A287, 'Code Violations'!A:V, 22, FALSE), "N/A"))</f>
        <v/>
      </c>
      <c r="L287">
        <f>IF(A287="","", IF(COUNTIF(E287:K287, "FAIL")&gt;0, "FAIL", "PASS"))</f>
        <v/>
      </c>
    </row>
    <row r="288">
      <c r="A288">
        <f>IF('Equipment Information'!A288="","", 'Equipment Information'!A288)</f>
        <v/>
      </c>
      <c r="B288">
        <f>IF('Equipment Information'!B288="","", 'Equipment Information'!B288)</f>
        <v/>
      </c>
      <c r="C288">
        <f>IF('Equipment Information'!C288="","", 'Equipment Information'!C288)</f>
        <v/>
      </c>
      <c r="D288">
        <f>IF('Equipment Information'!D288="","", 'Equipment Information'!D288)</f>
        <v/>
      </c>
      <c r="E288">
        <f>IF(A288="","", IFERROR(VLOOKUP(A288, 'Energized Data'!A:T, 20, FALSE), "N/A"))</f>
        <v/>
      </c>
      <c r="F288">
        <f>IF(A288="","", IFERROR(VLOOKUP(A288, 'Insulation'!A:J, 9, FALSE), "N/A"))</f>
        <v/>
      </c>
      <c r="G288">
        <f>IF(A288="","", IFERROR(VLOOKUP(A288, 'DLRO'!A:I, 8, FALSE), "N/A"))</f>
        <v/>
      </c>
      <c r="H288">
        <f>IF(A288="","", IFERROR(VLOOKUP(A288, 'Torque'!A:I, 8, FALSE), "N/A"))</f>
        <v/>
      </c>
      <c r="I288">
        <f>IF(A288="","", IFERROR(VLOOKUP(A288, 'Infrared'!A:G, 6, FALSE), "N/A"))</f>
        <v/>
      </c>
      <c r="J288">
        <f>IF(A288="","", IFERROR(VLOOKUP(A288, 'Ultrasonic'!A:H, 7, FALSE), "N/A"))</f>
        <v/>
      </c>
      <c r="K288">
        <f>IF(A288="","", IFERROR(VLOOKUP(A288, 'Code Violations'!A:V, 22, FALSE), "N/A"))</f>
        <v/>
      </c>
      <c r="L288">
        <f>IF(A288="","", IF(COUNTIF(E288:K288, "FAIL")&gt;0, "FAIL", "PASS"))</f>
        <v/>
      </c>
    </row>
    <row r="289">
      <c r="A289">
        <f>IF('Equipment Information'!A289="","", 'Equipment Information'!A289)</f>
        <v/>
      </c>
      <c r="B289">
        <f>IF('Equipment Information'!B289="","", 'Equipment Information'!B289)</f>
        <v/>
      </c>
      <c r="C289">
        <f>IF('Equipment Information'!C289="","", 'Equipment Information'!C289)</f>
        <v/>
      </c>
      <c r="D289">
        <f>IF('Equipment Information'!D289="","", 'Equipment Information'!D289)</f>
        <v/>
      </c>
      <c r="E289">
        <f>IF(A289="","", IFERROR(VLOOKUP(A289, 'Energized Data'!A:T, 20, FALSE), "N/A"))</f>
        <v/>
      </c>
      <c r="F289">
        <f>IF(A289="","", IFERROR(VLOOKUP(A289, 'Insulation'!A:J, 9, FALSE), "N/A"))</f>
        <v/>
      </c>
      <c r="G289">
        <f>IF(A289="","", IFERROR(VLOOKUP(A289, 'DLRO'!A:I, 8, FALSE), "N/A"))</f>
        <v/>
      </c>
      <c r="H289">
        <f>IF(A289="","", IFERROR(VLOOKUP(A289, 'Torque'!A:I, 8, FALSE), "N/A"))</f>
        <v/>
      </c>
      <c r="I289">
        <f>IF(A289="","", IFERROR(VLOOKUP(A289, 'Infrared'!A:G, 6, FALSE), "N/A"))</f>
        <v/>
      </c>
      <c r="J289">
        <f>IF(A289="","", IFERROR(VLOOKUP(A289, 'Ultrasonic'!A:H, 7, FALSE), "N/A"))</f>
        <v/>
      </c>
      <c r="K289">
        <f>IF(A289="","", IFERROR(VLOOKUP(A289, 'Code Violations'!A:V, 22, FALSE), "N/A"))</f>
        <v/>
      </c>
      <c r="L289">
        <f>IF(A289="","", IF(COUNTIF(E289:K289, "FAIL")&gt;0, "FAIL", "PASS"))</f>
        <v/>
      </c>
    </row>
    <row r="290">
      <c r="A290">
        <f>IF('Equipment Information'!A290="","", 'Equipment Information'!A290)</f>
        <v/>
      </c>
      <c r="B290">
        <f>IF('Equipment Information'!B290="","", 'Equipment Information'!B290)</f>
        <v/>
      </c>
      <c r="C290">
        <f>IF('Equipment Information'!C290="","", 'Equipment Information'!C290)</f>
        <v/>
      </c>
      <c r="D290">
        <f>IF('Equipment Information'!D290="","", 'Equipment Information'!D290)</f>
        <v/>
      </c>
      <c r="E290">
        <f>IF(A290="","", IFERROR(VLOOKUP(A290, 'Energized Data'!A:T, 20, FALSE), "N/A"))</f>
        <v/>
      </c>
      <c r="F290">
        <f>IF(A290="","", IFERROR(VLOOKUP(A290, 'Insulation'!A:J, 9, FALSE), "N/A"))</f>
        <v/>
      </c>
      <c r="G290">
        <f>IF(A290="","", IFERROR(VLOOKUP(A290, 'DLRO'!A:I, 8, FALSE), "N/A"))</f>
        <v/>
      </c>
      <c r="H290">
        <f>IF(A290="","", IFERROR(VLOOKUP(A290, 'Torque'!A:I, 8, FALSE), "N/A"))</f>
        <v/>
      </c>
      <c r="I290">
        <f>IF(A290="","", IFERROR(VLOOKUP(A290, 'Infrared'!A:G, 6, FALSE), "N/A"))</f>
        <v/>
      </c>
      <c r="J290">
        <f>IF(A290="","", IFERROR(VLOOKUP(A290, 'Ultrasonic'!A:H, 7, FALSE), "N/A"))</f>
        <v/>
      </c>
      <c r="K290">
        <f>IF(A290="","", IFERROR(VLOOKUP(A290, 'Code Violations'!A:V, 22, FALSE), "N/A"))</f>
        <v/>
      </c>
      <c r="L290">
        <f>IF(A290="","", IF(COUNTIF(E290:K290, "FAIL")&gt;0, "FAIL", "PASS"))</f>
        <v/>
      </c>
    </row>
    <row r="291">
      <c r="A291">
        <f>IF('Equipment Information'!A291="","", 'Equipment Information'!A291)</f>
        <v/>
      </c>
      <c r="B291">
        <f>IF('Equipment Information'!B291="","", 'Equipment Information'!B291)</f>
        <v/>
      </c>
      <c r="C291">
        <f>IF('Equipment Information'!C291="","", 'Equipment Information'!C291)</f>
        <v/>
      </c>
      <c r="D291">
        <f>IF('Equipment Information'!D291="","", 'Equipment Information'!D291)</f>
        <v/>
      </c>
      <c r="E291">
        <f>IF(A291="","", IFERROR(VLOOKUP(A291, 'Energized Data'!A:T, 20, FALSE), "N/A"))</f>
        <v/>
      </c>
      <c r="F291">
        <f>IF(A291="","", IFERROR(VLOOKUP(A291, 'Insulation'!A:J, 9, FALSE), "N/A"))</f>
        <v/>
      </c>
      <c r="G291">
        <f>IF(A291="","", IFERROR(VLOOKUP(A291, 'DLRO'!A:I, 8, FALSE), "N/A"))</f>
        <v/>
      </c>
      <c r="H291">
        <f>IF(A291="","", IFERROR(VLOOKUP(A291, 'Torque'!A:I, 8, FALSE), "N/A"))</f>
        <v/>
      </c>
      <c r="I291">
        <f>IF(A291="","", IFERROR(VLOOKUP(A291, 'Infrared'!A:G, 6, FALSE), "N/A"))</f>
        <v/>
      </c>
      <c r="J291">
        <f>IF(A291="","", IFERROR(VLOOKUP(A291, 'Ultrasonic'!A:H, 7, FALSE), "N/A"))</f>
        <v/>
      </c>
      <c r="K291">
        <f>IF(A291="","", IFERROR(VLOOKUP(A291, 'Code Violations'!A:V, 22, FALSE), "N/A"))</f>
        <v/>
      </c>
      <c r="L291">
        <f>IF(A291="","", IF(COUNTIF(E291:K291, "FAIL")&gt;0, "FAIL", "PASS"))</f>
        <v/>
      </c>
    </row>
    <row r="292">
      <c r="A292">
        <f>IF('Equipment Information'!A292="","", 'Equipment Information'!A292)</f>
        <v/>
      </c>
      <c r="B292">
        <f>IF('Equipment Information'!B292="","", 'Equipment Information'!B292)</f>
        <v/>
      </c>
      <c r="C292">
        <f>IF('Equipment Information'!C292="","", 'Equipment Information'!C292)</f>
        <v/>
      </c>
      <c r="D292">
        <f>IF('Equipment Information'!D292="","", 'Equipment Information'!D292)</f>
        <v/>
      </c>
      <c r="E292">
        <f>IF(A292="","", IFERROR(VLOOKUP(A292, 'Energized Data'!A:T, 20, FALSE), "N/A"))</f>
        <v/>
      </c>
      <c r="F292">
        <f>IF(A292="","", IFERROR(VLOOKUP(A292, 'Insulation'!A:J, 9, FALSE), "N/A"))</f>
        <v/>
      </c>
      <c r="G292">
        <f>IF(A292="","", IFERROR(VLOOKUP(A292, 'DLRO'!A:I, 8, FALSE), "N/A"))</f>
        <v/>
      </c>
      <c r="H292">
        <f>IF(A292="","", IFERROR(VLOOKUP(A292, 'Torque'!A:I, 8, FALSE), "N/A"))</f>
        <v/>
      </c>
      <c r="I292">
        <f>IF(A292="","", IFERROR(VLOOKUP(A292, 'Infrared'!A:G, 6, FALSE), "N/A"))</f>
        <v/>
      </c>
      <c r="J292">
        <f>IF(A292="","", IFERROR(VLOOKUP(A292, 'Ultrasonic'!A:H, 7, FALSE), "N/A"))</f>
        <v/>
      </c>
      <c r="K292">
        <f>IF(A292="","", IFERROR(VLOOKUP(A292, 'Code Violations'!A:V, 22, FALSE), "N/A"))</f>
        <v/>
      </c>
      <c r="L292">
        <f>IF(A292="","", IF(COUNTIF(E292:K292, "FAIL")&gt;0, "FAIL", "PASS"))</f>
        <v/>
      </c>
    </row>
    <row r="293">
      <c r="A293">
        <f>IF('Equipment Information'!A293="","", 'Equipment Information'!A293)</f>
        <v/>
      </c>
      <c r="B293">
        <f>IF('Equipment Information'!B293="","", 'Equipment Information'!B293)</f>
        <v/>
      </c>
      <c r="C293">
        <f>IF('Equipment Information'!C293="","", 'Equipment Information'!C293)</f>
        <v/>
      </c>
      <c r="D293">
        <f>IF('Equipment Information'!D293="","", 'Equipment Information'!D293)</f>
        <v/>
      </c>
      <c r="E293">
        <f>IF(A293="","", IFERROR(VLOOKUP(A293, 'Energized Data'!A:T, 20, FALSE), "N/A"))</f>
        <v/>
      </c>
      <c r="F293">
        <f>IF(A293="","", IFERROR(VLOOKUP(A293, 'Insulation'!A:J, 9, FALSE), "N/A"))</f>
        <v/>
      </c>
      <c r="G293">
        <f>IF(A293="","", IFERROR(VLOOKUP(A293, 'DLRO'!A:I, 8, FALSE), "N/A"))</f>
        <v/>
      </c>
      <c r="H293">
        <f>IF(A293="","", IFERROR(VLOOKUP(A293, 'Torque'!A:I, 8, FALSE), "N/A"))</f>
        <v/>
      </c>
      <c r="I293">
        <f>IF(A293="","", IFERROR(VLOOKUP(A293, 'Infrared'!A:G, 6, FALSE), "N/A"))</f>
        <v/>
      </c>
      <c r="J293">
        <f>IF(A293="","", IFERROR(VLOOKUP(A293, 'Ultrasonic'!A:H, 7, FALSE), "N/A"))</f>
        <v/>
      </c>
      <c r="K293">
        <f>IF(A293="","", IFERROR(VLOOKUP(A293, 'Code Violations'!A:V, 22, FALSE), "N/A"))</f>
        <v/>
      </c>
      <c r="L293">
        <f>IF(A293="","", IF(COUNTIF(E293:K293, "FAIL")&gt;0, "FAIL", "PASS"))</f>
        <v/>
      </c>
    </row>
    <row r="294">
      <c r="A294">
        <f>IF('Equipment Information'!A294="","", 'Equipment Information'!A294)</f>
        <v/>
      </c>
      <c r="B294">
        <f>IF('Equipment Information'!B294="","", 'Equipment Information'!B294)</f>
        <v/>
      </c>
      <c r="C294">
        <f>IF('Equipment Information'!C294="","", 'Equipment Information'!C294)</f>
        <v/>
      </c>
      <c r="D294">
        <f>IF('Equipment Information'!D294="","", 'Equipment Information'!D294)</f>
        <v/>
      </c>
      <c r="E294">
        <f>IF(A294="","", IFERROR(VLOOKUP(A294, 'Energized Data'!A:T, 20, FALSE), "N/A"))</f>
        <v/>
      </c>
      <c r="F294">
        <f>IF(A294="","", IFERROR(VLOOKUP(A294, 'Insulation'!A:J, 9, FALSE), "N/A"))</f>
        <v/>
      </c>
      <c r="G294">
        <f>IF(A294="","", IFERROR(VLOOKUP(A294, 'DLRO'!A:I, 8, FALSE), "N/A"))</f>
        <v/>
      </c>
      <c r="H294">
        <f>IF(A294="","", IFERROR(VLOOKUP(A294, 'Torque'!A:I, 8, FALSE), "N/A"))</f>
        <v/>
      </c>
      <c r="I294">
        <f>IF(A294="","", IFERROR(VLOOKUP(A294, 'Infrared'!A:G, 6, FALSE), "N/A"))</f>
        <v/>
      </c>
      <c r="J294">
        <f>IF(A294="","", IFERROR(VLOOKUP(A294, 'Ultrasonic'!A:H, 7, FALSE), "N/A"))</f>
        <v/>
      </c>
      <c r="K294">
        <f>IF(A294="","", IFERROR(VLOOKUP(A294, 'Code Violations'!A:V, 22, FALSE), "N/A"))</f>
        <v/>
      </c>
      <c r="L294">
        <f>IF(A294="","", IF(COUNTIF(E294:K294, "FAIL")&gt;0, "FAIL", "PASS"))</f>
        <v/>
      </c>
    </row>
    <row r="295">
      <c r="A295">
        <f>IF('Equipment Information'!A295="","", 'Equipment Information'!A295)</f>
        <v/>
      </c>
      <c r="B295">
        <f>IF('Equipment Information'!B295="","", 'Equipment Information'!B295)</f>
        <v/>
      </c>
      <c r="C295">
        <f>IF('Equipment Information'!C295="","", 'Equipment Information'!C295)</f>
        <v/>
      </c>
      <c r="D295">
        <f>IF('Equipment Information'!D295="","", 'Equipment Information'!D295)</f>
        <v/>
      </c>
      <c r="E295">
        <f>IF(A295="","", IFERROR(VLOOKUP(A295, 'Energized Data'!A:T, 20, FALSE), "N/A"))</f>
        <v/>
      </c>
      <c r="F295">
        <f>IF(A295="","", IFERROR(VLOOKUP(A295, 'Insulation'!A:J, 9, FALSE), "N/A"))</f>
        <v/>
      </c>
      <c r="G295">
        <f>IF(A295="","", IFERROR(VLOOKUP(A295, 'DLRO'!A:I, 8, FALSE), "N/A"))</f>
        <v/>
      </c>
      <c r="H295">
        <f>IF(A295="","", IFERROR(VLOOKUP(A295, 'Torque'!A:I, 8, FALSE), "N/A"))</f>
        <v/>
      </c>
      <c r="I295">
        <f>IF(A295="","", IFERROR(VLOOKUP(A295, 'Infrared'!A:G, 6, FALSE), "N/A"))</f>
        <v/>
      </c>
      <c r="J295">
        <f>IF(A295="","", IFERROR(VLOOKUP(A295, 'Ultrasonic'!A:H, 7, FALSE), "N/A"))</f>
        <v/>
      </c>
      <c r="K295">
        <f>IF(A295="","", IFERROR(VLOOKUP(A295, 'Code Violations'!A:V, 22, FALSE), "N/A"))</f>
        <v/>
      </c>
      <c r="L295">
        <f>IF(A295="","", IF(COUNTIF(E295:K295, "FAIL")&gt;0, "FAIL", "PASS"))</f>
        <v/>
      </c>
    </row>
    <row r="296">
      <c r="A296">
        <f>IF('Equipment Information'!A296="","", 'Equipment Information'!A296)</f>
        <v/>
      </c>
      <c r="B296">
        <f>IF('Equipment Information'!B296="","", 'Equipment Information'!B296)</f>
        <v/>
      </c>
      <c r="C296">
        <f>IF('Equipment Information'!C296="","", 'Equipment Information'!C296)</f>
        <v/>
      </c>
      <c r="D296">
        <f>IF('Equipment Information'!D296="","", 'Equipment Information'!D296)</f>
        <v/>
      </c>
      <c r="E296">
        <f>IF(A296="","", IFERROR(VLOOKUP(A296, 'Energized Data'!A:T, 20, FALSE), "N/A"))</f>
        <v/>
      </c>
      <c r="F296">
        <f>IF(A296="","", IFERROR(VLOOKUP(A296, 'Insulation'!A:J, 9, FALSE), "N/A"))</f>
        <v/>
      </c>
      <c r="G296">
        <f>IF(A296="","", IFERROR(VLOOKUP(A296, 'DLRO'!A:I, 8, FALSE), "N/A"))</f>
        <v/>
      </c>
      <c r="H296">
        <f>IF(A296="","", IFERROR(VLOOKUP(A296, 'Torque'!A:I, 8, FALSE), "N/A"))</f>
        <v/>
      </c>
      <c r="I296">
        <f>IF(A296="","", IFERROR(VLOOKUP(A296, 'Infrared'!A:G, 6, FALSE), "N/A"))</f>
        <v/>
      </c>
      <c r="J296">
        <f>IF(A296="","", IFERROR(VLOOKUP(A296, 'Ultrasonic'!A:H, 7, FALSE), "N/A"))</f>
        <v/>
      </c>
      <c r="K296">
        <f>IF(A296="","", IFERROR(VLOOKUP(A296, 'Code Violations'!A:V, 22, FALSE), "N/A"))</f>
        <v/>
      </c>
      <c r="L296">
        <f>IF(A296="","", IF(COUNTIF(E296:K296, "FAIL")&gt;0, "FAIL", "PASS"))</f>
        <v/>
      </c>
    </row>
    <row r="297">
      <c r="A297">
        <f>IF('Equipment Information'!A297="","", 'Equipment Information'!A297)</f>
        <v/>
      </c>
      <c r="B297">
        <f>IF('Equipment Information'!B297="","", 'Equipment Information'!B297)</f>
        <v/>
      </c>
      <c r="C297">
        <f>IF('Equipment Information'!C297="","", 'Equipment Information'!C297)</f>
        <v/>
      </c>
      <c r="D297">
        <f>IF('Equipment Information'!D297="","", 'Equipment Information'!D297)</f>
        <v/>
      </c>
      <c r="E297">
        <f>IF(A297="","", IFERROR(VLOOKUP(A297, 'Energized Data'!A:T, 20, FALSE), "N/A"))</f>
        <v/>
      </c>
      <c r="F297">
        <f>IF(A297="","", IFERROR(VLOOKUP(A297, 'Insulation'!A:J, 9, FALSE), "N/A"))</f>
        <v/>
      </c>
      <c r="G297">
        <f>IF(A297="","", IFERROR(VLOOKUP(A297, 'DLRO'!A:I, 8, FALSE), "N/A"))</f>
        <v/>
      </c>
      <c r="H297">
        <f>IF(A297="","", IFERROR(VLOOKUP(A297, 'Torque'!A:I, 8, FALSE), "N/A"))</f>
        <v/>
      </c>
      <c r="I297">
        <f>IF(A297="","", IFERROR(VLOOKUP(A297, 'Infrared'!A:G, 6, FALSE), "N/A"))</f>
        <v/>
      </c>
      <c r="J297">
        <f>IF(A297="","", IFERROR(VLOOKUP(A297, 'Ultrasonic'!A:H, 7, FALSE), "N/A"))</f>
        <v/>
      </c>
      <c r="K297">
        <f>IF(A297="","", IFERROR(VLOOKUP(A297, 'Code Violations'!A:V, 22, FALSE), "N/A"))</f>
        <v/>
      </c>
      <c r="L297">
        <f>IF(A297="","", IF(COUNTIF(E297:K297, "FAIL")&gt;0, "FAIL", "PASS"))</f>
        <v/>
      </c>
    </row>
    <row r="298">
      <c r="A298">
        <f>IF('Equipment Information'!A298="","", 'Equipment Information'!A298)</f>
        <v/>
      </c>
      <c r="B298">
        <f>IF('Equipment Information'!B298="","", 'Equipment Information'!B298)</f>
        <v/>
      </c>
      <c r="C298">
        <f>IF('Equipment Information'!C298="","", 'Equipment Information'!C298)</f>
        <v/>
      </c>
      <c r="D298">
        <f>IF('Equipment Information'!D298="","", 'Equipment Information'!D298)</f>
        <v/>
      </c>
      <c r="E298">
        <f>IF(A298="","", IFERROR(VLOOKUP(A298, 'Energized Data'!A:T, 20, FALSE), "N/A"))</f>
        <v/>
      </c>
      <c r="F298">
        <f>IF(A298="","", IFERROR(VLOOKUP(A298, 'Insulation'!A:J, 9, FALSE), "N/A"))</f>
        <v/>
      </c>
      <c r="G298">
        <f>IF(A298="","", IFERROR(VLOOKUP(A298, 'DLRO'!A:I, 8, FALSE), "N/A"))</f>
        <v/>
      </c>
      <c r="H298">
        <f>IF(A298="","", IFERROR(VLOOKUP(A298, 'Torque'!A:I, 8, FALSE), "N/A"))</f>
        <v/>
      </c>
      <c r="I298">
        <f>IF(A298="","", IFERROR(VLOOKUP(A298, 'Infrared'!A:G, 6, FALSE), "N/A"))</f>
        <v/>
      </c>
      <c r="J298">
        <f>IF(A298="","", IFERROR(VLOOKUP(A298, 'Ultrasonic'!A:H, 7, FALSE), "N/A"))</f>
        <v/>
      </c>
      <c r="K298">
        <f>IF(A298="","", IFERROR(VLOOKUP(A298, 'Code Violations'!A:V, 22, FALSE), "N/A"))</f>
        <v/>
      </c>
      <c r="L298">
        <f>IF(A298="","", IF(COUNTIF(E298:K298, "FAIL")&gt;0, "FAIL", "PASS"))</f>
        <v/>
      </c>
    </row>
    <row r="299">
      <c r="A299">
        <f>IF('Equipment Information'!A299="","", 'Equipment Information'!A299)</f>
        <v/>
      </c>
      <c r="B299">
        <f>IF('Equipment Information'!B299="","", 'Equipment Information'!B299)</f>
        <v/>
      </c>
      <c r="C299">
        <f>IF('Equipment Information'!C299="","", 'Equipment Information'!C299)</f>
        <v/>
      </c>
      <c r="D299">
        <f>IF('Equipment Information'!D299="","", 'Equipment Information'!D299)</f>
        <v/>
      </c>
      <c r="E299">
        <f>IF(A299="","", IFERROR(VLOOKUP(A299, 'Energized Data'!A:T, 20, FALSE), "N/A"))</f>
        <v/>
      </c>
      <c r="F299">
        <f>IF(A299="","", IFERROR(VLOOKUP(A299, 'Insulation'!A:J, 9, FALSE), "N/A"))</f>
        <v/>
      </c>
      <c r="G299">
        <f>IF(A299="","", IFERROR(VLOOKUP(A299, 'DLRO'!A:I, 8, FALSE), "N/A"))</f>
        <v/>
      </c>
      <c r="H299">
        <f>IF(A299="","", IFERROR(VLOOKUP(A299, 'Torque'!A:I, 8, FALSE), "N/A"))</f>
        <v/>
      </c>
      <c r="I299">
        <f>IF(A299="","", IFERROR(VLOOKUP(A299, 'Infrared'!A:G, 6, FALSE), "N/A"))</f>
        <v/>
      </c>
      <c r="J299">
        <f>IF(A299="","", IFERROR(VLOOKUP(A299, 'Ultrasonic'!A:H, 7, FALSE), "N/A"))</f>
        <v/>
      </c>
      <c r="K299">
        <f>IF(A299="","", IFERROR(VLOOKUP(A299, 'Code Violations'!A:V, 22, FALSE), "N/A"))</f>
        <v/>
      </c>
      <c r="L299">
        <f>IF(A299="","", IF(COUNTIF(E299:K299, "FAIL")&gt;0, "FAIL", "PASS"))</f>
        <v/>
      </c>
    </row>
    <row r="300">
      <c r="A300">
        <f>IF('Equipment Information'!A300="","", 'Equipment Information'!A300)</f>
        <v/>
      </c>
      <c r="B300">
        <f>IF('Equipment Information'!B300="","", 'Equipment Information'!B300)</f>
        <v/>
      </c>
      <c r="C300">
        <f>IF('Equipment Information'!C300="","", 'Equipment Information'!C300)</f>
        <v/>
      </c>
      <c r="D300">
        <f>IF('Equipment Information'!D300="","", 'Equipment Information'!D300)</f>
        <v/>
      </c>
      <c r="E300">
        <f>IF(A300="","", IFERROR(VLOOKUP(A300, 'Energized Data'!A:T, 20, FALSE), "N/A"))</f>
        <v/>
      </c>
      <c r="F300">
        <f>IF(A300="","", IFERROR(VLOOKUP(A300, 'Insulation'!A:J, 9, FALSE), "N/A"))</f>
        <v/>
      </c>
      <c r="G300">
        <f>IF(A300="","", IFERROR(VLOOKUP(A300, 'DLRO'!A:I, 8, FALSE), "N/A"))</f>
        <v/>
      </c>
      <c r="H300">
        <f>IF(A300="","", IFERROR(VLOOKUP(A300, 'Torque'!A:I, 8, FALSE), "N/A"))</f>
        <v/>
      </c>
      <c r="I300">
        <f>IF(A300="","", IFERROR(VLOOKUP(A300, 'Infrared'!A:G, 6, FALSE), "N/A"))</f>
        <v/>
      </c>
      <c r="J300">
        <f>IF(A300="","", IFERROR(VLOOKUP(A300, 'Ultrasonic'!A:H, 7, FALSE), "N/A"))</f>
        <v/>
      </c>
      <c r="K300">
        <f>IF(A300="","", IFERROR(VLOOKUP(A300, 'Code Violations'!A:V, 22, FALSE), "N/A"))</f>
        <v/>
      </c>
      <c r="L300">
        <f>IF(A300="","", IF(COUNTIF(E300:K300, "FAIL")&gt;0, "FAIL", "PASS"))</f>
        <v/>
      </c>
    </row>
    <row r="301">
      <c r="A301">
        <f>IF('Equipment Information'!A301="","", 'Equipment Information'!A301)</f>
        <v/>
      </c>
      <c r="B301">
        <f>IF('Equipment Information'!B301="","", 'Equipment Information'!B301)</f>
        <v/>
      </c>
      <c r="C301">
        <f>IF('Equipment Information'!C301="","", 'Equipment Information'!C301)</f>
        <v/>
      </c>
      <c r="D301">
        <f>IF('Equipment Information'!D301="","", 'Equipment Information'!D301)</f>
        <v/>
      </c>
      <c r="E301">
        <f>IF(A301="","", IFERROR(VLOOKUP(A301, 'Energized Data'!A:T, 20, FALSE), "N/A"))</f>
        <v/>
      </c>
      <c r="F301">
        <f>IF(A301="","", IFERROR(VLOOKUP(A301, 'Insulation'!A:J, 9, FALSE), "N/A"))</f>
        <v/>
      </c>
      <c r="G301">
        <f>IF(A301="","", IFERROR(VLOOKUP(A301, 'DLRO'!A:I, 8, FALSE), "N/A"))</f>
        <v/>
      </c>
      <c r="H301">
        <f>IF(A301="","", IFERROR(VLOOKUP(A301, 'Torque'!A:I, 8, FALSE), "N/A"))</f>
        <v/>
      </c>
      <c r="I301">
        <f>IF(A301="","", IFERROR(VLOOKUP(A301, 'Infrared'!A:G, 6, FALSE), "N/A"))</f>
        <v/>
      </c>
      <c r="J301">
        <f>IF(A301="","", IFERROR(VLOOKUP(A301, 'Ultrasonic'!A:H, 7, FALSE), "N/A"))</f>
        <v/>
      </c>
      <c r="K301">
        <f>IF(A301="","", IFERROR(VLOOKUP(A301, 'Code Violations'!A:V, 22, FALSE), "N/A"))</f>
        <v/>
      </c>
      <c r="L301">
        <f>IF(A301="","", IF(COUNTIF(E301:K301, "FAIL")&gt;0, "FAIL", "PASS"))</f>
        <v/>
      </c>
    </row>
    <row r="302">
      <c r="A302">
        <f>IF('Equipment Information'!A302="","", 'Equipment Information'!A302)</f>
        <v/>
      </c>
      <c r="B302">
        <f>IF('Equipment Information'!B302="","", 'Equipment Information'!B302)</f>
        <v/>
      </c>
      <c r="C302">
        <f>IF('Equipment Information'!C302="","", 'Equipment Information'!C302)</f>
        <v/>
      </c>
      <c r="D302">
        <f>IF('Equipment Information'!D302="","", 'Equipment Information'!D302)</f>
        <v/>
      </c>
      <c r="E302">
        <f>IF(A302="","", IFERROR(VLOOKUP(A302, 'Energized Data'!A:T, 20, FALSE), "N/A"))</f>
        <v/>
      </c>
      <c r="F302">
        <f>IF(A302="","", IFERROR(VLOOKUP(A302, 'Insulation'!A:J, 9, FALSE), "N/A"))</f>
        <v/>
      </c>
      <c r="G302">
        <f>IF(A302="","", IFERROR(VLOOKUP(A302, 'DLRO'!A:I, 8, FALSE), "N/A"))</f>
        <v/>
      </c>
      <c r="H302">
        <f>IF(A302="","", IFERROR(VLOOKUP(A302, 'Torque'!A:I, 8, FALSE), "N/A"))</f>
        <v/>
      </c>
      <c r="I302">
        <f>IF(A302="","", IFERROR(VLOOKUP(A302, 'Infrared'!A:G, 6, FALSE), "N/A"))</f>
        <v/>
      </c>
      <c r="J302">
        <f>IF(A302="","", IFERROR(VLOOKUP(A302, 'Ultrasonic'!A:H, 7, FALSE), "N/A"))</f>
        <v/>
      </c>
      <c r="K302">
        <f>IF(A302="","", IFERROR(VLOOKUP(A302, 'Code Violations'!A:V, 22, FALSE), "N/A"))</f>
        <v/>
      </c>
      <c r="L302">
        <f>IF(A302="","", IF(COUNTIF(E302:K302, "FAIL")&gt;0, "FAIL", "PASS"))</f>
        <v/>
      </c>
    </row>
    <row r="303">
      <c r="A303">
        <f>IF('Equipment Information'!A303="","", 'Equipment Information'!A303)</f>
        <v/>
      </c>
      <c r="B303">
        <f>IF('Equipment Information'!B303="","", 'Equipment Information'!B303)</f>
        <v/>
      </c>
      <c r="C303">
        <f>IF('Equipment Information'!C303="","", 'Equipment Information'!C303)</f>
        <v/>
      </c>
      <c r="D303">
        <f>IF('Equipment Information'!D303="","", 'Equipment Information'!D303)</f>
        <v/>
      </c>
      <c r="E303">
        <f>IF(A303="","", IFERROR(VLOOKUP(A303, 'Energized Data'!A:T, 20, FALSE), "N/A"))</f>
        <v/>
      </c>
      <c r="F303">
        <f>IF(A303="","", IFERROR(VLOOKUP(A303, 'Insulation'!A:J, 9, FALSE), "N/A"))</f>
        <v/>
      </c>
      <c r="G303">
        <f>IF(A303="","", IFERROR(VLOOKUP(A303, 'DLRO'!A:I, 8, FALSE), "N/A"))</f>
        <v/>
      </c>
      <c r="H303">
        <f>IF(A303="","", IFERROR(VLOOKUP(A303, 'Torque'!A:I, 8, FALSE), "N/A"))</f>
        <v/>
      </c>
      <c r="I303">
        <f>IF(A303="","", IFERROR(VLOOKUP(A303, 'Infrared'!A:G, 6, FALSE), "N/A"))</f>
        <v/>
      </c>
      <c r="J303">
        <f>IF(A303="","", IFERROR(VLOOKUP(A303, 'Ultrasonic'!A:H, 7, FALSE), "N/A"))</f>
        <v/>
      </c>
      <c r="K303">
        <f>IF(A303="","", IFERROR(VLOOKUP(A303, 'Code Violations'!A:V, 22, FALSE), "N/A"))</f>
        <v/>
      </c>
      <c r="L303">
        <f>IF(A303="","", IF(COUNTIF(E303:K303, "FAIL")&gt;0, "FAIL", "PASS"))</f>
        <v/>
      </c>
    </row>
    <row r="304">
      <c r="A304">
        <f>IF('Equipment Information'!A304="","", 'Equipment Information'!A304)</f>
        <v/>
      </c>
      <c r="B304">
        <f>IF('Equipment Information'!B304="","", 'Equipment Information'!B304)</f>
        <v/>
      </c>
      <c r="C304">
        <f>IF('Equipment Information'!C304="","", 'Equipment Information'!C304)</f>
        <v/>
      </c>
      <c r="D304">
        <f>IF('Equipment Information'!D304="","", 'Equipment Information'!D304)</f>
        <v/>
      </c>
      <c r="E304">
        <f>IF(A304="","", IFERROR(VLOOKUP(A304, 'Energized Data'!A:T, 20, FALSE), "N/A"))</f>
        <v/>
      </c>
      <c r="F304">
        <f>IF(A304="","", IFERROR(VLOOKUP(A304, 'Insulation'!A:J, 9, FALSE), "N/A"))</f>
        <v/>
      </c>
      <c r="G304">
        <f>IF(A304="","", IFERROR(VLOOKUP(A304, 'DLRO'!A:I, 8, FALSE), "N/A"))</f>
        <v/>
      </c>
      <c r="H304">
        <f>IF(A304="","", IFERROR(VLOOKUP(A304, 'Torque'!A:I, 8, FALSE), "N/A"))</f>
        <v/>
      </c>
      <c r="I304">
        <f>IF(A304="","", IFERROR(VLOOKUP(A304, 'Infrared'!A:G, 6, FALSE), "N/A"))</f>
        <v/>
      </c>
      <c r="J304">
        <f>IF(A304="","", IFERROR(VLOOKUP(A304, 'Ultrasonic'!A:H, 7, FALSE), "N/A"))</f>
        <v/>
      </c>
      <c r="K304">
        <f>IF(A304="","", IFERROR(VLOOKUP(A304, 'Code Violations'!A:V, 22, FALSE), "N/A"))</f>
        <v/>
      </c>
      <c r="L304">
        <f>IF(A304="","", IF(COUNTIF(E304:K304, "FAIL")&gt;0, "FAIL", "PASS"))</f>
        <v/>
      </c>
    </row>
    <row r="305">
      <c r="A305">
        <f>IF('Equipment Information'!A305="","", 'Equipment Information'!A305)</f>
        <v/>
      </c>
      <c r="B305">
        <f>IF('Equipment Information'!B305="","", 'Equipment Information'!B305)</f>
        <v/>
      </c>
      <c r="C305">
        <f>IF('Equipment Information'!C305="","", 'Equipment Information'!C305)</f>
        <v/>
      </c>
      <c r="D305">
        <f>IF('Equipment Information'!D305="","", 'Equipment Information'!D305)</f>
        <v/>
      </c>
      <c r="E305">
        <f>IF(A305="","", IFERROR(VLOOKUP(A305, 'Energized Data'!A:T, 20, FALSE), "N/A"))</f>
        <v/>
      </c>
      <c r="F305">
        <f>IF(A305="","", IFERROR(VLOOKUP(A305, 'Insulation'!A:J, 9, FALSE), "N/A"))</f>
        <v/>
      </c>
      <c r="G305">
        <f>IF(A305="","", IFERROR(VLOOKUP(A305, 'DLRO'!A:I, 8, FALSE), "N/A"))</f>
        <v/>
      </c>
      <c r="H305">
        <f>IF(A305="","", IFERROR(VLOOKUP(A305, 'Torque'!A:I, 8, FALSE), "N/A"))</f>
        <v/>
      </c>
      <c r="I305">
        <f>IF(A305="","", IFERROR(VLOOKUP(A305, 'Infrared'!A:G, 6, FALSE), "N/A"))</f>
        <v/>
      </c>
      <c r="J305">
        <f>IF(A305="","", IFERROR(VLOOKUP(A305, 'Ultrasonic'!A:H, 7, FALSE), "N/A"))</f>
        <v/>
      </c>
      <c r="K305">
        <f>IF(A305="","", IFERROR(VLOOKUP(A305, 'Code Violations'!A:V, 22, FALSE), "N/A"))</f>
        <v/>
      </c>
      <c r="L305">
        <f>IF(A305="","", IF(COUNTIF(E305:K305, "FAIL")&gt;0, "FAIL", "PASS"))</f>
        <v/>
      </c>
    </row>
    <row r="306">
      <c r="A306">
        <f>IF('Equipment Information'!A306="","", 'Equipment Information'!A306)</f>
        <v/>
      </c>
      <c r="B306">
        <f>IF('Equipment Information'!B306="","", 'Equipment Information'!B306)</f>
        <v/>
      </c>
      <c r="C306">
        <f>IF('Equipment Information'!C306="","", 'Equipment Information'!C306)</f>
        <v/>
      </c>
      <c r="D306">
        <f>IF('Equipment Information'!D306="","", 'Equipment Information'!D306)</f>
        <v/>
      </c>
      <c r="E306">
        <f>IF(A306="","", IFERROR(VLOOKUP(A306, 'Energized Data'!A:T, 20, FALSE), "N/A"))</f>
        <v/>
      </c>
      <c r="F306">
        <f>IF(A306="","", IFERROR(VLOOKUP(A306, 'Insulation'!A:J, 9, FALSE), "N/A"))</f>
        <v/>
      </c>
      <c r="G306">
        <f>IF(A306="","", IFERROR(VLOOKUP(A306, 'DLRO'!A:I, 8, FALSE), "N/A"))</f>
        <v/>
      </c>
      <c r="H306">
        <f>IF(A306="","", IFERROR(VLOOKUP(A306, 'Torque'!A:I, 8, FALSE), "N/A"))</f>
        <v/>
      </c>
      <c r="I306">
        <f>IF(A306="","", IFERROR(VLOOKUP(A306, 'Infrared'!A:G, 6, FALSE), "N/A"))</f>
        <v/>
      </c>
      <c r="J306">
        <f>IF(A306="","", IFERROR(VLOOKUP(A306, 'Ultrasonic'!A:H, 7, FALSE), "N/A"))</f>
        <v/>
      </c>
      <c r="K306">
        <f>IF(A306="","", IFERROR(VLOOKUP(A306, 'Code Violations'!A:V, 22, FALSE), "N/A"))</f>
        <v/>
      </c>
      <c r="L306">
        <f>IF(A306="","", IF(COUNTIF(E306:K306, "FAIL")&gt;0, "FAIL", "PASS"))</f>
        <v/>
      </c>
    </row>
    <row r="307">
      <c r="A307">
        <f>IF('Equipment Information'!A307="","", 'Equipment Information'!A307)</f>
        <v/>
      </c>
      <c r="B307">
        <f>IF('Equipment Information'!B307="","", 'Equipment Information'!B307)</f>
        <v/>
      </c>
      <c r="C307">
        <f>IF('Equipment Information'!C307="","", 'Equipment Information'!C307)</f>
        <v/>
      </c>
      <c r="D307">
        <f>IF('Equipment Information'!D307="","", 'Equipment Information'!D307)</f>
        <v/>
      </c>
      <c r="E307">
        <f>IF(A307="","", IFERROR(VLOOKUP(A307, 'Energized Data'!A:T, 20, FALSE), "N/A"))</f>
        <v/>
      </c>
      <c r="F307">
        <f>IF(A307="","", IFERROR(VLOOKUP(A307, 'Insulation'!A:J, 9, FALSE), "N/A"))</f>
        <v/>
      </c>
      <c r="G307">
        <f>IF(A307="","", IFERROR(VLOOKUP(A307, 'DLRO'!A:I, 8, FALSE), "N/A"))</f>
        <v/>
      </c>
      <c r="H307">
        <f>IF(A307="","", IFERROR(VLOOKUP(A307, 'Torque'!A:I, 8, FALSE), "N/A"))</f>
        <v/>
      </c>
      <c r="I307">
        <f>IF(A307="","", IFERROR(VLOOKUP(A307, 'Infrared'!A:G, 6, FALSE), "N/A"))</f>
        <v/>
      </c>
      <c r="J307">
        <f>IF(A307="","", IFERROR(VLOOKUP(A307, 'Ultrasonic'!A:H, 7, FALSE), "N/A"))</f>
        <v/>
      </c>
      <c r="K307">
        <f>IF(A307="","", IFERROR(VLOOKUP(A307, 'Code Violations'!A:V, 22, FALSE), "N/A"))</f>
        <v/>
      </c>
      <c r="L307">
        <f>IF(A307="","", IF(COUNTIF(E307:K307, "FAIL")&gt;0, "FAIL", "PASS"))</f>
        <v/>
      </c>
    </row>
    <row r="308">
      <c r="A308">
        <f>IF('Equipment Information'!A308="","", 'Equipment Information'!A308)</f>
        <v/>
      </c>
      <c r="B308">
        <f>IF('Equipment Information'!B308="","", 'Equipment Information'!B308)</f>
        <v/>
      </c>
      <c r="C308">
        <f>IF('Equipment Information'!C308="","", 'Equipment Information'!C308)</f>
        <v/>
      </c>
      <c r="D308">
        <f>IF('Equipment Information'!D308="","", 'Equipment Information'!D308)</f>
        <v/>
      </c>
      <c r="E308">
        <f>IF(A308="","", IFERROR(VLOOKUP(A308, 'Energized Data'!A:T, 20, FALSE), "N/A"))</f>
        <v/>
      </c>
      <c r="F308">
        <f>IF(A308="","", IFERROR(VLOOKUP(A308, 'Insulation'!A:J, 9, FALSE), "N/A"))</f>
        <v/>
      </c>
      <c r="G308">
        <f>IF(A308="","", IFERROR(VLOOKUP(A308, 'DLRO'!A:I, 8, FALSE), "N/A"))</f>
        <v/>
      </c>
      <c r="H308">
        <f>IF(A308="","", IFERROR(VLOOKUP(A308, 'Torque'!A:I, 8, FALSE), "N/A"))</f>
        <v/>
      </c>
      <c r="I308">
        <f>IF(A308="","", IFERROR(VLOOKUP(A308, 'Infrared'!A:G, 6, FALSE), "N/A"))</f>
        <v/>
      </c>
      <c r="J308">
        <f>IF(A308="","", IFERROR(VLOOKUP(A308, 'Ultrasonic'!A:H, 7, FALSE), "N/A"))</f>
        <v/>
      </c>
      <c r="K308">
        <f>IF(A308="","", IFERROR(VLOOKUP(A308, 'Code Violations'!A:V, 22, FALSE), "N/A"))</f>
        <v/>
      </c>
      <c r="L308">
        <f>IF(A308="","", IF(COUNTIF(E308:K308, "FAIL")&gt;0, "FAIL", "PASS"))</f>
        <v/>
      </c>
    </row>
    <row r="309">
      <c r="A309">
        <f>IF('Equipment Information'!A309="","", 'Equipment Information'!A309)</f>
        <v/>
      </c>
      <c r="B309">
        <f>IF('Equipment Information'!B309="","", 'Equipment Information'!B309)</f>
        <v/>
      </c>
      <c r="C309">
        <f>IF('Equipment Information'!C309="","", 'Equipment Information'!C309)</f>
        <v/>
      </c>
      <c r="D309">
        <f>IF('Equipment Information'!D309="","", 'Equipment Information'!D309)</f>
        <v/>
      </c>
      <c r="E309">
        <f>IF(A309="","", IFERROR(VLOOKUP(A309, 'Energized Data'!A:T, 20, FALSE), "N/A"))</f>
        <v/>
      </c>
      <c r="F309">
        <f>IF(A309="","", IFERROR(VLOOKUP(A309, 'Insulation'!A:J, 9, FALSE), "N/A"))</f>
        <v/>
      </c>
      <c r="G309">
        <f>IF(A309="","", IFERROR(VLOOKUP(A309, 'DLRO'!A:I, 8, FALSE), "N/A"))</f>
        <v/>
      </c>
      <c r="H309">
        <f>IF(A309="","", IFERROR(VLOOKUP(A309, 'Torque'!A:I, 8, FALSE), "N/A"))</f>
        <v/>
      </c>
      <c r="I309">
        <f>IF(A309="","", IFERROR(VLOOKUP(A309, 'Infrared'!A:G, 6, FALSE), "N/A"))</f>
        <v/>
      </c>
      <c r="J309">
        <f>IF(A309="","", IFERROR(VLOOKUP(A309, 'Ultrasonic'!A:H, 7, FALSE), "N/A"))</f>
        <v/>
      </c>
      <c r="K309">
        <f>IF(A309="","", IFERROR(VLOOKUP(A309, 'Code Violations'!A:V, 22, FALSE), "N/A"))</f>
        <v/>
      </c>
      <c r="L309">
        <f>IF(A309="","", IF(COUNTIF(E309:K309, "FAIL")&gt;0, "FAIL", "PASS"))</f>
        <v/>
      </c>
    </row>
    <row r="310">
      <c r="A310">
        <f>IF('Equipment Information'!A310="","", 'Equipment Information'!A310)</f>
        <v/>
      </c>
      <c r="B310">
        <f>IF('Equipment Information'!B310="","", 'Equipment Information'!B310)</f>
        <v/>
      </c>
      <c r="C310">
        <f>IF('Equipment Information'!C310="","", 'Equipment Information'!C310)</f>
        <v/>
      </c>
      <c r="D310">
        <f>IF('Equipment Information'!D310="","", 'Equipment Information'!D310)</f>
        <v/>
      </c>
      <c r="E310">
        <f>IF(A310="","", IFERROR(VLOOKUP(A310, 'Energized Data'!A:T, 20, FALSE), "N/A"))</f>
        <v/>
      </c>
      <c r="F310">
        <f>IF(A310="","", IFERROR(VLOOKUP(A310, 'Insulation'!A:J, 9, FALSE), "N/A"))</f>
        <v/>
      </c>
      <c r="G310">
        <f>IF(A310="","", IFERROR(VLOOKUP(A310, 'DLRO'!A:I, 8, FALSE), "N/A"))</f>
        <v/>
      </c>
      <c r="H310">
        <f>IF(A310="","", IFERROR(VLOOKUP(A310, 'Torque'!A:I, 8, FALSE), "N/A"))</f>
        <v/>
      </c>
      <c r="I310">
        <f>IF(A310="","", IFERROR(VLOOKUP(A310, 'Infrared'!A:G, 6, FALSE), "N/A"))</f>
        <v/>
      </c>
      <c r="J310">
        <f>IF(A310="","", IFERROR(VLOOKUP(A310, 'Ultrasonic'!A:H, 7, FALSE), "N/A"))</f>
        <v/>
      </c>
      <c r="K310">
        <f>IF(A310="","", IFERROR(VLOOKUP(A310, 'Code Violations'!A:V, 22, FALSE), "N/A"))</f>
        <v/>
      </c>
      <c r="L310">
        <f>IF(A310="","", IF(COUNTIF(E310:K310, "FAIL")&gt;0, "FAIL", "PASS"))</f>
        <v/>
      </c>
    </row>
    <row r="311">
      <c r="A311">
        <f>IF('Equipment Information'!A311="","", 'Equipment Information'!A311)</f>
        <v/>
      </c>
      <c r="B311">
        <f>IF('Equipment Information'!B311="","", 'Equipment Information'!B311)</f>
        <v/>
      </c>
      <c r="C311">
        <f>IF('Equipment Information'!C311="","", 'Equipment Information'!C311)</f>
        <v/>
      </c>
      <c r="D311">
        <f>IF('Equipment Information'!D311="","", 'Equipment Information'!D311)</f>
        <v/>
      </c>
      <c r="E311">
        <f>IF(A311="","", IFERROR(VLOOKUP(A311, 'Energized Data'!A:T, 20, FALSE), "N/A"))</f>
        <v/>
      </c>
      <c r="F311">
        <f>IF(A311="","", IFERROR(VLOOKUP(A311, 'Insulation'!A:J, 9, FALSE), "N/A"))</f>
        <v/>
      </c>
      <c r="G311">
        <f>IF(A311="","", IFERROR(VLOOKUP(A311, 'DLRO'!A:I, 8, FALSE), "N/A"))</f>
        <v/>
      </c>
      <c r="H311">
        <f>IF(A311="","", IFERROR(VLOOKUP(A311, 'Torque'!A:I, 8, FALSE), "N/A"))</f>
        <v/>
      </c>
      <c r="I311">
        <f>IF(A311="","", IFERROR(VLOOKUP(A311, 'Infrared'!A:G, 6, FALSE), "N/A"))</f>
        <v/>
      </c>
      <c r="J311">
        <f>IF(A311="","", IFERROR(VLOOKUP(A311, 'Ultrasonic'!A:H, 7, FALSE), "N/A"))</f>
        <v/>
      </c>
      <c r="K311">
        <f>IF(A311="","", IFERROR(VLOOKUP(A311, 'Code Violations'!A:V, 22, FALSE), "N/A"))</f>
        <v/>
      </c>
      <c r="L311">
        <f>IF(A311="","", IF(COUNTIF(E311:K311, "FAIL")&gt;0, "FAIL", "PASS"))</f>
        <v/>
      </c>
    </row>
    <row r="312">
      <c r="A312">
        <f>IF('Equipment Information'!A312="","", 'Equipment Information'!A312)</f>
        <v/>
      </c>
      <c r="B312">
        <f>IF('Equipment Information'!B312="","", 'Equipment Information'!B312)</f>
        <v/>
      </c>
      <c r="C312">
        <f>IF('Equipment Information'!C312="","", 'Equipment Information'!C312)</f>
        <v/>
      </c>
      <c r="D312">
        <f>IF('Equipment Information'!D312="","", 'Equipment Information'!D312)</f>
        <v/>
      </c>
      <c r="E312">
        <f>IF(A312="","", IFERROR(VLOOKUP(A312, 'Energized Data'!A:T, 20, FALSE), "N/A"))</f>
        <v/>
      </c>
      <c r="F312">
        <f>IF(A312="","", IFERROR(VLOOKUP(A312, 'Insulation'!A:J, 9, FALSE), "N/A"))</f>
        <v/>
      </c>
      <c r="G312">
        <f>IF(A312="","", IFERROR(VLOOKUP(A312, 'DLRO'!A:I, 8, FALSE), "N/A"))</f>
        <v/>
      </c>
      <c r="H312">
        <f>IF(A312="","", IFERROR(VLOOKUP(A312, 'Torque'!A:I, 8, FALSE), "N/A"))</f>
        <v/>
      </c>
      <c r="I312">
        <f>IF(A312="","", IFERROR(VLOOKUP(A312, 'Infrared'!A:G, 6, FALSE), "N/A"))</f>
        <v/>
      </c>
      <c r="J312">
        <f>IF(A312="","", IFERROR(VLOOKUP(A312, 'Ultrasonic'!A:H, 7, FALSE), "N/A"))</f>
        <v/>
      </c>
      <c r="K312">
        <f>IF(A312="","", IFERROR(VLOOKUP(A312, 'Code Violations'!A:V, 22, FALSE), "N/A"))</f>
        <v/>
      </c>
      <c r="L312">
        <f>IF(A312="","", IF(COUNTIF(E312:K312, "FAIL")&gt;0, "FAIL", "PASS"))</f>
        <v/>
      </c>
    </row>
    <row r="313">
      <c r="A313">
        <f>IF('Equipment Information'!A313="","", 'Equipment Information'!A313)</f>
        <v/>
      </c>
      <c r="B313">
        <f>IF('Equipment Information'!B313="","", 'Equipment Information'!B313)</f>
        <v/>
      </c>
      <c r="C313">
        <f>IF('Equipment Information'!C313="","", 'Equipment Information'!C313)</f>
        <v/>
      </c>
      <c r="D313">
        <f>IF('Equipment Information'!D313="","", 'Equipment Information'!D313)</f>
        <v/>
      </c>
      <c r="E313">
        <f>IF(A313="","", IFERROR(VLOOKUP(A313, 'Energized Data'!A:T, 20, FALSE), "N/A"))</f>
        <v/>
      </c>
      <c r="F313">
        <f>IF(A313="","", IFERROR(VLOOKUP(A313, 'Insulation'!A:J, 9, FALSE), "N/A"))</f>
        <v/>
      </c>
      <c r="G313">
        <f>IF(A313="","", IFERROR(VLOOKUP(A313, 'DLRO'!A:I, 8, FALSE), "N/A"))</f>
        <v/>
      </c>
      <c r="H313">
        <f>IF(A313="","", IFERROR(VLOOKUP(A313, 'Torque'!A:I, 8, FALSE), "N/A"))</f>
        <v/>
      </c>
      <c r="I313">
        <f>IF(A313="","", IFERROR(VLOOKUP(A313, 'Infrared'!A:G, 6, FALSE), "N/A"))</f>
        <v/>
      </c>
      <c r="J313">
        <f>IF(A313="","", IFERROR(VLOOKUP(A313, 'Ultrasonic'!A:H, 7, FALSE), "N/A"))</f>
        <v/>
      </c>
      <c r="K313">
        <f>IF(A313="","", IFERROR(VLOOKUP(A313, 'Code Violations'!A:V, 22, FALSE), "N/A"))</f>
        <v/>
      </c>
      <c r="L313">
        <f>IF(A313="","", IF(COUNTIF(E313:K313, "FAIL")&gt;0, "FAIL", "PASS"))</f>
        <v/>
      </c>
    </row>
    <row r="314">
      <c r="A314">
        <f>IF('Equipment Information'!A314="","", 'Equipment Information'!A314)</f>
        <v/>
      </c>
      <c r="B314">
        <f>IF('Equipment Information'!B314="","", 'Equipment Information'!B314)</f>
        <v/>
      </c>
      <c r="C314">
        <f>IF('Equipment Information'!C314="","", 'Equipment Information'!C314)</f>
        <v/>
      </c>
      <c r="D314">
        <f>IF('Equipment Information'!D314="","", 'Equipment Information'!D314)</f>
        <v/>
      </c>
      <c r="E314">
        <f>IF(A314="","", IFERROR(VLOOKUP(A314, 'Energized Data'!A:T, 20, FALSE), "N/A"))</f>
        <v/>
      </c>
      <c r="F314">
        <f>IF(A314="","", IFERROR(VLOOKUP(A314, 'Insulation'!A:J, 9, FALSE), "N/A"))</f>
        <v/>
      </c>
      <c r="G314">
        <f>IF(A314="","", IFERROR(VLOOKUP(A314, 'DLRO'!A:I, 8, FALSE), "N/A"))</f>
        <v/>
      </c>
      <c r="H314">
        <f>IF(A314="","", IFERROR(VLOOKUP(A314, 'Torque'!A:I, 8, FALSE), "N/A"))</f>
        <v/>
      </c>
      <c r="I314">
        <f>IF(A314="","", IFERROR(VLOOKUP(A314, 'Infrared'!A:G, 6, FALSE), "N/A"))</f>
        <v/>
      </c>
      <c r="J314">
        <f>IF(A314="","", IFERROR(VLOOKUP(A314, 'Ultrasonic'!A:H, 7, FALSE), "N/A"))</f>
        <v/>
      </c>
      <c r="K314">
        <f>IF(A314="","", IFERROR(VLOOKUP(A314, 'Code Violations'!A:V, 22, FALSE), "N/A"))</f>
        <v/>
      </c>
      <c r="L314">
        <f>IF(A314="","", IF(COUNTIF(E314:K314, "FAIL")&gt;0, "FAIL", "PASS"))</f>
        <v/>
      </c>
    </row>
    <row r="315">
      <c r="A315">
        <f>IF('Equipment Information'!A315="","", 'Equipment Information'!A315)</f>
        <v/>
      </c>
      <c r="B315">
        <f>IF('Equipment Information'!B315="","", 'Equipment Information'!B315)</f>
        <v/>
      </c>
      <c r="C315">
        <f>IF('Equipment Information'!C315="","", 'Equipment Information'!C315)</f>
        <v/>
      </c>
      <c r="D315">
        <f>IF('Equipment Information'!D315="","", 'Equipment Information'!D315)</f>
        <v/>
      </c>
      <c r="E315">
        <f>IF(A315="","", IFERROR(VLOOKUP(A315, 'Energized Data'!A:T, 20, FALSE), "N/A"))</f>
        <v/>
      </c>
      <c r="F315">
        <f>IF(A315="","", IFERROR(VLOOKUP(A315, 'Insulation'!A:J, 9, FALSE), "N/A"))</f>
        <v/>
      </c>
      <c r="G315">
        <f>IF(A315="","", IFERROR(VLOOKUP(A315, 'DLRO'!A:I, 8, FALSE), "N/A"))</f>
        <v/>
      </c>
      <c r="H315">
        <f>IF(A315="","", IFERROR(VLOOKUP(A315, 'Torque'!A:I, 8, FALSE), "N/A"))</f>
        <v/>
      </c>
      <c r="I315">
        <f>IF(A315="","", IFERROR(VLOOKUP(A315, 'Infrared'!A:G, 6, FALSE), "N/A"))</f>
        <v/>
      </c>
      <c r="J315">
        <f>IF(A315="","", IFERROR(VLOOKUP(A315, 'Ultrasonic'!A:H, 7, FALSE), "N/A"))</f>
        <v/>
      </c>
      <c r="K315">
        <f>IF(A315="","", IFERROR(VLOOKUP(A315, 'Code Violations'!A:V, 22, FALSE), "N/A"))</f>
        <v/>
      </c>
      <c r="L315">
        <f>IF(A315="","", IF(COUNTIF(E315:K315, "FAIL")&gt;0, "FAIL", "PASS"))</f>
        <v/>
      </c>
    </row>
    <row r="316">
      <c r="A316">
        <f>IF('Equipment Information'!A316="","", 'Equipment Information'!A316)</f>
        <v/>
      </c>
      <c r="B316">
        <f>IF('Equipment Information'!B316="","", 'Equipment Information'!B316)</f>
        <v/>
      </c>
      <c r="C316">
        <f>IF('Equipment Information'!C316="","", 'Equipment Information'!C316)</f>
        <v/>
      </c>
      <c r="D316">
        <f>IF('Equipment Information'!D316="","", 'Equipment Information'!D316)</f>
        <v/>
      </c>
      <c r="E316">
        <f>IF(A316="","", IFERROR(VLOOKUP(A316, 'Energized Data'!A:T, 20, FALSE), "N/A"))</f>
        <v/>
      </c>
      <c r="F316">
        <f>IF(A316="","", IFERROR(VLOOKUP(A316, 'Insulation'!A:J, 9, FALSE), "N/A"))</f>
        <v/>
      </c>
      <c r="G316">
        <f>IF(A316="","", IFERROR(VLOOKUP(A316, 'DLRO'!A:I, 8, FALSE), "N/A"))</f>
        <v/>
      </c>
      <c r="H316">
        <f>IF(A316="","", IFERROR(VLOOKUP(A316, 'Torque'!A:I, 8, FALSE), "N/A"))</f>
        <v/>
      </c>
      <c r="I316">
        <f>IF(A316="","", IFERROR(VLOOKUP(A316, 'Infrared'!A:G, 6, FALSE), "N/A"))</f>
        <v/>
      </c>
      <c r="J316">
        <f>IF(A316="","", IFERROR(VLOOKUP(A316, 'Ultrasonic'!A:H, 7, FALSE), "N/A"))</f>
        <v/>
      </c>
      <c r="K316">
        <f>IF(A316="","", IFERROR(VLOOKUP(A316, 'Code Violations'!A:V, 22, FALSE), "N/A"))</f>
        <v/>
      </c>
      <c r="L316">
        <f>IF(A316="","", IF(COUNTIF(E316:K316, "FAIL")&gt;0, "FAIL", "PASS"))</f>
        <v/>
      </c>
    </row>
    <row r="317">
      <c r="A317">
        <f>IF('Equipment Information'!A317="","", 'Equipment Information'!A317)</f>
        <v/>
      </c>
      <c r="B317">
        <f>IF('Equipment Information'!B317="","", 'Equipment Information'!B317)</f>
        <v/>
      </c>
      <c r="C317">
        <f>IF('Equipment Information'!C317="","", 'Equipment Information'!C317)</f>
        <v/>
      </c>
      <c r="D317">
        <f>IF('Equipment Information'!D317="","", 'Equipment Information'!D317)</f>
        <v/>
      </c>
      <c r="E317">
        <f>IF(A317="","", IFERROR(VLOOKUP(A317, 'Energized Data'!A:T, 20, FALSE), "N/A"))</f>
        <v/>
      </c>
      <c r="F317">
        <f>IF(A317="","", IFERROR(VLOOKUP(A317, 'Insulation'!A:J, 9, FALSE), "N/A"))</f>
        <v/>
      </c>
      <c r="G317">
        <f>IF(A317="","", IFERROR(VLOOKUP(A317, 'DLRO'!A:I, 8, FALSE), "N/A"))</f>
        <v/>
      </c>
      <c r="H317">
        <f>IF(A317="","", IFERROR(VLOOKUP(A317, 'Torque'!A:I, 8, FALSE), "N/A"))</f>
        <v/>
      </c>
      <c r="I317">
        <f>IF(A317="","", IFERROR(VLOOKUP(A317, 'Infrared'!A:G, 6, FALSE), "N/A"))</f>
        <v/>
      </c>
      <c r="J317">
        <f>IF(A317="","", IFERROR(VLOOKUP(A317, 'Ultrasonic'!A:H, 7, FALSE), "N/A"))</f>
        <v/>
      </c>
      <c r="K317">
        <f>IF(A317="","", IFERROR(VLOOKUP(A317, 'Code Violations'!A:V, 22, FALSE), "N/A"))</f>
        <v/>
      </c>
      <c r="L317">
        <f>IF(A317="","", IF(COUNTIF(E317:K317, "FAIL")&gt;0, "FAIL", "PASS"))</f>
        <v/>
      </c>
    </row>
    <row r="318">
      <c r="A318">
        <f>IF('Equipment Information'!A318="","", 'Equipment Information'!A318)</f>
        <v/>
      </c>
      <c r="B318">
        <f>IF('Equipment Information'!B318="","", 'Equipment Information'!B318)</f>
        <v/>
      </c>
      <c r="C318">
        <f>IF('Equipment Information'!C318="","", 'Equipment Information'!C318)</f>
        <v/>
      </c>
      <c r="D318">
        <f>IF('Equipment Information'!D318="","", 'Equipment Information'!D318)</f>
        <v/>
      </c>
      <c r="E318">
        <f>IF(A318="","", IFERROR(VLOOKUP(A318, 'Energized Data'!A:T, 20, FALSE), "N/A"))</f>
        <v/>
      </c>
      <c r="F318">
        <f>IF(A318="","", IFERROR(VLOOKUP(A318, 'Insulation'!A:J, 9, FALSE), "N/A"))</f>
        <v/>
      </c>
      <c r="G318">
        <f>IF(A318="","", IFERROR(VLOOKUP(A318, 'DLRO'!A:I, 8, FALSE), "N/A"))</f>
        <v/>
      </c>
      <c r="H318">
        <f>IF(A318="","", IFERROR(VLOOKUP(A318, 'Torque'!A:I, 8, FALSE), "N/A"))</f>
        <v/>
      </c>
      <c r="I318">
        <f>IF(A318="","", IFERROR(VLOOKUP(A318, 'Infrared'!A:G, 6, FALSE), "N/A"))</f>
        <v/>
      </c>
      <c r="J318">
        <f>IF(A318="","", IFERROR(VLOOKUP(A318, 'Ultrasonic'!A:H, 7, FALSE), "N/A"))</f>
        <v/>
      </c>
      <c r="K318">
        <f>IF(A318="","", IFERROR(VLOOKUP(A318, 'Code Violations'!A:V, 22, FALSE), "N/A"))</f>
        <v/>
      </c>
      <c r="L318">
        <f>IF(A318="","", IF(COUNTIF(E318:K318, "FAIL")&gt;0, "FAIL", "PASS"))</f>
        <v/>
      </c>
    </row>
    <row r="319">
      <c r="A319">
        <f>IF('Equipment Information'!A319="","", 'Equipment Information'!A319)</f>
        <v/>
      </c>
      <c r="B319">
        <f>IF('Equipment Information'!B319="","", 'Equipment Information'!B319)</f>
        <v/>
      </c>
      <c r="C319">
        <f>IF('Equipment Information'!C319="","", 'Equipment Information'!C319)</f>
        <v/>
      </c>
      <c r="D319">
        <f>IF('Equipment Information'!D319="","", 'Equipment Information'!D319)</f>
        <v/>
      </c>
      <c r="E319">
        <f>IF(A319="","", IFERROR(VLOOKUP(A319, 'Energized Data'!A:T, 20, FALSE), "N/A"))</f>
        <v/>
      </c>
      <c r="F319">
        <f>IF(A319="","", IFERROR(VLOOKUP(A319, 'Insulation'!A:J, 9, FALSE), "N/A"))</f>
        <v/>
      </c>
      <c r="G319">
        <f>IF(A319="","", IFERROR(VLOOKUP(A319, 'DLRO'!A:I, 8, FALSE), "N/A"))</f>
        <v/>
      </c>
      <c r="H319">
        <f>IF(A319="","", IFERROR(VLOOKUP(A319, 'Torque'!A:I, 8, FALSE), "N/A"))</f>
        <v/>
      </c>
      <c r="I319">
        <f>IF(A319="","", IFERROR(VLOOKUP(A319, 'Infrared'!A:G, 6, FALSE), "N/A"))</f>
        <v/>
      </c>
      <c r="J319">
        <f>IF(A319="","", IFERROR(VLOOKUP(A319, 'Ultrasonic'!A:H, 7, FALSE), "N/A"))</f>
        <v/>
      </c>
      <c r="K319">
        <f>IF(A319="","", IFERROR(VLOOKUP(A319, 'Code Violations'!A:V, 22, FALSE), "N/A"))</f>
        <v/>
      </c>
      <c r="L319">
        <f>IF(A319="","", IF(COUNTIF(E319:K319, "FAIL")&gt;0, "FAIL", "PASS"))</f>
        <v/>
      </c>
    </row>
    <row r="320">
      <c r="A320">
        <f>IF('Equipment Information'!A320="","", 'Equipment Information'!A320)</f>
        <v/>
      </c>
      <c r="B320">
        <f>IF('Equipment Information'!B320="","", 'Equipment Information'!B320)</f>
        <v/>
      </c>
      <c r="C320">
        <f>IF('Equipment Information'!C320="","", 'Equipment Information'!C320)</f>
        <v/>
      </c>
      <c r="D320">
        <f>IF('Equipment Information'!D320="","", 'Equipment Information'!D320)</f>
        <v/>
      </c>
      <c r="E320">
        <f>IF(A320="","", IFERROR(VLOOKUP(A320, 'Energized Data'!A:T, 20, FALSE), "N/A"))</f>
        <v/>
      </c>
      <c r="F320">
        <f>IF(A320="","", IFERROR(VLOOKUP(A320, 'Insulation'!A:J, 9, FALSE), "N/A"))</f>
        <v/>
      </c>
      <c r="G320">
        <f>IF(A320="","", IFERROR(VLOOKUP(A320, 'DLRO'!A:I, 8, FALSE), "N/A"))</f>
        <v/>
      </c>
      <c r="H320">
        <f>IF(A320="","", IFERROR(VLOOKUP(A320, 'Torque'!A:I, 8, FALSE), "N/A"))</f>
        <v/>
      </c>
      <c r="I320">
        <f>IF(A320="","", IFERROR(VLOOKUP(A320, 'Infrared'!A:G, 6, FALSE), "N/A"))</f>
        <v/>
      </c>
      <c r="J320">
        <f>IF(A320="","", IFERROR(VLOOKUP(A320, 'Ultrasonic'!A:H, 7, FALSE), "N/A"))</f>
        <v/>
      </c>
      <c r="K320">
        <f>IF(A320="","", IFERROR(VLOOKUP(A320, 'Code Violations'!A:V, 22, FALSE), "N/A"))</f>
        <v/>
      </c>
      <c r="L320">
        <f>IF(A320="","", IF(COUNTIF(E320:K320, "FAIL")&gt;0, "FAIL", "PASS"))</f>
        <v/>
      </c>
    </row>
    <row r="321">
      <c r="A321">
        <f>IF('Equipment Information'!A321="","", 'Equipment Information'!A321)</f>
        <v/>
      </c>
      <c r="B321">
        <f>IF('Equipment Information'!B321="","", 'Equipment Information'!B321)</f>
        <v/>
      </c>
      <c r="C321">
        <f>IF('Equipment Information'!C321="","", 'Equipment Information'!C321)</f>
        <v/>
      </c>
      <c r="D321">
        <f>IF('Equipment Information'!D321="","", 'Equipment Information'!D321)</f>
        <v/>
      </c>
      <c r="E321">
        <f>IF(A321="","", IFERROR(VLOOKUP(A321, 'Energized Data'!A:T, 20, FALSE), "N/A"))</f>
        <v/>
      </c>
      <c r="F321">
        <f>IF(A321="","", IFERROR(VLOOKUP(A321, 'Insulation'!A:J, 9, FALSE), "N/A"))</f>
        <v/>
      </c>
      <c r="G321">
        <f>IF(A321="","", IFERROR(VLOOKUP(A321, 'DLRO'!A:I, 8, FALSE), "N/A"))</f>
        <v/>
      </c>
      <c r="H321">
        <f>IF(A321="","", IFERROR(VLOOKUP(A321, 'Torque'!A:I, 8, FALSE), "N/A"))</f>
        <v/>
      </c>
      <c r="I321">
        <f>IF(A321="","", IFERROR(VLOOKUP(A321, 'Infrared'!A:G, 6, FALSE), "N/A"))</f>
        <v/>
      </c>
      <c r="J321">
        <f>IF(A321="","", IFERROR(VLOOKUP(A321, 'Ultrasonic'!A:H, 7, FALSE), "N/A"))</f>
        <v/>
      </c>
      <c r="K321">
        <f>IF(A321="","", IFERROR(VLOOKUP(A321, 'Code Violations'!A:V, 22, FALSE), "N/A"))</f>
        <v/>
      </c>
      <c r="L321">
        <f>IF(A321="","", IF(COUNTIF(E321:K321, "FAIL")&gt;0, "FAIL", "PASS"))</f>
        <v/>
      </c>
    </row>
    <row r="322">
      <c r="A322">
        <f>IF('Equipment Information'!A322="","", 'Equipment Information'!A322)</f>
        <v/>
      </c>
      <c r="B322">
        <f>IF('Equipment Information'!B322="","", 'Equipment Information'!B322)</f>
        <v/>
      </c>
      <c r="C322">
        <f>IF('Equipment Information'!C322="","", 'Equipment Information'!C322)</f>
        <v/>
      </c>
      <c r="D322">
        <f>IF('Equipment Information'!D322="","", 'Equipment Information'!D322)</f>
        <v/>
      </c>
      <c r="E322">
        <f>IF(A322="","", IFERROR(VLOOKUP(A322, 'Energized Data'!A:T, 20, FALSE), "N/A"))</f>
        <v/>
      </c>
      <c r="F322">
        <f>IF(A322="","", IFERROR(VLOOKUP(A322, 'Insulation'!A:J, 9, FALSE), "N/A"))</f>
        <v/>
      </c>
      <c r="G322">
        <f>IF(A322="","", IFERROR(VLOOKUP(A322, 'DLRO'!A:I, 8, FALSE), "N/A"))</f>
        <v/>
      </c>
      <c r="H322">
        <f>IF(A322="","", IFERROR(VLOOKUP(A322, 'Torque'!A:I, 8, FALSE), "N/A"))</f>
        <v/>
      </c>
      <c r="I322">
        <f>IF(A322="","", IFERROR(VLOOKUP(A322, 'Infrared'!A:G, 6, FALSE), "N/A"))</f>
        <v/>
      </c>
      <c r="J322">
        <f>IF(A322="","", IFERROR(VLOOKUP(A322, 'Ultrasonic'!A:H, 7, FALSE), "N/A"))</f>
        <v/>
      </c>
      <c r="K322">
        <f>IF(A322="","", IFERROR(VLOOKUP(A322, 'Code Violations'!A:V, 22, FALSE), "N/A"))</f>
        <v/>
      </c>
      <c r="L322">
        <f>IF(A322="","", IF(COUNTIF(E322:K322, "FAIL")&gt;0, "FAIL", "PASS"))</f>
        <v/>
      </c>
    </row>
    <row r="323">
      <c r="A323">
        <f>IF('Equipment Information'!A323="","", 'Equipment Information'!A323)</f>
        <v/>
      </c>
      <c r="B323">
        <f>IF('Equipment Information'!B323="","", 'Equipment Information'!B323)</f>
        <v/>
      </c>
      <c r="C323">
        <f>IF('Equipment Information'!C323="","", 'Equipment Information'!C323)</f>
        <v/>
      </c>
      <c r="D323">
        <f>IF('Equipment Information'!D323="","", 'Equipment Information'!D323)</f>
        <v/>
      </c>
      <c r="E323">
        <f>IF(A323="","", IFERROR(VLOOKUP(A323, 'Energized Data'!A:T, 20, FALSE), "N/A"))</f>
        <v/>
      </c>
      <c r="F323">
        <f>IF(A323="","", IFERROR(VLOOKUP(A323, 'Insulation'!A:J, 9, FALSE), "N/A"))</f>
        <v/>
      </c>
      <c r="G323">
        <f>IF(A323="","", IFERROR(VLOOKUP(A323, 'DLRO'!A:I, 8, FALSE), "N/A"))</f>
        <v/>
      </c>
      <c r="H323">
        <f>IF(A323="","", IFERROR(VLOOKUP(A323, 'Torque'!A:I, 8, FALSE), "N/A"))</f>
        <v/>
      </c>
      <c r="I323">
        <f>IF(A323="","", IFERROR(VLOOKUP(A323, 'Infrared'!A:G, 6, FALSE), "N/A"))</f>
        <v/>
      </c>
      <c r="J323">
        <f>IF(A323="","", IFERROR(VLOOKUP(A323, 'Ultrasonic'!A:H, 7, FALSE), "N/A"))</f>
        <v/>
      </c>
      <c r="K323">
        <f>IF(A323="","", IFERROR(VLOOKUP(A323, 'Code Violations'!A:V, 22, FALSE), "N/A"))</f>
        <v/>
      </c>
      <c r="L323">
        <f>IF(A323="","", IF(COUNTIF(E323:K323, "FAIL")&gt;0, "FAIL", "PASS"))</f>
        <v/>
      </c>
    </row>
    <row r="324">
      <c r="A324">
        <f>IF('Equipment Information'!A324="","", 'Equipment Information'!A324)</f>
        <v/>
      </c>
      <c r="B324">
        <f>IF('Equipment Information'!B324="","", 'Equipment Information'!B324)</f>
        <v/>
      </c>
      <c r="C324">
        <f>IF('Equipment Information'!C324="","", 'Equipment Information'!C324)</f>
        <v/>
      </c>
      <c r="D324">
        <f>IF('Equipment Information'!D324="","", 'Equipment Information'!D324)</f>
        <v/>
      </c>
      <c r="E324">
        <f>IF(A324="","", IFERROR(VLOOKUP(A324, 'Energized Data'!A:T, 20, FALSE), "N/A"))</f>
        <v/>
      </c>
      <c r="F324">
        <f>IF(A324="","", IFERROR(VLOOKUP(A324, 'Insulation'!A:J, 9, FALSE), "N/A"))</f>
        <v/>
      </c>
      <c r="G324">
        <f>IF(A324="","", IFERROR(VLOOKUP(A324, 'DLRO'!A:I, 8, FALSE), "N/A"))</f>
        <v/>
      </c>
      <c r="H324">
        <f>IF(A324="","", IFERROR(VLOOKUP(A324, 'Torque'!A:I, 8, FALSE), "N/A"))</f>
        <v/>
      </c>
      <c r="I324">
        <f>IF(A324="","", IFERROR(VLOOKUP(A324, 'Infrared'!A:G, 6, FALSE), "N/A"))</f>
        <v/>
      </c>
      <c r="J324">
        <f>IF(A324="","", IFERROR(VLOOKUP(A324, 'Ultrasonic'!A:H, 7, FALSE), "N/A"))</f>
        <v/>
      </c>
      <c r="K324">
        <f>IF(A324="","", IFERROR(VLOOKUP(A324, 'Code Violations'!A:V, 22, FALSE), "N/A"))</f>
        <v/>
      </c>
      <c r="L324">
        <f>IF(A324="","", IF(COUNTIF(E324:K324, "FAIL")&gt;0, "FAIL", "PASS"))</f>
        <v/>
      </c>
    </row>
    <row r="325">
      <c r="A325">
        <f>IF('Equipment Information'!A325="","", 'Equipment Information'!A325)</f>
        <v/>
      </c>
      <c r="B325">
        <f>IF('Equipment Information'!B325="","", 'Equipment Information'!B325)</f>
        <v/>
      </c>
      <c r="C325">
        <f>IF('Equipment Information'!C325="","", 'Equipment Information'!C325)</f>
        <v/>
      </c>
      <c r="D325">
        <f>IF('Equipment Information'!D325="","", 'Equipment Information'!D325)</f>
        <v/>
      </c>
      <c r="E325">
        <f>IF(A325="","", IFERROR(VLOOKUP(A325, 'Energized Data'!A:T, 20, FALSE), "N/A"))</f>
        <v/>
      </c>
      <c r="F325">
        <f>IF(A325="","", IFERROR(VLOOKUP(A325, 'Insulation'!A:J, 9, FALSE), "N/A"))</f>
        <v/>
      </c>
      <c r="G325">
        <f>IF(A325="","", IFERROR(VLOOKUP(A325, 'DLRO'!A:I, 8, FALSE), "N/A"))</f>
        <v/>
      </c>
      <c r="H325">
        <f>IF(A325="","", IFERROR(VLOOKUP(A325, 'Torque'!A:I, 8, FALSE), "N/A"))</f>
        <v/>
      </c>
      <c r="I325">
        <f>IF(A325="","", IFERROR(VLOOKUP(A325, 'Infrared'!A:G, 6, FALSE), "N/A"))</f>
        <v/>
      </c>
      <c r="J325">
        <f>IF(A325="","", IFERROR(VLOOKUP(A325, 'Ultrasonic'!A:H, 7, FALSE), "N/A"))</f>
        <v/>
      </c>
      <c r="K325">
        <f>IF(A325="","", IFERROR(VLOOKUP(A325, 'Code Violations'!A:V, 22, FALSE), "N/A"))</f>
        <v/>
      </c>
      <c r="L325">
        <f>IF(A325="","", IF(COUNTIF(E325:K325, "FAIL")&gt;0, "FAIL", "PASS"))</f>
        <v/>
      </c>
    </row>
    <row r="326">
      <c r="A326">
        <f>IF('Equipment Information'!A326="","", 'Equipment Information'!A326)</f>
        <v/>
      </c>
      <c r="B326">
        <f>IF('Equipment Information'!B326="","", 'Equipment Information'!B326)</f>
        <v/>
      </c>
      <c r="C326">
        <f>IF('Equipment Information'!C326="","", 'Equipment Information'!C326)</f>
        <v/>
      </c>
      <c r="D326">
        <f>IF('Equipment Information'!D326="","", 'Equipment Information'!D326)</f>
        <v/>
      </c>
      <c r="E326">
        <f>IF(A326="","", IFERROR(VLOOKUP(A326, 'Energized Data'!A:T, 20, FALSE), "N/A"))</f>
        <v/>
      </c>
      <c r="F326">
        <f>IF(A326="","", IFERROR(VLOOKUP(A326, 'Insulation'!A:J, 9, FALSE), "N/A"))</f>
        <v/>
      </c>
      <c r="G326">
        <f>IF(A326="","", IFERROR(VLOOKUP(A326, 'DLRO'!A:I, 8, FALSE), "N/A"))</f>
        <v/>
      </c>
      <c r="H326">
        <f>IF(A326="","", IFERROR(VLOOKUP(A326, 'Torque'!A:I, 8, FALSE), "N/A"))</f>
        <v/>
      </c>
      <c r="I326">
        <f>IF(A326="","", IFERROR(VLOOKUP(A326, 'Infrared'!A:G, 6, FALSE), "N/A"))</f>
        <v/>
      </c>
      <c r="J326">
        <f>IF(A326="","", IFERROR(VLOOKUP(A326, 'Ultrasonic'!A:H, 7, FALSE), "N/A"))</f>
        <v/>
      </c>
      <c r="K326">
        <f>IF(A326="","", IFERROR(VLOOKUP(A326, 'Code Violations'!A:V, 22, FALSE), "N/A"))</f>
        <v/>
      </c>
      <c r="L326">
        <f>IF(A326="","", IF(COUNTIF(E326:K326, "FAIL")&gt;0, "FAIL", "PASS"))</f>
        <v/>
      </c>
    </row>
    <row r="327">
      <c r="A327">
        <f>IF('Equipment Information'!A327="","", 'Equipment Information'!A327)</f>
        <v/>
      </c>
      <c r="B327">
        <f>IF('Equipment Information'!B327="","", 'Equipment Information'!B327)</f>
        <v/>
      </c>
      <c r="C327">
        <f>IF('Equipment Information'!C327="","", 'Equipment Information'!C327)</f>
        <v/>
      </c>
      <c r="D327">
        <f>IF('Equipment Information'!D327="","", 'Equipment Information'!D327)</f>
        <v/>
      </c>
      <c r="E327">
        <f>IF(A327="","", IFERROR(VLOOKUP(A327, 'Energized Data'!A:T, 20, FALSE), "N/A"))</f>
        <v/>
      </c>
      <c r="F327">
        <f>IF(A327="","", IFERROR(VLOOKUP(A327, 'Insulation'!A:J, 9, FALSE), "N/A"))</f>
        <v/>
      </c>
      <c r="G327">
        <f>IF(A327="","", IFERROR(VLOOKUP(A327, 'DLRO'!A:I, 8, FALSE), "N/A"))</f>
        <v/>
      </c>
      <c r="H327">
        <f>IF(A327="","", IFERROR(VLOOKUP(A327, 'Torque'!A:I, 8, FALSE), "N/A"))</f>
        <v/>
      </c>
      <c r="I327">
        <f>IF(A327="","", IFERROR(VLOOKUP(A327, 'Infrared'!A:G, 6, FALSE), "N/A"))</f>
        <v/>
      </c>
      <c r="J327">
        <f>IF(A327="","", IFERROR(VLOOKUP(A327, 'Ultrasonic'!A:H, 7, FALSE), "N/A"))</f>
        <v/>
      </c>
      <c r="K327">
        <f>IF(A327="","", IFERROR(VLOOKUP(A327, 'Code Violations'!A:V, 22, FALSE), "N/A"))</f>
        <v/>
      </c>
      <c r="L327">
        <f>IF(A327="","", IF(COUNTIF(E327:K327, "FAIL")&gt;0, "FAIL", "PASS"))</f>
        <v/>
      </c>
    </row>
    <row r="328">
      <c r="A328">
        <f>IF('Equipment Information'!A328="","", 'Equipment Information'!A328)</f>
        <v/>
      </c>
      <c r="B328">
        <f>IF('Equipment Information'!B328="","", 'Equipment Information'!B328)</f>
        <v/>
      </c>
      <c r="C328">
        <f>IF('Equipment Information'!C328="","", 'Equipment Information'!C328)</f>
        <v/>
      </c>
      <c r="D328">
        <f>IF('Equipment Information'!D328="","", 'Equipment Information'!D328)</f>
        <v/>
      </c>
      <c r="E328">
        <f>IF(A328="","", IFERROR(VLOOKUP(A328, 'Energized Data'!A:T, 20, FALSE), "N/A"))</f>
        <v/>
      </c>
      <c r="F328">
        <f>IF(A328="","", IFERROR(VLOOKUP(A328, 'Insulation'!A:J, 9, FALSE), "N/A"))</f>
        <v/>
      </c>
      <c r="G328">
        <f>IF(A328="","", IFERROR(VLOOKUP(A328, 'DLRO'!A:I, 8, FALSE), "N/A"))</f>
        <v/>
      </c>
      <c r="H328">
        <f>IF(A328="","", IFERROR(VLOOKUP(A328, 'Torque'!A:I, 8, FALSE), "N/A"))</f>
        <v/>
      </c>
      <c r="I328">
        <f>IF(A328="","", IFERROR(VLOOKUP(A328, 'Infrared'!A:G, 6, FALSE), "N/A"))</f>
        <v/>
      </c>
      <c r="J328">
        <f>IF(A328="","", IFERROR(VLOOKUP(A328, 'Ultrasonic'!A:H, 7, FALSE), "N/A"))</f>
        <v/>
      </c>
      <c r="K328">
        <f>IF(A328="","", IFERROR(VLOOKUP(A328, 'Code Violations'!A:V, 22, FALSE), "N/A"))</f>
        <v/>
      </c>
      <c r="L328">
        <f>IF(A328="","", IF(COUNTIF(E328:K328, "FAIL")&gt;0, "FAIL", "PASS"))</f>
        <v/>
      </c>
    </row>
    <row r="329">
      <c r="A329">
        <f>IF('Equipment Information'!A329="","", 'Equipment Information'!A329)</f>
        <v/>
      </c>
      <c r="B329">
        <f>IF('Equipment Information'!B329="","", 'Equipment Information'!B329)</f>
        <v/>
      </c>
      <c r="C329">
        <f>IF('Equipment Information'!C329="","", 'Equipment Information'!C329)</f>
        <v/>
      </c>
      <c r="D329">
        <f>IF('Equipment Information'!D329="","", 'Equipment Information'!D329)</f>
        <v/>
      </c>
      <c r="E329">
        <f>IF(A329="","", IFERROR(VLOOKUP(A329, 'Energized Data'!A:T, 20, FALSE), "N/A"))</f>
        <v/>
      </c>
      <c r="F329">
        <f>IF(A329="","", IFERROR(VLOOKUP(A329, 'Insulation'!A:J, 9, FALSE), "N/A"))</f>
        <v/>
      </c>
      <c r="G329">
        <f>IF(A329="","", IFERROR(VLOOKUP(A329, 'DLRO'!A:I, 8, FALSE), "N/A"))</f>
        <v/>
      </c>
      <c r="H329">
        <f>IF(A329="","", IFERROR(VLOOKUP(A329, 'Torque'!A:I, 8, FALSE), "N/A"))</f>
        <v/>
      </c>
      <c r="I329">
        <f>IF(A329="","", IFERROR(VLOOKUP(A329, 'Infrared'!A:G, 6, FALSE), "N/A"))</f>
        <v/>
      </c>
      <c r="J329">
        <f>IF(A329="","", IFERROR(VLOOKUP(A329, 'Ultrasonic'!A:H, 7, FALSE), "N/A"))</f>
        <v/>
      </c>
      <c r="K329">
        <f>IF(A329="","", IFERROR(VLOOKUP(A329, 'Code Violations'!A:V, 22, FALSE), "N/A"))</f>
        <v/>
      </c>
      <c r="L329">
        <f>IF(A329="","", IF(COUNTIF(E329:K329, "FAIL")&gt;0, "FAIL", "PASS"))</f>
        <v/>
      </c>
    </row>
    <row r="330">
      <c r="A330">
        <f>IF('Equipment Information'!A330="","", 'Equipment Information'!A330)</f>
        <v/>
      </c>
      <c r="B330">
        <f>IF('Equipment Information'!B330="","", 'Equipment Information'!B330)</f>
        <v/>
      </c>
      <c r="C330">
        <f>IF('Equipment Information'!C330="","", 'Equipment Information'!C330)</f>
        <v/>
      </c>
      <c r="D330">
        <f>IF('Equipment Information'!D330="","", 'Equipment Information'!D330)</f>
        <v/>
      </c>
      <c r="E330">
        <f>IF(A330="","", IFERROR(VLOOKUP(A330, 'Energized Data'!A:T, 20, FALSE), "N/A"))</f>
        <v/>
      </c>
      <c r="F330">
        <f>IF(A330="","", IFERROR(VLOOKUP(A330, 'Insulation'!A:J, 9, FALSE), "N/A"))</f>
        <v/>
      </c>
      <c r="G330">
        <f>IF(A330="","", IFERROR(VLOOKUP(A330, 'DLRO'!A:I, 8, FALSE), "N/A"))</f>
        <v/>
      </c>
      <c r="H330">
        <f>IF(A330="","", IFERROR(VLOOKUP(A330, 'Torque'!A:I, 8, FALSE), "N/A"))</f>
        <v/>
      </c>
      <c r="I330">
        <f>IF(A330="","", IFERROR(VLOOKUP(A330, 'Infrared'!A:G, 6, FALSE), "N/A"))</f>
        <v/>
      </c>
      <c r="J330">
        <f>IF(A330="","", IFERROR(VLOOKUP(A330, 'Ultrasonic'!A:H, 7, FALSE), "N/A"))</f>
        <v/>
      </c>
      <c r="K330">
        <f>IF(A330="","", IFERROR(VLOOKUP(A330, 'Code Violations'!A:V, 22, FALSE), "N/A"))</f>
        <v/>
      </c>
      <c r="L330">
        <f>IF(A330="","", IF(COUNTIF(E330:K330, "FAIL")&gt;0, "FAIL", "PASS"))</f>
        <v/>
      </c>
    </row>
    <row r="331">
      <c r="A331">
        <f>IF('Equipment Information'!A331="","", 'Equipment Information'!A331)</f>
        <v/>
      </c>
      <c r="B331">
        <f>IF('Equipment Information'!B331="","", 'Equipment Information'!B331)</f>
        <v/>
      </c>
      <c r="C331">
        <f>IF('Equipment Information'!C331="","", 'Equipment Information'!C331)</f>
        <v/>
      </c>
      <c r="D331">
        <f>IF('Equipment Information'!D331="","", 'Equipment Information'!D331)</f>
        <v/>
      </c>
      <c r="E331">
        <f>IF(A331="","", IFERROR(VLOOKUP(A331, 'Energized Data'!A:T, 20, FALSE), "N/A"))</f>
        <v/>
      </c>
      <c r="F331">
        <f>IF(A331="","", IFERROR(VLOOKUP(A331, 'Insulation'!A:J, 9, FALSE), "N/A"))</f>
        <v/>
      </c>
      <c r="G331">
        <f>IF(A331="","", IFERROR(VLOOKUP(A331, 'DLRO'!A:I, 8, FALSE), "N/A"))</f>
        <v/>
      </c>
      <c r="H331">
        <f>IF(A331="","", IFERROR(VLOOKUP(A331, 'Torque'!A:I, 8, FALSE), "N/A"))</f>
        <v/>
      </c>
      <c r="I331">
        <f>IF(A331="","", IFERROR(VLOOKUP(A331, 'Infrared'!A:G, 6, FALSE), "N/A"))</f>
        <v/>
      </c>
      <c r="J331">
        <f>IF(A331="","", IFERROR(VLOOKUP(A331, 'Ultrasonic'!A:H, 7, FALSE), "N/A"))</f>
        <v/>
      </c>
      <c r="K331">
        <f>IF(A331="","", IFERROR(VLOOKUP(A331, 'Code Violations'!A:V, 22, FALSE), "N/A"))</f>
        <v/>
      </c>
      <c r="L331">
        <f>IF(A331="","", IF(COUNTIF(E331:K331, "FAIL")&gt;0, "FAIL", "PASS"))</f>
        <v/>
      </c>
    </row>
    <row r="332">
      <c r="A332">
        <f>IF('Equipment Information'!A332="","", 'Equipment Information'!A332)</f>
        <v/>
      </c>
      <c r="B332">
        <f>IF('Equipment Information'!B332="","", 'Equipment Information'!B332)</f>
        <v/>
      </c>
      <c r="C332">
        <f>IF('Equipment Information'!C332="","", 'Equipment Information'!C332)</f>
        <v/>
      </c>
      <c r="D332">
        <f>IF('Equipment Information'!D332="","", 'Equipment Information'!D332)</f>
        <v/>
      </c>
      <c r="E332">
        <f>IF(A332="","", IFERROR(VLOOKUP(A332, 'Energized Data'!A:T, 20, FALSE), "N/A"))</f>
        <v/>
      </c>
      <c r="F332">
        <f>IF(A332="","", IFERROR(VLOOKUP(A332, 'Insulation'!A:J, 9, FALSE), "N/A"))</f>
        <v/>
      </c>
      <c r="G332">
        <f>IF(A332="","", IFERROR(VLOOKUP(A332, 'DLRO'!A:I, 8, FALSE), "N/A"))</f>
        <v/>
      </c>
      <c r="H332">
        <f>IF(A332="","", IFERROR(VLOOKUP(A332, 'Torque'!A:I, 8, FALSE), "N/A"))</f>
        <v/>
      </c>
      <c r="I332">
        <f>IF(A332="","", IFERROR(VLOOKUP(A332, 'Infrared'!A:G, 6, FALSE), "N/A"))</f>
        <v/>
      </c>
      <c r="J332">
        <f>IF(A332="","", IFERROR(VLOOKUP(A332, 'Ultrasonic'!A:H, 7, FALSE), "N/A"))</f>
        <v/>
      </c>
      <c r="K332">
        <f>IF(A332="","", IFERROR(VLOOKUP(A332, 'Code Violations'!A:V, 22, FALSE), "N/A"))</f>
        <v/>
      </c>
      <c r="L332">
        <f>IF(A332="","", IF(COUNTIF(E332:K332, "FAIL")&gt;0, "FAIL", "PASS"))</f>
        <v/>
      </c>
    </row>
    <row r="333">
      <c r="A333">
        <f>IF('Equipment Information'!A333="","", 'Equipment Information'!A333)</f>
        <v/>
      </c>
      <c r="B333">
        <f>IF('Equipment Information'!B333="","", 'Equipment Information'!B333)</f>
        <v/>
      </c>
      <c r="C333">
        <f>IF('Equipment Information'!C333="","", 'Equipment Information'!C333)</f>
        <v/>
      </c>
      <c r="D333">
        <f>IF('Equipment Information'!D333="","", 'Equipment Information'!D333)</f>
        <v/>
      </c>
      <c r="E333">
        <f>IF(A333="","", IFERROR(VLOOKUP(A333, 'Energized Data'!A:T, 20, FALSE), "N/A"))</f>
        <v/>
      </c>
      <c r="F333">
        <f>IF(A333="","", IFERROR(VLOOKUP(A333, 'Insulation'!A:J, 9, FALSE), "N/A"))</f>
        <v/>
      </c>
      <c r="G333">
        <f>IF(A333="","", IFERROR(VLOOKUP(A333, 'DLRO'!A:I, 8, FALSE), "N/A"))</f>
        <v/>
      </c>
      <c r="H333">
        <f>IF(A333="","", IFERROR(VLOOKUP(A333, 'Torque'!A:I, 8, FALSE), "N/A"))</f>
        <v/>
      </c>
      <c r="I333">
        <f>IF(A333="","", IFERROR(VLOOKUP(A333, 'Infrared'!A:G, 6, FALSE), "N/A"))</f>
        <v/>
      </c>
      <c r="J333">
        <f>IF(A333="","", IFERROR(VLOOKUP(A333, 'Ultrasonic'!A:H, 7, FALSE), "N/A"))</f>
        <v/>
      </c>
      <c r="K333">
        <f>IF(A333="","", IFERROR(VLOOKUP(A333, 'Code Violations'!A:V, 22, FALSE), "N/A"))</f>
        <v/>
      </c>
      <c r="L333">
        <f>IF(A333="","", IF(COUNTIF(E333:K333, "FAIL")&gt;0, "FAIL", "PASS"))</f>
        <v/>
      </c>
    </row>
    <row r="334">
      <c r="A334">
        <f>IF('Equipment Information'!A334="","", 'Equipment Information'!A334)</f>
        <v/>
      </c>
      <c r="B334">
        <f>IF('Equipment Information'!B334="","", 'Equipment Information'!B334)</f>
        <v/>
      </c>
      <c r="C334">
        <f>IF('Equipment Information'!C334="","", 'Equipment Information'!C334)</f>
        <v/>
      </c>
      <c r="D334">
        <f>IF('Equipment Information'!D334="","", 'Equipment Information'!D334)</f>
        <v/>
      </c>
      <c r="E334">
        <f>IF(A334="","", IFERROR(VLOOKUP(A334, 'Energized Data'!A:T, 20, FALSE), "N/A"))</f>
        <v/>
      </c>
      <c r="F334">
        <f>IF(A334="","", IFERROR(VLOOKUP(A334, 'Insulation'!A:J, 9, FALSE), "N/A"))</f>
        <v/>
      </c>
      <c r="G334">
        <f>IF(A334="","", IFERROR(VLOOKUP(A334, 'DLRO'!A:I, 8, FALSE), "N/A"))</f>
        <v/>
      </c>
      <c r="H334">
        <f>IF(A334="","", IFERROR(VLOOKUP(A334, 'Torque'!A:I, 8, FALSE), "N/A"))</f>
        <v/>
      </c>
      <c r="I334">
        <f>IF(A334="","", IFERROR(VLOOKUP(A334, 'Infrared'!A:G, 6, FALSE), "N/A"))</f>
        <v/>
      </c>
      <c r="J334">
        <f>IF(A334="","", IFERROR(VLOOKUP(A334, 'Ultrasonic'!A:H, 7, FALSE), "N/A"))</f>
        <v/>
      </c>
      <c r="K334">
        <f>IF(A334="","", IFERROR(VLOOKUP(A334, 'Code Violations'!A:V, 22, FALSE), "N/A"))</f>
        <v/>
      </c>
      <c r="L334">
        <f>IF(A334="","", IF(COUNTIF(E334:K334, "FAIL")&gt;0, "FAIL", "PASS"))</f>
        <v/>
      </c>
    </row>
    <row r="335">
      <c r="A335">
        <f>IF('Equipment Information'!A335="","", 'Equipment Information'!A335)</f>
        <v/>
      </c>
      <c r="B335">
        <f>IF('Equipment Information'!B335="","", 'Equipment Information'!B335)</f>
        <v/>
      </c>
      <c r="C335">
        <f>IF('Equipment Information'!C335="","", 'Equipment Information'!C335)</f>
        <v/>
      </c>
      <c r="D335">
        <f>IF('Equipment Information'!D335="","", 'Equipment Information'!D335)</f>
        <v/>
      </c>
      <c r="E335">
        <f>IF(A335="","", IFERROR(VLOOKUP(A335, 'Energized Data'!A:T, 20, FALSE), "N/A"))</f>
        <v/>
      </c>
      <c r="F335">
        <f>IF(A335="","", IFERROR(VLOOKUP(A335, 'Insulation'!A:J, 9, FALSE), "N/A"))</f>
        <v/>
      </c>
      <c r="G335">
        <f>IF(A335="","", IFERROR(VLOOKUP(A335, 'DLRO'!A:I, 8, FALSE), "N/A"))</f>
        <v/>
      </c>
      <c r="H335">
        <f>IF(A335="","", IFERROR(VLOOKUP(A335, 'Torque'!A:I, 8, FALSE), "N/A"))</f>
        <v/>
      </c>
      <c r="I335">
        <f>IF(A335="","", IFERROR(VLOOKUP(A335, 'Infrared'!A:G, 6, FALSE), "N/A"))</f>
        <v/>
      </c>
      <c r="J335">
        <f>IF(A335="","", IFERROR(VLOOKUP(A335, 'Ultrasonic'!A:H, 7, FALSE), "N/A"))</f>
        <v/>
      </c>
      <c r="K335">
        <f>IF(A335="","", IFERROR(VLOOKUP(A335, 'Code Violations'!A:V, 22, FALSE), "N/A"))</f>
        <v/>
      </c>
      <c r="L335">
        <f>IF(A335="","", IF(COUNTIF(E335:K335, "FAIL")&gt;0, "FAIL", "PASS"))</f>
        <v/>
      </c>
    </row>
    <row r="336">
      <c r="A336">
        <f>IF('Equipment Information'!A336="","", 'Equipment Information'!A336)</f>
        <v/>
      </c>
      <c r="B336">
        <f>IF('Equipment Information'!B336="","", 'Equipment Information'!B336)</f>
        <v/>
      </c>
      <c r="C336">
        <f>IF('Equipment Information'!C336="","", 'Equipment Information'!C336)</f>
        <v/>
      </c>
      <c r="D336">
        <f>IF('Equipment Information'!D336="","", 'Equipment Information'!D336)</f>
        <v/>
      </c>
      <c r="E336">
        <f>IF(A336="","", IFERROR(VLOOKUP(A336, 'Energized Data'!A:T, 20, FALSE), "N/A"))</f>
        <v/>
      </c>
      <c r="F336">
        <f>IF(A336="","", IFERROR(VLOOKUP(A336, 'Insulation'!A:J, 9, FALSE), "N/A"))</f>
        <v/>
      </c>
      <c r="G336">
        <f>IF(A336="","", IFERROR(VLOOKUP(A336, 'DLRO'!A:I, 8, FALSE), "N/A"))</f>
        <v/>
      </c>
      <c r="H336">
        <f>IF(A336="","", IFERROR(VLOOKUP(A336, 'Torque'!A:I, 8, FALSE), "N/A"))</f>
        <v/>
      </c>
      <c r="I336">
        <f>IF(A336="","", IFERROR(VLOOKUP(A336, 'Infrared'!A:G, 6, FALSE), "N/A"))</f>
        <v/>
      </c>
      <c r="J336">
        <f>IF(A336="","", IFERROR(VLOOKUP(A336, 'Ultrasonic'!A:H, 7, FALSE), "N/A"))</f>
        <v/>
      </c>
      <c r="K336">
        <f>IF(A336="","", IFERROR(VLOOKUP(A336, 'Code Violations'!A:V, 22, FALSE), "N/A"))</f>
        <v/>
      </c>
      <c r="L336">
        <f>IF(A336="","", IF(COUNTIF(E336:K336, "FAIL")&gt;0, "FAIL", "PASS"))</f>
        <v/>
      </c>
    </row>
    <row r="337">
      <c r="A337">
        <f>IF('Equipment Information'!A337="","", 'Equipment Information'!A337)</f>
        <v/>
      </c>
      <c r="B337">
        <f>IF('Equipment Information'!B337="","", 'Equipment Information'!B337)</f>
        <v/>
      </c>
      <c r="C337">
        <f>IF('Equipment Information'!C337="","", 'Equipment Information'!C337)</f>
        <v/>
      </c>
      <c r="D337">
        <f>IF('Equipment Information'!D337="","", 'Equipment Information'!D337)</f>
        <v/>
      </c>
      <c r="E337">
        <f>IF(A337="","", IFERROR(VLOOKUP(A337, 'Energized Data'!A:T, 20, FALSE), "N/A"))</f>
        <v/>
      </c>
      <c r="F337">
        <f>IF(A337="","", IFERROR(VLOOKUP(A337, 'Insulation'!A:J, 9, FALSE), "N/A"))</f>
        <v/>
      </c>
      <c r="G337">
        <f>IF(A337="","", IFERROR(VLOOKUP(A337, 'DLRO'!A:I, 8, FALSE), "N/A"))</f>
        <v/>
      </c>
      <c r="H337">
        <f>IF(A337="","", IFERROR(VLOOKUP(A337, 'Torque'!A:I, 8, FALSE), "N/A"))</f>
        <v/>
      </c>
      <c r="I337">
        <f>IF(A337="","", IFERROR(VLOOKUP(A337, 'Infrared'!A:G, 6, FALSE), "N/A"))</f>
        <v/>
      </c>
      <c r="J337">
        <f>IF(A337="","", IFERROR(VLOOKUP(A337, 'Ultrasonic'!A:H, 7, FALSE), "N/A"))</f>
        <v/>
      </c>
      <c r="K337">
        <f>IF(A337="","", IFERROR(VLOOKUP(A337, 'Code Violations'!A:V, 22, FALSE), "N/A"))</f>
        <v/>
      </c>
      <c r="L337">
        <f>IF(A337="","", IF(COUNTIF(E337:K337, "FAIL")&gt;0, "FAIL", "PASS"))</f>
        <v/>
      </c>
    </row>
    <row r="338">
      <c r="A338">
        <f>IF('Equipment Information'!A338="","", 'Equipment Information'!A338)</f>
        <v/>
      </c>
      <c r="B338">
        <f>IF('Equipment Information'!B338="","", 'Equipment Information'!B338)</f>
        <v/>
      </c>
      <c r="C338">
        <f>IF('Equipment Information'!C338="","", 'Equipment Information'!C338)</f>
        <v/>
      </c>
      <c r="D338">
        <f>IF('Equipment Information'!D338="","", 'Equipment Information'!D338)</f>
        <v/>
      </c>
      <c r="E338">
        <f>IF(A338="","", IFERROR(VLOOKUP(A338, 'Energized Data'!A:T, 20, FALSE), "N/A"))</f>
        <v/>
      </c>
      <c r="F338">
        <f>IF(A338="","", IFERROR(VLOOKUP(A338, 'Insulation'!A:J, 9, FALSE), "N/A"))</f>
        <v/>
      </c>
      <c r="G338">
        <f>IF(A338="","", IFERROR(VLOOKUP(A338, 'DLRO'!A:I, 8, FALSE), "N/A"))</f>
        <v/>
      </c>
      <c r="H338">
        <f>IF(A338="","", IFERROR(VLOOKUP(A338, 'Torque'!A:I, 8, FALSE), "N/A"))</f>
        <v/>
      </c>
      <c r="I338">
        <f>IF(A338="","", IFERROR(VLOOKUP(A338, 'Infrared'!A:G, 6, FALSE), "N/A"))</f>
        <v/>
      </c>
      <c r="J338">
        <f>IF(A338="","", IFERROR(VLOOKUP(A338, 'Ultrasonic'!A:H, 7, FALSE), "N/A"))</f>
        <v/>
      </c>
      <c r="K338">
        <f>IF(A338="","", IFERROR(VLOOKUP(A338, 'Code Violations'!A:V, 22, FALSE), "N/A"))</f>
        <v/>
      </c>
      <c r="L338">
        <f>IF(A338="","", IF(COUNTIF(E338:K338, "FAIL")&gt;0, "FAIL", "PASS"))</f>
        <v/>
      </c>
    </row>
    <row r="339">
      <c r="A339">
        <f>IF('Equipment Information'!A339="","", 'Equipment Information'!A339)</f>
        <v/>
      </c>
      <c r="B339">
        <f>IF('Equipment Information'!B339="","", 'Equipment Information'!B339)</f>
        <v/>
      </c>
      <c r="C339">
        <f>IF('Equipment Information'!C339="","", 'Equipment Information'!C339)</f>
        <v/>
      </c>
      <c r="D339">
        <f>IF('Equipment Information'!D339="","", 'Equipment Information'!D339)</f>
        <v/>
      </c>
      <c r="E339">
        <f>IF(A339="","", IFERROR(VLOOKUP(A339, 'Energized Data'!A:T, 20, FALSE), "N/A"))</f>
        <v/>
      </c>
      <c r="F339">
        <f>IF(A339="","", IFERROR(VLOOKUP(A339, 'Insulation'!A:J, 9, FALSE), "N/A"))</f>
        <v/>
      </c>
      <c r="G339">
        <f>IF(A339="","", IFERROR(VLOOKUP(A339, 'DLRO'!A:I, 8, FALSE), "N/A"))</f>
        <v/>
      </c>
      <c r="H339">
        <f>IF(A339="","", IFERROR(VLOOKUP(A339, 'Torque'!A:I, 8, FALSE), "N/A"))</f>
        <v/>
      </c>
      <c r="I339">
        <f>IF(A339="","", IFERROR(VLOOKUP(A339, 'Infrared'!A:G, 6, FALSE), "N/A"))</f>
        <v/>
      </c>
      <c r="J339">
        <f>IF(A339="","", IFERROR(VLOOKUP(A339, 'Ultrasonic'!A:H, 7, FALSE), "N/A"))</f>
        <v/>
      </c>
      <c r="K339">
        <f>IF(A339="","", IFERROR(VLOOKUP(A339, 'Code Violations'!A:V, 22, FALSE), "N/A"))</f>
        <v/>
      </c>
      <c r="L339">
        <f>IF(A339="","", IF(COUNTIF(E339:K339, "FAIL")&gt;0, "FAIL", "PASS"))</f>
        <v/>
      </c>
    </row>
    <row r="340">
      <c r="A340">
        <f>IF('Equipment Information'!A340="","", 'Equipment Information'!A340)</f>
        <v/>
      </c>
      <c r="B340">
        <f>IF('Equipment Information'!B340="","", 'Equipment Information'!B340)</f>
        <v/>
      </c>
      <c r="C340">
        <f>IF('Equipment Information'!C340="","", 'Equipment Information'!C340)</f>
        <v/>
      </c>
      <c r="D340">
        <f>IF('Equipment Information'!D340="","", 'Equipment Information'!D340)</f>
        <v/>
      </c>
      <c r="E340">
        <f>IF(A340="","", IFERROR(VLOOKUP(A340, 'Energized Data'!A:T, 20, FALSE), "N/A"))</f>
        <v/>
      </c>
      <c r="F340">
        <f>IF(A340="","", IFERROR(VLOOKUP(A340, 'Insulation'!A:J, 9, FALSE), "N/A"))</f>
        <v/>
      </c>
      <c r="G340">
        <f>IF(A340="","", IFERROR(VLOOKUP(A340, 'DLRO'!A:I, 8, FALSE), "N/A"))</f>
        <v/>
      </c>
      <c r="H340">
        <f>IF(A340="","", IFERROR(VLOOKUP(A340, 'Torque'!A:I, 8, FALSE), "N/A"))</f>
        <v/>
      </c>
      <c r="I340">
        <f>IF(A340="","", IFERROR(VLOOKUP(A340, 'Infrared'!A:G, 6, FALSE), "N/A"))</f>
        <v/>
      </c>
      <c r="J340">
        <f>IF(A340="","", IFERROR(VLOOKUP(A340, 'Ultrasonic'!A:H, 7, FALSE), "N/A"))</f>
        <v/>
      </c>
      <c r="K340">
        <f>IF(A340="","", IFERROR(VLOOKUP(A340, 'Code Violations'!A:V, 22, FALSE), "N/A"))</f>
        <v/>
      </c>
      <c r="L340">
        <f>IF(A340="","", IF(COUNTIF(E340:K340, "FAIL")&gt;0, "FAIL", "PASS"))</f>
        <v/>
      </c>
    </row>
    <row r="341">
      <c r="A341">
        <f>IF('Equipment Information'!A341="","", 'Equipment Information'!A341)</f>
        <v/>
      </c>
      <c r="B341">
        <f>IF('Equipment Information'!B341="","", 'Equipment Information'!B341)</f>
        <v/>
      </c>
      <c r="C341">
        <f>IF('Equipment Information'!C341="","", 'Equipment Information'!C341)</f>
        <v/>
      </c>
      <c r="D341">
        <f>IF('Equipment Information'!D341="","", 'Equipment Information'!D341)</f>
        <v/>
      </c>
      <c r="E341">
        <f>IF(A341="","", IFERROR(VLOOKUP(A341, 'Energized Data'!A:T, 20, FALSE), "N/A"))</f>
        <v/>
      </c>
      <c r="F341">
        <f>IF(A341="","", IFERROR(VLOOKUP(A341, 'Insulation'!A:J, 9, FALSE), "N/A"))</f>
        <v/>
      </c>
      <c r="G341">
        <f>IF(A341="","", IFERROR(VLOOKUP(A341, 'DLRO'!A:I, 8, FALSE), "N/A"))</f>
        <v/>
      </c>
      <c r="H341">
        <f>IF(A341="","", IFERROR(VLOOKUP(A341, 'Torque'!A:I, 8, FALSE), "N/A"))</f>
        <v/>
      </c>
      <c r="I341">
        <f>IF(A341="","", IFERROR(VLOOKUP(A341, 'Infrared'!A:G, 6, FALSE), "N/A"))</f>
        <v/>
      </c>
      <c r="J341">
        <f>IF(A341="","", IFERROR(VLOOKUP(A341, 'Ultrasonic'!A:H, 7, FALSE), "N/A"))</f>
        <v/>
      </c>
      <c r="K341">
        <f>IF(A341="","", IFERROR(VLOOKUP(A341, 'Code Violations'!A:V, 22, FALSE), "N/A"))</f>
        <v/>
      </c>
      <c r="L341">
        <f>IF(A341="","", IF(COUNTIF(E341:K341, "FAIL")&gt;0, "FAIL", "PASS"))</f>
        <v/>
      </c>
    </row>
    <row r="342">
      <c r="A342">
        <f>IF('Equipment Information'!A342="","", 'Equipment Information'!A342)</f>
        <v/>
      </c>
      <c r="B342">
        <f>IF('Equipment Information'!B342="","", 'Equipment Information'!B342)</f>
        <v/>
      </c>
      <c r="C342">
        <f>IF('Equipment Information'!C342="","", 'Equipment Information'!C342)</f>
        <v/>
      </c>
      <c r="D342">
        <f>IF('Equipment Information'!D342="","", 'Equipment Information'!D342)</f>
        <v/>
      </c>
      <c r="E342">
        <f>IF(A342="","", IFERROR(VLOOKUP(A342, 'Energized Data'!A:T, 20, FALSE), "N/A"))</f>
        <v/>
      </c>
      <c r="F342">
        <f>IF(A342="","", IFERROR(VLOOKUP(A342, 'Insulation'!A:J, 9, FALSE), "N/A"))</f>
        <v/>
      </c>
      <c r="G342">
        <f>IF(A342="","", IFERROR(VLOOKUP(A342, 'DLRO'!A:I, 8, FALSE), "N/A"))</f>
        <v/>
      </c>
      <c r="H342">
        <f>IF(A342="","", IFERROR(VLOOKUP(A342, 'Torque'!A:I, 8, FALSE), "N/A"))</f>
        <v/>
      </c>
      <c r="I342">
        <f>IF(A342="","", IFERROR(VLOOKUP(A342, 'Infrared'!A:G, 6, FALSE), "N/A"))</f>
        <v/>
      </c>
      <c r="J342">
        <f>IF(A342="","", IFERROR(VLOOKUP(A342, 'Ultrasonic'!A:H, 7, FALSE), "N/A"))</f>
        <v/>
      </c>
      <c r="K342">
        <f>IF(A342="","", IFERROR(VLOOKUP(A342, 'Code Violations'!A:V, 22, FALSE), "N/A"))</f>
        <v/>
      </c>
      <c r="L342">
        <f>IF(A342="","", IF(COUNTIF(E342:K342, "FAIL")&gt;0, "FAIL", "PASS"))</f>
        <v/>
      </c>
    </row>
    <row r="343">
      <c r="A343">
        <f>IF('Equipment Information'!A343="","", 'Equipment Information'!A343)</f>
        <v/>
      </c>
      <c r="B343">
        <f>IF('Equipment Information'!B343="","", 'Equipment Information'!B343)</f>
        <v/>
      </c>
      <c r="C343">
        <f>IF('Equipment Information'!C343="","", 'Equipment Information'!C343)</f>
        <v/>
      </c>
      <c r="D343">
        <f>IF('Equipment Information'!D343="","", 'Equipment Information'!D343)</f>
        <v/>
      </c>
      <c r="E343">
        <f>IF(A343="","", IFERROR(VLOOKUP(A343, 'Energized Data'!A:T, 20, FALSE), "N/A"))</f>
        <v/>
      </c>
      <c r="F343">
        <f>IF(A343="","", IFERROR(VLOOKUP(A343, 'Insulation'!A:J, 9, FALSE), "N/A"))</f>
        <v/>
      </c>
      <c r="G343">
        <f>IF(A343="","", IFERROR(VLOOKUP(A343, 'DLRO'!A:I, 8, FALSE), "N/A"))</f>
        <v/>
      </c>
      <c r="H343">
        <f>IF(A343="","", IFERROR(VLOOKUP(A343, 'Torque'!A:I, 8, FALSE), "N/A"))</f>
        <v/>
      </c>
      <c r="I343">
        <f>IF(A343="","", IFERROR(VLOOKUP(A343, 'Infrared'!A:G, 6, FALSE), "N/A"))</f>
        <v/>
      </c>
      <c r="J343">
        <f>IF(A343="","", IFERROR(VLOOKUP(A343, 'Ultrasonic'!A:H, 7, FALSE), "N/A"))</f>
        <v/>
      </c>
      <c r="K343">
        <f>IF(A343="","", IFERROR(VLOOKUP(A343, 'Code Violations'!A:V, 22, FALSE), "N/A"))</f>
        <v/>
      </c>
      <c r="L343">
        <f>IF(A343="","", IF(COUNTIF(E343:K343, "FAIL")&gt;0, "FAIL", "PASS"))</f>
        <v/>
      </c>
    </row>
    <row r="344">
      <c r="A344">
        <f>IF('Equipment Information'!A344="","", 'Equipment Information'!A344)</f>
        <v/>
      </c>
      <c r="B344">
        <f>IF('Equipment Information'!B344="","", 'Equipment Information'!B344)</f>
        <v/>
      </c>
      <c r="C344">
        <f>IF('Equipment Information'!C344="","", 'Equipment Information'!C344)</f>
        <v/>
      </c>
      <c r="D344">
        <f>IF('Equipment Information'!D344="","", 'Equipment Information'!D344)</f>
        <v/>
      </c>
      <c r="E344">
        <f>IF(A344="","", IFERROR(VLOOKUP(A344, 'Energized Data'!A:T, 20, FALSE), "N/A"))</f>
        <v/>
      </c>
      <c r="F344">
        <f>IF(A344="","", IFERROR(VLOOKUP(A344, 'Insulation'!A:J, 9, FALSE), "N/A"))</f>
        <v/>
      </c>
      <c r="G344">
        <f>IF(A344="","", IFERROR(VLOOKUP(A344, 'DLRO'!A:I, 8, FALSE), "N/A"))</f>
        <v/>
      </c>
      <c r="H344">
        <f>IF(A344="","", IFERROR(VLOOKUP(A344, 'Torque'!A:I, 8, FALSE), "N/A"))</f>
        <v/>
      </c>
      <c r="I344">
        <f>IF(A344="","", IFERROR(VLOOKUP(A344, 'Infrared'!A:G, 6, FALSE), "N/A"))</f>
        <v/>
      </c>
      <c r="J344">
        <f>IF(A344="","", IFERROR(VLOOKUP(A344, 'Ultrasonic'!A:H, 7, FALSE), "N/A"))</f>
        <v/>
      </c>
      <c r="K344">
        <f>IF(A344="","", IFERROR(VLOOKUP(A344, 'Code Violations'!A:V, 22, FALSE), "N/A"))</f>
        <v/>
      </c>
      <c r="L344">
        <f>IF(A344="","", IF(COUNTIF(E344:K344, "FAIL")&gt;0, "FAIL", "PASS"))</f>
        <v/>
      </c>
    </row>
    <row r="345">
      <c r="A345">
        <f>IF('Equipment Information'!A345="","", 'Equipment Information'!A345)</f>
        <v/>
      </c>
      <c r="B345">
        <f>IF('Equipment Information'!B345="","", 'Equipment Information'!B345)</f>
        <v/>
      </c>
      <c r="C345">
        <f>IF('Equipment Information'!C345="","", 'Equipment Information'!C345)</f>
        <v/>
      </c>
      <c r="D345">
        <f>IF('Equipment Information'!D345="","", 'Equipment Information'!D345)</f>
        <v/>
      </c>
      <c r="E345">
        <f>IF(A345="","", IFERROR(VLOOKUP(A345, 'Energized Data'!A:T, 20, FALSE), "N/A"))</f>
        <v/>
      </c>
      <c r="F345">
        <f>IF(A345="","", IFERROR(VLOOKUP(A345, 'Insulation'!A:J, 9, FALSE), "N/A"))</f>
        <v/>
      </c>
      <c r="G345">
        <f>IF(A345="","", IFERROR(VLOOKUP(A345, 'DLRO'!A:I, 8, FALSE), "N/A"))</f>
        <v/>
      </c>
      <c r="H345">
        <f>IF(A345="","", IFERROR(VLOOKUP(A345, 'Torque'!A:I, 8, FALSE), "N/A"))</f>
        <v/>
      </c>
      <c r="I345">
        <f>IF(A345="","", IFERROR(VLOOKUP(A345, 'Infrared'!A:G, 6, FALSE), "N/A"))</f>
        <v/>
      </c>
      <c r="J345">
        <f>IF(A345="","", IFERROR(VLOOKUP(A345, 'Ultrasonic'!A:H, 7, FALSE), "N/A"))</f>
        <v/>
      </c>
      <c r="K345">
        <f>IF(A345="","", IFERROR(VLOOKUP(A345, 'Code Violations'!A:V, 22, FALSE), "N/A"))</f>
        <v/>
      </c>
      <c r="L345">
        <f>IF(A345="","", IF(COUNTIF(E345:K345, "FAIL")&gt;0, "FAIL", "PASS"))</f>
        <v/>
      </c>
    </row>
    <row r="346">
      <c r="A346">
        <f>IF('Equipment Information'!A346="","", 'Equipment Information'!A346)</f>
        <v/>
      </c>
      <c r="B346">
        <f>IF('Equipment Information'!B346="","", 'Equipment Information'!B346)</f>
        <v/>
      </c>
      <c r="C346">
        <f>IF('Equipment Information'!C346="","", 'Equipment Information'!C346)</f>
        <v/>
      </c>
      <c r="D346">
        <f>IF('Equipment Information'!D346="","", 'Equipment Information'!D346)</f>
        <v/>
      </c>
      <c r="E346">
        <f>IF(A346="","", IFERROR(VLOOKUP(A346, 'Energized Data'!A:T, 20, FALSE), "N/A"))</f>
        <v/>
      </c>
      <c r="F346">
        <f>IF(A346="","", IFERROR(VLOOKUP(A346, 'Insulation'!A:J, 9, FALSE), "N/A"))</f>
        <v/>
      </c>
      <c r="G346">
        <f>IF(A346="","", IFERROR(VLOOKUP(A346, 'DLRO'!A:I, 8, FALSE), "N/A"))</f>
        <v/>
      </c>
      <c r="H346">
        <f>IF(A346="","", IFERROR(VLOOKUP(A346, 'Torque'!A:I, 8, FALSE), "N/A"))</f>
        <v/>
      </c>
      <c r="I346">
        <f>IF(A346="","", IFERROR(VLOOKUP(A346, 'Infrared'!A:G, 6, FALSE), "N/A"))</f>
        <v/>
      </c>
      <c r="J346">
        <f>IF(A346="","", IFERROR(VLOOKUP(A346, 'Ultrasonic'!A:H, 7, FALSE), "N/A"))</f>
        <v/>
      </c>
      <c r="K346">
        <f>IF(A346="","", IFERROR(VLOOKUP(A346, 'Code Violations'!A:V, 22, FALSE), "N/A"))</f>
        <v/>
      </c>
      <c r="L346">
        <f>IF(A346="","", IF(COUNTIF(E346:K346, "FAIL")&gt;0, "FAIL", "PASS"))</f>
        <v/>
      </c>
    </row>
    <row r="347">
      <c r="A347">
        <f>IF('Equipment Information'!A347="","", 'Equipment Information'!A347)</f>
        <v/>
      </c>
      <c r="B347">
        <f>IF('Equipment Information'!B347="","", 'Equipment Information'!B347)</f>
        <v/>
      </c>
      <c r="C347">
        <f>IF('Equipment Information'!C347="","", 'Equipment Information'!C347)</f>
        <v/>
      </c>
      <c r="D347">
        <f>IF('Equipment Information'!D347="","", 'Equipment Information'!D347)</f>
        <v/>
      </c>
      <c r="E347">
        <f>IF(A347="","", IFERROR(VLOOKUP(A347, 'Energized Data'!A:T, 20, FALSE), "N/A"))</f>
        <v/>
      </c>
      <c r="F347">
        <f>IF(A347="","", IFERROR(VLOOKUP(A347, 'Insulation'!A:J, 9, FALSE), "N/A"))</f>
        <v/>
      </c>
      <c r="G347">
        <f>IF(A347="","", IFERROR(VLOOKUP(A347, 'DLRO'!A:I, 8, FALSE), "N/A"))</f>
        <v/>
      </c>
      <c r="H347">
        <f>IF(A347="","", IFERROR(VLOOKUP(A347, 'Torque'!A:I, 8, FALSE), "N/A"))</f>
        <v/>
      </c>
      <c r="I347">
        <f>IF(A347="","", IFERROR(VLOOKUP(A347, 'Infrared'!A:G, 6, FALSE), "N/A"))</f>
        <v/>
      </c>
      <c r="J347">
        <f>IF(A347="","", IFERROR(VLOOKUP(A347, 'Ultrasonic'!A:H, 7, FALSE), "N/A"))</f>
        <v/>
      </c>
      <c r="K347">
        <f>IF(A347="","", IFERROR(VLOOKUP(A347, 'Code Violations'!A:V, 22, FALSE), "N/A"))</f>
        <v/>
      </c>
      <c r="L347">
        <f>IF(A347="","", IF(COUNTIF(E347:K347, "FAIL")&gt;0, "FAIL", "PASS"))</f>
        <v/>
      </c>
    </row>
    <row r="348">
      <c r="A348">
        <f>IF('Equipment Information'!A348="","", 'Equipment Information'!A348)</f>
        <v/>
      </c>
      <c r="B348">
        <f>IF('Equipment Information'!B348="","", 'Equipment Information'!B348)</f>
        <v/>
      </c>
      <c r="C348">
        <f>IF('Equipment Information'!C348="","", 'Equipment Information'!C348)</f>
        <v/>
      </c>
      <c r="D348">
        <f>IF('Equipment Information'!D348="","", 'Equipment Information'!D348)</f>
        <v/>
      </c>
      <c r="E348">
        <f>IF(A348="","", IFERROR(VLOOKUP(A348, 'Energized Data'!A:T, 20, FALSE), "N/A"))</f>
        <v/>
      </c>
      <c r="F348">
        <f>IF(A348="","", IFERROR(VLOOKUP(A348, 'Insulation'!A:J, 9, FALSE), "N/A"))</f>
        <v/>
      </c>
      <c r="G348">
        <f>IF(A348="","", IFERROR(VLOOKUP(A348, 'DLRO'!A:I, 8, FALSE), "N/A"))</f>
        <v/>
      </c>
      <c r="H348">
        <f>IF(A348="","", IFERROR(VLOOKUP(A348, 'Torque'!A:I, 8, FALSE), "N/A"))</f>
        <v/>
      </c>
      <c r="I348">
        <f>IF(A348="","", IFERROR(VLOOKUP(A348, 'Infrared'!A:G, 6, FALSE), "N/A"))</f>
        <v/>
      </c>
      <c r="J348">
        <f>IF(A348="","", IFERROR(VLOOKUP(A348, 'Ultrasonic'!A:H, 7, FALSE), "N/A"))</f>
        <v/>
      </c>
      <c r="K348">
        <f>IF(A348="","", IFERROR(VLOOKUP(A348, 'Code Violations'!A:V, 22, FALSE), "N/A"))</f>
        <v/>
      </c>
      <c r="L348">
        <f>IF(A348="","", IF(COUNTIF(E348:K348, "FAIL")&gt;0, "FAIL", "PASS"))</f>
        <v/>
      </c>
    </row>
    <row r="349">
      <c r="A349">
        <f>IF('Equipment Information'!A349="","", 'Equipment Information'!A349)</f>
        <v/>
      </c>
      <c r="B349">
        <f>IF('Equipment Information'!B349="","", 'Equipment Information'!B349)</f>
        <v/>
      </c>
      <c r="C349">
        <f>IF('Equipment Information'!C349="","", 'Equipment Information'!C349)</f>
        <v/>
      </c>
      <c r="D349">
        <f>IF('Equipment Information'!D349="","", 'Equipment Information'!D349)</f>
        <v/>
      </c>
      <c r="E349">
        <f>IF(A349="","", IFERROR(VLOOKUP(A349, 'Energized Data'!A:T, 20, FALSE), "N/A"))</f>
        <v/>
      </c>
      <c r="F349">
        <f>IF(A349="","", IFERROR(VLOOKUP(A349, 'Insulation'!A:J, 9, FALSE), "N/A"))</f>
        <v/>
      </c>
      <c r="G349">
        <f>IF(A349="","", IFERROR(VLOOKUP(A349, 'DLRO'!A:I, 8, FALSE), "N/A"))</f>
        <v/>
      </c>
      <c r="H349">
        <f>IF(A349="","", IFERROR(VLOOKUP(A349, 'Torque'!A:I, 8, FALSE), "N/A"))</f>
        <v/>
      </c>
      <c r="I349">
        <f>IF(A349="","", IFERROR(VLOOKUP(A349, 'Infrared'!A:G, 6, FALSE), "N/A"))</f>
        <v/>
      </c>
      <c r="J349">
        <f>IF(A349="","", IFERROR(VLOOKUP(A349, 'Ultrasonic'!A:H, 7, FALSE), "N/A"))</f>
        <v/>
      </c>
      <c r="K349">
        <f>IF(A349="","", IFERROR(VLOOKUP(A349, 'Code Violations'!A:V, 22, FALSE), "N/A"))</f>
        <v/>
      </c>
      <c r="L349">
        <f>IF(A349="","", IF(COUNTIF(E349:K349, "FAIL")&gt;0, "FAIL", "PASS"))</f>
        <v/>
      </c>
    </row>
    <row r="350">
      <c r="A350">
        <f>IF('Equipment Information'!A350="","", 'Equipment Information'!A350)</f>
        <v/>
      </c>
      <c r="B350">
        <f>IF('Equipment Information'!B350="","", 'Equipment Information'!B350)</f>
        <v/>
      </c>
      <c r="C350">
        <f>IF('Equipment Information'!C350="","", 'Equipment Information'!C350)</f>
        <v/>
      </c>
      <c r="D350">
        <f>IF('Equipment Information'!D350="","", 'Equipment Information'!D350)</f>
        <v/>
      </c>
      <c r="E350">
        <f>IF(A350="","", IFERROR(VLOOKUP(A350, 'Energized Data'!A:T, 20, FALSE), "N/A"))</f>
        <v/>
      </c>
      <c r="F350">
        <f>IF(A350="","", IFERROR(VLOOKUP(A350, 'Insulation'!A:J, 9, FALSE), "N/A"))</f>
        <v/>
      </c>
      <c r="G350">
        <f>IF(A350="","", IFERROR(VLOOKUP(A350, 'DLRO'!A:I, 8, FALSE), "N/A"))</f>
        <v/>
      </c>
      <c r="H350">
        <f>IF(A350="","", IFERROR(VLOOKUP(A350, 'Torque'!A:I, 8, FALSE), "N/A"))</f>
        <v/>
      </c>
      <c r="I350">
        <f>IF(A350="","", IFERROR(VLOOKUP(A350, 'Infrared'!A:G, 6, FALSE), "N/A"))</f>
        <v/>
      </c>
      <c r="J350">
        <f>IF(A350="","", IFERROR(VLOOKUP(A350, 'Ultrasonic'!A:H, 7, FALSE), "N/A"))</f>
        <v/>
      </c>
      <c r="K350">
        <f>IF(A350="","", IFERROR(VLOOKUP(A350, 'Code Violations'!A:V, 22, FALSE), "N/A"))</f>
        <v/>
      </c>
      <c r="L350">
        <f>IF(A350="","", IF(COUNTIF(E350:K350, "FAIL")&gt;0, "FAIL", "PASS"))</f>
        <v/>
      </c>
    </row>
    <row r="351">
      <c r="A351">
        <f>IF('Equipment Information'!A351="","", 'Equipment Information'!A351)</f>
        <v/>
      </c>
      <c r="B351">
        <f>IF('Equipment Information'!B351="","", 'Equipment Information'!B351)</f>
        <v/>
      </c>
      <c r="C351">
        <f>IF('Equipment Information'!C351="","", 'Equipment Information'!C351)</f>
        <v/>
      </c>
      <c r="D351">
        <f>IF('Equipment Information'!D351="","", 'Equipment Information'!D351)</f>
        <v/>
      </c>
      <c r="E351">
        <f>IF(A351="","", IFERROR(VLOOKUP(A351, 'Energized Data'!A:T, 20, FALSE), "N/A"))</f>
        <v/>
      </c>
      <c r="F351">
        <f>IF(A351="","", IFERROR(VLOOKUP(A351, 'Insulation'!A:J, 9, FALSE), "N/A"))</f>
        <v/>
      </c>
      <c r="G351">
        <f>IF(A351="","", IFERROR(VLOOKUP(A351, 'DLRO'!A:I, 8, FALSE), "N/A"))</f>
        <v/>
      </c>
      <c r="H351">
        <f>IF(A351="","", IFERROR(VLOOKUP(A351, 'Torque'!A:I, 8, FALSE), "N/A"))</f>
        <v/>
      </c>
      <c r="I351">
        <f>IF(A351="","", IFERROR(VLOOKUP(A351, 'Infrared'!A:G, 6, FALSE), "N/A"))</f>
        <v/>
      </c>
      <c r="J351">
        <f>IF(A351="","", IFERROR(VLOOKUP(A351, 'Ultrasonic'!A:H, 7, FALSE), "N/A"))</f>
        <v/>
      </c>
      <c r="K351">
        <f>IF(A351="","", IFERROR(VLOOKUP(A351, 'Code Violations'!A:V, 22, FALSE), "N/A"))</f>
        <v/>
      </c>
      <c r="L351">
        <f>IF(A351="","", IF(COUNTIF(E351:K351, "FAIL")&gt;0, "FAIL", "PASS"))</f>
        <v/>
      </c>
    </row>
    <row r="352">
      <c r="A352">
        <f>IF('Equipment Information'!A352="","", 'Equipment Information'!A352)</f>
        <v/>
      </c>
      <c r="B352">
        <f>IF('Equipment Information'!B352="","", 'Equipment Information'!B352)</f>
        <v/>
      </c>
      <c r="C352">
        <f>IF('Equipment Information'!C352="","", 'Equipment Information'!C352)</f>
        <v/>
      </c>
      <c r="D352">
        <f>IF('Equipment Information'!D352="","", 'Equipment Information'!D352)</f>
        <v/>
      </c>
      <c r="E352">
        <f>IF(A352="","", IFERROR(VLOOKUP(A352, 'Energized Data'!A:T, 20, FALSE), "N/A"))</f>
        <v/>
      </c>
      <c r="F352">
        <f>IF(A352="","", IFERROR(VLOOKUP(A352, 'Insulation'!A:J, 9, FALSE), "N/A"))</f>
        <v/>
      </c>
      <c r="G352">
        <f>IF(A352="","", IFERROR(VLOOKUP(A352, 'DLRO'!A:I, 8, FALSE), "N/A"))</f>
        <v/>
      </c>
      <c r="H352">
        <f>IF(A352="","", IFERROR(VLOOKUP(A352, 'Torque'!A:I, 8, FALSE), "N/A"))</f>
        <v/>
      </c>
      <c r="I352">
        <f>IF(A352="","", IFERROR(VLOOKUP(A352, 'Infrared'!A:G, 6, FALSE), "N/A"))</f>
        <v/>
      </c>
      <c r="J352">
        <f>IF(A352="","", IFERROR(VLOOKUP(A352, 'Ultrasonic'!A:H, 7, FALSE), "N/A"))</f>
        <v/>
      </c>
      <c r="K352">
        <f>IF(A352="","", IFERROR(VLOOKUP(A352, 'Code Violations'!A:V, 22, FALSE), "N/A"))</f>
        <v/>
      </c>
      <c r="L352">
        <f>IF(A352="","", IF(COUNTIF(E352:K352, "FAIL")&gt;0, "FAIL", "PASS"))</f>
        <v/>
      </c>
    </row>
    <row r="353">
      <c r="A353">
        <f>IF('Equipment Information'!A353="","", 'Equipment Information'!A353)</f>
        <v/>
      </c>
      <c r="B353">
        <f>IF('Equipment Information'!B353="","", 'Equipment Information'!B353)</f>
        <v/>
      </c>
      <c r="C353">
        <f>IF('Equipment Information'!C353="","", 'Equipment Information'!C353)</f>
        <v/>
      </c>
      <c r="D353">
        <f>IF('Equipment Information'!D353="","", 'Equipment Information'!D353)</f>
        <v/>
      </c>
      <c r="E353">
        <f>IF(A353="","", IFERROR(VLOOKUP(A353, 'Energized Data'!A:T, 20, FALSE), "N/A"))</f>
        <v/>
      </c>
      <c r="F353">
        <f>IF(A353="","", IFERROR(VLOOKUP(A353, 'Insulation'!A:J, 9, FALSE), "N/A"))</f>
        <v/>
      </c>
      <c r="G353">
        <f>IF(A353="","", IFERROR(VLOOKUP(A353, 'DLRO'!A:I, 8, FALSE), "N/A"))</f>
        <v/>
      </c>
      <c r="H353">
        <f>IF(A353="","", IFERROR(VLOOKUP(A353, 'Torque'!A:I, 8, FALSE), "N/A"))</f>
        <v/>
      </c>
      <c r="I353">
        <f>IF(A353="","", IFERROR(VLOOKUP(A353, 'Infrared'!A:G, 6, FALSE), "N/A"))</f>
        <v/>
      </c>
      <c r="J353">
        <f>IF(A353="","", IFERROR(VLOOKUP(A353, 'Ultrasonic'!A:H, 7, FALSE), "N/A"))</f>
        <v/>
      </c>
      <c r="K353">
        <f>IF(A353="","", IFERROR(VLOOKUP(A353, 'Code Violations'!A:V, 22, FALSE), "N/A"))</f>
        <v/>
      </c>
      <c r="L353">
        <f>IF(A353="","", IF(COUNTIF(E353:K353, "FAIL")&gt;0, "FAIL", "PASS"))</f>
        <v/>
      </c>
    </row>
    <row r="354">
      <c r="A354">
        <f>IF('Equipment Information'!A354="","", 'Equipment Information'!A354)</f>
        <v/>
      </c>
      <c r="B354">
        <f>IF('Equipment Information'!B354="","", 'Equipment Information'!B354)</f>
        <v/>
      </c>
      <c r="C354">
        <f>IF('Equipment Information'!C354="","", 'Equipment Information'!C354)</f>
        <v/>
      </c>
      <c r="D354">
        <f>IF('Equipment Information'!D354="","", 'Equipment Information'!D354)</f>
        <v/>
      </c>
      <c r="E354">
        <f>IF(A354="","", IFERROR(VLOOKUP(A354, 'Energized Data'!A:T, 20, FALSE), "N/A"))</f>
        <v/>
      </c>
      <c r="F354">
        <f>IF(A354="","", IFERROR(VLOOKUP(A354, 'Insulation'!A:J, 9, FALSE), "N/A"))</f>
        <v/>
      </c>
      <c r="G354">
        <f>IF(A354="","", IFERROR(VLOOKUP(A354, 'DLRO'!A:I, 8, FALSE), "N/A"))</f>
        <v/>
      </c>
      <c r="H354">
        <f>IF(A354="","", IFERROR(VLOOKUP(A354, 'Torque'!A:I, 8, FALSE), "N/A"))</f>
        <v/>
      </c>
      <c r="I354">
        <f>IF(A354="","", IFERROR(VLOOKUP(A354, 'Infrared'!A:G, 6, FALSE), "N/A"))</f>
        <v/>
      </c>
      <c r="J354">
        <f>IF(A354="","", IFERROR(VLOOKUP(A354, 'Ultrasonic'!A:H, 7, FALSE), "N/A"))</f>
        <v/>
      </c>
      <c r="K354">
        <f>IF(A354="","", IFERROR(VLOOKUP(A354, 'Code Violations'!A:V, 22, FALSE), "N/A"))</f>
        <v/>
      </c>
      <c r="L354">
        <f>IF(A354="","", IF(COUNTIF(E354:K354, "FAIL")&gt;0, "FAIL", "PASS"))</f>
        <v/>
      </c>
    </row>
    <row r="355">
      <c r="A355">
        <f>IF('Equipment Information'!A355="","", 'Equipment Information'!A355)</f>
        <v/>
      </c>
      <c r="B355">
        <f>IF('Equipment Information'!B355="","", 'Equipment Information'!B355)</f>
        <v/>
      </c>
      <c r="C355">
        <f>IF('Equipment Information'!C355="","", 'Equipment Information'!C355)</f>
        <v/>
      </c>
      <c r="D355">
        <f>IF('Equipment Information'!D355="","", 'Equipment Information'!D355)</f>
        <v/>
      </c>
      <c r="E355">
        <f>IF(A355="","", IFERROR(VLOOKUP(A355, 'Energized Data'!A:T, 20, FALSE), "N/A"))</f>
        <v/>
      </c>
      <c r="F355">
        <f>IF(A355="","", IFERROR(VLOOKUP(A355, 'Insulation'!A:J, 9, FALSE), "N/A"))</f>
        <v/>
      </c>
      <c r="G355">
        <f>IF(A355="","", IFERROR(VLOOKUP(A355, 'DLRO'!A:I, 8, FALSE), "N/A"))</f>
        <v/>
      </c>
      <c r="H355">
        <f>IF(A355="","", IFERROR(VLOOKUP(A355, 'Torque'!A:I, 8, FALSE), "N/A"))</f>
        <v/>
      </c>
      <c r="I355">
        <f>IF(A355="","", IFERROR(VLOOKUP(A355, 'Infrared'!A:G, 6, FALSE), "N/A"))</f>
        <v/>
      </c>
      <c r="J355">
        <f>IF(A355="","", IFERROR(VLOOKUP(A355, 'Ultrasonic'!A:H, 7, FALSE), "N/A"))</f>
        <v/>
      </c>
      <c r="K355">
        <f>IF(A355="","", IFERROR(VLOOKUP(A355, 'Code Violations'!A:V, 22, FALSE), "N/A"))</f>
        <v/>
      </c>
      <c r="L355">
        <f>IF(A355="","", IF(COUNTIF(E355:K355, "FAIL")&gt;0, "FAIL", "PASS"))</f>
        <v/>
      </c>
    </row>
    <row r="356">
      <c r="A356">
        <f>IF('Equipment Information'!A356="","", 'Equipment Information'!A356)</f>
        <v/>
      </c>
      <c r="B356">
        <f>IF('Equipment Information'!B356="","", 'Equipment Information'!B356)</f>
        <v/>
      </c>
      <c r="C356">
        <f>IF('Equipment Information'!C356="","", 'Equipment Information'!C356)</f>
        <v/>
      </c>
      <c r="D356">
        <f>IF('Equipment Information'!D356="","", 'Equipment Information'!D356)</f>
        <v/>
      </c>
      <c r="E356">
        <f>IF(A356="","", IFERROR(VLOOKUP(A356, 'Energized Data'!A:T, 20, FALSE), "N/A"))</f>
        <v/>
      </c>
      <c r="F356">
        <f>IF(A356="","", IFERROR(VLOOKUP(A356, 'Insulation'!A:J, 9, FALSE), "N/A"))</f>
        <v/>
      </c>
      <c r="G356">
        <f>IF(A356="","", IFERROR(VLOOKUP(A356, 'DLRO'!A:I, 8, FALSE), "N/A"))</f>
        <v/>
      </c>
      <c r="H356">
        <f>IF(A356="","", IFERROR(VLOOKUP(A356, 'Torque'!A:I, 8, FALSE), "N/A"))</f>
        <v/>
      </c>
      <c r="I356">
        <f>IF(A356="","", IFERROR(VLOOKUP(A356, 'Infrared'!A:G, 6, FALSE), "N/A"))</f>
        <v/>
      </c>
      <c r="J356">
        <f>IF(A356="","", IFERROR(VLOOKUP(A356, 'Ultrasonic'!A:H, 7, FALSE), "N/A"))</f>
        <v/>
      </c>
      <c r="K356">
        <f>IF(A356="","", IFERROR(VLOOKUP(A356, 'Code Violations'!A:V, 22, FALSE), "N/A"))</f>
        <v/>
      </c>
      <c r="L356">
        <f>IF(A356="","", IF(COUNTIF(E356:K356, "FAIL")&gt;0, "FAIL", "PASS"))</f>
        <v/>
      </c>
    </row>
    <row r="357">
      <c r="A357">
        <f>IF('Equipment Information'!A357="","", 'Equipment Information'!A357)</f>
        <v/>
      </c>
      <c r="B357">
        <f>IF('Equipment Information'!B357="","", 'Equipment Information'!B357)</f>
        <v/>
      </c>
      <c r="C357">
        <f>IF('Equipment Information'!C357="","", 'Equipment Information'!C357)</f>
        <v/>
      </c>
      <c r="D357">
        <f>IF('Equipment Information'!D357="","", 'Equipment Information'!D357)</f>
        <v/>
      </c>
      <c r="E357">
        <f>IF(A357="","", IFERROR(VLOOKUP(A357, 'Energized Data'!A:T, 20, FALSE), "N/A"))</f>
        <v/>
      </c>
      <c r="F357">
        <f>IF(A357="","", IFERROR(VLOOKUP(A357, 'Insulation'!A:J, 9, FALSE), "N/A"))</f>
        <v/>
      </c>
      <c r="G357">
        <f>IF(A357="","", IFERROR(VLOOKUP(A357, 'DLRO'!A:I, 8, FALSE), "N/A"))</f>
        <v/>
      </c>
      <c r="H357">
        <f>IF(A357="","", IFERROR(VLOOKUP(A357, 'Torque'!A:I, 8, FALSE), "N/A"))</f>
        <v/>
      </c>
      <c r="I357">
        <f>IF(A357="","", IFERROR(VLOOKUP(A357, 'Infrared'!A:G, 6, FALSE), "N/A"))</f>
        <v/>
      </c>
      <c r="J357">
        <f>IF(A357="","", IFERROR(VLOOKUP(A357, 'Ultrasonic'!A:H, 7, FALSE), "N/A"))</f>
        <v/>
      </c>
      <c r="K357">
        <f>IF(A357="","", IFERROR(VLOOKUP(A357, 'Code Violations'!A:V, 22, FALSE), "N/A"))</f>
        <v/>
      </c>
      <c r="L357">
        <f>IF(A357="","", IF(COUNTIF(E357:K357, "FAIL")&gt;0, "FAIL", "PASS"))</f>
        <v/>
      </c>
    </row>
    <row r="358">
      <c r="A358">
        <f>IF('Equipment Information'!A358="","", 'Equipment Information'!A358)</f>
        <v/>
      </c>
      <c r="B358">
        <f>IF('Equipment Information'!B358="","", 'Equipment Information'!B358)</f>
        <v/>
      </c>
      <c r="C358">
        <f>IF('Equipment Information'!C358="","", 'Equipment Information'!C358)</f>
        <v/>
      </c>
      <c r="D358">
        <f>IF('Equipment Information'!D358="","", 'Equipment Information'!D358)</f>
        <v/>
      </c>
      <c r="E358">
        <f>IF(A358="","", IFERROR(VLOOKUP(A358, 'Energized Data'!A:T, 20, FALSE), "N/A"))</f>
        <v/>
      </c>
      <c r="F358">
        <f>IF(A358="","", IFERROR(VLOOKUP(A358, 'Insulation'!A:J, 9, FALSE), "N/A"))</f>
        <v/>
      </c>
      <c r="G358">
        <f>IF(A358="","", IFERROR(VLOOKUP(A358, 'DLRO'!A:I, 8, FALSE), "N/A"))</f>
        <v/>
      </c>
      <c r="H358">
        <f>IF(A358="","", IFERROR(VLOOKUP(A358, 'Torque'!A:I, 8, FALSE), "N/A"))</f>
        <v/>
      </c>
      <c r="I358">
        <f>IF(A358="","", IFERROR(VLOOKUP(A358, 'Infrared'!A:G, 6, FALSE), "N/A"))</f>
        <v/>
      </c>
      <c r="J358">
        <f>IF(A358="","", IFERROR(VLOOKUP(A358, 'Ultrasonic'!A:H, 7, FALSE), "N/A"))</f>
        <v/>
      </c>
      <c r="K358">
        <f>IF(A358="","", IFERROR(VLOOKUP(A358, 'Code Violations'!A:V, 22, FALSE), "N/A"))</f>
        <v/>
      </c>
      <c r="L358">
        <f>IF(A358="","", IF(COUNTIF(E358:K358, "FAIL")&gt;0, "FAIL", "PASS"))</f>
        <v/>
      </c>
    </row>
    <row r="359">
      <c r="A359">
        <f>IF('Equipment Information'!A359="","", 'Equipment Information'!A359)</f>
        <v/>
      </c>
      <c r="B359">
        <f>IF('Equipment Information'!B359="","", 'Equipment Information'!B359)</f>
        <v/>
      </c>
      <c r="C359">
        <f>IF('Equipment Information'!C359="","", 'Equipment Information'!C359)</f>
        <v/>
      </c>
      <c r="D359">
        <f>IF('Equipment Information'!D359="","", 'Equipment Information'!D359)</f>
        <v/>
      </c>
      <c r="E359">
        <f>IF(A359="","", IFERROR(VLOOKUP(A359, 'Energized Data'!A:T, 20, FALSE), "N/A"))</f>
        <v/>
      </c>
      <c r="F359">
        <f>IF(A359="","", IFERROR(VLOOKUP(A359, 'Insulation'!A:J, 9, FALSE), "N/A"))</f>
        <v/>
      </c>
      <c r="G359">
        <f>IF(A359="","", IFERROR(VLOOKUP(A359, 'DLRO'!A:I, 8, FALSE), "N/A"))</f>
        <v/>
      </c>
      <c r="H359">
        <f>IF(A359="","", IFERROR(VLOOKUP(A359, 'Torque'!A:I, 8, FALSE), "N/A"))</f>
        <v/>
      </c>
      <c r="I359">
        <f>IF(A359="","", IFERROR(VLOOKUP(A359, 'Infrared'!A:G, 6, FALSE), "N/A"))</f>
        <v/>
      </c>
      <c r="J359">
        <f>IF(A359="","", IFERROR(VLOOKUP(A359, 'Ultrasonic'!A:H, 7, FALSE), "N/A"))</f>
        <v/>
      </c>
      <c r="K359">
        <f>IF(A359="","", IFERROR(VLOOKUP(A359, 'Code Violations'!A:V, 22, FALSE), "N/A"))</f>
        <v/>
      </c>
      <c r="L359">
        <f>IF(A359="","", IF(COUNTIF(E359:K359, "FAIL")&gt;0, "FAIL", "PASS"))</f>
        <v/>
      </c>
    </row>
    <row r="360">
      <c r="A360">
        <f>IF('Equipment Information'!A360="","", 'Equipment Information'!A360)</f>
        <v/>
      </c>
      <c r="B360">
        <f>IF('Equipment Information'!B360="","", 'Equipment Information'!B360)</f>
        <v/>
      </c>
      <c r="C360">
        <f>IF('Equipment Information'!C360="","", 'Equipment Information'!C360)</f>
        <v/>
      </c>
      <c r="D360">
        <f>IF('Equipment Information'!D360="","", 'Equipment Information'!D360)</f>
        <v/>
      </c>
      <c r="E360">
        <f>IF(A360="","", IFERROR(VLOOKUP(A360, 'Energized Data'!A:T, 20, FALSE), "N/A"))</f>
        <v/>
      </c>
      <c r="F360">
        <f>IF(A360="","", IFERROR(VLOOKUP(A360, 'Insulation'!A:J, 9, FALSE), "N/A"))</f>
        <v/>
      </c>
      <c r="G360">
        <f>IF(A360="","", IFERROR(VLOOKUP(A360, 'DLRO'!A:I, 8, FALSE), "N/A"))</f>
        <v/>
      </c>
      <c r="H360">
        <f>IF(A360="","", IFERROR(VLOOKUP(A360, 'Torque'!A:I, 8, FALSE), "N/A"))</f>
        <v/>
      </c>
      <c r="I360">
        <f>IF(A360="","", IFERROR(VLOOKUP(A360, 'Infrared'!A:G, 6, FALSE), "N/A"))</f>
        <v/>
      </c>
      <c r="J360">
        <f>IF(A360="","", IFERROR(VLOOKUP(A360, 'Ultrasonic'!A:H, 7, FALSE), "N/A"))</f>
        <v/>
      </c>
      <c r="K360">
        <f>IF(A360="","", IFERROR(VLOOKUP(A360, 'Code Violations'!A:V, 22, FALSE), "N/A"))</f>
        <v/>
      </c>
      <c r="L360">
        <f>IF(A360="","", IF(COUNTIF(E360:K360, "FAIL")&gt;0, "FAIL", "PASS"))</f>
        <v/>
      </c>
    </row>
    <row r="361">
      <c r="A361">
        <f>IF('Equipment Information'!A361="","", 'Equipment Information'!A361)</f>
        <v/>
      </c>
      <c r="B361">
        <f>IF('Equipment Information'!B361="","", 'Equipment Information'!B361)</f>
        <v/>
      </c>
      <c r="C361">
        <f>IF('Equipment Information'!C361="","", 'Equipment Information'!C361)</f>
        <v/>
      </c>
      <c r="D361">
        <f>IF('Equipment Information'!D361="","", 'Equipment Information'!D361)</f>
        <v/>
      </c>
      <c r="E361">
        <f>IF(A361="","", IFERROR(VLOOKUP(A361, 'Energized Data'!A:T, 20, FALSE), "N/A"))</f>
        <v/>
      </c>
      <c r="F361">
        <f>IF(A361="","", IFERROR(VLOOKUP(A361, 'Insulation'!A:J, 9, FALSE), "N/A"))</f>
        <v/>
      </c>
      <c r="G361">
        <f>IF(A361="","", IFERROR(VLOOKUP(A361, 'DLRO'!A:I, 8, FALSE), "N/A"))</f>
        <v/>
      </c>
      <c r="H361">
        <f>IF(A361="","", IFERROR(VLOOKUP(A361, 'Torque'!A:I, 8, FALSE), "N/A"))</f>
        <v/>
      </c>
      <c r="I361">
        <f>IF(A361="","", IFERROR(VLOOKUP(A361, 'Infrared'!A:G, 6, FALSE), "N/A"))</f>
        <v/>
      </c>
      <c r="J361">
        <f>IF(A361="","", IFERROR(VLOOKUP(A361, 'Ultrasonic'!A:H, 7, FALSE), "N/A"))</f>
        <v/>
      </c>
      <c r="K361">
        <f>IF(A361="","", IFERROR(VLOOKUP(A361, 'Code Violations'!A:V, 22, FALSE), "N/A"))</f>
        <v/>
      </c>
      <c r="L361">
        <f>IF(A361="","", IF(COUNTIF(E361:K361, "FAIL")&gt;0, "FAIL", "PASS"))</f>
        <v/>
      </c>
    </row>
    <row r="362">
      <c r="A362">
        <f>IF('Equipment Information'!A362="","", 'Equipment Information'!A362)</f>
        <v/>
      </c>
      <c r="B362">
        <f>IF('Equipment Information'!B362="","", 'Equipment Information'!B362)</f>
        <v/>
      </c>
      <c r="C362">
        <f>IF('Equipment Information'!C362="","", 'Equipment Information'!C362)</f>
        <v/>
      </c>
      <c r="D362">
        <f>IF('Equipment Information'!D362="","", 'Equipment Information'!D362)</f>
        <v/>
      </c>
      <c r="E362">
        <f>IF(A362="","", IFERROR(VLOOKUP(A362, 'Energized Data'!A:T, 20, FALSE), "N/A"))</f>
        <v/>
      </c>
      <c r="F362">
        <f>IF(A362="","", IFERROR(VLOOKUP(A362, 'Insulation'!A:J, 9, FALSE), "N/A"))</f>
        <v/>
      </c>
      <c r="G362">
        <f>IF(A362="","", IFERROR(VLOOKUP(A362, 'DLRO'!A:I, 8, FALSE), "N/A"))</f>
        <v/>
      </c>
      <c r="H362">
        <f>IF(A362="","", IFERROR(VLOOKUP(A362, 'Torque'!A:I, 8, FALSE), "N/A"))</f>
        <v/>
      </c>
      <c r="I362">
        <f>IF(A362="","", IFERROR(VLOOKUP(A362, 'Infrared'!A:G, 6, FALSE), "N/A"))</f>
        <v/>
      </c>
      <c r="J362">
        <f>IF(A362="","", IFERROR(VLOOKUP(A362, 'Ultrasonic'!A:H, 7, FALSE), "N/A"))</f>
        <v/>
      </c>
      <c r="K362">
        <f>IF(A362="","", IFERROR(VLOOKUP(A362, 'Code Violations'!A:V, 22, FALSE), "N/A"))</f>
        <v/>
      </c>
      <c r="L362">
        <f>IF(A362="","", IF(COUNTIF(E362:K362, "FAIL")&gt;0, "FAIL", "PASS"))</f>
        <v/>
      </c>
    </row>
    <row r="363">
      <c r="A363">
        <f>IF('Equipment Information'!A363="","", 'Equipment Information'!A363)</f>
        <v/>
      </c>
      <c r="B363">
        <f>IF('Equipment Information'!B363="","", 'Equipment Information'!B363)</f>
        <v/>
      </c>
      <c r="C363">
        <f>IF('Equipment Information'!C363="","", 'Equipment Information'!C363)</f>
        <v/>
      </c>
      <c r="D363">
        <f>IF('Equipment Information'!D363="","", 'Equipment Information'!D363)</f>
        <v/>
      </c>
      <c r="E363">
        <f>IF(A363="","", IFERROR(VLOOKUP(A363, 'Energized Data'!A:T, 20, FALSE), "N/A"))</f>
        <v/>
      </c>
      <c r="F363">
        <f>IF(A363="","", IFERROR(VLOOKUP(A363, 'Insulation'!A:J, 9, FALSE), "N/A"))</f>
        <v/>
      </c>
      <c r="G363">
        <f>IF(A363="","", IFERROR(VLOOKUP(A363, 'DLRO'!A:I, 8, FALSE), "N/A"))</f>
        <v/>
      </c>
      <c r="H363">
        <f>IF(A363="","", IFERROR(VLOOKUP(A363, 'Torque'!A:I, 8, FALSE), "N/A"))</f>
        <v/>
      </c>
      <c r="I363">
        <f>IF(A363="","", IFERROR(VLOOKUP(A363, 'Infrared'!A:G, 6, FALSE), "N/A"))</f>
        <v/>
      </c>
      <c r="J363">
        <f>IF(A363="","", IFERROR(VLOOKUP(A363, 'Ultrasonic'!A:H, 7, FALSE), "N/A"))</f>
        <v/>
      </c>
      <c r="K363">
        <f>IF(A363="","", IFERROR(VLOOKUP(A363, 'Code Violations'!A:V, 22, FALSE), "N/A"))</f>
        <v/>
      </c>
      <c r="L363">
        <f>IF(A363="","", IF(COUNTIF(E363:K363, "FAIL")&gt;0, "FAIL", "PASS"))</f>
        <v/>
      </c>
    </row>
    <row r="364">
      <c r="A364">
        <f>IF('Equipment Information'!A364="","", 'Equipment Information'!A364)</f>
        <v/>
      </c>
      <c r="B364">
        <f>IF('Equipment Information'!B364="","", 'Equipment Information'!B364)</f>
        <v/>
      </c>
      <c r="C364">
        <f>IF('Equipment Information'!C364="","", 'Equipment Information'!C364)</f>
        <v/>
      </c>
      <c r="D364">
        <f>IF('Equipment Information'!D364="","", 'Equipment Information'!D364)</f>
        <v/>
      </c>
      <c r="E364">
        <f>IF(A364="","", IFERROR(VLOOKUP(A364, 'Energized Data'!A:T, 20, FALSE), "N/A"))</f>
        <v/>
      </c>
      <c r="F364">
        <f>IF(A364="","", IFERROR(VLOOKUP(A364, 'Insulation'!A:J, 9, FALSE), "N/A"))</f>
        <v/>
      </c>
      <c r="G364">
        <f>IF(A364="","", IFERROR(VLOOKUP(A364, 'DLRO'!A:I, 8, FALSE), "N/A"))</f>
        <v/>
      </c>
      <c r="H364">
        <f>IF(A364="","", IFERROR(VLOOKUP(A364, 'Torque'!A:I, 8, FALSE), "N/A"))</f>
        <v/>
      </c>
      <c r="I364">
        <f>IF(A364="","", IFERROR(VLOOKUP(A364, 'Infrared'!A:G, 6, FALSE), "N/A"))</f>
        <v/>
      </c>
      <c r="J364">
        <f>IF(A364="","", IFERROR(VLOOKUP(A364, 'Ultrasonic'!A:H, 7, FALSE), "N/A"))</f>
        <v/>
      </c>
      <c r="K364">
        <f>IF(A364="","", IFERROR(VLOOKUP(A364, 'Code Violations'!A:V, 22, FALSE), "N/A"))</f>
        <v/>
      </c>
      <c r="L364">
        <f>IF(A364="","", IF(COUNTIF(E364:K364, "FAIL")&gt;0, "FAIL", "PASS"))</f>
        <v/>
      </c>
    </row>
    <row r="365">
      <c r="A365">
        <f>IF('Equipment Information'!A365="","", 'Equipment Information'!A365)</f>
        <v/>
      </c>
      <c r="B365">
        <f>IF('Equipment Information'!B365="","", 'Equipment Information'!B365)</f>
        <v/>
      </c>
      <c r="C365">
        <f>IF('Equipment Information'!C365="","", 'Equipment Information'!C365)</f>
        <v/>
      </c>
      <c r="D365">
        <f>IF('Equipment Information'!D365="","", 'Equipment Information'!D365)</f>
        <v/>
      </c>
      <c r="E365">
        <f>IF(A365="","", IFERROR(VLOOKUP(A365, 'Energized Data'!A:T, 20, FALSE), "N/A"))</f>
        <v/>
      </c>
      <c r="F365">
        <f>IF(A365="","", IFERROR(VLOOKUP(A365, 'Insulation'!A:J, 9, FALSE), "N/A"))</f>
        <v/>
      </c>
      <c r="G365">
        <f>IF(A365="","", IFERROR(VLOOKUP(A365, 'DLRO'!A:I, 8, FALSE), "N/A"))</f>
        <v/>
      </c>
      <c r="H365">
        <f>IF(A365="","", IFERROR(VLOOKUP(A365, 'Torque'!A:I, 8, FALSE), "N/A"))</f>
        <v/>
      </c>
      <c r="I365">
        <f>IF(A365="","", IFERROR(VLOOKUP(A365, 'Infrared'!A:G, 6, FALSE), "N/A"))</f>
        <v/>
      </c>
      <c r="J365">
        <f>IF(A365="","", IFERROR(VLOOKUP(A365, 'Ultrasonic'!A:H, 7, FALSE), "N/A"))</f>
        <v/>
      </c>
      <c r="K365">
        <f>IF(A365="","", IFERROR(VLOOKUP(A365, 'Code Violations'!A:V, 22, FALSE), "N/A"))</f>
        <v/>
      </c>
      <c r="L365">
        <f>IF(A365="","", IF(COUNTIF(E365:K365, "FAIL")&gt;0, "FAIL", "PASS"))</f>
        <v/>
      </c>
    </row>
    <row r="366">
      <c r="A366">
        <f>IF('Equipment Information'!A366="","", 'Equipment Information'!A366)</f>
        <v/>
      </c>
      <c r="B366">
        <f>IF('Equipment Information'!B366="","", 'Equipment Information'!B366)</f>
        <v/>
      </c>
      <c r="C366">
        <f>IF('Equipment Information'!C366="","", 'Equipment Information'!C366)</f>
        <v/>
      </c>
      <c r="D366">
        <f>IF('Equipment Information'!D366="","", 'Equipment Information'!D366)</f>
        <v/>
      </c>
      <c r="E366">
        <f>IF(A366="","", IFERROR(VLOOKUP(A366, 'Energized Data'!A:T, 20, FALSE), "N/A"))</f>
        <v/>
      </c>
      <c r="F366">
        <f>IF(A366="","", IFERROR(VLOOKUP(A366, 'Insulation'!A:J, 9, FALSE), "N/A"))</f>
        <v/>
      </c>
      <c r="G366">
        <f>IF(A366="","", IFERROR(VLOOKUP(A366, 'DLRO'!A:I, 8, FALSE), "N/A"))</f>
        <v/>
      </c>
      <c r="H366">
        <f>IF(A366="","", IFERROR(VLOOKUP(A366, 'Torque'!A:I, 8, FALSE), "N/A"))</f>
        <v/>
      </c>
      <c r="I366">
        <f>IF(A366="","", IFERROR(VLOOKUP(A366, 'Infrared'!A:G, 6, FALSE), "N/A"))</f>
        <v/>
      </c>
      <c r="J366">
        <f>IF(A366="","", IFERROR(VLOOKUP(A366, 'Ultrasonic'!A:H, 7, FALSE), "N/A"))</f>
        <v/>
      </c>
      <c r="K366">
        <f>IF(A366="","", IFERROR(VLOOKUP(A366, 'Code Violations'!A:V, 22, FALSE), "N/A"))</f>
        <v/>
      </c>
      <c r="L366">
        <f>IF(A366="","", IF(COUNTIF(E366:K366, "FAIL")&gt;0, "FAIL", "PASS"))</f>
        <v/>
      </c>
    </row>
    <row r="367">
      <c r="A367">
        <f>IF('Equipment Information'!A367="","", 'Equipment Information'!A367)</f>
        <v/>
      </c>
      <c r="B367">
        <f>IF('Equipment Information'!B367="","", 'Equipment Information'!B367)</f>
        <v/>
      </c>
      <c r="C367">
        <f>IF('Equipment Information'!C367="","", 'Equipment Information'!C367)</f>
        <v/>
      </c>
      <c r="D367">
        <f>IF('Equipment Information'!D367="","", 'Equipment Information'!D367)</f>
        <v/>
      </c>
      <c r="E367">
        <f>IF(A367="","", IFERROR(VLOOKUP(A367, 'Energized Data'!A:T, 20, FALSE), "N/A"))</f>
        <v/>
      </c>
      <c r="F367">
        <f>IF(A367="","", IFERROR(VLOOKUP(A367, 'Insulation'!A:J, 9, FALSE), "N/A"))</f>
        <v/>
      </c>
      <c r="G367">
        <f>IF(A367="","", IFERROR(VLOOKUP(A367, 'DLRO'!A:I, 8, FALSE), "N/A"))</f>
        <v/>
      </c>
      <c r="H367">
        <f>IF(A367="","", IFERROR(VLOOKUP(A367, 'Torque'!A:I, 8, FALSE), "N/A"))</f>
        <v/>
      </c>
      <c r="I367">
        <f>IF(A367="","", IFERROR(VLOOKUP(A367, 'Infrared'!A:G, 6, FALSE), "N/A"))</f>
        <v/>
      </c>
      <c r="J367">
        <f>IF(A367="","", IFERROR(VLOOKUP(A367, 'Ultrasonic'!A:H, 7, FALSE), "N/A"))</f>
        <v/>
      </c>
      <c r="K367">
        <f>IF(A367="","", IFERROR(VLOOKUP(A367, 'Code Violations'!A:V, 22, FALSE), "N/A"))</f>
        <v/>
      </c>
      <c r="L367">
        <f>IF(A367="","", IF(COUNTIF(E367:K367, "FAIL")&gt;0, "FAIL", "PASS"))</f>
        <v/>
      </c>
    </row>
    <row r="368">
      <c r="A368">
        <f>IF('Equipment Information'!A368="","", 'Equipment Information'!A368)</f>
        <v/>
      </c>
      <c r="B368">
        <f>IF('Equipment Information'!B368="","", 'Equipment Information'!B368)</f>
        <v/>
      </c>
      <c r="C368">
        <f>IF('Equipment Information'!C368="","", 'Equipment Information'!C368)</f>
        <v/>
      </c>
      <c r="D368">
        <f>IF('Equipment Information'!D368="","", 'Equipment Information'!D368)</f>
        <v/>
      </c>
      <c r="E368">
        <f>IF(A368="","", IFERROR(VLOOKUP(A368, 'Energized Data'!A:T, 20, FALSE), "N/A"))</f>
        <v/>
      </c>
      <c r="F368">
        <f>IF(A368="","", IFERROR(VLOOKUP(A368, 'Insulation'!A:J, 9, FALSE), "N/A"))</f>
        <v/>
      </c>
      <c r="G368">
        <f>IF(A368="","", IFERROR(VLOOKUP(A368, 'DLRO'!A:I, 8, FALSE), "N/A"))</f>
        <v/>
      </c>
      <c r="H368">
        <f>IF(A368="","", IFERROR(VLOOKUP(A368, 'Torque'!A:I, 8, FALSE), "N/A"))</f>
        <v/>
      </c>
      <c r="I368">
        <f>IF(A368="","", IFERROR(VLOOKUP(A368, 'Infrared'!A:G, 6, FALSE), "N/A"))</f>
        <v/>
      </c>
      <c r="J368">
        <f>IF(A368="","", IFERROR(VLOOKUP(A368, 'Ultrasonic'!A:H, 7, FALSE), "N/A"))</f>
        <v/>
      </c>
      <c r="K368">
        <f>IF(A368="","", IFERROR(VLOOKUP(A368, 'Code Violations'!A:V, 22, FALSE), "N/A"))</f>
        <v/>
      </c>
      <c r="L368">
        <f>IF(A368="","", IF(COUNTIF(E368:K368, "FAIL")&gt;0, "FAIL", "PASS"))</f>
        <v/>
      </c>
    </row>
    <row r="369">
      <c r="A369">
        <f>IF('Equipment Information'!A369="","", 'Equipment Information'!A369)</f>
        <v/>
      </c>
      <c r="B369">
        <f>IF('Equipment Information'!B369="","", 'Equipment Information'!B369)</f>
        <v/>
      </c>
      <c r="C369">
        <f>IF('Equipment Information'!C369="","", 'Equipment Information'!C369)</f>
        <v/>
      </c>
      <c r="D369">
        <f>IF('Equipment Information'!D369="","", 'Equipment Information'!D369)</f>
        <v/>
      </c>
      <c r="E369">
        <f>IF(A369="","", IFERROR(VLOOKUP(A369, 'Energized Data'!A:T, 20, FALSE), "N/A"))</f>
        <v/>
      </c>
      <c r="F369">
        <f>IF(A369="","", IFERROR(VLOOKUP(A369, 'Insulation'!A:J, 9, FALSE), "N/A"))</f>
        <v/>
      </c>
      <c r="G369">
        <f>IF(A369="","", IFERROR(VLOOKUP(A369, 'DLRO'!A:I, 8, FALSE), "N/A"))</f>
        <v/>
      </c>
      <c r="H369">
        <f>IF(A369="","", IFERROR(VLOOKUP(A369, 'Torque'!A:I, 8, FALSE), "N/A"))</f>
        <v/>
      </c>
      <c r="I369">
        <f>IF(A369="","", IFERROR(VLOOKUP(A369, 'Infrared'!A:G, 6, FALSE), "N/A"))</f>
        <v/>
      </c>
      <c r="J369">
        <f>IF(A369="","", IFERROR(VLOOKUP(A369, 'Ultrasonic'!A:H, 7, FALSE), "N/A"))</f>
        <v/>
      </c>
      <c r="K369">
        <f>IF(A369="","", IFERROR(VLOOKUP(A369, 'Code Violations'!A:V, 22, FALSE), "N/A"))</f>
        <v/>
      </c>
      <c r="L369">
        <f>IF(A369="","", IF(COUNTIF(E369:K369, "FAIL")&gt;0, "FAIL", "PASS"))</f>
        <v/>
      </c>
    </row>
    <row r="370">
      <c r="A370">
        <f>IF('Equipment Information'!A370="","", 'Equipment Information'!A370)</f>
        <v/>
      </c>
      <c r="B370">
        <f>IF('Equipment Information'!B370="","", 'Equipment Information'!B370)</f>
        <v/>
      </c>
      <c r="C370">
        <f>IF('Equipment Information'!C370="","", 'Equipment Information'!C370)</f>
        <v/>
      </c>
      <c r="D370">
        <f>IF('Equipment Information'!D370="","", 'Equipment Information'!D370)</f>
        <v/>
      </c>
      <c r="E370">
        <f>IF(A370="","", IFERROR(VLOOKUP(A370, 'Energized Data'!A:T, 20, FALSE), "N/A"))</f>
        <v/>
      </c>
      <c r="F370">
        <f>IF(A370="","", IFERROR(VLOOKUP(A370, 'Insulation'!A:J, 9, FALSE), "N/A"))</f>
        <v/>
      </c>
      <c r="G370">
        <f>IF(A370="","", IFERROR(VLOOKUP(A370, 'DLRO'!A:I, 8, FALSE), "N/A"))</f>
        <v/>
      </c>
      <c r="H370">
        <f>IF(A370="","", IFERROR(VLOOKUP(A370, 'Torque'!A:I, 8, FALSE), "N/A"))</f>
        <v/>
      </c>
      <c r="I370">
        <f>IF(A370="","", IFERROR(VLOOKUP(A370, 'Infrared'!A:G, 6, FALSE), "N/A"))</f>
        <v/>
      </c>
      <c r="J370">
        <f>IF(A370="","", IFERROR(VLOOKUP(A370, 'Ultrasonic'!A:H, 7, FALSE), "N/A"))</f>
        <v/>
      </c>
      <c r="K370">
        <f>IF(A370="","", IFERROR(VLOOKUP(A370, 'Code Violations'!A:V, 22, FALSE), "N/A"))</f>
        <v/>
      </c>
      <c r="L370">
        <f>IF(A370="","", IF(COUNTIF(E370:K370, "FAIL")&gt;0, "FAIL", "PASS"))</f>
        <v/>
      </c>
    </row>
    <row r="371">
      <c r="A371">
        <f>IF('Equipment Information'!A371="","", 'Equipment Information'!A371)</f>
        <v/>
      </c>
      <c r="B371">
        <f>IF('Equipment Information'!B371="","", 'Equipment Information'!B371)</f>
        <v/>
      </c>
      <c r="C371">
        <f>IF('Equipment Information'!C371="","", 'Equipment Information'!C371)</f>
        <v/>
      </c>
      <c r="D371">
        <f>IF('Equipment Information'!D371="","", 'Equipment Information'!D371)</f>
        <v/>
      </c>
      <c r="E371">
        <f>IF(A371="","", IFERROR(VLOOKUP(A371, 'Energized Data'!A:T, 20, FALSE), "N/A"))</f>
        <v/>
      </c>
      <c r="F371">
        <f>IF(A371="","", IFERROR(VLOOKUP(A371, 'Insulation'!A:J, 9, FALSE), "N/A"))</f>
        <v/>
      </c>
      <c r="G371">
        <f>IF(A371="","", IFERROR(VLOOKUP(A371, 'DLRO'!A:I, 8, FALSE), "N/A"))</f>
        <v/>
      </c>
      <c r="H371">
        <f>IF(A371="","", IFERROR(VLOOKUP(A371, 'Torque'!A:I, 8, FALSE), "N/A"))</f>
        <v/>
      </c>
      <c r="I371">
        <f>IF(A371="","", IFERROR(VLOOKUP(A371, 'Infrared'!A:G, 6, FALSE), "N/A"))</f>
        <v/>
      </c>
      <c r="J371">
        <f>IF(A371="","", IFERROR(VLOOKUP(A371, 'Ultrasonic'!A:H, 7, FALSE), "N/A"))</f>
        <v/>
      </c>
      <c r="K371">
        <f>IF(A371="","", IFERROR(VLOOKUP(A371, 'Code Violations'!A:V, 22, FALSE), "N/A"))</f>
        <v/>
      </c>
      <c r="L371">
        <f>IF(A371="","", IF(COUNTIF(E371:K371, "FAIL")&gt;0, "FAIL", "PASS"))</f>
        <v/>
      </c>
    </row>
    <row r="372">
      <c r="A372">
        <f>IF('Equipment Information'!A372="","", 'Equipment Information'!A372)</f>
        <v/>
      </c>
      <c r="B372">
        <f>IF('Equipment Information'!B372="","", 'Equipment Information'!B372)</f>
        <v/>
      </c>
      <c r="C372">
        <f>IF('Equipment Information'!C372="","", 'Equipment Information'!C372)</f>
        <v/>
      </c>
      <c r="D372">
        <f>IF('Equipment Information'!D372="","", 'Equipment Information'!D372)</f>
        <v/>
      </c>
      <c r="E372">
        <f>IF(A372="","", IFERROR(VLOOKUP(A372, 'Energized Data'!A:T, 20, FALSE), "N/A"))</f>
        <v/>
      </c>
      <c r="F372">
        <f>IF(A372="","", IFERROR(VLOOKUP(A372, 'Insulation'!A:J, 9, FALSE), "N/A"))</f>
        <v/>
      </c>
      <c r="G372">
        <f>IF(A372="","", IFERROR(VLOOKUP(A372, 'DLRO'!A:I, 8, FALSE), "N/A"))</f>
        <v/>
      </c>
      <c r="H372">
        <f>IF(A372="","", IFERROR(VLOOKUP(A372, 'Torque'!A:I, 8, FALSE), "N/A"))</f>
        <v/>
      </c>
      <c r="I372">
        <f>IF(A372="","", IFERROR(VLOOKUP(A372, 'Infrared'!A:G, 6, FALSE), "N/A"))</f>
        <v/>
      </c>
      <c r="J372">
        <f>IF(A372="","", IFERROR(VLOOKUP(A372, 'Ultrasonic'!A:H, 7, FALSE), "N/A"))</f>
        <v/>
      </c>
      <c r="K372">
        <f>IF(A372="","", IFERROR(VLOOKUP(A372, 'Code Violations'!A:V, 22, FALSE), "N/A"))</f>
        <v/>
      </c>
      <c r="L372">
        <f>IF(A372="","", IF(COUNTIF(E372:K372, "FAIL")&gt;0, "FAIL", "PASS"))</f>
        <v/>
      </c>
    </row>
    <row r="373">
      <c r="A373">
        <f>IF('Equipment Information'!A373="","", 'Equipment Information'!A373)</f>
        <v/>
      </c>
      <c r="B373">
        <f>IF('Equipment Information'!B373="","", 'Equipment Information'!B373)</f>
        <v/>
      </c>
      <c r="C373">
        <f>IF('Equipment Information'!C373="","", 'Equipment Information'!C373)</f>
        <v/>
      </c>
      <c r="D373">
        <f>IF('Equipment Information'!D373="","", 'Equipment Information'!D373)</f>
        <v/>
      </c>
      <c r="E373">
        <f>IF(A373="","", IFERROR(VLOOKUP(A373, 'Energized Data'!A:T, 20, FALSE), "N/A"))</f>
        <v/>
      </c>
      <c r="F373">
        <f>IF(A373="","", IFERROR(VLOOKUP(A373, 'Insulation'!A:J, 9, FALSE), "N/A"))</f>
        <v/>
      </c>
      <c r="G373">
        <f>IF(A373="","", IFERROR(VLOOKUP(A373, 'DLRO'!A:I, 8, FALSE), "N/A"))</f>
        <v/>
      </c>
      <c r="H373">
        <f>IF(A373="","", IFERROR(VLOOKUP(A373, 'Torque'!A:I, 8, FALSE), "N/A"))</f>
        <v/>
      </c>
      <c r="I373">
        <f>IF(A373="","", IFERROR(VLOOKUP(A373, 'Infrared'!A:G, 6, FALSE), "N/A"))</f>
        <v/>
      </c>
      <c r="J373">
        <f>IF(A373="","", IFERROR(VLOOKUP(A373, 'Ultrasonic'!A:H, 7, FALSE), "N/A"))</f>
        <v/>
      </c>
      <c r="K373">
        <f>IF(A373="","", IFERROR(VLOOKUP(A373, 'Code Violations'!A:V, 22, FALSE), "N/A"))</f>
        <v/>
      </c>
      <c r="L373">
        <f>IF(A373="","", IF(COUNTIF(E373:K373, "FAIL")&gt;0, "FAIL", "PASS"))</f>
        <v/>
      </c>
    </row>
    <row r="374">
      <c r="A374">
        <f>IF('Equipment Information'!A374="","", 'Equipment Information'!A374)</f>
        <v/>
      </c>
      <c r="B374">
        <f>IF('Equipment Information'!B374="","", 'Equipment Information'!B374)</f>
        <v/>
      </c>
      <c r="C374">
        <f>IF('Equipment Information'!C374="","", 'Equipment Information'!C374)</f>
        <v/>
      </c>
      <c r="D374">
        <f>IF('Equipment Information'!D374="","", 'Equipment Information'!D374)</f>
        <v/>
      </c>
      <c r="E374">
        <f>IF(A374="","", IFERROR(VLOOKUP(A374, 'Energized Data'!A:T, 20, FALSE), "N/A"))</f>
        <v/>
      </c>
      <c r="F374">
        <f>IF(A374="","", IFERROR(VLOOKUP(A374, 'Insulation'!A:J, 9, FALSE), "N/A"))</f>
        <v/>
      </c>
      <c r="G374">
        <f>IF(A374="","", IFERROR(VLOOKUP(A374, 'DLRO'!A:I, 8, FALSE), "N/A"))</f>
        <v/>
      </c>
      <c r="H374">
        <f>IF(A374="","", IFERROR(VLOOKUP(A374, 'Torque'!A:I, 8, FALSE), "N/A"))</f>
        <v/>
      </c>
      <c r="I374">
        <f>IF(A374="","", IFERROR(VLOOKUP(A374, 'Infrared'!A:G, 6, FALSE), "N/A"))</f>
        <v/>
      </c>
      <c r="J374">
        <f>IF(A374="","", IFERROR(VLOOKUP(A374, 'Ultrasonic'!A:H, 7, FALSE), "N/A"))</f>
        <v/>
      </c>
      <c r="K374">
        <f>IF(A374="","", IFERROR(VLOOKUP(A374, 'Code Violations'!A:V, 22, FALSE), "N/A"))</f>
        <v/>
      </c>
      <c r="L374">
        <f>IF(A374="","", IF(COUNTIF(E374:K374, "FAIL")&gt;0, "FAIL", "PASS"))</f>
        <v/>
      </c>
    </row>
    <row r="375">
      <c r="A375">
        <f>IF('Equipment Information'!A375="","", 'Equipment Information'!A375)</f>
        <v/>
      </c>
      <c r="B375">
        <f>IF('Equipment Information'!B375="","", 'Equipment Information'!B375)</f>
        <v/>
      </c>
      <c r="C375">
        <f>IF('Equipment Information'!C375="","", 'Equipment Information'!C375)</f>
        <v/>
      </c>
      <c r="D375">
        <f>IF('Equipment Information'!D375="","", 'Equipment Information'!D375)</f>
        <v/>
      </c>
      <c r="E375">
        <f>IF(A375="","", IFERROR(VLOOKUP(A375, 'Energized Data'!A:T, 20, FALSE), "N/A"))</f>
        <v/>
      </c>
      <c r="F375">
        <f>IF(A375="","", IFERROR(VLOOKUP(A375, 'Insulation'!A:J, 9, FALSE), "N/A"))</f>
        <v/>
      </c>
      <c r="G375">
        <f>IF(A375="","", IFERROR(VLOOKUP(A375, 'DLRO'!A:I, 8, FALSE), "N/A"))</f>
        <v/>
      </c>
      <c r="H375">
        <f>IF(A375="","", IFERROR(VLOOKUP(A375, 'Torque'!A:I, 8, FALSE), "N/A"))</f>
        <v/>
      </c>
      <c r="I375">
        <f>IF(A375="","", IFERROR(VLOOKUP(A375, 'Infrared'!A:G, 6, FALSE), "N/A"))</f>
        <v/>
      </c>
      <c r="J375">
        <f>IF(A375="","", IFERROR(VLOOKUP(A375, 'Ultrasonic'!A:H, 7, FALSE), "N/A"))</f>
        <v/>
      </c>
      <c r="K375">
        <f>IF(A375="","", IFERROR(VLOOKUP(A375, 'Code Violations'!A:V, 22, FALSE), "N/A"))</f>
        <v/>
      </c>
      <c r="L375">
        <f>IF(A375="","", IF(COUNTIF(E375:K375, "FAIL")&gt;0, "FAIL", "PASS"))</f>
        <v/>
      </c>
    </row>
    <row r="376">
      <c r="A376">
        <f>IF('Equipment Information'!A376="","", 'Equipment Information'!A376)</f>
        <v/>
      </c>
      <c r="B376">
        <f>IF('Equipment Information'!B376="","", 'Equipment Information'!B376)</f>
        <v/>
      </c>
      <c r="C376">
        <f>IF('Equipment Information'!C376="","", 'Equipment Information'!C376)</f>
        <v/>
      </c>
      <c r="D376">
        <f>IF('Equipment Information'!D376="","", 'Equipment Information'!D376)</f>
        <v/>
      </c>
      <c r="E376">
        <f>IF(A376="","", IFERROR(VLOOKUP(A376, 'Energized Data'!A:T, 20, FALSE), "N/A"))</f>
        <v/>
      </c>
      <c r="F376">
        <f>IF(A376="","", IFERROR(VLOOKUP(A376, 'Insulation'!A:J, 9, FALSE), "N/A"))</f>
        <v/>
      </c>
      <c r="G376">
        <f>IF(A376="","", IFERROR(VLOOKUP(A376, 'DLRO'!A:I, 8, FALSE), "N/A"))</f>
        <v/>
      </c>
      <c r="H376">
        <f>IF(A376="","", IFERROR(VLOOKUP(A376, 'Torque'!A:I, 8, FALSE), "N/A"))</f>
        <v/>
      </c>
      <c r="I376">
        <f>IF(A376="","", IFERROR(VLOOKUP(A376, 'Infrared'!A:G, 6, FALSE), "N/A"))</f>
        <v/>
      </c>
      <c r="J376">
        <f>IF(A376="","", IFERROR(VLOOKUP(A376, 'Ultrasonic'!A:H, 7, FALSE), "N/A"))</f>
        <v/>
      </c>
      <c r="K376">
        <f>IF(A376="","", IFERROR(VLOOKUP(A376, 'Code Violations'!A:V, 22, FALSE), "N/A"))</f>
        <v/>
      </c>
      <c r="L376">
        <f>IF(A376="","", IF(COUNTIF(E376:K376, "FAIL")&gt;0, "FAIL", "PASS"))</f>
        <v/>
      </c>
    </row>
    <row r="377">
      <c r="A377">
        <f>IF('Equipment Information'!A377="","", 'Equipment Information'!A377)</f>
        <v/>
      </c>
      <c r="B377">
        <f>IF('Equipment Information'!B377="","", 'Equipment Information'!B377)</f>
        <v/>
      </c>
      <c r="C377">
        <f>IF('Equipment Information'!C377="","", 'Equipment Information'!C377)</f>
        <v/>
      </c>
      <c r="D377">
        <f>IF('Equipment Information'!D377="","", 'Equipment Information'!D377)</f>
        <v/>
      </c>
      <c r="E377">
        <f>IF(A377="","", IFERROR(VLOOKUP(A377, 'Energized Data'!A:T, 20, FALSE), "N/A"))</f>
        <v/>
      </c>
      <c r="F377">
        <f>IF(A377="","", IFERROR(VLOOKUP(A377, 'Insulation'!A:J, 9, FALSE), "N/A"))</f>
        <v/>
      </c>
      <c r="G377">
        <f>IF(A377="","", IFERROR(VLOOKUP(A377, 'DLRO'!A:I, 8, FALSE), "N/A"))</f>
        <v/>
      </c>
      <c r="H377">
        <f>IF(A377="","", IFERROR(VLOOKUP(A377, 'Torque'!A:I, 8, FALSE), "N/A"))</f>
        <v/>
      </c>
      <c r="I377">
        <f>IF(A377="","", IFERROR(VLOOKUP(A377, 'Infrared'!A:G, 6, FALSE), "N/A"))</f>
        <v/>
      </c>
      <c r="J377">
        <f>IF(A377="","", IFERROR(VLOOKUP(A377, 'Ultrasonic'!A:H, 7, FALSE), "N/A"))</f>
        <v/>
      </c>
      <c r="K377">
        <f>IF(A377="","", IFERROR(VLOOKUP(A377, 'Code Violations'!A:V, 22, FALSE), "N/A"))</f>
        <v/>
      </c>
      <c r="L377">
        <f>IF(A377="","", IF(COUNTIF(E377:K377, "FAIL")&gt;0, "FAIL", "PASS"))</f>
        <v/>
      </c>
    </row>
    <row r="378">
      <c r="A378">
        <f>IF('Equipment Information'!A378="","", 'Equipment Information'!A378)</f>
        <v/>
      </c>
      <c r="B378">
        <f>IF('Equipment Information'!B378="","", 'Equipment Information'!B378)</f>
        <v/>
      </c>
      <c r="C378">
        <f>IF('Equipment Information'!C378="","", 'Equipment Information'!C378)</f>
        <v/>
      </c>
      <c r="D378">
        <f>IF('Equipment Information'!D378="","", 'Equipment Information'!D378)</f>
        <v/>
      </c>
      <c r="E378">
        <f>IF(A378="","", IFERROR(VLOOKUP(A378, 'Energized Data'!A:T, 20, FALSE), "N/A"))</f>
        <v/>
      </c>
      <c r="F378">
        <f>IF(A378="","", IFERROR(VLOOKUP(A378, 'Insulation'!A:J, 9, FALSE), "N/A"))</f>
        <v/>
      </c>
      <c r="G378">
        <f>IF(A378="","", IFERROR(VLOOKUP(A378, 'DLRO'!A:I, 8, FALSE), "N/A"))</f>
        <v/>
      </c>
      <c r="H378">
        <f>IF(A378="","", IFERROR(VLOOKUP(A378, 'Torque'!A:I, 8, FALSE), "N/A"))</f>
        <v/>
      </c>
      <c r="I378">
        <f>IF(A378="","", IFERROR(VLOOKUP(A378, 'Infrared'!A:G, 6, FALSE), "N/A"))</f>
        <v/>
      </c>
      <c r="J378">
        <f>IF(A378="","", IFERROR(VLOOKUP(A378, 'Ultrasonic'!A:H, 7, FALSE), "N/A"))</f>
        <v/>
      </c>
      <c r="K378">
        <f>IF(A378="","", IFERROR(VLOOKUP(A378, 'Code Violations'!A:V, 22, FALSE), "N/A"))</f>
        <v/>
      </c>
      <c r="L378">
        <f>IF(A378="","", IF(COUNTIF(E378:K378, "FAIL")&gt;0, "FAIL", "PASS"))</f>
        <v/>
      </c>
    </row>
    <row r="379">
      <c r="A379">
        <f>IF('Equipment Information'!A379="","", 'Equipment Information'!A379)</f>
        <v/>
      </c>
      <c r="B379">
        <f>IF('Equipment Information'!B379="","", 'Equipment Information'!B379)</f>
        <v/>
      </c>
      <c r="C379">
        <f>IF('Equipment Information'!C379="","", 'Equipment Information'!C379)</f>
        <v/>
      </c>
      <c r="D379">
        <f>IF('Equipment Information'!D379="","", 'Equipment Information'!D379)</f>
        <v/>
      </c>
      <c r="E379">
        <f>IF(A379="","", IFERROR(VLOOKUP(A379, 'Energized Data'!A:T, 20, FALSE), "N/A"))</f>
        <v/>
      </c>
      <c r="F379">
        <f>IF(A379="","", IFERROR(VLOOKUP(A379, 'Insulation'!A:J, 9, FALSE), "N/A"))</f>
        <v/>
      </c>
      <c r="G379">
        <f>IF(A379="","", IFERROR(VLOOKUP(A379, 'DLRO'!A:I, 8, FALSE), "N/A"))</f>
        <v/>
      </c>
      <c r="H379">
        <f>IF(A379="","", IFERROR(VLOOKUP(A379, 'Torque'!A:I, 8, FALSE), "N/A"))</f>
        <v/>
      </c>
      <c r="I379">
        <f>IF(A379="","", IFERROR(VLOOKUP(A379, 'Infrared'!A:G, 6, FALSE), "N/A"))</f>
        <v/>
      </c>
      <c r="J379">
        <f>IF(A379="","", IFERROR(VLOOKUP(A379, 'Ultrasonic'!A:H, 7, FALSE), "N/A"))</f>
        <v/>
      </c>
      <c r="K379">
        <f>IF(A379="","", IFERROR(VLOOKUP(A379, 'Code Violations'!A:V, 22, FALSE), "N/A"))</f>
        <v/>
      </c>
      <c r="L379">
        <f>IF(A379="","", IF(COUNTIF(E379:K379, "FAIL")&gt;0, "FAIL", "PASS"))</f>
        <v/>
      </c>
    </row>
    <row r="380">
      <c r="A380">
        <f>IF('Equipment Information'!A380="","", 'Equipment Information'!A380)</f>
        <v/>
      </c>
      <c r="B380">
        <f>IF('Equipment Information'!B380="","", 'Equipment Information'!B380)</f>
        <v/>
      </c>
      <c r="C380">
        <f>IF('Equipment Information'!C380="","", 'Equipment Information'!C380)</f>
        <v/>
      </c>
      <c r="D380">
        <f>IF('Equipment Information'!D380="","", 'Equipment Information'!D380)</f>
        <v/>
      </c>
      <c r="E380">
        <f>IF(A380="","", IFERROR(VLOOKUP(A380, 'Energized Data'!A:T, 20, FALSE), "N/A"))</f>
        <v/>
      </c>
      <c r="F380">
        <f>IF(A380="","", IFERROR(VLOOKUP(A380, 'Insulation'!A:J, 9, FALSE), "N/A"))</f>
        <v/>
      </c>
      <c r="G380">
        <f>IF(A380="","", IFERROR(VLOOKUP(A380, 'DLRO'!A:I, 8, FALSE), "N/A"))</f>
        <v/>
      </c>
      <c r="H380">
        <f>IF(A380="","", IFERROR(VLOOKUP(A380, 'Torque'!A:I, 8, FALSE), "N/A"))</f>
        <v/>
      </c>
      <c r="I380">
        <f>IF(A380="","", IFERROR(VLOOKUP(A380, 'Infrared'!A:G, 6, FALSE), "N/A"))</f>
        <v/>
      </c>
      <c r="J380">
        <f>IF(A380="","", IFERROR(VLOOKUP(A380, 'Ultrasonic'!A:H, 7, FALSE), "N/A"))</f>
        <v/>
      </c>
      <c r="K380">
        <f>IF(A380="","", IFERROR(VLOOKUP(A380, 'Code Violations'!A:V, 22, FALSE), "N/A"))</f>
        <v/>
      </c>
      <c r="L380">
        <f>IF(A380="","", IF(COUNTIF(E380:K380, "FAIL")&gt;0, "FAIL", "PASS"))</f>
        <v/>
      </c>
    </row>
    <row r="381">
      <c r="A381">
        <f>IF('Equipment Information'!A381="","", 'Equipment Information'!A381)</f>
        <v/>
      </c>
      <c r="B381">
        <f>IF('Equipment Information'!B381="","", 'Equipment Information'!B381)</f>
        <v/>
      </c>
      <c r="C381">
        <f>IF('Equipment Information'!C381="","", 'Equipment Information'!C381)</f>
        <v/>
      </c>
      <c r="D381">
        <f>IF('Equipment Information'!D381="","", 'Equipment Information'!D381)</f>
        <v/>
      </c>
      <c r="E381">
        <f>IF(A381="","", IFERROR(VLOOKUP(A381, 'Energized Data'!A:T, 20, FALSE), "N/A"))</f>
        <v/>
      </c>
      <c r="F381">
        <f>IF(A381="","", IFERROR(VLOOKUP(A381, 'Insulation'!A:J, 9, FALSE), "N/A"))</f>
        <v/>
      </c>
      <c r="G381">
        <f>IF(A381="","", IFERROR(VLOOKUP(A381, 'DLRO'!A:I, 8, FALSE), "N/A"))</f>
        <v/>
      </c>
      <c r="H381">
        <f>IF(A381="","", IFERROR(VLOOKUP(A381, 'Torque'!A:I, 8, FALSE), "N/A"))</f>
        <v/>
      </c>
      <c r="I381">
        <f>IF(A381="","", IFERROR(VLOOKUP(A381, 'Infrared'!A:G, 6, FALSE), "N/A"))</f>
        <v/>
      </c>
      <c r="J381">
        <f>IF(A381="","", IFERROR(VLOOKUP(A381, 'Ultrasonic'!A:H, 7, FALSE), "N/A"))</f>
        <v/>
      </c>
      <c r="K381">
        <f>IF(A381="","", IFERROR(VLOOKUP(A381, 'Code Violations'!A:V, 22, FALSE), "N/A"))</f>
        <v/>
      </c>
      <c r="L381">
        <f>IF(A381="","", IF(COUNTIF(E381:K381, "FAIL")&gt;0, "FAIL", "PASS"))</f>
        <v/>
      </c>
    </row>
    <row r="382">
      <c r="A382">
        <f>IF('Equipment Information'!A382="","", 'Equipment Information'!A382)</f>
        <v/>
      </c>
      <c r="B382">
        <f>IF('Equipment Information'!B382="","", 'Equipment Information'!B382)</f>
        <v/>
      </c>
      <c r="C382">
        <f>IF('Equipment Information'!C382="","", 'Equipment Information'!C382)</f>
        <v/>
      </c>
      <c r="D382">
        <f>IF('Equipment Information'!D382="","", 'Equipment Information'!D382)</f>
        <v/>
      </c>
      <c r="E382">
        <f>IF(A382="","", IFERROR(VLOOKUP(A382, 'Energized Data'!A:T, 20, FALSE), "N/A"))</f>
        <v/>
      </c>
      <c r="F382">
        <f>IF(A382="","", IFERROR(VLOOKUP(A382, 'Insulation'!A:J, 9, FALSE), "N/A"))</f>
        <v/>
      </c>
      <c r="G382">
        <f>IF(A382="","", IFERROR(VLOOKUP(A382, 'DLRO'!A:I, 8, FALSE), "N/A"))</f>
        <v/>
      </c>
      <c r="H382">
        <f>IF(A382="","", IFERROR(VLOOKUP(A382, 'Torque'!A:I, 8, FALSE), "N/A"))</f>
        <v/>
      </c>
      <c r="I382">
        <f>IF(A382="","", IFERROR(VLOOKUP(A382, 'Infrared'!A:G, 6, FALSE), "N/A"))</f>
        <v/>
      </c>
      <c r="J382">
        <f>IF(A382="","", IFERROR(VLOOKUP(A382, 'Ultrasonic'!A:H, 7, FALSE), "N/A"))</f>
        <v/>
      </c>
      <c r="K382">
        <f>IF(A382="","", IFERROR(VLOOKUP(A382, 'Code Violations'!A:V, 22, FALSE), "N/A"))</f>
        <v/>
      </c>
      <c r="L382">
        <f>IF(A382="","", IF(COUNTIF(E382:K382, "FAIL")&gt;0, "FAIL", "PASS"))</f>
        <v/>
      </c>
    </row>
    <row r="383">
      <c r="A383">
        <f>IF('Equipment Information'!A383="","", 'Equipment Information'!A383)</f>
        <v/>
      </c>
      <c r="B383">
        <f>IF('Equipment Information'!B383="","", 'Equipment Information'!B383)</f>
        <v/>
      </c>
      <c r="C383">
        <f>IF('Equipment Information'!C383="","", 'Equipment Information'!C383)</f>
        <v/>
      </c>
      <c r="D383">
        <f>IF('Equipment Information'!D383="","", 'Equipment Information'!D383)</f>
        <v/>
      </c>
      <c r="E383">
        <f>IF(A383="","", IFERROR(VLOOKUP(A383, 'Energized Data'!A:T, 20, FALSE), "N/A"))</f>
        <v/>
      </c>
      <c r="F383">
        <f>IF(A383="","", IFERROR(VLOOKUP(A383, 'Insulation'!A:J, 9, FALSE), "N/A"))</f>
        <v/>
      </c>
      <c r="G383">
        <f>IF(A383="","", IFERROR(VLOOKUP(A383, 'DLRO'!A:I, 8, FALSE), "N/A"))</f>
        <v/>
      </c>
      <c r="H383">
        <f>IF(A383="","", IFERROR(VLOOKUP(A383, 'Torque'!A:I, 8, FALSE), "N/A"))</f>
        <v/>
      </c>
      <c r="I383">
        <f>IF(A383="","", IFERROR(VLOOKUP(A383, 'Infrared'!A:G, 6, FALSE), "N/A"))</f>
        <v/>
      </c>
      <c r="J383">
        <f>IF(A383="","", IFERROR(VLOOKUP(A383, 'Ultrasonic'!A:H, 7, FALSE), "N/A"))</f>
        <v/>
      </c>
      <c r="K383">
        <f>IF(A383="","", IFERROR(VLOOKUP(A383, 'Code Violations'!A:V, 22, FALSE), "N/A"))</f>
        <v/>
      </c>
      <c r="L383">
        <f>IF(A383="","", IF(COUNTIF(E383:K383, "FAIL")&gt;0, "FAIL", "PASS"))</f>
        <v/>
      </c>
    </row>
    <row r="384">
      <c r="A384">
        <f>IF('Equipment Information'!A384="","", 'Equipment Information'!A384)</f>
        <v/>
      </c>
      <c r="B384">
        <f>IF('Equipment Information'!B384="","", 'Equipment Information'!B384)</f>
        <v/>
      </c>
      <c r="C384">
        <f>IF('Equipment Information'!C384="","", 'Equipment Information'!C384)</f>
        <v/>
      </c>
      <c r="D384">
        <f>IF('Equipment Information'!D384="","", 'Equipment Information'!D384)</f>
        <v/>
      </c>
      <c r="E384">
        <f>IF(A384="","", IFERROR(VLOOKUP(A384, 'Energized Data'!A:T, 20, FALSE), "N/A"))</f>
        <v/>
      </c>
      <c r="F384">
        <f>IF(A384="","", IFERROR(VLOOKUP(A384, 'Insulation'!A:J, 9, FALSE), "N/A"))</f>
        <v/>
      </c>
      <c r="G384">
        <f>IF(A384="","", IFERROR(VLOOKUP(A384, 'DLRO'!A:I, 8, FALSE), "N/A"))</f>
        <v/>
      </c>
      <c r="H384">
        <f>IF(A384="","", IFERROR(VLOOKUP(A384, 'Torque'!A:I, 8, FALSE), "N/A"))</f>
        <v/>
      </c>
      <c r="I384">
        <f>IF(A384="","", IFERROR(VLOOKUP(A384, 'Infrared'!A:G, 6, FALSE), "N/A"))</f>
        <v/>
      </c>
      <c r="J384">
        <f>IF(A384="","", IFERROR(VLOOKUP(A384, 'Ultrasonic'!A:H, 7, FALSE), "N/A"))</f>
        <v/>
      </c>
      <c r="K384">
        <f>IF(A384="","", IFERROR(VLOOKUP(A384, 'Code Violations'!A:V, 22, FALSE), "N/A"))</f>
        <v/>
      </c>
      <c r="L384">
        <f>IF(A384="","", IF(COUNTIF(E384:K384, "FAIL")&gt;0, "FAIL", "PASS"))</f>
        <v/>
      </c>
    </row>
    <row r="385">
      <c r="A385">
        <f>IF('Equipment Information'!A385="","", 'Equipment Information'!A385)</f>
        <v/>
      </c>
      <c r="B385">
        <f>IF('Equipment Information'!B385="","", 'Equipment Information'!B385)</f>
        <v/>
      </c>
      <c r="C385">
        <f>IF('Equipment Information'!C385="","", 'Equipment Information'!C385)</f>
        <v/>
      </c>
      <c r="D385">
        <f>IF('Equipment Information'!D385="","", 'Equipment Information'!D385)</f>
        <v/>
      </c>
      <c r="E385">
        <f>IF(A385="","", IFERROR(VLOOKUP(A385, 'Energized Data'!A:T, 20, FALSE), "N/A"))</f>
        <v/>
      </c>
      <c r="F385">
        <f>IF(A385="","", IFERROR(VLOOKUP(A385, 'Insulation'!A:J, 9, FALSE), "N/A"))</f>
        <v/>
      </c>
      <c r="G385">
        <f>IF(A385="","", IFERROR(VLOOKUP(A385, 'DLRO'!A:I, 8, FALSE), "N/A"))</f>
        <v/>
      </c>
      <c r="H385">
        <f>IF(A385="","", IFERROR(VLOOKUP(A385, 'Torque'!A:I, 8, FALSE), "N/A"))</f>
        <v/>
      </c>
      <c r="I385">
        <f>IF(A385="","", IFERROR(VLOOKUP(A385, 'Infrared'!A:G, 6, FALSE), "N/A"))</f>
        <v/>
      </c>
      <c r="J385">
        <f>IF(A385="","", IFERROR(VLOOKUP(A385, 'Ultrasonic'!A:H, 7, FALSE), "N/A"))</f>
        <v/>
      </c>
      <c r="K385">
        <f>IF(A385="","", IFERROR(VLOOKUP(A385, 'Code Violations'!A:V, 22, FALSE), "N/A"))</f>
        <v/>
      </c>
      <c r="L385">
        <f>IF(A385="","", IF(COUNTIF(E385:K385, "FAIL")&gt;0, "FAIL", "PASS"))</f>
        <v/>
      </c>
    </row>
    <row r="386">
      <c r="A386">
        <f>IF('Equipment Information'!A386="","", 'Equipment Information'!A386)</f>
        <v/>
      </c>
      <c r="B386">
        <f>IF('Equipment Information'!B386="","", 'Equipment Information'!B386)</f>
        <v/>
      </c>
      <c r="C386">
        <f>IF('Equipment Information'!C386="","", 'Equipment Information'!C386)</f>
        <v/>
      </c>
      <c r="D386">
        <f>IF('Equipment Information'!D386="","", 'Equipment Information'!D386)</f>
        <v/>
      </c>
      <c r="E386">
        <f>IF(A386="","", IFERROR(VLOOKUP(A386, 'Energized Data'!A:T, 20, FALSE), "N/A"))</f>
        <v/>
      </c>
      <c r="F386">
        <f>IF(A386="","", IFERROR(VLOOKUP(A386, 'Insulation'!A:J, 9, FALSE), "N/A"))</f>
        <v/>
      </c>
      <c r="G386">
        <f>IF(A386="","", IFERROR(VLOOKUP(A386, 'DLRO'!A:I, 8, FALSE), "N/A"))</f>
        <v/>
      </c>
      <c r="H386">
        <f>IF(A386="","", IFERROR(VLOOKUP(A386, 'Torque'!A:I, 8, FALSE), "N/A"))</f>
        <v/>
      </c>
      <c r="I386">
        <f>IF(A386="","", IFERROR(VLOOKUP(A386, 'Infrared'!A:G, 6, FALSE), "N/A"))</f>
        <v/>
      </c>
      <c r="J386">
        <f>IF(A386="","", IFERROR(VLOOKUP(A386, 'Ultrasonic'!A:H, 7, FALSE), "N/A"))</f>
        <v/>
      </c>
      <c r="K386">
        <f>IF(A386="","", IFERROR(VLOOKUP(A386, 'Code Violations'!A:V, 22, FALSE), "N/A"))</f>
        <v/>
      </c>
      <c r="L386">
        <f>IF(A386="","", IF(COUNTIF(E386:K386, "FAIL")&gt;0, "FAIL", "PASS"))</f>
        <v/>
      </c>
    </row>
    <row r="387">
      <c r="A387">
        <f>IF('Equipment Information'!A387="","", 'Equipment Information'!A387)</f>
        <v/>
      </c>
      <c r="B387">
        <f>IF('Equipment Information'!B387="","", 'Equipment Information'!B387)</f>
        <v/>
      </c>
      <c r="C387">
        <f>IF('Equipment Information'!C387="","", 'Equipment Information'!C387)</f>
        <v/>
      </c>
      <c r="D387">
        <f>IF('Equipment Information'!D387="","", 'Equipment Information'!D387)</f>
        <v/>
      </c>
      <c r="E387">
        <f>IF(A387="","", IFERROR(VLOOKUP(A387, 'Energized Data'!A:T, 20, FALSE), "N/A"))</f>
        <v/>
      </c>
      <c r="F387">
        <f>IF(A387="","", IFERROR(VLOOKUP(A387, 'Insulation'!A:J, 9, FALSE), "N/A"))</f>
        <v/>
      </c>
      <c r="G387">
        <f>IF(A387="","", IFERROR(VLOOKUP(A387, 'DLRO'!A:I, 8, FALSE), "N/A"))</f>
        <v/>
      </c>
      <c r="H387">
        <f>IF(A387="","", IFERROR(VLOOKUP(A387, 'Torque'!A:I, 8, FALSE), "N/A"))</f>
        <v/>
      </c>
      <c r="I387">
        <f>IF(A387="","", IFERROR(VLOOKUP(A387, 'Infrared'!A:G, 6, FALSE), "N/A"))</f>
        <v/>
      </c>
      <c r="J387">
        <f>IF(A387="","", IFERROR(VLOOKUP(A387, 'Ultrasonic'!A:H, 7, FALSE), "N/A"))</f>
        <v/>
      </c>
      <c r="K387">
        <f>IF(A387="","", IFERROR(VLOOKUP(A387, 'Code Violations'!A:V, 22, FALSE), "N/A"))</f>
        <v/>
      </c>
      <c r="L387">
        <f>IF(A387="","", IF(COUNTIF(E387:K387, "FAIL")&gt;0, "FAIL", "PASS"))</f>
        <v/>
      </c>
    </row>
    <row r="388">
      <c r="A388">
        <f>IF('Equipment Information'!A388="","", 'Equipment Information'!A388)</f>
        <v/>
      </c>
      <c r="B388">
        <f>IF('Equipment Information'!B388="","", 'Equipment Information'!B388)</f>
        <v/>
      </c>
      <c r="C388">
        <f>IF('Equipment Information'!C388="","", 'Equipment Information'!C388)</f>
        <v/>
      </c>
      <c r="D388">
        <f>IF('Equipment Information'!D388="","", 'Equipment Information'!D388)</f>
        <v/>
      </c>
      <c r="E388">
        <f>IF(A388="","", IFERROR(VLOOKUP(A388, 'Energized Data'!A:T, 20, FALSE), "N/A"))</f>
        <v/>
      </c>
      <c r="F388">
        <f>IF(A388="","", IFERROR(VLOOKUP(A388, 'Insulation'!A:J, 9, FALSE), "N/A"))</f>
        <v/>
      </c>
      <c r="G388">
        <f>IF(A388="","", IFERROR(VLOOKUP(A388, 'DLRO'!A:I, 8, FALSE), "N/A"))</f>
        <v/>
      </c>
      <c r="H388">
        <f>IF(A388="","", IFERROR(VLOOKUP(A388, 'Torque'!A:I, 8, FALSE), "N/A"))</f>
        <v/>
      </c>
      <c r="I388">
        <f>IF(A388="","", IFERROR(VLOOKUP(A388, 'Infrared'!A:G, 6, FALSE), "N/A"))</f>
        <v/>
      </c>
      <c r="J388">
        <f>IF(A388="","", IFERROR(VLOOKUP(A388, 'Ultrasonic'!A:H, 7, FALSE), "N/A"))</f>
        <v/>
      </c>
      <c r="K388">
        <f>IF(A388="","", IFERROR(VLOOKUP(A388, 'Code Violations'!A:V, 22, FALSE), "N/A"))</f>
        <v/>
      </c>
      <c r="L388">
        <f>IF(A388="","", IF(COUNTIF(E388:K388, "FAIL")&gt;0, "FAIL", "PASS"))</f>
        <v/>
      </c>
    </row>
    <row r="389">
      <c r="A389">
        <f>IF('Equipment Information'!A389="","", 'Equipment Information'!A389)</f>
        <v/>
      </c>
      <c r="B389">
        <f>IF('Equipment Information'!B389="","", 'Equipment Information'!B389)</f>
        <v/>
      </c>
      <c r="C389">
        <f>IF('Equipment Information'!C389="","", 'Equipment Information'!C389)</f>
        <v/>
      </c>
      <c r="D389">
        <f>IF('Equipment Information'!D389="","", 'Equipment Information'!D389)</f>
        <v/>
      </c>
      <c r="E389">
        <f>IF(A389="","", IFERROR(VLOOKUP(A389, 'Energized Data'!A:T, 20, FALSE), "N/A"))</f>
        <v/>
      </c>
      <c r="F389">
        <f>IF(A389="","", IFERROR(VLOOKUP(A389, 'Insulation'!A:J, 9, FALSE), "N/A"))</f>
        <v/>
      </c>
      <c r="G389">
        <f>IF(A389="","", IFERROR(VLOOKUP(A389, 'DLRO'!A:I, 8, FALSE), "N/A"))</f>
        <v/>
      </c>
      <c r="H389">
        <f>IF(A389="","", IFERROR(VLOOKUP(A389, 'Torque'!A:I, 8, FALSE), "N/A"))</f>
        <v/>
      </c>
      <c r="I389">
        <f>IF(A389="","", IFERROR(VLOOKUP(A389, 'Infrared'!A:G, 6, FALSE), "N/A"))</f>
        <v/>
      </c>
      <c r="J389">
        <f>IF(A389="","", IFERROR(VLOOKUP(A389, 'Ultrasonic'!A:H, 7, FALSE), "N/A"))</f>
        <v/>
      </c>
      <c r="K389">
        <f>IF(A389="","", IFERROR(VLOOKUP(A389, 'Code Violations'!A:V, 22, FALSE), "N/A"))</f>
        <v/>
      </c>
      <c r="L389">
        <f>IF(A389="","", IF(COUNTIF(E389:K389, "FAIL")&gt;0, "FAIL", "PASS"))</f>
        <v/>
      </c>
    </row>
    <row r="390">
      <c r="A390">
        <f>IF('Equipment Information'!A390="","", 'Equipment Information'!A390)</f>
        <v/>
      </c>
      <c r="B390">
        <f>IF('Equipment Information'!B390="","", 'Equipment Information'!B390)</f>
        <v/>
      </c>
      <c r="C390">
        <f>IF('Equipment Information'!C390="","", 'Equipment Information'!C390)</f>
        <v/>
      </c>
      <c r="D390">
        <f>IF('Equipment Information'!D390="","", 'Equipment Information'!D390)</f>
        <v/>
      </c>
      <c r="E390">
        <f>IF(A390="","", IFERROR(VLOOKUP(A390, 'Energized Data'!A:T, 20, FALSE), "N/A"))</f>
        <v/>
      </c>
      <c r="F390">
        <f>IF(A390="","", IFERROR(VLOOKUP(A390, 'Insulation'!A:J, 9, FALSE), "N/A"))</f>
        <v/>
      </c>
      <c r="G390">
        <f>IF(A390="","", IFERROR(VLOOKUP(A390, 'DLRO'!A:I, 8, FALSE), "N/A"))</f>
        <v/>
      </c>
      <c r="H390">
        <f>IF(A390="","", IFERROR(VLOOKUP(A390, 'Torque'!A:I, 8, FALSE), "N/A"))</f>
        <v/>
      </c>
      <c r="I390">
        <f>IF(A390="","", IFERROR(VLOOKUP(A390, 'Infrared'!A:G, 6, FALSE), "N/A"))</f>
        <v/>
      </c>
      <c r="J390">
        <f>IF(A390="","", IFERROR(VLOOKUP(A390, 'Ultrasonic'!A:H, 7, FALSE), "N/A"))</f>
        <v/>
      </c>
      <c r="K390">
        <f>IF(A390="","", IFERROR(VLOOKUP(A390, 'Code Violations'!A:V, 22, FALSE), "N/A"))</f>
        <v/>
      </c>
      <c r="L390">
        <f>IF(A390="","", IF(COUNTIF(E390:K390, "FAIL")&gt;0, "FAIL", "PASS"))</f>
        <v/>
      </c>
    </row>
    <row r="391">
      <c r="A391">
        <f>IF('Equipment Information'!A391="","", 'Equipment Information'!A391)</f>
        <v/>
      </c>
      <c r="B391">
        <f>IF('Equipment Information'!B391="","", 'Equipment Information'!B391)</f>
        <v/>
      </c>
      <c r="C391">
        <f>IF('Equipment Information'!C391="","", 'Equipment Information'!C391)</f>
        <v/>
      </c>
      <c r="D391">
        <f>IF('Equipment Information'!D391="","", 'Equipment Information'!D391)</f>
        <v/>
      </c>
      <c r="E391">
        <f>IF(A391="","", IFERROR(VLOOKUP(A391, 'Energized Data'!A:T, 20, FALSE), "N/A"))</f>
        <v/>
      </c>
      <c r="F391">
        <f>IF(A391="","", IFERROR(VLOOKUP(A391, 'Insulation'!A:J, 9, FALSE), "N/A"))</f>
        <v/>
      </c>
      <c r="G391">
        <f>IF(A391="","", IFERROR(VLOOKUP(A391, 'DLRO'!A:I, 8, FALSE), "N/A"))</f>
        <v/>
      </c>
      <c r="H391">
        <f>IF(A391="","", IFERROR(VLOOKUP(A391, 'Torque'!A:I, 8, FALSE), "N/A"))</f>
        <v/>
      </c>
      <c r="I391">
        <f>IF(A391="","", IFERROR(VLOOKUP(A391, 'Infrared'!A:G, 6, FALSE), "N/A"))</f>
        <v/>
      </c>
      <c r="J391">
        <f>IF(A391="","", IFERROR(VLOOKUP(A391, 'Ultrasonic'!A:H, 7, FALSE), "N/A"))</f>
        <v/>
      </c>
      <c r="K391">
        <f>IF(A391="","", IFERROR(VLOOKUP(A391, 'Code Violations'!A:V, 22, FALSE), "N/A"))</f>
        <v/>
      </c>
      <c r="L391">
        <f>IF(A391="","", IF(COUNTIF(E391:K391, "FAIL")&gt;0, "FAIL", "PASS"))</f>
        <v/>
      </c>
    </row>
    <row r="392">
      <c r="A392">
        <f>IF('Equipment Information'!A392="","", 'Equipment Information'!A392)</f>
        <v/>
      </c>
      <c r="B392">
        <f>IF('Equipment Information'!B392="","", 'Equipment Information'!B392)</f>
        <v/>
      </c>
      <c r="C392">
        <f>IF('Equipment Information'!C392="","", 'Equipment Information'!C392)</f>
        <v/>
      </c>
      <c r="D392">
        <f>IF('Equipment Information'!D392="","", 'Equipment Information'!D392)</f>
        <v/>
      </c>
      <c r="E392">
        <f>IF(A392="","", IFERROR(VLOOKUP(A392, 'Energized Data'!A:T, 20, FALSE), "N/A"))</f>
        <v/>
      </c>
      <c r="F392">
        <f>IF(A392="","", IFERROR(VLOOKUP(A392, 'Insulation'!A:J, 9, FALSE), "N/A"))</f>
        <v/>
      </c>
      <c r="G392">
        <f>IF(A392="","", IFERROR(VLOOKUP(A392, 'DLRO'!A:I, 8, FALSE), "N/A"))</f>
        <v/>
      </c>
      <c r="H392">
        <f>IF(A392="","", IFERROR(VLOOKUP(A392, 'Torque'!A:I, 8, FALSE), "N/A"))</f>
        <v/>
      </c>
      <c r="I392">
        <f>IF(A392="","", IFERROR(VLOOKUP(A392, 'Infrared'!A:G, 6, FALSE), "N/A"))</f>
        <v/>
      </c>
      <c r="J392">
        <f>IF(A392="","", IFERROR(VLOOKUP(A392, 'Ultrasonic'!A:H, 7, FALSE), "N/A"))</f>
        <v/>
      </c>
      <c r="K392">
        <f>IF(A392="","", IFERROR(VLOOKUP(A392, 'Code Violations'!A:V, 22, FALSE), "N/A"))</f>
        <v/>
      </c>
      <c r="L392">
        <f>IF(A392="","", IF(COUNTIF(E392:K392, "FAIL")&gt;0, "FAIL", "PASS"))</f>
        <v/>
      </c>
    </row>
    <row r="393">
      <c r="A393">
        <f>IF('Equipment Information'!A393="","", 'Equipment Information'!A393)</f>
        <v/>
      </c>
      <c r="B393">
        <f>IF('Equipment Information'!B393="","", 'Equipment Information'!B393)</f>
        <v/>
      </c>
      <c r="C393">
        <f>IF('Equipment Information'!C393="","", 'Equipment Information'!C393)</f>
        <v/>
      </c>
      <c r="D393">
        <f>IF('Equipment Information'!D393="","", 'Equipment Information'!D393)</f>
        <v/>
      </c>
      <c r="E393">
        <f>IF(A393="","", IFERROR(VLOOKUP(A393, 'Energized Data'!A:T, 20, FALSE), "N/A"))</f>
        <v/>
      </c>
      <c r="F393">
        <f>IF(A393="","", IFERROR(VLOOKUP(A393, 'Insulation'!A:J, 9, FALSE), "N/A"))</f>
        <v/>
      </c>
      <c r="G393">
        <f>IF(A393="","", IFERROR(VLOOKUP(A393, 'DLRO'!A:I, 8, FALSE), "N/A"))</f>
        <v/>
      </c>
      <c r="H393">
        <f>IF(A393="","", IFERROR(VLOOKUP(A393, 'Torque'!A:I, 8, FALSE), "N/A"))</f>
        <v/>
      </c>
      <c r="I393">
        <f>IF(A393="","", IFERROR(VLOOKUP(A393, 'Infrared'!A:G, 6, FALSE), "N/A"))</f>
        <v/>
      </c>
      <c r="J393">
        <f>IF(A393="","", IFERROR(VLOOKUP(A393, 'Ultrasonic'!A:H, 7, FALSE), "N/A"))</f>
        <v/>
      </c>
      <c r="K393">
        <f>IF(A393="","", IFERROR(VLOOKUP(A393, 'Code Violations'!A:V, 22, FALSE), "N/A"))</f>
        <v/>
      </c>
      <c r="L393">
        <f>IF(A393="","", IF(COUNTIF(E393:K393, "FAIL")&gt;0, "FAIL", "PASS"))</f>
        <v/>
      </c>
    </row>
    <row r="394">
      <c r="A394">
        <f>IF('Equipment Information'!A394="","", 'Equipment Information'!A394)</f>
        <v/>
      </c>
      <c r="B394">
        <f>IF('Equipment Information'!B394="","", 'Equipment Information'!B394)</f>
        <v/>
      </c>
      <c r="C394">
        <f>IF('Equipment Information'!C394="","", 'Equipment Information'!C394)</f>
        <v/>
      </c>
      <c r="D394">
        <f>IF('Equipment Information'!D394="","", 'Equipment Information'!D394)</f>
        <v/>
      </c>
      <c r="E394">
        <f>IF(A394="","", IFERROR(VLOOKUP(A394, 'Energized Data'!A:T, 20, FALSE), "N/A"))</f>
        <v/>
      </c>
      <c r="F394">
        <f>IF(A394="","", IFERROR(VLOOKUP(A394, 'Insulation'!A:J, 9, FALSE), "N/A"))</f>
        <v/>
      </c>
      <c r="G394">
        <f>IF(A394="","", IFERROR(VLOOKUP(A394, 'DLRO'!A:I, 8, FALSE), "N/A"))</f>
        <v/>
      </c>
      <c r="H394">
        <f>IF(A394="","", IFERROR(VLOOKUP(A394, 'Torque'!A:I, 8, FALSE), "N/A"))</f>
        <v/>
      </c>
      <c r="I394">
        <f>IF(A394="","", IFERROR(VLOOKUP(A394, 'Infrared'!A:G, 6, FALSE), "N/A"))</f>
        <v/>
      </c>
      <c r="J394">
        <f>IF(A394="","", IFERROR(VLOOKUP(A394, 'Ultrasonic'!A:H, 7, FALSE), "N/A"))</f>
        <v/>
      </c>
      <c r="K394">
        <f>IF(A394="","", IFERROR(VLOOKUP(A394, 'Code Violations'!A:V, 22, FALSE), "N/A"))</f>
        <v/>
      </c>
      <c r="L394">
        <f>IF(A394="","", IF(COUNTIF(E394:K394, "FAIL")&gt;0, "FAIL", "PASS"))</f>
        <v/>
      </c>
    </row>
    <row r="395">
      <c r="A395">
        <f>IF('Equipment Information'!A395="","", 'Equipment Information'!A395)</f>
        <v/>
      </c>
      <c r="B395">
        <f>IF('Equipment Information'!B395="","", 'Equipment Information'!B395)</f>
        <v/>
      </c>
      <c r="C395">
        <f>IF('Equipment Information'!C395="","", 'Equipment Information'!C395)</f>
        <v/>
      </c>
      <c r="D395">
        <f>IF('Equipment Information'!D395="","", 'Equipment Information'!D395)</f>
        <v/>
      </c>
      <c r="E395">
        <f>IF(A395="","", IFERROR(VLOOKUP(A395, 'Energized Data'!A:T, 20, FALSE), "N/A"))</f>
        <v/>
      </c>
      <c r="F395">
        <f>IF(A395="","", IFERROR(VLOOKUP(A395, 'Insulation'!A:J, 9, FALSE), "N/A"))</f>
        <v/>
      </c>
      <c r="G395">
        <f>IF(A395="","", IFERROR(VLOOKUP(A395, 'DLRO'!A:I, 8, FALSE), "N/A"))</f>
        <v/>
      </c>
      <c r="H395">
        <f>IF(A395="","", IFERROR(VLOOKUP(A395, 'Torque'!A:I, 8, FALSE), "N/A"))</f>
        <v/>
      </c>
      <c r="I395">
        <f>IF(A395="","", IFERROR(VLOOKUP(A395, 'Infrared'!A:G, 6, FALSE), "N/A"))</f>
        <v/>
      </c>
      <c r="J395">
        <f>IF(A395="","", IFERROR(VLOOKUP(A395, 'Ultrasonic'!A:H, 7, FALSE), "N/A"))</f>
        <v/>
      </c>
      <c r="K395">
        <f>IF(A395="","", IFERROR(VLOOKUP(A395, 'Code Violations'!A:V, 22, FALSE), "N/A"))</f>
        <v/>
      </c>
      <c r="L395">
        <f>IF(A395="","", IF(COUNTIF(E395:K395, "FAIL")&gt;0, "FAIL", "PASS"))</f>
        <v/>
      </c>
    </row>
    <row r="396">
      <c r="A396">
        <f>IF('Equipment Information'!A396="","", 'Equipment Information'!A396)</f>
        <v/>
      </c>
      <c r="B396">
        <f>IF('Equipment Information'!B396="","", 'Equipment Information'!B396)</f>
        <v/>
      </c>
      <c r="C396">
        <f>IF('Equipment Information'!C396="","", 'Equipment Information'!C396)</f>
        <v/>
      </c>
      <c r="D396">
        <f>IF('Equipment Information'!D396="","", 'Equipment Information'!D396)</f>
        <v/>
      </c>
      <c r="E396">
        <f>IF(A396="","", IFERROR(VLOOKUP(A396, 'Energized Data'!A:T, 20, FALSE), "N/A"))</f>
        <v/>
      </c>
      <c r="F396">
        <f>IF(A396="","", IFERROR(VLOOKUP(A396, 'Insulation'!A:J, 9, FALSE), "N/A"))</f>
        <v/>
      </c>
      <c r="G396">
        <f>IF(A396="","", IFERROR(VLOOKUP(A396, 'DLRO'!A:I, 8, FALSE), "N/A"))</f>
        <v/>
      </c>
      <c r="H396">
        <f>IF(A396="","", IFERROR(VLOOKUP(A396, 'Torque'!A:I, 8, FALSE), "N/A"))</f>
        <v/>
      </c>
      <c r="I396">
        <f>IF(A396="","", IFERROR(VLOOKUP(A396, 'Infrared'!A:G, 6, FALSE), "N/A"))</f>
        <v/>
      </c>
      <c r="J396">
        <f>IF(A396="","", IFERROR(VLOOKUP(A396, 'Ultrasonic'!A:H, 7, FALSE), "N/A"))</f>
        <v/>
      </c>
      <c r="K396">
        <f>IF(A396="","", IFERROR(VLOOKUP(A396, 'Code Violations'!A:V, 22, FALSE), "N/A"))</f>
        <v/>
      </c>
      <c r="L396">
        <f>IF(A396="","", IF(COUNTIF(E396:K396, "FAIL")&gt;0, "FAIL", "PASS"))</f>
        <v/>
      </c>
    </row>
    <row r="397">
      <c r="A397">
        <f>IF('Equipment Information'!A397="","", 'Equipment Information'!A397)</f>
        <v/>
      </c>
      <c r="B397">
        <f>IF('Equipment Information'!B397="","", 'Equipment Information'!B397)</f>
        <v/>
      </c>
      <c r="C397">
        <f>IF('Equipment Information'!C397="","", 'Equipment Information'!C397)</f>
        <v/>
      </c>
      <c r="D397">
        <f>IF('Equipment Information'!D397="","", 'Equipment Information'!D397)</f>
        <v/>
      </c>
      <c r="E397">
        <f>IF(A397="","", IFERROR(VLOOKUP(A397, 'Energized Data'!A:T, 20, FALSE), "N/A"))</f>
        <v/>
      </c>
      <c r="F397">
        <f>IF(A397="","", IFERROR(VLOOKUP(A397, 'Insulation'!A:J, 9, FALSE), "N/A"))</f>
        <v/>
      </c>
      <c r="G397">
        <f>IF(A397="","", IFERROR(VLOOKUP(A397, 'DLRO'!A:I, 8, FALSE), "N/A"))</f>
        <v/>
      </c>
      <c r="H397">
        <f>IF(A397="","", IFERROR(VLOOKUP(A397, 'Torque'!A:I, 8, FALSE), "N/A"))</f>
        <v/>
      </c>
      <c r="I397">
        <f>IF(A397="","", IFERROR(VLOOKUP(A397, 'Infrared'!A:G, 6, FALSE), "N/A"))</f>
        <v/>
      </c>
      <c r="J397">
        <f>IF(A397="","", IFERROR(VLOOKUP(A397, 'Ultrasonic'!A:H, 7, FALSE), "N/A"))</f>
        <v/>
      </c>
      <c r="K397">
        <f>IF(A397="","", IFERROR(VLOOKUP(A397, 'Code Violations'!A:V, 22, FALSE), "N/A"))</f>
        <v/>
      </c>
      <c r="L397">
        <f>IF(A397="","", IF(COUNTIF(E397:K397, "FAIL")&gt;0, "FAIL", "PASS"))</f>
        <v/>
      </c>
    </row>
    <row r="398">
      <c r="A398">
        <f>IF('Equipment Information'!A398="","", 'Equipment Information'!A398)</f>
        <v/>
      </c>
      <c r="B398">
        <f>IF('Equipment Information'!B398="","", 'Equipment Information'!B398)</f>
        <v/>
      </c>
      <c r="C398">
        <f>IF('Equipment Information'!C398="","", 'Equipment Information'!C398)</f>
        <v/>
      </c>
      <c r="D398">
        <f>IF('Equipment Information'!D398="","", 'Equipment Information'!D398)</f>
        <v/>
      </c>
      <c r="E398">
        <f>IF(A398="","", IFERROR(VLOOKUP(A398, 'Energized Data'!A:T, 20, FALSE), "N/A"))</f>
        <v/>
      </c>
      <c r="F398">
        <f>IF(A398="","", IFERROR(VLOOKUP(A398, 'Insulation'!A:J, 9, FALSE), "N/A"))</f>
        <v/>
      </c>
      <c r="G398">
        <f>IF(A398="","", IFERROR(VLOOKUP(A398, 'DLRO'!A:I, 8, FALSE), "N/A"))</f>
        <v/>
      </c>
      <c r="H398">
        <f>IF(A398="","", IFERROR(VLOOKUP(A398, 'Torque'!A:I, 8, FALSE), "N/A"))</f>
        <v/>
      </c>
      <c r="I398">
        <f>IF(A398="","", IFERROR(VLOOKUP(A398, 'Infrared'!A:G, 6, FALSE), "N/A"))</f>
        <v/>
      </c>
      <c r="J398">
        <f>IF(A398="","", IFERROR(VLOOKUP(A398, 'Ultrasonic'!A:H, 7, FALSE), "N/A"))</f>
        <v/>
      </c>
      <c r="K398">
        <f>IF(A398="","", IFERROR(VLOOKUP(A398, 'Code Violations'!A:V, 22, FALSE), "N/A"))</f>
        <v/>
      </c>
      <c r="L398">
        <f>IF(A398="","", IF(COUNTIF(E398:K398, "FAIL")&gt;0, "FAIL", "PASS"))</f>
        <v/>
      </c>
    </row>
    <row r="399">
      <c r="A399">
        <f>IF('Equipment Information'!A399="","", 'Equipment Information'!A399)</f>
        <v/>
      </c>
      <c r="B399">
        <f>IF('Equipment Information'!B399="","", 'Equipment Information'!B399)</f>
        <v/>
      </c>
      <c r="C399">
        <f>IF('Equipment Information'!C399="","", 'Equipment Information'!C399)</f>
        <v/>
      </c>
      <c r="D399">
        <f>IF('Equipment Information'!D399="","", 'Equipment Information'!D399)</f>
        <v/>
      </c>
      <c r="E399">
        <f>IF(A399="","", IFERROR(VLOOKUP(A399, 'Energized Data'!A:T, 20, FALSE), "N/A"))</f>
        <v/>
      </c>
      <c r="F399">
        <f>IF(A399="","", IFERROR(VLOOKUP(A399, 'Insulation'!A:J, 9, FALSE), "N/A"))</f>
        <v/>
      </c>
      <c r="G399">
        <f>IF(A399="","", IFERROR(VLOOKUP(A399, 'DLRO'!A:I, 8, FALSE), "N/A"))</f>
        <v/>
      </c>
      <c r="H399">
        <f>IF(A399="","", IFERROR(VLOOKUP(A399, 'Torque'!A:I, 8, FALSE), "N/A"))</f>
        <v/>
      </c>
      <c r="I399">
        <f>IF(A399="","", IFERROR(VLOOKUP(A399, 'Infrared'!A:G, 6, FALSE), "N/A"))</f>
        <v/>
      </c>
      <c r="J399">
        <f>IF(A399="","", IFERROR(VLOOKUP(A399, 'Ultrasonic'!A:H, 7, FALSE), "N/A"))</f>
        <v/>
      </c>
      <c r="K399">
        <f>IF(A399="","", IFERROR(VLOOKUP(A399, 'Code Violations'!A:V, 22, FALSE), "N/A"))</f>
        <v/>
      </c>
      <c r="L399">
        <f>IF(A399="","", IF(COUNTIF(E399:K399, "FAIL")&gt;0, "FAIL", "PASS"))</f>
        <v/>
      </c>
    </row>
    <row r="400">
      <c r="A400">
        <f>IF('Equipment Information'!A400="","", 'Equipment Information'!A400)</f>
        <v/>
      </c>
      <c r="B400">
        <f>IF('Equipment Information'!B400="","", 'Equipment Information'!B400)</f>
        <v/>
      </c>
      <c r="C400">
        <f>IF('Equipment Information'!C400="","", 'Equipment Information'!C400)</f>
        <v/>
      </c>
      <c r="D400">
        <f>IF('Equipment Information'!D400="","", 'Equipment Information'!D400)</f>
        <v/>
      </c>
      <c r="E400">
        <f>IF(A400="","", IFERROR(VLOOKUP(A400, 'Energized Data'!A:T, 20, FALSE), "N/A"))</f>
        <v/>
      </c>
      <c r="F400">
        <f>IF(A400="","", IFERROR(VLOOKUP(A400, 'Insulation'!A:J, 9, FALSE), "N/A"))</f>
        <v/>
      </c>
      <c r="G400">
        <f>IF(A400="","", IFERROR(VLOOKUP(A400, 'DLRO'!A:I, 8, FALSE), "N/A"))</f>
        <v/>
      </c>
      <c r="H400">
        <f>IF(A400="","", IFERROR(VLOOKUP(A400, 'Torque'!A:I, 8, FALSE), "N/A"))</f>
        <v/>
      </c>
      <c r="I400">
        <f>IF(A400="","", IFERROR(VLOOKUP(A400, 'Infrared'!A:G, 6, FALSE), "N/A"))</f>
        <v/>
      </c>
      <c r="J400">
        <f>IF(A400="","", IFERROR(VLOOKUP(A400, 'Ultrasonic'!A:H, 7, FALSE), "N/A"))</f>
        <v/>
      </c>
      <c r="K400">
        <f>IF(A400="","", IFERROR(VLOOKUP(A400, 'Code Violations'!A:V, 22, FALSE), "N/A"))</f>
        <v/>
      </c>
      <c r="L400">
        <f>IF(A400="","", IF(COUNTIF(E400:K400, "FAIL")&gt;0, "FAIL", "PASS"))</f>
        <v/>
      </c>
    </row>
    <row r="401">
      <c r="A401">
        <f>IF('Equipment Information'!A401="","", 'Equipment Information'!A401)</f>
        <v/>
      </c>
      <c r="B401">
        <f>IF('Equipment Information'!B401="","", 'Equipment Information'!B401)</f>
        <v/>
      </c>
      <c r="C401">
        <f>IF('Equipment Information'!C401="","", 'Equipment Information'!C401)</f>
        <v/>
      </c>
      <c r="D401">
        <f>IF('Equipment Information'!D401="","", 'Equipment Information'!D401)</f>
        <v/>
      </c>
      <c r="E401">
        <f>IF(A401="","", IFERROR(VLOOKUP(A401, 'Energized Data'!A:T, 20, FALSE), "N/A"))</f>
        <v/>
      </c>
      <c r="F401">
        <f>IF(A401="","", IFERROR(VLOOKUP(A401, 'Insulation'!A:J, 9, FALSE), "N/A"))</f>
        <v/>
      </c>
      <c r="G401">
        <f>IF(A401="","", IFERROR(VLOOKUP(A401, 'DLRO'!A:I, 8, FALSE), "N/A"))</f>
        <v/>
      </c>
      <c r="H401">
        <f>IF(A401="","", IFERROR(VLOOKUP(A401, 'Torque'!A:I, 8, FALSE), "N/A"))</f>
        <v/>
      </c>
      <c r="I401">
        <f>IF(A401="","", IFERROR(VLOOKUP(A401, 'Infrared'!A:G, 6, FALSE), "N/A"))</f>
        <v/>
      </c>
      <c r="J401">
        <f>IF(A401="","", IFERROR(VLOOKUP(A401, 'Ultrasonic'!A:H, 7, FALSE), "N/A"))</f>
        <v/>
      </c>
      <c r="K401">
        <f>IF(A401="","", IFERROR(VLOOKUP(A401, 'Code Violations'!A:V, 22, FALSE), "N/A"))</f>
        <v/>
      </c>
      <c r="L401">
        <f>IF(A401="","", IF(COUNTIF(E401:K401, "FAIL")&gt;0, "FAIL", "PASS"))</f>
        <v/>
      </c>
    </row>
    <row r="402">
      <c r="A402">
        <f>IF('Equipment Information'!A402="","", 'Equipment Information'!A402)</f>
        <v/>
      </c>
      <c r="B402">
        <f>IF('Equipment Information'!B402="","", 'Equipment Information'!B402)</f>
        <v/>
      </c>
      <c r="C402">
        <f>IF('Equipment Information'!C402="","", 'Equipment Information'!C402)</f>
        <v/>
      </c>
      <c r="D402">
        <f>IF('Equipment Information'!D402="","", 'Equipment Information'!D402)</f>
        <v/>
      </c>
      <c r="E402">
        <f>IF(A402="","", IFERROR(VLOOKUP(A402, 'Energized Data'!A:T, 20, FALSE), "N/A"))</f>
        <v/>
      </c>
      <c r="F402">
        <f>IF(A402="","", IFERROR(VLOOKUP(A402, 'Insulation'!A:J, 9, FALSE), "N/A"))</f>
        <v/>
      </c>
      <c r="G402">
        <f>IF(A402="","", IFERROR(VLOOKUP(A402, 'DLRO'!A:I, 8, FALSE), "N/A"))</f>
        <v/>
      </c>
      <c r="H402">
        <f>IF(A402="","", IFERROR(VLOOKUP(A402, 'Torque'!A:I, 8, FALSE), "N/A"))</f>
        <v/>
      </c>
      <c r="I402">
        <f>IF(A402="","", IFERROR(VLOOKUP(A402, 'Infrared'!A:G, 6, FALSE), "N/A"))</f>
        <v/>
      </c>
      <c r="J402">
        <f>IF(A402="","", IFERROR(VLOOKUP(A402, 'Ultrasonic'!A:H, 7, FALSE), "N/A"))</f>
        <v/>
      </c>
      <c r="K402">
        <f>IF(A402="","", IFERROR(VLOOKUP(A402, 'Code Violations'!A:V, 22, FALSE), "N/A"))</f>
        <v/>
      </c>
      <c r="L402">
        <f>IF(A402="","", IF(COUNTIF(E402:K402, "FAIL")&gt;0, "FAIL", "PASS"))</f>
        <v/>
      </c>
    </row>
    <row r="403">
      <c r="A403">
        <f>IF('Equipment Information'!A403="","", 'Equipment Information'!A403)</f>
        <v/>
      </c>
      <c r="B403">
        <f>IF('Equipment Information'!B403="","", 'Equipment Information'!B403)</f>
        <v/>
      </c>
      <c r="C403">
        <f>IF('Equipment Information'!C403="","", 'Equipment Information'!C403)</f>
        <v/>
      </c>
      <c r="D403">
        <f>IF('Equipment Information'!D403="","", 'Equipment Information'!D403)</f>
        <v/>
      </c>
      <c r="E403">
        <f>IF(A403="","", IFERROR(VLOOKUP(A403, 'Energized Data'!A:T, 20, FALSE), "N/A"))</f>
        <v/>
      </c>
      <c r="F403">
        <f>IF(A403="","", IFERROR(VLOOKUP(A403, 'Insulation'!A:J, 9, FALSE), "N/A"))</f>
        <v/>
      </c>
      <c r="G403">
        <f>IF(A403="","", IFERROR(VLOOKUP(A403, 'DLRO'!A:I, 8, FALSE), "N/A"))</f>
        <v/>
      </c>
      <c r="H403">
        <f>IF(A403="","", IFERROR(VLOOKUP(A403, 'Torque'!A:I, 8, FALSE), "N/A"))</f>
        <v/>
      </c>
      <c r="I403">
        <f>IF(A403="","", IFERROR(VLOOKUP(A403, 'Infrared'!A:G, 6, FALSE), "N/A"))</f>
        <v/>
      </c>
      <c r="J403">
        <f>IF(A403="","", IFERROR(VLOOKUP(A403, 'Ultrasonic'!A:H, 7, FALSE), "N/A"))</f>
        <v/>
      </c>
      <c r="K403">
        <f>IF(A403="","", IFERROR(VLOOKUP(A403, 'Code Violations'!A:V, 22, FALSE), "N/A"))</f>
        <v/>
      </c>
      <c r="L403">
        <f>IF(A403="","", IF(COUNTIF(E403:K403, "FAIL")&gt;0, "FAIL", "PASS"))</f>
        <v/>
      </c>
    </row>
    <row r="404">
      <c r="A404">
        <f>IF('Equipment Information'!A404="","", 'Equipment Information'!A404)</f>
        <v/>
      </c>
      <c r="B404">
        <f>IF('Equipment Information'!B404="","", 'Equipment Information'!B404)</f>
        <v/>
      </c>
      <c r="C404">
        <f>IF('Equipment Information'!C404="","", 'Equipment Information'!C404)</f>
        <v/>
      </c>
      <c r="D404">
        <f>IF('Equipment Information'!D404="","", 'Equipment Information'!D404)</f>
        <v/>
      </c>
      <c r="E404">
        <f>IF(A404="","", IFERROR(VLOOKUP(A404, 'Energized Data'!A:T, 20, FALSE), "N/A"))</f>
        <v/>
      </c>
      <c r="F404">
        <f>IF(A404="","", IFERROR(VLOOKUP(A404, 'Insulation'!A:J, 9, FALSE), "N/A"))</f>
        <v/>
      </c>
      <c r="G404">
        <f>IF(A404="","", IFERROR(VLOOKUP(A404, 'DLRO'!A:I, 8, FALSE), "N/A"))</f>
        <v/>
      </c>
      <c r="H404">
        <f>IF(A404="","", IFERROR(VLOOKUP(A404, 'Torque'!A:I, 8, FALSE), "N/A"))</f>
        <v/>
      </c>
      <c r="I404">
        <f>IF(A404="","", IFERROR(VLOOKUP(A404, 'Infrared'!A:G, 6, FALSE), "N/A"))</f>
        <v/>
      </c>
      <c r="J404">
        <f>IF(A404="","", IFERROR(VLOOKUP(A404, 'Ultrasonic'!A:H, 7, FALSE), "N/A"))</f>
        <v/>
      </c>
      <c r="K404">
        <f>IF(A404="","", IFERROR(VLOOKUP(A404, 'Code Violations'!A:V, 22, FALSE), "N/A"))</f>
        <v/>
      </c>
      <c r="L404">
        <f>IF(A404="","", IF(COUNTIF(E404:K404, "FAIL")&gt;0, "FAIL", "PASS"))</f>
        <v/>
      </c>
    </row>
    <row r="405">
      <c r="A405">
        <f>IF('Equipment Information'!A405="","", 'Equipment Information'!A405)</f>
        <v/>
      </c>
      <c r="B405">
        <f>IF('Equipment Information'!B405="","", 'Equipment Information'!B405)</f>
        <v/>
      </c>
      <c r="C405">
        <f>IF('Equipment Information'!C405="","", 'Equipment Information'!C405)</f>
        <v/>
      </c>
      <c r="D405">
        <f>IF('Equipment Information'!D405="","", 'Equipment Information'!D405)</f>
        <v/>
      </c>
      <c r="E405">
        <f>IF(A405="","", IFERROR(VLOOKUP(A405, 'Energized Data'!A:T, 20, FALSE), "N/A"))</f>
        <v/>
      </c>
      <c r="F405">
        <f>IF(A405="","", IFERROR(VLOOKUP(A405, 'Insulation'!A:J, 9, FALSE), "N/A"))</f>
        <v/>
      </c>
      <c r="G405">
        <f>IF(A405="","", IFERROR(VLOOKUP(A405, 'DLRO'!A:I, 8, FALSE), "N/A"))</f>
        <v/>
      </c>
      <c r="H405">
        <f>IF(A405="","", IFERROR(VLOOKUP(A405, 'Torque'!A:I, 8, FALSE), "N/A"))</f>
        <v/>
      </c>
      <c r="I405">
        <f>IF(A405="","", IFERROR(VLOOKUP(A405, 'Infrared'!A:G, 6, FALSE), "N/A"))</f>
        <v/>
      </c>
      <c r="J405">
        <f>IF(A405="","", IFERROR(VLOOKUP(A405, 'Ultrasonic'!A:H, 7, FALSE), "N/A"))</f>
        <v/>
      </c>
      <c r="K405">
        <f>IF(A405="","", IFERROR(VLOOKUP(A405, 'Code Violations'!A:V, 22, FALSE), "N/A"))</f>
        <v/>
      </c>
      <c r="L405">
        <f>IF(A405="","", IF(COUNTIF(E405:K405, "FAIL")&gt;0, "FAIL", "PASS"))</f>
        <v/>
      </c>
    </row>
    <row r="406">
      <c r="A406">
        <f>IF('Equipment Information'!A406="","", 'Equipment Information'!A406)</f>
        <v/>
      </c>
      <c r="B406">
        <f>IF('Equipment Information'!B406="","", 'Equipment Information'!B406)</f>
        <v/>
      </c>
      <c r="C406">
        <f>IF('Equipment Information'!C406="","", 'Equipment Information'!C406)</f>
        <v/>
      </c>
      <c r="D406">
        <f>IF('Equipment Information'!D406="","", 'Equipment Information'!D406)</f>
        <v/>
      </c>
      <c r="E406">
        <f>IF(A406="","", IFERROR(VLOOKUP(A406, 'Energized Data'!A:T, 20, FALSE), "N/A"))</f>
        <v/>
      </c>
      <c r="F406">
        <f>IF(A406="","", IFERROR(VLOOKUP(A406, 'Insulation'!A:J, 9, FALSE), "N/A"))</f>
        <v/>
      </c>
      <c r="G406">
        <f>IF(A406="","", IFERROR(VLOOKUP(A406, 'DLRO'!A:I, 8, FALSE), "N/A"))</f>
        <v/>
      </c>
      <c r="H406">
        <f>IF(A406="","", IFERROR(VLOOKUP(A406, 'Torque'!A:I, 8, FALSE), "N/A"))</f>
        <v/>
      </c>
      <c r="I406">
        <f>IF(A406="","", IFERROR(VLOOKUP(A406, 'Infrared'!A:G, 6, FALSE), "N/A"))</f>
        <v/>
      </c>
      <c r="J406">
        <f>IF(A406="","", IFERROR(VLOOKUP(A406, 'Ultrasonic'!A:H, 7, FALSE), "N/A"))</f>
        <v/>
      </c>
      <c r="K406">
        <f>IF(A406="","", IFERROR(VLOOKUP(A406, 'Code Violations'!A:V, 22, FALSE), "N/A"))</f>
        <v/>
      </c>
      <c r="L406">
        <f>IF(A406="","", IF(COUNTIF(E406:K406, "FAIL")&gt;0, "FAIL", "PASS"))</f>
        <v/>
      </c>
    </row>
    <row r="407">
      <c r="A407">
        <f>IF('Equipment Information'!A407="","", 'Equipment Information'!A407)</f>
        <v/>
      </c>
      <c r="B407">
        <f>IF('Equipment Information'!B407="","", 'Equipment Information'!B407)</f>
        <v/>
      </c>
      <c r="C407">
        <f>IF('Equipment Information'!C407="","", 'Equipment Information'!C407)</f>
        <v/>
      </c>
      <c r="D407">
        <f>IF('Equipment Information'!D407="","", 'Equipment Information'!D407)</f>
        <v/>
      </c>
      <c r="E407">
        <f>IF(A407="","", IFERROR(VLOOKUP(A407, 'Energized Data'!A:T, 20, FALSE), "N/A"))</f>
        <v/>
      </c>
      <c r="F407">
        <f>IF(A407="","", IFERROR(VLOOKUP(A407, 'Insulation'!A:J, 9, FALSE), "N/A"))</f>
        <v/>
      </c>
      <c r="G407">
        <f>IF(A407="","", IFERROR(VLOOKUP(A407, 'DLRO'!A:I, 8, FALSE), "N/A"))</f>
        <v/>
      </c>
      <c r="H407">
        <f>IF(A407="","", IFERROR(VLOOKUP(A407, 'Torque'!A:I, 8, FALSE), "N/A"))</f>
        <v/>
      </c>
      <c r="I407">
        <f>IF(A407="","", IFERROR(VLOOKUP(A407, 'Infrared'!A:G, 6, FALSE), "N/A"))</f>
        <v/>
      </c>
      <c r="J407">
        <f>IF(A407="","", IFERROR(VLOOKUP(A407, 'Ultrasonic'!A:H, 7, FALSE), "N/A"))</f>
        <v/>
      </c>
      <c r="K407">
        <f>IF(A407="","", IFERROR(VLOOKUP(A407, 'Code Violations'!A:V, 22, FALSE), "N/A"))</f>
        <v/>
      </c>
      <c r="L407">
        <f>IF(A407="","", IF(COUNTIF(E407:K407, "FAIL")&gt;0, "FAIL", "PASS"))</f>
        <v/>
      </c>
    </row>
    <row r="408">
      <c r="A408">
        <f>IF('Equipment Information'!A408="","", 'Equipment Information'!A408)</f>
        <v/>
      </c>
      <c r="B408">
        <f>IF('Equipment Information'!B408="","", 'Equipment Information'!B408)</f>
        <v/>
      </c>
      <c r="C408">
        <f>IF('Equipment Information'!C408="","", 'Equipment Information'!C408)</f>
        <v/>
      </c>
      <c r="D408">
        <f>IF('Equipment Information'!D408="","", 'Equipment Information'!D408)</f>
        <v/>
      </c>
      <c r="E408">
        <f>IF(A408="","", IFERROR(VLOOKUP(A408, 'Energized Data'!A:T, 20, FALSE), "N/A"))</f>
        <v/>
      </c>
      <c r="F408">
        <f>IF(A408="","", IFERROR(VLOOKUP(A408, 'Insulation'!A:J, 9, FALSE), "N/A"))</f>
        <v/>
      </c>
      <c r="G408">
        <f>IF(A408="","", IFERROR(VLOOKUP(A408, 'DLRO'!A:I, 8, FALSE), "N/A"))</f>
        <v/>
      </c>
      <c r="H408">
        <f>IF(A408="","", IFERROR(VLOOKUP(A408, 'Torque'!A:I, 8, FALSE), "N/A"))</f>
        <v/>
      </c>
      <c r="I408">
        <f>IF(A408="","", IFERROR(VLOOKUP(A408, 'Infrared'!A:G, 6, FALSE), "N/A"))</f>
        <v/>
      </c>
      <c r="J408">
        <f>IF(A408="","", IFERROR(VLOOKUP(A408, 'Ultrasonic'!A:H, 7, FALSE), "N/A"))</f>
        <v/>
      </c>
      <c r="K408">
        <f>IF(A408="","", IFERROR(VLOOKUP(A408, 'Code Violations'!A:V, 22, FALSE), "N/A"))</f>
        <v/>
      </c>
      <c r="L408">
        <f>IF(A408="","", IF(COUNTIF(E408:K408, "FAIL")&gt;0, "FAIL", "PASS"))</f>
        <v/>
      </c>
    </row>
    <row r="409">
      <c r="A409">
        <f>IF('Equipment Information'!A409="","", 'Equipment Information'!A409)</f>
        <v/>
      </c>
      <c r="B409">
        <f>IF('Equipment Information'!B409="","", 'Equipment Information'!B409)</f>
        <v/>
      </c>
      <c r="C409">
        <f>IF('Equipment Information'!C409="","", 'Equipment Information'!C409)</f>
        <v/>
      </c>
      <c r="D409">
        <f>IF('Equipment Information'!D409="","", 'Equipment Information'!D409)</f>
        <v/>
      </c>
      <c r="E409">
        <f>IF(A409="","", IFERROR(VLOOKUP(A409, 'Energized Data'!A:T, 20, FALSE), "N/A"))</f>
        <v/>
      </c>
      <c r="F409">
        <f>IF(A409="","", IFERROR(VLOOKUP(A409, 'Insulation'!A:J, 9, FALSE), "N/A"))</f>
        <v/>
      </c>
      <c r="G409">
        <f>IF(A409="","", IFERROR(VLOOKUP(A409, 'DLRO'!A:I, 8, FALSE), "N/A"))</f>
        <v/>
      </c>
      <c r="H409">
        <f>IF(A409="","", IFERROR(VLOOKUP(A409, 'Torque'!A:I, 8, FALSE), "N/A"))</f>
        <v/>
      </c>
      <c r="I409">
        <f>IF(A409="","", IFERROR(VLOOKUP(A409, 'Infrared'!A:G, 6, FALSE), "N/A"))</f>
        <v/>
      </c>
      <c r="J409">
        <f>IF(A409="","", IFERROR(VLOOKUP(A409, 'Ultrasonic'!A:H, 7, FALSE), "N/A"))</f>
        <v/>
      </c>
      <c r="K409">
        <f>IF(A409="","", IFERROR(VLOOKUP(A409, 'Code Violations'!A:V, 22, FALSE), "N/A"))</f>
        <v/>
      </c>
      <c r="L409">
        <f>IF(A409="","", IF(COUNTIF(E409:K409, "FAIL")&gt;0, "FAIL", "PASS"))</f>
        <v/>
      </c>
    </row>
    <row r="410">
      <c r="A410">
        <f>IF('Equipment Information'!A410="","", 'Equipment Information'!A410)</f>
        <v/>
      </c>
      <c r="B410">
        <f>IF('Equipment Information'!B410="","", 'Equipment Information'!B410)</f>
        <v/>
      </c>
      <c r="C410">
        <f>IF('Equipment Information'!C410="","", 'Equipment Information'!C410)</f>
        <v/>
      </c>
      <c r="D410">
        <f>IF('Equipment Information'!D410="","", 'Equipment Information'!D410)</f>
        <v/>
      </c>
      <c r="E410">
        <f>IF(A410="","", IFERROR(VLOOKUP(A410, 'Energized Data'!A:T, 20, FALSE), "N/A"))</f>
        <v/>
      </c>
      <c r="F410">
        <f>IF(A410="","", IFERROR(VLOOKUP(A410, 'Insulation'!A:J, 9, FALSE), "N/A"))</f>
        <v/>
      </c>
      <c r="G410">
        <f>IF(A410="","", IFERROR(VLOOKUP(A410, 'DLRO'!A:I, 8, FALSE), "N/A"))</f>
        <v/>
      </c>
      <c r="H410">
        <f>IF(A410="","", IFERROR(VLOOKUP(A410, 'Torque'!A:I, 8, FALSE), "N/A"))</f>
        <v/>
      </c>
      <c r="I410">
        <f>IF(A410="","", IFERROR(VLOOKUP(A410, 'Infrared'!A:G, 6, FALSE), "N/A"))</f>
        <v/>
      </c>
      <c r="J410">
        <f>IF(A410="","", IFERROR(VLOOKUP(A410, 'Ultrasonic'!A:H, 7, FALSE), "N/A"))</f>
        <v/>
      </c>
      <c r="K410">
        <f>IF(A410="","", IFERROR(VLOOKUP(A410, 'Code Violations'!A:V, 22, FALSE), "N/A"))</f>
        <v/>
      </c>
      <c r="L410">
        <f>IF(A410="","", IF(COUNTIF(E410:K410, "FAIL")&gt;0, "FAIL", "PASS"))</f>
        <v/>
      </c>
    </row>
    <row r="411">
      <c r="A411">
        <f>IF('Equipment Information'!A411="","", 'Equipment Information'!A411)</f>
        <v/>
      </c>
      <c r="B411">
        <f>IF('Equipment Information'!B411="","", 'Equipment Information'!B411)</f>
        <v/>
      </c>
      <c r="C411">
        <f>IF('Equipment Information'!C411="","", 'Equipment Information'!C411)</f>
        <v/>
      </c>
      <c r="D411">
        <f>IF('Equipment Information'!D411="","", 'Equipment Information'!D411)</f>
        <v/>
      </c>
      <c r="E411">
        <f>IF(A411="","", IFERROR(VLOOKUP(A411, 'Energized Data'!A:T, 20, FALSE), "N/A"))</f>
        <v/>
      </c>
      <c r="F411">
        <f>IF(A411="","", IFERROR(VLOOKUP(A411, 'Insulation'!A:J, 9, FALSE), "N/A"))</f>
        <v/>
      </c>
      <c r="G411">
        <f>IF(A411="","", IFERROR(VLOOKUP(A411, 'DLRO'!A:I, 8, FALSE), "N/A"))</f>
        <v/>
      </c>
      <c r="H411">
        <f>IF(A411="","", IFERROR(VLOOKUP(A411, 'Torque'!A:I, 8, FALSE), "N/A"))</f>
        <v/>
      </c>
      <c r="I411">
        <f>IF(A411="","", IFERROR(VLOOKUP(A411, 'Infrared'!A:G, 6, FALSE), "N/A"))</f>
        <v/>
      </c>
      <c r="J411">
        <f>IF(A411="","", IFERROR(VLOOKUP(A411, 'Ultrasonic'!A:H, 7, FALSE), "N/A"))</f>
        <v/>
      </c>
      <c r="K411">
        <f>IF(A411="","", IFERROR(VLOOKUP(A411, 'Code Violations'!A:V, 22, FALSE), "N/A"))</f>
        <v/>
      </c>
      <c r="L411">
        <f>IF(A411="","", IF(COUNTIF(E411:K411, "FAIL")&gt;0, "FAIL", "PASS"))</f>
        <v/>
      </c>
    </row>
    <row r="412">
      <c r="A412">
        <f>IF('Equipment Information'!A412="","", 'Equipment Information'!A412)</f>
        <v/>
      </c>
      <c r="B412">
        <f>IF('Equipment Information'!B412="","", 'Equipment Information'!B412)</f>
        <v/>
      </c>
      <c r="C412">
        <f>IF('Equipment Information'!C412="","", 'Equipment Information'!C412)</f>
        <v/>
      </c>
      <c r="D412">
        <f>IF('Equipment Information'!D412="","", 'Equipment Information'!D412)</f>
        <v/>
      </c>
      <c r="E412">
        <f>IF(A412="","", IFERROR(VLOOKUP(A412, 'Energized Data'!A:T, 20, FALSE), "N/A"))</f>
        <v/>
      </c>
      <c r="F412">
        <f>IF(A412="","", IFERROR(VLOOKUP(A412, 'Insulation'!A:J, 9, FALSE), "N/A"))</f>
        <v/>
      </c>
      <c r="G412">
        <f>IF(A412="","", IFERROR(VLOOKUP(A412, 'DLRO'!A:I, 8, FALSE), "N/A"))</f>
        <v/>
      </c>
      <c r="H412">
        <f>IF(A412="","", IFERROR(VLOOKUP(A412, 'Torque'!A:I, 8, FALSE), "N/A"))</f>
        <v/>
      </c>
      <c r="I412">
        <f>IF(A412="","", IFERROR(VLOOKUP(A412, 'Infrared'!A:G, 6, FALSE), "N/A"))</f>
        <v/>
      </c>
      <c r="J412">
        <f>IF(A412="","", IFERROR(VLOOKUP(A412, 'Ultrasonic'!A:H, 7, FALSE), "N/A"))</f>
        <v/>
      </c>
      <c r="K412">
        <f>IF(A412="","", IFERROR(VLOOKUP(A412, 'Code Violations'!A:V, 22, FALSE), "N/A"))</f>
        <v/>
      </c>
      <c r="L412">
        <f>IF(A412="","", IF(COUNTIF(E412:K412, "FAIL")&gt;0, "FAIL", "PASS"))</f>
        <v/>
      </c>
    </row>
    <row r="413">
      <c r="A413">
        <f>IF('Equipment Information'!A413="","", 'Equipment Information'!A413)</f>
        <v/>
      </c>
      <c r="B413">
        <f>IF('Equipment Information'!B413="","", 'Equipment Information'!B413)</f>
        <v/>
      </c>
      <c r="C413">
        <f>IF('Equipment Information'!C413="","", 'Equipment Information'!C413)</f>
        <v/>
      </c>
      <c r="D413">
        <f>IF('Equipment Information'!D413="","", 'Equipment Information'!D413)</f>
        <v/>
      </c>
      <c r="E413">
        <f>IF(A413="","", IFERROR(VLOOKUP(A413, 'Energized Data'!A:T, 20, FALSE), "N/A"))</f>
        <v/>
      </c>
      <c r="F413">
        <f>IF(A413="","", IFERROR(VLOOKUP(A413, 'Insulation'!A:J, 9, FALSE), "N/A"))</f>
        <v/>
      </c>
      <c r="G413">
        <f>IF(A413="","", IFERROR(VLOOKUP(A413, 'DLRO'!A:I, 8, FALSE), "N/A"))</f>
        <v/>
      </c>
      <c r="H413">
        <f>IF(A413="","", IFERROR(VLOOKUP(A413, 'Torque'!A:I, 8, FALSE), "N/A"))</f>
        <v/>
      </c>
      <c r="I413">
        <f>IF(A413="","", IFERROR(VLOOKUP(A413, 'Infrared'!A:G, 6, FALSE), "N/A"))</f>
        <v/>
      </c>
      <c r="J413">
        <f>IF(A413="","", IFERROR(VLOOKUP(A413, 'Ultrasonic'!A:H, 7, FALSE), "N/A"))</f>
        <v/>
      </c>
      <c r="K413">
        <f>IF(A413="","", IFERROR(VLOOKUP(A413, 'Code Violations'!A:V, 22, FALSE), "N/A"))</f>
        <v/>
      </c>
      <c r="L413">
        <f>IF(A413="","", IF(COUNTIF(E413:K413, "FAIL")&gt;0, "FAIL", "PASS"))</f>
        <v/>
      </c>
    </row>
    <row r="414">
      <c r="A414">
        <f>IF('Equipment Information'!A414="","", 'Equipment Information'!A414)</f>
        <v/>
      </c>
      <c r="B414">
        <f>IF('Equipment Information'!B414="","", 'Equipment Information'!B414)</f>
        <v/>
      </c>
      <c r="C414">
        <f>IF('Equipment Information'!C414="","", 'Equipment Information'!C414)</f>
        <v/>
      </c>
      <c r="D414">
        <f>IF('Equipment Information'!D414="","", 'Equipment Information'!D414)</f>
        <v/>
      </c>
      <c r="E414">
        <f>IF(A414="","", IFERROR(VLOOKUP(A414, 'Energized Data'!A:T, 20, FALSE), "N/A"))</f>
        <v/>
      </c>
      <c r="F414">
        <f>IF(A414="","", IFERROR(VLOOKUP(A414, 'Insulation'!A:J, 9, FALSE), "N/A"))</f>
        <v/>
      </c>
      <c r="G414">
        <f>IF(A414="","", IFERROR(VLOOKUP(A414, 'DLRO'!A:I, 8, FALSE), "N/A"))</f>
        <v/>
      </c>
      <c r="H414">
        <f>IF(A414="","", IFERROR(VLOOKUP(A414, 'Torque'!A:I, 8, FALSE), "N/A"))</f>
        <v/>
      </c>
      <c r="I414">
        <f>IF(A414="","", IFERROR(VLOOKUP(A414, 'Infrared'!A:G, 6, FALSE), "N/A"))</f>
        <v/>
      </c>
      <c r="J414">
        <f>IF(A414="","", IFERROR(VLOOKUP(A414, 'Ultrasonic'!A:H, 7, FALSE), "N/A"))</f>
        <v/>
      </c>
      <c r="K414">
        <f>IF(A414="","", IFERROR(VLOOKUP(A414, 'Code Violations'!A:V, 22, FALSE), "N/A"))</f>
        <v/>
      </c>
      <c r="L414">
        <f>IF(A414="","", IF(COUNTIF(E414:K414, "FAIL")&gt;0, "FAIL", "PASS"))</f>
        <v/>
      </c>
    </row>
    <row r="415">
      <c r="A415">
        <f>IF('Equipment Information'!A415="","", 'Equipment Information'!A415)</f>
        <v/>
      </c>
      <c r="B415">
        <f>IF('Equipment Information'!B415="","", 'Equipment Information'!B415)</f>
        <v/>
      </c>
      <c r="C415">
        <f>IF('Equipment Information'!C415="","", 'Equipment Information'!C415)</f>
        <v/>
      </c>
      <c r="D415">
        <f>IF('Equipment Information'!D415="","", 'Equipment Information'!D415)</f>
        <v/>
      </c>
      <c r="E415">
        <f>IF(A415="","", IFERROR(VLOOKUP(A415, 'Energized Data'!A:T, 20, FALSE), "N/A"))</f>
        <v/>
      </c>
      <c r="F415">
        <f>IF(A415="","", IFERROR(VLOOKUP(A415, 'Insulation'!A:J, 9, FALSE), "N/A"))</f>
        <v/>
      </c>
      <c r="G415">
        <f>IF(A415="","", IFERROR(VLOOKUP(A415, 'DLRO'!A:I, 8, FALSE), "N/A"))</f>
        <v/>
      </c>
      <c r="H415">
        <f>IF(A415="","", IFERROR(VLOOKUP(A415, 'Torque'!A:I, 8, FALSE), "N/A"))</f>
        <v/>
      </c>
      <c r="I415">
        <f>IF(A415="","", IFERROR(VLOOKUP(A415, 'Infrared'!A:G, 6, FALSE), "N/A"))</f>
        <v/>
      </c>
      <c r="J415">
        <f>IF(A415="","", IFERROR(VLOOKUP(A415, 'Ultrasonic'!A:H, 7, FALSE), "N/A"))</f>
        <v/>
      </c>
      <c r="K415">
        <f>IF(A415="","", IFERROR(VLOOKUP(A415, 'Code Violations'!A:V, 22, FALSE), "N/A"))</f>
        <v/>
      </c>
      <c r="L415">
        <f>IF(A415="","", IF(COUNTIF(E415:K415, "FAIL")&gt;0, "FAIL", "PASS"))</f>
        <v/>
      </c>
    </row>
    <row r="416">
      <c r="A416">
        <f>IF('Equipment Information'!A416="","", 'Equipment Information'!A416)</f>
        <v/>
      </c>
      <c r="B416">
        <f>IF('Equipment Information'!B416="","", 'Equipment Information'!B416)</f>
        <v/>
      </c>
      <c r="C416">
        <f>IF('Equipment Information'!C416="","", 'Equipment Information'!C416)</f>
        <v/>
      </c>
      <c r="D416">
        <f>IF('Equipment Information'!D416="","", 'Equipment Information'!D416)</f>
        <v/>
      </c>
      <c r="E416">
        <f>IF(A416="","", IFERROR(VLOOKUP(A416, 'Energized Data'!A:T, 20, FALSE), "N/A"))</f>
        <v/>
      </c>
      <c r="F416">
        <f>IF(A416="","", IFERROR(VLOOKUP(A416, 'Insulation'!A:J, 9, FALSE), "N/A"))</f>
        <v/>
      </c>
      <c r="G416">
        <f>IF(A416="","", IFERROR(VLOOKUP(A416, 'DLRO'!A:I, 8, FALSE), "N/A"))</f>
        <v/>
      </c>
      <c r="H416">
        <f>IF(A416="","", IFERROR(VLOOKUP(A416, 'Torque'!A:I, 8, FALSE), "N/A"))</f>
        <v/>
      </c>
      <c r="I416">
        <f>IF(A416="","", IFERROR(VLOOKUP(A416, 'Infrared'!A:G, 6, FALSE), "N/A"))</f>
        <v/>
      </c>
      <c r="J416">
        <f>IF(A416="","", IFERROR(VLOOKUP(A416, 'Ultrasonic'!A:H, 7, FALSE), "N/A"))</f>
        <v/>
      </c>
      <c r="K416">
        <f>IF(A416="","", IFERROR(VLOOKUP(A416, 'Code Violations'!A:V, 22, FALSE), "N/A"))</f>
        <v/>
      </c>
      <c r="L416">
        <f>IF(A416="","", IF(COUNTIF(E416:K416, "FAIL")&gt;0, "FAIL", "PASS"))</f>
        <v/>
      </c>
    </row>
    <row r="417">
      <c r="A417">
        <f>IF('Equipment Information'!A417="","", 'Equipment Information'!A417)</f>
        <v/>
      </c>
      <c r="B417">
        <f>IF('Equipment Information'!B417="","", 'Equipment Information'!B417)</f>
        <v/>
      </c>
      <c r="C417">
        <f>IF('Equipment Information'!C417="","", 'Equipment Information'!C417)</f>
        <v/>
      </c>
      <c r="D417">
        <f>IF('Equipment Information'!D417="","", 'Equipment Information'!D417)</f>
        <v/>
      </c>
      <c r="E417">
        <f>IF(A417="","", IFERROR(VLOOKUP(A417, 'Energized Data'!A:T, 20, FALSE), "N/A"))</f>
        <v/>
      </c>
      <c r="F417">
        <f>IF(A417="","", IFERROR(VLOOKUP(A417, 'Insulation'!A:J, 9, FALSE), "N/A"))</f>
        <v/>
      </c>
      <c r="G417">
        <f>IF(A417="","", IFERROR(VLOOKUP(A417, 'DLRO'!A:I, 8, FALSE), "N/A"))</f>
        <v/>
      </c>
      <c r="H417">
        <f>IF(A417="","", IFERROR(VLOOKUP(A417, 'Torque'!A:I, 8, FALSE), "N/A"))</f>
        <v/>
      </c>
      <c r="I417">
        <f>IF(A417="","", IFERROR(VLOOKUP(A417, 'Infrared'!A:G, 6, FALSE), "N/A"))</f>
        <v/>
      </c>
      <c r="J417">
        <f>IF(A417="","", IFERROR(VLOOKUP(A417, 'Ultrasonic'!A:H, 7, FALSE), "N/A"))</f>
        <v/>
      </c>
      <c r="K417">
        <f>IF(A417="","", IFERROR(VLOOKUP(A417, 'Code Violations'!A:V, 22, FALSE), "N/A"))</f>
        <v/>
      </c>
      <c r="L417">
        <f>IF(A417="","", IF(COUNTIF(E417:K417, "FAIL")&gt;0, "FAIL", "PASS"))</f>
        <v/>
      </c>
    </row>
    <row r="418">
      <c r="A418">
        <f>IF('Equipment Information'!A418="","", 'Equipment Information'!A418)</f>
        <v/>
      </c>
      <c r="B418">
        <f>IF('Equipment Information'!B418="","", 'Equipment Information'!B418)</f>
        <v/>
      </c>
      <c r="C418">
        <f>IF('Equipment Information'!C418="","", 'Equipment Information'!C418)</f>
        <v/>
      </c>
      <c r="D418">
        <f>IF('Equipment Information'!D418="","", 'Equipment Information'!D418)</f>
        <v/>
      </c>
      <c r="E418">
        <f>IF(A418="","", IFERROR(VLOOKUP(A418, 'Energized Data'!A:T, 20, FALSE), "N/A"))</f>
        <v/>
      </c>
      <c r="F418">
        <f>IF(A418="","", IFERROR(VLOOKUP(A418, 'Insulation'!A:J, 9, FALSE), "N/A"))</f>
        <v/>
      </c>
      <c r="G418">
        <f>IF(A418="","", IFERROR(VLOOKUP(A418, 'DLRO'!A:I, 8, FALSE), "N/A"))</f>
        <v/>
      </c>
      <c r="H418">
        <f>IF(A418="","", IFERROR(VLOOKUP(A418, 'Torque'!A:I, 8, FALSE), "N/A"))</f>
        <v/>
      </c>
      <c r="I418">
        <f>IF(A418="","", IFERROR(VLOOKUP(A418, 'Infrared'!A:G, 6, FALSE), "N/A"))</f>
        <v/>
      </c>
      <c r="J418">
        <f>IF(A418="","", IFERROR(VLOOKUP(A418, 'Ultrasonic'!A:H, 7, FALSE), "N/A"))</f>
        <v/>
      </c>
      <c r="K418">
        <f>IF(A418="","", IFERROR(VLOOKUP(A418, 'Code Violations'!A:V, 22, FALSE), "N/A"))</f>
        <v/>
      </c>
      <c r="L418">
        <f>IF(A418="","", IF(COUNTIF(E418:K418, "FAIL")&gt;0, "FAIL", "PASS"))</f>
        <v/>
      </c>
    </row>
    <row r="419">
      <c r="A419">
        <f>IF('Equipment Information'!A419="","", 'Equipment Information'!A419)</f>
        <v/>
      </c>
      <c r="B419">
        <f>IF('Equipment Information'!B419="","", 'Equipment Information'!B419)</f>
        <v/>
      </c>
      <c r="C419">
        <f>IF('Equipment Information'!C419="","", 'Equipment Information'!C419)</f>
        <v/>
      </c>
      <c r="D419">
        <f>IF('Equipment Information'!D419="","", 'Equipment Information'!D419)</f>
        <v/>
      </c>
      <c r="E419">
        <f>IF(A419="","", IFERROR(VLOOKUP(A419, 'Energized Data'!A:T, 20, FALSE), "N/A"))</f>
        <v/>
      </c>
      <c r="F419">
        <f>IF(A419="","", IFERROR(VLOOKUP(A419, 'Insulation'!A:J, 9, FALSE), "N/A"))</f>
        <v/>
      </c>
      <c r="G419">
        <f>IF(A419="","", IFERROR(VLOOKUP(A419, 'DLRO'!A:I, 8, FALSE), "N/A"))</f>
        <v/>
      </c>
      <c r="H419">
        <f>IF(A419="","", IFERROR(VLOOKUP(A419, 'Torque'!A:I, 8, FALSE), "N/A"))</f>
        <v/>
      </c>
      <c r="I419">
        <f>IF(A419="","", IFERROR(VLOOKUP(A419, 'Infrared'!A:G, 6, FALSE), "N/A"))</f>
        <v/>
      </c>
      <c r="J419">
        <f>IF(A419="","", IFERROR(VLOOKUP(A419, 'Ultrasonic'!A:H, 7, FALSE), "N/A"))</f>
        <v/>
      </c>
      <c r="K419">
        <f>IF(A419="","", IFERROR(VLOOKUP(A419, 'Code Violations'!A:V, 22, FALSE), "N/A"))</f>
        <v/>
      </c>
      <c r="L419">
        <f>IF(A419="","", IF(COUNTIF(E419:K419, "FAIL")&gt;0, "FAIL", "PASS"))</f>
        <v/>
      </c>
    </row>
    <row r="420">
      <c r="A420">
        <f>IF('Equipment Information'!A420="","", 'Equipment Information'!A420)</f>
        <v/>
      </c>
      <c r="B420">
        <f>IF('Equipment Information'!B420="","", 'Equipment Information'!B420)</f>
        <v/>
      </c>
      <c r="C420">
        <f>IF('Equipment Information'!C420="","", 'Equipment Information'!C420)</f>
        <v/>
      </c>
      <c r="D420">
        <f>IF('Equipment Information'!D420="","", 'Equipment Information'!D420)</f>
        <v/>
      </c>
      <c r="E420">
        <f>IF(A420="","", IFERROR(VLOOKUP(A420, 'Energized Data'!A:T, 20, FALSE), "N/A"))</f>
        <v/>
      </c>
      <c r="F420">
        <f>IF(A420="","", IFERROR(VLOOKUP(A420, 'Insulation'!A:J, 9, FALSE), "N/A"))</f>
        <v/>
      </c>
      <c r="G420">
        <f>IF(A420="","", IFERROR(VLOOKUP(A420, 'DLRO'!A:I, 8, FALSE), "N/A"))</f>
        <v/>
      </c>
      <c r="H420">
        <f>IF(A420="","", IFERROR(VLOOKUP(A420, 'Torque'!A:I, 8, FALSE), "N/A"))</f>
        <v/>
      </c>
      <c r="I420">
        <f>IF(A420="","", IFERROR(VLOOKUP(A420, 'Infrared'!A:G, 6, FALSE), "N/A"))</f>
        <v/>
      </c>
      <c r="J420">
        <f>IF(A420="","", IFERROR(VLOOKUP(A420, 'Ultrasonic'!A:H, 7, FALSE), "N/A"))</f>
        <v/>
      </c>
      <c r="K420">
        <f>IF(A420="","", IFERROR(VLOOKUP(A420, 'Code Violations'!A:V, 22, FALSE), "N/A"))</f>
        <v/>
      </c>
      <c r="L420">
        <f>IF(A420="","", IF(COUNTIF(E420:K420, "FAIL")&gt;0, "FAIL", "PASS"))</f>
        <v/>
      </c>
    </row>
    <row r="421">
      <c r="A421">
        <f>IF('Equipment Information'!A421="","", 'Equipment Information'!A421)</f>
        <v/>
      </c>
      <c r="B421">
        <f>IF('Equipment Information'!B421="","", 'Equipment Information'!B421)</f>
        <v/>
      </c>
      <c r="C421">
        <f>IF('Equipment Information'!C421="","", 'Equipment Information'!C421)</f>
        <v/>
      </c>
      <c r="D421">
        <f>IF('Equipment Information'!D421="","", 'Equipment Information'!D421)</f>
        <v/>
      </c>
      <c r="E421">
        <f>IF(A421="","", IFERROR(VLOOKUP(A421, 'Energized Data'!A:T, 20, FALSE), "N/A"))</f>
        <v/>
      </c>
      <c r="F421">
        <f>IF(A421="","", IFERROR(VLOOKUP(A421, 'Insulation'!A:J, 9, FALSE), "N/A"))</f>
        <v/>
      </c>
      <c r="G421">
        <f>IF(A421="","", IFERROR(VLOOKUP(A421, 'DLRO'!A:I, 8, FALSE), "N/A"))</f>
        <v/>
      </c>
      <c r="H421">
        <f>IF(A421="","", IFERROR(VLOOKUP(A421, 'Torque'!A:I, 8, FALSE), "N/A"))</f>
        <v/>
      </c>
      <c r="I421">
        <f>IF(A421="","", IFERROR(VLOOKUP(A421, 'Infrared'!A:G, 6, FALSE), "N/A"))</f>
        <v/>
      </c>
      <c r="J421">
        <f>IF(A421="","", IFERROR(VLOOKUP(A421, 'Ultrasonic'!A:H, 7, FALSE), "N/A"))</f>
        <v/>
      </c>
      <c r="K421">
        <f>IF(A421="","", IFERROR(VLOOKUP(A421, 'Code Violations'!A:V, 22, FALSE), "N/A"))</f>
        <v/>
      </c>
      <c r="L421">
        <f>IF(A421="","", IF(COUNTIF(E421:K421, "FAIL")&gt;0, "FAIL", "PASS"))</f>
        <v/>
      </c>
    </row>
    <row r="422">
      <c r="A422">
        <f>IF('Equipment Information'!A422="","", 'Equipment Information'!A422)</f>
        <v/>
      </c>
      <c r="B422">
        <f>IF('Equipment Information'!B422="","", 'Equipment Information'!B422)</f>
        <v/>
      </c>
      <c r="C422">
        <f>IF('Equipment Information'!C422="","", 'Equipment Information'!C422)</f>
        <v/>
      </c>
      <c r="D422">
        <f>IF('Equipment Information'!D422="","", 'Equipment Information'!D422)</f>
        <v/>
      </c>
      <c r="E422">
        <f>IF(A422="","", IFERROR(VLOOKUP(A422, 'Energized Data'!A:T, 20, FALSE), "N/A"))</f>
        <v/>
      </c>
      <c r="F422">
        <f>IF(A422="","", IFERROR(VLOOKUP(A422, 'Insulation'!A:J, 9, FALSE), "N/A"))</f>
        <v/>
      </c>
      <c r="G422">
        <f>IF(A422="","", IFERROR(VLOOKUP(A422, 'DLRO'!A:I, 8, FALSE), "N/A"))</f>
        <v/>
      </c>
      <c r="H422">
        <f>IF(A422="","", IFERROR(VLOOKUP(A422, 'Torque'!A:I, 8, FALSE), "N/A"))</f>
        <v/>
      </c>
      <c r="I422">
        <f>IF(A422="","", IFERROR(VLOOKUP(A422, 'Infrared'!A:G, 6, FALSE), "N/A"))</f>
        <v/>
      </c>
      <c r="J422">
        <f>IF(A422="","", IFERROR(VLOOKUP(A422, 'Ultrasonic'!A:H, 7, FALSE), "N/A"))</f>
        <v/>
      </c>
      <c r="K422">
        <f>IF(A422="","", IFERROR(VLOOKUP(A422, 'Code Violations'!A:V, 22, FALSE), "N/A"))</f>
        <v/>
      </c>
      <c r="L422">
        <f>IF(A422="","", IF(COUNTIF(E422:K422, "FAIL")&gt;0, "FAIL", "PASS"))</f>
        <v/>
      </c>
    </row>
    <row r="423">
      <c r="A423">
        <f>IF('Equipment Information'!A423="","", 'Equipment Information'!A423)</f>
        <v/>
      </c>
      <c r="B423">
        <f>IF('Equipment Information'!B423="","", 'Equipment Information'!B423)</f>
        <v/>
      </c>
      <c r="C423">
        <f>IF('Equipment Information'!C423="","", 'Equipment Information'!C423)</f>
        <v/>
      </c>
      <c r="D423">
        <f>IF('Equipment Information'!D423="","", 'Equipment Information'!D423)</f>
        <v/>
      </c>
      <c r="E423">
        <f>IF(A423="","", IFERROR(VLOOKUP(A423, 'Energized Data'!A:T, 20, FALSE), "N/A"))</f>
        <v/>
      </c>
      <c r="F423">
        <f>IF(A423="","", IFERROR(VLOOKUP(A423, 'Insulation'!A:J, 9, FALSE), "N/A"))</f>
        <v/>
      </c>
      <c r="G423">
        <f>IF(A423="","", IFERROR(VLOOKUP(A423, 'DLRO'!A:I, 8, FALSE), "N/A"))</f>
        <v/>
      </c>
      <c r="H423">
        <f>IF(A423="","", IFERROR(VLOOKUP(A423, 'Torque'!A:I, 8, FALSE), "N/A"))</f>
        <v/>
      </c>
      <c r="I423">
        <f>IF(A423="","", IFERROR(VLOOKUP(A423, 'Infrared'!A:G, 6, FALSE), "N/A"))</f>
        <v/>
      </c>
      <c r="J423">
        <f>IF(A423="","", IFERROR(VLOOKUP(A423, 'Ultrasonic'!A:H, 7, FALSE), "N/A"))</f>
        <v/>
      </c>
      <c r="K423">
        <f>IF(A423="","", IFERROR(VLOOKUP(A423, 'Code Violations'!A:V, 22, FALSE), "N/A"))</f>
        <v/>
      </c>
      <c r="L423">
        <f>IF(A423="","", IF(COUNTIF(E423:K423, "FAIL")&gt;0, "FAIL", "PASS"))</f>
        <v/>
      </c>
    </row>
    <row r="424">
      <c r="A424">
        <f>IF('Equipment Information'!A424="","", 'Equipment Information'!A424)</f>
        <v/>
      </c>
      <c r="B424">
        <f>IF('Equipment Information'!B424="","", 'Equipment Information'!B424)</f>
        <v/>
      </c>
      <c r="C424">
        <f>IF('Equipment Information'!C424="","", 'Equipment Information'!C424)</f>
        <v/>
      </c>
      <c r="D424">
        <f>IF('Equipment Information'!D424="","", 'Equipment Information'!D424)</f>
        <v/>
      </c>
      <c r="E424">
        <f>IF(A424="","", IFERROR(VLOOKUP(A424, 'Energized Data'!A:T, 20, FALSE), "N/A"))</f>
        <v/>
      </c>
      <c r="F424">
        <f>IF(A424="","", IFERROR(VLOOKUP(A424, 'Insulation'!A:J, 9, FALSE), "N/A"))</f>
        <v/>
      </c>
      <c r="G424">
        <f>IF(A424="","", IFERROR(VLOOKUP(A424, 'DLRO'!A:I, 8, FALSE), "N/A"))</f>
        <v/>
      </c>
      <c r="H424">
        <f>IF(A424="","", IFERROR(VLOOKUP(A424, 'Torque'!A:I, 8, FALSE), "N/A"))</f>
        <v/>
      </c>
      <c r="I424">
        <f>IF(A424="","", IFERROR(VLOOKUP(A424, 'Infrared'!A:G, 6, FALSE), "N/A"))</f>
        <v/>
      </c>
      <c r="J424">
        <f>IF(A424="","", IFERROR(VLOOKUP(A424, 'Ultrasonic'!A:H, 7, FALSE), "N/A"))</f>
        <v/>
      </c>
      <c r="K424">
        <f>IF(A424="","", IFERROR(VLOOKUP(A424, 'Code Violations'!A:V, 22, FALSE), "N/A"))</f>
        <v/>
      </c>
      <c r="L424">
        <f>IF(A424="","", IF(COUNTIF(E424:K424, "FAIL")&gt;0, "FAIL", "PASS"))</f>
        <v/>
      </c>
    </row>
    <row r="425">
      <c r="A425">
        <f>IF('Equipment Information'!A425="","", 'Equipment Information'!A425)</f>
        <v/>
      </c>
      <c r="B425">
        <f>IF('Equipment Information'!B425="","", 'Equipment Information'!B425)</f>
        <v/>
      </c>
      <c r="C425">
        <f>IF('Equipment Information'!C425="","", 'Equipment Information'!C425)</f>
        <v/>
      </c>
      <c r="D425">
        <f>IF('Equipment Information'!D425="","", 'Equipment Information'!D425)</f>
        <v/>
      </c>
      <c r="E425">
        <f>IF(A425="","", IFERROR(VLOOKUP(A425, 'Energized Data'!A:T, 20, FALSE), "N/A"))</f>
        <v/>
      </c>
      <c r="F425">
        <f>IF(A425="","", IFERROR(VLOOKUP(A425, 'Insulation'!A:J, 9, FALSE), "N/A"))</f>
        <v/>
      </c>
      <c r="G425">
        <f>IF(A425="","", IFERROR(VLOOKUP(A425, 'DLRO'!A:I, 8, FALSE), "N/A"))</f>
        <v/>
      </c>
      <c r="H425">
        <f>IF(A425="","", IFERROR(VLOOKUP(A425, 'Torque'!A:I, 8, FALSE), "N/A"))</f>
        <v/>
      </c>
      <c r="I425">
        <f>IF(A425="","", IFERROR(VLOOKUP(A425, 'Infrared'!A:G, 6, FALSE), "N/A"))</f>
        <v/>
      </c>
      <c r="J425">
        <f>IF(A425="","", IFERROR(VLOOKUP(A425, 'Ultrasonic'!A:H, 7, FALSE), "N/A"))</f>
        <v/>
      </c>
      <c r="K425">
        <f>IF(A425="","", IFERROR(VLOOKUP(A425, 'Code Violations'!A:V, 22, FALSE), "N/A"))</f>
        <v/>
      </c>
      <c r="L425">
        <f>IF(A425="","", IF(COUNTIF(E425:K425, "FAIL")&gt;0, "FAIL", "PASS"))</f>
        <v/>
      </c>
    </row>
    <row r="426">
      <c r="A426">
        <f>IF('Equipment Information'!A426="","", 'Equipment Information'!A426)</f>
        <v/>
      </c>
      <c r="B426">
        <f>IF('Equipment Information'!B426="","", 'Equipment Information'!B426)</f>
        <v/>
      </c>
      <c r="C426">
        <f>IF('Equipment Information'!C426="","", 'Equipment Information'!C426)</f>
        <v/>
      </c>
      <c r="D426">
        <f>IF('Equipment Information'!D426="","", 'Equipment Information'!D426)</f>
        <v/>
      </c>
      <c r="E426">
        <f>IF(A426="","", IFERROR(VLOOKUP(A426, 'Energized Data'!A:T, 20, FALSE), "N/A"))</f>
        <v/>
      </c>
      <c r="F426">
        <f>IF(A426="","", IFERROR(VLOOKUP(A426, 'Insulation'!A:J, 9, FALSE), "N/A"))</f>
        <v/>
      </c>
      <c r="G426">
        <f>IF(A426="","", IFERROR(VLOOKUP(A426, 'DLRO'!A:I, 8, FALSE), "N/A"))</f>
        <v/>
      </c>
      <c r="H426">
        <f>IF(A426="","", IFERROR(VLOOKUP(A426, 'Torque'!A:I, 8, FALSE), "N/A"))</f>
        <v/>
      </c>
      <c r="I426">
        <f>IF(A426="","", IFERROR(VLOOKUP(A426, 'Infrared'!A:G, 6, FALSE), "N/A"))</f>
        <v/>
      </c>
      <c r="J426">
        <f>IF(A426="","", IFERROR(VLOOKUP(A426, 'Ultrasonic'!A:H, 7, FALSE), "N/A"))</f>
        <v/>
      </c>
      <c r="K426">
        <f>IF(A426="","", IFERROR(VLOOKUP(A426, 'Code Violations'!A:V, 22, FALSE), "N/A"))</f>
        <v/>
      </c>
      <c r="L426">
        <f>IF(A426="","", IF(COUNTIF(E426:K426, "FAIL")&gt;0, "FAIL", "PASS"))</f>
        <v/>
      </c>
    </row>
    <row r="427">
      <c r="A427">
        <f>IF('Equipment Information'!A427="","", 'Equipment Information'!A427)</f>
        <v/>
      </c>
      <c r="B427">
        <f>IF('Equipment Information'!B427="","", 'Equipment Information'!B427)</f>
        <v/>
      </c>
      <c r="C427">
        <f>IF('Equipment Information'!C427="","", 'Equipment Information'!C427)</f>
        <v/>
      </c>
      <c r="D427">
        <f>IF('Equipment Information'!D427="","", 'Equipment Information'!D427)</f>
        <v/>
      </c>
      <c r="E427">
        <f>IF(A427="","", IFERROR(VLOOKUP(A427, 'Energized Data'!A:T, 20, FALSE), "N/A"))</f>
        <v/>
      </c>
      <c r="F427">
        <f>IF(A427="","", IFERROR(VLOOKUP(A427, 'Insulation'!A:J, 9, FALSE), "N/A"))</f>
        <v/>
      </c>
      <c r="G427">
        <f>IF(A427="","", IFERROR(VLOOKUP(A427, 'DLRO'!A:I, 8, FALSE), "N/A"))</f>
        <v/>
      </c>
      <c r="H427">
        <f>IF(A427="","", IFERROR(VLOOKUP(A427, 'Torque'!A:I, 8, FALSE), "N/A"))</f>
        <v/>
      </c>
      <c r="I427">
        <f>IF(A427="","", IFERROR(VLOOKUP(A427, 'Infrared'!A:G, 6, FALSE), "N/A"))</f>
        <v/>
      </c>
      <c r="J427">
        <f>IF(A427="","", IFERROR(VLOOKUP(A427, 'Ultrasonic'!A:H, 7, FALSE), "N/A"))</f>
        <v/>
      </c>
      <c r="K427">
        <f>IF(A427="","", IFERROR(VLOOKUP(A427, 'Code Violations'!A:V, 22, FALSE), "N/A"))</f>
        <v/>
      </c>
      <c r="L427">
        <f>IF(A427="","", IF(COUNTIF(E427:K427, "FAIL")&gt;0, "FAIL", "PASS"))</f>
        <v/>
      </c>
    </row>
    <row r="428">
      <c r="A428">
        <f>IF('Equipment Information'!A428="","", 'Equipment Information'!A428)</f>
        <v/>
      </c>
      <c r="B428">
        <f>IF('Equipment Information'!B428="","", 'Equipment Information'!B428)</f>
        <v/>
      </c>
      <c r="C428">
        <f>IF('Equipment Information'!C428="","", 'Equipment Information'!C428)</f>
        <v/>
      </c>
      <c r="D428">
        <f>IF('Equipment Information'!D428="","", 'Equipment Information'!D428)</f>
        <v/>
      </c>
      <c r="E428">
        <f>IF(A428="","", IFERROR(VLOOKUP(A428, 'Energized Data'!A:T, 20, FALSE), "N/A"))</f>
        <v/>
      </c>
      <c r="F428">
        <f>IF(A428="","", IFERROR(VLOOKUP(A428, 'Insulation'!A:J, 9, FALSE), "N/A"))</f>
        <v/>
      </c>
      <c r="G428">
        <f>IF(A428="","", IFERROR(VLOOKUP(A428, 'DLRO'!A:I, 8, FALSE), "N/A"))</f>
        <v/>
      </c>
      <c r="H428">
        <f>IF(A428="","", IFERROR(VLOOKUP(A428, 'Torque'!A:I, 8, FALSE), "N/A"))</f>
        <v/>
      </c>
      <c r="I428">
        <f>IF(A428="","", IFERROR(VLOOKUP(A428, 'Infrared'!A:G, 6, FALSE), "N/A"))</f>
        <v/>
      </c>
      <c r="J428">
        <f>IF(A428="","", IFERROR(VLOOKUP(A428, 'Ultrasonic'!A:H, 7, FALSE), "N/A"))</f>
        <v/>
      </c>
      <c r="K428">
        <f>IF(A428="","", IFERROR(VLOOKUP(A428, 'Code Violations'!A:V, 22, FALSE), "N/A"))</f>
        <v/>
      </c>
      <c r="L428">
        <f>IF(A428="","", IF(COUNTIF(E428:K428, "FAIL")&gt;0, "FAIL", "PASS"))</f>
        <v/>
      </c>
    </row>
    <row r="429">
      <c r="A429">
        <f>IF('Equipment Information'!A429="","", 'Equipment Information'!A429)</f>
        <v/>
      </c>
      <c r="B429">
        <f>IF('Equipment Information'!B429="","", 'Equipment Information'!B429)</f>
        <v/>
      </c>
      <c r="C429">
        <f>IF('Equipment Information'!C429="","", 'Equipment Information'!C429)</f>
        <v/>
      </c>
      <c r="D429">
        <f>IF('Equipment Information'!D429="","", 'Equipment Information'!D429)</f>
        <v/>
      </c>
      <c r="E429">
        <f>IF(A429="","", IFERROR(VLOOKUP(A429, 'Energized Data'!A:T, 20, FALSE), "N/A"))</f>
        <v/>
      </c>
      <c r="F429">
        <f>IF(A429="","", IFERROR(VLOOKUP(A429, 'Insulation'!A:J, 9, FALSE), "N/A"))</f>
        <v/>
      </c>
      <c r="G429">
        <f>IF(A429="","", IFERROR(VLOOKUP(A429, 'DLRO'!A:I, 8, FALSE), "N/A"))</f>
        <v/>
      </c>
      <c r="H429">
        <f>IF(A429="","", IFERROR(VLOOKUP(A429, 'Torque'!A:I, 8, FALSE), "N/A"))</f>
        <v/>
      </c>
      <c r="I429">
        <f>IF(A429="","", IFERROR(VLOOKUP(A429, 'Infrared'!A:G, 6, FALSE), "N/A"))</f>
        <v/>
      </c>
      <c r="J429">
        <f>IF(A429="","", IFERROR(VLOOKUP(A429, 'Ultrasonic'!A:H, 7, FALSE), "N/A"))</f>
        <v/>
      </c>
      <c r="K429">
        <f>IF(A429="","", IFERROR(VLOOKUP(A429, 'Code Violations'!A:V, 22, FALSE), "N/A"))</f>
        <v/>
      </c>
      <c r="L429">
        <f>IF(A429="","", IF(COUNTIF(E429:K429, "FAIL")&gt;0, "FAIL", "PASS"))</f>
        <v/>
      </c>
    </row>
    <row r="430">
      <c r="A430">
        <f>IF('Equipment Information'!A430="","", 'Equipment Information'!A430)</f>
        <v/>
      </c>
      <c r="B430">
        <f>IF('Equipment Information'!B430="","", 'Equipment Information'!B430)</f>
        <v/>
      </c>
      <c r="C430">
        <f>IF('Equipment Information'!C430="","", 'Equipment Information'!C430)</f>
        <v/>
      </c>
      <c r="D430">
        <f>IF('Equipment Information'!D430="","", 'Equipment Information'!D430)</f>
        <v/>
      </c>
      <c r="E430">
        <f>IF(A430="","", IFERROR(VLOOKUP(A430, 'Energized Data'!A:T, 20, FALSE), "N/A"))</f>
        <v/>
      </c>
      <c r="F430">
        <f>IF(A430="","", IFERROR(VLOOKUP(A430, 'Insulation'!A:J, 9, FALSE), "N/A"))</f>
        <v/>
      </c>
      <c r="G430">
        <f>IF(A430="","", IFERROR(VLOOKUP(A430, 'DLRO'!A:I, 8, FALSE), "N/A"))</f>
        <v/>
      </c>
      <c r="H430">
        <f>IF(A430="","", IFERROR(VLOOKUP(A430, 'Torque'!A:I, 8, FALSE), "N/A"))</f>
        <v/>
      </c>
      <c r="I430">
        <f>IF(A430="","", IFERROR(VLOOKUP(A430, 'Infrared'!A:G, 6, FALSE), "N/A"))</f>
        <v/>
      </c>
      <c r="J430">
        <f>IF(A430="","", IFERROR(VLOOKUP(A430, 'Ultrasonic'!A:H, 7, FALSE), "N/A"))</f>
        <v/>
      </c>
      <c r="K430">
        <f>IF(A430="","", IFERROR(VLOOKUP(A430, 'Code Violations'!A:V, 22, FALSE), "N/A"))</f>
        <v/>
      </c>
      <c r="L430">
        <f>IF(A430="","", IF(COUNTIF(E430:K430, "FAIL")&gt;0, "FAIL", "PASS"))</f>
        <v/>
      </c>
    </row>
    <row r="431">
      <c r="A431">
        <f>IF('Equipment Information'!A431="","", 'Equipment Information'!A431)</f>
        <v/>
      </c>
      <c r="B431">
        <f>IF('Equipment Information'!B431="","", 'Equipment Information'!B431)</f>
        <v/>
      </c>
      <c r="C431">
        <f>IF('Equipment Information'!C431="","", 'Equipment Information'!C431)</f>
        <v/>
      </c>
      <c r="D431">
        <f>IF('Equipment Information'!D431="","", 'Equipment Information'!D431)</f>
        <v/>
      </c>
      <c r="E431">
        <f>IF(A431="","", IFERROR(VLOOKUP(A431, 'Energized Data'!A:T, 20, FALSE), "N/A"))</f>
        <v/>
      </c>
      <c r="F431">
        <f>IF(A431="","", IFERROR(VLOOKUP(A431, 'Insulation'!A:J, 9, FALSE), "N/A"))</f>
        <v/>
      </c>
      <c r="G431">
        <f>IF(A431="","", IFERROR(VLOOKUP(A431, 'DLRO'!A:I, 8, FALSE), "N/A"))</f>
        <v/>
      </c>
      <c r="H431">
        <f>IF(A431="","", IFERROR(VLOOKUP(A431, 'Torque'!A:I, 8, FALSE), "N/A"))</f>
        <v/>
      </c>
      <c r="I431">
        <f>IF(A431="","", IFERROR(VLOOKUP(A431, 'Infrared'!A:G, 6, FALSE), "N/A"))</f>
        <v/>
      </c>
      <c r="J431">
        <f>IF(A431="","", IFERROR(VLOOKUP(A431, 'Ultrasonic'!A:H, 7, FALSE), "N/A"))</f>
        <v/>
      </c>
      <c r="K431">
        <f>IF(A431="","", IFERROR(VLOOKUP(A431, 'Code Violations'!A:V, 22, FALSE), "N/A"))</f>
        <v/>
      </c>
      <c r="L431">
        <f>IF(A431="","", IF(COUNTIF(E431:K431, "FAIL")&gt;0, "FAIL", "PASS"))</f>
        <v/>
      </c>
    </row>
    <row r="432">
      <c r="A432">
        <f>IF('Equipment Information'!A432="","", 'Equipment Information'!A432)</f>
        <v/>
      </c>
      <c r="B432">
        <f>IF('Equipment Information'!B432="","", 'Equipment Information'!B432)</f>
        <v/>
      </c>
      <c r="C432">
        <f>IF('Equipment Information'!C432="","", 'Equipment Information'!C432)</f>
        <v/>
      </c>
      <c r="D432">
        <f>IF('Equipment Information'!D432="","", 'Equipment Information'!D432)</f>
        <v/>
      </c>
      <c r="E432">
        <f>IF(A432="","", IFERROR(VLOOKUP(A432, 'Energized Data'!A:T, 20, FALSE), "N/A"))</f>
        <v/>
      </c>
      <c r="F432">
        <f>IF(A432="","", IFERROR(VLOOKUP(A432, 'Insulation'!A:J, 9, FALSE), "N/A"))</f>
        <v/>
      </c>
      <c r="G432">
        <f>IF(A432="","", IFERROR(VLOOKUP(A432, 'DLRO'!A:I, 8, FALSE), "N/A"))</f>
        <v/>
      </c>
      <c r="H432">
        <f>IF(A432="","", IFERROR(VLOOKUP(A432, 'Torque'!A:I, 8, FALSE), "N/A"))</f>
        <v/>
      </c>
      <c r="I432">
        <f>IF(A432="","", IFERROR(VLOOKUP(A432, 'Infrared'!A:G, 6, FALSE), "N/A"))</f>
        <v/>
      </c>
      <c r="J432">
        <f>IF(A432="","", IFERROR(VLOOKUP(A432, 'Ultrasonic'!A:H, 7, FALSE), "N/A"))</f>
        <v/>
      </c>
      <c r="K432">
        <f>IF(A432="","", IFERROR(VLOOKUP(A432, 'Code Violations'!A:V, 22, FALSE), "N/A"))</f>
        <v/>
      </c>
      <c r="L432">
        <f>IF(A432="","", IF(COUNTIF(E432:K432, "FAIL")&gt;0, "FAIL", "PASS"))</f>
        <v/>
      </c>
    </row>
    <row r="433">
      <c r="A433">
        <f>IF('Equipment Information'!A433="","", 'Equipment Information'!A433)</f>
        <v/>
      </c>
      <c r="B433">
        <f>IF('Equipment Information'!B433="","", 'Equipment Information'!B433)</f>
        <v/>
      </c>
      <c r="C433">
        <f>IF('Equipment Information'!C433="","", 'Equipment Information'!C433)</f>
        <v/>
      </c>
      <c r="D433">
        <f>IF('Equipment Information'!D433="","", 'Equipment Information'!D433)</f>
        <v/>
      </c>
      <c r="E433">
        <f>IF(A433="","", IFERROR(VLOOKUP(A433, 'Energized Data'!A:T, 20, FALSE), "N/A"))</f>
        <v/>
      </c>
      <c r="F433">
        <f>IF(A433="","", IFERROR(VLOOKUP(A433, 'Insulation'!A:J, 9, FALSE), "N/A"))</f>
        <v/>
      </c>
      <c r="G433">
        <f>IF(A433="","", IFERROR(VLOOKUP(A433, 'DLRO'!A:I, 8, FALSE), "N/A"))</f>
        <v/>
      </c>
      <c r="H433">
        <f>IF(A433="","", IFERROR(VLOOKUP(A433, 'Torque'!A:I, 8, FALSE), "N/A"))</f>
        <v/>
      </c>
      <c r="I433">
        <f>IF(A433="","", IFERROR(VLOOKUP(A433, 'Infrared'!A:G, 6, FALSE), "N/A"))</f>
        <v/>
      </c>
      <c r="J433">
        <f>IF(A433="","", IFERROR(VLOOKUP(A433, 'Ultrasonic'!A:H, 7, FALSE), "N/A"))</f>
        <v/>
      </c>
      <c r="K433">
        <f>IF(A433="","", IFERROR(VLOOKUP(A433, 'Code Violations'!A:V, 22, FALSE), "N/A"))</f>
        <v/>
      </c>
      <c r="L433">
        <f>IF(A433="","", IF(COUNTIF(E433:K433, "FAIL")&gt;0, "FAIL", "PASS"))</f>
        <v/>
      </c>
    </row>
    <row r="434">
      <c r="A434">
        <f>IF('Equipment Information'!A434="","", 'Equipment Information'!A434)</f>
        <v/>
      </c>
      <c r="B434">
        <f>IF('Equipment Information'!B434="","", 'Equipment Information'!B434)</f>
        <v/>
      </c>
      <c r="C434">
        <f>IF('Equipment Information'!C434="","", 'Equipment Information'!C434)</f>
        <v/>
      </c>
      <c r="D434">
        <f>IF('Equipment Information'!D434="","", 'Equipment Information'!D434)</f>
        <v/>
      </c>
      <c r="E434">
        <f>IF(A434="","", IFERROR(VLOOKUP(A434, 'Energized Data'!A:T, 20, FALSE), "N/A"))</f>
        <v/>
      </c>
      <c r="F434">
        <f>IF(A434="","", IFERROR(VLOOKUP(A434, 'Insulation'!A:J, 9, FALSE), "N/A"))</f>
        <v/>
      </c>
      <c r="G434">
        <f>IF(A434="","", IFERROR(VLOOKUP(A434, 'DLRO'!A:I, 8, FALSE), "N/A"))</f>
        <v/>
      </c>
      <c r="H434">
        <f>IF(A434="","", IFERROR(VLOOKUP(A434, 'Torque'!A:I, 8, FALSE), "N/A"))</f>
        <v/>
      </c>
      <c r="I434">
        <f>IF(A434="","", IFERROR(VLOOKUP(A434, 'Infrared'!A:G, 6, FALSE), "N/A"))</f>
        <v/>
      </c>
      <c r="J434">
        <f>IF(A434="","", IFERROR(VLOOKUP(A434, 'Ultrasonic'!A:H, 7, FALSE), "N/A"))</f>
        <v/>
      </c>
      <c r="K434">
        <f>IF(A434="","", IFERROR(VLOOKUP(A434, 'Code Violations'!A:V, 22, FALSE), "N/A"))</f>
        <v/>
      </c>
      <c r="L434">
        <f>IF(A434="","", IF(COUNTIF(E434:K434, "FAIL")&gt;0, "FAIL", "PASS"))</f>
        <v/>
      </c>
    </row>
    <row r="435">
      <c r="A435">
        <f>IF('Equipment Information'!A435="","", 'Equipment Information'!A435)</f>
        <v/>
      </c>
      <c r="B435">
        <f>IF('Equipment Information'!B435="","", 'Equipment Information'!B435)</f>
        <v/>
      </c>
      <c r="C435">
        <f>IF('Equipment Information'!C435="","", 'Equipment Information'!C435)</f>
        <v/>
      </c>
      <c r="D435">
        <f>IF('Equipment Information'!D435="","", 'Equipment Information'!D435)</f>
        <v/>
      </c>
      <c r="E435">
        <f>IF(A435="","", IFERROR(VLOOKUP(A435, 'Energized Data'!A:T, 20, FALSE), "N/A"))</f>
        <v/>
      </c>
      <c r="F435">
        <f>IF(A435="","", IFERROR(VLOOKUP(A435, 'Insulation'!A:J, 9, FALSE), "N/A"))</f>
        <v/>
      </c>
      <c r="G435">
        <f>IF(A435="","", IFERROR(VLOOKUP(A435, 'DLRO'!A:I, 8, FALSE), "N/A"))</f>
        <v/>
      </c>
      <c r="H435">
        <f>IF(A435="","", IFERROR(VLOOKUP(A435, 'Torque'!A:I, 8, FALSE), "N/A"))</f>
        <v/>
      </c>
      <c r="I435">
        <f>IF(A435="","", IFERROR(VLOOKUP(A435, 'Infrared'!A:G, 6, FALSE), "N/A"))</f>
        <v/>
      </c>
      <c r="J435">
        <f>IF(A435="","", IFERROR(VLOOKUP(A435, 'Ultrasonic'!A:H, 7, FALSE), "N/A"))</f>
        <v/>
      </c>
      <c r="K435">
        <f>IF(A435="","", IFERROR(VLOOKUP(A435, 'Code Violations'!A:V, 22, FALSE), "N/A"))</f>
        <v/>
      </c>
      <c r="L435">
        <f>IF(A435="","", IF(COUNTIF(E435:K435, "FAIL")&gt;0, "FAIL", "PASS"))</f>
        <v/>
      </c>
    </row>
    <row r="436">
      <c r="A436">
        <f>IF('Equipment Information'!A436="","", 'Equipment Information'!A436)</f>
        <v/>
      </c>
      <c r="B436">
        <f>IF('Equipment Information'!B436="","", 'Equipment Information'!B436)</f>
        <v/>
      </c>
      <c r="C436">
        <f>IF('Equipment Information'!C436="","", 'Equipment Information'!C436)</f>
        <v/>
      </c>
      <c r="D436">
        <f>IF('Equipment Information'!D436="","", 'Equipment Information'!D436)</f>
        <v/>
      </c>
      <c r="E436">
        <f>IF(A436="","", IFERROR(VLOOKUP(A436, 'Energized Data'!A:T, 20, FALSE), "N/A"))</f>
        <v/>
      </c>
      <c r="F436">
        <f>IF(A436="","", IFERROR(VLOOKUP(A436, 'Insulation'!A:J, 9, FALSE), "N/A"))</f>
        <v/>
      </c>
      <c r="G436">
        <f>IF(A436="","", IFERROR(VLOOKUP(A436, 'DLRO'!A:I, 8, FALSE), "N/A"))</f>
        <v/>
      </c>
      <c r="H436">
        <f>IF(A436="","", IFERROR(VLOOKUP(A436, 'Torque'!A:I, 8, FALSE), "N/A"))</f>
        <v/>
      </c>
      <c r="I436">
        <f>IF(A436="","", IFERROR(VLOOKUP(A436, 'Infrared'!A:G, 6, FALSE), "N/A"))</f>
        <v/>
      </c>
      <c r="J436">
        <f>IF(A436="","", IFERROR(VLOOKUP(A436, 'Ultrasonic'!A:H, 7, FALSE), "N/A"))</f>
        <v/>
      </c>
      <c r="K436">
        <f>IF(A436="","", IFERROR(VLOOKUP(A436, 'Code Violations'!A:V, 22, FALSE), "N/A"))</f>
        <v/>
      </c>
      <c r="L436">
        <f>IF(A436="","", IF(COUNTIF(E436:K436, "FAIL")&gt;0, "FAIL", "PASS"))</f>
        <v/>
      </c>
    </row>
    <row r="437">
      <c r="A437">
        <f>IF('Equipment Information'!A437="","", 'Equipment Information'!A437)</f>
        <v/>
      </c>
      <c r="B437">
        <f>IF('Equipment Information'!B437="","", 'Equipment Information'!B437)</f>
        <v/>
      </c>
      <c r="C437">
        <f>IF('Equipment Information'!C437="","", 'Equipment Information'!C437)</f>
        <v/>
      </c>
      <c r="D437">
        <f>IF('Equipment Information'!D437="","", 'Equipment Information'!D437)</f>
        <v/>
      </c>
      <c r="E437">
        <f>IF(A437="","", IFERROR(VLOOKUP(A437, 'Energized Data'!A:T, 20, FALSE), "N/A"))</f>
        <v/>
      </c>
      <c r="F437">
        <f>IF(A437="","", IFERROR(VLOOKUP(A437, 'Insulation'!A:J, 9, FALSE), "N/A"))</f>
        <v/>
      </c>
      <c r="G437">
        <f>IF(A437="","", IFERROR(VLOOKUP(A437, 'DLRO'!A:I, 8, FALSE), "N/A"))</f>
        <v/>
      </c>
      <c r="H437">
        <f>IF(A437="","", IFERROR(VLOOKUP(A437, 'Torque'!A:I, 8, FALSE), "N/A"))</f>
        <v/>
      </c>
      <c r="I437">
        <f>IF(A437="","", IFERROR(VLOOKUP(A437, 'Infrared'!A:G, 6, FALSE), "N/A"))</f>
        <v/>
      </c>
      <c r="J437">
        <f>IF(A437="","", IFERROR(VLOOKUP(A437, 'Ultrasonic'!A:H, 7, FALSE), "N/A"))</f>
        <v/>
      </c>
      <c r="K437">
        <f>IF(A437="","", IFERROR(VLOOKUP(A437, 'Code Violations'!A:V, 22, FALSE), "N/A"))</f>
        <v/>
      </c>
      <c r="L437">
        <f>IF(A437="","", IF(COUNTIF(E437:K437, "FAIL")&gt;0, "FAIL", "PASS"))</f>
        <v/>
      </c>
    </row>
    <row r="438">
      <c r="A438">
        <f>IF('Equipment Information'!A438="","", 'Equipment Information'!A438)</f>
        <v/>
      </c>
      <c r="B438">
        <f>IF('Equipment Information'!B438="","", 'Equipment Information'!B438)</f>
        <v/>
      </c>
      <c r="C438">
        <f>IF('Equipment Information'!C438="","", 'Equipment Information'!C438)</f>
        <v/>
      </c>
      <c r="D438">
        <f>IF('Equipment Information'!D438="","", 'Equipment Information'!D438)</f>
        <v/>
      </c>
      <c r="E438">
        <f>IF(A438="","", IFERROR(VLOOKUP(A438, 'Energized Data'!A:T, 20, FALSE), "N/A"))</f>
        <v/>
      </c>
      <c r="F438">
        <f>IF(A438="","", IFERROR(VLOOKUP(A438, 'Insulation'!A:J, 9, FALSE), "N/A"))</f>
        <v/>
      </c>
      <c r="G438">
        <f>IF(A438="","", IFERROR(VLOOKUP(A438, 'DLRO'!A:I, 8, FALSE), "N/A"))</f>
        <v/>
      </c>
      <c r="H438">
        <f>IF(A438="","", IFERROR(VLOOKUP(A438, 'Torque'!A:I, 8, FALSE), "N/A"))</f>
        <v/>
      </c>
      <c r="I438">
        <f>IF(A438="","", IFERROR(VLOOKUP(A438, 'Infrared'!A:G, 6, FALSE), "N/A"))</f>
        <v/>
      </c>
      <c r="J438">
        <f>IF(A438="","", IFERROR(VLOOKUP(A438, 'Ultrasonic'!A:H, 7, FALSE), "N/A"))</f>
        <v/>
      </c>
      <c r="K438">
        <f>IF(A438="","", IFERROR(VLOOKUP(A438, 'Code Violations'!A:V, 22, FALSE), "N/A"))</f>
        <v/>
      </c>
      <c r="L438">
        <f>IF(A438="","", IF(COUNTIF(E438:K438, "FAIL")&gt;0, "FAIL", "PASS"))</f>
        <v/>
      </c>
    </row>
    <row r="439">
      <c r="A439">
        <f>IF('Equipment Information'!A439="","", 'Equipment Information'!A439)</f>
        <v/>
      </c>
      <c r="B439">
        <f>IF('Equipment Information'!B439="","", 'Equipment Information'!B439)</f>
        <v/>
      </c>
      <c r="C439">
        <f>IF('Equipment Information'!C439="","", 'Equipment Information'!C439)</f>
        <v/>
      </c>
      <c r="D439">
        <f>IF('Equipment Information'!D439="","", 'Equipment Information'!D439)</f>
        <v/>
      </c>
      <c r="E439">
        <f>IF(A439="","", IFERROR(VLOOKUP(A439, 'Energized Data'!A:T, 20, FALSE), "N/A"))</f>
        <v/>
      </c>
      <c r="F439">
        <f>IF(A439="","", IFERROR(VLOOKUP(A439, 'Insulation'!A:J, 9, FALSE), "N/A"))</f>
        <v/>
      </c>
      <c r="G439">
        <f>IF(A439="","", IFERROR(VLOOKUP(A439, 'DLRO'!A:I, 8, FALSE), "N/A"))</f>
        <v/>
      </c>
      <c r="H439">
        <f>IF(A439="","", IFERROR(VLOOKUP(A439, 'Torque'!A:I, 8, FALSE), "N/A"))</f>
        <v/>
      </c>
      <c r="I439">
        <f>IF(A439="","", IFERROR(VLOOKUP(A439, 'Infrared'!A:G, 6, FALSE), "N/A"))</f>
        <v/>
      </c>
      <c r="J439">
        <f>IF(A439="","", IFERROR(VLOOKUP(A439, 'Ultrasonic'!A:H, 7, FALSE), "N/A"))</f>
        <v/>
      </c>
      <c r="K439">
        <f>IF(A439="","", IFERROR(VLOOKUP(A439, 'Code Violations'!A:V, 22, FALSE), "N/A"))</f>
        <v/>
      </c>
      <c r="L439">
        <f>IF(A439="","", IF(COUNTIF(E439:K439, "FAIL")&gt;0, "FAIL", "PASS"))</f>
        <v/>
      </c>
    </row>
    <row r="440">
      <c r="A440">
        <f>IF('Equipment Information'!A440="","", 'Equipment Information'!A440)</f>
        <v/>
      </c>
      <c r="B440">
        <f>IF('Equipment Information'!B440="","", 'Equipment Information'!B440)</f>
        <v/>
      </c>
      <c r="C440">
        <f>IF('Equipment Information'!C440="","", 'Equipment Information'!C440)</f>
        <v/>
      </c>
      <c r="D440">
        <f>IF('Equipment Information'!D440="","", 'Equipment Information'!D440)</f>
        <v/>
      </c>
      <c r="E440">
        <f>IF(A440="","", IFERROR(VLOOKUP(A440, 'Energized Data'!A:T, 20, FALSE), "N/A"))</f>
        <v/>
      </c>
      <c r="F440">
        <f>IF(A440="","", IFERROR(VLOOKUP(A440, 'Insulation'!A:J, 9, FALSE), "N/A"))</f>
        <v/>
      </c>
      <c r="G440">
        <f>IF(A440="","", IFERROR(VLOOKUP(A440, 'DLRO'!A:I, 8, FALSE), "N/A"))</f>
        <v/>
      </c>
      <c r="H440">
        <f>IF(A440="","", IFERROR(VLOOKUP(A440, 'Torque'!A:I, 8, FALSE), "N/A"))</f>
        <v/>
      </c>
      <c r="I440">
        <f>IF(A440="","", IFERROR(VLOOKUP(A440, 'Infrared'!A:G, 6, FALSE), "N/A"))</f>
        <v/>
      </c>
      <c r="J440">
        <f>IF(A440="","", IFERROR(VLOOKUP(A440, 'Ultrasonic'!A:H, 7, FALSE), "N/A"))</f>
        <v/>
      </c>
      <c r="K440">
        <f>IF(A440="","", IFERROR(VLOOKUP(A440, 'Code Violations'!A:V, 22, FALSE), "N/A"))</f>
        <v/>
      </c>
      <c r="L440">
        <f>IF(A440="","", IF(COUNTIF(E440:K440, "FAIL")&gt;0, "FAIL", "PASS"))</f>
        <v/>
      </c>
    </row>
    <row r="441">
      <c r="A441">
        <f>IF('Equipment Information'!A441="","", 'Equipment Information'!A441)</f>
        <v/>
      </c>
      <c r="B441">
        <f>IF('Equipment Information'!B441="","", 'Equipment Information'!B441)</f>
        <v/>
      </c>
      <c r="C441">
        <f>IF('Equipment Information'!C441="","", 'Equipment Information'!C441)</f>
        <v/>
      </c>
      <c r="D441">
        <f>IF('Equipment Information'!D441="","", 'Equipment Information'!D441)</f>
        <v/>
      </c>
      <c r="E441">
        <f>IF(A441="","", IFERROR(VLOOKUP(A441, 'Energized Data'!A:T, 20, FALSE), "N/A"))</f>
        <v/>
      </c>
      <c r="F441">
        <f>IF(A441="","", IFERROR(VLOOKUP(A441, 'Insulation'!A:J, 9, FALSE), "N/A"))</f>
        <v/>
      </c>
      <c r="G441">
        <f>IF(A441="","", IFERROR(VLOOKUP(A441, 'DLRO'!A:I, 8, FALSE), "N/A"))</f>
        <v/>
      </c>
      <c r="H441">
        <f>IF(A441="","", IFERROR(VLOOKUP(A441, 'Torque'!A:I, 8, FALSE), "N/A"))</f>
        <v/>
      </c>
      <c r="I441">
        <f>IF(A441="","", IFERROR(VLOOKUP(A441, 'Infrared'!A:G, 6, FALSE), "N/A"))</f>
        <v/>
      </c>
      <c r="J441">
        <f>IF(A441="","", IFERROR(VLOOKUP(A441, 'Ultrasonic'!A:H, 7, FALSE), "N/A"))</f>
        <v/>
      </c>
      <c r="K441">
        <f>IF(A441="","", IFERROR(VLOOKUP(A441, 'Code Violations'!A:V, 22, FALSE), "N/A"))</f>
        <v/>
      </c>
      <c r="L441">
        <f>IF(A441="","", IF(COUNTIF(E441:K441, "FAIL")&gt;0, "FAIL", "PASS"))</f>
        <v/>
      </c>
    </row>
    <row r="442">
      <c r="A442">
        <f>IF('Equipment Information'!A442="","", 'Equipment Information'!A442)</f>
        <v/>
      </c>
      <c r="B442">
        <f>IF('Equipment Information'!B442="","", 'Equipment Information'!B442)</f>
        <v/>
      </c>
      <c r="C442">
        <f>IF('Equipment Information'!C442="","", 'Equipment Information'!C442)</f>
        <v/>
      </c>
      <c r="D442">
        <f>IF('Equipment Information'!D442="","", 'Equipment Information'!D442)</f>
        <v/>
      </c>
      <c r="E442">
        <f>IF(A442="","", IFERROR(VLOOKUP(A442, 'Energized Data'!A:T, 20, FALSE), "N/A"))</f>
        <v/>
      </c>
      <c r="F442">
        <f>IF(A442="","", IFERROR(VLOOKUP(A442, 'Insulation'!A:J, 9, FALSE), "N/A"))</f>
        <v/>
      </c>
      <c r="G442">
        <f>IF(A442="","", IFERROR(VLOOKUP(A442, 'DLRO'!A:I, 8, FALSE), "N/A"))</f>
        <v/>
      </c>
      <c r="H442">
        <f>IF(A442="","", IFERROR(VLOOKUP(A442, 'Torque'!A:I, 8, FALSE), "N/A"))</f>
        <v/>
      </c>
      <c r="I442">
        <f>IF(A442="","", IFERROR(VLOOKUP(A442, 'Infrared'!A:G, 6, FALSE), "N/A"))</f>
        <v/>
      </c>
      <c r="J442">
        <f>IF(A442="","", IFERROR(VLOOKUP(A442, 'Ultrasonic'!A:H, 7, FALSE), "N/A"))</f>
        <v/>
      </c>
      <c r="K442">
        <f>IF(A442="","", IFERROR(VLOOKUP(A442, 'Code Violations'!A:V, 22, FALSE), "N/A"))</f>
        <v/>
      </c>
      <c r="L442">
        <f>IF(A442="","", IF(COUNTIF(E442:K442, "FAIL")&gt;0, "FAIL", "PASS"))</f>
        <v/>
      </c>
    </row>
    <row r="443">
      <c r="A443">
        <f>IF('Equipment Information'!A443="","", 'Equipment Information'!A443)</f>
        <v/>
      </c>
      <c r="B443">
        <f>IF('Equipment Information'!B443="","", 'Equipment Information'!B443)</f>
        <v/>
      </c>
      <c r="C443">
        <f>IF('Equipment Information'!C443="","", 'Equipment Information'!C443)</f>
        <v/>
      </c>
      <c r="D443">
        <f>IF('Equipment Information'!D443="","", 'Equipment Information'!D443)</f>
        <v/>
      </c>
      <c r="E443">
        <f>IF(A443="","", IFERROR(VLOOKUP(A443, 'Energized Data'!A:T, 20, FALSE), "N/A"))</f>
        <v/>
      </c>
      <c r="F443">
        <f>IF(A443="","", IFERROR(VLOOKUP(A443, 'Insulation'!A:J, 9, FALSE), "N/A"))</f>
        <v/>
      </c>
      <c r="G443">
        <f>IF(A443="","", IFERROR(VLOOKUP(A443, 'DLRO'!A:I, 8, FALSE), "N/A"))</f>
        <v/>
      </c>
      <c r="H443">
        <f>IF(A443="","", IFERROR(VLOOKUP(A443, 'Torque'!A:I, 8, FALSE), "N/A"))</f>
        <v/>
      </c>
      <c r="I443">
        <f>IF(A443="","", IFERROR(VLOOKUP(A443, 'Infrared'!A:G, 6, FALSE), "N/A"))</f>
        <v/>
      </c>
      <c r="J443">
        <f>IF(A443="","", IFERROR(VLOOKUP(A443, 'Ultrasonic'!A:H, 7, FALSE), "N/A"))</f>
        <v/>
      </c>
      <c r="K443">
        <f>IF(A443="","", IFERROR(VLOOKUP(A443, 'Code Violations'!A:V, 22, FALSE), "N/A"))</f>
        <v/>
      </c>
      <c r="L443">
        <f>IF(A443="","", IF(COUNTIF(E443:K443, "FAIL")&gt;0, "FAIL", "PASS"))</f>
        <v/>
      </c>
    </row>
    <row r="444">
      <c r="A444">
        <f>IF('Equipment Information'!A444="","", 'Equipment Information'!A444)</f>
        <v/>
      </c>
      <c r="B444">
        <f>IF('Equipment Information'!B444="","", 'Equipment Information'!B444)</f>
        <v/>
      </c>
      <c r="C444">
        <f>IF('Equipment Information'!C444="","", 'Equipment Information'!C444)</f>
        <v/>
      </c>
      <c r="D444">
        <f>IF('Equipment Information'!D444="","", 'Equipment Information'!D444)</f>
        <v/>
      </c>
      <c r="E444">
        <f>IF(A444="","", IFERROR(VLOOKUP(A444, 'Energized Data'!A:T, 20, FALSE), "N/A"))</f>
        <v/>
      </c>
      <c r="F444">
        <f>IF(A444="","", IFERROR(VLOOKUP(A444, 'Insulation'!A:J, 9, FALSE), "N/A"))</f>
        <v/>
      </c>
      <c r="G444">
        <f>IF(A444="","", IFERROR(VLOOKUP(A444, 'DLRO'!A:I, 8, FALSE), "N/A"))</f>
        <v/>
      </c>
      <c r="H444">
        <f>IF(A444="","", IFERROR(VLOOKUP(A444, 'Torque'!A:I, 8, FALSE), "N/A"))</f>
        <v/>
      </c>
      <c r="I444">
        <f>IF(A444="","", IFERROR(VLOOKUP(A444, 'Infrared'!A:G, 6, FALSE), "N/A"))</f>
        <v/>
      </c>
      <c r="J444">
        <f>IF(A444="","", IFERROR(VLOOKUP(A444, 'Ultrasonic'!A:H, 7, FALSE), "N/A"))</f>
        <v/>
      </c>
      <c r="K444">
        <f>IF(A444="","", IFERROR(VLOOKUP(A444, 'Code Violations'!A:V, 22, FALSE), "N/A"))</f>
        <v/>
      </c>
      <c r="L444">
        <f>IF(A444="","", IF(COUNTIF(E444:K444, "FAIL")&gt;0, "FAIL", "PASS"))</f>
        <v/>
      </c>
    </row>
    <row r="445">
      <c r="A445">
        <f>IF('Equipment Information'!A445="","", 'Equipment Information'!A445)</f>
        <v/>
      </c>
      <c r="B445">
        <f>IF('Equipment Information'!B445="","", 'Equipment Information'!B445)</f>
        <v/>
      </c>
      <c r="C445">
        <f>IF('Equipment Information'!C445="","", 'Equipment Information'!C445)</f>
        <v/>
      </c>
      <c r="D445">
        <f>IF('Equipment Information'!D445="","", 'Equipment Information'!D445)</f>
        <v/>
      </c>
      <c r="E445">
        <f>IF(A445="","", IFERROR(VLOOKUP(A445, 'Energized Data'!A:T, 20, FALSE), "N/A"))</f>
        <v/>
      </c>
      <c r="F445">
        <f>IF(A445="","", IFERROR(VLOOKUP(A445, 'Insulation'!A:J, 9, FALSE), "N/A"))</f>
        <v/>
      </c>
      <c r="G445">
        <f>IF(A445="","", IFERROR(VLOOKUP(A445, 'DLRO'!A:I, 8, FALSE), "N/A"))</f>
        <v/>
      </c>
      <c r="H445">
        <f>IF(A445="","", IFERROR(VLOOKUP(A445, 'Torque'!A:I, 8, FALSE), "N/A"))</f>
        <v/>
      </c>
      <c r="I445">
        <f>IF(A445="","", IFERROR(VLOOKUP(A445, 'Infrared'!A:G, 6, FALSE), "N/A"))</f>
        <v/>
      </c>
      <c r="J445">
        <f>IF(A445="","", IFERROR(VLOOKUP(A445, 'Ultrasonic'!A:H, 7, FALSE), "N/A"))</f>
        <v/>
      </c>
      <c r="K445">
        <f>IF(A445="","", IFERROR(VLOOKUP(A445, 'Code Violations'!A:V, 22, FALSE), "N/A"))</f>
        <v/>
      </c>
      <c r="L445">
        <f>IF(A445="","", IF(COUNTIF(E445:K445, "FAIL")&gt;0, "FAIL", "PASS"))</f>
        <v/>
      </c>
    </row>
    <row r="446">
      <c r="A446">
        <f>IF('Equipment Information'!A446="","", 'Equipment Information'!A446)</f>
        <v/>
      </c>
      <c r="B446">
        <f>IF('Equipment Information'!B446="","", 'Equipment Information'!B446)</f>
        <v/>
      </c>
      <c r="C446">
        <f>IF('Equipment Information'!C446="","", 'Equipment Information'!C446)</f>
        <v/>
      </c>
      <c r="D446">
        <f>IF('Equipment Information'!D446="","", 'Equipment Information'!D446)</f>
        <v/>
      </c>
      <c r="E446">
        <f>IF(A446="","", IFERROR(VLOOKUP(A446, 'Energized Data'!A:T, 20, FALSE), "N/A"))</f>
        <v/>
      </c>
      <c r="F446">
        <f>IF(A446="","", IFERROR(VLOOKUP(A446, 'Insulation'!A:J, 9, FALSE), "N/A"))</f>
        <v/>
      </c>
      <c r="G446">
        <f>IF(A446="","", IFERROR(VLOOKUP(A446, 'DLRO'!A:I, 8, FALSE), "N/A"))</f>
        <v/>
      </c>
      <c r="H446">
        <f>IF(A446="","", IFERROR(VLOOKUP(A446, 'Torque'!A:I, 8, FALSE), "N/A"))</f>
        <v/>
      </c>
      <c r="I446">
        <f>IF(A446="","", IFERROR(VLOOKUP(A446, 'Infrared'!A:G, 6, FALSE), "N/A"))</f>
        <v/>
      </c>
      <c r="J446">
        <f>IF(A446="","", IFERROR(VLOOKUP(A446, 'Ultrasonic'!A:H, 7, FALSE), "N/A"))</f>
        <v/>
      </c>
      <c r="K446">
        <f>IF(A446="","", IFERROR(VLOOKUP(A446, 'Code Violations'!A:V, 22, FALSE), "N/A"))</f>
        <v/>
      </c>
      <c r="L446">
        <f>IF(A446="","", IF(COUNTIF(E446:K446, "FAIL")&gt;0, "FAIL", "PASS"))</f>
        <v/>
      </c>
    </row>
    <row r="447">
      <c r="A447">
        <f>IF('Equipment Information'!A447="","", 'Equipment Information'!A447)</f>
        <v/>
      </c>
      <c r="B447">
        <f>IF('Equipment Information'!B447="","", 'Equipment Information'!B447)</f>
        <v/>
      </c>
      <c r="C447">
        <f>IF('Equipment Information'!C447="","", 'Equipment Information'!C447)</f>
        <v/>
      </c>
      <c r="D447">
        <f>IF('Equipment Information'!D447="","", 'Equipment Information'!D447)</f>
        <v/>
      </c>
      <c r="E447">
        <f>IF(A447="","", IFERROR(VLOOKUP(A447, 'Energized Data'!A:T, 20, FALSE), "N/A"))</f>
        <v/>
      </c>
      <c r="F447">
        <f>IF(A447="","", IFERROR(VLOOKUP(A447, 'Insulation'!A:J, 9, FALSE), "N/A"))</f>
        <v/>
      </c>
      <c r="G447">
        <f>IF(A447="","", IFERROR(VLOOKUP(A447, 'DLRO'!A:I, 8, FALSE), "N/A"))</f>
        <v/>
      </c>
      <c r="H447">
        <f>IF(A447="","", IFERROR(VLOOKUP(A447, 'Torque'!A:I, 8, FALSE), "N/A"))</f>
        <v/>
      </c>
      <c r="I447">
        <f>IF(A447="","", IFERROR(VLOOKUP(A447, 'Infrared'!A:G, 6, FALSE), "N/A"))</f>
        <v/>
      </c>
      <c r="J447">
        <f>IF(A447="","", IFERROR(VLOOKUP(A447, 'Ultrasonic'!A:H, 7, FALSE), "N/A"))</f>
        <v/>
      </c>
      <c r="K447">
        <f>IF(A447="","", IFERROR(VLOOKUP(A447, 'Code Violations'!A:V, 22, FALSE), "N/A"))</f>
        <v/>
      </c>
      <c r="L447">
        <f>IF(A447="","", IF(COUNTIF(E447:K447, "FAIL")&gt;0, "FAIL", "PASS"))</f>
        <v/>
      </c>
    </row>
    <row r="448">
      <c r="A448">
        <f>IF('Equipment Information'!A448="","", 'Equipment Information'!A448)</f>
        <v/>
      </c>
      <c r="B448">
        <f>IF('Equipment Information'!B448="","", 'Equipment Information'!B448)</f>
        <v/>
      </c>
      <c r="C448">
        <f>IF('Equipment Information'!C448="","", 'Equipment Information'!C448)</f>
        <v/>
      </c>
      <c r="D448">
        <f>IF('Equipment Information'!D448="","", 'Equipment Information'!D448)</f>
        <v/>
      </c>
      <c r="E448">
        <f>IF(A448="","", IFERROR(VLOOKUP(A448, 'Energized Data'!A:T, 20, FALSE), "N/A"))</f>
        <v/>
      </c>
      <c r="F448">
        <f>IF(A448="","", IFERROR(VLOOKUP(A448, 'Insulation'!A:J, 9, FALSE), "N/A"))</f>
        <v/>
      </c>
      <c r="G448">
        <f>IF(A448="","", IFERROR(VLOOKUP(A448, 'DLRO'!A:I, 8, FALSE), "N/A"))</f>
        <v/>
      </c>
      <c r="H448">
        <f>IF(A448="","", IFERROR(VLOOKUP(A448, 'Torque'!A:I, 8, FALSE), "N/A"))</f>
        <v/>
      </c>
      <c r="I448">
        <f>IF(A448="","", IFERROR(VLOOKUP(A448, 'Infrared'!A:G, 6, FALSE), "N/A"))</f>
        <v/>
      </c>
      <c r="J448">
        <f>IF(A448="","", IFERROR(VLOOKUP(A448, 'Ultrasonic'!A:H, 7, FALSE), "N/A"))</f>
        <v/>
      </c>
      <c r="K448">
        <f>IF(A448="","", IFERROR(VLOOKUP(A448, 'Code Violations'!A:V, 22, FALSE), "N/A"))</f>
        <v/>
      </c>
      <c r="L448">
        <f>IF(A448="","", IF(COUNTIF(E448:K448, "FAIL")&gt;0, "FAIL", "PASS"))</f>
        <v/>
      </c>
    </row>
    <row r="449">
      <c r="A449">
        <f>IF('Equipment Information'!A449="","", 'Equipment Information'!A449)</f>
        <v/>
      </c>
      <c r="B449">
        <f>IF('Equipment Information'!B449="","", 'Equipment Information'!B449)</f>
        <v/>
      </c>
      <c r="C449">
        <f>IF('Equipment Information'!C449="","", 'Equipment Information'!C449)</f>
        <v/>
      </c>
      <c r="D449">
        <f>IF('Equipment Information'!D449="","", 'Equipment Information'!D449)</f>
        <v/>
      </c>
      <c r="E449">
        <f>IF(A449="","", IFERROR(VLOOKUP(A449, 'Energized Data'!A:T, 20, FALSE), "N/A"))</f>
        <v/>
      </c>
      <c r="F449">
        <f>IF(A449="","", IFERROR(VLOOKUP(A449, 'Insulation'!A:J, 9, FALSE), "N/A"))</f>
        <v/>
      </c>
      <c r="G449">
        <f>IF(A449="","", IFERROR(VLOOKUP(A449, 'DLRO'!A:I, 8, FALSE), "N/A"))</f>
        <v/>
      </c>
      <c r="H449">
        <f>IF(A449="","", IFERROR(VLOOKUP(A449, 'Torque'!A:I, 8, FALSE), "N/A"))</f>
        <v/>
      </c>
      <c r="I449">
        <f>IF(A449="","", IFERROR(VLOOKUP(A449, 'Infrared'!A:G, 6, FALSE), "N/A"))</f>
        <v/>
      </c>
      <c r="J449">
        <f>IF(A449="","", IFERROR(VLOOKUP(A449, 'Ultrasonic'!A:H, 7, FALSE), "N/A"))</f>
        <v/>
      </c>
      <c r="K449">
        <f>IF(A449="","", IFERROR(VLOOKUP(A449, 'Code Violations'!A:V, 22, FALSE), "N/A"))</f>
        <v/>
      </c>
      <c r="L449">
        <f>IF(A449="","", IF(COUNTIF(E449:K449, "FAIL")&gt;0, "FAIL", "PASS"))</f>
        <v/>
      </c>
    </row>
    <row r="450">
      <c r="A450">
        <f>IF('Equipment Information'!A450="","", 'Equipment Information'!A450)</f>
        <v/>
      </c>
      <c r="B450">
        <f>IF('Equipment Information'!B450="","", 'Equipment Information'!B450)</f>
        <v/>
      </c>
      <c r="C450">
        <f>IF('Equipment Information'!C450="","", 'Equipment Information'!C450)</f>
        <v/>
      </c>
      <c r="D450">
        <f>IF('Equipment Information'!D450="","", 'Equipment Information'!D450)</f>
        <v/>
      </c>
      <c r="E450">
        <f>IF(A450="","", IFERROR(VLOOKUP(A450, 'Energized Data'!A:T, 20, FALSE), "N/A"))</f>
        <v/>
      </c>
      <c r="F450">
        <f>IF(A450="","", IFERROR(VLOOKUP(A450, 'Insulation'!A:J, 9, FALSE), "N/A"))</f>
        <v/>
      </c>
      <c r="G450">
        <f>IF(A450="","", IFERROR(VLOOKUP(A450, 'DLRO'!A:I, 8, FALSE), "N/A"))</f>
        <v/>
      </c>
      <c r="H450">
        <f>IF(A450="","", IFERROR(VLOOKUP(A450, 'Torque'!A:I, 8, FALSE), "N/A"))</f>
        <v/>
      </c>
      <c r="I450">
        <f>IF(A450="","", IFERROR(VLOOKUP(A450, 'Infrared'!A:G, 6, FALSE), "N/A"))</f>
        <v/>
      </c>
      <c r="J450">
        <f>IF(A450="","", IFERROR(VLOOKUP(A450, 'Ultrasonic'!A:H, 7, FALSE), "N/A"))</f>
        <v/>
      </c>
      <c r="K450">
        <f>IF(A450="","", IFERROR(VLOOKUP(A450, 'Code Violations'!A:V, 22, FALSE), "N/A"))</f>
        <v/>
      </c>
      <c r="L450">
        <f>IF(A450="","", IF(COUNTIF(E450:K450, "FAIL")&gt;0, "FAIL", "PASS"))</f>
        <v/>
      </c>
    </row>
    <row r="451">
      <c r="A451">
        <f>IF('Equipment Information'!A451="","", 'Equipment Information'!A451)</f>
        <v/>
      </c>
      <c r="B451">
        <f>IF('Equipment Information'!B451="","", 'Equipment Information'!B451)</f>
        <v/>
      </c>
      <c r="C451">
        <f>IF('Equipment Information'!C451="","", 'Equipment Information'!C451)</f>
        <v/>
      </c>
      <c r="D451">
        <f>IF('Equipment Information'!D451="","", 'Equipment Information'!D451)</f>
        <v/>
      </c>
      <c r="E451">
        <f>IF(A451="","", IFERROR(VLOOKUP(A451, 'Energized Data'!A:T, 20, FALSE), "N/A"))</f>
        <v/>
      </c>
      <c r="F451">
        <f>IF(A451="","", IFERROR(VLOOKUP(A451, 'Insulation'!A:J, 9, FALSE), "N/A"))</f>
        <v/>
      </c>
      <c r="G451">
        <f>IF(A451="","", IFERROR(VLOOKUP(A451, 'DLRO'!A:I, 8, FALSE), "N/A"))</f>
        <v/>
      </c>
      <c r="H451">
        <f>IF(A451="","", IFERROR(VLOOKUP(A451, 'Torque'!A:I, 8, FALSE), "N/A"))</f>
        <v/>
      </c>
      <c r="I451">
        <f>IF(A451="","", IFERROR(VLOOKUP(A451, 'Infrared'!A:G, 6, FALSE), "N/A"))</f>
        <v/>
      </c>
      <c r="J451">
        <f>IF(A451="","", IFERROR(VLOOKUP(A451, 'Ultrasonic'!A:H, 7, FALSE), "N/A"))</f>
        <v/>
      </c>
      <c r="K451">
        <f>IF(A451="","", IFERROR(VLOOKUP(A451, 'Code Violations'!A:V, 22, FALSE), "N/A"))</f>
        <v/>
      </c>
      <c r="L451">
        <f>IF(A451="","", IF(COUNTIF(E451:K451, "FAIL")&gt;0, "FAIL", "PASS"))</f>
        <v/>
      </c>
    </row>
    <row r="452">
      <c r="A452">
        <f>IF('Equipment Information'!A452="","", 'Equipment Information'!A452)</f>
        <v/>
      </c>
      <c r="B452">
        <f>IF('Equipment Information'!B452="","", 'Equipment Information'!B452)</f>
        <v/>
      </c>
      <c r="C452">
        <f>IF('Equipment Information'!C452="","", 'Equipment Information'!C452)</f>
        <v/>
      </c>
      <c r="D452">
        <f>IF('Equipment Information'!D452="","", 'Equipment Information'!D452)</f>
        <v/>
      </c>
      <c r="E452">
        <f>IF(A452="","", IFERROR(VLOOKUP(A452, 'Energized Data'!A:T, 20, FALSE), "N/A"))</f>
        <v/>
      </c>
      <c r="F452">
        <f>IF(A452="","", IFERROR(VLOOKUP(A452, 'Insulation'!A:J, 9, FALSE), "N/A"))</f>
        <v/>
      </c>
      <c r="G452">
        <f>IF(A452="","", IFERROR(VLOOKUP(A452, 'DLRO'!A:I, 8, FALSE), "N/A"))</f>
        <v/>
      </c>
      <c r="H452">
        <f>IF(A452="","", IFERROR(VLOOKUP(A452, 'Torque'!A:I, 8, FALSE), "N/A"))</f>
        <v/>
      </c>
      <c r="I452">
        <f>IF(A452="","", IFERROR(VLOOKUP(A452, 'Infrared'!A:G, 6, FALSE), "N/A"))</f>
        <v/>
      </c>
      <c r="J452">
        <f>IF(A452="","", IFERROR(VLOOKUP(A452, 'Ultrasonic'!A:H, 7, FALSE), "N/A"))</f>
        <v/>
      </c>
      <c r="K452">
        <f>IF(A452="","", IFERROR(VLOOKUP(A452, 'Code Violations'!A:V, 22, FALSE), "N/A"))</f>
        <v/>
      </c>
      <c r="L452">
        <f>IF(A452="","", IF(COUNTIF(E452:K452, "FAIL")&gt;0, "FAIL", "PASS"))</f>
        <v/>
      </c>
    </row>
    <row r="453">
      <c r="A453">
        <f>IF('Equipment Information'!A453="","", 'Equipment Information'!A453)</f>
        <v/>
      </c>
      <c r="B453">
        <f>IF('Equipment Information'!B453="","", 'Equipment Information'!B453)</f>
        <v/>
      </c>
      <c r="C453">
        <f>IF('Equipment Information'!C453="","", 'Equipment Information'!C453)</f>
        <v/>
      </c>
      <c r="D453">
        <f>IF('Equipment Information'!D453="","", 'Equipment Information'!D453)</f>
        <v/>
      </c>
      <c r="E453">
        <f>IF(A453="","", IFERROR(VLOOKUP(A453, 'Energized Data'!A:T, 20, FALSE), "N/A"))</f>
        <v/>
      </c>
      <c r="F453">
        <f>IF(A453="","", IFERROR(VLOOKUP(A453, 'Insulation'!A:J, 9, FALSE), "N/A"))</f>
        <v/>
      </c>
      <c r="G453">
        <f>IF(A453="","", IFERROR(VLOOKUP(A453, 'DLRO'!A:I, 8, FALSE), "N/A"))</f>
        <v/>
      </c>
      <c r="H453">
        <f>IF(A453="","", IFERROR(VLOOKUP(A453, 'Torque'!A:I, 8, FALSE), "N/A"))</f>
        <v/>
      </c>
      <c r="I453">
        <f>IF(A453="","", IFERROR(VLOOKUP(A453, 'Infrared'!A:G, 6, FALSE), "N/A"))</f>
        <v/>
      </c>
      <c r="J453">
        <f>IF(A453="","", IFERROR(VLOOKUP(A453, 'Ultrasonic'!A:H, 7, FALSE), "N/A"))</f>
        <v/>
      </c>
      <c r="K453">
        <f>IF(A453="","", IFERROR(VLOOKUP(A453, 'Code Violations'!A:V, 22, FALSE), "N/A"))</f>
        <v/>
      </c>
      <c r="L453">
        <f>IF(A453="","", IF(COUNTIF(E453:K453, "FAIL")&gt;0, "FAIL", "PASS"))</f>
        <v/>
      </c>
    </row>
    <row r="454">
      <c r="A454">
        <f>IF('Equipment Information'!A454="","", 'Equipment Information'!A454)</f>
        <v/>
      </c>
      <c r="B454">
        <f>IF('Equipment Information'!B454="","", 'Equipment Information'!B454)</f>
        <v/>
      </c>
      <c r="C454">
        <f>IF('Equipment Information'!C454="","", 'Equipment Information'!C454)</f>
        <v/>
      </c>
      <c r="D454">
        <f>IF('Equipment Information'!D454="","", 'Equipment Information'!D454)</f>
        <v/>
      </c>
      <c r="E454">
        <f>IF(A454="","", IFERROR(VLOOKUP(A454, 'Energized Data'!A:T, 20, FALSE), "N/A"))</f>
        <v/>
      </c>
      <c r="F454">
        <f>IF(A454="","", IFERROR(VLOOKUP(A454, 'Insulation'!A:J, 9, FALSE), "N/A"))</f>
        <v/>
      </c>
      <c r="G454">
        <f>IF(A454="","", IFERROR(VLOOKUP(A454, 'DLRO'!A:I, 8, FALSE), "N/A"))</f>
        <v/>
      </c>
      <c r="H454">
        <f>IF(A454="","", IFERROR(VLOOKUP(A454, 'Torque'!A:I, 8, FALSE), "N/A"))</f>
        <v/>
      </c>
      <c r="I454">
        <f>IF(A454="","", IFERROR(VLOOKUP(A454, 'Infrared'!A:G, 6, FALSE), "N/A"))</f>
        <v/>
      </c>
      <c r="J454">
        <f>IF(A454="","", IFERROR(VLOOKUP(A454, 'Ultrasonic'!A:H, 7, FALSE), "N/A"))</f>
        <v/>
      </c>
      <c r="K454">
        <f>IF(A454="","", IFERROR(VLOOKUP(A454, 'Code Violations'!A:V, 22, FALSE), "N/A"))</f>
        <v/>
      </c>
      <c r="L454">
        <f>IF(A454="","", IF(COUNTIF(E454:K454, "FAIL")&gt;0, "FAIL", "PASS"))</f>
        <v/>
      </c>
    </row>
    <row r="455">
      <c r="A455">
        <f>IF('Equipment Information'!A455="","", 'Equipment Information'!A455)</f>
        <v/>
      </c>
      <c r="B455">
        <f>IF('Equipment Information'!B455="","", 'Equipment Information'!B455)</f>
        <v/>
      </c>
      <c r="C455">
        <f>IF('Equipment Information'!C455="","", 'Equipment Information'!C455)</f>
        <v/>
      </c>
      <c r="D455">
        <f>IF('Equipment Information'!D455="","", 'Equipment Information'!D455)</f>
        <v/>
      </c>
      <c r="E455">
        <f>IF(A455="","", IFERROR(VLOOKUP(A455, 'Energized Data'!A:T, 20, FALSE), "N/A"))</f>
        <v/>
      </c>
      <c r="F455">
        <f>IF(A455="","", IFERROR(VLOOKUP(A455, 'Insulation'!A:J, 9, FALSE), "N/A"))</f>
        <v/>
      </c>
      <c r="G455">
        <f>IF(A455="","", IFERROR(VLOOKUP(A455, 'DLRO'!A:I, 8, FALSE), "N/A"))</f>
        <v/>
      </c>
      <c r="H455">
        <f>IF(A455="","", IFERROR(VLOOKUP(A455, 'Torque'!A:I, 8, FALSE), "N/A"))</f>
        <v/>
      </c>
      <c r="I455">
        <f>IF(A455="","", IFERROR(VLOOKUP(A455, 'Infrared'!A:G, 6, FALSE), "N/A"))</f>
        <v/>
      </c>
      <c r="J455">
        <f>IF(A455="","", IFERROR(VLOOKUP(A455, 'Ultrasonic'!A:H, 7, FALSE), "N/A"))</f>
        <v/>
      </c>
      <c r="K455">
        <f>IF(A455="","", IFERROR(VLOOKUP(A455, 'Code Violations'!A:V, 22, FALSE), "N/A"))</f>
        <v/>
      </c>
      <c r="L455">
        <f>IF(A455="","", IF(COUNTIF(E455:K455, "FAIL")&gt;0, "FAIL", "PASS"))</f>
        <v/>
      </c>
    </row>
    <row r="456">
      <c r="A456">
        <f>IF('Equipment Information'!A456="","", 'Equipment Information'!A456)</f>
        <v/>
      </c>
      <c r="B456">
        <f>IF('Equipment Information'!B456="","", 'Equipment Information'!B456)</f>
        <v/>
      </c>
      <c r="C456">
        <f>IF('Equipment Information'!C456="","", 'Equipment Information'!C456)</f>
        <v/>
      </c>
      <c r="D456">
        <f>IF('Equipment Information'!D456="","", 'Equipment Information'!D456)</f>
        <v/>
      </c>
      <c r="E456">
        <f>IF(A456="","", IFERROR(VLOOKUP(A456, 'Energized Data'!A:T, 20, FALSE), "N/A"))</f>
        <v/>
      </c>
      <c r="F456">
        <f>IF(A456="","", IFERROR(VLOOKUP(A456, 'Insulation'!A:J, 9, FALSE), "N/A"))</f>
        <v/>
      </c>
      <c r="G456">
        <f>IF(A456="","", IFERROR(VLOOKUP(A456, 'DLRO'!A:I, 8, FALSE), "N/A"))</f>
        <v/>
      </c>
      <c r="H456">
        <f>IF(A456="","", IFERROR(VLOOKUP(A456, 'Torque'!A:I, 8, FALSE), "N/A"))</f>
        <v/>
      </c>
      <c r="I456">
        <f>IF(A456="","", IFERROR(VLOOKUP(A456, 'Infrared'!A:G, 6, FALSE), "N/A"))</f>
        <v/>
      </c>
      <c r="J456">
        <f>IF(A456="","", IFERROR(VLOOKUP(A456, 'Ultrasonic'!A:H, 7, FALSE), "N/A"))</f>
        <v/>
      </c>
      <c r="K456">
        <f>IF(A456="","", IFERROR(VLOOKUP(A456, 'Code Violations'!A:V, 22, FALSE), "N/A"))</f>
        <v/>
      </c>
      <c r="L456">
        <f>IF(A456="","", IF(COUNTIF(E456:K456, "FAIL")&gt;0, "FAIL", "PASS"))</f>
        <v/>
      </c>
    </row>
    <row r="457">
      <c r="A457">
        <f>IF('Equipment Information'!A457="","", 'Equipment Information'!A457)</f>
        <v/>
      </c>
      <c r="B457">
        <f>IF('Equipment Information'!B457="","", 'Equipment Information'!B457)</f>
        <v/>
      </c>
      <c r="C457">
        <f>IF('Equipment Information'!C457="","", 'Equipment Information'!C457)</f>
        <v/>
      </c>
      <c r="D457">
        <f>IF('Equipment Information'!D457="","", 'Equipment Information'!D457)</f>
        <v/>
      </c>
      <c r="E457">
        <f>IF(A457="","", IFERROR(VLOOKUP(A457, 'Energized Data'!A:T, 20, FALSE), "N/A"))</f>
        <v/>
      </c>
      <c r="F457">
        <f>IF(A457="","", IFERROR(VLOOKUP(A457, 'Insulation'!A:J, 9, FALSE), "N/A"))</f>
        <v/>
      </c>
      <c r="G457">
        <f>IF(A457="","", IFERROR(VLOOKUP(A457, 'DLRO'!A:I, 8, FALSE), "N/A"))</f>
        <v/>
      </c>
      <c r="H457">
        <f>IF(A457="","", IFERROR(VLOOKUP(A457, 'Torque'!A:I, 8, FALSE), "N/A"))</f>
        <v/>
      </c>
      <c r="I457">
        <f>IF(A457="","", IFERROR(VLOOKUP(A457, 'Infrared'!A:G, 6, FALSE), "N/A"))</f>
        <v/>
      </c>
      <c r="J457">
        <f>IF(A457="","", IFERROR(VLOOKUP(A457, 'Ultrasonic'!A:H, 7, FALSE), "N/A"))</f>
        <v/>
      </c>
      <c r="K457">
        <f>IF(A457="","", IFERROR(VLOOKUP(A457, 'Code Violations'!A:V, 22, FALSE), "N/A"))</f>
        <v/>
      </c>
      <c r="L457">
        <f>IF(A457="","", IF(COUNTIF(E457:K457, "FAIL")&gt;0, "FAIL", "PASS"))</f>
        <v/>
      </c>
    </row>
    <row r="458">
      <c r="A458">
        <f>IF('Equipment Information'!A458="","", 'Equipment Information'!A458)</f>
        <v/>
      </c>
      <c r="B458">
        <f>IF('Equipment Information'!B458="","", 'Equipment Information'!B458)</f>
        <v/>
      </c>
      <c r="C458">
        <f>IF('Equipment Information'!C458="","", 'Equipment Information'!C458)</f>
        <v/>
      </c>
      <c r="D458">
        <f>IF('Equipment Information'!D458="","", 'Equipment Information'!D458)</f>
        <v/>
      </c>
      <c r="E458">
        <f>IF(A458="","", IFERROR(VLOOKUP(A458, 'Energized Data'!A:T, 20, FALSE), "N/A"))</f>
        <v/>
      </c>
      <c r="F458">
        <f>IF(A458="","", IFERROR(VLOOKUP(A458, 'Insulation'!A:J, 9, FALSE), "N/A"))</f>
        <v/>
      </c>
      <c r="G458">
        <f>IF(A458="","", IFERROR(VLOOKUP(A458, 'DLRO'!A:I, 8, FALSE), "N/A"))</f>
        <v/>
      </c>
      <c r="H458">
        <f>IF(A458="","", IFERROR(VLOOKUP(A458, 'Torque'!A:I, 8, FALSE), "N/A"))</f>
        <v/>
      </c>
      <c r="I458">
        <f>IF(A458="","", IFERROR(VLOOKUP(A458, 'Infrared'!A:G, 6, FALSE), "N/A"))</f>
        <v/>
      </c>
      <c r="J458">
        <f>IF(A458="","", IFERROR(VLOOKUP(A458, 'Ultrasonic'!A:H, 7, FALSE), "N/A"))</f>
        <v/>
      </c>
      <c r="K458">
        <f>IF(A458="","", IFERROR(VLOOKUP(A458, 'Code Violations'!A:V, 22, FALSE), "N/A"))</f>
        <v/>
      </c>
      <c r="L458">
        <f>IF(A458="","", IF(COUNTIF(E458:K458, "FAIL")&gt;0, "FAIL", "PASS"))</f>
        <v/>
      </c>
    </row>
    <row r="459">
      <c r="A459">
        <f>IF('Equipment Information'!A459="","", 'Equipment Information'!A459)</f>
        <v/>
      </c>
      <c r="B459">
        <f>IF('Equipment Information'!B459="","", 'Equipment Information'!B459)</f>
        <v/>
      </c>
      <c r="C459">
        <f>IF('Equipment Information'!C459="","", 'Equipment Information'!C459)</f>
        <v/>
      </c>
      <c r="D459">
        <f>IF('Equipment Information'!D459="","", 'Equipment Information'!D459)</f>
        <v/>
      </c>
      <c r="E459">
        <f>IF(A459="","", IFERROR(VLOOKUP(A459, 'Energized Data'!A:T, 20, FALSE), "N/A"))</f>
        <v/>
      </c>
      <c r="F459">
        <f>IF(A459="","", IFERROR(VLOOKUP(A459, 'Insulation'!A:J, 9, FALSE), "N/A"))</f>
        <v/>
      </c>
      <c r="G459">
        <f>IF(A459="","", IFERROR(VLOOKUP(A459, 'DLRO'!A:I, 8, FALSE), "N/A"))</f>
        <v/>
      </c>
      <c r="H459">
        <f>IF(A459="","", IFERROR(VLOOKUP(A459, 'Torque'!A:I, 8, FALSE), "N/A"))</f>
        <v/>
      </c>
      <c r="I459">
        <f>IF(A459="","", IFERROR(VLOOKUP(A459, 'Infrared'!A:G, 6, FALSE), "N/A"))</f>
        <v/>
      </c>
      <c r="J459">
        <f>IF(A459="","", IFERROR(VLOOKUP(A459, 'Ultrasonic'!A:H, 7, FALSE), "N/A"))</f>
        <v/>
      </c>
      <c r="K459">
        <f>IF(A459="","", IFERROR(VLOOKUP(A459, 'Code Violations'!A:V, 22, FALSE), "N/A"))</f>
        <v/>
      </c>
      <c r="L459">
        <f>IF(A459="","", IF(COUNTIF(E459:K459, "FAIL")&gt;0, "FAIL", "PASS"))</f>
        <v/>
      </c>
    </row>
    <row r="460">
      <c r="A460">
        <f>IF('Equipment Information'!A460="","", 'Equipment Information'!A460)</f>
        <v/>
      </c>
      <c r="B460">
        <f>IF('Equipment Information'!B460="","", 'Equipment Information'!B460)</f>
        <v/>
      </c>
      <c r="C460">
        <f>IF('Equipment Information'!C460="","", 'Equipment Information'!C460)</f>
        <v/>
      </c>
      <c r="D460">
        <f>IF('Equipment Information'!D460="","", 'Equipment Information'!D460)</f>
        <v/>
      </c>
      <c r="E460">
        <f>IF(A460="","", IFERROR(VLOOKUP(A460, 'Energized Data'!A:T, 20, FALSE), "N/A"))</f>
        <v/>
      </c>
      <c r="F460">
        <f>IF(A460="","", IFERROR(VLOOKUP(A460, 'Insulation'!A:J, 9, FALSE), "N/A"))</f>
        <v/>
      </c>
      <c r="G460">
        <f>IF(A460="","", IFERROR(VLOOKUP(A460, 'DLRO'!A:I, 8, FALSE), "N/A"))</f>
        <v/>
      </c>
      <c r="H460">
        <f>IF(A460="","", IFERROR(VLOOKUP(A460, 'Torque'!A:I, 8, FALSE), "N/A"))</f>
        <v/>
      </c>
      <c r="I460">
        <f>IF(A460="","", IFERROR(VLOOKUP(A460, 'Infrared'!A:G, 6, FALSE), "N/A"))</f>
        <v/>
      </c>
      <c r="J460">
        <f>IF(A460="","", IFERROR(VLOOKUP(A460, 'Ultrasonic'!A:H, 7, FALSE), "N/A"))</f>
        <v/>
      </c>
      <c r="K460">
        <f>IF(A460="","", IFERROR(VLOOKUP(A460, 'Code Violations'!A:V, 22, FALSE), "N/A"))</f>
        <v/>
      </c>
      <c r="L460">
        <f>IF(A460="","", IF(COUNTIF(E460:K460, "FAIL")&gt;0, "FAIL", "PASS"))</f>
        <v/>
      </c>
    </row>
    <row r="461">
      <c r="A461">
        <f>IF('Equipment Information'!A461="","", 'Equipment Information'!A461)</f>
        <v/>
      </c>
      <c r="B461">
        <f>IF('Equipment Information'!B461="","", 'Equipment Information'!B461)</f>
        <v/>
      </c>
      <c r="C461">
        <f>IF('Equipment Information'!C461="","", 'Equipment Information'!C461)</f>
        <v/>
      </c>
      <c r="D461">
        <f>IF('Equipment Information'!D461="","", 'Equipment Information'!D461)</f>
        <v/>
      </c>
      <c r="E461">
        <f>IF(A461="","", IFERROR(VLOOKUP(A461, 'Energized Data'!A:T, 20, FALSE), "N/A"))</f>
        <v/>
      </c>
      <c r="F461">
        <f>IF(A461="","", IFERROR(VLOOKUP(A461, 'Insulation'!A:J, 9, FALSE), "N/A"))</f>
        <v/>
      </c>
      <c r="G461">
        <f>IF(A461="","", IFERROR(VLOOKUP(A461, 'DLRO'!A:I, 8, FALSE), "N/A"))</f>
        <v/>
      </c>
      <c r="H461">
        <f>IF(A461="","", IFERROR(VLOOKUP(A461, 'Torque'!A:I, 8, FALSE), "N/A"))</f>
        <v/>
      </c>
      <c r="I461">
        <f>IF(A461="","", IFERROR(VLOOKUP(A461, 'Infrared'!A:G, 6, FALSE), "N/A"))</f>
        <v/>
      </c>
      <c r="J461">
        <f>IF(A461="","", IFERROR(VLOOKUP(A461, 'Ultrasonic'!A:H, 7, FALSE), "N/A"))</f>
        <v/>
      </c>
      <c r="K461">
        <f>IF(A461="","", IFERROR(VLOOKUP(A461, 'Code Violations'!A:V, 22, FALSE), "N/A"))</f>
        <v/>
      </c>
      <c r="L461">
        <f>IF(A461="","", IF(COUNTIF(E461:K461, "FAIL")&gt;0, "FAIL", "PASS"))</f>
        <v/>
      </c>
    </row>
    <row r="462">
      <c r="A462">
        <f>IF('Equipment Information'!A462="","", 'Equipment Information'!A462)</f>
        <v/>
      </c>
      <c r="B462">
        <f>IF('Equipment Information'!B462="","", 'Equipment Information'!B462)</f>
        <v/>
      </c>
      <c r="C462">
        <f>IF('Equipment Information'!C462="","", 'Equipment Information'!C462)</f>
        <v/>
      </c>
      <c r="D462">
        <f>IF('Equipment Information'!D462="","", 'Equipment Information'!D462)</f>
        <v/>
      </c>
      <c r="E462">
        <f>IF(A462="","", IFERROR(VLOOKUP(A462, 'Energized Data'!A:T, 20, FALSE), "N/A"))</f>
        <v/>
      </c>
      <c r="F462">
        <f>IF(A462="","", IFERROR(VLOOKUP(A462, 'Insulation'!A:J, 9, FALSE), "N/A"))</f>
        <v/>
      </c>
      <c r="G462">
        <f>IF(A462="","", IFERROR(VLOOKUP(A462, 'DLRO'!A:I, 8, FALSE), "N/A"))</f>
        <v/>
      </c>
      <c r="H462">
        <f>IF(A462="","", IFERROR(VLOOKUP(A462, 'Torque'!A:I, 8, FALSE), "N/A"))</f>
        <v/>
      </c>
      <c r="I462">
        <f>IF(A462="","", IFERROR(VLOOKUP(A462, 'Infrared'!A:G, 6, FALSE), "N/A"))</f>
        <v/>
      </c>
      <c r="J462">
        <f>IF(A462="","", IFERROR(VLOOKUP(A462, 'Ultrasonic'!A:H, 7, FALSE), "N/A"))</f>
        <v/>
      </c>
      <c r="K462">
        <f>IF(A462="","", IFERROR(VLOOKUP(A462, 'Code Violations'!A:V, 22, FALSE), "N/A"))</f>
        <v/>
      </c>
      <c r="L462">
        <f>IF(A462="","", IF(COUNTIF(E462:K462, "FAIL")&gt;0, "FAIL", "PASS"))</f>
        <v/>
      </c>
    </row>
    <row r="463">
      <c r="A463">
        <f>IF('Equipment Information'!A463="","", 'Equipment Information'!A463)</f>
        <v/>
      </c>
      <c r="B463">
        <f>IF('Equipment Information'!B463="","", 'Equipment Information'!B463)</f>
        <v/>
      </c>
      <c r="C463">
        <f>IF('Equipment Information'!C463="","", 'Equipment Information'!C463)</f>
        <v/>
      </c>
      <c r="D463">
        <f>IF('Equipment Information'!D463="","", 'Equipment Information'!D463)</f>
        <v/>
      </c>
      <c r="E463">
        <f>IF(A463="","", IFERROR(VLOOKUP(A463, 'Energized Data'!A:T, 20, FALSE), "N/A"))</f>
        <v/>
      </c>
      <c r="F463">
        <f>IF(A463="","", IFERROR(VLOOKUP(A463, 'Insulation'!A:J, 9, FALSE), "N/A"))</f>
        <v/>
      </c>
      <c r="G463">
        <f>IF(A463="","", IFERROR(VLOOKUP(A463, 'DLRO'!A:I, 8, FALSE), "N/A"))</f>
        <v/>
      </c>
      <c r="H463">
        <f>IF(A463="","", IFERROR(VLOOKUP(A463, 'Torque'!A:I, 8, FALSE), "N/A"))</f>
        <v/>
      </c>
      <c r="I463">
        <f>IF(A463="","", IFERROR(VLOOKUP(A463, 'Infrared'!A:G, 6, FALSE), "N/A"))</f>
        <v/>
      </c>
      <c r="J463">
        <f>IF(A463="","", IFERROR(VLOOKUP(A463, 'Ultrasonic'!A:H, 7, FALSE), "N/A"))</f>
        <v/>
      </c>
      <c r="K463">
        <f>IF(A463="","", IFERROR(VLOOKUP(A463, 'Code Violations'!A:V, 22, FALSE), "N/A"))</f>
        <v/>
      </c>
      <c r="L463">
        <f>IF(A463="","", IF(COUNTIF(E463:K463, "FAIL")&gt;0, "FAIL", "PASS"))</f>
        <v/>
      </c>
    </row>
    <row r="464">
      <c r="A464">
        <f>IF('Equipment Information'!A464="","", 'Equipment Information'!A464)</f>
        <v/>
      </c>
      <c r="B464">
        <f>IF('Equipment Information'!B464="","", 'Equipment Information'!B464)</f>
        <v/>
      </c>
      <c r="C464">
        <f>IF('Equipment Information'!C464="","", 'Equipment Information'!C464)</f>
        <v/>
      </c>
      <c r="D464">
        <f>IF('Equipment Information'!D464="","", 'Equipment Information'!D464)</f>
        <v/>
      </c>
      <c r="E464">
        <f>IF(A464="","", IFERROR(VLOOKUP(A464, 'Energized Data'!A:T, 20, FALSE), "N/A"))</f>
        <v/>
      </c>
      <c r="F464">
        <f>IF(A464="","", IFERROR(VLOOKUP(A464, 'Insulation'!A:J, 9, FALSE), "N/A"))</f>
        <v/>
      </c>
      <c r="G464">
        <f>IF(A464="","", IFERROR(VLOOKUP(A464, 'DLRO'!A:I, 8, FALSE), "N/A"))</f>
        <v/>
      </c>
      <c r="H464">
        <f>IF(A464="","", IFERROR(VLOOKUP(A464, 'Torque'!A:I, 8, FALSE), "N/A"))</f>
        <v/>
      </c>
      <c r="I464">
        <f>IF(A464="","", IFERROR(VLOOKUP(A464, 'Infrared'!A:G, 6, FALSE), "N/A"))</f>
        <v/>
      </c>
      <c r="J464">
        <f>IF(A464="","", IFERROR(VLOOKUP(A464, 'Ultrasonic'!A:H, 7, FALSE), "N/A"))</f>
        <v/>
      </c>
      <c r="K464">
        <f>IF(A464="","", IFERROR(VLOOKUP(A464, 'Code Violations'!A:V, 22, FALSE), "N/A"))</f>
        <v/>
      </c>
      <c r="L464">
        <f>IF(A464="","", IF(COUNTIF(E464:K464, "FAIL")&gt;0, "FAIL", "PASS"))</f>
        <v/>
      </c>
    </row>
    <row r="465">
      <c r="A465">
        <f>IF('Equipment Information'!A465="","", 'Equipment Information'!A465)</f>
        <v/>
      </c>
      <c r="B465">
        <f>IF('Equipment Information'!B465="","", 'Equipment Information'!B465)</f>
        <v/>
      </c>
      <c r="C465">
        <f>IF('Equipment Information'!C465="","", 'Equipment Information'!C465)</f>
        <v/>
      </c>
      <c r="D465">
        <f>IF('Equipment Information'!D465="","", 'Equipment Information'!D465)</f>
        <v/>
      </c>
      <c r="E465">
        <f>IF(A465="","", IFERROR(VLOOKUP(A465, 'Energized Data'!A:T, 20, FALSE), "N/A"))</f>
        <v/>
      </c>
      <c r="F465">
        <f>IF(A465="","", IFERROR(VLOOKUP(A465, 'Insulation'!A:J, 9, FALSE), "N/A"))</f>
        <v/>
      </c>
      <c r="G465">
        <f>IF(A465="","", IFERROR(VLOOKUP(A465, 'DLRO'!A:I, 8, FALSE), "N/A"))</f>
        <v/>
      </c>
      <c r="H465">
        <f>IF(A465="","", IFERROR(VLOOKUP(A465, 'Torque'!A:I, 8, FALSE), "N/A"))</f>
        <v/>
      </c>
      <c r="I465">
        <f>IF(A465="","", IFERROR(VLOOKUP(A465, 'Infrared'!A:G, 6, FALSE), "N/A"))</f>
        <v/>
      </c>
      <c r="J465">
        <f>IF(A465="","", IFERROR(VLOOKUP(A465, 'Ultrasonic'!A:H, 7, FALSE), "N/A"))</f>
        <v/>
      </c>
      <c r="K465">
        <f>IF(A465="","", IFERROR(VLOOKUP(A465, 'Code Violations'!A:V, 22, FALSE), "N/A"))</f>
        <v/>
      </c>
      <c r="L465">
        <f>IF(A465="","", IF(COUNTIF(E465:K465, "FAIL")&gt;0, "FAIL", "PASS"))</f>
        <v/>
      </c>
    </row>
    <row r="466">
      <c r="A466">
        <f>IF('Equipment Information'!A466="","", 'Equipment Information'!A466)</f>
        <v/>
      </c>
      <c r="B466">
        <f>IF('Equipment Information'!B466="","", 'Equipment Information'!B466)</f>
        <v/>
      </c>
      <c r="C466">
        <f>IF('Equipment Information'!C466="","", 'Equipment Information'!C466)</f>
        <v/>
      </c>
      <c r="D466">
        <f>IF('Equipment Information'!D466="","", 'Equipment Information'!D466)</f>
        <v/>
      </c>
      <c r="E466">
        <f>IF(A466="","", IFERROR(VLOOKUP(A466, 'Energized Data'!A:T, 20, FALSE), "N/A"))</f>
        <v/>
      </c>
      <c r="F466">
        <f>IF(A466="","", IFERROR(VLOOKUP(A466, 'Insulation'!A:J, 9, FALSE), "N/A"))</f>
        <v/>
      </c>
      <c r="G466">
        <f>IF(A466="","", IFERROR(VLOOKUP(A466, 'DLRO'!A:I, 8, FALSE), "N/A"))</f>
        <v/>
      </c>
      <c r="H466">
        <f>IF(A466="","", IFERROR(VLOOKUP(A466, 'Torque'!A:I, 8, FALSE), "N/A"))</f>
        <v/>
      </c>
      <c r="I466">
        <f>IF(A466="","", IFERROR(VLOOKUP(A466, 'Infrared'!A:G, 6, FALSE), "N/A"))</f>
        <v/>
      </c>
      <c r="J466">
        <f>IF(A466="","", IFERROR(VLOOKUP(A466, 'Ultrasonic'!A:H, 7, FALSE), "N/A"))</f>
        <v/>
      </c>
      <c r="K466">
        <f>IF(A466="","", IFERROR(VLOOKUP(A466, 'Code Violations'!A:V, 22, FALSE), "N/A"))</f>
        <v/>
      </c>
      <c r="L466">
        <f>IF(A466="","", IF(COUNTIF(E466:K466, "FAIL")&gt;0, "FAIL", "PASS"))</f>
        <v/>
      </c>
    </row>
    <row r="467">
      <c r="A467">
        <f>IF('Equipment Information'!A467="","", 'Equipment Information'!A467)</f>
        <v/>
      </c>
      <c r="B467">
        <f>IF('Equipment Information'!B467="","", 'Equipment Information'!B467)</f>
        <v/>
      </c>
      <c r="C467">
        <f>IF('Equipment Information'!C467="","", 'Equipment Information'!C467)</f>
        <v/>
      </c>
      <c r="D467">
        <f>IF('Equipment Information'!D467="","", 'Equipment Information'!D467)</f>
        <v/>
      </c>
      <c r="E467">
        <f>IF(A467="","", IFERROR(VLOOKUP(A467, 'Energized Data'!A:T, 20, FALSE), "N/A"))</f>
        <v/>
      </c>
      <c r="F467">
        <f>IF(A467="","", IFERROR(VLOOKUP(A467, 'Insulation'!A:J, 9, FALSE), "N/A"))</f>
        <v/>
      </c>
      <c r="G467">
        <f>IF(A467="","", IFERROR(VLOOKUP(A467, 'DLRO'!A:I, 8, FALSE), "N/A"))</f>
        <v/>
      </c>
      <c r="H467">
        <f>IF(A467="","", IFERROR(VLOOKUP(A467, 'Torque'!A:I, 8, FALSE), "N/A"))</f>
        <v/>
      </c>
      <c r="I467">
        <f>IF(A467="","", IFERROR(VLOOKUP(A467, 'Infrared'!A:G, 6, FALSE), "N/A"))</f>
        <v/>
      </c>
      <c r="J467">
        <f>IF(A467="","", IFERROR(VLOOKUP(A467, 'Ultrasonic'!A:H, 7, FALSE), "N/A"))</f>
        <v/>
      </c>
      <c r="K467">
        <f>IF(A467="","", IFERROR(VLOOKUP(A467, 'Code Violations'!A:V, 22, FALSE), "N/A"))</f>
        <v/>
      </c>
      <c r="L467">
        <f>IF(A467="","", IF(COUNTIF(E467:K467, "FAIL")&gt;0, "FAIL", "PASS"))</f>
        <v/>
      </c>
    </row>
    <row r="468">
      <c r="A468">
        <f>IF('Equipment Information'!A468="","", 'Equipment Information'!A468)</f>
        <v/>
      </c>
      <c r="B468">
        <f>IF('Equipment Information'!B468="","", 'Equipment Information'!B468)</f>
        <v/>
      </c>
      <c r="C468">
        <f>IF('Equipment Information'!C468="","", 'Equipment Information'!C468)</f>
        <v/>
      </c>
      <c r="D468">
        <f>IF('Equipment Information'!D468="","", 'Equipment Information'!D468)</f>
        <v/>
      </c>
      <c r="E468">
        <f>IF(A468="","", IFERROR(VLOOKUP(A468, 'Energized Data'!A:T, 20, FALSE), "N/A"))</f>
        <v/>
      </c>
      <c r="F468">
        <f>IF(A468="","", IFERROR(VLOOKUP(A468, 'Insulation'!A:J, 9, FALSE), "N/A"))</f>
        <v/>
      </c>
      <c r="G468">
        <f>IF(A468="","", IFERROR(VLOOKUP(A468, 'DLRO'!A:I, 8, FALSE), "N/A"))</f>
        <v/>
      </c>
      <c r="H468">
        <f>IF(A468="","", IFERROR(VLOOKUP(A468, 'Torque'!A:I, 8, FALSE), "N/A"))</f>
        <v/>
      </c>
      <c r="I468">
        <f>IF(A468="","", IFERROR(VLOOKUP(A468, 'Infrared'!A:G, 6, FALSE), "N/A"))</f>
        <v/>
      </c>
      <c r="J468">
        <f>IF(A468="","", IFERROR(VLOOKUP(A468, 'Ultrasonic'!A:H, 7, FALSE), "N/A"))</f>
        <v/>
      </c>
      <c r="K468">
        <f>IF(A468="","", IFERROR(VLOOKUP(A468, 'Code Violations'!A:V, 22, FALSE), "N/A"))</f>
        <v/>
      </c>
      <c r="L468">
        <f>IF(A468="","", IF(COUNTIF(E468:K468, "FAIL")&gt;0, "FAIL", "PASS"))</f>
        <v/>
      </c>
    </row>
    <row r="469">
      <c r="A469">
        <f>IF('Equipment Information'!A469="","", 'Equipment Information'!A469)</f>
        <v/>
      </c>
      <c r="B469">
        <f>IF('Equipment Information'!B469="","", 'Equipment Information'!B469)</f>
        <v/>
      </c>
      <c r="C469">
        <f>IF('Equipment Information'!C469="","", 'Equipment Information'!C469)</f>
        <v/>
      </c>
      <c r="D469">
        <f>IF('Equipment Information'!D469="","", 'Equipment Information'!D469)</f>
        <v/>
      </c>
      <c r="E469">
        <f>IF(A469="","", IFERROR(VLOOKUP(A469, 'Energized Data'!A:T, 20, FALSE), "N/A"))</f>
        <v/>
      </c>
      <c r="F469">
        <f>IF(A469="","", IFERROR(VLOOKUP(A469, 'Insulation'!A:J, 9, FALSE), "N/A"))</f>
        <v/>
      </c>
      <c r="G469">
        <f>IF(A469="","", IFERROR(VLOOKUP(A469, 'DLRO'!A:I, 8, FALSE), "N/A"))</f>
        <v/>
      </c>
      <c r="H469">
        <f>IF(A469="","", IFERROR(VLOOKUP(A469, 'Torque'!A:I, 8, FALSE), "N/A"))</f>
        <v/>
      </c>
      <c r="I469">
        <f>IF(A469="","", IFERROR(VLOOKUP(A469, 'Infrared'!A:G, 6, FALSE), "N/A"))</f>
        <v/>
      </c>
      <c r="J469">
        <f>IF(A469="","", IFERROR(VLOOKUP(A469, 'Ultrasonic'!A:H, 7, FALSE), "N/A"))</f>
        <v/>
      </c>
      <c r="K469">
        <f>IF(A469="","", IFERROR(VLOOKUP(A469, 'Code Violations'!A:V, 22, FALSE), "N/A"))</f>
        <v/>
      </c>
      <c r="L469">
        <f>IF(A469="","", IF(COUNTIF(E469:K469, "FAIL")&gt;0, "FAIL", "PASS"))</f>
        <v/>
      </c>
    </row>
    <row r="470">
      <c r="A470">
        <f>IF('Equipment Information'!A470="","", 'Equipment Information'!A470)</f>
        <v/>
      </c>
      <c r="B470">
        <f>IF('Equipment Information'!B470="","", 'Equipment Information'!B470)</f>
        <v/>
      </c>
      <c r="C470">
        <f>IF('Equipment Information'!C470="","", 'Equipment Information'!C470)</f>
        <v/>
      </c>
      <c r="D470">
        <f>IF('Equipment Information'!D470="","", 'Equipment Information'!D470)</f>
        <v/>
      </c>
      <c r="E470">
        <f>IF(A470="","", IFERROR(VLOOKUP(A470, 'Energized Data'!A:T, 20, FALSE), "N/A"))</f>
        <v/>
      </c>
      <c r="F470">
        <f>IF(A470="","", IFERROR(VLOOKUP(A470, 'Insulation'!A:J, 9, FALSE), "N/A"))</f>
        <v/>
      </c>
      <c r="G470">
        <f>IF(A470="","", IFERROR(VLOOKUP(A470, 'DLRO'!A:I, 8, FALSE), "N/A"))</f>
        <v/>
      </c>
      <c r="H470">
        <f>IF(A470="","", IFERROR(VLOOKUP(A470, 'Torque'!A:I, 8, FALSE), "N/A"))</f>
        <v/>
      </c>
      <c r="I470">
        <f>IF(A470="","", IFERROR(VLOOKUP(A470, 'Infrared'!A:G, 6, FALSE), "N/A"))</f>
        <v/>
      </c>
      <c r="J470">
        <f>IF(A470="","", IFERROR(VLOOKUP(A470, 'Ultrasonic'!A:H, 7, FALSE), "N/A"))</f>
        <v/>
      </c>
      <c r="K470">
        <f>IF(A470="","", IFERROR(VLOOKUP(A470, 'Code Violations'!A:V, 22, FALSE), "N/A"))</f>
        <v/>
      </c>
      <c r="L470">
        <f>IF(A470="","", IF(COUNTIF(E470:K470, "FAIL")&gt;0, "FAIL", "PASS"))</f>
        <v/>
      </c>
    </row>
    <row r="471">
      <c r="A471">
        <f>IF('Equipment Information'!A471="","", 'Equipment Information'!A471)</f>
        <v/>
      </c>
      <c r="B471">
        <f>IF('Equipment Information'!B471="","", 'Equipment Information'!B471)</f>
        <v/>
      </c>
      <c r="C471">
        <f>IF('Equipment Information'!C471="","", 'Equipment Information'!C471)</f>
        <v/>
      </c>
      <c r="D471">
        <f>IF('Equipment Information'!D471="","", 'Equipment Information'!D471)</f>
        <v/>
      </c>
      <c r="E471">
        <f>IF(A471="","", IFERROR(VLOOKUP(A471, 'Energized Data'!A:T, 20, FALSE), "N/A"))</f>
        <v/>
      </c>
      <c r="F471">
        <f>IF(A471="","", IFERROR(VLOOKUP(A471, 'Insulation'!A:J, 9, FALSE), "N/A"))</f>
        <v/>
      </c>
      <c r="G471">
        <f>IF(A471="","", IFERROR(VLOOKUP(A471, 'DLRO'!A:I, 8, FALSE), "N/A"))</f>
        <v/>
      </c>
      <c r="H471">
        <f>IF(A471="","", IFERROR(VLOOKUP(A471, 'Torque'!A:I, 8, FALSE), "N/A"))</f>
        <v/>
      </c>
      <c r="I471">
        <f>IF(A471="","", IFERROR(VLOOKUP(A471, 'Infrared'!A:G, 6, FALSE), "N/A"))</f>
        <v/>
      </c>
      <c r="J471">
        <f>IF(A471="","", IFERROR(VLOOKUP(A471, 'Ultrasonic'!A:H, 7, FALSE), "N/A"))</f>
        <v/>
      </c>
      <c r="K471">
        <f>IF(A471="","", IFERROR(VLOOKUP(A471, 'Code Violations'!A:V, 22, FALSE), "N/A"))</f>
        <v/>
      </c>
      <c r="L471">
        <f>IF(A471="","", IF(COUNTIF(E471:K471, "FAIL")&gt;0, "FAIL", "PASS"))</f>
        <v/>
      </c>
    </row>
    <row r="472">
      <c r="A472">
        <f>IF('Equipment Information'!A472="","", 'Equipment Information'!A472)</f>
        <v/>
      </c>
      <c r="B472">
        <f>IF('Equipment Information'!B472="","", 'Equipment Information'!B472)</f>
        <v/>
      </c>
      <c r="C472">
        <f>IF('Equipment Information'!C472="","", 'Equipment Information'!C472)</f>
        <v/>
      </c>
      <c r="D472">
        <f>IF('Equipment Information'!D472="","", 'Equipment Information'!D472)</f>
        <v/>
      </c>
      <c r="E472">
        <f>IF(A472="","", IFERROR(VLOOKUP(A472, 'Energized Data'!A:T, 20, FALSE), "N/A"))</f>
        <v/>
      </c>
      <c r="F472">
        <f>IF(A472="","", IFERROR(VLOOKUP(A472, 'Insulation'!A:J, 9, FALSE), "N/A"))</f>
        <v/>
      </c>
      <c r="G472">
        <f>IF(A472="","", IFERROR(VLOOKUP(A472, 'DLRO'!A:I, 8, FALSE), "N/A"))</f>
        <v/>
      </c>
      <c r="H472">
        <f>IF(A472="","", IFERROR(VLOOKUP(A472, 'Torque'!A:I, 8, FALSE), "N/A"))</f>
        <v/>
      </c>
      <c r="I472">
        <f>IF(A472="","", IFERROR(VLOOKUP(A472, 'Infrared'!A:G, 6, FALSE), "N/A"))</f>
        <v/>
      </c>
      <c r="J472">
        <f>IF(A472="","", IFERROR(VLOOKUP(A472, 'Ultrasonic'!A:H, 7, FALSE), "N/A"))</f>
        <v/>
      </c>
      <c r="K472">
        <f>IF(A472="","", IFERROR(VLOOKUP(A472, 'Code Violations'!A:V, 22, FALSE), "N/A"))</f>
        <v/>
      </c>
      <c r="L472">
        <f>IF(A472="","", IF(COUNTIF(E472:K472, "FAIL")&gt;0, "FAIL", "PASS"))</f>
        <v/>
      </c>
    </row>
    <row r="473">
      <c r="A473">
        <f>IF('Equipment Information'!A473="","", 'Equipment Information'!A473)</f>
        <v/>
      </c>
      <c r="B473">
        <f>IF('Equipment Information'!B473="","", 'Equipment Information'!B473)</f>
        <v/>
      </c>
      <c r="C473">
        <f>IF('Equipment Information'!C473="","", 'Equipment Information'!C473)</f>
        <v/>
      </c>
      <c r="D473">
        <f>IF('Equipment Information'!D473="","", 'Equipment Information'!D473)</f>
        <v/>
      </c>
      <c r="E473">
        <f>IF(A473="","", IFERROR(VLOOKUP(A473, 'Energized Data'!A:T, 20, FALSE), "N/A"))</f>
        <v/>
      </c>
      <c r="F473">
        <f>IF(A473="","", IFERROR(VLOOKUP(A473, 'Insulation'!A:J, 9, FALSE), "N/A"))</f>
        <v/>
      </c>
      <c r="G473">
        <f>IF(A473="","", IFERROR(VLOOKUP(A473, 'DLRO'!A:I, 8, FALSE), "N/A"))</f>
        <v/>
      </c>
      <c r="H473">
        <f>IF(A473="","", IFERROR(VLOOKUP(A473, 'Torque'!A:I, 8, FALSE), "N/A"))</f>
        <v/>
      </c>
      <c r="I473">
        <f>IF(A473="","", IFERROR(VLOOKUP(A473, 'Infrared'!A:G, 6, FALSE), "N/A"))</f>
        <v/>
      </c>
      <c r="J473">
        <f>IF(A473="","", IFERROR(VLOOKUP(A473, 'Ultrasonic'!A:H, 7, FALSE), "N/A"))</f>
        <v/>
      </c>
      <c r="K473">
        <f>IF(A473="","", IFERROR(VLOOKUP(A473, 'Code Violations'!A:V, 22, FALSE), "N/A"))</f>
        <v/>
      </c>
      <c r="L473">
        <f>IF(A473="","", IF(COUNTIF(E473:K473, "FAIL")&gt;0, "FAIL", "PASS"))</f>
        <v/>
      </c>
    </row>
    <row r="474">
      <c r="A474">
        <f>IF('Equipment Information'!A474="","", 'Equipment Information'!A474)</f>
        <v/>
      </c>
      <c r="B474">
        <f>IF('Equipment Information'!B474="","", 'Equipment Information'!B474)</f>
        <v/>
      </c>
      <c r="C474">
        <f>IF('Equipment Information'!C474="","", 'Equipment Information'!C474)</f>
        <v/>
      </c>
      <c r="D474">
        <f>IF('Equipment Information'!D474="","", 'Equipment Information'!D474)</f>
        <v/>
      </c>
      <c r="E474">
        <f>IF(A474="","", IFERROR(VLOOKUP(A474, 'Energized Data'!A:T, 20, FALSE), "N/A"))</f>
        <v/>
      </c>
      <c r="F474">
        <f>IF(A474="","", IFERROR(VLOOKUP(A474, 'Insulation'!A:J, 9, FALSE), "N/A"))</f>
        <v/>
      </c>
      <c r="G474">
        <f>IF(A474="","", IFERROR(VLOOKUP(A474, 'DLRO'!A:I, 8, FALSE), "N/A"))</f>
        <v/>
      </c>
      <c r="H474">
        <f>IF(A474="","", IFERROR(VLOOKUP(A474, 'Torque'!A:I, 8, FALSE), "N/A"))</f>
        <v/>
      </c>
      <c r="I474">
        <f>IF(A474="","", IFERROR(VLOOKUP(A474, 'Infrared'!A:G, 6, FALSE), "N/A"))</f>
        <v/>
      </c>
      <c r="J474">
        <f>IF(A474="","", IFERROR(VLOOKUP(A474, 'Ultrasonic'!A:H, 7, FALSE), "N/A"))</f>
        <v/>
      </c>
      <c r="K474">
        <f>IF(A474="","", IFERROR(VLOOKUP(A474, 'Code Violations'!A:V, 22, FALSE), "N/A"))</f>
        <v/>
      </c>
      <c r="L474">
        <f>IF(A474="","", IF(COUNTIF(E474:K474, "FAIL")&gt;0, "FAIL", "PASS"))</f>
        <v/>
      </c>
    </row>
    <row r="475">
      <c r="A475">
        <f>IF('Equipment Information'!A475="","", 'Equipment Information'!A475)</f>
        <v/>
      </c>
      <c r="B475">
        <f>IF('Equipment Information'!B475="","", 'Equipment Information'!B475)</f>
        <v/>
      </c>
      <c r="C475">
        <f>IF('Equipment Information'!C475="","", 'Equipment Information'!C475)</f>
        <v/>
      </c>
      <c r="D475">
        <f>IF('Equipment Information'!D475="","", 'Equipment Information'!D475)</f>
        <v/>
      </c>
      <c r="E475">
        <f>IF(A475="","", IFERROR(VLOOKUP(A475, 'Energized Data'!A:T, 20, FALSE), "N/A"))</f>
        <v/>
      </c>
      <c r="F475">
        <f>IF(A475="","", IFERROR(VLOOKUP(A475, 'Insulation'!A:J, 9, FALSE), "N/A"))</f>
        <v/>
      </c>
      <c r="G475">
        <f>IF(A475="","", IFERROR(VLOOKUP(A475, 'DLRO'!A:I, 8, FALSE), "N/A"))</f>
        <v/>
      </c>
      <c r="H475">
        <f>IF(A475="","", IFERROR(VLOOKUP(A475, 'Torque'!A:I, 8, FALSE), "N/A"))</f>
        <v/>
      </c>
      <c r="I475">
        <f>IF(A475="","", IFERROR(VLOOKUP(A475, 'Infrared'!A:G, 6, FALSE), "N/A"))</f>
        <v/>
      </c>
      <c r="J475">
        <f>IF(A475="","", IFERROR(VLOOKUP(A475, 'Ultrasonic'!A:H, 7, FALSE), "N/A"))</f>
        <v/>
      </c>
      <c r="K475">
        <f>IF(A475="","", IFERROR(VLOOKUP(A475, 'Code Violations'!A:V, 22, FALSE), "N/A"))</f>
        <v/>
      </c>
      <c r="L475">
        <f>IF(A475="","", IF(COUNTIF(E475:K475, "FAIL")&gt;0, "FAIL", "PASS"))</f>
        <v/>
      </c>
    </row>
    <row r="476">
      <c r="A476">
        <f>IF('Equipment Information'!A476="","", 'Equipment Information'!A476)</f>
        <v/>
      </c>
      <c r="B476">
        <f>IF('Equipment Information'!B476="","", 'Equipment Information'!B476)</f>
        <v/>
      </c>
      <c r="C476">
        <f>IF('Equipment Information'!C476="","", 'Equipment Information'!C476)</f>
        <v/>
      </c>
      <c r="D476">
        <f>IF('Equipment Information'!D476="","", 'Equipment Information'!D476)</f>
        <v/>
      </c>
      <c r="E476">
        <f>IF(A476="","", IFERROR(VLOOKUP(A476, 'Energized Data'!A:T, 20, FALSE), "N/A"))</f>
        <v/>
      </c>
      <c r="F476">
        <f>IF(A476="","", IFERROR(VLOOKUP(A476, 'Insulation'!A:J, 9, FALSE), "N/A"))</f>
        <v/>
      </c>
      <c r="G476">
        <f>IF(A476="","", IFERROR(VLOOKUP(A476, 'DLRO'!A:I, 8, FALSE), "N/A"))</f>
        <v/>
      </c>
      <c r="H476">
        <f>IF(A476="","", IFERROR(VLOOKUP(A476, 'Torque'!A:I, 8, FALSE), "N/A"))</f>
        <v/>
      </c>
      <c r="I476">
        <f>IF(A476="","", IFERROR(VLOOKUP(A476, 'Infrared'!A:G, 6, FALSE), "N/A"))</f>
        <v/>
      </c>
      <c r="J476">
        <f>IF(A476="","", IFERROR(VLOOKUP(A476, 'Ultrasonic'!A:H, 7, FALSE), "N/A"))</f>
        <v/>
      </c>
      <c r="K476">
        <f>IF(A476="","", IFERROR(VLOOKUP(A476, 'Code Violations'!A:V, 22, FALSE), "N/A"))</f>
        <v/>
      </c>
      <c r="L476">
        <f>IF(A476="","", IF(COUNTIF(E476:K476, "FAIL")&gt;0, "FAIL", "PASS"))</f>
        <v/>
      </c>
    </row>
    <row r="477">
      <c r="A477">
        <f>IF('Equipment Information'!A477="","", 'Equipment Information'!A477)</f>
        <v/>
      </c>
      <c r="B477">
        <f>IF('Equipment Information'!B477="","", 'Equipment Information'!B477)</f>
        <v/>
      </c>
      <c r="C477">
        <f>IF('Equipment Information'!C477="","", 'Equipment Information'!C477)</f>
        <v/>
      </c>
      <c r="D477">
        <f>IF('Equipment Information'!D477="","", 'Equipment Information'!D477)</f>
        <v/>
      </c>
      <c r="E477">
        <f>IF(A477="","", IFERROR(VLOOKUP(A477, 'Energized Data'!A:T, 20, FALSE), "N/A"))</f>
        <v/>
      </c>
      <c r="F477">
        <f>IF(A477="","", IFERROR(VLOOKUP(A477, 'Insulation'!A:J, 9, FALSE), "N/A"))</f>
        <v/>
      </c>
      <c r="G477">
        <f>IF(A477="","", IFERROR(VLOOKUP(A477, 'DLRO'!A:I, 8, FALSE), "N/A"))</f>
        <v/>
      </c>
      <c r="H477">
        <f>IF(A477="","", IFERROR(VLOOKUP(A477, 'Torque'!A:I, 8, FALSE), "N/A"))</f>
        <v/>
      </c>
      <c r="I477">
        <f>IF(A477="","", IFERROR(VLOOKUP(A477, 'Infrared'!A:G, 6, FALSE), "N/A"))</f>
        <v/>
      </c>
      <c r="J477">
        <f>IF(A477="","", IFERROR(VLOOKUP(A477, 'Ultrasonic'!A:H, 7, FALSE), "N/A"))</f>
        <v/>
      </c>
      <c r="K477">
        <f>IF(A477="","", IFERROR(VLOOKUP(A477, 'Code Violations'!A:V, 22, FALSE), "N/A"))</f>
        <v/>
      </c>
      <c r="L477">
        <f>IF(A477="","", IF(COUNTIF(E477:K477, "FAIL")&gt;0, "FAIL", "PASS"))</f>
        <v/>
      </c>
    </row>
    <row r="478">
      <c r="A478">
        <f>IF('Equipment Information'!A478="","", 'Equipment Information'!A478)</f>
        <v/>
      </c>
      <c r="B478">
        <f>IF('Equipment Information'!B478="","", 'Equipment Information'!B478)</f>
        <v/>
      </c>
      <c r="C478">
        <f>IF('Equipment Information'!C478="","", 'Equipment Information'!C478)</f>
        <v/>
      </c>
      <c r="D478">
        <f>IF('Equipment Information'!D478="","", 'Equipment Information'!D478)</f>
        <v/>
      </c>
      <c r="E478">
        <f>IF(A478="","", IFERROR(VLOOKUP(A478, 'Energized Data'!A:T, 20, FALSE), "N/A"))</f>
        <v/>
      </c>
      <c r="F478">
        <f>IF(A478="","", IFERROR(VLOOKUP(A478, 'Insulation'!A:J, 9, FALSE), "N/A"))</f>
        <v/>
      </c>
      <c r="G478">
        <f>IF(A478="","", IFERROR(VLOOKUP(A478, 'DLRO'!A:I, 8, FALSE), "N/A"))</f>
        <v/>
      </c>
      <c r="H478">
        <f>IF(A478="","", IFERROR(VLOOKUP(A478, 'Torque'!A:I, 8, FALSE), "N/A"))</f>
        <v/>
      </c>
      <c r="I478">
        <f>IF(A478="","", IFERROR(VLOOKUP(A478, 'Infrared'!A:G, 6, FALSE), "N/A"))</f>
        <v/>
      </c>
      <c r="J478">
        <f>IF(A478="","", IFERROR(VLOOKUP(A478, 'Ultrasonic'!A:H, 7, FALSE), "N/A"))</f>
        <v/>
      </c>
      <c r="K478">
        <f>IF(A478="","", IFERROR(VLOOKUP(A478, 'Code Violations'!A:V, 22, FALSE), "N/A"))</f>
        <v/>
      </c>
      <c r="L478">
        <f>IF(A478="","", IF(COUNTIF(E478:K478, "FAIL")&gt;0, "FAIL", "PASS"))</f>
        <v/>
      </c>
    </row>
    <row r="479">
      <c r="A479">
        <f>IF('Equipment Information'!A479="","", 'Equipment Information'!A479)</f>
        <v/>
      </c>
      <c r="B479">
        <f>IF('Equipment Information'!B479="","", 'Equipment Information'!B479)</f>
        <v/>
      </c>
      <c r="C479">
        <f>IF('Equipment Information'!C479="","", 'Equipment Information'!C479)</f>
        <v/>
      </c>
      <c r="D479">
        <f>IF('Equipment Information'!D479="","", 'Equipment Information'!D479)</f>
        <v/>
      </c>
      <c r="E479">
        <f>IF(A479="","", IFERROR(VLOOKUP(A479, 'Energized Data'!A:T, 20, FALSE), "N/A"))</f>
        <v/>
      </c>
      <c r="F479">
        <f>IF(A479="","", IFERROR(VLOOKUP(A479, 'Insulation'!A:J, 9, FALSE), "N/A"))</f>
        <v/>
      </c>
      <c r="G479">
        <f>IF(A479="","", IFERROR(VLOOKUP(A479, 'DLRO'!A:I, 8, FALSE), "N/A"))</f>
        <v/>
      </c>
      <c r="H479">
        <f>IF(A479="","", IFERROR(VLOOKUP(A479, 'Torque'!A:I, 8, FALSE), "N/A"))</f>
        <v/>
      </c>
      <c r="I479">
        <f>IF(A479="","", IFERROR(VLOOKUP(A479, 'Infrared'!A:G, 6, FALSE), "N/A"))</f>
        <v/>
      </c>
      <c r="J479">
        <f>IF(A479="","", IFERROR(VLOOKUP(A479, 'Ultrasonic'!A:H, 7, FALSE), "N/A"))</f>
        <v/>
      </c>
      <c r="K479">
        <f>IF(A479="","", IFERROR(VLOOKUP(A479, 'Code Violations'!A:V, 22, FALSE), "N/A"))</f>
        <v/>
      </c>
      <c r="L479">
        <f>IF(A479="","", IF(COUNTIF(E479:K479, "FAIL")&gt;0, "FAIL", "PASS"))</f>
        <v/>
      </c>
    </row>
    <row r="480">
      <c r="A480">
        <f>IF('Equipment Information'!A480="","", 'Equipment Information'!A480)</f>
        <v/>
      </c>
      <c r="B480">
        <f>IF('Equipment Information'!B480="","", 'Equipment Information'!B480)</f>
        <v/>
      </c>
      <c r="C480">
        <f>IF('Equipment Information'!C480="","", 'Equipment Information'!C480)</f>
        <v/>
      </c>
      <c r="D480">
        <f>IF('Equipment Information'!D480="","", 'Equipment Information'!D480)</f>
        <v/>
      </c>
      <c r="E480">
        <f>IF(A480="","", IFERROR(VLOOKUP(A480, 'Energized Data'!A:T, 20, FALSE), "N/A"))</f>
        <v/>
      </c>
      <c r="F480">
        <f>IF(A480="","", IFERROR(VLOOKUP(A480, 'Insulation'!A:J, 9, FALSE), "N/A"))</f>
        <v/>
      </c>
      <c r="G480">
        <f>IF(A480="","", IFERROR(VLOOKUP(A480, 'DLRO'!A:I, 8, FALSE), "N/A"))</f>
        <v/>
      </c>
      <c r="H480">
        <f>IF(A480="","", IFERROR(VLOOKUP(A480, 'Torque'!A:I, 8, FALSE), "N/A"))</f>
        <v/>
      </c>
      <c r="I480">
        <f>IF(A480="","", IFERROR(VLOOKUP(A480, 'Infrared'!A:G, 6, FALSE), "N/A"))</f>
        <v/>
      </c>
      <c r="J480">
        <f>IF(A480="","", IFERROR(VLOOKUP(A480, 'Ultrasonic'!A:H, 7, FALSE), "N/A"))</f>
        <v/>
      </c>
      <c r="K480">
        <f>IF(A480="","", IFERROR(VLOOKUP(A480, 'Code Violations'!A:V, 22, FALSE), "N/A"))</f>
        <v/>
      </c>
      <c r="L480">
        <f>IF(A480="","", IF(COUNTIF(E480:K480, "FAIL")&gt;0, "FAIL", "PASS"))</f>
        <v/>
      </c>
    </row>
    <row r="481">
      <c r="A481">
        <f>IF('Equipment Information'!A481="","", 'Equipment Information'!A481)</f>
        <v/>
      </c>
      <c r="B481">
        <f>IF('Equipment Information'!B481="","", 'Equipment Information'!B481)</f>
        <v/>
      </c>
      <c r="C481">
        <f>IF('Equipment Information'!C481="","", 'Equipment Information'!C481)</f>
        <v/>
      </c>
      <c r="D481">
        <f>IF('Equipment Information'!D481="","", 'Equipment Information'!D481)</f>
        <v/>
      </c>
      <c r="E481">
        <f>IF(A481="","", IFERROR(VLOOKUP(A481, 'Energized Data'!A:T, 20, FALSE), "N/A"))</f>
        <v/>
      </c>
      <c r="F481">
        <f>IF(A481="","", IFERROR(VLOOKUP(A481, 'Insulation'!A:J, 9, FALSE), "N/A"))</f>
        <v/>
      </c>
      <c r="G481">
        <f>IF(A481="","", IFERROR(VLOOKUP(A481, 'DLRO'!A:I, 8, FALSE), "N/A"))</f>
        <v/>
      </c>
      <c r="H481">
        <f>IF(A481="","", IFERROR(VLOOKUP(A481, 'Torque'!A:I, 8, FALSE), "N/A"))</f>
        <v/>
      </c>
      <c r="I481">
        <f>IF(A481="","", IFERROR(VLOOKUP(A481, 'Infrared'!A:G, 6, FALSE), "N/A"))</f>
        <v/>
      </c>
      <c r="J481">
        <f>IF(A481="","", IFERROR(VLOOKUP(A481, 'Ultrasonic'!A:H, 7, FALSE), "N/A"))</f>
        <v/>
      </c>
      <c r="K481">
        <f>IF(A481="","", IFERROR(VLOOKUP(A481, 'Code Violations'!A:V, 22, FALSE), "N/A"))</f>
        <v/>
      </c>
      <c r="L481">
        <f>IF(A481="","", IF(COUNTIF(E481:K481, "FAIL")&gt;0, "FAIL", "PASS"))</f>
        <v/>
      </c>
    </row>
    <row r="482">
      <c r="A482">
        <f>IF('Equipment Information'!A482="","", 'Equipment Information'!A482)</f>
        <v/>
      </c>
      <c r="B482">
        <f>IF('Equipment Information'!B482="","", 'Equipment Information'!B482)</f>
        <v/>
      </c>
      <c r="C482">
        <f>IF('Equipment Information'!C482="","", 'Equipment Information'!C482)</f>
        <v/>
      </c>
      <c r="D482">
        <f>IF('Equipment Information'!D482="","", 'Equipment Information'!D482)</f>
        <v/>
      </c>
      <c r="E482">
        <f>IF(A482="","", IFERROR(VLOOKUP(A482, 'Energized Data'!A:T, 20, FALSE), "N/A"))</f>
        <v/>
      </c>
      <c r="F482">
        <f>IF(A482="","", IFERROR(VLOOKUP(A482, 'Insulation'!A:J, 9, FALSE), "N/A"))</f>
        <v/>
      </c>
      <c r="G482">
        <f>IF(A482="","", IFERROR(VLOOKUP(A482, 'DLRO'!A:I, 8, FALSE), "N/A"))</f>
        <v/>
      </c>
      <c r="H482">
        <f>IF(A482="","", IFERROR(VLOOKUP(A482, 'Torque'!A:I, 8, FALSE), "N/A"))</f>
        <v/>
      </c>
      <c r="I482">
        <f>IF(A482="","", IFERROR(VLOOKUP(A482, 'Infrared'!A:G, 6, FALSE), "N/A"))</f>
        <v/>
      </c>
      <c r="J482">
        <f>IF(A482="","", IFERROR(VLOOKUP(A482, 'Ultrasonic'!A:H, 7, FALSE), "N/A"))</f>
        <v/>
      </c>
      <c r="K482">
        <f>IF(A482="","", IFERROR(VLOOKUP(A482, 'Code Violations'!A:V, 22, FALSE), "N/A"))</f>
        <v/>
      </c>
      <c r="L482">
        <f>IF(A482="","", IF(COUNTIF(E482:K482, "FAIL")&gt;0, "FAIL", "PASS"))</f>
        <v/>
      </c>
    </row>
    <row r="483">
      <c r="A483">
        <f>IF('Equipment Information'!A483="","", 'Equipment Information'!A483)</f>
        <v/>
      </c>
      <c r="B483">
        <f>IF('Equipment Information'!B483="","", 'Equipment Information'!B483)</f>
        <v/>
      </c>
      <c r="C483">
        <f>IF('Equipment Information'!C483="","", 'Equipment Information'!C483)</f>
        <v/>
      </c>
      <c r="D483">
        <f>IF('Equipment Information'!D483="","", 'Equipment Information'!D483)</f>
        <v/>
      </c>
      <c r="E483">
        <f>IF(A483="","", IFERROR(VLOOKUP(A483, 'Energized Data'!A:T, 20, FALSE), "N/A"))</f>
        <v/>
      </c>
      <c r="F483">
        <f>IF(A483="","", IFERROR(VLOOKUP(A483, 'Insulation'!A:J, 9, FALSE), "N/A"))</f>
        <v/>
      </c>
      <c r="G483">
        <f>IF(A483="","", IFERROR(VLOOKUP(A483, 'DLRO'!A:I, 8, FALSE), "N/A"))</f>
        <v/>
      </c>
      <c r="H483">
        <f>IF(A483="","", IFERROR(VLOOKUP(A483, 'Torque'!A:I, 8, FALSE), "N/A"))</f>
        <v/>
      </c>
      <c r="I483">
        <f>IF(A483="","", IFERROR(VLOOKUP(A483, 'Infrared'!A:G, 6, FALSE), "N/A"))</f>
        <v/>
      </c>
      <c r="J483">
        <f>IF(A483="","", IFERROR(VLOOKUP(A483, 'Ultrasonic'!A:H, 7, FALSE), "N/A"))</f>
        <v/>
      </c>
      <c r="K483">
        <f>IF(A483="","", IFERROR(VLOOKUP(A483, 'Code Violations'!A:V, 22, FALSE), "N/A"))</f>
        <v/>
      </c>
      <c r="L483">
        <f>IF(A483="","", IF(COUNTIF(E483:K483, "FAIL")&gt;0, "FAIL", "PASS"))</f>
        <v/>
      </c>
    </row>
    <row r="484">
      <c r="A484">
        <f>IF('Equipment Information'!A484="","", 'Equipment Information'!A484)</f>
        <v/>
      </c>
      <c r="B484">
        <f>IF('Equipment Information'!B484="","", 'Equipment Information'!B484)</f>
        <v/>
      </c>
      <c r="C484">
        <f>IF('Equipment Information'!C484="","", 'Equipment Information'!C484)</f>
        <v/>
      </c>
      <c r="D484">
        <f>IF('Equipment Information'!D484="","", 'Equipment Information'!D484)</f>
        <v/>
      </c>
      <c r="E484">
        <f>IF(A484="","", IFERROR(VLOOKUP(A484, 'Energized Data'!A:T, 20, FALSE), "N/A"))</f>
        <v/>
      </c>
      <c r="F484">
        <f>IF(A484="","", IFERROR(VLOOKUP(A484, 'Insulation'!A:J, 9, FALSE), "N/A"))</f>
        <v/>
      </c>
      <c r="G484">
        <f>IF(A484="","", IFERROR(VLOOKUP(A484, 'DLRO'!A:I, 8, FALSE), "N/A"))</f>
        <v/>
      </c>
      <c r="H484">
        <f>IF(A484="","", IFERROR(VLOOKUP(A484, 'Torque'!A:I, 8, FALSE), "N/A"))</f>
        <v/>
      </c>
      <c r="I484">
        <f>IF(A484="","", IFERROR(VLOOKUP(A484, 'Infrared'!A:G, 6, FALSE), "N/A"))</f>
        <v/>
      </c>
      <c r="J484">
        <f>IF(A484="","", IFERROR(VLOOKUP(A484, 'Ultrasonic'!A:H, 7, FALSE), "N/A"))</f>
        <v/>
      </c>
      <c r="K484">
        <f>IF(A484="","", IFERROR(VLOOKUP(A484, 'Code Violations'!A:V, 22, FALSE), "N/A"))</f>
        <v/>
      </c>
      <c r="L484">
        <f>IF(A484="","", IF(COUNTIF(E484:K484, "FAIL")&gt;0, "FAIL", "PASS"))</f>
        <v/>
      </c>
    </row>
    <row r="485">
      <c r="A485">
        <f>IF('Equipment Information'!A485="","", 'Equipment Information'!A485)</f>
        <v/>
      </c>
      <c r="B485">
        <f>IF('Equipment Information'!B485="","", 'Equipment Information'!B485)</f>
        <v/>
      </c>
      <c r="C485">
        <f>IF('Equipment Information'!C485="","", 'Equipment Information'!C485)</f>
        <v/>
      </c>
      <c r="D485">
        <f>IF('Equipment Information'!D485="","", 'Equipment Information'!D485)</f>
        <v/>
      </c>
      <c r="E485">
        <f>IF(A485="","", IFERROR(VLOOKUP(A485, 'Energized Data'!A:T, 20, FALSE), "N/A"))</f>
        <v/>
      </c>
      <c r="F485">
        <f>IF(A485="","", IFERROR(VLOOKUP(A485, 'Insulation'!A:J, 9, FALSE), "N/A"))</f>
        <v/>
      </c>
      <c r="G485">
        <f>IF(A485="","", IFERROR(VLOOKUP(A485, 'DLRO'!A:I, 8, FALSE), "N/A"))</f>
        <v/>
      </c>
      <c r="H485">
        <f>IF(A485="","", IFERROR(VLOOKUP(A485, 'Torque'!A:I, 8, FALSE), "N/A"))</f>
        <v/>
      </c>
      <c r="I485">
        <f>IF(A485="","", IFERROR(VLOOKUP(A485, 'Infrared'!A:G, 6, FALSE), "N/A"))</f>
        <v/>
      </c>
      <c r="J485">
        <f>IF(A485="","", IFERROR(VLOOKUP(A485, 'Ultrasonic'!A:H, 7, FALSE), "N/A"))</f>
        <v/>
      </c>
      <c r="K485">
        <f>IF(A485="","", IFERROR(VLOOKUP(A485, 'Code Violations'!A:V, 22, FALSE), "N/A"))</f>
        <v/>
      </c>
      <c r="L485">
        <f>IF(A485="","", IF(COUNTIF(E485:K485, "FAIL")&gt;0, "FAIL", "PASS"))</f>
        <v/>
      </c>
    </row>
    <row r="486">
      <c r="A486">
        <f>IF('Equipment Information'!A486="","", 'Equipment Information'!A486)</f>
        <v/>
      </c>
      <c r="B486">
        <f>IF('Equipment Information'!B486="","", 'Equipment Information'!B486)</f>
        <v/>
      </c>
      <c r="C486">
        <f>IF('Equipment Information'!C486="","", 'Equipment Information'!C486)</f>
        <v/>
      </c>
      <c r="D486">
        <f>IF('Equipment Information'!D486="","", 'Equipment Information'!D486)</f>
        <v/>
      </c>
      <c r="E486">
        <f>IF(A486="","", IFERROR(VLOOKUP(A486, 'Energized Data'!A:T, 20, FALSE), "N/A"))</f>
        <v/>
      </c>
      <c r="F486">
        <f>IF(A486="","", IFERROR(VLOOKUP(A486, 'Insulation'!A:J, 9, FALSE), "N/A"))</f>
        <v/>
      </c>
      <c r="G486">
        <f>IF(A486="","", IFERROR(VLOOKUP(A486, 'DLRO'!A:I, 8, FALSE), "N/A"))</f>
        <v/>
      </c>
      <c r="H486">
        <f>IF(A486="","", IFERROR(VLOOKUP(A486, 'Torque'!A:I, 8, FALSE), "N/A"))</f>
        <v/>
      </c>
      <c r="I486">
        <f>IF(A486="","", IFERROR(VLOOKUP(A486, 'Infrared'!A:G, 6, FALSE), "N/A"))</f>
        <v/>
      </c>
      <c r="J486">
        <f>IF(A486="","", IFERROR(VLOOKUP(A486, 'Ultrasonic'!A:H, 7, FALSE), "N/A"))</f>
        <v/>
      </c>
      <c r="K486">
        <f>IF(A486="","", IFERROR(VLOOKUP(A486, 'Code Violations'!A:V, 22, FALSE), "N/A"))</f>
        <v/>
      </c>
      <c r="L486">
        <f>IF(A486="","", IF(COUNTIF(E486:K486, "FAIL")&gt;0, "FAIL", "PASS"))</f>
        <v/>
      </c>
    </row>
    <row r="487">
      <c r="A487">
        <f>IF('Equipment Information'!A487="","", 'Equipment Information'!A487)</f>
        <v/>
      </c>
      <c r="B487">
        <f>IF('Equipment Information'!B487="","", 'Equipment Information'!B487)</f>
        <v/>
      </c>
      <c r="C487">
        <f>IF('Equipment Information'!C487="","", 'Equipment Information'!C487)</f>
        <v/>
      </c>
      <c r="D487">
        <f>IF('Equipment Information'!D487="","", 'Equipment Information'!D487)</f>
        <v/>
      </c>
      <c r="E487">
        <f>IF(A487="","", IFERROR(VLOOKUP(A487, 'Energized Data'!A:T, 20, FALSE), "N/A"))</f>
        <v/>
      </c>
      <c r="F487">
        <f>IF(A487="","", IFERROR(VLOOKUP(A487, 'Insulation'!A:J, 9, FALSE), "N/A"))</f>
        <v/>
      </c>
      <c r="G487">
        <f>IF(A487="","", IFERROR(VLOOKUP(A487, 'DLRO'!A:I, 8, FALSE), "N/A"))</f>
        <v/>
      </c>
      <c r="H487">
        <f>IF(A487="","", IFERROR(VLOOKUP(A487, 'Torque'!A:I, 8, FALSE), "N/A"))</f>
        <v/>
      </c>
      <c r="I487">
        <f>IF(A487="","", IFERROR(VLOOKUP(A487, 'Infrared'!A:G, 6, FALSE), "N/A"))</f>
        <v/>
      </c>
      <c r="J487">
        <f>IF(A487="","", IFERROR(VLOOKUP(A487, 'Ultrasonic'!A:H, 7, FALSE), "N/A"))</f>
        <v/>
      </c>
      <c r="K487">
        <f>IF(A487="","", IFERROR(VLOOKUP(A487, 'Code Violations'!A:V, 22, FALSE), "N/A"))</f>
        <v/>
      </c>
      <c r="L487">
        <f>IF(A487="","", IF(COUNTIF(E487:K487, "FAIL")&gt;0, "FAIL", "PASS"))</f>
        <v/>
      </c>
    </row>
    <row r="488">
      <c r="A488">
        <f>IF('Equipment Information'!A488="","", 'Equipment Information'!A488)</f>
        <v/>
      </c>
      <c r="B488">
        <f>IF('Equipment Information'!B488="","", 'Equipment Information'!B488)</f>
        <v/>
      </c>
      <c r="C488">
        <f>IF('Equipment Information'!C488="","", 'Equipment Information'!C488)</f>
        <v/>
      </c>
      <c r="D488">
        <f>IF('Equipment Information'!D488="","", 'Equipment Information'!D488)</f>
        <v/>
      </c>
      <c r="E488">
        <f>IF(A488="","", IFERROR(VLOOKUP(A488, 'Energized Data'!A:T, 20, FALSE), "N/A"))</f>
        <v/>
      </c>
      <c r="F488">
        <f>IF(A488="","", IFERROR(VLOOKUP(A488, 'Insulation'!A:J, 9, FALSE), "N/A"))</f>
        <v/>
      </c>
      <c r="G488">
        <f>IF(A488="","", IFERROR(VLOOKUP(A488, 'DLRO'!A:I, 8, FALSE), "N/A"))</f>
        <v/>
      </c>
      <c r="H488">
        <f>IF(A488="","", IFERROR(VLOOKUP(A488, 'Torque'!A:I, 8, FALSE), "N/A"))</f>
        <v/>
      </c>
      <c r="I488">
        <f>IF(A488="","", IFERROR(VLOOKUP(A488, 'Infrared'!A:G, 6, FALSE), "N/A"))</f>
        <v/>
      </c>
      <c r="J488">
        <f>IF(A488="","", IFERROR(VLOOKUP(A488, 'Ultrasonic'!A:H, 7, FALSE), "N/A"))</f>
        <v/>
      </c>
      <c r="K488">
        <f>IF(A488="","", IFERROR(VLOOKUP(A488, 'Code Violations'!A:V, 22, FALSE), "N/A"))</f>
        <v/>
      </c>
      <c r="L488">
        <f>IF(A488="","", IF(COUNTIF(E488:K488, "FAIL")&gt;0, "FAIL", "PASS"))</f>
        <v/>
      </c>
    </row>
    <row r="489">
      <c r="A489">
        <f>IF('Equipment Information'!A489="","", 'Equipment Information'!A489)</f>
        <v/>
      </c>
      <c r="B489">
        <f>IF('Equipment Information'!B489="","", 'Equipment Information'!B489)</f>
        <v/>
      </c>
      <c r="C489">
        <f>IF('Equipment Information'!C489="","", 'Equipment Information'!C489)</f>
        <v/>
      </c>
      <c r="D489">
        <f>IF('Equipment Information'!D489="","", 'Equipment Information'!D489)</f>
        <v/>
      </c>
      <c r="E489">
        <f>IF(A489="","", IFERROR(VLOOKUP(A489, 'Energized Data'!A:T, 20, FALSE), "N/A"))</f>
        <v/>
      </c>
      <c r="F489">
        <f>IF(A489="","", IFERROR(VLOOKUP(A489, 'Insulation'!A:J, 9, FALSE), "N/A"))</f>
        <v/>
      </c>
      <c r="G489">
        <f>IF(A489="","", IFERROR(VLOOKUP(A489, 'DLRO'!A:I, 8, FALSE), "N/A"))</f>
        <v/>
      </c>
      <c r="H489">
        <f>IF(A489="","", IFERROR(VLOOKUP(A489, 'Torque'!A:I, 8, FALSE), "N/A"))</f>
        <v/>
      </c>
      <c r="I489">
        <f>IF(A489="","", IFERROR(VLOOKUP(A489, 'Infrared'!A:G, 6, FALSE), "N/A"))</f>
        <v/>
      </c>
      <c r="J489">
        <f>IF(A489="","", IFERROR(VLOOKUP(A489, 'Ultrasonic'!A:H, 7, FALSE), "N/A"))</f>
        <v/>
      </c>
      <c r="K489">
        <f>IF(A489="","", IFERROR(VLOOKUP(A489, 'Code Violations'!A:V, 22, FALSE), "N/A"))</f>
        <v/>
      </c>
      <c r="L489">
        <f>IF(A489="","", IF(COUNTIF(E489:K489, "FAIL")&gt;0, "FAIL", "PASS"))</f>
        <v/>
      </c>
    </row>
    <row r="490">
      <c r="A490">
        <f>IF('Equipment Information'!A490="","", 'Equipment Information'!A490)</f>
        <v/>
      </c>
      <c r="B490">
        <f>IF('Equipment Information'!B490="","", 'Equipment Information'!B490)</f>
        <v/>
      </c>
      <c r="C490">
        <f>IF('Equipment Information'!C490="","", 'Equipment Information'!C490)</f>
        <v/>
      </c>
      <c r="D490">
        <f>IF('Equipment Information'!D490="","", 'Equipment Information'!D490)</f>
        <v/>
      </c>
      <c r="E490">
        <f>IF(A490="","", IFERROR(VLOOKUP(A490, 'Energized Data'!A:T, 20, FALSE), "N/A"))</f>
        <v/>
      </c>
      <c r="F490">
        <f>IF(A490="","", IFERROR(VLOOKUP(A490, 'Insulation'!A:J, 9, FALSE), "N/A"))</f>
        <v/>
      </c>
      <c r="G490">
        <f>IF(A490="","", IFERROR(VLOOKUP(A490, 'DLRO'!A:I, 8, FALSE), "N/A"))</f>
        <v/>
      </c>
      <c r="H490">
        <f>IF(A490="","", IFERROR(VLOOKUP(A490, 'Torque'!A:I, 8, FALSE), "N/A"))</f>
        <v/>
      </c>
      <c r="I490">
        <f>IF(A490="","", IFERROR(VLOOKUP(A490, 'Infrared'!A:G, 6, FALSE), "N/A"))</f>
        <v/>
      </c>
      <c r="J490">
        <f>IF(A490="","", IFERROR(VLOOKUP(A490, 'Ultrasonic'!A:H, 7, FALSE), "N/A"))</f>
        <v/>
      </c>
      <c r="K490">
        <f>IF(A490="","", IFERROR(VLOOKUP(A490, 'Code Violations'!A:V, 22, FALSE), "N/A"))</f>
        <v/>
      </c>
      <c r="L490">
        <f>IF(A490="","", IF(COUNTIF(E490:K490, "FAIL")&gt;0, "FAIL", "PASS"))</f>
        <v/>
      </c>
    </row>
    <row r="491">
      <c r="A491">
        <f>IF('Equipment Information'!A491="","", 'Equipment Information'!A491)</f>
        <v/>
      </c>
      <c r="B491">
        <f>IF('Equipment Information'!B491="","", 'Equipment Information'!B491)</f>
        <v/>
      </c>
      <c r="C491">
        <f>IF('Equipment Information'!C491="","", 'Equipment Information'!C491)</f>
        <v/>
      </c>
      <c r="D491">
        <f>IF('Equipment Information'!D491="","", 'Equipment Information'!D491)</f>
        <v/>
      </c>
      <c r="E491">
        <f>IF(A491="","", IFERROR(VLOOKUP(A491, 'Energized Data'!A:T, 20, FALSE), "N/A"))</f>
        <v/>
      </c>
      <c r="F491">
        <f>IF(A491="","", IFERROR(VLOOKUP(A491, 'Insulation'!A:J, 9, FALSE), "N/A"))</f>
        <v/>
      </c>
      <c r="G491">
        <f>IF(A491="","", IFERROR(VLOOKUP(A491, 'DLRO'!A:I, 8, FALSE), "N/A"))</f>
        <v/>
      </c>
      <c r="H491">
        <f>IF(A491="","", IFERROR(VLOOKUP(A491, 'Torque'!A:I, 8, FALSE), "N/A"))</f>
        <v/>
      </c>
      <c r="I491">
        <f>IF(A491="","", IFERROR(VLOOKUP(A491, 'Infrared'!A:G, 6, FALSE), "N/A"))</f>
        <v/>
      </c>
      <c r="J491">
        <f>IF(A491="","", IFERROR(VLOOKUP(A491, 'Ultrasonic'!A:H, 7, FALSE), "N/A"))</f>
        <v/>
      </c>
      <c r="K491">
        <f>IF(A491="","", IFERROR(VLOOKUP(A491, 'Code Violations'!A:V, 22, FALSE), "N/A"))</f>
        <v/>
      </c>
      <c r="L491">
        <f>IF(A491="","", IF(COUNTIF(E491:K491, "FAIL")&gt;0, "FAIL", "PASS"))</f>
        <v/>
      </c>
    </row>
    <row r="492">
      <c r="A492">
        <f>IF('Equipment Information'!A492="","", 'Equipment Information'!A492)</f>
        <v/>
      </c>
      <c r="B492">
        <f>IF('Equipment Information'!B492="","", 'Equipment Information'!B492)</f>
        <v/>
      </c>
      <c r="C492">
        <f>IF('Equipment Information'!C492="","", 'Equipment Information'!C492)</f>
        <v/>
      </c>
      <c r="D492">
        <f>IF('Equipment Information'!D492="","", 'Equipment Information'!D492)</f>
        <v/>
      </c>
      <c r="E492">
        <f>IF(A492="","", IFERROR(VLOOKUP(A492, 'Energized Data'!A:T, 20, FALSE), "N/A"))</f>
        <v/>
      </c>
      <c r="F492">
        <f>IF(A492="","", IFERROR(VLOOKUP(A492, 'Insulation'!A:J, 9, FALSE), "N/A"))</f>
        <v/>
      </c>
      <c r="G492">
        <f>IF(A492="","", IFERROR(VLOOKUP(A492, 'DLRO'!A:I, 8, FALSE), "N/A"))</f>
        <v/>
      </c>
      <c r="H492">
        <f>IF(A492="","", IFERROR(VLOOKUP(A492, 'Torque'!A:I, 8, FALSE), "N/A"))</f>
        <v/>
      </c>
      <c r="I492">
        <f>IF(A492="","", IFERROR(VLOOKUP(A492, 'Infrared'!A:G, 6, FALSE), "N/A"))</f>
        <v/>
      </c>
      <c r="J492">
        <f>IF(A492="","", IFERROR(VLOOKUP(A492, 'Ultrasonic'!A:H, 7, FALSE), "N/A"))</f>
        <v/>
      </c>
      <c r="K492">
        <f>IF(A492="","", IFERROR(VLOOKUP(A492, 'Code Violations'!A:V, 22, FALSE), "N/A"))</f>
        <v/>
      </c>
      <c r="L492">
        <f>IF(A492="","", IF(COUNTIF(E492:K492, "FAIL")&gt;0, "FAIL", "PASS"))</f>
        <v/>
      </c>
    </row>
    <row r="493">
      <c r="A493">
        <f>IF('Equipment Information'!A493="","", 'Equipment Information'!A493)</f>
        <v/>
      </c>
      <c r="B493">
        <f>IF('Equipment Information'!B493="","", 'Equipment Information'!B493)</f>
        <v/>
      </c>
      <c r="C493">
        <f>IF('Equipment Information'!C493="","", 'Equipment Information'!C493)</f>
        <v/>
      </c>
      <c r="D493">
        <f>IF('Equipment Information'!D493="","", 'Equipment Information'!D493)</f>
        <v/>
      </c>
      <c r="E493">
        <f>IF(A493="","", IFERROR(VLOOKUP(A493, 'Energized Data'!A:T, 20, FALSE), "N/A"))</f>
        <v/>
      </c>
      <c r="F493">
        <f>IF(A493="","", IFERROR(VLOOKUP(A493, 'Insulation'!A:J, 9, FALSE), "N/A"))</f>
        <v/>
      </c>
      <c r="G493">
        <f>IF(A493="","", IFERROR(VLOOKUP(A493, 'DLRO'!A:I, 8, FALSE), "N/A"))</f>
        <v/>
      </c>
      <c r="H493">
        <f>IF(A493="","", IFERROR(VLOOKUP(A493, 'Torque'!A:I, 8, FALSE), "N/A"))</f>
        <v/>
      </c>
      <c r="I493">
        <f>IF(A493="","", IFERROR(VLOOKUP(A493, 'Infrared'!A:G, 6, FALSE), "N/A"))</f>
        <v/>
      </c>
      <c r="J493">
        <f>IF(A493="","", IFERROR(VLOOKUP(A493, 'Ultrasonic'!A:H, 7, FALSE), "N/A"))</f>
        <v/>
      </c>
      <c r="K493">
        <f>IF(A493="","", IFERROR(VLOOKUP(A493, 'Code Violations'!A:V, 22, FALSE), "N/A"))</f>
        <v/>
      </c>
      <c r="L493">
        <f>IF(A493="","", IF(COUNTIF(E493:K493, "FAIL")&gt;0, "FAIL", "PASS"))</f>
        <v/>
      </c>
    </row>
    <row r="494">
      <c r="A494">
        <f>IF('Equipment Information'!A494="","", 'Equipment Information'!A494)</f>
        <v/>
      </c>
      <c r="B494">
        <f>IF('Equipment Information'!B494="","", 'Equipment Information'!B494)</f>
        <v/>
      </c>
      <c r="C494">
        <f>IF('Equipment Information'!C494="","", 'Equipment Information'!C494)</f>
        <v/>
      </c>
      <c r="D494">
        <f>IF('Equipment Information'!D494="","", 'Equipment Information'!D494)</f>
        <v/>
      </c>
      <c r="E494">
        <f>IF(A494="","", IFERROR(VLOOKUP(A494, 'Energized Data'!A:T, 20, FALSE), "N/A"))</f>
        <v/>
      </c>
      <c r="F494">
        <f>IF(A494="","", IFERROR(VLOOKUP(A494, 'Insulation'!A:J, 9, FALSE), "N/A"))</f>
        <v/>
      </c>
      <c r="G494">
        <f>IF(A494="","", IFERROR(VLOOKUP(A494, 'DLRO'!A:I, 8, FALSE), "N/A"))</f>
        <v/>
      </c>
      <c r="H494">
        <f>IF(A494="","", IFERROR(VLOOKUP(A494, 'Torque'!A:I, 8, FALSE), "N/A"))</f>
        <v/>
      </c>
      <c r="I494">
        <f>IF(A494="","", IFERROR(VLOOKUP(A494, 'Infrared'!A:G, 6, FALSE), "N/A"))</f>
        <v/>
      </c>
      <c r="J494">
        <f>IF(A494="","", IFERROR(VLOOKUP(A494, 'Ultrasonic'!A:H, 7, FALSE), "N/A"))</f>
        <v/>
      </c>
      <c r="K494">
        <f>IF(A494="","", IFERROR(VLOOKUP(A494, 'Code Violations'!A:V, 22, FALSE), "N/A"))</f>
        <v/>
      </c>
      <c r="L494">
        <f>IF(A494="","", IF(COUNTIF(E494:K494, "FAIL")&gt;0, "FAIL", "PASS"))</f>
        <v/>
      </c>
    </row>
    <row r="495">
      <c r="A495">
        <f>IF('Equipment Information'!A495="","", 'Equipment Information'!A495)</f>
        <v/>
      </c>
      <c r="B495">
        <f>IF('Equipment Information'!B495="","", 'Equipment Information'!B495)</f>
        <v/>
      </c>
      <c r="C495">
        <f>IF('Equipment Information'!C495="","", 'Equipment Information'!C495)</f>
        <v/>
      </c>
      <c r="D495">
        <f>IF('Equipment Information'!D495="","", 'Equipment Information'!D495)</f>
        <v/>
      </c>
      <c r="E495">
        <f>IF(A495="","", IFERROR(VLOOKUP(A495, 'Energized Data'!A:T, 20, FALSE), "N/A"))</f>
        <v/>
      </c>
      <c r="F495">
        <f>IF(A495="","", IFERROR(VLOOKUP(A495, 'Insulation'!A:J, 9, FALSE), "N/A"))</f>
        <v/>
      </c>
      <c r="G495">
        <f>IF(A495="","", IFERROR(VLOOKUP(A495, 'DLRO'!A:I, 8, FALSE), "N/A"))</f>
        <v/>
      </c>
      <c r="H495">
        <f>IF(A495="","", IFERROR(VLOOKUP(A495, 'Torque'!A:I, 8, FALSE), "N/A"))</f>
        <v/>
      </c>
      <c r="I495">
        <f>IF(A495="","", IFERROR(VLOOKUP(A495, 'Infrared'!A:G, 6, FALSE), "N/A"))</f>
        <v/>
      </c>
      <c r="J495">
        <f>IF(A495="","", IFERROR(VLOOKUP(A495, 'Ultrasonic'!A:H, 7, FALSE), "N/A"))</f>
        <v/>
      </c>
      <c r="K495">
        <f>IF(A495="","", IFERROR(VLOOKUP(A495, 'Code Violations'!A:V, 22, FALSE), "N/A"))</f>
        <v/>
      </c>
      <c r="L495">
        <f>IF(A495="","", IF(COUNTIF(E495:K495, "FAIL")&gt;0, "FAIL", "PASS"))</f>
        <v/>
      </c>
    </row>
    <row r="496">
      <c r="A496">
        <f>IF('Equipment Information'!A496="","", 'Equipment Information'!A496)</f>
        <v/>
      </c>
      <c r="B496">
        <f>IF('Equipment Information'!B496="","", 'Equipment Information'!B496)</f>
        <v/>
      </c>
      <c r="C496">
        <f>IF('Equipment Information'!C496="","", 'Equipment Information'!C496)</f>
        <v/>
      </c>
      <c r="D496">
        <f>IF('Equipment Information'!D496="","", 'Equipment Information'!D496)</f>
        <v/>
      </c>
      <c r="E496">
        <f>IF(A496="","", IFERROR(VLOOKUP(A496, 'Energized Data'!A:T, 20, FALSE), "N/A"))</f>
        <v/>
      </c>
      <c r="F496">
        <f>IF(A496="","", IFERROR(VLOOKUP(A496, 'Insulation'!A:J, 9, FALSE), "N/A"))</f>
        <v/>
      </c>
      <c r="G496">
        <f>IF(A496="","", IFERROR(VLOOKUP(A496, 'DLRO'!A:I, 8, FALSE), "N/A"))</f>
        <v/>
      </c>
      <c r="H496">
        <f>IF(A496="","", IFERROR(VLOOKUP(A496, 'Torque'!A:I, 8, FALSE), "N/A"))</f>
        <v/>
      </c>
      <c r="I496">
        <f>IF(A496="","", IFERROR(VLOOKUP(A496, 'Infrared'!A:G, 6, FALSE), "N/A"))</f>
        <v/>
      </c>
      <c r="J496">
        <f>IF(A496="","", IFERROR(VLOOKUP(A496, 'Ultrasonic'!A:H, 7, FALSE), "N/A"))</f>
        <v/>
      </c>
      <c r="K496">
        <f>IF(A496="","", IFERROR(VLOOKUP(A496, 'Code Violations'!A:V, 22, FALSE), "N/A"))</f>
        <v/>
      </c>
      <c r="L496">
        <f>IF(A496="","", IF(COUNTIF(E496:K496, "FAIL")&gt;0, "FAIL", "PASS"))</f>
        <v/>
      </c>
    </row>
    <row r="497">
      <c r="A497">
        <f>IF('Equipment Information'!A497="","", 'Equipment Information'!A497)</f>
        <v/>
      </c>
      <c r="B497">
        <f>IF('Equipment Information'!B497="","", 'Equipment Information'!B497)</f>
        <v/>
      </c>
      <c r="C497">
        <f>IF('Equipment Information'!C497="","", 'Equipment Information'!C497)</f>
        <v/>
      </c>
      <c r="D497">
        <f>IF('Equipment Information'!D497="","", 'Equipment Information'!D497)</f>
        <v/>
      </c>
      <c r="E497">
        <f>IF(A497="","", IFERROR(VLOOKUP(A497, 'Energized Data'!A:T, 20, FALSE), "N/A"))</f>
        <v/>
      </c>
      <c r="F497">
        <f>IF(A497="","", IFERROR(VLOOKUP(A497, 'Insulation'!A:J, 9, FALSE), "N/A"))</f>
        <v/>
      </c>
      <c r="G497">
        <f>IF(A497="","", IFERROR(VLOOKUP(A497, 'DLRO'!A:I, 8, FALSE), "N/A"))</f>
        <v/>
      </c>
      <c r="H497">
        <f>IF(A497="","", IFERROR(VLOOKUP(A497, 'Torque'!A:I, 8, FALSE), "N/A"))</f>
        <v/>
      </c>
      <c r="I497">
        <f>IF(A497="","", IFERROR(VLOOKUP(A497, 'Infrared'!A:G, 6, FALSE), "N/A"))</f>
        <v/>
      </c>
      <c r="J497">
        <f>IF(A497="","", IFERROR(VLOOKUP(A497, 'Ultrasonic'!A:H, 7, FALSE), "N/A"))</f>
        <v/>
      </c>
      <c r="K497">
        <f>IF(A497="","", IFERROR(VLOOKUP(A497, 'Code Violations'!A:V, 22, FALSE), "N/A"))</f>
        <v/>
      </c>
      <c r="L497">
        <f>IF(A497="","", IF(COUNTIF(E497:K497, "FAIL")&gt;0, "FAIL", "PASS"))</f>
        <v/>
      </c>
    </row>
    <row r="498">
      <c r="A498">
        <f>IF('Equipment Information'!A498="","", 'Equipment Information'!A498)</f>
        <v/>
      </c>
      <c r="B498">
        <f>IF('Equipment Information'!B498="","", 'Equipment Information'!B498)</f>
        <v/>
      </c>
      <c r="C498">
        <f>IF('Equipment Information'!C498="","", 'Equipment Information'!C498)</f>
        <v/>
      </c>
      <c r="D498">
        <f>IF('Equipment Information'!D498="","", 'Equipment Information'!D498)</f>
        <v/>
      </c>
      <c r="E498">
        <f>IF(A498="","", IFERROR(VLOOKUP(A498, 'Energized Data'!A:T, 20, FALSE), "N/A"))</f>
        <v/>
      </c>
      <c r="F498">
        <f>IF(A498="","", IFERROR(VLOOKUP(A498, 'Insulation'!A:J, 9, FALSE), "N/A"))</f>
        <v/>
      </c>
      <c r="G498">
        <f>IF(A498="","", IFERROR(VLOOKUP(A498, 'DLRO'!A:I, 8, FALSE), "N/A"))</f>
        <v/>
      </c>
      <c r="H498">
        <f>IF(A498="","", IFERROR(VLOOKUP(A498, 'Torque'!A:I, 8, FALSE), "N/A"))</f>
        <v/>
      </c>
      <c r="I498">
        <f>IF(A498="","", IFERROR(VLOOKUP(A498, 'Infrared'!A:G, 6, FALSE), "N/A"))</f>
        <v/>
      </c>
      <c r="J498">
        <f>IF(A498="","", IFERROR(VLOOKUP(A498, 'Ultrasonic'!A:H, 7, FALSE), "N/A"))</f>
        <v/>
      </c>
      <c r="K498">
        <f>IF(A498="","", IFERROR(VLOOKUP(A498, 'Code Violations'!A:V, 22, FALSE), "N/A"))</f>
        <v/>
      </c>
      <c r="L498">
        <f>IF(A498="","", IF(COUNTIF(E498:K498, "FAIL")&gt;0, "FAIL", "PASS"))</f>
        <v/>
      </c>
    </row>
    <row r="499">
      <c r="A499">
        <f>IF('Equipment Information'!A499="","", 'Equipment Information'!A499)</f>
        <v/>
      </c>
      <c r="B499">
        <f>IF('Equipment Information'!B499="","", 'Equipment Information'!B499)</f>
        <v/>
      </c>
      <c r="C499">
        <f>IF('Equipment Information'!C499="","", 'Equipment Information'!C499)</f>
        <v/>
      </c>
      <c r="D499">
        <f>IF('Equipment Information'!D499="","", 'Equipment Information'!D499)</f>
        <v/>
      </c>
      <c r="E499">
        <f>IF(A499="","", IFERROR(VLOOKUP(A499, 'Energized Data'!A:T, 20, FALSE), "N/A"))</f>
        <v/>
      </c>
      <c r="F499">
        <f>IF(A499="","", IFERROR(VLOOKUP(A499, 'Insulation'!A:J, 9, FALSE), "N/A"))</f>
        <v/>
      </c>
      <c r="G499">
        <f>IF(A499="","", IFERROR(VLOOKUP(A499, 'DLRO'!A:I, 8, FALSE), "N/A"))</f>
        <v/>
      </c>
      <c r="H499">
        <f>IF(A499="","", IFERROR(VLOOKUP(A499, 'Torque'!A:I, 8, FALSE), "N/A"))</f>
        <v/>
      </c>
      <c r="I499">
        <f>IF(A499="","", IFERROR(VLOOKUP(A499, 'Infrared'!A:G, 6, FALSE), "N/A"))</f>
        <v/>
      </c>
      <c r="J499">
        <f>IF(A499="","", IFERROR(VLOOKUP(A499, 'Ultrasonic'!A:H, 7, FALSE), "N/A"))</f>
        <v/>
      </c>
      <c r="K499">
        <f>IF(A499="","", IFERROR(VLOOKUP(A499, 'Code Violations'!A:V, 22, FALSE), "N/A"))</f>
        <v/>
      </c>
      <c r="L499">
        <f>IF(A499="","", IF(COUNTIF(E499:K499, "FAIL")&gt;0, "FAIL", "PASS"))</f>
        <v/>
      </c>
    </row>
  </sheetData>
  <conditionalFormatting sqref="E2:L500">
    <cfRule type="expression" priority="1" dxfId="0" stopIfTrue="1">
      <formula>E2="FAIL"</formula>
    </cfRule>
  </conditionalFormatting>
  <conditionalFormatting sqref="E2:E500">
    <cfRule type="expression" priority="2" dxfId="2" stopIfTrue="1">
      <formula>E2="Imbalance"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35" customWidth="1" min="7" max="7"/>
    <col width="20" customWidth="1" min="8" max="8"/>
    <col width="20" customWidth="1" min="9" max="9"/>
    <col width="35" customWidth="1" min="10" max="10"/>
    <col width="20" customWidth="1" min="11" max="11"/>
    <col width="20" customWidth="1" min="12" max="12"/>
    <col width="35" customWidth="1" min="13" max="13"/>
    <col width="20" customWidth="1" min="14" max="14"/>
    <col width="20" customWidth="1" min="15" max="15"/>
    <col width="35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Loc</t>
        </is>
      </c>
      <c r="D1" s="1" t="inlineStr">
        <is>
          <t>Violation 1</t>
        </is>
      </c>
      <c r="E1" s="1" t="inlineStr">
        <is>
          <t>Sev 1</t>
        </is>
      </c>
      <c r="F1" s="1" t="inlineStr">
        <is>
          <t>Corr 1?</t>
        </is>
      </c>
      <c r="G1" s="1" t="inlineStr">
        <is>
          <t>Violation 2</t>
        </is>
      </c>
      <c r="H1" s="1" t="inlineStr">
        <is>
          <t>Sev 2</t>
        </is>
      </c>
      <c r="I1" s="1" t="inlineStr">
        <is>
          <t>Corr 2?</t>
        </is>
      </c>
      <c r="J1" s="1" t="inlineStr">
        <is>
          <t>Violation 3</t>
        </is>
      </c>
      <c r="K1" s="1" t="inlineStr">
        <is>
          <t>Sev 3</t>
        </is>
      </c>
      <c r="L1" s="1" t="inlineStr">
        <is>
          <t>Corr 3?</t>
        </is>
      </c>
      <c r="M1" s="1" t="inlineStr">
        <is>
          <t>Violation 4</t>
        </is>
      </c>
      <c r="N1" s="1" t="inlineStr">
        <is>
          <t>Sev 4</t>
        </is>
      </c>
      <c r="O1" s="1" t="inlineStr">
        <is>
          <t>Corr 4?</t>
        </is>
      </c>
      <c r="P1" s="1" t="inlineStr">
        <is>
          <t>Violation 5</t>
        </is>
      </c>
      <c r="Q1" s="1" t="inlineStr">
        <is>
          <t>Sev 5</t>
        </is>
      </c>
      <c r="R1" s="1" t="inlineStr">
        <is>
          <t>Corr 5?</t>
        </is>
      </c>
      <c r="S1" s="1" t="inlineStr">
        <is>
          <t>Notes</t>
        </is>
      </c>
      <c r="T1" s="1" t="inlineStr">
        <is>
          <t>Net Points</t>
        </is>
      </c>
      <c r="U1" s="1" t="inlineStr">
        <is>
          <t>Status</t>
        </is>
      </c>
      <c r="V1" s="1" t="inlineStr">
        <is>
          <t>Result</t>
        </is>
      </c>
    </row>
    <row r="2">
      <c r="A2">
        <f>IF('Equipment Information'!A2="","", 'Equipment Information'!A2)</f>
        <v/>
      </c>
      <c r="B2">
        <f>IF('Equipment Information'!B2="","", 'Equipment Information'!B2)</f>
        <v/>
      </c>
      <c r="C2">
        <f>IF('Equipment Information'!C2="","", 'Equipment Information'!C2)</f>
        <v/>
      </c>
      <c r="E2">
        <f>IF(D2="","", IFERROR(VLOOKUP(D2, 'Hidden_Data'!M:N, 2, FALSE), "0"))</f>
        <v/>
      </c>
      <c r="H2">
        <f>IF(G2="","", IFERROR(VLOOKUP(G2, 'Hidden_Data'!M:N, 2, FALSE), "0"))</f>
        <v/>
      </c>
      <c r="K2">
        <f>IF(J2="","", IFERROR(VLOOKUP(J2, 'Hidden_Data'!M:N, 2, FALSE), "0"))</f>
        <v/>
      </c>
      <c r="N2">
        <f>IF(M2="","", IFERROR(VLOOKUP(M2, 'Hidden_Data'!M:N, 2, FALSE), "0"))</f>
        <v/>
      </c>
      <c r="Q2">
        <f>IF(P2="","", IFERROR(VLOOKUP(P2, 'Hidden_Data'!M:N, 2, FALSE), "0"))</f>
        <v/>
      </c>
      <c r="T2">
        <f>IF(A2="","", SUM(IF(F2="Yes", 0, IF(E2="", 0, IFERROR(VALUE(MID(E2, SEARCH("(",E2)+1, 1)),0))), IF(I2="Yes", 0, IF(H2="", 0, IFERROR(VALUE(MID(H2, SEARCH("(",H2)+1, 1)),0))), IF(L2="Yes", 0, IF(K2="", 0, IFERROR(VALUE(MID(K2, SEARCH("(",K2)+1, 1)),0))), IF(O2="Yes", 0, IF(N2="", 0, IFERROR(VALUE(MID(N2, SEARCH("(",N2)+1, 1)),0))), IF(R2="Yes", 0, IF(Q2="", 0, IFERROR(VALUE(MID(Q2, SEARCH("(",Q2)+1, 1)),0)))))</f>
        <v/>
      </c>
      <c r="U2">
        <f>IF(A2="","", IF(T2&gt;=5, "Priority 1 (Critical)", IF(T2&gt;=3, "Priority 2 (Major)", IF(T2&gt;=1, "Priority 3 (Minor)", "Pass/Fixed"))))</f>
        <v/>
      </c>
      <c r="V2">
        <f>IF(A2="","", IF(T2&gt;0, "FAIL", "PASS"))</f>
        <v/>
      </c>
    </row>
    <row r="3">
      <c r="A3">
        <f>IF('Equipment Information'!A3="","", 'Equipment Information'!A3)</f>
        <v/>
      </c>
      <c r="B3">
        <f>IF('Equipment Information'!B3="","", 'Equipment Information'!B3)</f>
        <v/>
      </c>
      <c r="C3">
        <f>IF('Equipment Information'!C3="","", 'Equipment Information'!C3)</f>
        <v/>
      </c>
      <c r="E3">
        <f>IF(D3="","", IFERROR(VLOOKUP(D3, 'Hidden_Data'!M:N, 2, FALSE), "0"))</f>
        <v/>
      </c>
      <c r="H3">
        <f>IF(G3="","", IFERROR(VLOOKUP(G3, 'Hidden_Data'!M:N, 2, FALSE), "0"))</f>
        <v/>
      </c>
      <c r="K3">
        <f>IF(J3="","", IFERROR(VLOOKUP(J3, 'Hidden_Data'!M:N, 2, FALSE), "0"))</f>
        <v/>
      </c>
      <c r="N3">
        <f>IF(M3="","", IFERROR(VLOOKUP(M3, 'Hidden_Data'!M:N, 2, FALSE), "0"))</f>
        <v/>
      </c>
      <c r="Q3">
        <f>IF(P3="","", IFERROR(VLOOKUP(P3, 'Hidden_Data'!M:N, 2, FALSE), "0"))</f>
        <v/>
      </c>
      <c r="T3">
        <f>IF(A3="","", SUM(IF(F3="Yes", 0, IF(E3="", 0, IFERROR(VALUE(MID(E3, SEARCH("(",E3)+1, 1)),0))), IF(I3="Yes", 0, IF(H3="", 0, IFERROR(VALUE(MID(H3, SEARCH("(",H3)+1, 1)),0))), IF(L3="Yes", 0, IF(K3="", 0, IFERROR(VALUE(MID(K3, SEARCH("(",K3)+1, 1)),0))), IF(O3="Yes", 0, IF(N3="", 0, IFERROR(VALUE(MID(N3, SEARCH("(",N3)+1, 1)),0))), IF(R3="Yes", 0, IF(Q3="", 0, IFERROR(VALUE(MID(Q3, SEARCH("(",Q3)+1, 1)),0)))))</f>
        <v/>
      </c>
      <c r="U3">
        <f>IF(A3="","", IF(T3&gt;=5, "Priority 1 (Critical)", IF(T3&gt;=3, "Priority 2 (Major)", IF(T3&gt;=1, "Priority 3 (Minor)", "Pass/Fixed"))))</f>
        <v/>
      </c>
      <c r="V3">
        <f>IF(A3="","", IF(T3&gt;0, "FAIL", "PASS"))</f>
        <v/>
      </c>
    </row>
    <row r="4">
      <c r="A4">
        <f>IF('Equipment Information'!A4="","", 'Equipment Information'!A4)</f>
        <v/>
      </c>
      <c r="B4">
        <f>IF('Equipment Information'!B4="","", 'Equipment Information'!B4)</f>
        <v/>
      </c>
      <c r="C4">
        <f>IF('Equipment Information'!C4="","", 'Equipment Information'!C4)</f>
        <v/>
      </c>
      <c r="E4">
        <f>IF(D4="","", IFERROR(VLOOKUP(D4, 'Hidden_Data'!M:N, 2, FALSE), "0"))</f>
        <v/>
      </c>
      <c r="H4">
        <f>IF(G4="","", IFERROR(VLOOKUP(G4, 'Hidden_Data'!M:N, 2, FALSE), "0"))</f>
        <v/>
      </c>
      <c r="K4">
        <f>IF(J4="","", IFERROR(VLOOKUP(J4, 'Hidden_Data'!M:N, 2, FALSE), "0"))</f>
        <v/>
      </c>
      <c r="N4">
        <f>IF(M4="","", IFERROR(VLOOKUP(M4, 'Hidden_Data'!M:N, 2, FALSE), "0"))</f>
        <v/>
      </c>
      <c r="Q4">
        <f>IF(P4="","", IFERROR(VLOOKUP(P4, 'Hidden_Data'!M:N, 2, FALSE), "0"))</f>
        <v/>
      </c>
      <c r="T4">
        <f>IF(A4="","", SUM(IF(F4="Yes", 0, IF(E4="", 0, IFERROR(VALUE(MID(E4, SEARCH("(",E4)+1, 1)),0))), IF(I4="Yes", 0, IF(H4="", 0, IFERROR(VALUE(MID(H4, SEARCH("(",H4)+1, 1)),0))), IF(L4="Yes", 0, IF(K4="", 0, IFERROR(VALUE(MID(K4, SEARCH("(",K4)+1, 1)),0))), IF(O4="Yes", 0, IF(N4="", 0, IFERROR(VALUE(MID(N4, SEARCH("(",N4)+1, 1)),0))), IF(R4="Yes", 0, IF(Q4="", 0, IFERROR(VALUE(MID(Q4, SEARCH("(",Q4)+1, 1)),0)))))</f>
        <v/>
      </c>
      <c r="U4">
        <f>IF(A4="","", IF(T4&gt;=5, "Priority 1 (Critical)", IF(T4&gt;=3, "Priority 2 (Major)", IF(T4&gt;=1, "Priority 3 (Minor)", "Pass/Fixed"))))</f>
        <v/>
      </c>
      <c r="V4">
        <f>IF(A4="","", IF(T4&gt;0, "FAIL", "PASS"))</f>
        <v/>
      </c>
    </row>
    <row r="5">
      <c r="A5">
        <f>IF('Equipment Information'!A5="","", 'Equipment Information'!A5)</f>
        <v/>
      </c>
      <c r="B5">
        <f>IF('Equipment Information'!B5="","", 'Equipment Information'!B5)</f>
        <v/>
      </c>
      <c r="C5">
        <f>IF('Equipment Information'!C5="","", 'Equipment Information'!C5)</f>
        <v/>
      </c>
      <c r="E5">
        <f>IF(D5="","", IFERROR(VLOOKUP(D5, 'Hidden_Data'!M:N, 2, FALSE), "0"))</f>
        <v/>
      </c>
      <c r="H5">
        <f>IF(G5="","", IFERROR(VLOOKUP(G5, 'Hidden_Data'!M:N, 2, FALSE), "0"))</f>
        <v/>
      </c>
      <c r="K5">
        <f>IF(J5="","", IFERROR(VLOOKUP(J5, 'Hidden_Data'!M:N, 2, FALSE), "0"))</f>
        <v/>
      </c>
      <c r="N5">
        <f>IF(M5="","", IFERROR(VLOOKUP(M5, 'Hidden_Data'!M:N, 2, FALSE), "0"))</f>
        <v/>
      </c>
      <c r="Q5">
        <f>IF(P5="","", IFERROR(VLOOKUP(P5, 'Hidden_Data'!M:N, 2, FALSE), "0"))</f>
        <v/>
      </c>
      <c r="T5">
        <f>IF(A5="","", SUM(IF(F5="Yes", 0, IF(E5="", 0, IFERROR(VALUE(MID(E5, SEARCH("(",E5)+1, 1)),0))), IF(I5="Yes", 0, IF(H5="", 0, IFERROR(VALUE(MID(H5, SEARCH("(",H5)+1, 1)),0))), IF(L5="Yes", 0, IF(K5="", 0, IFERROR(VALUE(MID(K5, SEARCH("(",K5)+1, 1)),0))), IF(O5="Yes", 0, IF(N5="", 0, IFERROR(VALUE(MID(N5, SEARCH("(",N5)+1, 1)),0))), IF(R5="Yes", 0, IF(Q5="", 0, IFERROR(VALUE(MID(Q5, SEARCH("(",Q5)+1, 1)),0)))))</f>
        <v/>
      </c>
      <c r="U5">
        <f>IF(A5="","", IF(T5&gt;=5, "Priority 1 (Critical)", IF(T5&gt;=3, "Priority 2 (Major)", IF(T5&gt;=1, "Priority 3 (Minor)", "Pass/Fixed"))))</f>
        <v/>
      </c>
      <c r="V5">
        <f>IF(A5="","", IF(T5&gt;0, "FAIL", "PASS"))</f>
        <v/>
      </c>
    </row>
    <row r="6">
      <c r="A6">
        <f>IF('Equipment Information'!A6="","", 'Equipment Information'!A6)</f>
        <v/>
      </c>
      <c r="B6">
        <f>IF('Equipment Information'!B6="","", 'Equipment Information'!B6)</f>
        <v/>
      </c>
      <c r="C6">
        <f>IF('Equipment Information'!C6="","", 'Equipment Information'!C6)</f>
        <v/>
      </c>
      <c r="E6">
        <f>IF(D6="","", IFERROR(VLOOKUP(D6, 'Hidden_Data'!M:N, 2, FALSE), "0"))</f>
        <v/>
      </c>
      <c r="H6">
        <f>IF(G6="","", IFERROR(VLOOKUP(G6, 'Hidden_Data'!M:N, 2, FALSE), "0"))</f>
        <v/>
      </c>
      <c r="K6">
        <f>IF(J6="","", IFERROR(VLOOKUP(J6, 'Hidden_Data'!M:N, 2, FALSE), "0"))</f>
        <v/>
      </c>
      <c r="N6">
        <f>IF(M6="","", IFERROR(VLOOKUP(M6, 'Hidden_Data'!M:N, 2, FALSE), "0"))</f>
        <v/>
      </c>
      <c r="Q6">
        <f>IF(P6="","", IFERROR(VLOOKUP(P6, 'Hidden_Data'!M:N, 2, FALSE), "0"))</f>
        <v/>
      </c>
      <c r="T6">
        <f>IF(A6="","", SUM(IF(F6="Yes", 0, IF(E6="", 0, IFERROR(VALUE(MID(E6, SEARCH("(",E6)+1, 1)),0))), IF(I6="Yes", 0, IF(H6="", 0, IFERROR(VALUE(MID(H6, SEARCH("(",H6)+1, 1)),0))), IF(L6="Yes", 0, IF(K6="", 0, IFERROR(VALUE(MID(K6, SEARCH("(",K6)+1, 1)),0))), IF(O6="Yes", 0, IF(N6="", 0, IFERROR(VALUE(MID(N6, SEARCH("(",N6)+1, 1)),0))), IF(R6="Yes", 0, IF(Q6="", 0, IFERROR(VALUE(MID(Q6, SEARCH("(",Q6)+1, 1)),0)))))</f>
        <v/>
      </c>
      <c r="U6">
        <f>IF(A6="","", IF(T6&gt;=5, "Priority 1 (Critical)", IF(T6&gt;=3, "Priority 2 (Major)", IF(T6&gt;=1, "Priority 3 (Minor)", "Pass/Fixed"))))</f>
        <v/>
      </c>
      <c r="V6">
        <f>IF(A6="","", IF(T6&gt;0, "FAIL", "PASS"))</f>
        <v/>
      </c>
    </row>
    <row r="7">
      <c r="A7">
        <f>IF('Equipment Information'!A7="","", 'Equipment Information'!A7)</f>
        <v/>
      </c>
      <c r="B7">
        <f>IF('Equipment Information'!B7="","", 'Equipment Information'!B7)</f>
        <v/>
      </c>
      <c r="C7">
        <f>IF('Equipment Information'!C7="","", 'Equipment Information'!C7)</f>
        <v/>
      </c>
      <c r="E7">
        <f>IF(D7="","", IFERROR(VLOOKUP(D7, 'Hidden_Data'!M:N, 2, FALSE), "0"))</f>
        <v/>
      </c>
      <c r="H7">
        <f>IF(G7="","", IFERROR(VLOOKUP(G7, 'Hidden_Data'!M:N, 2, FALSE), "0"))</f>
        <v/>
      </c>
      <c r="K7">
        <f>IF(J7="","", IFERROR(VLOOKUP(J7, 'Hidden_Data'!M:N, 2, FALSE), "0"))</f>
        <v/>
      </c>
      <c r="N7">
        <f>IF(M7="","", IFERROR(VLOOKUP(M7, 'Hidden_Data'!M:N, 2, FALSE), "0"))</f>
        <v/>
      </c>
      <c r="Q7">
        <f>IF(P7="","", IFERROR(VLOOKUP(P7, 'Hidden_Data'!M:N, 2, FALSE), "0"))</f>
        <v/>
      </c>
      <c r="T7">
        <f>IF(A7="","", SUM(IF(F7="Yes", 0, IF(E7="", 0, IFERROR(VALUE(MID(E7, SEARCH("(",E7)+1, 1)),0))), IF(I7="Yes", 0, IF(H7="", 0, IFERROR(VALUE(MID(H7, SEARCH("(",H7)+1, 1)),0))), IF(L7="Yes", 0, IF(K7="", 0, IFERROR(VALUE(MID(K7, SEARCH("(",K7)+1, 1)),0))), IF(O7="Yes", 0, IF(N7="", 0, IFERROR(VALUE(MID(N7, SEARCH("(",N7)+1, 1)),0))), IF(R7="Yes", 0, IF(Q7="", 0, IFERROR(VALUE(MID(Q7, SEARCH("(",Q7)+1, 1)),0)))))</f>
        <v/>
      </c>
      <c r="U7">
        <f>IF(A7="","", IF(T7&gt;=5, "Priority 1 (Critical)", IF(T7&gt;=3, "Priority 2 (Major)", IF(T7&gt;=1, "Priority 3 (Minor)", "Pass/Fixed"))))</f>
        <v/>
      </c>
      <c r="V7">
        <f>IF(A7="","", IF(T7&gt;0, "FAIL", "PASS"))</f>
        <v/>
      </c>
    </row>
    <row r="8">
      <c r="A8">
        <f>IF('Equipment Information'!A8="","", 'Equipment Information'!A8)</f>
        <v/>
      </c>
      <c r="B8">
        <f>IF('Equipment Information'!B8="","", 'Equipment Information'!B8)</f>
        <v/>
      </c>
      <c r="C8">
        <f>IF('Equipment Information'!C8="","", 'Equipment Information'!C8)</f>
        <v/>
      </c>
      <c r="E8">
        <f>IF(D8="","", IFERROR(VLOOKUP(D8, 'Hidden_Data'!M:N, 2, FALSE), "0"))</f>
        <v/>
      </c>
      <c r="H8">
        <f>IF(G8="","", IFERROR(VLOOKUP(G8, 'Hidden_Data'!M:N, 2, FALSE), "0"))</f>
        <v/>
      </c>
      <c r="K8">
        <f>IF(J8="","", IFERROR(VLOOKUP(J8, 'Hidden_Data'!M:N, 2, FALSE), "0"))</f>
        <v/>
      </c>
      <c r="N8">
        <f>IF(M8="","", IFERROR(VLOOKUP(M8, 'Hidden_Data'!M:N, 2, FALSE), "0"))</f>
        <v/>
      </c>
      <c r="Q8">
        <f>IF(P8="","", IFERROR(VLOOKUP(P8, 'Hidden_Data'!M:N, 2, FALSE), "0"))</f>
        <v/>
      </c>
      <c r="T8">
        <f>IF(A8="","", SUM(IF(F8="Yes", 0, IF(E8="", 0, IFERROR(VALUE(MID(E8, SEARCH("(",E8)+1, 1)),0))), IF(I8="Yes", 0, IF(H8="", 0, IFERROR(VALUE(MID(H8, SEARCH("(",H8)+1, 1)),0))), IF(L8="Yes", 0, IF(K8="", 0, IFERROR(VALUE(MID(K8, SEARCH("(",K8)+1, 1)),0))), IF(O8="Yes", 0, IF(N8="", 0, IFERROR(VALUE(MID(N8, SEARCH("(",N8)+1, 1)),0))), IF(R8="Yes", 0, IF(Q8="", 0, IFERROR(VALUE(MID(Q8, SEARCH("(",Q8)+1, 1)),0)))))</f>
        <v/>
      </c>
      <c r="U8">
        <f>IF(A8="","", IF(T8&gt;=5, "Priority 1 (Critical)", IF(T8&gt;=3, "Priority 2 (Major)", IF(T8&gt;=1, "Priority 3 (Minor)", "Pass/Fixed"))))</f>
        <v/>
      </c>
      <c r="V8">
        <f>IF(A8="","", IF(T8&gt;0, "FAIL", "PASS"))</f>
        <v/>
      </c>
    </row>
    <row r="9">
      <c r="A9">
        <f>IF('Equipment Information'!A9="","", 'Equipment Information'!A9)</f>
        <v/>
      </c>
      <c r="B9">
        <f>IF('Equipment Information'!B9="","", 'Equipment Information'!B9)</f>
        <v/>
      </c>
      <c r="C9">
        <f>IF('Equipment Information'!C9="","", 'Equipment Information'!C9)</f>
        <v/>
      </c>
      <c r="E9">
        <f>IF(D9="","", IFERROR(VLOOKUP(D9, 'Hidden_Data'!M:N, 2, FALSE), "0"))</f>
        <v/>
      </c>
      <c r="H9">
        <f>IF(G9="","", IFERROR(VLOOKUP(G9, 'Hidden_Data'!M:N, 2, FALSE), "0"))</f>
        <v/>
      </c>
      <c r="K9">
        <f>IF(J9="","", IFERROR(VLOOKUP(J9, 'Hidden_Data'!M:N, 2, FALSE), "0"))</f>
        <v/>
      </c>
      <c r="N9">
        <f>IF(M9="","", IFERROR(VLOOKUP(M9, 'Hidden_Data'!M:N, 2, FALSE), "0"))</f>
        <v/>
      </c>
      <c r="Q9">
        <f>IF(P9="","", IFERROR(VLOOKUP(P9, 'Hidden_Data'!M:N, 2, FALSE), "0"))</f>
        <v/>
      </c>
      <c r="T9">
        <f>IF(A9="","", SUM(IF(F9="Yes", 0, IF(E9="", 0, IFERROR(VALUE(MID(E9, SEARCH("(",E9)+1, 1)),0))), IF(I9="Yes", 0, IF(H9="", 0, IFERROR(VALUE(MID(H9, SEARCH("(",H9)+1, 1)),0))), IF(L9="Yes", 0, IF(K9="", 0, IFERROR(VALUE(MID(K9, SEARCH("(",K9)+1, 1)),0))), IF(O9="Yes", 0, IF(N9="", 0, IFERROR(VALUE(MID(N9, SEARCH("(",N9)+1, 1)),0))), IF(R9="Yes", 0, IF(Q9="", 0, IFERROR(VALUE(MID(Q9, SEARCH("(",Q9)+1, 1)),0)))))</f>
        <v/>
      </c>
      <c r="U9">
        <f>IF(A9="","", IF(T9&gt;=5, "Priority 1 (Critical)", IF(T9&gt;=3, "Priority 2 (Major)", IF(T9&gt;=1, "Priority 3 (Minor)", "Pass/Fixed"))))</f>
        <v/>
      </c>
      <c r="V9">
        <f>IF(A9="","", IF(T9&gt;0, "FAIL", "PASS"))</f>
        <v/>
      </c>
    </row>
    <row r="10">
      <c r="A10">
        <f>IF('Equipment Information'!A10="","", 'Equipment Information'!A10)</f>
        <v/>
      </c>
      <c r="B10">
        <f>IF('Equipment Information'!B10="","", 'Equipment Information'!B10)</f>
        <v/>
      </c>
      <c r="C10">
        <f>IF('Equipment Information'!C10="","", 'Equipment Information'!C10)</f>
        <v/>
      </c>
      <c r="E10">
        <f>IF(D10="","", IFERROR(VLOOKUP(D10, 'Hidden_Data'!M:N, 2, FALSE), "0"))</f>
        <v/>
      </c>
      <c r="H10">
        <f>IF(G10="","", IFERROR(VLOOKUP(G10, 'Hidden_Data'!M:N, 2, FALSE), "0"))</f>
        <v/>
      </c>
      <c r="K10">
        <f>IF(J10="","", IFERROR(VLOOKUP(J10, 'Hidden_Data'!M:N, 2, FALSE), "0"))</f>
        <v/>
      </c>
      <c r="N10">
        <f>IF(M10="","", IFERROR(VLOOKUP(M10, 'Hidden_Data'!M:N, 2, FALSE), "0"))</f>
        <v/>
      </c>
      <c r="Q10">
        <f>IF(P10="","", IFERROR(VLOOKUP(P10, 'Hidden_Data'!M:N, 2, FALSE), "0"))</f>
        <v/>
      </c>
      <c r="T10">
        <f>IF(A10="","", SUM(IF(F10="Yes", 0, IF(E10="", 0, IFERROR(VALUE(MID(E10, SEARCH("(",E10)+1, 1)),0))), IF(I10="Yes", 0, IF(H10="", 0, IFERROR(VALUE(MID(H10, SEARCH("(",H10)+1, 1)),0))), IF(L10="Yes", 0, IF(K10="", 0, IFERROR(VALUE(MID(K10, SEARCH("(",K10)+1, 1)),0))), IF(O10="Yes", 0, IF(N10="", 0, IFERROR(VALUE(MID(N10, SEARCH("(",N10)+1, 1)),0))), IF(R10="Yes", 0, IF(Q10="", 0, IFERROR(VALUE(MID(Q10, SEARCH("(",Q10)+1, 1)),0)))))</f>
        <v/>
      </c>
      <c r="U10">
        <f>IF(A10="","", IF(T10&gt;=5, "Priority 1 (Critical)", IF(T10&gt;=3, "Priority 2 (Major)", IF(T10&gt;=1, "Priority 3 (Minor)", "Pass/Fixed"))))</f>
        <v/>
      </c>
      <c r="V10">
        <f>IF(A10="","", IF(T10&gt;0, "FAIL", "PASS"))</f>
        <v/>
      </c>
    </row>
    <row r="11">
      <c r="A11">
        <f>IF('Equipment Information'!A11="","", 'Equipment Information'!A11)</f>
        <v/>
      </c>
      <c r="B11">
        <f>IF('Equipment Information'!B11="","", 'Equipment Information'!B11)</f>
        <v/>
      </c>
      <c r="C11">
        <f>IF('Equipment Information'!C11="","", 'Equipment Information'!C11)</f>
        <v/>
      </c>
      <c r="E11">
        <f>IF(D11="","", IFERROR(VLOOKUP(D11, 'Hidden_Data'!M:N, 2, FALSE), "0"))</f>
        <v/>
      </c>
      <c r="H11">
        <f>IF(G11="","", IFERROR(VLOOKUP(G11, 'Hidden_Data'!M:N, 2, FALSE), "0"))</f>
        <v/>
      </c>
      <c r="K11">
        <f>IF(J11="","", IFERROR(VLOOKUP(J11, 'Hidden_Data'!M:N, 2, FALSE), "0"))</f>
        <v/>
      </c>
      <c r="N11">
        <f>IF(M11="","", IFERROR(VLOOKUP(M11, 'Hidden_Data'!M:N, 2, FALSE), "0"))</f>
        <v/>
      </c>
      <c r="Q11">
        <f>IF(P11="","", IFERROR(VLOOKUP(P11, 'Hidden_Data'!M:N, 2, FALSE), "0"))</f>
        <v/>
      </c>
      <c r="T11">
        <f>IF(A11="","", SUM(IF(F11="Yes", 0, IF(E11="", 0, IFERROR(VALUE(MID(E11, SEARCH("(",E11)+1, 1)),0))), IF(I11="Yes", 0, IF(H11="", 0, IFERROR(VALUE(MID(H11, SEARCH("(",H11)+1, 1)),0))), IF(L11="Yes", 0, IF(K11="", 0, IFERROR(VALUE(MID(K11, SEARCH("(",K11)+1, 1)),0))), IF(O11="Yes", 0, IF(N11="", 0, IFERROR(VALUE(MID(N11, SEARCH("(",N11)+1, 1)),0))), IF(R11="Yes", 0, IF(Q11="", 0, IFERROR(VALUE(MID(Q11, SEARCH("(",Q11)+1, 1)),0)))))</f>
        <v/>
      </c>
      <c r="U11">
        <f>IF(A11="","", IF(T11&gt;=5, "Priority 1 (Critical)", IF(T11&gt;=3, "Priority 2 (Major)", IF(T11&gt;=1, "Priority 3 (Minor)", "Pass/Fixed"))))</f>
        <v/>
      </c>
      <c r="V11">
        <f>IF(A11="","", IF(T11&gt;0, "FAIL", "PASS"))</f>
        <v/>
      </c>
    </row>
    <row r="12">
      <c r="A12">
        <f>IF('Equipment Information'!A12="","", 'Equipment Information'!A12)</f>
        <v/>
      </c>
      <c r="B12">
        <f>IF('Equipment Information'!B12="","", 'Equipment Information'!B12)</f>
        <v/>
      </c>
      <c r="C12">
        <f>IF('Equipment Information'!C12="","", 'Equipment Information'!C12)</f>
        <v/>
      </c>
      <c r="E12">
        <f>IF(D12="","", IFERROR(VLOOKUP(D12, 'Hidden_Data'!M:N, 2, FALSE), "0"))</f>
        <v/>
      </c>
      <c r="H12">
        <f>IF(G12="","", IFERROR(VLOOKUP(G12, 'Hidden_Data'!M:N, 2, FALSE), "0"))</f>
        <v/>
      </c>
      <c r="K12">
        <f>IF(J12="","", IFERROR(VLOOKUP(J12, 'Hidden_Data'!M:N, 2, FALSE), "0"))</f>
        <v/>
      </c>
      <c r="N12">
        <f>IF(M12="","", IFERROR(VLOOKUP(M12, 'Hidden_Data'!M:N, 2, FALSE), "0"))</f>
        <v/>
      </c>
      <c r="Q12">
        <f>IF(P12="","", IFERROR(VLOOKUP(P12, 'Hidden_Data'!M:N, 2, FALSE), "0"))</f>
        <v/>
      </c>
      <c r="T12">
        <f>IF(A12="","", SUM(IF(F12="Yes", 0, IF(E12="", 0, IFERROR(VALUE(MID(E12, SEARCH("(",E12)+1, 1)),0))), IF(I12="Yes", 0, IF(H12="", 0, IFERROR(VALUE(MID(H12, SEARCH("(",H12)+1, 1)),0))), IF(L12="Yes", 0, IF(K12="", 0, IFERROR(VALUE(MID(K12, SEARCH("(",K12)+1, 1)),0))), IF(O12="Yes", 0, IF(N12="", 0, IFERROR(VALUE(MID(N12, SEARCH("(",N12)+1, 1)),0))), IF(R12="Yes", 0, IF(Q12="", 0, IFERROR(VALUE(MID(Q12, SEARCH("(",Q12)+1, 1)),0)))))</f>
        <v/>
      </c>
      <c r="U12">
        <f>IF(A12="","", IF(T12&gt;=5, "Priority 1 (Critical)", IF(T12&gt;=3, "Priority 2 (Major)", IF(T12&gt;=1, "Priority 3 (Minor)", "Pass/Fixed"))))</f>
        <v/>
      </c>
      <c r="V12">
        <f>IF(A12="","", IF(T12&gt;0, "FAIL", "PASS"))</f>
        <v/>
      </c>
    </row>
    <row r="13">
      <c r="A13">
        <f>IF('Equipment Information'!A13="","", 'Equipment Information'!A13)</f>
        <v/>
      </c>
      <c r="B13">
        <f>IF('Equipment Information'!B13="","", 'Equipment Information'!B13)</f>
        <v/>
      </c>
      <c r="C13">
        <f>IF('Equipment Information'!C13="","", 'Equipment Information'!C13)</f>
        <v/>
      </c>
      <c r="E13">
        <f>IF(D13="","", IFERROR(VLOOKUP(D13, 'Hidden_Data'!M:N, 2, FALSE), "0"))</f>
        <v/>
      </c>
      <c r="H13">
        <f>IF(G13="","", IFERROR(VLOOKUP(G13, 'Hidden_Data'!M:N, 2, FALSE), "0"))</f>
        <v/>
      </c>
      <c r="K13">
        <f>IF(J13="","", IFERROR(VLOOKUP(J13, 'Hidden_Data'!M:N, 2, FALSE), "0"))</f>
        <v/>
      </c>
      <c r="N13">
        <f>IF(M13="","", IFERROR(VLOOKUP(M13, 'Hidden_Data'!M:N, 2, FALSE), "0"))</f>
        <v/>
      </c>
      <c r="Q13">
        <f>IF(P13="","", IFERROR(VLOOKUP(P13, 'Hidden_Data'!M:N, 2, FALSE), "0"))</f>
        <v/>
      </c>
      <c r="T13">
        <f>IF(A13="","", SUM(IF(F13="Yes", 0, IF(E13="", 0, IFERROR(VALUE(MID(E13, SEARCH("(",E13)+1, 1)),0))), IF(I13="Yes", 0, IF(H13="", 0, IFERROR(VALUE(MID(H13, SEARCH("(",H13)+1, 1)),0))), IF(L13="Yes", 0, IF(K13="", 0, IFERROR(VALUE(MID(K13, SEARCH("(",K13)+1, 1)),0))), IF(O13="Yes", 0, IF(N13="", 0, IFERROR(VALUE(MID(N13, SEARCH("(",N13)+1, 1)),0))), IF(R13="Yes", 0, IF(Q13="", 0, IFERROR(VALUE(MID(Q13, SEARCH("(",Q13)+1, 1)),0)))))</f>
        <v/>
      </c>
      <c r="U13">
        <f>IF(A13="","", IF(T13&gt;=5, "Priority 1 (Critical)", IF(T13&gt;=3, "Priority 2 (Major)", IF(T13&gt;=1, "Priority 3 (Minor)", "Pass/Fixed"))))</f>
        <v/>
      </c>
      <c r="V13">
        <f>IF(A13="","", IF(T13&gt;0, "FAIL", "PASS"))</f>
        <v/>
      </c>
    </row>
    <row r="14">
      <c r="A14">
        <f>IF('Equipment Information'!A14="","", 'Equipment Information'!A14)</f>
        <v/>
      </c>
      <c r="B14">
        <f>IF('Equipment Information'!B14="","", 'Equipment Information'!B14)</f>
        <v/>
      </c>
      <c r="C14">
        <f>IF('Equipment Information'!C14="","", 'Equipment Information'!C14)</f>
        <v/>
      </c>
      <c r="E14">
        <f>IF(D14="","", IFERROR(VLOOKUP(D14, 'Hidden_Data'!M:N, 2, FALSE), "0"))</f>
        <v/>
      </c>
      <c r="H14">
        <f>IF(G14="","", IFERROR(VLOOKUP(G14, 'Hidden_Data'!M:N, 2, FALSE), "0"))</f>
        <v/>
      </c>
      <c r="K14">
        <f>IF(J14="","", IFERROR(VLOOKUP(J14, 'Hidden_Data'!M:N, 2, FALSE), "0"))</f>
        <v/>
      </c>
      <c r="N14">
        <f>IF(M14="","", IFERROR(VLOOKUP(M14, 'Hidden_Data'!M:N, 2, FALSE), "0"))</f>
        <v/>
      </c>
      <c r="Q14">
        <f>IF(P14="","", IFERROR(VLOOKUP(P14, 'Hidden_Data'!M:N, 2, FALSE), "0"))</f>
        <v/>
      </c>
      <c r="T14">
        <f>IF(A14="","", SUM(IF(F14="Yes", 0, IF(E14="", 0, IFERROR(VALUE(MID(E14, SEARCH("(",E14)+1, 1)),0))), IF(I14="Yes", 0, IF(H14="", 0, IFERROR(VALUE(MID(H14, SEARCH("(",H14)+1, 1)),0))), IF(L14="Yes", 0, IF(K14="", 0, IFERROR(VALUE(MID(K14, SEARCH("(",K14)+1, 1)),0))), IF(O14="Yes", 0, IF(N14="", 0, IFERROR(VALUE(MID(N14, SEARCH("(",N14)+1, 1)),0))), IF(R14="Yes", 0, IF(Q14="", 0, IFERROR(VALUE(MID(Q14, SEARCH("(",Q14)+1, 1)),0)))))</f>
        <v/>
      </c>
      <c r="U14">
        <f>IF(A14="","", IF(T14&gt;=5, "Priority 1 (Critical)", IF(T14&gt;=3, "Priority 2 (Major)", IF(T14&gt;=1, "Priority 3 (Minor)", "Pass/Fixed"))))</f>
        <v/>
      </c>
      <c r="V14">
        <f>IF(A14="","", IF(T14&gt;0, "FAIL", "PASS"))</f>
        <v/>
      </c>
    </row>
    <row r="15">
      <c r="A15">
        <f>IF('Equipment Information'!A15="","", 'Equipment Information'!A15)</f>
        <v/>
      </c>
      <c r="B15">
        <f>IF('Equipment Information'!B15="","", 'Equipment Information'!B15)</f>
        <v/>
      </c>
      <c r="C15">
        <f>IF('Equipment Information'!C15="","", 'Equipment Information'!C15)</f>
        <v/>
      </c>
      <c r="E15">
        <f>IF(D15="","", IFERROR(VLOOKUP(D15, 'Hidden_Data'!M:N, 2, FALSE), "0"))</f>
        <v/>
      </c>
      <c r="H15">
        <f>IF(G15="","", IFERROR(VLOOKUP(G15, 'Hidden_Data'!M:N, 2, FALSE), "0"))</f>
        <v/>
      </c>
      <c r="K15">
        <f>IF(J15="","", IFERROR(VLOOKUP(J15, 'Hidden_Data'!M:N, 2, FALSE), "0"))</f>
        <v/>
      </c>
      <c r="N15">
        <f>IF(M15="","", IFERROR(VLOOKUP(M15, 'Hidden_Data'!M:N, 2, FALSE), "0"))</f>
        <v/>
      </c>
      <c r="Q15">
        <f>IF(P15="","", IFERROR(VLOOKUP(P15, 'Hidden_Data'!M:N, 2, FALSE), "0"))</f>
        <v/>
      </c>
      <c r="T15">
        <f>IF(A15="","", SUM(IF(F15="Yes", 0, IF(E15="", 0, IFERROR(VALUE(MID(E15, SEARCH("(",E15)+1, 1)),0))), IF(I15="Yes", 0, IF(H15="", 0, IFERROR(VALUE(MID(H15, SEARCH("(",H15)+1, 1)),0))), IF(L15="Yes", 0, IF(K15="", 0, IFERROR(VALUE(MID(K15, SEARCH("(",K15)+1, 1)),0))), IF(O15="Yes", 0, IF(N15="", 0, IFERROR(VALUE(MID(N15, SEARCH("(",N15)+1, 1)),0))), IF(R15="Yes", 0, IF(Q15="", 0, IFERROR(VALUE(MID(Q15, SEARCH("(",Q15)+1, 1)),0)))))</f>
        <v/>
      </c>
      <c r="U15">
        <f>IF(A15="","", IF(T15&gt;=5, "Priority 1 (Critical)", IF(T15&gt;=3, "Priority 2 (Major)", IF(T15&gt;=1, "Priority 3 (Minor)", "Pass/Fixed"))))</f>
        <v/>
      </c>
      <c r="V15">
        <f>IF(A15="","", IF(T15&gt;0, "FAIL", "PASS"))</f>
        <v/>
      </c>
    </row>
    <row r="16">
      <c r="A16">
        <f>IF('Equipment Information'!A16="","", 'Equipment Information'!A16)</f>
        <v/>
      </c>
      <c r="B16">
        <f>IF('Equipment Information'!B16="","", 'Equipment Information'!B16)</f>
        <v/>
      </c>
      <c r="C16">
        <f>IF('Equipment Information'!C16="","", 'Equipment Information'!C16)</f>
        <v/>
      </c>
      <c r="E16">
        <f>IF(D16="","", IFERROR(VLOOKUP(D16, 'Hidden_Data'!M:N, 2, FALSE), "0"))</f>
        <v/>
      </c>
      <c r="H16">
        <f>IF(G16="","", IFERROR(VLOOKUP(G16, 'Hidden_Data'!M:N, 2, FALSE), "0"))</f>
        <v/>
      </c>
      <c r="K16">
        <f>IF(J16="","", IFERROR(VLOOKUP(J16, 'Hidden_Data'!M:N, 2, FALSE), "0"))</f>
        <v/>
      </c>
      <c r="N16">
        <f>IF(M16="","", IFERROR(VLOOKUP(M16, 'Hidden_Data'!M:N, 2, FALSE), "0"))</f>
        <v/>
      </c>
      <c r="Q16">
        <f>IF(P16="","", IFERROR(VLOOKUP(P16, 'Hidden_Data'!M:N, 2, FALSE), "0"))</f>
        <v/>
      </c>
      <c r="T16">
        <f>IF(A16="","", SUM(IF(F16="Yes", 0, IF(E16="", 0, IFERROR(VALUE(MID(E16, SEARCH("(",E16)+1, 1)),0))), IF(I16="Yes", 0, IF(H16="", 0, IFERROR(VALUE(MID(H16, SEARCH("(",H16)+1, 1)),0))), IF(L16="Yes", 0, IF(K16="", 0, IFERROR(VALUE(MID(K16, SEARCH("(",K16)+1, 1)),0))), IF(O16="Yes", 0, IF(N16="", 0, IFERROR(VALUE(MID(N16, SEARCH("(",N16)+1, 1)),0))), IF(R16="Yes", 0, IF(Q16="", 0, IFERROR(VALUE(MID(Q16, SEARCH("(",Q16)+1, 1)),0)))))</f>
        <v/>
      </c>
      <c r="U16">
        <f>IF(A16="","", IF(T16&gt;=5, "Priority 1 (Critical)", IF(T16&gt;=3, "Priority 2 (Major)", IF(T16&gt;=1, "Priority 3 (Minor)", "Pass/Fixed"))))</f>
        <v/>
      </c>
      <c r="V16">
        <f>IF(A16="","", IF(T16&gt;0, "FAIL", "PASS"))</f>
        <v/>
      </c>
    </row>
    <row r="17">
      <c r="A17">
        <f>IF('Equipment Information'!A17="","", 'Equipment Information'!A17)</f>
        <v/>
      </c>
      <c r="B17">
        <f>IF('Equipment Information'!B17="","", 'Equipment Information'!B17)</f>
        <v/>
      </c>
      <c r="C17">
        <f>IF('Equipment Information'!C17="","", 'Equipment Information'!C17)</f>
        <v/>
      </c>
      <c r="E17">
        <f>IF(D17="","", IFERROR(VLOOKUP(D17, 'Hidden_Data'!M:N, 2, FALSE), "0"))</f>
        <v/>
      </c>
      <c r="H17">
        <f>IF(G17="","", IFERROR(VLOOKUP(G17, 'Hidden_Data'!M:N, 2, FALSE), "0"))</f>
        <v/>
      </c>
      <c r="K17">
        <f>IF(J17="","", IFERROR(VLOOKUP(J17, 'Hidden_Data'!M:N, 2, FALSE), "0"))</f>
        <v/>
      </c>
      <c r="N17">
        <f>IF(M17="","", IFERROR(VLOOKUP(M17, 'Hidden_Data'!M:N, 2, FALSE), "0"))</f>
        <v/>
      </c>
      <c r="Q17">
        <f>IF(P17="","", IFERROR(VLOOKUP(P17, 'Hidden_Data'!M:N, 2, FALSE), "0"))</f>
        <v/>
      </c>
      <c r="T17">
        <f>IF(A17="","", SUM(IF(F17="Yes", 0, IF(E17="", 0, IFERROR(VALUE(MID(E17, SEARCH("(",E17)+1, 1)),0))), IF(I17="Yes", 0, IF(H17="", 0, IFERROR(VALUE(MID(H17, SEARCH("(",H17)+1, 1)),0))), IF(L17="Yes", 0, IF(K17="", 0, IFERROR(VALUE(MID(K17, SEARCH("(",K17)+1, 1)),0))), IF(O17="Yes", 0, IF(N17="", 0, IFERROR(VALUE(MID(N17, SEARCH("(",N17)+1, 1)),0))), IF(R17="Yes", 0, IF(Q17="", 0, IFERROR(VALUE(MID(Q17, SEARCH("(",Q17)+1, 1)),0)))))</f>
        <v/>
      </c>
      <c r="U17">
        <f>IF(A17="","", IF(T17&gt;=5, "Priority 1 (Critical)", IF(T17&gt;=3, "Priority 2 (Major)", IF(T17&gt;=1, "Priority 3 (Minor)", "Pass/Fixed"))))</f>
        <v/>
      </c>
      <c r="V17">
        <f>IF(A17="","", IF(T17&gt;0, "FAIL", "PASS"))</f>
        <v/>
      </c>
    </row>
    <row r="18">
      <c r="A18">
        <f>IF('Equipment Information'!A18="","", 'Equipment Information'!A18)</f>
        <v/>
      </c>
      <c r="B18">
        <f>IF('Equipment Information'!B18="","", 'Equipment Information'!B18)</f>
        <v/>
      </c>
      <c r="C18">
        <f>IF('Equipment Information'!C18="","", 'Equipment Information'!C18)</f>
        <v/>
      </c>
      <c r="E18">
        <f>IF(D18="","", IFERROR(VLOOKUP(D18, 'Hidden_Data'!M:N, 2, FALSE), "0"))</f>
        <v/>
      </c>
      <c r="H18">
        <f>IF(G18="","", IFERROR(VLOOKUP(G18, 'Hidden_Data'!M:N, 2, FALSE), "0"))</f>
        <v/>
      </c>
      <c r="K18">
        <f>IF(J18="","", IFERROR(VLOOKUP(J18, 'Hidden_Data'!M:N, 2, FALSE), "0"))</f>
        <v/>
      </c>
      <c r="N18">
        <f>IF(M18="","", IFERROR(VLOOKUP(M18, 'Hidden_Data'!M:N, 2, FALSE), "0"))</f>
        <v/>
      </c>
      <c r="Q18">
        <f>IF(P18="","", IFERROR(VLOOKUP(P18, 'Hidden_Data'!M:N, 2, FALSE), "0"))</f>
        <v/>
      </c>
      <c r="T18">
        <f>IF(A18="","", SUM(IF(F18="Yes", 0, IF(E18="", 0, IFERROR(VALUE(MID(E18, SEARCH("(",E18)+1, 1)),0))), IF(I18="Yes", 0, IF(H18="", 0, IFERROR(VALUE(MID(H18, SEARCH("(",H18)+1, 1)),0))), IF(L18="Yes", 0, IF(K18="", 0, IFERROR(VALUE(MID(K18, SEARCH("(",K18)+1, 1)),0))), IF(O18="Yes", 0, IF(N18="", 0, IFERROR(VALUE(MID(N18, SEARCH("(",N18)+1, 1)),0))), IF(R18="Yes", 0, IF(Q18="", 0, IFERROR(VALUE(MID(Q18, SEARCH("(",Q18)+1, 1)),0)))))</f>
        <v/>
      </c>
      <c r="U18">
        <f>IF(A18="","", IF(T18&gt;=5, "Priority 1 (Critical)", IF(T18&gt;=3, "Priority 2 (Major)", IF(T18&gt;=1, "Priority 3 (Minor)", "Pass/Fixed"))))</f>
        <v/>
      </c>
      <c r="V18">
        <f>IF(A18="","", IF(T18&gt;0, "FAIL", "PASS"))</f>
        <v/>
      </c>
    </row>
    <row r="19">
      <c r="A19">
        <f>IF('Equipment Information'!A19="","", 'Equipment Information'!A19)</f>
        <v/>
      </c>
      <c r="B19">
        <f>IF('Equipment Information'!B19="","", 'Equipment Information'!B19)</f>
        <v/>
      </c>
      <c r="C19">
        <f>IF('Equipment Information'!C19="","", 'Equipment Information'!C19)</f>
        <v/>
      </c>
      <c r="E19">
        <f>IF(D19="","", IFERROR(VLOOKUP(D19, 'Hidden_Data'!M:N, 2, FALSE), "0"))</f>
        <v/>
      </c>
      <c r="H19">
        <f>IF(G19="","", IFERROR(VLOOKUP(G19, 'Hidden_Data'!M:N, 2, FALSE), "0"))</f>
        <v/>
      </c>
      <c r="K19">
        <f>IF(J19="","", IFERROR(VLOOKUP(J19, 'Hidden_Data'!M:N, 2, FALSE), "0"))</f>
        <v/>
      </c>
      <c r="N19">
        <f>IF(M19="","", IFERROR(VLOOKUP(M19, 'Hidden_Data'!M:N, 2, FALSE), "0"))</f>
        <v/>
      </c>
      <c r="Q19">
        <f>IF(P19="","", IFERROR(VLOOKUP(P19, 'Hidden_Data'!M:N, 2, FALSE), "0"))</f>
        <v/>
      </c>
      <c r="T19">
        <f>IF(A19="","", SUM(IF(F19="Yes", 0, IF(E19="", 0, IFERROR(VALUE(MID(E19, SEARCH("(",E19)+1, 1)),0))), IF(I19="Yes", 0, IF(H19="", 0, IFERROR(VALUE(MID(H19, SEARCH("(",H19)+1, 1)),0))), IF(L19="Yes", 0, IF(K19="", 0, IFERROR(VALUE(MID(K19, SEARCH("(",K19)+1, 1)),0))), IF(O19="Yes", 0, IF(N19="", 0, IFERROR(VALUE(MID(N19, SEARCH("(",N19)+1, 1)),0))), IF(R19="Yes", 0, IF(Q19="", 0, IFERROR(VALUE(MID(Q19, SEARCH("(",Q19)+1, 1)),0)))))</f>
        <v/>
      </c>
      <c r="U19">
        <f>IF(A19="","", IF(T19&gt;=5, "Priority 1 (Critical)", IF(T19&gt;=3, "Priority 2 (Major)", IF(T19&gt;=1, "Priority 3 (Minor)", "Pass/Fixed"))))</f>
        <v/>
      </c>
      <c r="V19">
        <f>IF(A19="","", IF(T19&gt;0, "FAIL", "PASS"))</f>
        <v/>
      </c>
    </row>
    <row r="20">
      <c r="A20">
        <f>IF('Equipment Information'!A20="","", 'Equipment Information'!A20)</f>
        <v/>
      </c>
      <c r="B20">
        <f>IF('Equipment Information'!B20="","", 'Equipment Information'!B20)</f>
        <v/>
      </c>
      <c r="C20">
        <f>IF('Equipment Information'!C20="","", 'Equipment Information'!C20)</f>
        <v/>
      </c>
      <c r="E20">
        <f>IF(D20="","", IFERROR(VLOOKUP(D20, 'Hidden_Data'!M:N, 2, FALSE), "0"))</f>
        <v/>
      </c>
      <c r="H20">
        <f>IF(G20="","", IFERROR(VLOOKUP(G20, 'Hidden_Data'!M:N, 2, FALSE), "0"))</f>
        <v/>
      </c>
      <c r="K20">
        <f>IF(J20="","", IFERROR(VLOOKUP(J20, 'Hidden_Data'!M:N, 2, FALSE), "0"))</f>
        <v/>
      </c>
      <c r="N20">
        <f>IF(M20="","", IFERROR(VLOOKUP(M20, 'Hidden_Data'!M:N, 2, FALSE), "0"))</f>
        <v/>
      </c>
      <c r="Q20">
        <f>IF(P20="","", IFERROR(VLOOKUP(P20, 'Hidden_Data'!M:N, 2, FALSE), "0"))</f>
        <v/>
      </c>
      <c r="T20">
        <f>IF(A20="","", SUM(IF(F20="Yes", 0, IF(E20="", 0, IFERROR(VALUE(MID(E20, SEARCH("(",E20)+1, 1)),0))), IF(I20="Yes", 0, IF(H20="", 0, IFERROR(VALUE(MID(H20, SEARCH("(",H20)+1, 1)),0))), IF(L20="Yes", 0, IF(K20="", 0, IFERROR(VALUE(MID(K20, SEARCH("(",K20)+1, 1)),0))), IF(O20="Yes", 0, IF(N20="", 0, IFERROR(VALUE(MID(N20, SEARCH("(",N20)+1, 1)),0))), IF(R20="Yes", 0, IF(Q20="", 0, IFERROR(VALUE(MID(Q20, SEARCH("(",Q20)+1, 1)),0)))))</f>
        <v/>
      </c>
      <c r="U20">
        <f>IF(A20="","", IF(T20&gt;=5, "Priority 1 (Critical)", IF(T20&gt;=3, "Priority 2 (Major)", IF(T20&gt;=1, "Priority 3 (Minor)", "Pass/Fixed"))))</f>
        <v/>
      </c>
      <c r="V20">
        <f>IF(A20="","", IF(T20&gt;0, "FAIL", "PASS"))</f>
        <v/>
      </c>
    </row>
    <row r="21">
      <c r="A21">
        <f>IF('Equipment Information'!A21="","", 'Equipment Information'!A21)</f>
        <v/>
      </c>
      <c r="B21">
        <f>IF('Equipment Information'!B21="","", 'Equipment Information'!B21)</f>
        <v/>
      </c>
      <c r="C21">
        <f>IF('Equipment Information'!C21="","", 'Equipment Information'!C21)</f>
        <v/>
      </c>
      <c r="E21">
        <f>IF(D21="","", IFERROR(VLOOKUP(D21, 'Hidden_Data'!M:N, 2, FALSE), "0"))</f>
        <v/>
      </c>
      <c r="H21">
        <f>IF(G21="","", IFERROR(VLOOKUP(G21, 'Hidden_Data'!M:N, 2, FALSE), "0"))</f>
        <v/>
      </c>
      <c r="K21">
        <f>IF(J21="","", IFERROR(VLOOKUP(J21, 'Hidden_Data'!M:N, 2, FALSE), "0"))</f>
        <v/>
      </c>
      <c r="N21">
        <f>IF(M21="","", IFERROR(VLOOKUP(M21, 'Hidden_Data'!M:N, 2, FALSE), "0"))</f>
        <v/>
      </c>
      <c r="Q21">
        <f>IF(P21="","", IFERROR(VLOOKUP(P21, 'Hidden_Data'!M:N, 2, FALSE), "0"))</f>
        <v/>
      </c>
      <c r="T21">
        <f>IF(A21="","", SUM(IF(F21="Yes", 0, IF(E21="", 0, IFERROR(VALUE(MID(E21, SEARCH("(",E21)+1, 1)),0))), IF(I21="Yes", 0, IF(H21="", 0, IFERROR(VALUE(MID(H21, SEARCH("(",H21)+1, 1)),0))), IF(L21="Yes", 0, IF(K21="", 0, IFERROR(VALUE(MID(K21, SEARCH("(",K21)+1, 1)),0))), IF(O21="Yes", 0, IF(N21="", 0, IFERROR(VALUE(MID(N21, SEARCH("(",N21)+1, 1)),0))), IF(R21="Yes", 0, IF(Q21="", 0, IFERROR(VALUE(MID(Q21, SEARCH("(",Q21)+1, 1)),0)))))</f>
        <v/>
      </c>
      <c r="U21">
        <f>IF(A21="","", IF(T21&gt;=5, "Priority 1 (Critical)", IF(T21&gt;=3, "Priority 2 (Major)", IF(T21&gt;=1, "Priority 3 (Minor)", "Pass/Fixed"))))</f>
        <v/>
      </c>
      <c r="V21">
        <f>IF(A21="","", IF(T21&gt;0, "FAIL", "PASS"))</f>
        <v/>
      </c>
    </row>
    <row r="22">
      <c r="A22">
        <f>IF('Equipment Information'!A22="","", 'Equipment Information'!A22)</f>
        <v/>
      </c>
      <c r="B22">
        <f>IF('Equipment Information'!B22="","", 'Equipment Information'!B22)</f>
        <v/>
      </c>
      <c r="C22">
        <f>IF('Equipment Information'!C22="","", 'Equipment Information'!C22)</f>
        <v/>
      </c>
      <c r="E22">
        <f>IF(D22="","", IFERROR(VLOOKUP(D22, 'Hidden_Data'!M:N, 2, FALSE), "0"))</f>
        <v/>
      </c>
      <c r="H22">
        <f>IF(G22="","", IFERROR(VLOOKUP(G22, 'Hidden_Data'!M:N, 2, FALSE), "0"))</f>
        <v/>
      </c>
      <c r="K22">
        <f>IF(J22="","", IFERROR(VLOOKUP(J22, 'Hidden_Data'!M:N, 2, FALSE), "0"))</f>
        <v/>
      </c>
      <c r="N22">
        <f>IF(M22="","", IFERROR(VLOOKUP(M22, 'Hidden_Data'!M:N, 2, FALSE), "0"))</f>
        <v/>
      </c>
      <c r="Q22">
        <f>IF(P22="","", IFERROR(VLOOKUP(P22, 'Hidden_Data'!M:N, 2, FALSE), "0"))</f>
        <v/>
      </c>
      <c r="T22">
        <f>IF(A22="","", SUM(IF(F22="Yes", 0, IF(E22="", 0, IFERROR(VALUE(MID(E22, SEARCH("(",E22)+1, 1)),0))), IF(I22="Yes", 0, IF(H22="", 0, IFERROR(VALUE(MID(H22, SEARCH("(",H22)+1, 1)),0))), IF(L22="Yes", 0, IF(K22="", 0, IFERROR(VALUE(MID(K22, SEARCH("(",K22)+1, 1)),0))), IF(O22="Yes", 0, IF(N22="", 0, IFERROR(VALUE(MID(N22, SEARCH("(",N22)+1, 1)),0))), IF(R22="Yes", 0, IF(Q22="", 0, IFERROR(VALUE(MID(Q22, SEARCH("(",Q22)+1, 1)),0)))))</f>
        <v/>
      </c>
      <c r="U22">
        <f>IF(A22="","", IF(T22&gt;=5, "Priority 1 (Critical)", IF(T22&gt;=3, "Priority 2 (Major)", IF(T22&gt;=1, "Priority 3 (Minor)", "Pass/Fixed"))))</f>
        <v/>
      </c>
      <c r="V22">
        <f>IF(A22="","", IF(T22&gt;0, "FAIL", "PASS"))</f>
        <v/>
      </c>
    </row>
    <row r="23">
      <c r="A23">
        <f>IF('Equipment Information'!A23="","", 'Equipment Information'!A23)</f>
        <v/>
      </c>
      <c r="B23">
        <f>IF('Equipment Information'!B23="","", 'Equipment Information'!B23)</f>
        <v/>
      </c>
      <c r="C23">
        <f>IF('Equipment Information'!C23="","", 'Equipment Information'!C23)</f>
        <v/>
      </c>
      <c r="E23">
        <f>IF(D23="","", IFERROR(VLOOKUP(D23, 'Hidden_Data'!M:N, 2, FALSE), "0"))</f>
        <v/>
      </c>
      <c r="H23">
        <f>IF(G23="","", IFERROR(VLOOKUP(G23, 'Hidden_Data'!M:N, 2, FALSE), "0"))</f>
        <v/>
      </c>
      <c r="K23">
        <f>IF(J23="","", IFERROR(VLOOKUP(J23, 'Hidden_Data'!M:N, 2, FALSE), "0"))</f>
        <v/>
      </c>
      <c r="N23">
        <f>IF(M23="","", IFERROR(VLOOKUP(M23, 'Hidden_Data'!M:N, 2, FALSE), "0"))</f>
        <v/>
      </c>
      <c r="Q23">
        <f>IF(P23="","", IFERROR(VLOOKUP(P23, 'Hidden_Data'!M:N, 2, FALSE), "0"))</f>
        <v/>
      </c>
      <c r="T23">
        <f>IF(A23="","", SUM(IF(F23="Yes", 0, IF(E23="", 0, IFERROR(VALUE(MID(E23, SEARCH("(",E23)+1, 1)),0))), IF(I23="Yes", 0, IF(H23="", 0, IFERROR(VALUE(MID(H23, SEARCH("(",H23)+1, 1)),0))), IF(L23="Yes", 0, IF(K23="", 0, IFERROR(VALUE(MID(K23, SEARCH("(",K23)+1, 1)),0))), IF(O23="Yes", 0, IF(N23="", 0, IFERROR(VALUE(MID(N23, SEARCH("(",N23)+1, 1)),0))), IF(R23="Yes", 0, IF(Q23="", 0, IFERROR(VALUE(MID(Q23, SEARCH("(",Q23)+1, 1)),0)))))</f>
        <v/>
      </c>
      <c r="U23">
        <f>IF(A23="","", IF(T23&gt;=5, "Priority 1 (Critical)", IF(T23&gt;=3, "Priority 2 (Major)", IF(T23&gt;=1, "Priority 3 (Minor)", "Pass/Fixed"))))</f>
        <v/>
      </c>
      <c r="V23">
        <f>IF(A23="","", IF(T23&gt;0, "FAIL", "PASS"))</f>
        <v/>
      </c>
    </row>
    <row r="24">
      <c r="A24">
        <f>IF('Equipment Information'!A24="","", 'Equipment Information'!A24)</f>
        <v/>
      </c>
      <c r="B24">
        <f>IF('Equipment Information'!B24="","", 'Equipment Information'!B24)</f>
        <v/>
      </c>
      <c r="C24">
        <f>IF('Equipment Information'!C24="","", 'Equipment Information'!C24)</f>
        <v/>
      </c>
      <c r="E24">
        <f>IF(D24="","", IFERROR(VLOOKUP(D24, 'Hidden_Data'!M:N, 2, FALSE), "0"))</f>
        <v/>
      </c>
      <c r="H24">
        <f>IF(G24="","", IFERROR(VLOOKUP(G24, 'Hidden_Data'!M:N, 2, FALSE), "0"))</f>
        <v/>
      </c>
      <c r="K24">
        <f>IF(J24="","", IFERROR(VLOOKUP(J24, 'Hidden_Data'!M:N, 2, FALSE), "0"))</f>
        <v/>
      </c>
      <c r="N24">
        <f>IF(M24="","", IFERROR(VLOOKUP(M24, 'Hidden_Data'!M:N, 2, FALSE), "0"))</f>
        <v/>
      </c>
      <c r="Q24">
        <f>IF(P24="","", IFERROR(VLOOKUP(P24, 'Hidden_Data'!M:N, 2, FALSE), "0"))</f>
        <v/>
      </c>
      <c r="T24">
        <f>IF(A24="","", SUM(IF(F24="Yes", 0, IF(E24="", 0, IFERROR(VALUE(MID(E24, SEARCH("(",E24)+1, 1)),0))), IF(I24="Yes", 0, IF(H24="", 0, IFERROR(VALUE(MID(H24, SEARCH("(",H24)+1, 1)),0))), IF(L24="Yes", 0, IF(K24="", 0, IFERROR(VALUE(MID(K24, SEARCH("(",K24)+1, 1)),0))), IF(O24="Yes", 0, IF(N24="", 0, IFERROR(VALUE(MID(N24, SEARCH("(",N24)+1, 1)),0))), IF(R24="Yes", 0, IF(Q24="", 0, IFERROR(VALUE(MID(Q24, SEARCH("(",Q24)+1, 1)),0)))))</f>
        <v/>
      </c>
      <c r="U24">
        <f>IF(A24="","", IF(T24&gt;=5, "Priority 1 (Critical)", IF(T24&gt;=3, "Priority 2 (Major)", IF(T24&gt;=1, "Priority 3 (Minor)", "Pass/Fixed"))))</f>
        <v/>
      </c>
      <c r="V24">
        <f>IF(A24="","", IF(T24&gt;0, "FAIL", "PASS"))</f>
        <v/>
      </c>
    </row>
    <row r="25">
      <c r="A25">
        <f>IF('Equipment Information'!A25="","", 'Equipment Information'!A25)</f>
        <v/>
      </c>
      <c r="B25">
        <f>IF('Equipment Information'!B25="","", 'Equipment Information'!B25)</f>
        <v/>
      </c>
      <c r="C25">
        <f>IF('Equipment Information'!C25="","", 'Equipment Information'!C25)</f>
        <v/>
      </c>
      <c r="E25">
        <f>IF(D25="","", IFERROR(VLOOKUP(D25, 'Hidden_Data'!M:N, 2, FALSE), "0"))</f>
        <v/>
      </c>
      <c r="H25">
        <f>IF(G25="","", IFERROR(VLOOKUP(G25, 'Hidden_Data'!M:N, 2, FALSE), "0"))</f>
        <v/>
      </c>
      <c r="K25">
        <f>IF(J25="","", IFERROR(VLOOKUP(J25, 'Hidden_Data'!M:N, 2, FALSE), "0"))</f>
        <v/>
      </c>
      <c r="N25">
        <f>IF(M25="","", IFERROR(VLOOKUP(M25, 'Hidden_Data'!M:N, 2, FALSE), "0"))</f>
        <v/>
      </c>
      <c r="Q25">
        <f>IF(P25="","", IFERROR(VLOOKUP(P25, 'Hidden_Data'!M:N, 2, FALSE), "0"))</f>
        <v/>
      </c>
      <c r="T25">
        <f>IF(A25="","", SUM(IF(F25="Yes", 0, IF(E25="", 0, IFERROR(VALUE(MID(E25, SEARCH("(",E25)+1, 1)),0))), IF(I25="Yes", 0, IF(H25="", 0, IFERROR(VALUE(MID(H25, SEARCH("(",H25)+1, 1)),0))), IF(L25="Yes", 0, IF(K25="", 0, IFERROR(VALUE(MID(K25, SEARCH("(",K25)+1, 1)),0))), IF(O25="Yes", 0, IF(N25="", 0, IFERROR(VALUE(MID(N25, SEARCH("(",N25)+1, 1)),0))), IF(R25="Yes", 0, IF(Q25="", 0, IFERROR(VALUE(MID(Q25, SEARCH("(",Q25)+1, 1)),0)))))</f>
        <v/>
      </c>
      <c r="U25">
        <f>IF(A25="","", IF(T25&gt;=5, "Priority 1 (Critical)", IF(T25&gt;=3, "Priority 2 (Major)", IF(T25&gt;=1, "Priority 3 (Minor)", "Pass/Fixed"))))</f>
        <v/>
      </c>
      <c r="V25">
        <f>IF(A25="","", IF(T25&gt;0, "FAIL", "PASS"))</f>
        <v/>
      </c>
    </row>
    <row r="26">
      <c r="A26">
        <f>IF('Equipment Information'!A26="","", 'Equipment Information'!A26)</f>
        <v/>
      </c>
      <c r="B26">
        <f>IF('Equipment Information'!B26="","", 'Equipment Information'!B26)</f>
        <v/>
      </c>
      <c r="C26">
        <f>IF('Equipment Information'!C26="","", 'Equipment Information'!C26)</f>
        <v/>
      </c>
      <c r="E26">
        <f>IF(D26="","", IFERROR(VLOOKUP(D26, 'Hidden_Data'!M:N, 2, FALSE), "0"))</f>
        <v/>
      </c>
      <c r="H26">
        <f>IF(G26="","", IFERROR(VLOOKUP(G26, 'Hidden_Data'!M:N, 2, FALSE), "0"))</f>
        <v/>
      </c>
      <c r="K26">
        <f>IF(J26="","", IFERROR(VLOOKUP(J26, 'Hidden_Data'!M:N, 2, FALSE), "0"))</f>
        <v/>
      </c>
      <c r="N26">
        <f>IF(M26="","", IFERROR(VLOOKUP(M26, 'Hidden_Data'!M:N, 2, FALSE), "0"))</f>
        <v/>
      </c>
      <c r="Q26">
        <f>IF(P26="","", IFERROR(VLOOKUP(P26, 'Hidden_Data'!M:N, 2, FALSE), "0"))</f>
        <v/>
      </c>
      <c r="T26">
        <f>IF(A26="","", SUM(IF(F26="Yes", 0, IF(E26="", 0, IFERROR(VALUE(MID(E26, SEARCH("(",E26)+1, 1)),0))), IF(I26="Yes", 0, IF(H26="", 0, IFERROR(VALUE(MID(H26, SEARCH("(",H26)+1, 1)),0))), IF(L26="Yes", 0, IF(K26="", 0, IFERROR(VALUE(MID(K26, SEARCH("(",K26)+1, 1)),0))), IF(O26="Yes", 0, IF(N26="", 0, IFERROR(VALUE(MID(N26, SEARCH("(",N26)+1, 1)),0))), IF(R26="Yes", 0, IF(Q26="", 0, IFERROR(VALUE(MID(Q26, SEARCH("(",Q26)+1, 1)),0)))))</f>
        <v/>
      </c>
      <c r="U26">
        <f>IF(A26="","", IF(T26&gt;=5, "Priority 1 (Critical)", IF(T26&gt;=3, "Priority 2 (Major)", IF(T26&gt;=1, "Priority 3 (Minor)", "Pass/Fixed"))))</f>
        <v/>
      </c>
      <c r="V26">
        <f>IF(A26="","", IF(T26&gt;0, "FAIL", "PASS"))</f>
        <v/>
      </c>
    </row>
    <row r="27">
      <c r="A27">
        <f>IF('Equipment Information'!A27="","", 'Equipment Information'!A27)</f>
        <v/>
      </c>
      <c r="B27">
        <f>IF('Equipment Information'!B27="","", 'Equipment Information'!B27)</f>
        <v/>
      </c>
      <c r="C27">
        <f>IF('Equipment Information'!C27="","", 'Equipment Information'!C27)</f>
        <v/>
      </c>
      <c r="E27">
        <f>IF(D27="","", IFERROR(VLOOKUP(D27, 'Hidden_Data'!M:N, 2, FALSE), "0"))</f>
        <v/>
      </c>
      <c r="H27">
        <f>IF(G27="","", IFERROR(VLOOKUP(G27, 'Hidden_Data'!M:N, 2, FALSE), "0"))</f>
        <v/>
      </c>
      <c r="K27">
        <f>IF(J27="","", IFERROR(VLOOKUP(J27, 'Hidden_Data'!M:N, 2, FALSE), "0"))</f>
        <v/>
      </c>
      <c r="N27">
        <f>IF(M27="","", IFERROR(VLOOKUP(M27, 'Hidden_Data'!M:N, 2, FALSE), "0"))</f>
        <v/>
      </c>
      <c r="Q27">
        <f>IF(P27="","", IFERROR(VLOOKUP(P27, 'Hidden_Data'!M:N, 2, FALSE), "0"))</f>
        <v/>
      </c>
      <c r="T27">
        <f>IF(A27="","", SUM(IF(F27="Yes", 0, IF(E27="", 0, IFERROR(VALUE(MID(E27, SEARCH("(",E27)+1, 1)),0))), IF(I27="Yes", 0, IF(H27="", 0, IFERROR(VALUE(MID(H27, SEARCH("(",H27)+1, 1)),0))), IF(L27="Yes", 0, IF(K27="", 0, IFERROR(VALUE(MID(K27, SEARCH("(",K27)+1, 1)),0))), IF(O27="Yes", 0, IF(N27="", 0, IFERROR(VALUE(MID(N27, SEARCH("(",N27)+1, 1)),0))), IF(R27="Yes", 0, IF(Q27="", 0, IFERROR(VALUE(MID(Q27, SEARCH("(",Q27)+1, 1)),0)))))</f>
        <v/>
      </c>
      <c r="U27">
        <f>IF(A27="","", IF(T27&gt;=5, "Priority 1 (Critical)", IF(T27&gt;=3, "Priority 2 (Major)", IF(T27&gt;=1, "Priority 3 (Minor)", "Pass/Fixed"))))</f>
        <v/>
      </c>
      <c r="V27">
        <f>IF(A27="","", IF(T27&gt;0, "FAIL", "PASS"))</f>
        <v/>
      </c>
    </row>
    <row r="28">
      <c r="A28">
        <f>IF('Equipment Information'!A28="","", 'Equipment Information'!A28)</f>
        <v/>
      </c>
      <c r="B28">
        <f>IF('Equipment Information'!B28="","", 'Equipment Information'!B28)</f>
        <v/>
      </c>
      <c r="C28">
        <f>IF('Equipment Information'!C28="","", 'Equipment Information'!C28)</f>
        <v/>
      </c>
      <c r="E28">
        <f>IF(D28="","", IFERROR(VLOOKUP(D28, 'Hidden_Data'!M:N, 2, FALSE), "0"))</f>
        <v/>
      </c>
      <c r="H28">
        <f>IF(G28="","", IFERROR(VLOOKUP(G28, 'Hidden_Data'!M:N, 2, FALSE), "0"))</f>
        <v/>
      </c>
      <c r="K28">
        <f>IF(J28="","", IFERROR(VLOOKUP(J28, 'Hidden_Data'!M:N, 2, FALSE), "0"))</f>
        <v/>
      </c>
      <c r="N28">
        <f>IF(M28="","", IFERROR(VLOOKUP(M28, 'Hidden_Data'!M:N, 2, FALSE), "0"))</f>
        <v/>
      </c>
      <c r="Q28">
        <f>IF(P28="","", IFERROR(VLOOKUP(P28, 'Hidden_Data'!M:N, 2, FALSE), "0"))</f>
        <v/>
      </c>
      <c r="T28">
        <f>IF(A28="","", SUM(IF(F28="Yes", 0, IF(E28="", 0, IFERROR(VALUE(MID(E28, SEARCH("(",E28)+1, 1)),0))), IF(I28="Yes", 0, IF(H28="", 0, IFERROR(VALUE(MID(H28, SEARCH("(",H28)+1, 1)),0))), IF(L28="Yes", 0, IF(K28="", 0, IFERROR(VALUE(MID(K28, SEARCH("(",K28)+1, 1)),0))), IF(O28="Yes", 0, IF(N28="", 0, IFERROR(VALUE(MID(N28, SEARCH("(",N28)+1, 1)),0))), IF(R28="Yes", 0, IF(Q28="", 0, IFERROR(VALUE(MID(Q28, SEARCH("(",Q28)+1, 1)),0)))))</f>
        <v/>
      </c>
      <c r="U28">
        <f>IF(A28="","", IF(T28&gt;=5, "Priority 1 (Critical)", IF(T28&gt;=3, "Priority 2 (Major)", IF(T28&gt;=1, "Priority 3 (Minor)", "Pass/Fixed"))))</f>
        <v/>
      </c>
      <c r="V28">
        <f>IF(A28="","", IF(T28&gt;0, "FAIL", "PASS"))</f>
        <v/>
      </c>
    </row>
    <row r="29">
      <c r="A29">
        <f>IF('Equipment Information'!A29="","", 'Equipment Information'!A29)</f>
        <v/>
      </c>
      <c r="B29">
        <f>IF('Equipment Information'!B29="","", 'Equipment Information'!B29)</f>
        <v/>
      </c>
      <c r="C29">
        <f>IF('Equipment Information'!C29="","", 'Equipment Information'!C29)</f>
        <v/>
      </c>
      <c r="E29">
        <f>IF(D29="","", IFERROR(VLOOKUP(D29, 'Hidden_Data'!M:N, 2, FALSE), "0"))</f>
        <v/>
      </c>
      <c r="H29">
        <f>IF(G29="","", IFERROR(VLOOKUP(G29, 'Hidden_Data'!M:N, 2, FALSE), "0"))</f>
        <v/>
      </c>
      <c r="K29">
        <f>IF(J29="","", IFERROR(VLOOKUP(J29, 'Hidden_Data'!M:N, 2, FALSE), "0"))</f>
        <v/>
      </c>
      <c r="N29">
        <f>IF(M29="","", IFERROR(VLOOKUP(M29, 'Hidden_Data'!M:N, 2, FALSE), "0"))</f>
        <v/>
      </c>
      <c r="Q29">
        <f>IF(P29="","", IFERROR(VLOOKUP(P29, 'Hidden_Data'!M:N, 2, FALSE), "0"))</f>
        <v/>
      </c>
      <c r="T29">
        <f>IF(A29="","", SUM(IF(F29="Yes", 0, IF(E29="", 0, IFERROR(VALUE(MID(E29, SEARCH("(",E29)+1, 1)),0))), IF(I29="Yes", 0, IF(H29="", 0, IFERROR(VALUE(MID(H29, SEARCH("(",H29)+1, 1)),0))), IF(L29="Yes", 0, IF(K29="", 0, IFERROR(VALUE(MID(K29, SEARCH("(",K29)+1, 1)),0))), IF(O29="Yes", 0, IF(N29="", 0, IFERROR(VALUE(MID(N29, SEARCH("(",N29)+1, 1)),0))), IF(R29="Yes", 0, IF(Q29="", 0, IFERROR(VALUE(MID(Q29, SEARCH("(",Q29)+1, 1)),0)))))</f>
        <v/>
      </c>
      <c r="U29">
        <f>IF(A29="","", IF(T29&gt;=5, "Priority 1 (Critical)", IF(T29&gt;=3, "Priority 2 (Major)", IF(T29&gt;=1, "Priority 3 (Minor)", "Pass/Fixed"))))</f>
        <v/>
      </c>
      <c r="V29">
        <f>IF(A29="","", IF(T29&gt;0, "FAIL", "PASS"))</f>
        <v/>
      </c>
    </row>
    <row r="30">
      <c r="A30">
        <f>IF('Equipment Information'!A30="","", 'Equipment Information'!A30)</f>
        <v/>
      </c>
      <c r="B30">
        <f>IF('Equipment Information'!B30="","", 'Equipment Information'!B30)</f>
        <v/>
      </c>
      <c r="C30">
        <f>IF('Equipment Information'!C30="","", 'Equipment Information'!C30)</f>
        <v/>
      </c>
      <c r="E30">
        <f>IF(D30="","", IFERROR(VLOOKUP(D30, 'Hidden_Data'!M:N, 2, FALSE), "0"))</f>
        <v/>
      </c>
      <c r="H30">
        <f>IF(G30="","", IFERROR(VLOOKUP(G30, 'Hidden_Data'!M:N, 2, FALSE), "0"))</f>
        <v/>
      </c>
      <c r="K30">
        <f>IF(J30="","", IFERROR(VLOOKUP(J30, 'Hidden_Data'!M:N, 2, FALSE), "0"))</f>
        <v/>
      </c>
      <c r="N30">
        <f>IF(M30="","", IFERROR(VLOOKUP(M30, 'Hidden_Data'!M:N, 2, FALSE), "0"))</f>
        <v/>
      </c>
      <c r="Q30">
        <f>IF(P30="","", IFERROR(VLOOKUP(P30, 'Hidden_Data'!M:N, 2, FALSE), "0"))</f>
        <v/>
      </c>
      <c r="T30">
        <f>IF(A30="","", SUM(IF(F30="Yes", 0, IF(E30="", 0, IFERROR(VALUE(MID(E30, SEARCH("(",E30)+1, 1)),0))), IF(I30="Yes", 0, IF(H30="", 0, IFERROR(VALUE(MID(H30, SEARCH("(",H30)+1, 1)),0))), IF(L30="Yes", 0, IF(K30="", 0, IFERROR(VALUE(MID(K30, SEARCH("(",K30)+1, 1)),0))), IF(O30="Yes", 0, IF(N30="", 0, IFERROR(VALUE(MID(N30, SEARCH("(",N30)+1, 1)),0))), IF(R30="Yes", 0, IF(Q30="", 0, IFERROR(VALUE(MID(Q30, SEARCH("(",Q30)+1, 1)),0)))))</f>
        <v/>
      </c>
      <c r="U30">
        <f>IF(A30="","", IF(T30&gt;=5, "Priority 1 (Critical)", IF(T30&gt;=3, "Priority 2 (Major)", IF(T30&gt;=1, "Priority 3 (Minor)", "Pass/Fixed"))))</f>
        <v/>
      </c>
      <c r="V30">
        <f>IF(A30="","", IF(T30&gt;0, "FAIL", "PASS"))</f>
        <v/>
      </c>
    </row>
    <row r="31">
      <c r="A31">
        <f>IF('Equipment Information'!A31="","", 'Equipment Information'!A31)</f>
        <v/>
      </c>
      <c r="B31">
        <f>IF('Equipment Information'!B31="","", 'Equipment Information'!B31)</f>
        <v/>
      </c>
      <c r="C31">
        <f>IF('Equipment Information'!C31="","", 'Equipment Information'!C31)</f>
        <v/>
      </c>
      <c r="E31">
        <f>IF(D31="","", IFERROR(VLOOKUP(D31, 'Hidden_Data'!M:N, 2, FALSE), "0"))</f>
        <v/>
      </c>
      <c r="H31">
        <f>IF(G31="","", IFERROR(VLOOKUP(G31, 'Hidden_Data'!M:N, 2, FALSE), "0"))</f>
        <v/>
      </c>
      <c r="K31">
        <f>IF(J31="","", IFERROR(VLOOKUP(J31, 'Hidden_Data'!M:N, 2, FALSE), "0"))</f>
        <v/>
      </c>
      <c r="N31">
        <f>IF(M31="","", IFERROR(VLOOKUP(M31, 'Hidden_Data'!M:N, 2, FALSE), "0"))</f>
        <v/>
      </c>
      <c r="Q31">
        <f>IF(P31="","", IFERROR(VLOOKUP(P31, 'Hidden_Data'!M:N, 2, FALSE), "0"))</f>
        <v/>
      </c>
      <c r="T31">
        <f>IF(A31="","", SUM(IF(F31="Yes", 0, IF(E31="", 0, IFERROR(VALUE(MID(E31, SEARCH("(",E31)+1, 1)),0))), IF(I31="Yes", 0, IF(H31="", 0, IFERROR(VALUE(MID(H31, SEARCH("(",H31)+1, 1)),0))), IF(L31="Yes", 0, IF(K31="", 0, IFERROR(VALUE(MID(K31, SEARCH("(",K31)+1, 1)),0))), IF(O31="Yes", 0, IF(N31="", 0, IFERROR(VALUE(MID(N31, SEARCH("(",N31)+1, 1)),0))), IF(R31="Yes", 0, IF(Q31="", 0, IFERROR(VALUE(MID(Q31, SEARCH("(",Q31)+1, 1)),0)))))</f>
        <v/>
      </c>
      <c r="U31">
        <f>IF(A31="","", IF(T31&gt;=5, "Priority 1 (Critical)", IF(T31&gt;=3, "Priority 2 (Major)", IF(T31&gt;=1, "Priority 3 (Minor)", "Pass/Fixed"))))</f>
        <v/>
      </c>
      <c r="V31">
        <f>IF(A31="","", IF(T31&gt;0, "FAIL", "PASS"))</f>
        <v/>
      </c>
    </row>
    <row r="32">
      <c r="A32">
        <f>IF('Equipment Information'!A32="","", 'Equipment Information'!A32)</f>
        <v/>
      </c>
      <c r="B32">
        <f>IF('Equipment Information'!B32="","", 'Equipment Information'!B32)</f>
        <v/>
      </c>
      <c r="C32">
        <f>IF('Equipment Information'!C32="","", 'Equipment Information'!C32)</f>
        <v/>
      </c>
      <c r="E32">
        <f>IF(D32="","", IFERROR(VLOOKUP(D32, 'Hidden_Data'!M:N, 2, FALSE), "0"))</f>
        <v/>
      </c>
      <c r="H32">
        <f>IF(G32="","", IFERROR(VLOOKUP(G32, 'Hidden_Data'!M:N, 2, FALSE), "0"))</f>
        <v/>
      </c>
      <c r="K32">
        <f>IF(J32="","", IFERROR(VLOOKUP(J32, 'Hidden_Data'!M:N, 2, FALSE), "0"))</f>
        <v/>
      </c>
      <c r="N32">
        <f>IF(M32="","", IFERROR(VLOOKUP(M32, 'Hidden_Data'!M:N, 2, FALSE), "0"))</f>
        <v/>
      </c>
      <c r="Q32">
        <f>IF(P32="","", IFERROR(VLOOKUP(P32, 'Hidden_Data'!M:N, 2, FALSE), "0"))</f>
        <v/>
      </c>
      <c r="T32">
        <f>IF(A32="","", SUM(IF(F32="Yes", 0, IF(E32="", 0, IFERROR(VALUE(MID(E32, SEARCH("(",E32)+1, 1)),0))), IF(I32="Yes", 0, IF(H32="", 0, IFERROR(VALUE(MID(H32, SEARCH("(",H32)+1, 1)),0))), IF(L32="Yes", 0, IF(K32="", 0, IFERROR(VALUE(MID(K32, SEARCH("(",K32)+1, 1)),0))), IF(O32="Yes", 0, IF(N32="", 0, IFERROR(VALUE(MID(N32, SEARCH("(",N32)+1, 1)),0))), IF(R32="Yes", 0, IF(Q32="", 0, IFERROR(VALUE(MID(Q32, SEARCH("(",Q32)+1, 1)),0)))))</f>
        <v/>
      </c>
      <c r="U32">
        <f>IF(A32="","", IF(T32&gt;=5, "Priority 1 (Critical)", IF(T32&gt;=3, "Priority 2 (Major)", IF(T32&gt;=1, "Priority 3 (Minor)", "Pass/Fixed"))))</f>
        <v/>
      </c>
      <c r="V32">
        <f>IF(A32="","", IF(T32&gt;0, "FAIL", "PASS"))</f>
        <v/>
      </c>
    </row>
    <row r="33">
      <c r="A33">
        <f>IF('Equipment Information'!A33="","", 'Equipment Information'!A33)</f>
        <v/>
      </c>
      <c r="B33">
        <f>IF('Equipment Information'!B33="","", 'Equipment Information'!B33)</f>
        <v/>
      </c>
      <c r="C33">
        <f>IF('Equipment Information'!C33="","", 'Equipment Information'!C33)</f>
        <v/>
      </c>
      <c r="E33">
        <f>IF(D33="","", IFERROR(VLOOKUP(D33, 'Hidden_Data'!M:N, 2, FALSE), "0"))</f>
        <v/>
      </c>
      <c r="H33">
        <f>IF(G33="","", IFERROR(VLOOKUP(G33, 'Hidden_Data'!M:N, 2, FALSE), "0"))</f>
        <v/>
      </c>
      <c r="K33">
        <f>IF(J33="","", IFERROR(VLOOKUP(J33, 'Hidden_Data'!M:N, 2, FALSE), "0"))</f>
        <v/>
      </c>
      <c r="N33">
        <f>IF(M33="","", IFERROR(VLOOKUP(M33, 'Hidden_Data'!M:N, 2, FALSE), "0"))</f>
        <v/>
      </c>
      <c r="Q33">
        <f>IF(P33="","", IFERROR(VLOOKUP(P33, 'Hidden_Data'!M:N, 2, FALSE), "0"))</f>
        <v/>
      </c>
      <c r="T33">
        <f>IF(A33="","", SUM(IF(F33="Yes", 0, IF(E33="", 0, IFERROR(VALUE(MID(E33, SEARCH("(",E33)+1, 1)),0))), IF(I33="Yes", 0, IF(H33="", 0, IFERROR(VALUE(MID(H33, SEARCH("(",H33)+1, 1)),0))), IF(L33="Yes", 0, IF(K33="", 0, IFERROR(VALUE(MID(K33, SEARCH("(",K33)+1, 1)),0))), IF(O33="Yes", 0, IF(N33="", 0, IFERROR(VALUE(MID(N33, SEARCH("(",N33)+1, 1)),0))), IF(R33="Yes", 0, IF(Q33="", 0, IFERROR(VALUE(MID(Q33, SEARCH("(",Q33)+1, 1)),0)))))</f>
        <v/>
      </c>
      <c r="U33">
        <f>IF(A33="","", IF(T33&gt;=5, "Priority 1 (Critical)", IF(T33&gt;=3, "Priority 2 (Major)", IF(T33&gt;=1, "Priority 3 (Minor)", "Pass/Fixed"))))</f>
        <v/>
      </c>
      <c r="V33">
        <f>IF(A33="","", IF(T33&gt;0, "FAIL", "PASS"))</f>
        <v/>
      </c>
    </row>
    <row r="34">
      <c r="A34">
        <f>IF('Equipment Information'!A34="","", 'Equipment Information'!A34)</f>
        <v/>
      </c>
      <c r="B34">
        <f>IF('Equipment Information'!B34="","", 'Equipment Information'!B34)</f>
        <v/>
      </c>
      <c r="C34">
        <f>IF('Equipment Information'!C34="","", 'Equipment Information'!C34)</f>
        <v/>
      </c>
      <c r="E34">
        <f>IF(D34="","", IFERROR(VLOOKUP(D34, 'Hidden_Data'!M:N, 2, FALSE), "0"))</f>
        <v/>
      </c>
      <c r="H34">
        <f>IF(G34="","", IFERROR(VLOOKUP(G34, 'Hidden_Data'!M:N, 2, FALSE), "0"))</f>
        <v/>
      </c>
      <c r="K34">
        <f>IF(J34="","", IFERROR(VLOOKUP(J34, 'Hidden_Data'!M:N, 2, FALSE), "0"))</f>
        <v/>
      </c>
      <c r="N34">
        <f>IF(M34="","", IFERROR(VLOOKUP(M34, 'Hidden_Data'!M:N, 2, FALSE), "0"))</f>
        <v/>
      </c>
      <c r="Q34">
        <f>IF(P34="","", IFERROR(VLOOKUP(P34, 'Hidden_Data'!M:N, 2, FALSE), "0"))</f>
        <v/>
      </c>
      <c r="T34">
        <f>IF(A34="","", SUM(IF(F34="Yes", 0, IF(E34="", 0, IFERROR(VALUE(MID(E34, SEARCH("(",E34)+1, 1)),0))), IF(I34="Yes", 0, IF(H34="", 0, IFERROR(VALUE(MID(H34, SEARCH("(",H34)+1, 1)),0))), IF(L34="Yes", 0, IF(K34="", 0, IFERROR(VALUE(MID(K34, SEARCH("(",K34)+1, 1)),0))), IF(O34="Yes", 0, IF(N34="", 0, IFERROR(VALUE(MID(N34, SEARCH("(",N34)+1, 1)),0))), IF(R34="Yes", 0, IF(Q34="", 0, IFERROR(VALUE(MID(Q34, SEARCH("(",Q34)+1, 1)),0)))))</f>
        <v/>
      </c>
      <c r="U34">
        <f>IF(A34="","", IF(T34&gt;=5, "Priority 1 (Critical)", IF(T34&gt;=3, "Priority 2 (Major)", IF(T34&gt;=1, "Priority 3 (Minor)", "Pass/Fixed"))))</f>
        <v/>
      </c>
      <c r="V34">
        <f>IF(A34="","", IF(T34&gt;0, "FAIL", "PASS"))</f>
        <v/>
      </c>
    </row>
    <row r="35">
      <c r="A35">
        <f>IF('Equipment Information'!A35="","", 'Equipment Information'!A35)</f>
        <v/>
      </c>
      <c r="B35">
        <f>IF('Equipment Information'!B35="","", 'Equipment Information'!B35)</f>
        <v/>
      </c>
      <c r="C35">
        <f>IF('Equipment Information'!C35="","", 'Equipment Information'!C35)</f>
        <v/>
      </c>
      <c r="E35">
        <f>IF(D35="","", IFERROR(VLOOKUP(D35, 'Hidden_Data'!M:N, 2, FALSE), "0"))</f>
        <v/>
      </c>
      <c r="H35">
        <f>IF(G35="","", IFERROR(VLOOKUP(G35, 'Hidden_Data'!M:N, 2, FALSE), "0"))</f>
        <v/>
      </c>
      <c r="K35">
        <f>IF(J35="","", IFERROR(VLOOKUP(J35, 'Hidden_Data'!M:N, 2, FALSE), "0"))</f>
        <v/>
      </c>
      <c r="N35">
        <f>IF(M35="","", IFERROR(VLOOKUP(M35, 'Hidden_Data'!M:N, 2, FALSE), "0"))</f>
        <v/>
      </c>
      <c r="Q35">
        <f>IF(P35="","", IFERROR(VLOOKUP(P35, 'Hidden_Data'!M:N, 2, FALSE), "0"))</f>
        <v/>
      </c>
      <c r="T35">
        <f>IF(A35="","", SUM(IF(F35="Yes", 0, IF(E35="", 0, IFERROR(VALUE(MID(E35, SEARCH("(",E35)+1, 1)),0))), IF(I35="Yes", 0, IF(H35="", 0, IFERROR(VALUE(MID(H35, SEARCH("(",H35)+1, 1)),0))), IF(L35="Yes", 0, IF(K35="", 0, IFERROR(VALUE(MID(K35, SEARCH("(",K35)+1, 1)),0))), IF(O35="Yes", 0, IF(N35="", 0, IFERROR(VALUE(MID(N35, SEARCH("(",N35)+1, 1)),0))), IF(R35="Yes", 0, IF(Q35="", 0, IFERROR(VALUE(MID(Q35, SEARCH("(",Q35)+1, 1)),0)))))</f>
        <v/>
      </c>
      <c r="U35">
        <f>IF(A35="","", IF(T35&gt;=5, "Priority 1 (Critical)", IF(T35&gt;=3, "Priority 2 (Major)", IF(T35&gt;=1, "Priority 3 (Minor)", "Pass/Fixed"))))</f>
        <v/>
      </c>
      <c r="V35">
        <f>IF(A35="","", IF(T35&gt;0, "FAIL", "PASS"))</f>
        <v/>
      </c>
    </row>
    <row r="36">
      <c r="A36">
        <f>IF('Equipment Information'!A36="","", 'Equipment Information'!A36)</f>
        <v/>
      </c>
      <c r="B36">
        <f>IF('Equipment Information'!B36="","", 'Equipment Information'!B36)</f>
        <v/>
      </c>
      <c r="C36">
        <f>IF('Equipment Information'!C36="","", 'Equipment Information'!C36)</f>
        <v/>
      </c>
      <c r="E36">
        <f>IF(D36="","", IFERROR(VLOOKUP(D36, 'Hidden_Data'!M:N, 2, FALSE), "0"))</f>
        <v/>
      </c>
      <c r="H36">
        <f>IF(G36="","", IFERROR(VLOOKUP(G36, 'Hidden_Data'!M:N, 2, FALSE), "0"))</f>
        <v/>
      </c>
      <c r="K36">
        <f>IF(J36="","", IFERROR(VLOOKUP(J36, 'Hidden_Data'!M:N, 2, FALSE), "0"))</f>
        <v/>
      </c>
      <c r="N36">
        <f>IF(M36="","", IFERROR(VLOOKUP(M36, 'Hidden_Data'!M:N, 2, FALSE), "0"))</f>
        <v/>
      </c>
      <c r="Q36">
        <f>IF(P36="","", IFERROR(VLOOKUP(P36, 'Hidden_Data'!M:N, 2, FALSE), "0"))</f>
        <v/>
      </c>
      <c r="T36">
        <f>IF(A36="","", SUM(IF(F36="Yes", 0, IF(E36="", 0, IFERROR(VALUE(MID(E36, SEARCH("(",E36)+1, 1)),0))), IF(I36="Yes", 0, IF(H36="", 0, IFERROR(VALUE(MID(H36, SEARCH("(",H36)+1, 1)),0))), IF(L36="Yes", 0, IF(K36="", 0, IFERROR(VALUE(MID(K36, SEARCH("(",K36)+1, 1)),0))), IF(O36="Yes", 0, IF(N36="", 0, IFERROR(VALUE(MID(N36, SEARCH("(",N36)+1, 1)),0))), IF(R36="Yes", 0, IF(Q36="", 0, IFERROR(VALUE(MID(Q36, SEARCH("(",Q36)+1, 1)),0)))))</f>
        <v/>
      </c>
      <c r="U36">
        <f>IF(A36="","", IF(T36&gt;=5, "Priority 1 (Critical)", IF(T36&gt;=3, "Priority 2 (Major)", IF(T36&gt;=1, "Priority 3 (Minor)", "Pass/Fixed"))))</f>
        <v/>
      </c>
      <c r="V36">
        <f>IF(A36="","", IF(T36&gt;0, "FAIL", "PASS"))</f>
        <v/>
      </c>
    </row>
    <row r="37">
      <c r="A37">
        <f>IF('Equipment Information'!A37="","", 'Equipment Information'!A37)</f>
        <v/>
      </c>
      <c r="B37">
        <f>IF('Equipment Information'!B37="","", 'Equipment Information'!B37)</f>
        <v/>
      </c>
      <c r="C37">
        <f>IF('Equipment Information'!C37="","", 'Equipment Information'!C37)</f>
        <v/>
      </c>
      <c r="E37">
        <f>IF(D37="","", IFERROR(VLOOKUP(D37, 'Hidden_Data'!M:N, 2, FALSE), "0"))</f>
        <v/>
      </c>
      <c r="H37">
        <f>IF(G37="","", IFERROR(VLOOKUP(G37, 'Hidden_Data'!M:N, 2, FALSE), "0"))</f>
        <v/>
      </c>
      <c r="K37">
        <f>IF(J37="","", IFERROR(VLOOKUP(J37, 'Hidden_Data'!M:N, 2, FALSE), "0"))</f>
        <v/>
      </c>
      <c r="N37">
        <f>IF(M37="","", IFERROR(VLOOKUP(M37, 'Hidden_Data'!M:N, 2, FALSE), "0"))</f>
        <v/>
      </c>
      <c r="Q37">
        <f>IF(P37="","", IFERROR(VLOOKUP(P37, 'Hidden_Data'!M:N, 2, FALSE), "0"))</f>
        <v/>
      </c>
      <c r="T37">
        <f>IF(A37="","", SUM(IF(F37="Yes", 0, IF(E37="", 0, IFERROR(VALUE(MID(E37, SEARCH("(",E37)+1, 1)),0))), IF(I37="Yes", 0, IF(H37="", 0, IFERROR(VALUE(MID(H37, SEARCH("(",H37)+1, 1)),0))), IF(L37="Yes", 0, IF(K37="", 0, IFERROR(VALUE(MID(K37, SEARCH("(",K37)+1, 1)),0))), IF(O37="Yes", 0, IF(N37="", 0, IFERROR(VALUE(MID(N37, SEARCH("(",N37)+1, 1)),0))), IF(R37="Yes", 0, IF(Q37="", 0, IFERROR(VALUE(MID(Q37, SEARCH("(",Q37)+1, 1)),0)))))</f>
        <v/>
      </c>
      <c r="U37">
        <f>IF(A37="","", IF(T37&gt;=5, "Priority 1 (Critical)", IF(T37&gt;=3, "Priority 2 (Major)", IF(T37&gt;=1, "Priority 3 (Minor)", "Pass/Fixed"))))</f>
        <v/>
      </c>
      <c r="V37">
        <f>IF(A37="","", IF(T37&gt;0, "FAIL", "PASS"))</f>
        <v/>
      </c>
    </row>
    <row r="38">
      <c r="A38">
        <f>IF('Equipment Information'!A38="","", 'Equipment Information'!A38)</f>
        <v/>
      </c>
      <c r="B38">
        <f>IF('Equipment Information'!B38="","", 'Equipment Information'!B38)</f>
        <v/>
      </c>
      <c r="C38">
        <f>IF('Equipment Information'!C38="","", 'Equipment Information'!C38)</f>
        <v/>
      </c>
      <c r="E38">
        <f>IF(D38="","", IFERROR(VLOOKUP(D38, 'Hidden_Data'!M:N, 2, FALSE), "0"))</f>
        <v/>
      </c>
      <c r="H38">
        <f>IF(G38="","", IFERROR(VLOOKUP(G38, 'Hidden_Data'!M:N, 2, FALSE), "0"))</f>
        <v/>
      </c>
      <c r="K38">
        <f>IF(J38="","", IFERROR(VLOOKUP(J38, 'Hidden_Data'!M:N, 2, FALSE), "0"))</f>
        <v/>
      </c>
      <c r="N38">
        <f>IF(M38="","", IFERROR(VLOOKUP(M38, 'Hidden_Data'!M:N, 2, FALSE), "0"))</f>
        <v/>
      </c>
      <c r="Q38">
        <f>IF(P38="","", IFERROR(VLOOKUP(P38, 'Hidden_Data'!M:N, 2, FALSE), "0"))</f>
        <v/>
      </c>
      <c r="T38">
        <f>IF(A38="","", SUM(IF(F38="Yes", 0, IF(E38="", 0, IFERROR(VALUE(MID(E38, SEARCH("(",E38)+1, 1)),0))), IF(I38="Yes", 0, IF(H38="", 0, IFERROR(VALUE(MID(H38, SEARCH("(",H38)+1, 1)),0))), IF(L38="Yes", 0, IF(K38="", 0, IFERROR(VALUE(MID(K38, SEARCH("(",K38)+1, 1)),0))), IF(O38="Yes", 0, IF(N38="", 0, IFERROR(VALUE(MID(N38, SEARCH("(",N38)+1, 1)),0))), IF(R38="Yes", 0, IF(Q38="", 0, IFERROR(VALUE(MID(Q38, SEARCH("(",Q38)+1, 1)),0)))))</f>
        <v/>
      </c>
      <c r="U38">
        <f>IF(A38="","", IF(T38&gt;=5, "Priority 1 (Critical)", IF(T38&gt;=3, "Priority 2 (Major)", IF(T38&gt;=1, "Priority 3 (Minor)", "Pass/Fixed"))))</f>
        <v/>
      </c>
      <c r="V38">
        <f>IF(A38="","", IF(T38&gt;0, "FAIL", "PASS"))</f>
        <v/>
      </c>
    </row>
    <row r="39">
      <c r="A39">
        <f>IF('Equipment Information'!A39="","", 'Equipment Information'!A39)</f>
        <v/>
      </c>
      <c r="B39">
        <f>IF('Equipment Information'!B39="","", 'Equipment Information'!B39)</f>
        <v/>
      </c>
      <c r="C39">
        <f>IF('Equipment Information'!C39="","", 'Equipment Information'!C39)</f>
        <v/>
      </c>
      <c r="E39">
        <f>IF(D39="","", IFERROR(VLOOKUP(D39, 'Hidden_Data'!M:N, 2, FALSE), "0"))</f>
        <v/>
      </c>
      <c r="H39">
        <f>IF(G39="","", IFERROR(VLOOKUP(G39, 'Hidden_Data'!M:N, 2, FALSE), "0"))</f>
        <v/>
      </c>
      <c r="K39">
        <f>IF(J39="","", IFERROR(VLOOKUP(J39, 'Hidden_Data'!M:N, 2, FALSE), "0"))</f>
        <v/>
      </c>
      <c r="N39">
        <f>IF(M39="","", IFERROR(VLOOKUP(M39, 'Hidden_Data'!M:N, 2, FALSE), "0"))</f>
        <v/>
      </c>
      <c r="Q39">
        <f>IF(P39="","", IFERROR(VLOOKUP(P39, 'Hidden_Data'!M:N, 2, FALSE), "0"))</f>
        <v/>
      </c>
      <c r="T39">
        <f>IF(A39="","", SUM(IF(F39="Yes", 0, IF(E39="", 0, IFERROR(VALUE(MID(E39, SEARCH("(",E39)+1, 1)),0))), IF(I39="Yes", 0, IF(H39="", 0, IFERROR(VALUE(MID(H39, SEARCH("(",H39)+1, 1)),0))), IF(L39="Yes", 0, IF(K39="", 0, IFERROR(VALUE(MID(K39, SEARCH("(",K39)+1, 1)),0))), IF(O39="Yes", 0, IF(N39="", 0, IFERROR(VALUE(MID(N39, SEARCH("(",N39)+1, 1)),0))), IF(R39="Yes", 0, IF(Q39="", 0, IFERROR(VALUE(MID(Q39, SEARCH("(",Q39)+1, 1)),0)))))</f>
        <v/>
      </c>
      <c r="U39">
        <f>IF(A39="","", IF(T39&gt;=5, "Priority 1 (Critical)", IF(T39&gt;=3, "Priority 2 (Major)", IF(T39&gt;=1, "Priority 3 (Minor)", "Pass/Fixed"))))</f>
        <v/>
      </c>
      <c r="V39">
        <f>IF(A39="","", IF(T39&gt;0, "FAIL", "PASS"))</f>
        <v/>
      </c>
    </row>
    <row r="40">
      <c r="A40">
        <f>IF('Equipment Information'!A40="","", 'Equipment Information'!A40)</f>
        <v/>
      </c>
      <c r="B40">
        <f>IF('Equipment Information'!B40="","", 'Equipment Information'!B40)</f>
        <v/>
      </c>
      <c r="C40">
        <f>IF('Equipment Information'!C40="","", 'Equipment Information'!C40)</f>
        <v/>
      </c>
      <c r="E40">
        <f>IF(D40="","", IFERROR(VLOOKUP(D40, 'Hidden_Data'!M:N, 2, FALSE), "0"))</f>
        <v/>
      </c>
      <c r="H40">
        <f>IF(G40="","", IFERROR(VLOOKUP(G40, 'Hidden_Data'!M:N, 2, FALSE), "0"))</f>
        <v/>
      </c>
      <c r="K40">
        <f>IF(J40="","", IFERROR(VLOOKUP(J40, 'Hidden_Data'!M:N, 2, FALSE), "0"))</f>
        <v/>
      </c>
      <c r="N40">
        <f>IF(M40="","", IFERROR(VLOOKUP(M40, 'Hidden_Data'!M:N, 2, FALSE), "0"))</f>
        <v/>
      </c>
      <c r="Q40">
        <f>IF(P40="","", IFERROR(VLOOKUP(P40, 'Hidden_Data'!M:N, 2, FALSE), "0"))</f>
        <v/>
      </c>
      <c r="T40">
        <f>IF(A40="","", SUM(IF(F40="Yes", 0, IF(E40="", 0, IFERROR(VALUE(MID(E40, SEARCH("(",E40)+1, 1)),0))), IF(I40="Yes", 0, IF(H40="", 0, IFERROR(VALUE(MID(H40, SEARCH("(",H40)+1, 1)),0))), IF(L40="Yes", 0, IF(K40="", 0, IFERROR(VALUE(MID(K40, SEARCH("(",K40)+1, 1)),0))), IF(O40="Yes", 0, IF(N40="", 0, IFERROR(VALUE(MID(N40, SEARCH("(",N40)+1, 1)),0))), IF(R40="Yes", 0, IF(Q40="", 0, IFERROR(VALUE(MID(Q40, SEARCH("(",Q40)+1, 1)),0)))))</f>
        <v/>
      </c>
      <c r="U40">
        <f>IF(A40="","", IF(T40&gt;=5, "Priority 1 (Critical)", IF(T40&gt;=3, "Priority 2 (Major)", IF(T40&gt;=1, "Priority 3 (Minor)", "Pass/Fixed"))))</f>
        <v/>
      </c>
      <c r="V40">
        <f>IF(A40="","", IF(T40&gt;0, "FAIL", "PASS"))</f>
        <v/>
      </c>
    </row>
    <row r="41">
      <c r="A41">
        <f>IF('Equipment Information'!A41="","", 'Equipment Information'!A41)</f>
        <v/>
      </c>
      <c r="B41">
        <f>IF('Equipment Information'!B41="","", 'Equipment Information'!B41)</f>
        <v/>
      </c>
      <c r="C41">
        <f>IF('Equipment Information'!C41="","", 'Equipment Information'!C41)</f>
        <v/>
      </c>
      <c r="E41">
        <f>IF(D41="","", IFERROR(VLOOKUP(D41, 'Hidden_Data'!M:N, 2, FALSE), "0"))</f>
        <v/>
      </c>
      <c r="H41">
        <f>IF(G41="","", IFERROR(VLOOKUP(G41, 'Hidden_Data'!M:N, 2, FALSE), "0"))</f>
        <v/>
      </c>
      <c r="K41">
        <f>IF(J41="","", IFERROR(VLOOKUP(J41, 'Hidden_Data'!M:N, 2, FALSE), "0"))</f>
        <v/>
      </c>
      <c r="N41">
        <f>IF(M41="","", IFERROR(VLOOKUP(M41, 'Hidden_Data'!M:N, 2, FALSE), "0"))</f>
        <v/>
      </c>
      <c r="Q41">
        <f>IF(P41="","", IFERROR(VLOOKUP(P41, 'Hidden_Data'!M:N, 2, FALSE), "0"))</f>
        <v/>
      </c>
      <c r="T41">
        <f>IF(A41="","", SUM(IF(F41="Yes", 0, IF(E41="", 0, IFERROR(VALUE(MID(E41, SEARCH("(",E41)+1, 1)),0))), IF(I41="Yes", 0, IF(H41="", 0, IFERROR(VALUE(MID(H41, SEARCH("(",H41)+1, 1)),0))), IF(L41="Yes", 0, IF(K41="", 0, IFERROR(VALUE(MID(K41, SEARCH("(",K41)+1, 1)),0))), IF(O41="Yes", 0, IF(N41="", 0, IFERROR(VALUE(MID(N41, SEARCH("(",N41)+1, 1)),0))), IF(R41="Yes", 0, IF(Q41="", 0, IFERROR(VALUE(MID(Q41, SEARCH("(",Q41)+1, 1)),0)))))</f>
        <v/>
      </c>
      <c r="U41">
        <f>IF(A41="","", IF(T41&gt;=5, "Priority 1 (Critical)", IF(T41&gt;=3, "Priority 2 (Major)", IF(T41&gt;=1, "Priority 3 (Minor)", "Pass/Fixed"))))</f>
        <v/>
      </c>
      <c r="V41">
        <f>IF(A41="","", IF(T41&gt;0, "FAIL", "PASS"))</f>
        <v/>
      </c>
    </row>
    <row r="42">
      <c r="A42">
        <f>IF('Equipment Information'!A42="","", 'Equipment Information'!A42)</f>
        <v/>
      </c>
      <c r="B42">
        <f>IF('Equipment Information'!B42="","", 'Equipment Information'!B42)</f>
        <v/>
      </c>
      <c r="C42">
        <f>IF('Equipment Information'!C42="","", 'Equipment Information'!C42)</f>
        <v/>
      </c>
      <c r="E42">
        <f>IF(D42="","", IFERROR(VLOOKUP(D42, 'Hidden_Data'!M:N, 2, FALSE), "0"))</f>
        <v/>
      </c>
      <c r="H42">
        <f>IF(G42="","", IFERROR(VLOOKUP(G42, 'Hidden_Data'!M:N, 2, FALSE), "0"))</f>
        <v/>
      </c>
      <c r="K42">
        <f>IF(J42="","", IFERROR(VLOOKUP(J42, 'Hidden_Data'!M:N, 2, FALSE), "0"))</f>
        <v/>
      </c>
      <c r="N42">
        <f>IF(M42="","", IFERROR(VLOOKUP(M42, 'Hidden_Data'!M:N, 2, FALSE), "0"))</f>
        <v/>
      </c>
      <c r="Q42">
        <f>IF(P42="","", IFERROR(VLOOKUP(P42, 'Hidden_Data'!M:N, 2, FALSE), "0"))</f>
        <v/>
      </c>
      <c r="T42">
        <f>IF(A42="","", SUM(IF(F42="Yes", 0, IF(E42="", 0, IFERROR(VALUE(MID(E42, SEARCH("(",E42)+1, 1)),0))), IF(I42="Yes", 0, IF(H42="", 0, IFERROR(VALUE(MID(H42, SEARCH("(",H42)+1, 1)),0))), IF(L42="Yes", 0, IF(K42="", 0, IFERROR(VALUE(MID(K42, SEARCH("(",K42)+1, 1)),0))), IF(O42="Yes", 0, IF(N42="", 0, IFERROR(VALUE(MID(N42, SEARCH("(",N42)+1, 1)),0))), IF(R42="Yes", 0, IF(Q42="", 0, IFERROR(VALUE(MID(Q42, SEARCH("(",Q42)+1, 1)),0)))))</f>
        <v/>
      </c>
      <c r="U42">
        <f>IF(A42="","", IF(T42&gt;=5, "Priority 1 (Critical)", IF(T42&gt;=3, "Priority 2 (Major)", IF(T42&gt;=1, "Priority 3 (Minor)", "Pass/Fixed"))))</f>
        <v/>
      </c>
      <c r="V42">
        <f>IF(A42="","", IF(T42&gt;0, "FAIL", "PASS"))</f>
        <v/>
      </c>
    </row>
    <row r="43">
      <c r="A43">
        <f>IF('Equipment Information'!A43="","", 'Equipment Information'!A43)</f>
        <v/>
      </c>
      <c r="B43">
        <f>IF('Equipment Information'!B43="","", 'Equipment Information'!B43)</f>
        <v/>
      </c>
      <c r="C43">
        <f>IF('Equipment Information'!C43="","", 'Equipment Information'!C43)</f>
        <v/>
      </c>
      <c r="E43">
        <f>IF(D43="","", IFERROR(VLOOKUP(D43, 'Hidden_Data'!M:N, 2, FALSE), "0"))</f>
        <v/>
      </c>
      <c r="H43">
        <f>IF(G43="","", IFERROR(VLOOKUP(G43, 'Hidden_Data'!M:N, 2, FALSE), "0"))</f>
        <v/>
      </c>
      <c r="K43">
        <f>IF(J43="","", IFERROR(VLOOKUP(J43, 'Hidden_Data'!M:N, 2, FALSE), "0"))</f>
        <v/>
      </c>
      <c r="N43">
        <f>IF(M43="","", IFERROR(VLOOKUP(M43, 'Hidden_Data'!M:N, 2, FALSE), "0"))</f>
        <v/>
      </c>
      <c r="Q43">
        <f>IF(P43="","", IFERROR(VLOOKUP(P43, 'Hidden_Data'!M:N, 2, FALSE), "0"))</f>
        <v/>
      </c>
      <c r="T43">
        <f>IF(A43="","", SUM(IF(F43="Yes", 0, IF(E43="", 0, IFERROR(VALUE(MID(E43, SEARCH("(",E43)+1, 1)),0))), IF(I43="Yes", 0, IF(H43="", 0, IFERROR(VALUE(MID(H43, SEARCH("(",H43)+1, 1)),0))), IF(L43="Yes", 0, IF(K43="", 0, IFERROR(VALUE(MID(K43, SEARCH("(",K43)+1, 1)),0))), IF(O43="Yes", 0, IF(N43="", 0, IFERROR(VALUE(MID(N43, SEARCH("(",N43)+1, 1)),0))), IF(R43="Yes", 0, IF(Q43="", 0, IFERROR(VALUE(MID(Q43, SEARCH("(",Q43)+1, 1)),0)))))</f>
        <v/>
      </c>
      <c r="U43">
        <f>IF(A43="","", IF(T43&gt;=5, "Priority 1 (Critical)", IF(T43&gt;=3, "Priority 2 (Major)", IF(T43&gt;=1, "Priority 3 (Minor)", "Pass/Fixed"))))</f>
        <v/>
      </c>
      <c r="V43">
        <f>IF(A43="","", IF(T43&gt;0, "FAIL", "PASS"))</f>
        <v/>
      </c>
    </row>
    <row r="44">
      <c r="A44">
        <f>IF('Equipment Information'!A44="","", 'Equipment Information'!A44)</f>
        <v/>
      </c>
      <c r="B44">
        <f>IF('Equipment Information'!B44="","", 'Equipment Information'!B44)</f>
        <v/>
      </c>
      <c r="C44">
        <f>IF('Equipment Information'!C44="","", 'Equipment Information'!C44)</f>
        <v/>
      </c>
      <c r="E44">
        <f>IF(D44="","", IFERROR(VLOOKUP(D44, 'Hidden_Data'!M:N, 2, FALSE), "0"))</f>
        <v/>
      </c>
      <c r="H44">
        <f>IF(G44="","", IFERROR(VLOOKUP(G44, 'Hidden_Data'!M:N, 2, FALSE), "0"))</f>
        <v/>
      </c>
      <c r="K44">
        <f>IF(J44="","", IFERROR(VLOOKUP(J44, 'Hidden_Data'!M:N, 2, FALSE), "0"))</f>
        <v/>
      </c>
      <c r="N44">
        <f>IF(M44="","", IFERROR(VLOOKUP(M44, 'Hidden_Data'!M:N, 2, FALSE), "0"))</f>
        <v/>
      </c>
      <c r="Q44">
        <f>IF(P44="","", IFERROR(VLOOKUP(P44, 'Hidden_Data'!M:N, 2, FALSE), "0"))</f>
        <v/>
      </c>
      <c r="T44">
        <f>IF(A44="","", SUM(IF(F44="Yes", 0, IF(E44="", 0, IFERROR(VALUE(MID(E44, SEARCH("(",E44)+1, 1)),0))), IF(I44="Yes", 0, IF(H44="", 0, IFERROR(VALUE(MID(H44, SEARCH("(",H44)+1, 1)),0))), IF(L44="Yes", 0, IF(K44="", 0, IFERROR(VALUE(MID(K44, SEARCH("(",K44)+1, 1)),0))), IF(O44="Yes", 0, IF(N44="", 0, IFERROR(VALUE(MID(N44, SEARCH("(",N44)+1, 1)),0))), IF(R44="Yes", 0, IF(Q44="", 0, IFERROR(VALUE(MID(Q44, SEARCH("(",Q44)+1, 1)),0)))))</f>
        <v/>
      </c>
      <c r="U44">
        <f>IF(A44="","", IF(T44&gt;=5, "Priority 1 (Critical)", IF(T44&gt;=3, "Priority 2 (Major)", IF(T44&gt;=1, "Priority 3 (Minor)", "Pass/Fixed"))))</f>
        <v/>
      </c>
      <c r="V44">
        <f>IF(A44="","", IF(T44&gt;0, "FAIL", "PASS"))</f>
        <v/>
      </c>
    </row>
    <row r="45">
      <c r="A45">
        <f>IF('Equipment Information'!A45="","", 'Equipment Information'!A45)</f>
        <v/>
      </c>
      <c r="B45">
        <f>IF('Equipment Information'!B45="","", 'Equipment Information'!B45)</f>
        <v/>
      </c>
      <c r="C45">
        <f>IF('Equipment Information'!C45="","", 'Equipment Information'!C45)</f>
        <v/>
      </c>
      <c r="E45">
        <f>IF(D45="","", IFERROR(VLOOKUP(D45, 'Hidden_Data'!M:N, 2, FALSE), "0"))</f>
        <v/>
      </c>
      <c r="H45">
        <f>IF(G45="","", IFERROR(VLOOKUP(G45, 'Hidden_Data'!M:N, 2, FALSE), "0"))</f>
        <v/>
      </c>
      <c r="K45">
        <f>IF(J45="","", IFERROR(VLOOKUP(J45, 'Hidden_Data'!M:N, 2, FALSE), "0"))</f>
        <v/>
      </c>
      <c r="N45">
        <f>IF(M45="","", IFERROR(VLOOKUP(M45, 'Hidden_Data'!M:N, 2, FALSE), "0"))</f>
        <v/>
      </c>
      <c r="Q45">
        <f>IF(P45="","", IFERROR(VLOOKUP(P45, 'Hidden_Data'!M:N, 2, FALSE), "0"))</f>
        <v/>
      </c>
      <c r="T45">
        <f>IF(A45="","", SUM(IF(F45="Yes", 0, IF(E45="", 0, IFERROR(VALUE(MID(E45, SEARCH("(",E45)+1, 1)),0))), IF(I45="Yes", 0, IF(H45="", 0, IFERROR(VALUE(MID(H45, SEARCH("(",H45)+1, 1)),0))), IF(L45="Yes", 0, IF(K45="", 0, IFERROR(VALUE(MID(K45, SEARCH("(",K45)+1, 1)),0))), IF(O45="Yes", 0, IF(N45="", 0, IFERROR(VALUE(MID(N45, SEARCH("(",N45)+1, 1)),0))), IF(R45="Yes", 0, IF(Q45="", 0, IFERROR(VALUE(MID(Q45, SEARCH("(",Q45)+1, 1)),0)))))</f>
        <v/>
      </c>
      <c r="U45">
        <f>IF(A45="","", IF(T45&gt;=5, "Priority 1 (Critical)", IF(T45&gt;=3, "Priority 2 (Major)", IF(T45&gt;=1, "Priority 3 (Minor)", "Pass/Fixed"))))</f>
        <v/>
      </c>
      <c r="V45">
        <f>IF(A45="","", IF(T45&gt;0, "FAIL", "PASS"))</f>
        <v/>
      </c>
    </row>
    <row r="46">
      <c r="A46">
        <f>IF('Equipment Information'!A46="","", 'Equipment Information'!A46)</f>
        <v/>
      </c>
      <c r="B46">
        <f>IF('Equipment Information'!B46="","", 'Equipment Information'!B46)</f>
        <v/>
      </c>
      <c r="C46">
        <f>IF('Equipment Information'!C46="","", 'Equipment Information'!C46)</f>
        <v/>
      </c>
      <c r="E46">
        <f>IF(D46="","", IFERROR(VLOOKUP(D46, 'Hidden_Data'!M:N, 2, FALSE), "0"))</f>
        <v/>
      </c>
      <c r="H46">
        <f>IF(G46="","", IFERROR(VLOOKUP(G46, 'Hidden_Data'!M:N, 2, FALSE), "0"))</f>
        <v/>
      </c>
      <c r="K46">
        <f>IF(J46="","", IFERROR(VLOOKUP(J46, 'Hidden_Data'!M:N, 2, FALSE), "0"))</f>
        <v/>
      </c>
      <c r="N46">
        <f>IF(M46="","", IFERROR(VLOOKUP(M46, 'Hidden_Data'!M:N, 2, FALSE), "0"))</f>
        <v/>
      </c>
      <c r="Q46">
        <f>IF(P46="","", IFERROR(VLOOKUP(P46, 'Hidden_Data'!M:N, 2, FALSE), "0"))</f>
        <v/>
      </c>
      <c r="T46">
        <f>IF(A46="","", SUM(IF(F46="Yes", 0, IF(E46="", 0, IFERROR(VALUE(MID(E46, SEARCH("(",E46)+1, 1)),0))), IF(I46="Yes", 0, IF(H46="", 0, IFERROR(VALUE(MID(H46, SEARCH("(",H46)+1, 1)),0))), IF(L46="Yes", 0, IF(K46="", 0, IFERROR(VALUE(MID(K46, SEARCH("(",K46)+1, 1)),0))), IF(O46="Yes", 0, IF(N46="", 0, IFERROR(VALUE(MID(N46, SEARCH("(",N46)+1, 1)),0))), IF(R46="Yes", 0, IF(Q46="", 0, IFERROR(VALUE(MID(Q46, SEARCH("(",Q46)+1, 1)),0)))))</f>
        <v/>
      </c>
      <c r="U46">
        <f>IF(A46="","", IF(T46&gt;=5, "Priority 1 (Critical)", IF(T46&gt;=3, "Priority 2 (Major)", IF(T46&gt;=1, "Priority 3 (Minor)", "Pass/Fixed"))))</f>
        <v/>
      </c>
      <c r="V46">
        <f>IF(A46="","", IF(T46&gt;0, "FAIL", "PASS"))</f>
        <v/>
      </c>
    </row>
    <row r="47">
      <c r="A47">
        <f>IF('Equipment Information'!A47="","", 'Equipment Information'!A47)</f>
        <v/>
      </c>
      <c r="B47">
        <f>IF('Equipment Information'!B47="","", 'Equipment Information'!B47)</f>
        <v/>
      </c>
      <c r="C47">
        <f>IF('Equipment Information'!C47="","", 'Equipment Information'!C47)</f>
        <v/>
      </c>
      <c r="E47">
        <f>IF(D47="","", IFERROR(VLOOKUP(D47, 'Hidden_Data'!M:N, 2, FALSE), "0"))</f>
        <v/>
      </c>
      <c r="H47">
        <f>IF(G47="","", IFERROR(VLOOKUP(G47, 'Hidden_Data'!M:N, 2, FALSE), "0"))</f>
        <v/>
      </c>
      <c r="K47">
        <f>IF(J47="","", IFERROR(VLOOKUP(J47, 'Hidden_Data'!M:N, 2, FALSE), "0"))</f>
        <v/>
      </c>
      <c r="N47">
        <f>IF(M47="","", IFERROR(VLOOKUP(M47, 'Hidden_Data'!M:N, 2, FALSE), "0"))</f>
        <v/>
      </c>
      <c r="Q47">
        <f>IF(P47="","", IFERROR(VLOOKUP(P47, 'Hidden_Data'!M:N, 2, FALSE), "0"))</f>
        <v/>
      </c>
      <c r="T47">
        <f>IF(A47="","", SUM(IF(F47="Yes", 0, IF(E47="", 0, IFERROR(VALUE(MID(E47, SEARCH("(",E47)+1, 1)),0))), IF(I47="Yes", 0, IF(H47="", 0, IFERROR(VALUE(MID(H47, SEARCH("(",H47)+1, 1)),0))), IF(L47="Yes", 0, IF(K47="", 0, IFERROR(VALUE(MID(K47, SEARCH("(",K47)+1, 1)),0))), IF(O47="Yes", 0, IF(N47="", 0, IFERROR(VALUE(MID(N47, SEARCH("(",N47)+1, 1)),0))), IF(R47="Yes", 0, IF(Q47="", 0, IFERROR(VALUE(MID(Q47, SEARCH("(",Q47)+1, 1)),0)))))</f>
        <v/>
      </c>
      <c r="U47">
        <f>IF(A47="","", IF(T47&gt;=5, "Priority 1 (Critical)", IF(T47&gt;=3, "Priority 2 (Major)", IF(T47&gt;=1, "Priority 3 (Minor)", "Pass/Fixed"))))</f>
        <v/>
      </c>
      <c r="V47">
        <f>IF(A47="","", IF(T47&gt;0, "FAIL", "PASS"))</f>
        <v/>
      </c>
    </row>
    <row r="48">
      <c r="A48">
        <f>IF('Equipment Information'!A48="","", 'Equipment Information'!A48)</f>
        <v/>
      </c>
      <c r="B48">
        <f>IF('Equipment Information'!B48="","", 'Equipment Information'!B48)</f>
        <v/>
      </c>
      <c r="C48">
        <f>IF('Equipment Information'!C48="","", 'Equipment Information'!C48)</f>
        <v/>
      </c>
      <c r="E48">
        <f>IF(D48="","", IFERROR(VLOOKUP(D48, 'Hidden_Data'!M:N, 2, FALSE), "0"))</f>
        <v/>
      </c>
      <c r="H48">
        <f>IF(G48="","", IFERROR(VLOOKUP(G48, 'Hidden_Data'!M:N, 2, FALSE), "0"))</f>
        <v/>
      </c>
      <c r="K48">
        <f>IF(J48="","", IFERROR(VLOOKUP(J48, 'Hidden_Data'!M:N, 2, FALSE), "0"))</f>
        <v/>
      </c>
      <c r="N48">
        <f>IF(M48="","", IFERROR(VLOOKUP(M48, 'Hidden_Data'!M:N, 2, FALSE), "0"))</f>
        <v/>
      </c>
      <c r="Q48">
        <f>IF(P48="","", IFERROR(VLOOKUP(P48, 'Hidden_Data'!M:N, 2, FALSE), "0"))</f>
        <v/>
      </c>
      <c r="T48">
        <f>IF(A48="","", SUM(IF(F48="Yes", 0, IF(E48="", 0, IFERROR(VALUE(MID(E48, SEARCH("(",E48)+1, 1)),0))), IF(I48="Yes", 0, IF(H48="", 0, IFERROR(VALUE(MID(H48, SEARCH("(",H48)+1, 1)),0))), IF(L48="Yes", 0, IF(K48="", 0, IFERROR(VALUE(MID(K48, SEARCH("(",K48)+1, 1)),0))), IF(O48="Yes", 0, IF(N48="", 0, IFERROR(VALUE(MID(N48, SEARCH("(",N48)+1, 1)),0))), IF(R48="Yes", 0, IF(Q48="", 0, IFERROR(VALUE(MID(Q48, SEARCH("(",Q48)+1, 1)),0)))))</f>
        <v/>
      </c>
      <c r="U48">
        <f>IF(A48="","", IF(T48&gt;=5, "Priority 1 (Critical)", IF(T48&gt;=3, "Priority 2 (Major)", IF(T48&gt;=1, "Priority 3 (Minor)", "Pass/Fixed"))))</f>
        <v/>
      </c>
      <c r="V48">
        <f>IF(A48="","", IF(T48&gt;0, "FAIL", "PASS"))</f>
        <v/>
      </c>
    </row>
    <row r="49">
      <c r="A49">
        <f>IF('Equipment Information'!A49="","", 'Equipment Information'!A49)</f>
        <v/>
      </c>
      <c r="B49">
        <f>IF('Equipment Information'!B49="","", 'Equipment Information'!B49)</f>
        <v/>
      </c>
      <c r="C49">
        <f>IF('Equipment Information'!C49="","", 'Equipment Information'!C49)</f>
        <v/>
      </c>
      <c r="E49">
        <f>IF(D49="","", IFERROR(VLOOKUP(D49, 'Hidden_Data'!M:N, 2, FALSE), "0"))</f>
        <v/>
      </c>
      <c r="H49">
        <f>IF(G49="","", IFERROR(VLOOKUP(G49, 'Hidden_Data'!M:N, 2, FALSE), "0"))</f>
        <v/>
      </c>
      <c r="K49">
        <f>IF(J49="","", IFERROR(VLOOKUP(J49, 'Hidden_Data'!M:N, 2, FALSE), "0"))</f>
        <v/>
      </c>
      <c r="N49">
        <f>IF(M49="","", IFERROR(VLOOKUP(M49, 'Hidden_Data'!M:N, 2, FALSE), "0"))</f>
        <v/>
      </c>
      <c r="Q49">
        <f>IF(P49="","", IFERROR(VLOOKUP(P49, 'Hidden_Data'!M:N, 2, FALSE), "0"))</f>
        <v/>
      </c>
      <c r="T49">
        <f>IF(A49="","", SUM(IF(F49="Yes", 0, IF(E49="", 0, IFERROR(VALUE(MID(E49, SEARCH("(",E49)+1, 1)),0))), IF(I49="Yes", 0, IF(H49="", 0, IFERROR(VALUE(MID(H49, SEARCH("(",H49)+1, 1)),0))), IF(L49="Yes", 0, IF(K49="", 0, IFERROR(VALUE(MID(K49, SEARCH("(",K49)+1, 1)),0))), IF(O49="Yes", 0, IF(N49="", 0, IFERROR(VALUE(MID(N49, SEARCH("(",N49)+1, 1)),0))), IF(R49="Yes", 0, IF(Q49="", 0, IFERROR(VALUE(MID(Q49, SEARCH("(",Q49)+1, 1)),0)))))</f>
        <v/>
      </c>
      <c r="U49">
        <f>IF(A49="","", IF(T49&gt;=5, "Priority 1 (Critical)", IF(T49&gt;=3, "Priority 2 (Major)", IF(T49&gt;=1, "Priority 3 (Minor)", "Pass/Fixed"))))</f>
        <v/>
      </c>
      <c r="V49">
        <f>IF(A49="","", IF(T49&gt;0, "FAIL", "PASS"))</f>
        <v/>
      </c>
    </row>
    <row r="50">
      <c r="A50">
        <f>IF('Equipment Information'!A50="","", 'Equipment Information'!A50)</f>
        <v/>
      </c>
      <c r="B50">
        <f>IF('Equipment Information'!B50="","", 'Equipment Information'!B50)</f>
        <v/>
      </c>
      <c r="C50">
        <f>IF('Equipment Information'!C50="","", 'Equipment Information'!C50)</f>
        <v/>
      </c>
      <c r="E50">
        <f>IF(D50="","", IFERROR(VLOOKUP(D50, 'Hidden_Data'!M:N, 2, FALSE), "0"))</f>
        <v/>
      </c>
      <c r="H50">
        <f>IF(G50="","", IFERROR(VLOOKUP(G50, 'Hidden_Data'!M:N, 2, FALSE), "0"))</f>
        <v/>
      </c>
      <c r="K50">
        <f>IF(J50="","", IFERROR(VLOOKUP(J50, 'Hidden_Data'!M:N, 2, FALSE), "0"))</f>
        <v/>
      </c>
      <c r="N50">
        <f>IF(M50="","", IFERROR(VLOOKUP(M50, 'Hidden_Data'!M:N, 2, FALSE), "0"))</f>
        <v/>
      </c>
      <c r="Q50">
        <f>IF(P50="","", IFERROR(VLOOKUP(P50, 'Hidden_Data'!M:N, 2, FALSE), "0"))</f>
        <v/>
      </c>
      <c r="T50">
        <f>IF(A50="","", SUM(IF(F50="Yes", 0, IF(E50="", 0, IFERROR(VALUE(MID(E50, SEARCH("(",E50)+1, 1)),0))), IF(I50="Yes", 0, IF(H50="", 0, IFERROR(VALUE(MID(H50, SEARCH("(",H50)+1, 1)),0))), IF(L50="Yes", 0, IF(K50="", 0, IFERROR(VALUE(MID(K50, SEARCH("(",K50)+1, 1)),0))), IF(O50="Yes", 0, IF(N50="", 0, IFERROR(VALUE(MID(N50, SEARCH("(",N50)+1, 1)),0))), IF(R50="Yes", 0, IF(Q50="", 0, IFERROR(VALUE(MID(Q50, SEARCH("(",Q50)+1, 1)),0)))))</f>
        <v/>
      </c>
      <c r="U50">
        <f>IF(A50="","", IF(T50&gt;=5, "Priority 1 (Critical)", IF(T50&gt;=3, "Priority 2 (Major)", IF(T50&gt;=1, "Priority 3 (Minor)", "Pass/Fixed"))))</f>
        <v/>
      </c>
      <c r="V50">
        <f>IF(A50="","", IF(T50&gt;0, "FAIL", "PASS"))</f>
        <v/>
      </c>
    </row>
    <row r="51">
      <c r="A51">
        <f>IF('Equipment Information'!A51="","", 'Equipment Information'!A51)</f>
        <v/>
      </c>
      <c r="B51">
        <f>IF('Equipment Information'!B51="","", 'Equipment Information'!B51)</f>
        <v/>
      </c>
      <c r="C51">
        <f>IF('Equipment Information'!C51="","", 'Equipment Information'!C51)</f>
        <v/>
      </c>
      <c r="E51">
        <f>IF(D51="","", IFERROR(VLOOKUP(D51, 'Hidden_Data'!M:N, 2, FALSE), "0"))</f>
        <v/>
      </c>
      <c r="H51">
        <f>IF(G51="","", IFERROR(VLOOKUP(G51, 'Hidden_Data'!M:N, 2, FALSE), "0"))</f>
        <v/>
      </c>
      <c r="K51">
        <f>IF(J51="","", IFERROR(VLOOKUP(J51, 'Hidden_Data'!M:N, 2, FALSE), "0"))</f>
        <v/>
      </c>
      <c r="N51">
        <f>IF(M51="","", IFERROR(VLOOKUP(M51, 'Hidden_Data'!M:N, 2, FALSE), "0"))</f>
        <v/>
      </c>
      <c r="Q51">
        <f>IF(P51="","", IFERROR(VLOOKUP(P51, 'Hidden_Data'!M:N, 2, FALSE), "0"))</f>
        <v/>
      </c>
      <c r="T51">
        <f>IF(A51="","", SUM(IF(F51="Yes", 0, IF(E51="", 0, IFERROR(VALUE(MID(E51, SEARCH("(",E51)+1, 1)),0))), IF(I51="Yes", 0, IF(H51="", 0, IFERROR(VALUE(MID(H51, SEARCH("(",H51)+1, 1)),0))), IF(L51="Yes", 0, IF(K51="", 0, IFERROR(VALUE(MID(K51, SEARCH("(",K51)+1, 1)),0))), IF(O51="Yes", 0, IF(N51="", 0, IFERROR(VALUE(MID(N51, SEARCH("(",N51)+1, 1)),0))), IF(R51="Yes", 0, IF(Q51="", 0, IFERROR(VALUE(MID(Q51, SEARCH("(",Q51)+1, 1)),0)))))</f>
        <v/>
      </c>
      <c r="U51">
        <f>IF(A51="","", IF(T51&gt;=5, "Priority 1 (Critical)", IF(T51&gt;=3, "Priority 2 (Major)", IF(T51&gt;=1, "Priority 3 (Minor)", "Pass/Fixed"))))</f>
        <v/>
      </c>
      <c r="V51">
        <f>IF(A51="","", IF(T51&gt;0, "FAIL", "PASS"))</f>
        <v/>
      </c>
    </row>
    <row r="52">
      <c r="A52">
        <f>IF('Equipment Information'!A52="","", 'Equipment Information'!A52)</f>
        <v/>
      </c>
      <c r="B52">
        <f>IF('Equipment Information'!B52="","", 'Equipment Information'!B52)</f>
        <v/>
      </c>
      <c r="C52">
        <f>IF('Equipment Information'!C52="","", 'Equipment Information'!C52)</f>
        <v/>
      </c>
      <c r="E52">
        <f>IF(D52="","", IFERROR(VLOOKUP(D52, 'Hidden_Data'!M:N, 2, FALSE), "0"))</f>
        <v/>
      </c>
      <c r="H52">
        <f>IF(G52="","", IFERROR(VLOOKUP(G52, 'Hidden_Data'!M:N, 2, FALSE), "0"))</f>
        <v/>
      </c>
      <c r="K52">
        <f>IF(J52="","", IFERROR(VLOOKUP(J52, 'Hidden_Data'!M:N, 2, FALSE), "0"))</f>
        <v/>
      </c>
      <c r="N52">
        <f>IF(M52="","", IFERROR(VLOOKUP(M52, 'Hidden_Data'!M:N, 2, FALSE), "0"))</f>
        <v/>
      </c>
      <c r="Q52">
        <f>IF(P52="","", IFERROR(VLOOKUP(P52, 'Hidden_Data'!M:N, 2, FALSE), "0"))</f>
        <v/>
      </c>
      <c r="T52">
        <f>IF(A52="","", SUM(IF(F52="Yes", 0, IF(E52="", 0, IFERROR(VALUE(MID(E52, SEARCH("(",E52)+1, 1)),0))), IF(I52="Yes", 0, IF(H52="", 0, IFERROR(VALUE(MID(H52, SEARCH("(",H52)+1, 1)),0))), IF(L52="Yes", 0, IF(K52="", 0, IFERROR(VALUE(MID(K52, SEARCH("(",K52)+1, 1)),0))), IF(O52="Yes", 0, IF(N52="", 0, IFERROR(VALUE(MID(N52, SEARCH("(",N52)+1, 1)),0))), IF(R52="Yes", 0, IF(Q52="", 0, IFERROR(VALUE(MID(Q52, SEARCH("(",Q52)+1, 1)),0)))))</f>
        <v/>
      </c>
      <c r="U52">
        <f>IF(A52="","", IF(T52&gt;=5, "Priority 1 (Critical)", IF(T52&gt;=3, "Priority 2 (Major)", IF(T52&gt;=1, "Priority 3 (Minor)", "Pass/Fixed"))))</f>
        <v/>
      </c>
      <c r="V52">
        <f>IF(A52="","", IF(T52&gt;0, "FAIL", "PASS"))</f>
        <v/>
      </c>
    </row>
    <row r="53">
      <c r="A53">
        <f>IF('Equipment Information'!A53="","", 'Equipment Information'!A53)</f>
        <v/>
      </c>
      <c r="B53">
        <f>IF('Equipment Information'!B53="","", 'Equipment Information'!B53)</f>
        <v/>
      </c>
      <c r="C53">
        <f>IF('Equipment Information'!C53="","", 'Equipment Information'!C53)</f>
        <v/>
      </c>
      <c r="E53">
        <f>IF(D53="","", IFERROR(VLOOKUP(D53, 'Hidden_Data'!M:N, 2, FALSE), "0"))</f>
        <v/>
      </c>
      <c r="H53">
        <f>IF(G53="","", IFERROR(VLOOKUP(G53, 'Hidden_Data'!M:N, 2, FALSE), "0"))</f>
        <v/>
      </c>
      <c r="K53">
        <f>IF(J53="","", IFERROR(VLOOKUP(J53, 'Hidden_Data'!M:N, 2, FALSE), "0"))</f>
        <v/>
      </c>
      <c r="N53">
        <f>IF(M53="","", IFERROR(VLOOKUP(M53, 'Hidden_Data'!M:N, 2, FALSE), "0"))</f>
        <v/>
      </c>
      <c r="Q53">
        <f>IF(P53="","", IFERROR(VLOOKUP(P53, 'Hidden_Data'!M:N, 2, FALSE), "0"))</f>
        <v/>
      </c>
      <c r="T53">
        <f>IF(A53="","", SUM(IF(F53="Yes", 0, IF(E53="", 0, IFERROR(VALUE(MID(E53, SEARCH("(",E53)+1, 1)),0))), IF(I53="Yes", 0, IF(H53="", 0, IFERROR(VALUE(MID(H53, SEARCH("(",H53)+1, 1)),0))), IF(L53="Yes", 0, IF(K53="", 0, IFERROR(VALUE(MID(K53, SEARCH("(",K53)+1, 1)),0))), IF(O53="Yes", 0, IF(N53="", 0, IFERROR(VALUE(MID(N53, SEARCH("(",N53)+1, 1)),0))), IF(R53="Yes", 0, IF(Q53="", 0, IFERROR(VALUE(MID(Q53, SEARCH("(",Q53)+1, 1)),0)))))</f>
        <v/>
      </c>
      <c r="U53">
        <f>IF(A53="","", IF(T53&gt;=5, "Priority 1 (Critical)", IF(T53&gt;=3, "Priority 2 (Major)", IF(T53&gt;=1, "Priority 3 (Minor)", "Pass/Fixed"))))</f>
        <v/>
      </c>
      <c r="V53">
        <f>IF(A53="","", IF(T53&gt;0, "FAIL", "PASS"))</f>
        <v/>
      </c>
    </row>
    <row r="54">
      <c r="A54">
        <f>IF('Equipment Information'!A54="","", 'Equipment Information'!A54)</f>
        <v/>
      </c>
      <c r="B54">
        <f>IF('Equipment Information'!B54="","", 'Equipment Information'!B54)</f>
        <v/>
      </c>
      <c r="C54">
        <f>IF('Equipment Information'!C54="","", 'Equipment Information'!C54)</f>
        <v/>
      </c>
      <c r="E54">
        <f>IF(D54="","", IFERROR(VLOOKUP(D54, 'Hidden_Data'!M:N, 2, FALSE), "0"))</f>
        <v/>
      </c>
      <c r="H54">
        <f>IF(G54="","", IFERROR(VLOOKUP(G54, 'Hidden_Data'!M:N, 2, FALSE), "0"))</f>
        <v/>
      </c>
      <c r="K54">
        <f>IF(J54="","", IFERROR(VLOOKUP(J54, 'Hidden_Data'!M:N, 2, FALSE), "0"))</f>
        <v/>
      </c>
      <c r="N54">
        <f>IF(M54="","", IFERROR(VLOOKUP(M54, 'Hidden_Data'!M:N, 2, FALSE), "0"))</f>
        <v/>
      </c>
      <c r="Q54">
        <f>IF(P54="","", IFERROR(VLOOKUP(P54, 'Hidden_Data'!M:N, 2, FALSE), "0"))</f>
        <v/>
      </c>
      <c r="T54">
        <f>IF(A54="","", SUM(IF(F54="Yes", 0, IF(E54="", 0, IFERROR(VALUE(MID(E54, SEARCH("(",E54)+1, 1)),0))), IF(I54="Yes", 0, IF(H54="", 0, IFERROR(VALUE(MID(H54, SEARCH("(",H54)+1, 1)),0))), IF(L54="Yes", 0, IF(K54="", 0, IFERROR(VALUE(MID(K54, SEARCH("(",K54)+1, 1)),0))), IF(O54="Yes", 0, IF(N54="", 0, IFERROR(VALUE(MID(N54, SEARCH("(",N54)+1, 1)),0))), IF(R54="Yes", 0, IF(Q54="", 0, IFERROR(VALUE(MID(Q54, SEARCH("(",Q54)+1, 1)),0)))))</f>
        <v/>
      </c>
      <c r="U54">
        <f>IF(A54="","", IF(T54&gt;=5, "Priority 1 (Critical)", IF(T54&gt;=3, "Priority 2 (Major)", IF(T54&gt;=1, "Priority 3 (Minor)", "Pass/Fixed"))))</f>
        <v/>
      </c>
      <c r="V54">
        <f>IF(A54="","", IF(T54&gt;0, "FAIL", "PASS"))</f>
        <v/>
      </c>
    </row>
    <row r="55">
      <c r="A55">
        <f>IF('Equipment Information'!A55="","", 'Equipment Information'!A55)</f>
        <v/>
      </c>
      <c r="B55">
        <f>IF('Equipment Information'!B55="","", 'Equipment Information'!B55)</f>
        <v/>
      </c>
      <c r="C55">
        <f>IF('Equipment Information'!C55="","", 'Equipment Information'!C55)</f>
        <v/>
      </c>
      <c r="E55">
        <f>IF(D55="","", IFERROR(VLOOKUP(D55, 'Hidden_Data'!M:N, 2, FALSE), "0"))</f>
        <v/>
      </c>
      <c r="H55">
        <f>IF(G55="","", IFERROR(VLOOKUP(G55, 'Hidden_Data'!M:N, 2, FALSE), "0"))</f>
        <v/>
      </c>
      <c r="K55">
        <f>IF(J55="","", IFERROR(VLOOKUP(J55, 'Hidden_Data'!M:N, 2, FALSE), "0"))</f>
        <v/>
      </c>
      <c r="N55">
        <f>IF(M55="","", IFERROR(VLOOKUP(M55, 'Hidden_Data'!M:N, 2, FALSE), "0"))</f>
        <v/>
      </c>
      <c r="Q55">
        <f>IF(P55="","", IFERROR(VLOOKUP(P55, 'Hidden_Data'!M:N, 2, FALSE), "0"))</f>
        <v/>
      </c>
      <c r="T55">
        <f>IF(A55="","", SUM(IF(F55="Yes", 0, IF(E55="", 0, IFERROR(VALUE(MID(E55, SEARCH("(",E55)+1, 1)),0))), IF(I55="Yes", 0, IF(H55="", 0, IFERROR(VALUE(MID(H55, SEARCH("(",H55)+1, 1)),0))), IF(L55="Yes", 0, IF(K55="", 0, IFERROR(VALUE(MID(K55, SEARCH("(",K55)+1, 1)),0))), IF(O55="Yes", 0, IF(N55="", 0, IFERROR(VALUE(MID(N55, SEARCH("(",N55)+1, 1)),0))), IF(R55="Yes", 0, IF(Q55="", 0, IFERROR(VALUE(MID(Q55, SEARCH("(",Q55)+1, 1)),0)))))</f>
        <v/>
      </c>
      <c r="U55">
        <f>IF(A55="","", IF(T55&gt;=5, "Priority 1 (Critical)", IF(T55&gt;=3, "Priority 2 (Major)", IF(T55&gt;=1, "Priority 3 (Minor)", "Pass/Fixed"))))</f>
        <v/>
      </c>
      <c r="V55">
        <f>IF(A55="","", IF(T55&gt;0, "FAIL", "PASS"))</f>
        <v/>
      </c>
    </row>
    <row r="56">
      <c r="A56">
        <f>IF('Equipment Information'!A56="","", 'Equipment Information'!A56)</f>
        <v/>
      </c>
      <c r="B56">
        <f>IF('Equipment Information'!B56="","", 'Equipment Information'!B56)</f>
        <v/>
      </c>
      <c r="C56">
        <f>IF('Equipment Information'!C56="","", 'Equipment Information'!C56)</f>
        <v/>
      </c>
      <c r="E56">
        <f>IF(D56="","", IFERROR(VLOOKUP(D56, 'Hidden_Data'!M:N, 2, FALSE), "0"))</f>
        <v/>
      </c>
      <c r="H56">
        <f>IF(G56="","", IFERROR(VLOOKUP(G56, 'Hidden_Data'!M:N, 2, FALSE), "0"))</f>
        <v/>
      </c>
      <c r="K56">
        <f>IF(J56="","", IFERROR(VLOOKUP(J56, 'Hidden_Data'!M:N, 2, FALSE), "0"))</f>
        <v/>
      </c>
      <c r="N56">
        <f>IF(M56="","", IFERROR(VLOOKUP(M56, 'Hidden_Data'!M:N, 2, FALSE), "0"))</f>
        <v/>
      </c>
      <c r="Q56">
        <f>IF(P56="","", IFERROR(VLOOKUP(P56, 'Hidden_Data'!M:N, 2, FALSE), "0"))</f>
        <v/>
      </c>
      <c r="T56">
        <f>IF(A56="","", SUM(IF(F56="Yes", 0, IF(E56="", 0, IFERROR(VALUE(MID(E56, SEARCH("(",E56)+1, 1)),0))), IF(I56="Yes", 0, IF(H56="", 0, IFERROR(VALUE(MID(H56, SEARCH("(",H56)+1, 1)),0))), IF(L56="Yes", 0, IF(K56="", 0, IFERROR(VALUE(MID(K56, SEARCH("(",K56)+1, 1)),0))), IF(O56="Yes", 0, IF(N56="", 0, IFERROR(VALUE(MID(N56, SEARCH("(",N56)+1, 1)),0))), IF(R56="Yes", 0, IF(Q56="", 0, IFERROR(VALUE(MID(Q56, SEARCH("(",Q56)+1, 1)),0)))))</f>
        <v/>
      </c>
      <c r="U56">
        <f>IF(A56="","", IF(T56&gt;=5, "Priority 1 (Critical)", IF(T56&gt;=3, "Priority 2 (Major)", IF(T56&gt;=1, "Priority 3 (Minor)", "Pass/Fixed"))))</f>
        <v/>
      </c>
      <c r="V56">
        <f>IF(A56="","", IF(T56&gt;0, "FAIL", "PASS"))</f>
        <v/>
      </c>
    </row>
    <row r="57">
      <c r="A57">
        <f>IF('Equipment Information'!A57="","", 'Equipment Information'!A57)</f>
        <v/>
      </c>
      <c r="B57">
        <f>IF('Equipment Information'!B57="","", 'Equipment Information'!B57)</f>
        <v/>
      </c>
      <c r="C57">
        <f>IF('Equipment Information'!C57="","", 'Equipment Information'!C57)</f>
        <v/>
      </c>
      <c r="E57">
        <f>IF(D57="","", IFERROR(VLOOKUP(D57, 'Hidden_Data'!M:N, 2, FALSE), "0"))</f>
        <v/>
      </c>
      <c r="H57">
        <f>IF(G57="","", IFERROR(VLOOKUP(G57, 'Hidden_Data'!M:N, 2, FALSE), "0"))</f>
        <v/>
      </c>
      <c r="K57">
        <f>IF(J57="","", IFERROR(VLOOKUP(J57, 'Hidden_Data'!M:N, 2, FALSE), "0"))</f>
        <v/>
      </c>
      <c r="N57">
        <f>IF(M57="","", IFERROR(VLOOKUP(M57, 'Hidden_Data'!M:N, 2, FALSE), "0"))</f>
        <v/>
      </c>
      <c r="Q57">
        <f>IF(P57="","", IFERROR(VLOOKUP(P57, 'Hidden_Data'!M:N, 2, FALSE), "0"))</f>
        <v/>
      </c>
      <c r="T57">
        <f>IF(A57="","", SUM(IF(F57="Yes", 0, IF(E57="", 0, IFERROR(VALUE(MID(E57, SEARCH("(",E57)+1, 1)),0))), IF(I57="Yes", 0, IF(H57="", 0, IFERROR(VALUE(MID(H57, SEARCH("(",H57)+1, 1)),0))), IF(L57="Yes", 0, IF(K57="", 0, IFERROR(VALUE(MID(K57, SEARCH("(",K57)+1, 1)),0))), IF(O57="Yes", 0, IF(N57="", 0, IFERROR(VALUE(MID(N57, SEARCH("(",N57)+1, 1)),0))), IF(R57="Yes", 0, IF(Q57="", 0, IFERROR(VALUE(MID(Q57, SEARCH("(",Q57)+1, 1)),0)))))</f>
        <v/>
      </c>
      <c r="U57">
        <f>IF(A57="","", IF(T57&gt;=5, "Priority 1 (Critical)", IF(T57&gt;=3, "Priority 2 (Major)", IF(T57&gt;=1, "Priority 3 (Minor)", "Pass/Fixed"))))</f>
        <v/>
      </c>
      <c r="V57">
        <f>IF(A57="","", IF(T57&gt;0, "FAIL", "PASS"))</f>
        <v/>
      </c>
    </row>
    <row r="58">
      <c r="A58">
        <f>IF('Equipment Information'!A58="","", 'Equipment Information'!A58)</f>
        <v/>
      </c>
      <c r="B58">
        <f>IF('Equipment Information'!B58="","", 'Equipment Information'!B58)</f>
        <v/>
      </c>
      <c r="C58">
        <f>IF('Equipment Information'!C58="","", 'Equipment Information'!C58)</f>
        <v/>
      </c>
      <c r="E58">
        <f>IF(D58="","", IFERROR(VLOOKUP(D58, 'Hidden_Data'!M:N, 2, FALSE), "0"))</f>
        <v/>
      </c>
      <c r="H58">
        <f>IF(G58="","", IFERROR(VLOOKUP(G58, 'Hidden_Data'!M:N, 2, FALSE), "0"))</f>
        <v/>
      </c>
      <c r="K58">
        <f>IF(J58="","", IFERROR(VLOOKUP(J58, 'Hidden_Data'!M:N, 2, FALSE), "0"))</f>
        <v/>
      </c>
      <c r="N58">
        <f>IF(M58="","", IFERROR(VLOOKUP(M58, 'Hidden_Data'!M:N, 2, FALSE), "0"))</f>
        <v/>
      </c>
      <c r="Q58">
        <f>IF(P58="","", IFERROR(VLOOKUP(P58, 'Hidden_Data'!M:N, 2, FALSE), "0"))</f>
        <v/>
      </c>
      <c r="T58">
        <f>IF(A58="","", SUM(IF(F58="Yes", 0, IF(E58="", 0, IFERROR(VALUE(MID(E58, SEARCH("(",E58)+1, 1)),0))), IF(I58="Yes", 0, IF(H58="", 0, IFERROR(VALUE(MID(H58, SEARCH("(",H58)+1, 1)),0))), IF(L58="Yes", 0, IF(K58="", 0, IFERROR(VALUE(MID(K58, SEARCH("(",K58)+1, 1)),0))), IF(O58="Yes", 0, IF(N58="", 0, IFERROR(VALUE(MID(N58, SEARCH("(",N58)+1, 1)),0))), IF(R58="Yes", 0, IF(Q58="", 0, IFERROR(VALUE(MID(Q58, SEARCH("(",Q58)+1, 1)),0)))))</f>
        <v/>
      </c>
      <c r="U58">
        <f>IF(A58="","", IF(T58&gt;=5, "Priority 1 (Critical)", IF(T58&gt;=3, "Priority 2 (Major)", IF(T58&gt;=1, "Priority 3 (Minor)", "Pass/Fixed"))))</f>
        <v/>
      </c>
      <c r="V58">
        <f>IF(A58="","", IF(T58&gt;0, "FAIL", "PASS"))</f>
        <v/>
      </c>
    </row>
    <row r="59">
      <c r="A59">
        <f>IF('Equipment Information'!A59="","", 'Equipment Information'!A59)</f>
        <v/>
      </c>
      <c r="B59">
        <f>IF('Equipment Information'!B59="","", 'Equipment Information'!B59)</f>
        <v/>
      </c>
      <c r="C59">
        <f>IF('Equipment Information'!C59="","", 'Equipment Information'!C59)</f>
        <v/>
      </c>
      <c r="E59">
        <f>IF(D59="","", IFERROR(VLOOKUP(D59, 'Hidden_Data'!M:N, 2, FALSE), "0"))</f>
        <v/>
      </c>
      <c r="H59">
        <f>IF(G59="","", IFERROR(VLOOKUP(G59, 'Hidden_Data'!M:N, 2, FALSE), "0"))</f>
        <v/>
      </c>
      <c r="K59">
        <f>IF(J59="","", IFERROR(VLOOKUP(J59, 'Hidden_Data'!M:N, 2, FALSE), "0"))</f>
        <v/>
      </c>
      <c r="N59">
        <f>IF(M59="","", IFERROR(VLOOKUP(M59, 'Hidden_Data'!M:N, 2, FALSE), "0"))</f>
        <v/>
      </c>
      <c r="Q59">
        <f>IF(P59="","", IFERROR(VLOOKUP(P59, 'Hidden_Data'!M:N, 2, FALSE), "0"))</f>
        <v/>
      </c>
      <c r="T59">
        <f>IF(A59="","", SUM(IF(F59="Yes", 0, IF(E59="", 0, IFERROR(VALUE(MID(E59, SEARCH("(",E59)+1, 1)),0))), IF(I59="Yes", 0, IF(H59="", 0, IFERROR(VALUE(MID(H59, SEARCH("(",H59)+1, 1)),0))), IF(L59="Yes", 0, IF(K59="", 0, IFERROR(VALUE(MID(K59, SEARCH("(",K59)+1, 1)),0))), IF(O59="Yes", 0, IF(N59="", 0, IFERROR(VALUE(MID(N59, SEARCH("(",N59)+1, 1)),0))), IF(R59="Yes", 0, IF(Q59="", 0, IFERROR(VALUE(MID(Q59, SEARCH("(",Q59)+1, 1)),0)))))</f>
        <v/>
      </c>
      <c r="U59">
        <f>IF(A59="","", IF(T59&gt;=5, "Priority 1 (Critical)", IF(T59&gt;=3, "Priority 2 (Major)", IF(T59&gt;=1, "Priority 3 (Minor)", "Pass/Fixed"))))</f>
        <v/>
      </c>
      <c r="V59">
        <f>IF(A59="","", IF(T59&gt;0, "FAIL", "PASS"))</f>
        <v/>
      </c>
    </row>
    <row r="60">
      <c r="A60">
        <f>IF('Equipment Information'!A60="","", 'Equipment Information'!A60)</f>
        <v/>
      </c>
      <c r="B60">
        <f>IF('Equipment Information'!B60="","", 'Equipment Information'!B60)</f>
        <v/>
      </c>
      <c r="C60">
        <f>IF('Equipment Information'!C60="","", 'Equipment Information'!C60)</f>
        <v/>
      </c>
      <c r="E60">
        <f>IF(D60="","", IFERROR(VLOOKUP(D60, 'Hidden_Data'!M:N, 2, FALSE), "0"))</f>
        <v/>
      </c>
      <c r="H60">
        <f>IF(G60="","", IFERROR(VLOOKUP(G60, 'Hidden_Data'!M:N, 2, FALSE), "0"))</f>
        <v/>
      </c>
      <c r="K60">
        <f>IF(J60="","", IFERROR(VLOOKUP(J60, 'Hidden_Data'!M:N, 2, FALSE), "0"))</f>
        <v/>
      </c>
      <c r="N60">
        <f>IF(M60="","", IFERROR(VLOOKUP(M60, 'Hidden_Data'!M:N, 2, FALSE), "0"))</f>
        <v/>
      </c>
      <c r="Q60">
        <f>IF(P60="","", IFERROR(VLOOKUP(P60, 'Hidden_Data'!M:N, 2, FALSE), "0"))</f>
        <v/>
      </c>
      <c r="T60">
        <f>IF(A60="","", SUM(IF(F60="Yes", 0, IF(E60="", 0, IFERROR(VALUE(MID(E60, SEARCH("(",E60)+1, 1)),0))), IF(I60="Yes", 0, IF(H60="", 0, IFERROR(VALUE(MID(H60, SEARCH("(",H60)+1, 1)),0))), IF(L60="Yes", 0, IF(K60="", 0, IFERROR(VALUE(MID(K60, SEARCH("(",K60)+1, 1)),0))), IF(O60="Yes", 0, IF(N60="", 0, IFERROR(VALUE(MID(N60, SEARCH("(",N60)+1, 1)),0))), IF(R60="Yes", 0, IF(Q60="", 0, IFERROR(VALUE(MID(Q60, SEARCH("(",Q60)+1, 1)),0)))))</f>
        <v/>
      </c>
      <c r="U60">
        <f>IF(A60="","", IF(T60&gt;=5, "Priority 1 (Critical)", IF(T60&gt;=3, "Priority 2 (Major)", IF(T60&gt;=1, "Priority 3 (Minor)", "Pass/Fixed"))))</f>
        <v/>
      </c>
      <c r="V60">
        <f>IF(A60="","", IF(T60&gt;0, "FAIL", "PASS"))</f>
        <v/>
      </c>
    </row>
    <row r="61">
      <c r="A61">
        <f>IF('Equipment Information'!A61="","", 'Equipment Information'!A61)</f>
        <v/>
      </c>
      <c r="B61">
        <f>IF('Equipment Information'!B61="","", 'Equipment Information'!B61)</f>
        <v/>
      </c>
      <c r="C61">
        <f>IF('Equipment Information'!C61="","", 'Equipment Information'!C61)</f>
        <v/>
      </c>
      <c r="E61">
        <f>IF(D61="","", IFERROR(VLOOKUP(D61, 'Hidden_Data'!M:N, 2, FALSE), "0"))</f>
        <v/>
      </c>
      <c r="H61">
        <f>IF(G61="","", IFERROR(VLOOKUP(G61, 'Hidden_Data'!M:N, 2, FALSE), "0"))</f>
        <v/>
      </c>
      <c r="K61">
        <f>IF(J61="","", IFERROR(VLOOKUP(J61, 'Hidden_Data'!M:N, 2, FALSE), "0"))</f>
        <v/>
      </c>
      <c r="N61">
        <f>IF(M61="","", IFERROR(VLOOKUP(M61, 'Hidden_Data'!M:N, 2, FALSE), "0"))</f>
        <v/>
      </c>
      <c r="Q61">
        <f>IF(P61="","", IFERROR(VLOOKUP(P61, 'Hidden_Data'!M:N, 2, FALSE), "0"))</f>
        <v/>
      </c>
      <c r="T61">
        <f>IF(A61="","", SUM(IF(F61="Yes", 0, IF(E61="", 0, IFERROR(VALUE(MID(E61, SEARCH("(",E61)+1, 1)),0))), IF(I61="Yes", 0, IF(H61="", 0, IFERROR(VALUE(MID(H61, SEARCH("(",H61)+1, 1)),0))), IF(L61="Yes", 0, IF(K61="", 0, IFERROR(VALUE(MID(K61, SEARCH("(",K61)+1, 1)),0))), IF(O61="Yes", 0, IF(N61="", 0, IFERROR(VALUE(MID(N61, SEARCH("(",N61)+1, 1)),0))), IF(R61="Yes", 0, IF(Q61="", 0, IFERROR(VALUE(MID(Q61, SEARCH("(",Q61)+1, 1)),0)))))</f>
        <v/>
      </c>
      <c r="U61">
        <f>IF(A61="","", IF(T61&gt;=5, "Priority 1 (Critical)", IF(T61&gt;=3, "Priority 2 (Major)", IF(T61&gt;=1, "Priority 3 (Minor)", "Pass/Fixed"))))</f>
        <v/>
      </c>
      <c r="V61">
        <f>IF(A61="","", IF(T61&gt;0, "FAIL", "PASS"))</f>
        <v/>
      </c>
    </row>
    <row r="62">
      <c r="A62">
        <f>IF('Equipment Information'!A62="","", 'Equipment Information'!A62)</f>
        <v/>
      </c>
      <c r="B62">
        <f>IF('Equipment Information'!B62="","", 'Equipment Information'!B62)</f>
        <v/>
      </c>
      <c r="C62">
        <f>IF('Equipment Information'!C62="","", 'Equipment Information'!C62)</f>
        <v/>
      </c>
      <c r="E62">
        <f>IF(D62="","", IFERROR(VLOOKUP(D62, 'Hidden_Data'!M:N, 2, FALSE), "0"))</f>
        <v/>
      </c>
      <c r="H62">
        <f>IF(G62="","", IFERROR(VLOOKUP(G62, 'Hidden_Data'!M:N, 2, FALSE), "0"))</f>
        <v/>
      </c>
      <c r="K62">
        <f>IF(J62="","", IFERROR(VLOOKUP(J62, 'Hidden_Data'!M:N, 2, FALSE), "0"))</f>
        <v/>
      </c>
      <c r="N62">
        <f>IF(M62="","", IFERROR(VLOOKUP(M62, 'Hidden_Data'!M:N, 2, FALSE), "0"))</f>
        <v/>
      </c>
      <c r="Q62">
        <f>IF(P62="","", IFERROR(VLOOKUP(P62, 'Hidden_Data'!M:N, 2, FALSE), "0"))</f>
        <v/>
      </c>
      <c r="T62">
        <f>IF(A62="","", SUM(IF(F62="Yes", 0, IF(E62="", 0, IFERROR(VALUE(MID(E62, SEARCH("(",E62)+1, 1)),0))), IF(I62="Yes", 0, IF(H62="", 0, IFERROR(VALUE(MID(H62, SEARCH("(",H62)+1, 1)),0))), IF(L62="Yes", 0, IF(K62="", 0, IFERROR(VALUE(MID(K62, SEARCH("(",K62)+1, 1)),0))), IF(O62="Yes", 0, IF(N62="", 0, IFERROR(VALUE(MID(N62, SEARCH("(",N62)+1, 1)),0))), IF(R62="Yes", 0, IF(Q62="", 0, IFERROR(VALUE(MID(Q62, SEARCH("(",Q62)+1, 1)),0)))))</f>
        <v/>
      </c>
      <c r="U62">
        <f>IF(A62="","", IF(T62&gt;=5, "Priority 1 (Critical)", IF(T62&gt;=3, "Priority 2 (Major)", IF(T62&gt;=1, "Priority 3 (Minor)", "Pass/Fixed"))))</f>
        <v/>
      </c>
      <c r="V62">
        <f>IF(A62="","", IF(T62&gt;0, "FAIL", "PASS"))</f>
        <v/>
      </c>
    </row>
    <row r="63">
      <c r="A63">
        <f>IF('Equipment Information'!A63="","", 'Equipment Information'!A63)</f>
        <v/>
      </c>
      <c r="B63">
        <f>IF('Equipment Information'!B63="","", 'Equipment Information'!B63)</f>
        <v/>
      </c>
      <c r="C63">
        <f>IF('Equipment Information'!C63="","", 'Equipment Information'!C63)</f>
        <v/>
      </c>
      <c r="E63">
        <f>IF(D63="","", IFERROR(VLOOKUP(D63, 'Hidden_Data'!M:N, 2, FALSE), "0"))</f>
        <v/>
      </c>
      <c r="H63">
        <f>IF(G63="","", IFERROR(VLOOKUP(G63, 'Hidden_Data'!M:N, 2, FALSE), "0"))</f>
        <v/>
      </c>
      <c r="K63">
        <f>IF(J63="","", IFERROR(VLOOKUP(J63, 'Hidden_Data'!M:N, 2, FALSE), "0"))</f>
        <v/>
      </c>
      <c r="N63">
        <f>IF(M63="","", IFERROR(VLOOKUP(M63, 'Hidden_Data'!M:N, 2, FALSE), "0"))</f>
        <v/>
      </c>
      <c r="Q63">
        <f>IF(P63="","", IFERROR(VLOOKUP(P63, 'Hidden_Data'!M:N, 2, FALSE), "0"))</f>
        <v/>
      </c>
      <c r="T63">
        <f>IF(A63="","", SUM(IF(F63="Yes", 0, IF(E63="", 0, IFERROR(VALUE(MID(E63, SEARCH("(",E63)+1, 1)),0))), IF(I63="Yes", 0, IF(H63="", 0, IFERROR(VALUE(MID(H63, SEARCH("(",H63)+1, 1)),0))), IF(L63="Yes", 0, IF(K63="", 0, IFERROR(VALUE(MID(K63, SEARCH("(",K63)+1, 1)),0))), IF(O63="Yes", 0, IF(N63="", 0, IFERROR(VALUE(MID(N63, SEARCH("(",N63)+1, 1)),0))), IF(R63="Yes", 0, IF(Q63="", 0, IFERROR(VALUE(MID(Q63, SEARCH("(",Q63)+1, 1)),0)))))</f>
        <v/>
      </c>
      <c r="U63">
        <f>IF(A63="","", IF(T63&gt;=5, "Priority 1 (Critical)", IF(T63&gt;=3, "Priority 2 (Major)", IF(T63&gt;=1, "Priority 3 (Minor)", "Pass/Fixed"))))</f>
        <v/>
      </c>
      <c r="V63">
        <f>IF(A63="","", IF(T63&gt;0, "FAIL", "PASS"))</f>
        <v/>
      </c>
    </row>
    <row r="64">
      <c r="A64">
        <f>IF('Equipment Information'!A64="","", 'Equipment Information'!A64)</f>
        <v/>
      </c>
      <c r="B64">
        <f>IF('Equipment Information'!B64="","", 'Equipment Information'!B64)</f>
        <v/>
      </c>
      <c r="C64">
        <f>IF('Equipment Information'!C64="","", 'Equipment Information'!C64)</f>
        <v/>
      </c>
      <c r="E64">
        <f>IF(D64="","", IFERROR(VLOOKUP(D64, 'Hidden_Data'!M:N, 2, FALSE), "0"))</f>
        <v/>
      </c>
      <c r="H64">
        <f>IF(G64="","", IFERROR(VLOOKUP(G64, 'Hidden_Data'!M:N, 2, FALSE), "0"))</f>
        <v/>
      </c>
      <c r="K64">
        <f>IF(J64="","", IFERROR(VLOOKUP(J64, 'Hidden_Data'!M:N, 2, FALSE), "0"))</f>
        <v/>
      </c>
      <c r="N64">
        <f>IF(M64="","", IFERROR(VLOOKUP(M64, 'Hidden_Data'!M:N, 2, FALSE), "0"))</f>
        <v/>
      </c>
      <c r="Q64">
        <f>IF(P64="","", IFERROR(VLOOKUP(P64, 'Hidden_Data'!M:N, 2, FALSE), "0"))</f>
        <v/>
      </c>
      <c r="T64">
        <f>IF(A64="","", SUM(IF(F64="Yes", 0, IF(E64="", 0, IFERROR(VALUE(MID(E64, SEARCH("(",E64)+1, 1)),0))), IF(I64="Yes", 0, IF(H64="", 0, IFERROR(VALUE(MID(H64, SEARCH("(",H64)+1, 1)),0))), IF(L64="Yes", 0, IF(K64="", 0, IFERROR(VALUE(MID(K64, SEARCH("(",K64)+1, 1)),0))), IF(O64="Yes", 0, IF(N64="", 0, IFERROR(VALUE(MID(N64, SEARCH("(",N64)+1, 1)),0))), IF(R64="Yes", 0, IF(Q64="", 0, IFERROR(VALUE(MID(Q64, SEARCH("(",Q64)+1, 1)),0)))))</f>
        <v/>
      </c>
      <c r="U64">
        <f>IF(A64="","", IF(T64&gt;=5, "Priority 1 (Critical)", IF(T64&gt;=3, "Priority 2 (Major)", IF(T64&gt;=1, "Priority 3 (Minor)", "Pass/Fixed"))))</f>
        <v/>
      </c>
      <c r="V64">
        <f>IF(A64="","", IF(T64&gt;0, "FAIL", "PASS"))</f>
        <v/>
      </c>
    </row>
    <row r="65">
      <c r="A65">
        <f>IF('Equipment Information'!A65="","", 'Equipment Information'!A65)</f>
        <v/>
      </c>
      <c r="B65">
        <f>IF('Equipment Information'!B65="","", 'Equipment Information'!B65)</f>
        <v/>
      </c>
      <c r="C65">
        <f>IF('Equipment Information'!C65="","", 'Equipment Information'!C65)</f>
        <v/>
      </c>
      <c r="E65">
        <f>IF(D65="","", IFERROR(VLOOKUP(D65, 'Hidden_Data'!M:N, 2, FALSE), "0"))</f>
        <v/>
      </c>
      <c r="H65">
        <f>IF(G65="","", IFERROR(VLOOKUP(G65, 'Hidden_Data'!M:N, 2, FALSE), "0"))</f>
        <v/>
      </c>
      <c r="K65">
        <f>IF(J65="","", IFERROR(VLOOKUP(J65, 'Hidden_Data'!M:N, 2, FALSE), "0"))</f>
        <v/>
      </c>
      <c r="N65">
        <f>IF(M65="","", IFERROR(VLOOKUP(M65, 'Hidden_Data'!M:N, 2, FALSE), "0"))</f>
        <v/>
      </c>
      <c r="Q65">
        <f>IF(P65="","", IFERROR(VLOOKUP(P65, 'Hidden_Data'!M:N, 2, FALSE), "0"))</f>
        <v/>
      </c>
      <c r="T65">
        <f>IF(A65="","", SUM(IF(F65="Yes", 0, IF(E65="", 0, IFERROR(VALUE(MID(E65, SEARCH("(",E65)+1, 1)),0))), IF(I65="Yes", 0, IF(H65="", 0, IFERROR(VALUE(MID(H65, SEARCH("(",H65)+1, 1)),0))), IF(L65="Yes", 0, IF(K65="", 0, IFERROR(VALUE(MID(K65, SEARCH("(",K65)+1, 1)),0))), IF(O65="Yes", 0, IF(N65="", 0, IFERROR(VALUE(MID(N65, SEARCH("(",N65)+1, 1)),0))), IF(R65="Yes", 0, IF(Q65="", 0, IFERROR(VALUE(MID(Q65, SEARCH("(",Q65)+1, 1)),0)))))</f>
        <v/>
      </c>
      <c r="U65">
        <f>IF(A65="","", IF(T65&gt;=5, "Priority 1 (Critical)", IF(T65&gt;=3, "Priority 2 (Major)", IF(T65&gt;=1, "Priority 3 (Minor)", "Pass/Fixed"))))</f>
        <v/>
      </c>
      <c r="V65">
        <f>IF(A65="","", IF(T65&gt;0, "FAIL", "PASS"))</f>
        <v/>
      </c>
    </row>
    <row r="66">
      <c r="A66">
        <f>IF('Equipment Information'!A66="","", 'Equipment Information'!A66)</f>
        <v/>
      </c>
      <c r="B66">
        <f>IF('Equipment Information'!B66="","", 'Equipment Information'!B66)</f>
        <v/>
      </c>
      <c r="C66">
        <f>IF('Equipment Information'!C66="","", 'Equipment Information'!C66)</f>
        <v/>
      </c>
      <c r="E66">
        <f>IF(D66="","", IFERROR(VLOOKUP(D66, 'Hidden_Data'!M:N, 2, FALSE), "0"))</f>
        <v/>
      </c>
      <c r="H66">
        <f>IF(G66="","", IFERROR(VLOOKUP(G66, 'Hidden_Data'!M:N, 2, FALSE), "0"))</f>
        <v/>
      </c>
      <c r="K66">
        <f>IF(J66="","", IFERROR(VLOOKUP(J66, 'Hidden_Data'!M:N, 2, FALSE), "0"))</f>
        <v/>
      </c>
      <c r="N66">
        <f>IF(M66="","", IFERROR(VLOOKUP(M66, 'Hidden_Data'!M:N, 2, FALSE), "0"))</f>
        <v/>
      </c>
      <c r="Q66">
        <f>IF(P66="","", IFERROR(VLOOKUP(P66, 'Hidden_Data'!M:N, 2, FALSE), "0"))</f>
        <v/>
      </c>
      <c r="T66">
        <f>IF(A66="","", SUM(IF(F66="Yes", 0, IF(E66="", 0, IFERROR(VALUE(MID(E66, SEARCH("(",E66)+1, 1)),0))), IF(I66="Yes", 0, IF(H66="", 0, IFERROR(VALUE(MID(H66, SEARCH("(",H66)+1, 1)),0))), IF(L66="Yes", 0, IF(K66="", 0, IFERROR(VALUE(MID(K66, SEARCH("(",K66)+1, 1)),0))), IF(O66="Yes", 0, IF(N66="", 0, IFERROR(VALUE(MID(N66, SEARCH("(",N66)+1, 1)),0))), IF(R66="Yes", 0, IF(Q66="", 0, IFERROR(VALUE(MID(Q66, SEARCH("(",Q66)+1, 1)),0)))))</f>
        <v/>
      </c>
      <c r="U66">
        <f>IF(A66="","", IF(T66&gt;=5, "Priority 1 (Critical)", IF(T66&gt;=3, "Priority 2 (Major)", IF(T66&gt;=1, "Priority 3 (Minor)", "Pass/Fixed"))))</f>
        <v/>
      </c>
      <c r="V66">
        <f>IF(A66="","", IF(T66&gt;0, "FAIL", "PASS"))</f>
        <v/>
      </c>
    </row>
    <row r="67">
      <c r="A67">
        <f>IF('Equipment Information'!A67="","", 'Equipment Information'!A67)</f>
        <v/>
      </c>
      <c r="B67">
        <f>IF('Equipment Information'!B67="","", 'Equipment Information'!B67)</f>
        <v/>
      </c>
      <c r="C67">
        <f>IF('Equipment Information'!C67="","", 'Equipment Information'!C67)</f>
        <v/>
      </c>
      <c r="E67">
        <f>IF(D67="","", IFERROR(VLOOKUP(D67, 'Hidden_Data'!M:N, 2, FALSE), "0"))</f>
        <v/>
      </c>
      <c r="H67">
        <f>IF(G67="","", IFERROR(VLOOKUP(G67, 'Hidden_Data'!M:N, 2, FALSE), "0"))</f>
        <v/>
      </c>
      <c r="K67">
        <f>IF(J67="","", IFERROR(VLOOKUP(J67, 'Hidden_Data'!M:N, 2, FALSE), "0"))</f>
        <v/>
      </c>
      <c r="N67">
        <f>IF(M67="","", IFERROR(VLOOKUP(M67, 'Hidden_Data'!M:N, 2, FALSE), "0"))</f>
        <v/>
      </c>
      <c r="Q67">
        <f>IF(P67="","", IFERROR(VLOOKUP(P67, 'Hidden_Data'!M:N, 2, FALSE), "0"))</f>
        <v/>
      </c>
      <c r="T67">
        <f>IF(A67="","", SUM(IF(F67="Yes", 0, IF(E67="", 0, IFERROR(VALUE(MID(E67, SEARCH("(",E67)+1, 1)),0))), IF(I67="Yes", 0, IF(H67="", 0, IFERROR(VALUE(MID(H67, SEARCH("(",H67)+1, 1)),0))), IF(L67="Yes", 0, IF(K67="", 0, IFERROR(VALUE(MID(K67, SEARCH("(",K67)+1, 1)),0))), IF(O67="Yes", 0, IF(N67="", 0, IFERROR(VALUE(MID(N67, SEARCH("(",N67)+1, 1)),0))), IF(R67="Yes", 0, IF(Q67="", 0, IFERROR(VALUE(MID(Q67, SEARCH("(",Q67)+1, 1)),0)))))</f>
        <v/>
      </c>
      <c r="U67">
        <f>IF(A67="","", IF(T67&gt;=5, "Priority 1 (Critical)", IF(T67&gt;=3, "Priority 2 (Major)", IF(T67&gt;=1, "Priority 3 (Minor)", "Pass/Fixed"))))</f>
        <v/>
      </c>
      <c r="V67">
        <f>IF(A67="","", IF(T67&gt;0, "FAIL", "PASS"))</f>
        <v/>
      </c>
    </row>
    <row r="68">
      <c r="A68">
        <f>IF('Equipment Information'!A68="","", 'Equipment Information'!A68)</f>
        <v/>
      </c>
      <c r="B68">
        <f>IF('Equipment Information'!B68="","", 'Equipment Information'!B68)</f>
        <v/>
      </c>
      <c r="C68">
        <f>IF('Equipment Information'!C68="","", 'Equipment Information'!C68)</f>
        <v/>
      </c>
      <c r="E68">
        <f>IF(D68="","", IFERROR(VLOOKUP(D68, 'Hidden_Data'!M:N, 2, FALSE), "0"))</f>
        <v/>
      </c>
      <c r="H68">
        <f>IF(G68="","", IFERROR(VLOOKUP(G68, 'Hidden_Data'!M:N, 2, FALSE), "0"))</f>
        <v/>
      </c>
      <c r="K68">
        <f>IF(J68="","", IFERROR(VLOOKUP(J68, 'Hidden_Data'!M:N, 2, FALSE), "0"))</f>
        <v/>
      </c>
      <c r="N68">
        <f>IF(M68="","", IFERROR(VLOOKUP(M68, 'Hidden_Data'!M:N, 2, FALSE), "0"))</f>
        <v/>
      </c>
      <c r="Q68">
        <f>IF(P68="","", IFERROR(VLOOKUP(P68, 'Hidden_Data'!M:N, 2, FALSE), "0"))</f>
        <v/>
      </c>
      <c r="T68">
        <f>IF(A68="","", SUM(IF(F68="Yes", 0, IF(E68="", 0, IFERROR(VALUE(MID(E68, SEARCH("(",E68)+1, 1)),0))), IF(I68="Yes", 0, IF(H68="", 0, IFERROR(VALUE(MID(H68, SEARCH("(",H68)+1, 1)),0))), IF(L68="Yes", 0, IF(K68="", 0, IFERROR(VALUE(MID(K68, SEARCH("(",K68)+1, 1)),0))), IF(O68="Yes", 0, IF(N68="", 0, IFERROR(VALUE(MID(N68, SEARCH("(",N68)+1, 1)),0))), IF(R68="Yes", 0, IF(Q68="", 0, IFERROR(VALUE(MID(Q68, SEARCH("(",Q68)+1, 1)),0)))))</f>
        <v/>
      </c>
      <c r="U68">
        <f>IF(A68="","", IF(T68&gt;=5, "Priority 1 (Critical)", IF(T68&gt;=3, "Priority 2 (Major)", IF(T68&gt;=1, "Priority 3 (Minor)", "Pass/Fixed"))))</f>
        <v/>
      </c>
      <c r="V68">
        <f>IF(A68="","", IF(T68&gt;0, "FAIL", "PASS"))</f>
        <v/>
      </c>
    </row>
    <row r="69">
      <c r="A69">
        <f>IF('Equipment Information'!A69="","", 'Equipment Information'!A69)</f>
        <v/>
      </c>
      <c r="B69">
        <f>IF('Equipment Information'!B69="","", 'Equipment Information'!B69)</f>
        <v/>
      </c>
      <c r="C69">
        <f>IF('Equipment Information'!C69="","", 'Equipment Information'!C69)</f>
        <v/>
      </c>
      <c r="E69">
        <f>IF(D69="","", IFERROR(VLOOKUP(D69, 'Hidden_Data'!M:N, 2, FALSE), "0"))</f>
        <v/>
      </c>
      <c r="H69">
        <f>IF(G69="","", IFERROR(VLOOKUP(G69, 'Hidden_Data'!M:N, 2, FALSE), "0"))</f>
        <v/>
      </c>
      <c r="K69">
        <f>IF(J69="","", IFERROR(VLOOKUP(J69, 'Hidden_Data'!M:N, 2, FALSE), "0"))</f>
        <v/>
      </c>
      <c r="N69">
        <f>IF(M69="","", IFERROR(VLOOKUP(M69, 'Hidden_Data'!M:N, 2, FALSE), "0"))</f>
        <v/>
      </c>
      <c r="Q69">
        <f>IF(P69="","", IFERROR(VLOOKUP(P69, 'Hidden_Data'!M:N, 2, FALSE), "0"))</f>
        <v/>
      </c>
      <c r="T69">
        <f>IF(A69="","", SUM(IF(F69="Yes", 0, IF(E69="", 0, IFERROR(VALUE(MID(E69, SEARCH("(",E69)+1, 1)),0))), IF(I69="Yes", 0, IF(H69="", 0, IFERROR(VALUE(MID(H69, SEARCH("(",H69)+1, 1)),0))), IF(L69="Yes", 0, IF(K69="", 0, IFERROR(VALUE(MID(K69, SEARCH("(",K69)+1, 1)),0))), IF(O69="Yes", 0, IF(N69="", 0, IFERROR(VALUE(MID(N69, SEARCH("(",N69)+1, 1)),0))), IF(R69="Yes", 0, IF(Q69="", 0, IFERROR(VALUE(MID(Q69, SEARCH("(",Q69)+1, 1)),0)))))</f>
        <v/>
      </c>
      <c r="U69">
        <f>IF(A69="","", IF(T69&gt;=5, "Priority 1 (Critical)", IF(T69&gt;=3, "Priority 2 (Major)", IF(T69&gt;=1, "Priority 3 (Minor)", "Pass/Fixed"))))</f>
        <v/>
      </c>
      <c r="V69">
        <f>IF(A69="","", IF(T69&gt;0, "FAIL", "PASS"))</f>
        <v/>
      </c>
    </row>
    <row r="70">
      <c r="A70">
        <f>IF('Equipment Information'!A70="","", 'Equipment Information'!A70)</f>
        <v/>
      </c>
      <c r="B70">
        <f>IF('Equipment Information'!B70="","", 'Equipment Information'!B70)</f>
        <v/>
      </c>
      <c r="C70">
        <f>IF('Equipment Information'!C70="","", 'Equipment Information'!C70)</f>
        <v/>
      </c>
      <c r="E70">
        <f>IF(D70="","", IFERROR(VLOOKUP(D70, 'Hidden_Data'!M:N, 2, FALSE), "0"))</f>
        <v/>
      </c>
      <c r="H70">
        <f>IF(G70="","", IFERROR(VLOOKUP(G70, 'Hidden_Data'!M:N, 2, FALSE), "0"))</f>
        <v/>
      </c>
      <c r="K70">
        <f>IF(J70="","", IFERROR(VLOOKUP(J70, 'Hidden_Data'!M:N, 2, FALSE), "0"))</f>
        <v/>
      </c>
      <c r="N70">
        <f>IF(M70="","", IFERROR(VLOOKUP(M70, 'Hidden_Data'!M:N, 2, FALSE), "0"))</f>
        <v/>
      </c>
      <c r="Q70">
        <f>IF(P70="","", IFERROR(VLOOKUP(P70, 'Hidden_Data'!M:N, 2, FALSE), "0"))</f>
        <v/>
      </c>
      <c r="T70">
        <f>IF(A70="","", SUM(IF(F70="Yes", 0, IF(E70="", 0, IFERROR(VALUE(MID(E70, SEARCH("(",E70)+1, 1)),0))), IF(I70="Yes", 0, IF(H70="", 0, IFERROR(VALUE(MID(H70, SEARCH("(",H70)+1, 1)),0))), IF(L70="Yes", 0, IF(K70="", 0, IFERROR(VALUE(MID(K70, SEARCH("(",K70)+1, 1)),0))), IF(O70="Yes", 0, IF(N70="", 0, IFERROR(VALUE(MID(N70, SEARCH("(",N70)+1, 1)),0))), IF(R70="Yes", 0, IF(Q70="", 0, IFERROR(VALUE(MID(Q70, SEARCH("(",Q70)+1, 1)),0)))))</f>
        <v/>
      </c>
      <c r="U70">
        <f>IF(A70="","", IF(T70&gt;=5, "Priority 1 (Critical)", IF(T70&gt;=3, "Priority 2 (Major)", IF(T70&gt;=1, "Priority 3 (Minor)", "Pass/Fixed"))))</f>
        <v/>
      </c>
      <c r="V70">
        <f>IF(A70="","", IF(T70&gt;0, "FAIL", "PASS"))</f>
        <v/>
      </c>
    </row>
    <row r="71">
      <c r="A71">
        <f>IF('Equipment Information'!A71="","", 'Equipment Information'!A71)</f>
        <v/>
      </c>
      <c r="B71">
        <f>IF('Equipment Information'!B71="","", 'Equipment Information'!B71)</f>
        <v/>
      </c>
      <c r="C71">
        <f>IF('Equipment Information'!C71="","", 'Equipment Information'!C71)</f>
        <v/>
      </c>
      <c r="E71">
        <f>IF(D71="","", IFERROR(VLOOKUP(D71, 'Hidden_Data'!M:N, 2, FALSE), "0"))</f>
        <v/>
      </c>
      <c r="H71">
        <f>IF(G71="","", IFERROR(VLOOKUP(G71, 'Hidden_Data'!M:N, 2, FALSE), "0"))</f>
        <v/>
      </c>
      <c r="K71">
        <f>IF(J71="","", IFERROR(VLOOKUP(J71, 'Hidden_Data'!M:N, 2, FALSE), "0"))</f>
        <v/>
      </c>
      <c r="N71">
        <f>IF(M71="","", IFERROR(VLOOKUP(M71, 'Hidden_Data'!M:N, 2, FALSE), "0"))</f>
        <v/>
      </c>
      <c r="Q71">
        <f>IF(P71="","", IFERROR(VLOOKUP(P71, 'Hidden_Data'!M:N, 2, FALSE), "0"))</f>
        <v/>
      </c>
      <c r="T71">
        <f>IF(A71="","", SUM(IF(F71="Yes", 0, IF(E71="", 0, IFERROR(VALUE(MID(E71, SEARCH("(",E71)+1, 1)),0))), IF(I71="Yes", 0, IF(H71="", 0, IFERROR(VALUE(MID(H71, SEARCH("(",H71)+1, 1)),0))), IF(L71="Yes", 0, IF(K71="", 0, IFERROR(VALUE(MID(K71, SEARCH("(",K71)+1, 1)),0))), IF(O71="Yes", 0, IF(N71="", 0, IFERROR(VALUE(MID(N71, SEARCH("(",N71)+1, 1)),0))), IF(R71="Yes", 0, IF(Q71="", 0, IFERROR(VALUE(MID(Q71, SEARCH("(",Q71)+1, 1)),0)))))</f>
        <v/>
      </c>
      <c r="U71">
        <f>IF(A71="","", IF(T71&gt;=5, "Priority 1 (Critical)", IF(T71&gt;=3, "Priority 2 (Major)", IF(T71&gt;=1, "Priority 3 (Minor)", "Pass/Fixed"))))</f>
        <v/>
      </c>
      <c r="V71">
        <f>IF(A71="","", IF(T71&gt;0, "FAIL", "PASS"))</f>
        <v/>
      </c>
    </row>
    <row r="72">
      <c r="A72">
        <f>IF('Equipment Information'!A72="","", 'Equipment Information'!A72)</f>
        <v/>
      </c>
      <c r="B72">
        <f>IF('Equipment Information'!B72="","", 'Equipment Information'!B72)</f>
        <v/>
      </c>
      <c r="C72">
        <f>IF('Equipment Information'!C72="","", 'Equipment Information'!C72)</f>
        <v/>
      </c>
      <c r="E72">
        <f>IF(D72="","", IFERROR(VLOOKUP(D72, 'Hidden_Data'!M:N, 2, FALSE), "0"))</f>
        <v/>
      </c>
      <c r="H72">
        <f>IF(G72="","", IFERROR(VLOOKUP(G72, 'Hidden_Data'!M:N, 2, FALSE), "0"))</f>
        <v/>
      </c>
      <c r="K72">
        <f>IF(J72="","", IFERROR(VLOOKUP(J72, 'Hidden_Data'!M:N, 2, FALSE), "0"))</f>
        <v/>
      </c>
      <c r="N72">
        <f>IF(M72="","", IFERROR(VLOOKUP(M72, 'Hidden_Data'!M:N, 2, FALSE), "0"))</f>
        <v/>
      </c>
      <c r="Q72">
        <f>IF(P72="","", IFERROR(VLOOKUP(P72, 'Hidden_Data'!M:N, 2, FALSE), "0"))</f>
        <v/>
      </c>
      <c r="T72">
        <f>IF(A72="","", SUM(IF(F72="Yes", 0, IF(E72="", 0, IFERROR(VALUE(MID(E72, SEARCH("(",E72)+1, 1)),0))), IF(I72="Yes", 0, IF(H72="", 0, IFERROR(VALUE(MID(H72, SEARCH("(",H72)+1, 1)),0))), IF(L72="Yes", 0, IF(K72="", 0, IFERROR(VALUE(MID(K72, SEARCH("(",K72)+1, 1)),0))), IF(O72="Yes", 0, IF(N72="", 0, IFERROR(VALUE(MID(N72, SEARCH("(",N72)+1, 1)),0))), IF(R72="Yes", 0, IF(Q72="", 0, IFERROR(VALUE(MID(Q72, SEARCH("(",Q72)+1, 1)),0)))))</f>
        <v/>
      </c>
      <c r="U72">
        <f>IF(A72="","", IF(T72&gt;=5, "Priority 1 (Critical)", IF(T72&gt;=3, "Priority 2 (Major)", IF(T72&gt;=1, "Priority 3 (Minor)", "Pass/Fixed"))))</f>
        <v/>
      </c>
      <c r="V72">
        <f>IF(A72="","", IF(T72&gt;0, "FAIL", "PASS"))</f>
        <v/>
      </c>
    </row>
    <row r="73">
      <c r="A73">
        <f>IF('Equipment Information'!A73="","", 'Equipment Information'!A73)</f>
        <v/>
      </c>
      <c r="B73">
        <f>IF('Equipment Information'!B73="","", 'Equipment Information'!B73)</f>
        <v/>
      </c>
      <c r="C73">
        <f>IF('Equipment Information'!C73="","", 'Equipment Information'!C73)</f>
        <v/>
      </c>
      <c r="E73">
        <f>IF(D73="","", IFERROR(VLOOKUP(D73, 'Hidden_Data'!M:N, 2, FALSE), "0"))</f>
        <v/>
      </c>
      <c r="H73">
        <f>IF(G73="","", IFERROR(VLOOKUP(G73, 'Hidden_Data'!M:N, 2, FALSE), "0"))</f>
        <v/>
      </c>
      <c r="K73">
        <f>IF(J73="","", IFERROR(VLOOKUP(J73, 'Hidden_Data'!M:N, 2, FALSE), "0"))</f>
        <v/>
      </c>
      <c r="N73">
        <f>IF(M73="","", IFERROR(VLOOKUP(M73, 'Hidden_Data'!M:N, 2, FALSE), "0"))</f>
        <v/>
      </c>
      <c r="Q73">
        <f>IF(P73="","", IFERROR(VLOOKUP(P73, 'Hidden_Data'!M:N, 2, FALSE), "0"))</f>
        <v/>
      </c>
      <c r="T73">
        <f>IF(A73="","", SUM(IF(F73="Yes", 0, IF(E73="", 0, IFERROR(VALUE(MID(E73, SEARCH("(",E73)+1, 1)),0))), IF(I73="Yes", 0, IF(H73="", 0, IFERROR(VALUE(MID(H73, SEARCH("(",H73)+1, 1)),0))), IF(L73="Yes", 0, IF(K73="", 0, IFERROR(VALUE(MID(K73, SEARCH("(",K73)+1, 1)),0))), IF(O73="Yes", 0, IF(N73="", 0, IFERROR(VALUE(MID(N73, SEARCH("(",N73)+1, 1)),0))), IF(R73="Yes", 0, IF(Q73="", 0, IFERROR(VALUE(MID(Q73, SEARCH("(",Q73)+1, 1)),0)))))</f>
        <v/>
      </c>
      <c r="U73">
        <f>IF(A73="","", IF(T73&gt;=5, "Priority 1 (Critical)", IF(T73&gt;=3, "Priority 2 (Major)", IF(T73&gt;=1, "Priority 3 (Minor)", "Pass/Fixed"))))</f>
        <v/>
      </c>
      <c r="V73">
        <f>IF(A73="","", IF(T73&gt;0, "FAIL", "PASS"))</f>
        <v/>
      </c>
    </row>
    <row r="74">
      <c r="A74">
        <f>IF('Equipment Information'!A74="","", 'Equipment Information'!A74)</f>
        <v/>
      </c>
      <c r="B74">
        <f>IF('Equipment Information'!B74="","", 'Equipment Information'!B74)</f>
        <v/>
      </c>
      <c r="C74">
        <f>IF('Equipment Information'!C74="","", 'Equipment Information'!C74)</f>
        <v/>
      </c>
      <c r="E74">
        <f>IF(D74="","", IFERROR(VLOOKUP(D74, 'Hidden_Data'!M:N, 2, FALSE), "0"))</f>
        <v/>
      </c>
      <c r="H74">
        <f>IF(G74="","", IFERROR(VLOOKUP(G74, 'Hidden_Data'!M:N, 2, FALSE), "0"))</f>
        <v/>
      </c>
      <c r="K74">
        <f>IF(J74="","", IFERROR(VLOOKUP(J74, 'Hidden_Data'!M:N, 2, FALSE), "0"))</f>
        <v/>
      </c>
      <c r="N74">
        <f>IF(M74="","", IFERROR(VLOOKUP(M74, 'Hidden_Data'!M:N, 2, FALSE), "0"))</f>
        <v/>
      </c>
      <c r="Q74">
        <f>IF(P74="","", IFERROR(VLOOKUP(P74, 'Hidden_Data'!M:N, 2, FALSE), "0"))</f>
        <v/>
      </c>
      <c r="T74">
        <f>IF(A74="","", SUM(IF(F74="Yes", 0, IF(E74="", 0, IFERROR(VALUE(MID(E74, SEARCH("(",E74)+1, 1)),0))), IF(I74="Yes", 0, IF(H74="", 0, IFERROR(VALUE(MID(H74, SEARCH("(",H74)+1, 1)),0))), IF(L74="Yes", 0, IF(K74="", 0, IFERROR(VALUE(MID(K74, SEARCH("(",K74)+1, 1)),0))), IF(O74="Yes", 0, IF(N74="", 0, IFERROR(VALUE(MID(N74, SEARCH("(",N74)+1, 1)),0))), IF(R74="Yes", 0, IF(Q74="", 0, IFERROR(VALUE(MID(Q74, SEARCH("(",Q74)+1, 1)),0)))))</f>
        <v/>
      </c>
      <c r="U74">
        <f>IF(A74="","", IF(T74&gt;=5, "Priority 1 (Critical)", IF(T74&gt;=3, "Priority 2 (Major)", IF(T74&gt;=1, "Priority 3 (Minor)", "Pass/Fixed"))))</f>
        <v/>
      </c>
      <c r="V74">
        <f>IF(A74="","", IF(T74&gt;0, "FAIL", "PASS"))</f>
        <v/>
      </c>
    </row>
    <row r="75">
      <c r="A75">
        <f>IF('Equipment Information'!A75="","", 'Equipment Information'!A75)</f>
        <v/>
      </c>
      <c r="B75">
        <f>IF('Equipment Information'!B75="","", 'Equipment Information'!B75)</f>
        <v/>
      </c>
      <c r="C75">
        <f>IF('Equipment Information'!C75="","", 'Equipment Information'!C75)</f>
        <v/>
      </c>
      <c r="E75">
        <f>IF(D75="","", IFERROR(VLOOKUP(D75, 'Hidden_Data'!M:N, 2, FALSE), "0"))</f>
        <v/>
      </c>
      <c r="H75">
        <f>IF(G75="","", IFERROR(VLOOKUP(G75, 'Hidden_Data'!M:N, 2, FALSE), "0"))</f>
        <v/>
      </c>
      <c r="K75">
        <f>IF(J75="","", IFERROR(VLOOKUP(J75, 'Hidden_Data'!M:N, 2, FALSE), "0"))</f>
        <v/>
      </c>
      <c r="N75">
        <f>IF(M75="","", IFERROR(VLOOKUP(M75, 'Hidden_Data'!M:N, 2, FALSE), "0"))</f>
        <v/>
      </c>
      <c r="Q75">
        <f>IF(P75="","", IFERROR(VLOOKUP(P75, 'Hidden_Data'!M:N, 2, FALSE), "0"))</f>
        <v/>
      </c>
      <c r="T75">
        <f>IF(A75="","", SUM(IF(F75="Yes", 0, IF(E75="", 0, IFERROR(VALUE(MID(E75, SEARCH("(",E75)+1, 1)),0))), IF(I75="Yes", 0, IF(H75="", 0, IFERROR(VALUE(MID(H75, SEARCH("(",H75)+1, 1)),0))), IF(L75="Yes", 0, IF(K75="", 0, IFERROR(VALUE(MID(K75, SEARCH("(",K75)+1, 1)),0))), IF(O75="Yes", 0, IF(N75="", 0, IFERROR(VALUE(MID(N75, SEARCH("(",N75)+1, 1)),0))), IF(R75="Yes", 0, IF(Q75="", 0, IFERROR(VALUE(MID(Q75, SEARCH("(",Q75)+1, 1)),0)))))</f>
        <v/>
      </c>
      <c r="U75">
        <f>IF(A75="","", IF(T75&gt;=5, "Priority 1 (Critical)", IF(T75&gt;=3, "Priority 2 (Major)", IF(T75&gt;=1, "Priority 3 (Minor)", "Pass/Fixed"))))</f>
        <v/>
      </c>
      <c r="V75">
        <f>IF(A75="","", IF(T75&gt;0, "FAIL", "PASS"))</f>
        <v/>
      </c>
    </row>
    <row r="76">
      <c r="A76">
        <f>IF('Equipment Information'!A76="","", 'Equipment Information'!A76)</f>
        <v/>
      </c>
      <c r="B76">
        <f>IF('Equipment Information'!B76="","", 'Equipment Information'!B76)</f>
        <v/>
      </c>
      <c r="C76">
        <f>IF('Equipment Information'!C76="","", 'Equipment Information'!C76)</f>
        <v/>
      </c>
      <c r="E76">
        <f>IF(D76="","", IFERROR(VLOOKUP(D76, 'Hidden_Data'!M:N, 2, FALSE), "0"))</f>
        <v/>
      </c>
      <c r="H76">
        <f>IF(G76="","", IFERROR(VLOOKUP(G76, 'Hidden_Data'!M:N, 2, FALSE), "0"))</f>
        <v/>
      </c>
      <c r="K76">
        <f>IF(J76="","", IFERROR(VLOOKUP(J76, 'Hidden_Data'!M:N, 2, FALSE), "0"))</f>
        <v/>
      </c>
      <c r="N76">
        <f>IF(M76="","", IFERROR(VLOOKUP(M76, 'Hidden_Data'!M:N, 2, FALSE), "0"))</f>
        <v/>
      </c>
      <c r="Q76">
        <f>IF(P76="","", IFERROR(VLOOKUP(P76, 'Hidden_Data'!M:N, 2, FALSE), "0"))</f>
        <v/>
      </c>
      <c r="T76">
        <f>IF(A76="","", SUM(IF(F76="Yes", 0, IF(E76="", 0, IFERROR(VALUE(MID(E76, SEARCH("(",E76)+1, 1)),0))), IF(I76="Yes", 0, IF(H76="", 0, IFERROR(VALUE(MID(H76, SEARCH("(",H76)+1, 1)),0))), IF(L76="Yes", 0, IF(K76="", 0, IFERROR(VALUE(MID(K76, SEARCH("(",K76)+1, 1)),0))), IF(O76="Yes", 0, IF(N76="", 0, IFERROR(VALUE(MID(N76, SEARCH("(",N76)+1, 1)),0))), IF(R76="Yes", 0, IF(Q76="", 0, IFERROR(VALUE(MID(Q76, SEARCH("(",Q76)+1, 1)),0)))))</f>
        <v/>
      </c>
      <c r="U76">
        <f>IF(A76="","", IF(T76&gt;=5, "Priority 1 (Critical)", IF(T76&gt;=3, "Priority 2 (Major)", IF(T76&gt;=1, "Priority 3 (Minor)", "Pass/Fixed"))))</f>
        <v/>
      </c>
      <c r="V76">
        <f>IF(A76="","", IF(T76&gt;0, "FAIL", "PASS"))</f>
        <v/>
      </c>
    </row>
    <row r="77">
      <c r="A77">
        <f>IF('Equipment Information'!A77="","", 'Equipment Information'!A77)</f>
        <v/>
      </c>
      <c r="B77">
        <f>IF('Equipment Information'!B77="","", 'Equipment Information'!B77)</f>
        <v/>
      </c>
      <c r="C77">
        <f>IF('Equipment Information'!C77="","", 'Equipment Information'!C77)</f>
        <v/>
      </c>
      <c r="E77">
        <f>IF(D77="","", IFERROR(VLOOKUP(D77, 'Hidden_Data'!M:N, 2, FALSE), "0"))</f>
        <v/>
      </c>
      <c r="H77">
        <f>IF(G77="","", IFERROR(VLOOKUP(G77, 'Hidden_Data'!M:N, 2, FALSE), "0"))</f>
        <v/>
      </c>
      <c r="K77">
        <f>IF(J77="","", IFERROR(VLOOKUP(J77, 'Hidden_Data'!M:N, 2, FALSE), "0"))</f>
        <v/>
      </c>
      <c r="N77">
        <f>IF(M77="","", IFERROR(VLOOKUP(M77, 'Hidden_Data'!M:N, 2, FALSE), "0"))</f>
        <v/>
      </c>
      <c r="Q77">
        <f>IF(P77="","", IFERROR(VLOOKUP(P77, 'Hidden_Data'!M:N, 2, FALSE), "0"))</f>
        <v/>
      </c>
      <c r="T77">
        <f>IF(A77="","", SUM(IF(F77="Yes", 0, IF(E77="", 0, IFERROR(VALUE(MID(E77, SEARCH("(",E77)+1, 1)),0))), IF(I77="Yes", 0, IF(H77="", 0, IFERROR(VALUE(MID(H77, SEARCH("(",H77)+1, 1)),0))), IF(L77="Yes", 0, IF(K77="", 0, IFERROR(VALUE(MID(K77, SEARCH("(",K77)+1, 1)),0))), IF(O77="Yes", 0, IF(N77="", 0, IFERROR(VALUE(MID(N77, SEARCH("(",N77)+1, 1)),0))), IF(R77="Yes", 0, IF(Q77="", 0, IFERROR(VALUE(MID(Q77, SEARCH("(",Q77)+1, 1)),0)))))</f>
        <v/>
      </c>
      <c r="U77">
        <f>IF(A77="","", IF(T77&gt;=5, "Priority 1 (Critical)", IF(T77&gt;=3, "Priority 2 (Major)", IF(T77&gt;=1, "Priority 3 (Minor)", "Pass/Fixed"))))</f>
        <v/>
      </c>
      <c r="V77">
        <f>IF(A77="","", IF(T77&gt;0, "FAIL", "PASS"))</f>
        <v/>
      </c>
    </row>
    <row r="78">
      <c r="A78">
        <f>IF('Equipment Information'!A78="","", 'Equipment Information'!A78)</f>
        <v/>
      </c>
      <c r="B78">
        <f>IF('Equipment Information'!B78="","", 'Equipment Information'!B78)</f>
        <v/>
      </c>
      <c r="C78">
        <f>IF('Equipment Information'!C78="","", 'Equipment Information'!C78)</f>
        <v/>
      </c>
      <c r="E78">
        <f>IF(D78="","", IFERROR(VLOOKUP(D78, 'Hidden_Data'!M:N, 2, FALSE), "0"))</f>
        <v/>
      </c>
      <c r="H78">
        <f>IF(G78="","", IFERROR(VLOOKUP(G78, 'Hidden_Data'!M:N, 2, FALSE), "0"))</f>
        <v/>
      </c>
      <c r="K78">
        <f>IF(J78="","", IFERROR(VLOOKUP(J78, 'Hidden_Data'!M:N, 2, FALSE), "0"))</f>
        <v/>
      </c>
      <c r="N78">
        <f>IF(M78="","", IFERROR(VLOOKUP(M78, 'Hidden_Data'!M:N, 2, FALSE), "0"))</f>
        <v/>
      </c>
      <c r="Q78">
        <f>IF(P78="","", IFERROR(VLOOKUP(P78, 'Hidden_Data'!M:N, 2, FALSE), "0"))</f>
        <v/>
      </c>
      <c r="T78">
        <f>IF(A78="","", SUM(IF(F78="Yes", 0, IF(E78="", 0, IFERROR(VALUE(MID(E78, SEARCH("(",E78)+1, 1)),0))), IF(I78="Yes", 0, IF(H78="", 0, IFERROR(VALUE(MID(H78, SEARCH("(",H78)+1, 1)),0))), IF(L78="Yes", 0, IF(K78="", 0, IFERROR(VALUE(MID(K78, SEARCH("(",K78)+1, 1)),0))), IF(O78="Yes", 0, IF(N78="", 0, IFERROR(VALUE(MID(N78, SEARCH("(",N78)+1, 1)),0))), IF(R78="Yes", 0, IF(Q78="", 0, IFERROR(VALUE(MID(Q78, SEARCH("(",Q78)+1, 1)),0)))))</f>
        <v/>
      </c>
      <c r="U78">
        <f>IF(A78="","", IF(T78&gt;=5, "Priority 1 (Critical)", IF(T78&gt;=3, "Priority 2 (Major)", IF(T78&gt;=1, "Priority 3 (Minor)", "Pass/Fixed"))))</f>
        <v/>
      </c>
      <c r="V78">
        <f>IF(A78="","", IF(T78&gt;0, "FAIL", "PASS"))</f>
        <v/>
      </c>
    </row>
    <row r="79">
      <c r="A79">
        <f>IF('Equipment Information'!A79="","", 'Equipment Information'!A79)</f>
        <v/>
      </c>
      <c r="B79">
        <f>IF('Equipment Information'!B79="","", 'Equipment Information'!B79)</f>
        <v/>
      </c>
      <c r="C79">
        <f>IF('Equipment Information'!C79="","", 'Equipment Information'!C79)</f>
        <v/>
      </c>
      <c r="E79">
        <f>IF(D79="","", IFERROR(VLOOKUP(D79, 'Hidden_Data'!M:N, 2, FALSE), "0"))</f>
        <v/>
      </c>
      <c r="H79">
        <f>IF(G79="","", IFERROR(VLOOKUP(G79, 'Hidden_Data'!M:N, 2, FALSE), "0"))</f>
        <v/>
      </c>
      <c r="K79">
        <f>IF(J79="","", IFERROR(VLOOKUP(J79, 'Hidden_Data'!M:N, 2, FALSE), "0"))</f>
        <v/>
      </c>
      <c r="N79">
        <f>IF(M79="","", IFERROR(VLOOKUP(M79, 'Hidden_Data'!M:N, 2, FALSE), "0"))</f>
        <v/>
      </c>
      <c r="Q79">
        <f>IF(P79="","", IFERROR(VLOOKUP(P79, 'Hidden_Data'!M:N, 2, FALSE), "0"))</f>
        <v/>
      </c>
      <c r="T79">
        <f>IF(A79="","", SUM(IF(F79="Yes", 0, IF(E79="", 0, IFERROR(VALUE(MID(E79, SEARCH("(",E79)+1, 1)),0))), IF(I79="Yes", 0, IF(H79="", 0, IFERROR(VALUE(MID(H79, SEARCH("(",H79)+1, 1)),0))), IF(L79="Yes", 0, IF(K79="", 0, IFERROR(VALUE(MID(K79, SEARCH("(",K79)+1, 1)),0))), IF(O79="Yes", 0, IF(N79="", 0, IFERROR(VALUE(MID(N79, SEARCH("(",N79)+1, 1)),0))), IF(R79="Yes", 0, IF(Q79="", 0, IFERROR(VALUE(MID(Q79, SEARCH("(",Q79)+1, 1)),0)))))</f>
        <v/>
      </c>
      <c r="U79">
        <f>IF(A79="","", IF(T79&gt;=5, "Priority 1 (Critical)", IF(T79&gt;=3, "Priority 2 (Major)", IF(T79&gt;=1, "Priority 3 (Minor)", "Pass/Fixed"))))</f>
        <v/>
      </c>
      <c r="V79">
        <f>IF(A79="","", IF(T79&gt;0, "FAIL", "PASS"))</f>
        <v/>
      </c>
    </row>
    <row r="80">
      <c r="A80">
        <f>IF('Equipment Information'!A80="","", 'Equipment Information'!A80)</f>
        <v/>
      </c>
      <c r="B80">
        <f>IF('Equipment Information'!B80="","", 'Equipment Information'!B80)</f>
        <v/>
      </c>
      <c r="C80">
        <f>IF('Equipment Information'!C80="","", 'Equipment Information'!C80)</f>
        <v/>
      </c>
      <c r="E80">
        <f>IF(D80="","", IFERROR(VLOOKUP(D80, 'Hidden_Data'!M:N, 2, FALSE), "0"))</f>
        <v/>
      </c>
      <c r="H80">
        <f>IF(G80="","", IFERROR(VLOOKUP(G80, 'Hidden_Data'!M:N, 2, FALSE), "0"))</f>
        <v/>
      </c>
      <c r="K80">
        <f>IF(J80="","", IFERROR(VLOOKUP(J80, 'Hidden_Data'!M:N, 2, FALSE), "0"))</f>
        <v/>
      </c>
      <c r="N80">
        <f>IF(M80="","", IFERROR(VLOOKUP(M80, 'Hidden_Data'!M:N, 2, FALSE), "0"))</f>
        <v/>
      </c>
      <c r="Q80">
        <f>IF(P80="","", IFERROR(VLOOKUP(P80, 'Hidden_Data'!M:N, 2, FALSE), "0"))</f>
        <v/>
      </c>
      <c r="T80">
        <f>IF(A80="","", SUM(IF(F80="Yes", 0, IF(E80="", 0, IFERROR(VALUE(MID(E80, SEARCH("(",E80)+1, 1)),0))), IF(I80="Yes", 0, IF(H80="", 0, IFERROR(VALUE(MID(H80, SEARCH("(",H80)+1, 1)),0))), IF(L80="Yes", 0, IF(K80="", 0, IFERROR(VALUE(MID(K80, SEARCH("(",K80)+1, 1)),0))), IF(O80="Yes", 0, IF(N80="", 0, IFERROR(VALUE(MID(N80, SEARCH("(",N80)+1, 1)),0))), IF(R80="Yes", 0, IF(Q80="", 0, IFERROR(VALUE(MID(Q80, SEARCH("(",Q80)+1, 1)),0)))))</f>
        <v/>
      </c>
      <c r="U80">
        <f>IF(A80="","", IF(T80&gt;=5, "Priority 1 (Critical)", IF(T80&gt;=3, "Priority 2 (Major)", IF(T80&gt;=1, "Priority 3 (Minor)", "Pass/Fixed"))))</f>
        <v/>
      </c>
      <c r="V80">
        <f>IF(A80="","", IF(T80&gt;0, "FAIL", "PASS"))</f>
        <v/>
      </c>
    </row>
    <row r="81">
      <c r="A81">
        <f>IF('Equipment Information'!A81="","", 'Equipment Information'!A81)</f>
        <v/>
      </c>
      <c r="B81">
        <f>IF('Equipment Information'!B81="","", 'Equipment Information'!B81)</f>
        <v/>
      </c>
      <c r="C81">
        <f>IF('Equipment Information'!C81="","", 'Equipment Information'!C81)</f>
        <v/>
      </c>
      <c r="E81">
        <f>IF(D81="","", IFERROR(VLOOKUP(D81, 'Hidden_Data'!M:N, 2, FALSE), "0"))</f>
        <v/>
      </c>
      <c r="H81">
        <f>IF(G81="","", IFERROR(VLOOKUP(G81, 'Hidden_Data'!M:N, 2, FALSE), "0"))</f>
        <v/>
      </c>
      <c r="K81">
        <f>IF(J81="","", IFERROR(VLOOKUP(J81, 'Hidden_Data'!M:N, 2, FALSE), "0"))</f>
        <v/>
      </c>
      <c r="N81">
        <f>IF(M81="","", IFERROR(VLOOKUP(M81, 'Hidden_Data'!M:N, 2, FALSE), "0"))</f>
        <v/>
      </c>
      <c r="Q81">
        <f>IF(P81="","", IFERROR(VLOOKUP(P81, 'Hidden_Data'!M:N, 2, FALSE), "0"))</f>
        <v/>
      </c>
      <c r="T81">
        <f>IF(A81="","", SUM(IF(F81="Yes", 0, IF(E81="", 0, IFERROR(VALUE(MID(E81, SEARCH("(",E81)+1, 1)),0))), IF(I81="Yes", 0, IF(H81="", 0, IFERROR(VALUE(MID(H81, SEARCH("(",H81)+1, 1)),0))), IF(L81="Yes", 0, IF(K81="", 0, IFERROR(VALUE(MID(K81, SEARCH("(",K81)+1, 1)),0))), IF(O81="Yes", 0, IF(N81="", 0, IFERROR(VALUE(MID(N81, SEARCH("(",N81)+1, 1)),0))), IF(R81="Yes", 0, IF(Q81="", 0, IFERROR(VALUE(MID(Q81, SEARCH("(",Q81)+1, 1)),0)))))</f>
        <v/>
      </c>
      <c r="U81">
        <f>IF(A81="","", IF(T81&gt;=5, "Priority 1 (Critical)", IF(T81&gt;=3, "Priority 2 (Major)", IF(T81&gt;=1, "Priority 3 (Minor)", "Pass/Fixed"))))</f>
        <v/>
      </c>
      <c r="V81">
        <f>IF(A81="","", IF(T81&gt;0, "FAIL", "PASS"))</f>
        <v/>
      </c>
    </row>
    <row r="82">
      <c r="A82">
        <f>IF('Equipment Information'!A82="","", 'Equipment Information'!A82)</f>
        <v/>
      </c>
      <c r="B82">
        <f>IF('Equipment Information'!B82="","", 'Equipment Information'!B82)</f>
        <v/>
      </c>
      <c r="C82">
        <f>IF('Equipment Information'!C82="","", 'Equipment Information'!C82)</f>
        <v/>
      </c>
      <c r="E82">
        <f>IF(D82="","", IFERROR(VLOOKUP(D82, 'Hidden_Data'!M:N, 2, FALSE), "0"))</f>
        <v/>
      </c>
      <c r="H82">
        <f>IF(G82="","", IFERROR(VLOOKUP(G82, 'Hidden_Data'!M:N, 2, FALSE), "0"))</f>
        <v/>
      </c>
      <c r="K82">
        <f>IF(J82="","", IFERROR(VLOOKUP(J82, 'Hidden_Data'!M:N, 2, FALSE), "0"))</f>
        <v/>
      </c>
      <c r="N82">
        <f>IF(M82="","", IFERROR(VLOOKUP(M82, 'Hidden_Data'!M:N, 2, FALSE), "0"))</f>
        <v/>
      </c>
      <c r="Q82">
        <f>IF(P82="","", IFERROR(VLOOKUP(P82, 'Hidden_Data'!M:N, 2, FALSE), "0"))</f>
        <v/>
      </c>
      <c r="T82">
        <f>IF(A82="","", SUM(IF(F82="Yes", 0, IF(E82="", 0, IFERROR(VALUE(MID(E82, SEARCH("(",E82)+1, 1)),0))), IF(I82="Yes", 0, IF(H82="", 0, IFERROR(VALUE(MID(H82, SEARCH("(",H82)+1, 1)),0))), IF(L82="Yes", 0, IF(K82="", 0, IFERROR(VALUE(MID(K82, SEARCH("(",K82)+1, 1)),0))), IF(O82="Yes", 0, IF(N82="", 0, IFERROR(VALUE(MID(N82, SEARCH("(",N82)+1, 1)),0))), IF(R82="Yes", 0, IF(Q82="", 0, IFERROR(VALUE(MID(Q82, SEARCH("(",Q82)+1, 1)),0)))))</f>
        <v/>
      </c>
      <c r="U82">
        <f>IF(A82="","", IF(T82&gt;=5, "Priority 1 (Critical)", IF(T82&gt;=3, "Priority 2 (Major)", IF(T82&gt;=1, "Priority 3 (Minor)", "Pass/Fixed"))))</f>
        <v/>
      </c>
      <c r="V82">
        <f>IF(A82="","", IF(T82&gt;0, "FAIL", "PASS"))</f>
        <v/>
      </c>
    </row>
    <row r="83">
      <c r="A83">
        <f>IF('Equipment Information'!A83="","", 'Equipment Information'!A83)</f>
        <v/>
      </c>
      <c r="B83">
        <f>IF('Equipment Information'!B83="","", 'Equipment Information'!B83)</f>
        <v/>
      </c>
      <c r="C83">
        <f>IF('Equipment Information'!C83="","", 'Equipment Information'!C83)</f>
        <v/>
      </c>
      <c r="E83">
        <f>IF(D83="","", IFERROR(VLOOKUP(D83, 'Hidden_Data'!M:N, 2, FALSE), "0"))</f>
        <v/>
      </c>
      <c r="H83">
        <f>IF(G83="","", IFERROR(VLOOKUP(G83, 'Hidden_Data'!M:N, 2, FALSE), "0"))</f>
        <v/>
      </c>
      <c r="K83">
        <f>IF(J83="","", IFERROR(VLOOKUP(J83, 'Hidden_Data'!M:N, 2, FALSE), "0"))</f>
        <v/>
      </c>
      <c r="N83">
        <f>IF(M83="","", IFERROR(VLOOKUP(M83, 'Hidden_Data'!M:N, 2, FALSE), "0"))</f>
        <v/>
      </c>
      <c r="Q83">
        <f>IF(P83="","", IFERROR(VLOOKUP(P83, 'Hidden_Data'!M:N, 2, FALSE), "0"))</f>
        <v/>
      </c>
      <c r="T83">
        <f>IF(A83="","", SUM(IF(F83="Yes", 0, IF(E83="", 0, IFERROR(VALUE(MID(E83, SEARCH("(",E83)+1, 1)),0))), IF(I83="Yes", 0, IF(H83="", 0, IFERROR(VALUE(MID(H83, SEARCH("(",H83)+1, 1)),0))), IF(L83="Yes", 0, IF(K83="", 0, IFERROR(VALUE(MID(K83, SEARCH("(",K83)+1, 1)),0))), IF(O83="Yes", 0, IF(N83="", 0, IFERROR(VALUE(MID(N83, SEARCH("(",N83)+1, 1)),0))), IF(R83="Yes", 0, IF(Q83="", 0, IFERROR(VALUE(MID(Q83, SEARCH("(",Q83)+1, 1)),0)))))</f>
        <v/>
      </c>
      <c r="U83">
        <f>IF(A83="","", IF(T83&gt;=5, "Priority 1 (Critical)", IF(T83&gt;=3, "Priority 2 (Major)", IF(T83&gt;=1, "Priority 3 (Minor)", "Pass/Fixed"))))</f>
        <v/>
      </c>
      <c r="V83">
        <f>IF(A83="","", IF(T83&gt;0, "FAIL", "PASS"))</f>
        <v/>
      </c>
    </row>
    <row r="84">
      <c r="A84">
        <f>IF('Equipment Information'!A84="","", 'Equipment Information'!A84)</f>
        <v/>
      </c>
      <c r="B84">
        <f>IF('Equipment Information'!B84="","", 'Equipment Information'!B84)</f>
        <v/>
      </c>
      <c r="C84">
        <f>IF('Equipment Information'!C84="","", 'Equipment Information'!C84)</f>
        <v/>
      </c>
      <c r="E84">
        <f>IF(D84="","", IFERROR(VLOOKUP(D84, 'Hidden_Data'!M:N, 2, FALSE), "0"))</f>
        <v/>
      </c>
      <c r="H84">
        <f>IF(G84="","", IFERROR(VLOOKUP(G84, 'Hidden_Data'!M:N, 2, FALSE), "0"))</f>
        <v/>
      </c>
      <c r="K84">
        <f>IF(J84="","", IFERROR(VLOOKUP(J84, 'Hidden_Data'!M:N, 2, FALSE), "0"))</f>
        <v/>
      </c>
      <c r="N84">
        <f>IF(M84="","", IFERROR(VLOOKUP(M84, 'Hidden_Data'!M:N, 2, FALSE), "0"))</f>
        <v/>
      </c>
      <c r="Q84">
        <f>IF(P84="","", IFERROR(VLOOKUP(P84, 'Hidden_Data'!M:N, 2, FALSE), "0"))</f>
        <v/>
      </c>
      <c r="T84">
        <f>IF(A84="","", SUM(IF(F84="Yes", 0, IF(E84="", 0, IFERROR(VALUE(MID(E84, SEARCH("(",E84)+1, 1)),0))), IF(I84="Yes", 0, IF(H84="", 0, IFERROR(VALUE(MID(H84, SEARCH("(",H84)+1, 1)),0))), IF(L84="Yes", 0, IF(K84="", 0, IFERROR(VALUE(MID(K84, SEARCH("(",K84)+1, 1)),0))), IF(O84="Yes", 0, IF(N84="", 0, IFERROR(VALUE(MID(N84, SEARCH("(",N84)+1, 1)),0))), IF(R84="Yes", 0, IF(Q84="", 0, IFERROR(VALUE(MID(Q84, SEARCH("(",Q84)+1, 1)),0)))))</f>
        <v/>
      </c>
      <c r="U84">
        <f>IF(A84="","", IF(T84&gt;=5, "Priority 1 (Critical)", IF(T84&gt;=3, "Priority 2 (Major)", IF(T84&gt;=1, "Priority 3 (Minor)", "Pass/Fixed"))))</f>
        <v/>
      </c>
      <c r="V84">
        <f>IF(A84="","", IF(T84&gt;0, "FAIL", "PASS"))</f>
        <v/>
      </c>
    </row>
    <row r="85">
      <c r="A85">
        <f>IF('Equipment Information'!A85="","", 'Equipment Information'!A85)</f>
        <v/>
      </c>
      <c r="B85">
        <f>IF('Equipment Information'!B85="","", 'Equipment Information'!B85)</f>
        <v/>
      </c>
      <c r="C85">
        <f>IF('Equipment Information'!C85="","", 'Equipment Information'!C85)</f>
        <v/>
      </c>
      <c r="E85">
        <f>IF(D85="","", IFERROR(VLOOKUP(D85, 'Hidden_Data'!M:N, 2, FALSE), "0"))</f>
        <v/>
      </c>
      <c r="H85">
        <f>IF(G85="","", IFERROR(VLOOKUP(G85, 'Hidden_Data'!M:N, 2, FALSE), "0"))</f>
        <v/>
      </c>
      <c r="K85">
        <f>IF(J85="","", IFERROR(VLOOKUP(J85, 'Hidden_Data'!M:N, 2, FALSE), "0"))</f>
        <v/>
      </c>
      <c r="N85">
        <f>IF(M85="","", IFERROR(VLOOKUP(M85, 'Hidden_Data'!M:N, 2, FALSE), "0"))</f>
        <v/>
      </c>
      <c r="Q85">
        <f>IF(P85="","", IFERROR(VLOOKUP(P85, 'Hidden_Data'!M:N, 2, FALSE), "0"))</f>
        <v/>
      </c>
      <c r="T85">
        <f>IF(A85="","", SUM(IF(F85="Yes", 0, IF(E85="", 0, IFERROR(VALUE(MID(E85, SEARCH("(",E85)+1, 1)),0))), IF(I85="Yes", 0, IF(H85="", 0, IFERROR(VALUE(MID(H85, SEARCH("(",H85)+1, 1)),0))), IF(L85="Yes", 0, IF(K85="", 0, IFERROR(VALUE(MID(K85, SEARCH("(",K85)+1, 1)),0))), IF(O85="Yes", 0, IF(N85="", 0, IFERROR(VALUE(MID(N85, SEARCH("(",N85)+1, 1)),0))), IF(R85="Yes", 0, IF(Q85="", 0, IFERROR(VALUE(MID(Q85, SEARCH("(",Q85)+1, 1)),0)))))</f>
        <v/>
      </c>
      <c r="U85">
        <f>IF(A85="","", IF(T85&gt;=5, "Priority 1 (Critical)", IF(T85&gt;=3, "Priority 2 (Major)", IF(T85&gt;=1, "Priority 3 (Minor)", "Pass/Fixed"))))</f>
        <v/>
      </c>
      <c r="V85">
        <f>IF(A85="","", IF(T85&gt;0, "FAIL", "PASS"))</f>
        <v/>
      </c>
    </row>
    <row r="86">
      <c r="A86">
        <f>IF('Equipment Information'!A86="","", 'Equipment Information'!A86)</f>
        <v/>
      </c>
      <c r="B86">
        <f>IF('Equipment Information'!B86="","", 'Equipment Information'!B86)</f>
        <v/>
      </c>
      <c r="C86">
        <f>IF('Equipment Information'!C86="","", 'Equipment Information'!C86)</f>
        <v/>
      </c>
      <c r="E86">
        <f>IF(D86="","", IFERROR(VLOOKUP(D86, 'Hidden_Data'!M:N, 2, FALSE), "0"))</f>
        <v/>
      </c>
      <c r="H86">
        <f>IF(G86="","", IFERROR(VLOOKUP(G86, 'Hidden_Data'!M:N, 2, FALSE), "0"))</f>
        <v/>
      </c>
      <c r="K86">
        <f>IF(J86="","", IFERROR(VLOOKUP(J86, 'Hidden_Data'!M:N, 2, FALSE), "0"))</f>
        <v/>
      </c>
      <c r="N86">
        <f>IF(M86="","", IFERROR(VLOOKUP(M86, 'Hidden_Data'!M:N, 2, FALSE), "0"))</f>
        <v/>
      </c>
      <c r="Q86">
        <f>IF(P86="","", IFERROR(VLOOKUP(P86, 'Hidden_Data'!M:N, 2, FALSE), "0"))</f>
        <v/>
      </c>
      <c r="T86">
        <f>IF(A86="","", SUM(IF(F86="Yes", 0, IF(E86="", 0, IFERROR(VALUE(MID(E86, SEARCH("(",E86)+1, 1)),0))), IF(I86="Yes", 0, IF(H86="", 0, IFERROR(VALUE(MID(H86, SEARCH("(",H86)+1, 1)),0))), IF(L86="Yes", 0, IF(K86="", 0, IFERROR(VALUE(MID(K86, SEARCH("(",K86)+1, 1)),0))), IF(O86="Yes", 0, IF(N86="", 0, IFERROR(VALUE(MID(N86, SEARCH("(",N86)+1, 1)),0))), IF(R86="Yes", 0, IF(Q86="", 0, IFERROR(VALUE(MID(Q86, SEARCH("(",Q86)+1, 1)),0)))))</f>
        <v/>
      </c>
      <c r="U86">
        <f>IF(A86="","", IF(T86&gt;=5, "Priority 1 (Critical)", IF(T86&gt;=3, "Priority 2 (Major)", IF(T86&gt;=1, "Priority 3 (Minor)", "Pass/Fixed"))))</f>
        <v/>
      </c>
      <c r="V86">
        <f>IF(A86="","", IF(T86&gt;0, "FAIL", "PASS"))</f>
        <v/>
      </c>
    </row>
    <row r="87">
      <c r="A87">
        <f>IF('Equipment Information'!A87="","", 'Equipment Information'!A87)</f>
        <v/>
      </c>
      <c r="B87">
        <f>IF('Equipment Information'!B87="","", 'Equipment Information'!B87)</f>
        <v/>
      </c>
      <c r="C87">
        <f>IF('Equipment Information'!C87="","", 'Equipment Information'!C87)</f>
        <v/>
      </c>
      <c r="E87">
        <f>IF(D87="","", IFERROR(VLOOKUP(D87, 'Hidden_Data'!M:N, 2, FALSE), "0"))</f>
        <v/>
      </c>
      <c r="H87">
        <f>IF(G87="","", IFERROR(VLOOKUP(G87, 'Hidden_Data'!M:N, 2, FALSE), "0"))</f>
        <v/>
      </c>
      <c r="K87">
        <f>IF(J87="","", IFERROR(VLOOKUP(J87, 'Hidden_Data'!M:N, 2, FALSE), "0"))</f>
        <v/>
      </c>
      <c r="N87">
        <f>IF(M87="","", IFERROR(VLOOKUP(M87, 'Hidden_Data'!M:N, 2, FALSE), "0"))</f>
        <v/>
      </c>
      <c r="Q87">
        <f>IF(P87="","", IFERROR(VLOOKUP(P87, 'Hidden_Data'!M:N, 2, FALSE), "0"))</f>
        <v/>
      </c>
      <c r="T87">
        <f>IF(A87="","", SUM(IF(F87="Yes", 0, IF(E87="", 0, IFERROR(VALUE(MID(E87, SEARCH("(",E87)+1, 1)),0))), IF(I87="Yes", 0, IF(H87="", 0, IFERROR(VALUE(MID(H87, SEARCH("(",H87)+1, 1)),0))), IF(L87="Yes", 0, IF(K87="", 0, IFERROR(VALUE(MID(K87, SEARCH("(",K87)+1, 1)),0))), IF(O87="Yes", 0, IF(N87="", 0, IFERROR(VALUE(MID(N87, SEARCH("(",N87)+1, 1)),0))), IF(R87="Yes", 0, IF(Q87="", 0, IFERROR(VALUE(MID(Q87, SEARCH("(",Q87)+1, 1)),0)))))</f>
        <v/>
      </c>
      <c r="U87">
        <f>IF(A87="","", IF(T87&gt;=5, "Priority 1 (Critical)", IF(T87&gt;=3, "Priority 2 (Major)", IF(T87&gt;=1, "Priority 3 (Minor)", "Pass/Fixed"))))</f>
        <v/>
      </c>
      <c r="V87">
        <f>IF(A87="","", IF(T87&gt;0, "FAIL", "PASS"))</f>
        <v/>
      </c>
    </row>
    <row r="88">
      <c r="A88">
        <f>IF('Equipment Information'!A88="","", 'Equipment Information'!A88)</f>
        <v/>
      </c>
      <c r="B88">
        <f>IF('Equipment Information'!B88="","", 'Equipment Information'!B88)</f>
        <v/>
      </c>
      <c r="C88">
        <f>IF('Equipment Information'!C88="","", 'Equipment Information'!C88)</f>
        <v/>
      </c>
      <c r="E88">
        <f>IF(D88="","", IFERROR(VLOOKUP(D88, 'Hidden_Data'!M:N, 2, FALSE), "0"))</f>
        <v/>
      </c>
      <c r="H88">
        <f>IF(G88="","", IFERROR(VLOOKUP(G88, 'Hidden_Data'!M:N, 2, FALSE), "0"))</f>
        <v/>
      </c>
      <c r="K88">
        <f>IF(J88="","", IFERROR(VLOOKUP(J88, 'Hidden_Data'!M:N, 2, FALSE), "0"))</f>
        <v/>
      </c>
      <c r="N88">
        <f>IF(M88="","", IFERROR(VLOOKUP(M88, 'Hidden_Data'!M:N, 2, FALSE), "0"))</f>
        <v/>
      </c>
      <c r="Q88">
        <f>IF(P88="","", IFERROR(VLOOKUP(P88, 'Hidden_Data'!M:N, 2, FALSE), "0"))</f>
        <v/>
      </c>
      <c r="T88">
        <f>IF(A88="","", SUM(IF(F88="Yes", 0, IF(E88="", 0, IFERROR(VALUE(MID(E88, SEARCH("(",E88)+1, 1)),0))), IF(I88="Yes", 0, IF(H88="", 0, IFERROR(VALUE(MID(H88, SEARCH("(",H88)+1, 1)),0))), IF(L88="Yes", 0, IF(K88="", 0, IFERROR(VALUE(MID(K88, SEARCH("(",K88)+1, 1)),0))), IF(O88="Yes", 0, IF(N88="", 0, IFERROR(VALUE(MID(N88, SEARCH("(",N88)+1, 1)),0))), IF(R88="Yes", 0, IF(Q88="", 0, IFERROR(VALUE(MID(Q88, SEARCH("(",Q88)+1, 1)),0)))))</f>
        <v/>
      </c>
      <c r="U88">
        <f>IF(A88="","", IF(T88&gt;=5, "Priority 1 (Critical)", IF(T88&gt;=3, "Priority 2 (Major)", IF(T88&gt;=1, "Priority 3 (Minor)", "Pass/Fixed"))))</f>
        <v/>
      </c>
      <c r="V88">
        <f>IF(A88="","", IF(T88&gt;0, "FAIL", "PASS"))</f>
        <v/>
      </c>
    </row>
    <row r="89">
      <c r="A89">
        <f>IF('Equipment Information'!A89="","", 'Equipment Information'!A89)</f>
        <v/>
      </c>
      <c r="B89">
        <f>IF('Equipment Information'!B89="","", 'Equipment Information'!B89)</f>
        <v/>
      </c>
      <c r="C89">
        <f>IF('Equipment Information'!C89="","", 'Equipment Information'!C89)</f>
        <v/>
      </c>
      <c r="E89">
        <f>IF(D89="","", IFERROR(VLOOKUP(D89, 'Hidden_Data'!M:N, 2, FALSE), "0"))</f>
        <v/>
      </c>
      <c r="H89">
        <f>IF(G89="","", IFERROR(VLOOKUP(G89, 'Hidden_Data'!M:N, 2, FALSE), "0"))</f>
        <v/>
      </c>
      <c r="K89">
        <f>IF(J89="","", IFERROR(VLOOKUP(J89, 'Hidden_Data'!M:N, 2, FALSE), "0"))</f>
        <v/>
      </c>
      <c r="N89">
        <f>IF(M89="","", IFERROR(VLOOKUP(M89, 'Hidden_Data'!M:N, 2, FALSE), "0"))</f>
        <v/>
      </c>
      <c r="Q89">
        <f>IF(P89="","", IFERROR(VLOOKUP(P89, 'Hidden_Data'!M:N, 2, FALSE), "0"))</f>
        <v/>
      </c>
      <c r="T89">
        <f>IF(A89="","", SUM(IF(F89="Yes", 0, IF(E89="", 0, IFERROR(VALUE(MID(E89, SEARCH("(",E89)+1, 1)),0))), IF(I89="Yes", 0, IF(H89="", 0, IFERROR(VALUE(MID(H89, SEARCH("(",H89)+1, 1)),0))), IF(L89="Yes", 0, IF(K89="", 0, IFERROR(VALUE(MID(K89, SEARCH("(",K89)+1, 1)),0))), IF(O89="Yes", 0, IF(N89="", 0, IFERROR(VALUE(MID(N89, SEARCH("(",N89)+1, 1)),0))), IF(R89="Yes", 0, IF(Q89="", 0, IFERROR(VALUE(MID(Q89, SEARCH("(",Q89)+1, 1)),0)))))</f>
        <v/>
      </c>
      <c r="U89">
        <f>IF(A89="","", IF(T89&gt;=5, "Priority 1 (Critical)", IF(T89&gt;=3, "Priority 2 (Major)", IF(T89&gt;=1, "Priority 3 (Minor)", "Pass/Fixed"))))</f>
        <v/>
      </c>
      <c r="V89">
        <f>IF(A89="","", IF(T89&gt;0, "FAIL", "PASS"))</f>
        <v/>
      </c>
    </row>
    <row r="90">
      <c r="A90">
        <f>IF('Equipment Information'!A90="","", 'Equipment Information'!A90)</f>
        <v/>
      </c>
      <c r="B90">
        <f>IF('Equipment Information'!B90="","", 'Equipment Information'!B90)</f>
        <v/>
      </c>
      <c r="C90">
        <f>IF('Equipment Information'!C90="","", 'Equipment Information'!C90)</f>
        <v/>
      </c>
      <c r="E90">
        <f>IF(D90="","", IFERROR(VLOOKUP(D90, 'Hidden_Data'!M:N, 2, FALSE), "0"))</f>
        <v/>
      </c>
      <c r="H90">
        <f>IF(G90="","", IFERROR(VLOOKUP(G90, 'Hidden_Data'!M:N, 2, FALSE), "0"))</f>
        <v/>
      </c>
      <c r="K90">
        <f>IF(J90="","", IFERROR(VLOOKUP(J90, 'Hidden_Data'!M:N, 2, FALSE), "0"))</f>
        <v/>
      </c>
      <c r="N90">
        <f>IF(M90="","", IFERROR(VLOOKUP(M90, 'Hidden_Data'!M:N, 2, FALSE), "0"))</f>
        <v/>
      </c>
      <c r="Q90">
        <f>IF(P90="","", IFERROR(VLOOKUP(P90, 'Hidden_Data'!M:N, 2, FALSE), "0"))</f>
        <v/>
      </c>
      <c r="T90">
        <f>IF(A90="","", SUM(IF(F90="Yes", 0, IF(E90="", 0, IFERROR(VALUE(MID(E90, SEARCH("(",E90)+1, 1)),0))), IF(I90="Yes", 0, IF(H90="", 0, IFERROR(VALUE(MID(H90, SEARCH("(",H90)+1, 1)),0))), IF(L90="Yes", 0, IF(K90="", 0, IFERROR(VALUE(MID(K90, SEARCH("(",K90)+1, 1)),0))), IF(O90="Yes", 0, IF(N90="", 0, IFERROR(VALUE(MID(N90, SEARCH("(",N90)+1, 1)),0))), IF(R90="Yes", 0, IF(Q90="", 0, IFERROR(VALUE(MID(Q90, SEARCH("(",Q90)+1, 1)),0)))))</f>
        <v/>
      </c>
      <c r="U90">
        <f>IF(A90="","", IF(T90&gt;=5, "Priority 1 (Critical)", IF(T90&gt;=3, "Priority 2 (Major)", IF(T90&gt;=1, "Priority 3 (Minor)", "Pass/Fixed"))))</f>
        <v/>
      </c>
      <c r="V90">
        <f>IF(A90="","", IF(T90&gt;0, "FAIL", "PASS"))</f>
        <v/>
      </c>
    </row>
    <row r="91">
      <c r="A91">
        <f>IF('Equipment Information'!A91="","", 'Equipment Information'!A91)</f>
        <v/>
      </c>
      <c r="B91">
        <f>IF('Equipment Information'!B91="","", 'Equipment Information'!B91)</f>
        <v/>
      </c>
      <c r="C91">
        <f>IF('Equipment Information'!C91="","", 'Equipment Information'!C91)</f>
        <v/>
      </c>
      <c r="E91">
        <f>IF(D91="","", IFERROR(VLOOKUP(D91, 'Hidden_Data'!M:N, 2, FALSE), "0"))</f>
        <v/>
      </c>
      <c r="H91">
        <f>IF(G91="","", IFERROR(VLOOKUP(G91, 'Hidden_Data'!M:N, 2, FALSE), "0"))</f>
        <v/>
      </c>
      <c r="K91">
        <f>IF(J91="","", IFERROR(VLOOKUP(J91, 'Hidden_Data'!M:N, 2, FALSE), "0"))</f>
        <v/>
      </c>
      <c r="N91">
        <f>IF(M91="","", IFERROR(VLOOKUP(M91, 'Hidden_Data'!M:N, 2, FALSE), "0"))</f>
        <v/>
      </c>
      <c r="Q91">
        <f>IF(P91="","", IFERROR(VLOOKUP(P91, 'Hidden_Data'!M:N, 2, FALSE), "0"))</f>
        <v/>
      </c>
      <c r="T91">
        <f>IF(A91="","", SUM(IF(F91="Yes", 0, IF(E91="", 0, IFERROR(VALUE(MID(E91, SEARCH("(",E91)+1, 1)),0))), IF(I91="Yes", 0, IF(H91="", 0, IFERROR(VALUE(MID(H91, SEARCH("(",H91)+1, 1)),0))), IF(L91="Yes", 0, IF(K91="", 0, IFERROR(VALUE(MID(K91, SEARCH("(",K91)+1, 1)),0))), IF(O91="Yes", 0, IF(N91="", 0, IFERROR(VALUE(MID(N91, SEARCH("(",N91)+1, 1)),0))), IF(R91="Yes", 0, IF(Q91="", 0, IFERROR(VALUE(MID(Q91, SEARCH("(",Q91)+1, 1)),0)))))</f>
        <v/>
      </c>
      <c r="U91">
        <f>IF(A91="","", IF(T91&gt;=5, "Priority 1 (Critical)", IF(T91&gt;=3, "Priority 2 (Major)", IF(T91&gt;=1, "Priority 3 (Minor)", "Pass/Fixed"))))</f>
        <v/>
      </c>
      <c r="V91">
        <f>IF(A91="","", IF(T91&gt;0, "FAIL", "PASS"))</f>
        <v/>
      </c>
    </row>
    <row r="92">
      <c r="A92">
        <f>IF('Equipment Information'!A92="","", 'Equipment Information'!A92)</f>
        <v/>
      </c>
      <c r="B92">
        <f>IF('Equipment Information'!B92="","", 'Equipment Information'!B92)</f>
        <v/>
      </c>
      <c r="C92">
        <f>IF('Equipment Information'!C92="","", 'Equipment Information'!C92)</f>
        <v/>
      </c>
      <c r="E92">
        <f>IF(D92="","", IFERROR(VLOOKUP(D92, 'Hidden_Data'!M:N, 2, FALSE), "0"))</f>
        <v/>
      </c>
      <c r="H92">
        <f>IF(G92="","", IFERROR(VLOOKUP(G92, 'Hidden_Data'!M:N, 2, FALSE), "0"))</f>
        <v/>
      </c>
      <c r="K92">
        <f>IF(J92="","", IFERROR(VLOOKUP(J92, 'Hidden_Data'!M:N, 2, FALSE), "0"))</f>
        <v/>
      </c>
      <c r="N92">
        <f>IF(M92="","", IFERROR(VLOOKUP(M92, 'Hidden_Data'!M:N, 2, FALSE), "0"))</f>
        <v/>
      </c>
      <c r="Q92">
        <f>IF(P92="","", IFERROR(VLOOKUP(P92, 'Hidden_Data'!M:N, 2, FALSE), "0"))</f>
        <v/>
      </c>
      <c r="T92">
        <f>IF(A92="","", SUM(IF(F92="Yes", 0, IF(E92="", 0, IFERROR(VALUE(MID(E92, SEARCH("(",E92)+1, 1)),0))), IF(I92="Yes", 0, IF(H92="", 0, IFERROR(VALUE(MID(H92, SEARCH("(",H92)+1, 1)),0))), IF(L92="Yes", 0, IF(K92="", 0, IFERROR(VALUE(MID(K92, SEARCH("(",K92)+1, 1)),0))), IF(O92="Yes", 0, IF(N92="", 0, IFERROR(VALUE(MID(N92, SEARCH("(",N92)+1, 1)),0))), IF(R92="Yes", 0, IF(Q92="", 0, IFERROR(VALUE(MID(Q92, SEARCH("(",Q92)+1, 1)),0)))))</f>
        <v/>
      </c>
      <c r="U92">
        <f>IF(A92="","", IF(T92&gt;=5, "Priority 1 (Critical)", IF(T92&gt;=3, "Priority 2 (Major)", IF(T92&gt;=1, "Priority 3 (Minor)", "Pass/Fixed"))))</f>
        <v/>
      </c>
      <c r="V92">
        <f>IF(A92="","", IF(T92&gt;0, "FAIL", "PASS"))</f>
        <v/>
      </c>
    </row>
    <row r="93">
      <c r="A93">
        <f>IF('Equipment Information'!A93="","", 'Equipment Information'!A93)</f>
        <v/>
      </c>
      <c r="B93">
        <f>IF('Equipment Information'!B93="","", 'Equipment Information'!B93)</f>
        <v/>
      </c>
      <c r="C93">
        <f>IF('Equipment Information'!C93="","", 'Equipment Information'!C93)</f>
        <v/>
      </c>
      <c r="E93">
        <f>IF(D93="","", IFERROR(VLOOKUP(D93, 'Hidden_Data'!M:N, 2, FALSE), "0"))</f>
        <v/>
      </c>
      <c r="H93">
        <f>IF(G93="","", IFERROR(VLOOKUP(G93, 'Hidden_Data'!M:N, 2, FALSE), "0"))</f>
        <v/>
      </c>
      <c r="K93">
        <f>IF(J93="","", IFERROR(VLOOKUP(J93, 'Hidden_Data'!M:N, 2, FALSE), "0"))</f>
        <v/>
      </c>
      <c r="N93">
        <f>IF(M93="","", IFERROR(VLOOKUP(M93, 'Hidden_Data'!M:N, 2, FALSE), "0"))</f>
        <v/>
      </c>
      <c r="Q93">
        <f>IF(P93="","", IFERROR(VLOOKUP(P93, 'Hidden_Data'!M:N, 2, FALSE), "0"))</f>
        <v/>
      </c>
      <c r="T93">
        <f>IF(A93="","", SUM(IF(F93="Yes", 0, IF(E93="", 0, IFERROR(VALUE(MID(E93, SEARCH("(",E93)+1, 1)),0))), IF(I93="Yes", 0, IF(H93="", 0, IFERROR(VALUE(MID(H93, SEARCH("(",H93)+1, 1)),0))), IF(L93="Yes", 0, IF(K93="", 0, IFERROR(VALUE(MID(K93, SEARCH("(",K93)+1, 1)),0))), IF(O93="Yes", 0, IF(N93="", 0, IFERROR(VALUE(MID(N93, SEARCH("(",N93)+1, 1)),0))), IF(R93="Yes", 0, IF(Q93="", 0, IFERROR(VALUE(MID(Q93, SEARCH("(",Q93)+1, 1)),0)))))</f>
        <v/>
      </c>
      <c r="U93">
        <f>IF(A93="","", IF(T93&gt;=5, "Priority 1 (Critical)", IF(T93&gt;=3, "Priority 2 (Major)", IF(T93&gt;=1, "Priority 3 (Minor)", "Pass/Fixed"))))</f>
        <v/>
      </c>
      <c r="V93">
        <f>IF(A93="","", IF(T93&gt;0, "FAIL", "PASS"))</f>
        <v/>
      </c>
    </row>
    <row r="94">
      <c r="A94">
        <f>IF('Equipment Information'!A94="","", 'Equipment Information'!A94)</f>
        <v/>
      </c>
      <c r="B94">
        <f>IF('Equipment Information'!B94="","", 'Equipment Information'!B94)</f>
        <v/>
      </c>
      <c r="C94">
        <f>IF('Equipment Information'!C94="","", 'Equipment Information'!C94)</f>
        <v/>
      </c>
      <c r="E94">
        <f>IF(D94="","", IFERROR(VLOOKUP(D94, 'Hidden_Data'!M:N, 2, FALSE), "0"))</f>
        <v/>
      </c>
      <c r="H94">
        <f>IF(G94="","", IFERROR(VLOOKUP(G94, 'Hidden_Data'!M:N, 2, FALSE), "0"))</f>
        <v/>
      </c>
      <c r="K94">
        <f>IF(J94="","", IFERROR(VLOOKUP(J94, 'Hidden_Data'!M:N, 2, FALSE), "0"))</f>
        <v/>
      </c>
      <c r="N94">
        <f>IF(M94="","", IFERROR(VLOOKUP(M94, 'Hidden_Data'!M:N, 2, FALSE), "0"))</f>
        <v/>
      </c>
      <c r="Q94">
        <f>IF(P94="","", IFERROR(VLOOKUP(P94, 'Hidden_Data'!M:N, 2, FALSE), "0"))</f>
        <v/>
      </c>
      <c r="T94">
        <f>IF(A94="","", SUM(IF(F94="Yes", 0, IF(E94="", 0, IFERROR(VALUE(MID(E94, SEARCH("(",E94)+1, 1)),0))), IF(I94="Yes", 0, IF(H94="", 0, IFERROR(VALUE(MID(H94, SEARCH("(",H94)+1, 1)),0))), IF(L94="Yes", 0, IF(K94="", 0, IFERROR(VALUE(MID(K94, SEARCH("(",K94)+1, 1)),0))), IF(O94="Yes", 0, IF(N94="", 0, IFERROR(VALUE(MID(N94, SEARCH("(",N94)+1, 1)),0))), IF(R94="Yes", 0, IF(Q94="", 0, IFERROR(VALUE(MID(Q94, SEARCH("(",Q94)+1, 1)),0)))))</f>
        <v/>
      </c>
      <c r="U94">
        <f>IF(A94="","", IF(T94&gt;=5, "Priority 1 (Critical)", IF(T94&gt;=3, "Priority 2 (Major)", IF(T94&gt;=1, "Priority 3 (Minor)", "Pass/Fixed"))))</f>
        <v/>
      </c>
      <c r="V94">
        <f>IF(A94="","", IF(T94&gt;0, "FAIL", "PASS"))</f>
        <v/>
      </c>
    </row>
    <row r="95">
      <c r="A95">
        <f>IF('Equipment Information'!A95="","", 'Equipment Information'!A95)</f>
        <v/>
      </c>
      <c r="B95">
        <f>IF('Equipment Information'!B95="","", 'Equipment Information'!B95)</f>
        <v/>
      </c>
      <c r="C95">
        <f>IF('Equipment Information'!C95="","", 'Equipment Information'!C95)</f>
        <v/>
      </c>
      <c r="E95">
        <f>IF(D95="","", IFERROR(VLOOKUP(D95, 'Hidden_Data'!M:N, 2, FALSE), "0"))</f>
        <v/>
      </c>
      <c r="H95">
        <f>IF(G95="","", IFERROR(VLOOKUP(G95, 'Hidden_Data'!M:N, 2, FALSE), "0"))</f>
        <v/>
      </c>
      <c r="K95">
        <f>IF(J95="","", IFERROR(VLOOKUP(J95, 'Hidden_Data'!M:N, 2, FALSE), "0"))</f>
        <v/>
      </c>
      <c r="N95">
        <f>IF(M95="","", IFERROR(VLOOKUP(M95, 'Hidden_Data'!M:N, 2, FALSE), "0"))</f>
        <v/>
      </c>
      <c r="Q95">
        <f>IF(P95="","", IFERROR(VLOOKUP(P95, 'Hidden_Data'!M:N, 2, FALSE), "0"))</f>
        <v/>
      </c>
      <c r="T95">
        <f>IF(A95="","", SUM(IF(F95="Yes", 0, IF(E95="", 0, IFERROR(VALUE(MID(E95, SEARCH("(",E95)+1, 1)),0))), IF(I95="Yes", 0, IF(H95="", 0, IFERROR(VALUE(MID(H95, SEARCH("(",H95)+1, 1)),0))), IF(L95="Yes", 0, IF(K95="", 0, IFERROR(VALUE(MID(K95, SEARCH("(",K95)+1, 1)),0))), IF(O95="Yes", 0, IF(N95="", 0, IFERROR(VALUE(MID(N95, SEARCH("(",N95)+1, 1)),0))), IF(R95="Yes", 0, IF(Q95="", 0, IFERROR(VALUE(MID(Q95, SEARCH("(",Q95)+1, 1)),0)))))</f>
        <v/>
      </c>
      <c r="U95">
        <f>IF(A95="","", IF(T95&gt;=5, "Priority 1 (Critical)", IF(T95&gt;=3, "Priority 2 (Major)", IF(T95&gt;=1, "Priority 3 (Minor)", "Pass/Fixed"))))</f>
        <v/>
      </c>
      <c r="V95">
        <f>IF(A95="","", IF(T95&gt;0, "FAIL", "PASS"))</f>
        <v/>
      </c>
    </row>
    <row r="96">
      <c r="A96">
        <f>IF('Equipment Information'!A96="","", 'Equipment Information'!A96)</f>
        <v/>
      </c>
      <c r="B96">
        <f>IF('Equipment Information'!B96="","", 'Equipment Information'!B96)</f>
        <v/>
      </c>
      <c r="C96">
        <f>IF('Equipment Information'!C96="","", 'Equipment Information'!C96)</f>
        <v/>
      </c>
      <c r="E96">
        <f>IF(D96="","", IFERROR(VLOOKUP(D96, 'Hidden_Data'!M:N, 2, FALSE), "0"))</f>
        <v/>
      </c>
      <c r="H96">
        <f>IF(G96="","", IFERROR(VLOOKUP(G96, 'Hidden_Data'!M:N, 2, FALSE), "0"))</f>
        <v/>
      </c>
      <c r="K96">
        <f>IF(J96="","", IFERROR(VLOOKUP(J96, 'Hidden_Data'!M:N, 2, FALSE), "0"))</f>
        <v/>
      </c>
      <c r="N96">
        <f>IF(M96="","", IFERROR(VLOOKUP(M96, 'Hidden_Data'!M:N, 2, FALSE), "0"))</f>
        <v/>
      </c>
      <c r="Q96">
        <f>IF(P96="","", IFERROR(VLOOKUP(P96, 'Hidden_Data'!M:N, 2, FALSE), "0"))</f>
        <v/>
      </c>
      <c r="T96">
        <f>IF(A96="","", SUM(IF(F96="Yes", 0, IF(E96="", 0, IFERROR(VALUE(MID(E96, SEARCH("(",E96)+1, 1)),0))), IF(I96="Yes", 0, IF(H96="", 0, IFERROR(VALUE(MID(H96, SEARCH("(",H96)+1, 1)),0))), IF(L96="Yes", 0, IF(K96="", 0, IFERROR(VALUE(MID(K96, SEARCH("(",K96)+1, 1)),0))), IF(O96="Yes", 0, IF(N96="", 0, IFERROR(VALUE(MID(N96, SEARCH("(",N96)+1, 1)),0))), IF(R96="Yes", 0, IF(Q96="", 0, IFERROR(VALUE(MID(Q96, SEARCH("(",Q96)+1, 1)),0)))))</f>
        <v/>
      </c>
      <c r="U96">
        <f>IF(A96="","", IF(T96&gt;=5, "Priority 1 (Critical)", IF(T96&gt;=3, "Priority 2 (Major)", IF(T96&gt;=1, "Priority 3 (Minor)", "Pass/Fixed"))))</f>
        <v/>
      </c>
      <c r="V96">
        <f>IF(A96="","", IF(T96&gt;0, "FAIL", "PASS"))</f>
        <v/>
      </c>
    </row>
    <row r="97">
      <c r="A97">
        <f>IF('Equipment Information'!A97="","", 'Equipment Information'!A97)</f>
        <v/>
      </c>
      <c r="B97">
        <f>IF('Equipment Information'!B97="","", 'Equipment Information'!B97)</f>
        <v/>
      </c>
      <c r="C97">
        <f>IF('Equipment Information'!C97="","", 'Equipment Information'!C97)</f>
        <v/>
      </c>
      <c r="E97">
        <f>IF(D97="","", IFERROR(VLOOKUP(D97, 'Hidden_Data'!M:N, 2, FALSE), "0"))</f>
        <v/>
      </c>
      <c r="H97">
        <f>IF(G97="","", IFERROR(VLOOKUP(G97, 'Hidden_Data'!M:N, 2, FALSE), "0"))</f>
        <v/>
      </c>
      <c r="K97">
        <f>IF(J97="","", IFERROR(VLOOKUP(J97, 'Hidden_Data'!M:N, 2, FALSE), "0"))</f>
        <v/>
      </c>
      <c r="N97">
        <f>IF(M97="","", IFERROR(VLOOKUP(M97, 'Hidden_Data'!M:N, 2, FALSE), "0"))</f>
        <v/>
      </c>
      <c r="Q97">
        <f>IF(P97="","", IFERROR(VLOOKUP(P97, 'Hidden_Data'!M:N, 2, FALSE), "0"))</f>
        <v/>
      </c>
      <c r="T97">
        <f>IF(A97="","", SUM(IF(F97="Yes", 0, IF(E97="", 0, IFERROR(VALUE(MID(E97, SEARCH("(",E97)+1, 1)),0))), IF(I97="Yes", 0, IF(H97="", 0, IFERROR(VALUE(MID(H97, SEARCH("(",H97)+1, 1)),0))), IF(L97="Yes", 0, IF(K97="", 0, IFERROR(VALUE(MID(K97, SEARCH("(",K97)+1, 1)),0))), IF(O97="Yes", 0, IF(N97="", 0, IFERROR(VALUE(MID(N97, SEARCH("(",N97)+1, 1)),0))), IF(R97="Yes", 0, IF(Q97="", 0, IFERROR(VALUE(MID(Q97, SEARCH("(",Q97)+1, 1)),0)))))</f>
        <v/>
      </c>
      <c r="U97">
        <f>IF(A97="","", IF(T97&gt;=5, "Priority 1 (Critical)", IF(T97&gt;=3, "Priority 2 (Major)", IF(T97&gt;=1, "Priority 3 (Minor)", "Pass/Fixed"))))</f>
        <v/>
      </c>
      <c r="V97">
        <f>IF(A97="","", IF(T97&gt;0, "FAIL", "PASS"))</f>
        <v/>
      </c>
    </row>
    <row r="98">
      <c r="A98">
        <f>IF('Equipment Information'!A98="","", 'Equipment Information'!A98)</f>
        <v/>
      </c>
      <c r="B98">
        <f>IF('Equipment Information'!B98="","", 'Equipment Information'!B98)</f>
        <v/>
      </c>
      <c r="C98">
        <f>IF('Equipment Information'!C98="","", 'Equipment Information'!C98)</f>
        <v/>
      </c>
      <c r="E98">
        <f>IF(D98="","", IFERROR(VLOOKUP(D98, 'Hidden_Data'!M:N, 2, FALSE), "0"))</f>
        <v/>
      </c>
      <c r="H98">
        <f>IF(G98="","", IFERROR(VLOOKUP(G98, 'Hidden_Data'!M:N, 2, FALSE), "0"))</f>
        <v/>
      </c>
      <c r="K98">
        <f>IF(J98="","", IFERROR(VLOOKUP(J98, 'Hidden_Data'!M:N, 2, FALSE), "0"))</f>
        <v/>
      </c>
      <c r="N98">
        <f>IF(M98="","", IFERROR(VLOOKUP(M98, 'Hidden_Data'!M:N, 2, FALSE), "0"))</f>
        <v/>
      </c>
      <c r="Q98">
        <f>IF(P98="","", IFERROR(VLOOKUP(P98, 'Hidden_Data'!M:N, 2, FALSE), "0"))</f>
        <v/>
      </c>
      <c r="T98">
        <f>IF(A98="","", SUM(IF(F98="Yes", 0, IF(E98="", 0, IFERROR(VALUE(MID(E98, SEARCH("(",E98)+1, 1)),0))), IF(I98="Yes", 0, IF(H98="", 0, IFERROR(VALUE(MID(H98, SEARCH("(",H98)+1, 1)),0))), IF(L98="Yes", 0, IF(K98="", 0, IFERROR(VALUE(MID(K98, SEARCH("(",K98)+1, 1)),0))), IF(O98="Yes", 0, IF(N98="", 0, IFERROR(VALUE(MID(N98, SEARCH("(",N98)+1, 1)),0))), IF(R98="Yes", 0, IF(Q98="", 0, IFERROR(VALUE(MID(Q98, SEARCH("(",Q98)+1, 1)),0)))))</f>
        <v/>
      </c>
      <c r="U98">
        <f>IF(A98="","", IF(T98&gt;=5, "Priority 1 (Critical)", IF(T98&gt;=3, "Priority 2 (Major)", IF(T98&gt;=1, "Priority 3 (Minor)", "Pass/Fixed"))))</f>
        <v/>
      </c>
      <c r="V98">
        <f>IF(A98="","", IF(T98&gt;0, "FAIL", "PASS"))</f>
        <v/>
      </c>
    </row>
    <row r="99">
      <c r="A99">
        <f>IF('Equipment Information'!A99="","", 'Equipment Information'!A99)</f>
        <v/>
      </c>
      <c r="B99">
        <f>IF('Equipment Information'!B99="","", 'Equipment Information'!B99)</f>
        <v/>
      </c>
      <c r="C99">
        <f>IF('Equipment Information'!C99="","", 'Equipment Information'!C99)</f>
        <v/>
      </c>
      <c r="E99">
        <f>IF(D99="","", IFERROR(VLOOKUP(D99, 'Hidden_Data'!M:N, 2, FALSE), "0"))</f>
        <v/>
      </c>
      <c r="H99">
        <f>IF(G99="","", IFERROR(VLOOKUP(G99, 'Hidden_Data'!M:N, 2, FALSE), "0"))</f>
        <v/>
      </c>
      <c r="K99">
        <f>IF(J99="","", IFERROR(VLOOKUP(J99, 'Hidden_Data'!M:N, 2, FALSE), "0"))</f>
        <v/>
      </c>
      <c r="N99">
        <f>IF(M99="","", IFERROR(VLOOKUP(M99, 'Hidden_Data'!M:N, 2, FALSE), "0"))</f>
        <v/>
      </c>
      <c r="Q99">
        <f>IF(P99="","", IFERROR(VLOOKUP(P99, 'Hidden_Data'!M:N, 2, FALSE), "0"))</f>
        <v/>
      </c>
      <c r="T99">
        <f>IF(A99="","", SUM(IF(F99="Yes", 0, IF(E99="", 0, IFERROR(VALUE(MID(E99, SEARCH("(",E99)+1, 1)),0))), IF(I99="Yes", 0, IF(H99="", 0, IFERROR(VALUE(MID(H99, SEARCH("(",H99)+1, 1)),0))), IF(L99="Yes", 0, IF(K99="", 0, IFERROR(VALUE(MID(K99, SEARCH("(",K99)+1, 1)),0))), IF(O99="Yes", 0, IF(N99="", 0, IFERROR(VALUE(MID(N99, SEARCH("(",N99)+1, 1)),0))), IF(R99="Yes", 0, IF(Q99="", 0, IFERROR(VALUE(MID(Q99, SEARCH("(",Q99)+1, 1)),0)))))</f>
        <v/>
      </c>
      <c r="U99">
        <f>IF(A99="","", IF(T99&gt;=5, "Priority 1 (Critical)", IF(T99&gt;=3, "Priority 2 (Major)", IF(T99&gt;=1, "Priority 3 (Minor)", "Pass/Fixed"))))</f>
        <v/>
      </c>
      <c r="V99">
        <f>IF(A99="","", IF(T99&gt;0, "FAIL", "PASS"))</f>
        <v/>
      </c>
    </row>
    <row r="100">
      <c r="A100">
        <f>IF('Equipment Information'!A100="","", 'Equipment Information'!A100)</f>
        <v/>
      </c>
      <c r="B100">
        <f>IF('Equipment Information'!B100="","", 'Equipment Information'!B100)</f>
        <v/>
      </c>
      <c r="C100">
        <f>IF('Equipment Information'!C100="","", 'Equipment Information'!C100)</f>
        <v/>
      </c>
      <c r="E100">
        <f>IF(D100="","", IFERROR(VLOOKUP(D100, 'Hidden_Data'!M:N, 2, FALSE), "0"))</f>
        <v/>
      </c>
      <c r="H100">
        <f>IF(G100="","", IFERROR(VLOOKUP(G100, 'Hidden_Data'!M:N, 2, FALSE), "0"))</f>
        <v/>
      </c>
      <c r="K100">
        <f>IF(J100="","", IFERROR(VLOOKUP(J100, 'Hidden_Data'!M:N, 2, FALSE), "0"))</f>
        <v/>
      </c>
      <c r="N100">
        <f>IF(M100="","", IFERROR(VLOOKUP(M100, 'Hidden_Data'!M:N, 2, FALSE), "0"))</f>
        <v/>
      </c>
      <c r="Q100">
        <f>IF(P100="","", IFERROR(VLOOKUP(P100, 'Hidden_Data'!M:N, 2, FALSE), "0"))</f>
        <v/>
      </c>
      <c r="T100">
        <f>IF(A100="","", SUM(IF(F100="Yes", 0, IF(E100="", 0, IFERROR(VALUE(MID(E100, SEARCH("(",E100)+1, 1)),0))), IF(I100="Yes", 0, IF(H100="", 0, IFERROR(VALUE(MID(H100, SEARCH("(",H100)+1, 1)),0))), IF(L100="Yes", 0, IF(K100="", 0, IFERROR(VALUE(MID(K100, SEARCH("(",K100)+1, 1)),0))), IF(O100="Yes", 0, IF(N100="", 0, IFERROR(VALUE(MID(N100, SEARCH("(",N100)+1, 1)),0))), IF(R100="Yes", 0, IF(Q100="", 0, IFERROR(VALUE(MID(Q100, SEARCH("(",Q100)+1, 1)),0)))))</f>
        <v/>
      </c>
      <c r="U100">
        <f>IF(A100="","", IF(T100&gt;=5, "Priority 1 (Critical)", IF(T100&gt;=3, "Priority 2 (Major)", IF(T100&gt;=1, "Priority 3 (Minor)", "Pass/Fixed"))))</f>
        <v/>
      </c>
      <c r="V100">
        <f>IF(A100="","", IF(T100&gt;0, "FAIL", "PASS"))</f>
        <v/>
      </c>
    </row>
    <row r="101">
      <c r="A101">
        <f>IF('Equipment Information'!A101="","", 'Equipment Information'!A101)</f>
        <v/>
      </c>
      <c r="B101">
        <f>IF('Equipment Information'!B101="","", 'Equipment Information'!B101)</f>
        <v/>
      </c>
      <c r="C101">
        <f>IF('Equipment Information'!C101="","", 'Equipment Information'!C101)</f>
        <v/>
      </c>
      <c r="E101">
        <f>IF(D101="","", IFERROR(VLOOKUP(D101, 'Hidden_Data'!M:N, 2, FALSE), "0"))</f>
        <v/>
      </c>
      <c r="H101">
        <f>IF(G101="","", IFERROR(VLOOKUP(G101, 'Hidden_Data'!M:N, 2, FALSE), "0"))</f>
        <v/>
      </c>
      <c r="K101">
        <f>IF(J101="","", IFERROR(VLOOKUP(J101, 'Hidden_Data'!M:N, 2, FALSE), "0"))</f>
        <v/>
      </c>
      <c r="N101">
        <f>IF(M101="","", IFERROR(VLOOKUP(M101, 'Hidden_Data'!M:N, 2, FALSE), "0"))</f>
        <v/>
      </c>
      <c r="Q101">
        <f>IF(P101="","", IFERROR(VLOOKUP(P101, 'Hidden_Data'!M:N, 2, FALSE), "0"))</f>
        <v/>
      </c>
      <c r="T101">
        <f>IF(A101="","", SUM(IF(F101="Yes", 0, IF(E101="", 0, IFERROR(VALUE(MID(E101, SEARCH("(",E101)+1, 1)),0))), IF(I101="Yes", 0, IF(H101="", 0, IFERROR(VALUE(MID(H101, SEARCH("(",H101)+1, 1)),0))), IF(L101="Yes", 0, IF(K101="", 0, IFERROR(VALUE(MID(K101, SEARCH("(",K101)+1, 1)),0))), IF(O101="Yes", 0, IF(N101="", 0, IFERROR(VALUE(MID(N101, SEARCH("(",N101)+1, 1)),0))), IF(R101="Yes", 0, IF(Q101="", 0, IFERROR(VALUE(MID(Q101, SEARCH("(",Q101)+1, 1)),0)))))</f>
        <v/>
      </c>
      <c r="U101">
        <f>IF(A101="","", IF(T101&gt;=5, "Priority 1 (Critical)", IF(T101&gt;=3, "Priority 2 (Major)", IF(T101&gt;=1, "Priority 3 (Minor)", "Pass/Fixed"))))</f>
        <v/>
      </c>
      <c r="V101">
        <f>IF(A101="","", IF(T101&gt;0, "FAIL", "PASS"))</f>
        <v/>
      </c>
    </row>
    <row r="102">
      <c r="A102">
        <f>IF('Equipment Information'!A102="","", 'Equipment Information'!A102)</f>
        <v/>
      </c>
      <c r="B102">
        <f>IF('Equipment Information'!B102="","", 'Equipment Information'!B102)</f>
        <v/>
      </c>
      <c r="C102">
        <f>IF('Equipment Information'!C102="","", 'Equipment Information'!C102)</f>
        <v/>
      </c>
      <c r="E102">
        <f>IF(D102="","", IFERROR(VLOOKUP(D102, 'Hidden_Data'!M:N, 2, FALSE), "0"))</f>
        <v/>
      </c>
      <c r="H102">
        <f>IF(G102="","", IFERROR(VLOOKUP(G102, 'Hidden_Data'!M:N, 2, FALSE), "0"))</f>
        <v/>
      </c>
      <c r="K102">
        <f>IF(J102="","", IFERROR(VLOOKUP(J102, 'Hidden_Data'!M:N, 2, FALSE), "0"))</f>
        <v/>
      </c>
      <c r="N102">
        <f>IF(M102="","", IFERROR(VLOOKUP(M102, 'Hidden_Data'!M:N, 2, FALSE), "0"))</f>
        <v/>
      </c>
      <c r="Q102">
        <f>IF(P102="","", IFERROR(VLOOKUP(P102, 'Hidden_Data'!M:N, 2, FALSE), "0"))</f>
        <v/>
      </c>
      <c r="T102">
        <f>IF(A102="","", SUM(IF(F102="Yes", 0, IF(E102="", 0, IFERROR(VALUE(MID(E102, SEARCH("(",E102)+1, 1)),0))), IF(I102="Yes", 0, IF(H102="", 0, IFERROR(VALUE(MID(H102, SEARCH("(",H102)+1, 1)),0))), IF(L102="Yes", 0, IF(K102="", 0, IFERROR(VALUE(MID(K102, SEARCH("(",K102)+1, 1)),0))), IF(O102="Yes", 0, IF(N102="", 0, IFERROR(VALUE(MID(N102, SEARCH("(",N102)+1, 1)),0))), IF(R102="Yes", 0, IF(Q102="", 0, IFERROR(VALUE(MID(Q102, SEARCH("(",Q102)+1, 1)),0)))))</f>
        <v/>
      </c>
      <c r="U102">
        <f>IF(A102="","", IF(T102&gt;=5, "Priority 1 (Critical)", IF(T102&gt;=3, "Priority 2 (Major)", IF(T102&gt;=1, "Priority 3 (Minor)", "Pass/Fixed"))))</f>
        <v/>
      </c>
      <c r="V102">
        <f>IF(A102="","", IF(T102&gt;0, "FAIL", "PASS"))</f>
        <v/>
      </c>
    </row>
    <row r="103">
      <c r="A103">
        <f>IF('Equipment Information'!A103="","", 'Equipment Information'!A103)</f>
        <v/>
      </c>
      <c r="B103">
        <f>IF('Equipment Information'!B103="","", 'Equipment Information'!B103)</f>
        <v/>
      </c>
      <c r="C103">
        <f>IF('Equipment Information'!C103="","", 'Equipment Information'!C103)</f>
        <v/>
      </c>
      <c r="E103">
        <f>IF(D103="","", IFERROR(VLOOKUP(D103, 'Hidden_Data'!M:N, 2, FALSE), "0"))</f>
        <v/>
      </c>
      <c r="H103">
        <f>IF(G103="","", IFERROR(VLOOKUP(G103, 'Hidden_Data'!M:N, 2, FALSE), "0"))</f>
        <v/>
      </c>
      <c r="K103">
        <f>IF(J103="","", IFERROR(VLOOKUP(J103, 'Hidden_Data'!M:N, 2, FALSE), "0"))</f>
        <v/>
      </c>
      <c r="N103">
        <f>IF(M103="","", IFERROR(VLOOKUP(M103, 'Hidden_Data'!M:N, 2, FALSE), "0"))</f>
        <v/>
      </c>
      <c r="Q103">
        <f>IF(P103="","", IFERROR(VLOOKUP(P103, 'Hidden_Data'!M:N, 2, FALSE), "0"))</f>
        <v/>
      </c>
      <c r="T103">
        <f>IF(A103="","", SUM(IF(F103="Yes", 0, IF(E103="", 0, IFERROR(VALUE(MID(E103, SEARCH("(",E103)+1, 1)),0))), IF(I103="Yes", 0, IF(H103="", 0, IFERROR(VALUE(MID(H103, SEARCH("(",H103)+1, 1)),0))), IF(L103="Yes", 0, IF(K103="", 0, IFERROR(VALUE(MID(K103, SEARCH("(",K103)+1, 1)),0))), IF(O103="Yes", 0, IF(N103="", 0, IFERROR(VALUE(MID(N103, SEARCH("(",N103)+1, 1)),0))), IF(R103="Yes", 0, IF(Q103="", 0, IFERROR(VALUE(MID(Q103, SEARCH("(",Q103)+1, 1)),0)))))</f>
        <v/>
      </c>
      <c r="U103">
        <f>IF(A103="","", IF(T103&gt;=5, "Priority 1 (Critical)", IF(T103&gt;=3, "Priority 2 (Major)", IF(T103&gt;=1, "Priority 3 (Minor)", "Pass/Fixed"))))</f>
        <v/>
      </c>
      <c r="V103">
        <f>IF(A103="","", IF(T103&gt;0, "FAIL", "PASS"))</f>
        <v/>
      </c>
    </row>
    <row r="104">
      <c r="A104">
        <f>IF('Equipment Information'!A104="","", 'Equipment Information'!A104)</f>
        <v/>
      </c>
      <c r="B104">
        <f>IF('Equipment Information'!B104="","", 'Equipment Information'!B104)</f>
        <v/>
      </c>
      <c r="C104">
        <f>IF('Equipment Information'!C104="","", 'Equipment Information'!C104)</f>
        <v/>
      </c>
      <c r="E104">
        <f>IF(D104="","", IFERROR(VLOOKUP(D104, 'Hidden_Data'!M:N, 2, FALSE), "0"))</f>
        <v/>
      </c>
      <c r="H104">
        <f>IF(G104="","", IFERROR(VLOOKUP(G104, 'Hidden_Data'!M:N, 2, FALSE), "0"))</f>
        <v/>
      </c>
      <c r="K104">
        <f>IF(J104="","", IFERROR(VLOOKUP(J104, 'Hidden_Data'!M:N, 2, FALSE), "0"))</f>
        <v/>
      </c>
      <c r="N104">
        <f>IF(M104="","", IFERROR(VLOOKUP(M104, 'Hidden_Data'!M:N, 2, FALSE), "0"))</f>
        <v/>
      </c>
      <c r="Q104">
        <f>IF(P104="","", IFERROR(VLOOKUP(P104, 'Hidden_Data'!M:N, 2, FALSE), "0"))</f>
        <v/>
      </c>
      <c r="T104">
        <f>IF(A104="","", SUM(IF(F104="Yes", 0, IF(E104="", 0, IFERROR(VALUE(MID(E104, SEARCH("(",E104)+1, 1)),0))), IF(I104="Yes", 0, IF(H104="", 0, IFERROR(VALUE(MID(H104, SEARCH("(",H104)+1, 1)),0))), IF(L104="Yes", 0, IF(K104="", 0, IFERROR(VALUE(MID(K104, SEARCH("(",K104)+1, 1)),0))), IF(O104="Yes", 0, IF(N104="", 0, IFERROR(VALUE(MID(N104, SEARCH("(",N104)+1, 1)),0))), IF(R104="Yes", 0, IF(Q104="", 0, IFERROR(VALUE(MID(Q104, SEARCH("(",Q104)+1, 1)),0)))))</f>
        <v/>
      </c>
      <c r="U104">
        <f>IF(A104="","", IF(T104&gt;=5, "Priority 1 (Critical)", IF(T104&gt;=3, "Priority 2 (Major)", IF(T104&gt;=1, "Priority 3 (Minor)", "Pass/Fixed"))))</f>
        <v/>
      </c>
      <c r="V104">
        <f>IF(A104="","", IF(T104&gt;0, "FAIL", "PASS"))</f>
        <v/>
      </c>
    </row>
    <row r="105">
      <c r="A105">
        <f>IF('Equipment Information'!A105="","", 'Equipment Information'!A105)</f>
        <v/>
      </c>
      <c r="B105">
        <f>IF('Equipment Information'!B105="","", 'Equipment Information'!B105)</f>
        <v/>
      </c>
      <c r="C105">
        <f>IF('Equipment Information'!C105="","", 'Equipment Information'!C105)</f>
        <v/>
      </c>
      <c r="E105">
        <f>IF(D105="","", IFERROR(VLOOKUP(D105, 'Hidden_Data'!M:N, 2, FALSE), "0"))</f>
        <v/>
      </c>
      <c r="H105">
        <f>IF(G105="","", IFERROR(VLOOKUP(G105, 'Hidden_Data'!M:N, 2, FALSE), "0"))</f>
        <v/>
      </c>
      <c r="K105">
        <f>IF(J105="","", IFERROR(VLOOKUP(J105, 'Hidden_Data'!M:N, 2, FALSE), "0"))</f>
        <v/>
      </c>
      <c r="N105">
        <f>IF(M105="","", IFERROR(VLOOKUP(M105, 'Hidden_Data'!M:N, 2, FALSE), "0"))</f>
        <v/>
      </c>
      <c r="Q105">
        <f>IF(P105="","", IFERROR(VLOOKUP(P105, 'Hidden_Data'!M:N, 2, FALSE), "0"))</f>
        <v/>
      </c>
      <c r="T105">
        <f>IF(A105="","", SUM(IF(F105="Yes", 0, IF(E105="", 0, IFERROR(VALUE(MID(E105, SEARCH("(",E105)+1, 1)),0))), IF(I105="Yes", 0, IF(H105="", 0, IFERROR(VALUE(MID(H105, SEARCH("(",H105)+1, 1)),0))), IF(L105="Yes", 0, IF(K105="", 0, IFERROR(VALUE(MID(K105, SEARCH("(",K105)+1, 1)),0))), IF(O105="Yes", 0, IF(N105="", 0, IFERROR(VALUE(MID(N105, SEARCH("(",N105)+1, 1)),0))), IF(R105="Yes", 0, IF(Q105="", 0, IFERROR(VALUE(MID(Q105, SEARCH("(",Q105)+1, 1)),0)))))</f>
        <v/>
      </c>
      <c r="U105">
        <f>IF(A105="","", IF(T105&gt;=5, "Priority 1 (Critical)", IF(T105&gt;=3, "Priority 2 (Major)", IF(T105&gt;=1, "Priority 3 (Minor)", "Pass/Fixed"))))</f>
        <v/>
      </c>
      <c r="V105">
        <f>IF(A105="","", IF(T105&gt;0, "FAIL", "PASS"))</f>
        <v/>
      </c>
    </row>
    <row r="106">
      <c r="A106">
        <f>IF('Equipment Information'!A106="","", 'Equipment Information'!A106)</f>
        <v/>
      </c>
      <c r="B106">
        <f>IF('Equipment Information'!B106="","", 'Equipment Information'!B106)</f>
        <v/>
      </c>
      <c r="C106">
        <f>IF('Equipment Information'!C106="","", 'Equipment Information'!C106)</f>
        <v/>
      </c>
      <c r="E106">
        <f>IF(D106="","", IFERROR(VLOOKUP(D106, 'Hidden_Data'!M:N, 2, FALSE), "0"))</f>
        <v/>
      </c>
      <c r="H106">
        <f>IF(G106="","", IFERROR(VLOOKUP(G106, 'Hidden_Data'!M:N, 2, FALSE), "0"))</f>
        <v/>
      </c>
      <c r="K106">
        <f>IF(J106="","", IFERROR(VLOOKUP(J106, 'Hidden_Data'!M:N, 2, FALSE), "0"))</f>
        <v/>
      </c>
      <c r="N106">
        <f>IF(M106="","", IFERROR(VLOOKUP(M106, 'Hidden_Data'!M:N, 2, FALSE), "0"))</f>
        <v/>
      </c>
      <c r="Q106">
        <f>IF(P106="","", IFERROR(VLOOKUP(P106, 'Hidden_Data'!M:N, 2, FALSE), "0"))</f>
        <v/>
      </c>
      <c r="T106">
        <f>IF(A106="","", SUM(IF(F106="Yes", 0, IF(E106="", 0, IFERROR(VALUE(MID(E106, SEARCH("(",E106)+1, 1)),0))), IF(I106="Yes", 0, IF(H106="", 0, IFERROR(VALUE(MID(H106, SEARCH("(",H106)+1, 1)),0))), IF(L106="Yes", 0, IF(K106="", 0, IFERROR(VALUE(MID(K106, SEARCH("(",K106)+1, 1)),0))), IF(O106="Yes", 0, IF(N106="", 0, IFERROR(VALUE(MID(N106, SEARCH("(",N106)+1, 1)),0))), IF(R106="Yes", 0, IF(Q106="", 0, IFERROR(VALUE(MID(Q106, SEARCH("(",Q106)+1, 1)),0)))))</f>
        <v/>
      </c>
      <c r="U106">
        <f>IF(A106="","", IF(T106&gt;=5, "Priority 1 (Critical)", IF(T106&gt;=3, "Priority 2 (Major)", IF(T106&gt;=1, "Priority 3 (Minor)", "Pass/Fixed"))))</f>
        <v/>
      </c>
      <c r="V106">
        <f>IF(A106="","", IF(T106&gt;0, "FAIL", "PASS"))</f>
        <v/>
      </c>
    </row>
    <row r="107">
      <c r="A107">
        <f>IF('Equipment Information'!A107="","", 'Equipment Information'!A107)</f>
        <v/>
      </c>
      <c r="B107">
        <f>IF('Equipment Information'!B107="","", 'Equipment Information'!B107)</f>
        <v/>
      </c>
      <c r="C107">
        <f>IF('Equipment Information'!C107="","", 'Equipment Information'!C107)</f>
        <v/>
      </c>
      <c r="E107">
        <f>IF(D107="","", IFERROR(VLOOKUP(D107, 'Hidden_Data'!M:N, 2, FALSE), "0"))</f>
        <v/>
      </c>
      <c r="H107">
        <f>IF(G107="","", IFERROR(VLOOKUP(G107, 'Hidden_Data'!M:N, 2, FALSE), "0"))</f>
        <v/>
      </c>
      <c r="K107">
        <f>IF(J107="","", IFERROR(VLOOKUP(J107, 'Hidden_Data'!M:N, 2, FALSE), "0"))</f>
        <v/>
      </c>
      <c r="N107">
        <f>IF(M107="","", IFERROR(VLOOKUP(M107, 'Hidden_Data'!M:N, 2, FALSE), "0"))</f>
        <v/>
      </c>
      <c r="Q107">
        <f>IF(P107="","", IFERROR(VLOOKUP(P107, 'Hidden_Data'!M:N, 2, FALSE), "0"))</f>
        <v/>
      </c>
      <c r="T107">
        <f>IF(A107="","", SUM(IF(F107="Yes", 0, IF(E107="", 0, IFERROR(VALUE(MID(E107, SEARCH("(",E107)+1, 1)),0))), IF(I107="Yes", 0, IF(H107="", 0, IFERROR(VALUE(MID(H107, SEARCH("(",H107)+1, 1)),0))), IF(L107="Yes", 0, IF(K107="", 0, IFERROR(VALUE(MID(K107, SEARCH("(",K107)+1, 1)),0))), IF(O107="Yes", 0, IF(N107="", 0, IFERROR(VALUE(MID(N107, SEARCH("(",N107)+1, 1)),0))), IF(R107="Yes", 0, IF(Q107="", 0, IFERROR(VALUE(MID(Q107, SEARCH("(",Q107)+1, 1)),0)))))</f>
        <v/>
      </c>
      <c r="U107">
        <f>IF(A107="","", IF(T107&gt;=5, "Priority 1 (Critical)", IF(T107&gt;=3, "Priority 2 (Major)", IF(T107&gt;=1, "Priority 3 (Minor)", "Pass/Fixed"))))</f>
        <v/>
      </c>
      <c r="V107">
        <f>IF(A107="","", IF(T107&gt;0, "FAIL", "PASS"))</f>
        <v/>
      </c>
    </row>
    <row r="108">
      <c r="A108">
        <f>IF('Equipment Information'!A108="","", 'Equipment Information'!A108)</f>
        <v/>
      </c>
      <c r="B108">
        <f>IF('Equipment Information'!B108="","", 'Equipment Information'!B108)</f>
        <v/>
      </c>
      <c r="C108">
        <f>IF('Equipment Information'!C108="","", 'Equipment Information'!C108)</f>
        <v/>
      </c>
      <c r="E108">
        <f>IF(D108="","", IFERROR(VLOOKUP(D108, 'Hidden_Data'!M:N, 2, FALSE), "0"))</f>
        <v/>
      </c>
      <c r="H108">
        <f>IF(G108="","", IFERROR(VLOOKUP(G108, 'Hidden_Data'!M:N, 2, FALSE), "0"))</f>
        <v/>
      </c>
      <c r="K108">
        <f>IF(J108="","", IFERROR(VLOOKUP(J108, 'Hidden_Data'!M:N, 2, FALSE), "0"))</f>
        <v/>
      </c>
      <c r="N108">
        <f>IF(M108="","", IFERROR(VLOOKUP(M108, 'Hidden_Data'!M:N, 2, FALSE), "0"))</f>
        <v/>
      </c>
      <c r="Q108">
        <f>IF(P108="","", IFERROR(VLOOKUP(P108, 'Hidden_Data'!M:N, 2, FALSE), "0"))</f>
        <v/>
      </c>
      <c r="T108">
        <f>IF(A108="","", SUM(IF(F108="Yes", 0, IF(E108="", 0, IFERROR(VALUE(MID(E108, SEARCH("(",E108)+1, 1)),0))), IF(I108="Yes", 0, IF(H108="", 0, IFERROR(VALUE(MID(H108, SEARCH("(",H108)+1, 1)),0))), IF(L108="Yes", 0, IF(K108="", 0, IFERROR(VALUE(MID(K108, SEARCH("(",K108)+1, 1)),0))), IF(O108="Yes", 0, IF(N108="", 0, IFERROR(VALUE(MID(N108, SEARCH("(",N108)+1, 1)),0))), IF(R108="Yes", 0, IF(Q108="", 0, IFERROR(VALUE(MID(Q108, SEARCH("(",Q108)+1, 1)),0)))))</f>
        <v/>
      </c>
      <c r="U108">
        <f>IF(A108="","", IF(T108&gt;=5, "Priority 1 (Critical)", IF(T108&gt;=3, "Priority 2 (Major)", IF(T108&gt;=1, "Priority 3 (Minor)", "Pass/Fixed"))))</f>
        <v/>
      </c>
      <c r="V108">
        <f>IF(A108="","", IF(T108&gt;0, "FAIL", "PASS"))</f>
        <v/>
      </c>
    </row>
    <row r="109">
      <c r="A109">
        <f>IF('Equipment Information'!A109="","", 'Equipment Information'!A109)</f>
        <v/>
      </c>
      <c r="B109">
        <f>IF('Equipment Information'!B109="","", 'Equipment Information'!B109)</f>
        <v/>
      </c>
      <c r="C109">
        <f>IF('Equipment Information'!C109="","", 'Equipment Information'!C109)</f>
        <v/>
      </c>
      <c r="E109">
        <f>IF(D109="","", IFERROR(VLOOKUP(D109, 'Hidden_Data'!M:N, 2, FALSE), "0"))</f>
        <v/>
      </c>
      <c r="H109">
        <f>IF(G109="","", IFERROR(VLOOKUP(G109, 'Hidden_Data'!M:N, 2, FALSE), "0"))</f>
        <v/>
      </c>
      <c r="K109">
        <f>IF(J109="","", IFERROR(VLOOKUP(J109, 'Hidden_Data'!M:N, 2, FALSE), "0"))</f>
        <v/>
      </c>
      <c r="N109">
        <f>IF(M109="","", IFERROR(VLOOKUP(M109, 'Hidden_Data'!M:N, 2, FALSE), "0"))</f>
        <v/>
      </c>
      <c r="Q109">
        <f>IF(P109="","", IFERROR(VLOOKUP(P109, 'Hidden_Data'!M:N, 2, FALSE), "0"))</f>
        <v/>
      </c>
      <c r="T109">
        <f>IF(A109="","", SUM(IF(F109="Yes", 0, IF(E109="", 0, IFERROR(VALUE(MID(E109, SEARCH("(",E109)+1, 1)),0))), IF(I109="Yes", 0, IF(H109="", 0, IFERROR(VALUE(MID(H109, SEARCH("(",H109)+1, 1)),0))), IF(L109="Yes", 0, IF(K109="", 0, IFERROR(VALUE(MID(K109, SEARCH("(",K109)+1, 1)),0))), IF(O109="Yes", 0, IF(N109="", 0, IFERROR(VALUE(MID(N109, SEARCH("(",N109)+1, 1)),0))), IF(R109="Yes", 0, IF(Q109="", 0, IFERROR(VALUE(MID(Q109, SEARCH("(",Q109)+1, 1)),0)))))</f>
        <v/>
      </c>
      <c r="U109">
        <f>IF(A109="","", IF(T109&gt;=5, "Priority 1 (Critical)", IF(T109&gt;=3, "Priority 2 (Major)", IF(T109&gt;=1, "Priority 3 (Minor)", "Pass/Fixed"))))</f>
        <v/>
      </c>
      <c r="V109">
        <f>IF(A109="","", IF(T109&gt;0, "FAIL", "PASS"))</f>
        <v/>
      </c>
    </row>
    <row r="110">
      <c r="A110">
        <f>IF('Equipment Information'!A110="","", 'Equipment Information'!A110)</f>
        <v/>
      </c>
      <c r="B110">
        <f>IF('Equipment Information'!B110="","", 'Equipment Information'!B110)</f>
        <v/>
      </c>
      <c r="C110">
        <f>IF('Equipment Information'!C110="","", 'Equipment Information'!C110)</f>
        <v/>
      </c>
      <c r="E110">
        <f>IF(D110="","", IFERROR(VLOOKUP(D110, 'Hidden_Data'!M:N, 2, FALSE), "0"))</f>
        <v/>
      </c>
      <c r="H110">
        <f>IF(G110="","", IFERROR(VLOOKUP(G110, 'Hidden_Data'!M:N, 2, FALSE), "0"))</f>
        <v/>
      </c>
      <c r="K110">
        <f>IF(J110="","", IFERROR(VLOOKUP(J110, 'Hidden_Data'!M:N, 2, FALSE), "0"))</f>
        <v/>
      </c>
      <c r="N110">
        <f>IF(M110="","", IFERROR(VLOOKUP(M110, 'Hidden_Data'!M:N, 2, FALSE), "0"))</f>
        <v/>
      </c>
      <c r="Q110">
        <f>IF(P110="","", IFERROR(VLOOKUP(P110, 'Hidden_Data'!M:N, 2, FALSE), "0"))</f>
        <v/>
      </c>
      <c r="T110">
        <f>IF(A110="","", SUM(IF(F110="Yes", 0, IF(E110="", 0, IFERROR(VALUE(MID(E110, SEARCH("(",E110)+1, 1)),0))), IF(I110="Yes", 0, IF(H110="", 0, IFERROR(VALUE(MID(H110, SEARCH("(",H110)+1, 1)),0))), IF(L110="Yes", 0, IF(K110="", 0, IFERROR(VALUE(MID(K110, SEARCH("(",K110)+1, 1)),0))), IF(O110="Yes", 0, IF(N110="", 0, IFERROR(VALUE(MID(N110, SEARCH("(",N110)+1, 1)),0))), IF(R110="Yes", 0, IF(Q110="", 0, IFERROR(VALUE(MID(Q110, SEARCH("(",Q110)+1, 1)),0)))))</f>
        <v/>
      </c>
      <c r="U110">
        <f>IF(A110="","", IF(T110&gt;=5, "Priority 1 (Critical)", IF(T110&gt;=3, "Priority 2 (Major)", IF(T110&gt;=1, "Priority 3 (Minor)", "Pass/Fixed"))))</f>
        <v/>
      </c>
      <c r="V110">
        <f>IF(A110="","", IF(T110&gt;0, "FAIL", "PASS"))</f>
        <v/>
      </c>
    </row>
    <row r="111">
      <c r="A111">
        <f>IF('Equipment Information'!A111="","", 'Equipment Information'!A111)</f>
        <v/>
      </c>
      <c r="B111">
        <f>IF('Equipment Information'!B111="","", 'Equipment Information'!B111)</f>
        <v/>
      </c>
      <c r="C111">
        <f>IF('Equipment Information'!C111="","", 'Equipment Information'!C111)</f>
        <v/>
      </c>
      <c r="E111">
        <f>IF(D111="","", IFERROR(VLOOKUP(D111, 'Hidden_Data'!M:N, 2, FALSE), "0"))</f>
        <v/>
      </c>
      <c r="H111">
        <f>IF(G111="","", IFERROR(VLOOKUP(G111, 'Hidden_Data'!M:N, 2, FALSE), "0"))</f>
        <v/>
      </c>
      <c r="K111">
        <f>IF(J111="","", IFERROR(VLOOKUP(J111, 'Hidden_Data'!M:N, 2, FALSE), "0"))</f>
        <v/>
      </c>
      <c r="N111">
        <f>IF(M111="","", IFERROR(VLOOKUP(M111, 'Hidden_Data'!M:N, 2, FALSE), "0"))</f>
        <v/>
      </c>
      <c r="Q111">
        <f>IF(P111="","", IFERROR(VLOOKUP(P111, 'Hidden_Data'!M:N, 2, FALSE), "0"))</f>
        <v/>
      </c>
      <c r="T111">
        <f>IF(A111="","", SUM(IF(F111="Yes", 0, IF(E111="", 0, IFERROR(VALUE(MID(E111, SEARCH("(",E111)+1, 1)),0))), IF(I111="Yes", 0, IF(H111="", 0, IFERROR(VALUE(MID(H111, SEARCH("(",H111)+1, 1)),0))), IF(L111="Yes", 0, IF(K111="", 0, IFERROR(VALUE(MID(K111, SEARCH("(",K111)+1, 1)),0))), IF(O111="Yes", 0, IF(N111="", 0, IFERROR(VALUE(MID(N111, SEARCH("(",N111)+1, 1)),0))), IF(R111="Yes", 0, IF(Q111="", 0, IFERROR(VALUE(MID(Q111, SEARCH("(",Q111)+1, 1)),0)))))</f>
        <v/>
      </c>
      <c r="U111">
        <f>IF(A111="","", IF(T111&gt;=5, "Priority 1 (Critical)", IF(T111&gt;=3, "Priority 2 (Major)", IF(T111&gt;=1, "Priority 3 (Minor)", "Pass/Fixed"))))</f>
        <v/>
      </c>
      <c r="V111">
        <f>IF(A111="","", IF(T111&gt;0, "FAIL", "PASS"))</f>
        <v/>
      </c>
    </row>
    <row r="112">
      <c r="A112">
        <f>IF('Equipment Information'!A112="","", 'Equipment Information'!A112)</f>
        <v/>
      </c>
      <c r="B112">
        <f>IF('Equipment Information'!B112="","", 'Equipment Information'!B112)</f>
        <v/>
      </c>
      <c r="C112">
        <f>IF('Equipment Information'!C112="","", 'Equipment Information'!C112)</f>
        <v/>
      </c>
      <c r="E112">
        <f>IF(D112="","", IFERROR(VLOOKUP(D112, 'Hidden_Data'!M:N, 2, FALSE), "0"))</f>
        <v/>
      </c>
      <c r="H112">
        <f>IF(G112="","", IFERROR(VLOOKUP(G112, 'Hidden_Data'!M:N, 2, FALSE), "0"))</f>
        <v/>
      </c>
      <c r="K112">
        <f>IF(J112="","", IFERROR(VLOOKUP(J112, 'Hidden_Data'!M:N, 2, FALSE), "0"))</f>
        <v/>
      </c>
      <c r="N112">
        <f>IF(M112="","", IFERROR(VLOOKUP(M112, 'Hidden_Data'!M:N, 2, FALSE), "0"))</f>
        <v/>
      </c>
      <c r="Q112">
        <f>IF(P112="","", IFERROR(VLOOKUP(P112, 'Hidden_Data'!M:N, 2, FALSE), "0"))</f>
        <v/>
      </c>
      <c r="T112">
        <f>IF(A112="","", SUM(IF(F112="Yes", 0, IF(E112="", 0, IFERROR(VALUE(MID(E112, SEARCH("(",E112)+1, 1)),0))), IF(I112="Yes", 0, IF(H112="", 0, IFERROR(VALUE(MID(H112, SEARCH("(",H112)+1, 1)),0))), IF(L112="Yes", 0, IF(K112="", 0, IFERROR(VALUE(MID(K112, SEARCH("(",K112)+1, 1)),0))), IF(O112="Yes", 0, IF(N112="", 0, IFERROR(VALUE(MID(N112, SEARCH("(",N112)+1, 1)),0))), IF(R112="Yes", 0, IF(Q112="", 0, IFERROR(VALUE(MID(Q112, SEARCH("(",Q112)+1, 1)),0)))))</f>
        <v/>
      </c>
      <c r="U112">
        <f>IF(A112="","", IF(T112&gt;=5, "Priority 1 (Critical)", IF(T112&gt;=3, "Priority 2 (Major)", IF(T112&gt;=1, "Priority 3 (Minor)", "Pass/Fixed"))))</f>
        <v/>
      </c>
      <c r="V112">
        <f>IF(A112="","", IF(T112&gt;0, "FAIL", "PASS"))</f>
        <v/>
      </c>
    </row>
    <row r="113">
      <c r="A113">
        <f>IF('Equipment Information'!A113="","", 'Equipment Information'!A113)</f>
        <v/>
      </c>
      <c r="B113">
        <f>IF('Equipment Information'!B113="","", 'Equipment Information'!B113)</f>
        <v/>
      </c>
      <c r="C113">
        <f>IF('Equipment Information'!C113="","", 'Equipment Information'!C113)</f>
        <v/>
      </c>
      <c r="E113">
        <f>IF(D113="","", IFERROR(VLOOKUP(D113, 'Hidden_Data'!M:N, 2, FALSE), "0"))</f>
        <v/>
      </c>
      <c r="H113">
        <f>IF(G113="","", IFERROR(VLOOKUP(G113, 'Hidden_Data'!M:N, 2, FALSE), "0"))</f>
        <v/>
      </c>
      <c r="K113">
        <f>IF(J113="","", IFERROR(VLOOKUP(J113, 'Hidden_Data'!M:N, 2, FALSE), "0"))</f>
        <v/>
      </c>
      <c r="N113">
        <f>IF(M113="","", IFERROR(VLOOKUP(M113, 'Hidden_Data'!M:N, 2, FALSE), "0"))</f>
        <v/>
      </c>
      <c r="Q113">
        <f>IF(P113="","", IFERROR(VLOOKUP(P113, 'Hidden_Data'!M:N, 2, FALSE), "0"))</f>
        <v/>
      </c>
      <c r="T113">
        <f>IF(A113="","", SUM(IF(F113="Yes", 0, IF(E113="", 0, IFERROR(VALUE(MID(E113, SEARCH("(",E113)+1, 1)),0))), IF(I113="Yes", 0, IF(H113="", 0, IFERROR(VALUE(MID(H113, SEARCH("(",H113)+1, 1)),0))), IF(L113="Yes", 0, IF(K113="", 0, IFERROR(VALUE(MID(K113, SEARCH("(",K113)+1, 1)),0))), IF(O113="Yes", 0, IF(N113="", 0, IFERROR(VALUE(MID(N113, SEARCH("(",N113)+1, 1)),0))), IF(R113="Yes", 0, IF(Q113="", 0, IFERROR(VALUE(MID(Q113, SEARCH("(",Q113)+1, 1)),0)))))</f>
        <v/>
      </c>
      <c r="U113">
        <f>IF(A113="","", IF(T113&gt;=5, "Priority 1 (Critical)", IF(T113&gt;=3, "Priority 2 (Major)", IF(T113&gt;=1, "Priority 3 (Minor)", "Pass/Fixed"))))</f>
        <v/>
      </c>
      <c r="V113">
        <f>IF(A113="","", IF(T113&gt;0, "FAIL", "PASS"))</f>
        <v/>
      </c>
    </row>
    <row r="114">
      <c r="A114">
        <f>IF('Equipment Information'!A114="","", 'Equipment Information'!A114)</f>
        <v/>
      </c>
      <c r="B114">
        <f>IF('Equipment Information'!B114="","", 'Equipment Information'!B114)</f>
        <v/>
      </c>
      <c r="C114">
        <f>IF('Equipment Information'!C114="","", 'Equipment Information'!C114)</f>
        <v/>
      </c>
      <c r="E114">
        <f>IF(D114="","", IFERROR(VLOOKUP(D114, 'Hidden_Data'!M:N, 2, FALSE), "0"))</f>
        <v/>
      </c>
      <c r="H114">
        <f>IF(G114="","", IFERROR(VLOOKUP(G114, 'Hidden_Data'!M:N, 2, FALSE), "0"))</f>
        <v/>
      </c>
      <c r="K114">
        <f>IF(J114="","", IFERROR(VLOOKUP(J114, 'Hidden_Data'!M:N, 2, FALSE), "0"))</f>
        <v/>
      </c>
      <c r="N114">
        <f>IF(M114="","", IFERROR(VLOOKUP(M114, 'Hidden_Data'!M:N, 2, FALSE), "0"))</f>
        <v/>
      </c>
      <c r="Q114">
        <f>IF(P114="","", IFERROR(VLOOKUP(P114, 'Hidden_Data'!M:N, 2, FALSE), "0"))</f>
        <v/>
      </c>
      <c r="T114">
        <f>IF(A114="","", SUM(IF(F114="Yes", 0, IF(E114="", 0, IFERROR(VALUE(MID(E114, SEARCH("(",E114)+1, 1)),0))), IF(I114="Yes", 0, IF(H114="", 0, IFERROR(VALUE(MID(H114, SEARCH("(",H114)+1, 1)),0))), IF(L114="Yes", 0, IF(K114="", 0, IFERROR(VALUE(MID(K114, SEARCH("(",K114)+1, 1)),0))), IF(O114="Yes", 0, IF(N114="", 0, IFERROR(VALUE(MID(N114, SEARCH("(",N114)+1, 1)),0))), IF(R114="Yes", 0, IF(Q114="", 0, IFERROR(VALUE(MID(Q114, SEARCH("(",Q114)+1, 1)),0)))))</f>
        <v/>
      </c>
      <c r="U114">
        <f>IF(A114="","", IF(T114&gt;=5, "Priority 1 (Critical)", IF(T114&gt;=3, "Priority 2 (Major)", IF(T114&gt;=1, "Priority 3 (Minor)", "Pass/Fixed"))))</f>
        <v/>
      </c>
      <c r="V114">
        <f>IF(A114="","", IF(T114&gt;0, "FAIL", "PASS"))</f>
        <v/>
      </c>
    </row>
    <row r="115">
      <c r="A115">
        <f>IF('Equipment Information'!A115="","", 'Equipment Information'!A115)</f>
        <v/>
      </c>
      <c r="B115">
        <f>IF('Equipment Information'!B115="","", 'Equipment Information'!B115)</f>
        <v/>
      </c>
      <c r="C115">
        <f>IF('Equipment Information'!C115="","", 'Equipment Information'!C115)</f>
        <v/>
      </c>
      <c r="E115">
        <f>IF(D115="","", IFERROR(VLOOKUP(D115, 'Hidden_Data'!M:N, 2, FALSE), "0"))</f>
        <v/>
      </c>
      <c r="H115">
        <f>IF(G115="","", IFERROR(VLOOKUP(G115, 'Hidden_Data'!M:N, 2, FALSE), "0"))</f>
        <v/>
      </c>
      <c r="K115">
        <f>IF(J115="","", IFERROR(VLOOKUP(J115, 'Hidden_Data'!M:N, 2, FALSE), "0"))</f>
        <v/>
      </c>
      <c r="N115">
        <f>IF(M115="","", IFERROR(VLOOKUP(M115, 'Hidden_Data'!M:N, 2, FALSE), "0"))</f>
        <v/>
      </c>
      <c r="Q115">
        <f>IF(P115="","", IFERROR(VLOOKUP(P115, 'Hidden_Data'!M:N, 2, FALSE), "0"))</f>
        <v/>
      </c>
      <c r="T115">
        <f>IF(A115="","", SUM(IF(F115="Yes", 0, IF(E115="", 0, IFERROR(VALUE(MID(E115, SEARCH("(",E115)+1, 1)),0))), IF(I115="Yes", 0, IF(H115="", 0, IFERROR(VALUE(MID(H115, SEARCH("(",H115)+1, 1)),0))), IF(L115="Yes", 0, IF(K115="", 0, IFERROR(VALUE(MID(K115, SEARCH("(",K115)+1, 1)),0))), IF(O115="Yes", 0, IF(N115="", 0, IFERROR(VALUE(MID(N115, SEARCH("(",N115)+1, 1)),0))), IF(R115="Yes", 0, IF(Q115="", 0, IFERROR(VALUE(MID(Q115, SEARCH("(",Q115)+1, 1)),0)))))</f>
        <v/>
      </c>
      <c r="U115">
        <f>IF(A115="","", IF(T115&gt;=5, "Priority 1 (Critical)", IF(T115&gt;=3, "Priority 2 (Major)", IF(T115&gt;=1, "Priority 3 (Minor)", "Pass/Fixed"))))</f>
        <v/>
      </c>
      <c r="V115">
        <f>IF(A115="","", IF(T115&gt;0, "FAIL", "PASS"))</f>
        <v/>
      </c>
    </row>
    <row r="116">
      <c r="A116">
        <f>IF('Equipment Information'!A116="","", 'Equipment Information'!A116)</f>
        <v/>
      </c>
      <c r="B116">
        <f>IF('Equipment Information'!B116="","", 'Equipment Information'!B116)</f>
        <v/>
      </c>
      <c r="C116">
        <f>IF('Equipment Information'!C116="","", 'Equipment Information'!C116)</f>
        <v/>
      </c>
      <c r="E116">
        <f>IF(D116="","", IFERROR(VLOOKUP(D116, 'Hidden_Data'!M:N, 2, FALSE), "0"))</f>
        <v/>
      </c>
      <c r="H116">
        <f>IF(G116="","", IFERROR(VLOOKUP(G116, 'Hidden_Data'!M:N, 2, FALSE), "0"))</f>
        <v/>
      </c>
      <c r="K116">
        <f>IF(J116="","", IFERROR(VLOOKUP(J116, 'Hidden_Data'!M:N, 2, FALSE), "0"))</f>
        <v/>
      </c>
      <c r="N116">
        <f>IF(M116="","", IFERROR(VLOOKUP(M116, 'Hidden_Data'!M:N, 2, FALSE), "0"))</f>
        <v/>
      </c>
      <c r="Q116">
        <f>IF(P116="","", IFERROR(VLOOKUP(P116, 'Hidden_Data'!M:N, 2, FALSE), "0"))</f>
        <v/>
      </c>
      <c r="T116">
        <f>IF(A116="","", SUM(IF(F116="Yes", 0, IF(E116="", 0, IFERROR(VALUE(MID(E116, SEARCH("(",E116)+1, 1)),0))), IF(I116="Yes", 0, IF(H116="", 0, IFERROR(VALUE(MID(H116, SEARCH("(",H116)+1, 1)),0))), IF(L116="Yes", 0, IF(K116="", 0, IFERROR(VALUE(MID(K116, SEARCH("(",K116)+1, 1)),0))), IF(O116="Yes", 0, IF(N116="", 0, IFERROR(VALUE(MID(N116, SEARCH("(",N116)+1, 1)),0))), IF(R116="Yes", 0, IF(Q116="", 0, IFERROR(VALUE(MID(Q116, SEARCH("(",Q116)+1, 1)),0)))))</f>
        <v/>
      </c>
      <c r="U116">
        <f>IF(A116="","", IF(T116&gt;=5, "Priority 1 (Critical)", IF(T116&gt;=3, "Priority 2 (Major)", IF(T116&gt;=1, "Priority 3 (Minor)", "Pass/Fixed"))))</f>
        <v/>
      </c>
      <c r="V116">
        <f>IF(A116="","", IF(T116&gt;0, "FAIL", "PASS"))</f>
        <v/>
      </c>
    </row>
    <row r="117">
      <c r="A117">
        <f>IF('Equipment Information'!A117="","", 'Equipment Information'!A117)</f>
        <v/>
      </c>
      <c r="B117">
        <f>IF('Equipment Information'!B117="","", 'Equipment Information'!B117)</f>
        <v/>
      </c>
      <c r="C117">
        <f>IF('Equipment Information'!C117="","", 'Equipment Information'!C117)</f>
        <v/>
      </c>
      <c r="E117">
        <f>IF(D117="","", IFERROR(VLOOKUP(D117, 'Hidden_Data'!M:N, 2, FALSE), "0"))</f>
        <v/>
      </c>
      <c r="H117">
        <f>IF(G117="","", IFERROR(VLOOKUP(G117, 'Hidden_Data'!M:N, 2, FALSE), "0"))</f>
        <v/>
      </c>
      <c r="K117">
        <f>IF(J117="","", IFERROR(VLOOKUP(J117, 'Hidden_Data'!M:N, 2, FALSE), "0"))</f>
        <v/>
      </c>
      <c r="N117">
        <f>IF(M117="","", IFERROR(VLOOKUP(M117, 'Hidden_Data'!M:N, 2, FALSE), "0"))</f>
        <v/>
      </c>
      <c r="Q117">
        <f>IF(P117="","", IFERROR(VLOOKUP(P117, 'Hidden_Data'!M:N, 2, FALSE), "0"))</f>
        <v/>
      </c>
      <c r="T117">
        <f>IF(A117="","", SUM(IF(F117="Yes", 0, IF(E117="", 0, IFERROR(VALUE(MID(E117, SEARCH("(",E117)+1, 1)),0))), IF(I117="Yes", 0, IF(H117="", 0, IFERROR(VALUE(MID(H117, SEARCH("(",H117)+1, 1)),0))), IF(L117="Yes", 0, IF(K117="", 0, IFERROR(VALUE(MID(K117, SEARCH("(",K117)+1, 1)),0))), IF(O117="Yes", 0, IF(N117="", 0, IFERROR(VALUE(MID(N117, SEARCH("(",N117)+1, 1)),0))), IF(R117="Yes", 0, IF(Q117="", 0, IFERROR(VALUE(MID(Q117, SEARCH("(",Q117)+1, 1)),0)))))</f>
        <v/>
      </c>
      <c r="U117">
        <f>IF(A117="","", IF(T117&gt;=5, "Priority 1 (Critical)", IF(T117&gt;=3, "Priority 2 (Major)", IF(T117&gt;=1, "Priority 3 (Minor)", "Pass/Fixed"))))</f>
        <v/>
      </c>
      <c r="V117">
        <f>IF(A117="","", IF(T117&gt;0, "FAIL", "PASS"))</f>
        <v/>
      </c>
    </row>
    <row r="118">
      <c r="A118">
        <f>IF('Equipment Information'!A118="","", 'Equipment Information'!A118)</f>
        <v/>
      </c>
      <c r="B118">
        <f>IF('Equipment Information'!B118="","", 'Equipment Information'!B118)</f>
        <v/>
      </c>
      <c r="C118">
        <f>IF('Equipment Information'!C118="","", 'Equipment Information'!C118)</f>
        <v/>
      </c>
      <c r="E118">
        <f>IF(D118="","", IFERROR(VLOOKUP(D118, 'Hidden_Data'!M:N, 2, FALSE), "0"))</f>
        <v/>
      </c>
      <c r="H118">
        <f>IF(G118="","", IFERROR(VLOOKUP(G118, 'Hidden_Data'!M:N, 2, FALSE), "0"))</f>
        <v/>
      </c>
      <c r="K118">
        <f>IF(J118="","", IFERROR(VLOOKUP(J118, 'Hidden_Data'!M:N, 2, FALSE), "0"))</f>
        <v/>
      </c>
      <c r="N118">
        <f>IF(M118="","", IFERROR(VLOOKUP(M118, 'Hidden_Data'!M:N, 2, FALSE), "0"))</f>
        <v/>
      </c>
      <c r="Q118">
        <f>IF(P118="","", IFERROR(VLOOKUP(P118, 'Hidden_Data'!M:N, 2, FALSE), "0"))</f>
        <v/>
      </c>
      <c r="T118">
        <f>IF(A118="","", SUM(IF(F118="Yes", 0, IF(E118="", 0, IFERROR(VALUE(MID(E118, SEARCH("(",E118)+1, 1)),0))), IF(I118="Yes", 0, IF(H118="", 0, IFERROR(VALUE(MID(H118, SEARCH("(",H118)+1, 1)),0))), IF(L118="Yes", 0, IF(K118="", 0, IFERROR(VALUE(MID(K118, SEARCH("(",K118)+1, 1)),0))), IF(O118="Yes", 0, IF(N118="", 0, IFERROR(VALUE(MID(N118, SEARCH("(",N118)+1, 1)),0))), IF(R118="Yes", 0, IF(Q118="", 0, IFERROR(VALUE(MID(Q118, SEARCH("(",Q118)+1, 1)),0)))))</f>
        <v/>
      </c>
      <c r="U118">
        <f>IF(A118="","", IF(T118&gt;=5, "Priority 1 (Critical)", IF(T118&gt;=3, "Priority 2 (Major)", IF(T118&gt;=1, "Priority 3 (Minor)", "Pass/Fixed"))))</f>
        <v/>
      </c>
      <c r="V118">
        <f>IF(A118="","", IF(T118&gt;0, "FAIL", "PASS"))</f>
        <v/>
      </c>
    </row>
    <row r="119">
      <c r="A119">
        <f>IF('Equipment Information'!A119="","", 'Equipment Information'!A119)</f>
        <v/>
      </c>
      <c r="B119">
        <f>IF('Equipment Information'!B119="","", 'Equipment Information'!B119)</f>
        <v/>
      </c>
      <c r="C119">
        <f>IF('Equipment Information'!C119="","", 'Equipment Information'!C119)</f>
        <v/>
      </c>
      <c r="E119">
        <f>IF(D119="","", IFERROR(VLOOKUP(D119, 'Hidden_Data'!M:N, 2, FALSE), "0"))</f>
        <v/>
      </c>
      <c r="H119">
        <f>IF(G119="","", IFERROR(VLOOKUP(G119, 'Hidden_Data'!M:N, 2, FALSE), "0"))</f>
        <v/>
      </c>
      <c r="K119">
        <f>IF(J119="","", IFERROR(VLOOKUP(J119, 'Hidden_Data'!M:N, 2, FALSE), "0"))</f>
        <v/>
      </c>
      <c r="N119">
        <f>IF(M119="","", IFERROR(VLOOKUP(M119, 'Hidden_Data'!M:N, 2, FALSE), "0"))</f>
        <v/>
      </c>
      <c r="Q119">
        <f>IF(P119="","", IFERROR(VLOOKUP(P119, 'Hidden_Data'!M:N, 2, FALSE), "0"))</f>
        <v/>
      </c>
      <c r="T119">
        <f>IF(A119="","", SUM(IF(F119="Yes", 0, IF(E119="", 0, IFERROR(VALUE(MID(E119, SEARCH("(",E119)+1, 1)),0))), IF(I119="Yes", 0, IF(H119="", 0, IFERROR(VALUE(MID(H119, SEARCH("(",H119)+1, 1)),0))), IF(L119="Yes", 0, IF(K119="", 0, IFERROR(VALUE(MID(K119, SEARCH("(",K119)+1, 1)),0))), IF(O119="Yes", 0, IF(N119="", 0, IFERROR(VALUE(MID(N119, SEARCH("(",N119)+1, 1)),0))), IF(R119="Yes", 0, IF(Q119="", 0, IFERROR(VALUE(MID(Q119, SEARCH("(",Q119)+1, 1)),0)))))</f>
        <v/>
      </c>
      <c r="U119">
        <f>IF(A119="","", IF(T119&gt;=5, "Priority 1 (Critical)", IF(T119&gt;=3, "Priority 2 (Major)", IF(T119&gt;=1, "Priority 3 (Minor)", "Pass/Fixed"))))</f>
        <v/>
      </c>
      <c r="V119">
        <f>IF(A119="","", IF(T119&gt;0, "FAIL", "PASS"))</f>
        <v/>
      </c>
    </row>
    <row r="120">
      <c r="A120">
        <f>IF('Equipment Information'!A120="","", 'Equipment Information'!A120)</f>
        <v/>
      </c>
      <c r="B120">
        <f>IF('Equipment Information'!B120="","", 'Equipment Information'!B120)</f>
        <v/>
      </c>
      <c r="C120">
        <f>IF('Equipment Information'!C120="","", 'Equipment Information'!C120)</f>
        <v/>
      </c>
      <c r="E120">
        <f>IF(D120="","", IFERROR(VLOOKUP(D120, 'Hidden_Data'!M:N, 2, FALSE), "0"))</f>
        <v/>
      </c>
      <c r="H120">
        <f>IF(G120="","", IFERROR(VLOOKUP(G120, 'Hidden_Data'!M:N, 2, FALSE), "0"))</f>
        <v/>
      </c>
      <c r="K120">
        <f>IF(J120="","", IFERROR(VLOOKUP(J120, 'Hidden_Data'!M:N, 2, FALSE), "0"))</f>
        <v/>
      </c>
      <c r="N120">
        <f>IF(M120="","", IFERROR(VLOOKUP(M120, 'Hidden_Data'!M:N, 2, FALSE), "0"))</f>
        <v/>
      </c>
      <c r="Q120">
        <f>IF(P120="","", IFERROR(VLOOKUP(P120, 'Hidden_Data'!M:N, 2, FALSE), "0"))</f>
        <v/>
      </c>
      <c r="T120">
        <f>IF(A120="","", SUM(IF(F120="Yes", 0, IF(E120="", 0, IFERROR(VALUE(MID(E120, SEARCH("(",E120)+1, 1)),0))), IF(I120="Yes", 0, IF(H120="", 0, IFERROR(VALUE(MID(H120, SEARCH("(",H120)+1, 1)),0))), IF(L120="Yes", 0, IF(K120="", 0, IFERROR(VALUE(MID(K120, SEARCH("(",K120)+1, 1)),0))), IF(O120="Yes", 0, IF(N120="", 0, IFERROR(VALUE(MID(N120, SEARCH("(",N120)+1, 1)),0))), IF(R120="Yes", 0, IF(Q120="", 0, IFERROR(VALUE(MID(Q120, SEARCH("(",Q120)+1, 1)),0)))))</f>
        <v/>
      </c>
      <c r="U120">
        <f>IF(A120="","", IF(T120&gt;=5, "Priority 1 (Critical)", IF(T120&gt;=3, "Priority 2 (Major)", IF(T120&gt;=1, "Priority 3 (Minor)", "Pass/Fixed"))))</f>
        <v/>
      </c>
      <c r="V120">
        <f>IF(A120="","", IF(T120&gt;0, "FAIL", "PASS"))</f>
        <v/>
      </c>
    </row>
    <row r="121">
      <c r="A121">
        <f>IF('Equipment Information'!A121="","", 'Equipment Information'!A121)</f>
        <v/>
      </c>
      <c r="B121">
        <f>IF('Equipment Information'!B121="","", 'Equipment Information'!B121)</f>
        <v/>
      </c>
      <c r="C121">
        <f>IF('Equipment Information'!C121="","", 'Equipment Information'!C121)</f>
        <v/>
      </c>
      <c r="E121">
        <f>IF(D121="","", IFERROR(VLOOKUP(D121, 'Hidden_Data'!M:N, 2, FALSE), "0"))</f>
        <v/>
      </c>
      <c r="H121">
        <f>IF(G121="","", IFERROR(VLOOKUP(G121, 'Hidden_Data'!M:N, 2, FALSE), "0"))</f>
        <v/>
      </c>
      <c r="K121">
        <f>IF(J121="","", IFERROR(VLOOKUP(J121, 'Hidden_Data'!M:N, 2, FALSE), "0"))</f>
        <v/>
      </c>
      <c r="N121">
        <f>IF(M121="","", IFERROR(VLOOKUP(M121, 'Hidden_Data'!M:N, 2, FALSE), "0"))</f>
        <v/>
      </c>
      <c r="Q121">
        <f>IF(P121="","", IFERROR(VLOOKUP(P121, 'Hidden_Data'!M:N, 2, FALSE), "0"))</f>
        <v/>
      </c>
      <c r="T121">
        <f>IF(A121="","", SUM(IF(F121="Yes", 0, IF(E121="", 0, IFERROR(VALUE(MID(E121, SEARCH("(",E121)+1, 1)),0))), IF(I121="Yes", 0, IF(H121="", 0, IFERROR(VALUE(MID(H121, SEARCH("(",H121)+1, 1)),0))), IF(L121="Yes", 0, IF(K121="", 0, IFERROR(VALUE(MID(K121, SEARCH("(",K121)+1, 1)),0))), IF(O121="Yes", 0, IF(N121="", 0, IFERROR(VALUE(MID(N121, SEARCH("(",N121)+1, 1)),0))), IF(R121="Yes", 0, IF(Q121="", 0, IFERROR(VALUE(MID(Q121, SEARCH("(",Q121)+1, 1)),0)))))</f>
        <v/>
      </c>
      <c r="U121">
        <f>IF(A121="","", IF(T121&gt;=5, "Priority 1 (Critical)", IF(T121&gt;=3, "Priority 2 (Major)", IF(T121&gt;=1, "Priority 3 (Minor)", "Pass/Fixed"))))</f>
        <v/>
      </c>
      <c r="V121">
        <f>IF(A121="","", IF(T121&gt;0, "FAIL", "PASS"))</f>
        <v/>
      </c>
    </row>
    <row r="122">
      <c r="A122">
        <f>IF('Equipment Information'!A122="","", 'Equipment Information'!A122)</f>
        <v/>
      </c>
      <c r="B122">
        <f>IF('Equipment Information'!B122="","", 'Equipment Information'!B122)</f>
        <v/>
      </c>
      <c r="C122">
        <f>IF('Equipment Information'!C122="","", 'Equipment Information'!C122)</f>
        <v/>
      </c>
      <c r="E122">
        <f>IF(D122="","", IFERROR(VLOOKUP(D122, 'Hidden_Data'!M:N, 2, FALSE), "0"))</f>
        <v/>
      </c>
      <c r="H122">
        <f>IF(G122="","", IFERROR(VLOOKUP(G122, 'Hidden_Data'!M:N, 2, FALSE), "0"))</f>
        <v/>
      </c>
      <c r="K122">
        <f>IF(J122="","", IFERROR(VLOOKUP(J122, 'Hidden_Data'!M:N, 2, FALSE), "0"))</f>
        <v/>
      </c>
      <c r="N122">
        <f>IF(M122="","", IFERROR(VLOOKUP(M122, 'Hidden_Data'!M:N, 2, FALSE), "0"))</f>
        <v/>
      </c>
      <c r="Q122">
        <f>IF(P122="","", IFERROR(VLOOKUP(P122, 'Hidden_Data'!M:N, 2, FALSE), "0"))</f>
        <v/>
      </c>
      <c r="T122">
        <f>IF(A122="","", SUM(IF(F122="Yes", 0, IF(E122="", 0, IFERROR(VALUE(MID(E122, SEARCH("(",E122)+1, 1)),0))), IF(I122="Yes", 0, IF(H122="", 0, IFERROR(VALUE(MID(H122, SEARCH("(",H122)+1, 1)),0))), IF(L122="Yes", 0, IF(K122="", 0, IFERROR(VALUE(MID(K122, SEARCH("(",K122)+1, 1)),0))), IF(O122="Yes", 0, IF(N122="", 0, IFERROR(VALUE(MID(N122, SEARCH("(",N122)+1, 1)),0))), IF(R122="Yes", 0, IF(Q122="", 0, IFERROR(VALUE(MID(Q122, SEARCH("(",Q122)+1, 1)),0)))))</f>
        <v/>
      </c>
      <c r="U122">
        <f>IF(A122="","", IF(T122&gt;=5, "Priority 1 (Critical)", IF(T122&gt;=3, "Priority 2 (Major)", IF(T122&gt;=1, "Priority 3 (Minor)", "Pass/Fixed"))))</f>
        <v/>
      </c>
      <c r="V122">
        <f>IF(A122="","", IF(T122&gt;0, "FAIL", "PASS"))</f>
        <v/>
      </c>
    </row>
    <row r="123">
      <c r="A123">
        <f>IF('Equipment Information'!A123="","", 'Equipment Information'!A123)</f>
        <v/>
      </c>
      <c r="B123">
        <f>IF('Equipment Information'!B123="","", 'Equipment Information'!B123)</f>
        <v/>
      </c>
      <c r="C123">
        <f>IF('Equipment Information'!C123="","", 'Equipment Information'!C123)</f>
        <v/>
      </c>
      <c r="E123">
        <f>IF(D123="","", IFERROR(VLOOKUP(D123, 'Hidden_Data'!M:N, 2, FALSE), "0"))</f>
        <v/>
      </c>
      <c r="H123">
        <f>IF(G123="","", IFERROR(VLOOKUP(G123, 'Hidden_Data'!M:N, 2, FALSE), "0"))</f>
        <v/>
      </c>
      <c r="K123">
        <f>IF(J123="","", IFERROR(VLOOKUP(J123, 'Hidden_Data'!M:N, 2, FALSE), "0"))</f>
        <v/>
      </c>
      <c r="N123">
        <f>IF(M123="","", IFERROR(VLOOKUP(M123, 'Hidden_Data'!M:N, 2, FALSE), "0"))</f>
        <v/>
      </c>
      <c r="Q123">
        <f>IF(P123="","", IFERROR(VLOOKUP(P123, 'Hidden_Data'!M:N, 2, FALSE), "0"))</f>
        <v/>
      </c>
      <c r="T123">
        <f>IF(A123="","", SUM(IF(F123="Yes", 0, IF(E123="", 0, IFERROR(VALUE(MID(E123, SEARCH("(",E123)+1, 1)),0))), IF(I123="Yes", 0, IF(H123="", 0, IFERROR(VALUE(MID(H123, SEARCH("(",H123)+1, 1)),0))), IF(L123="Yes", 0, IF(K123="", 0, IFERROR(VALUE(MID(K123, SEARCH("(",K123)+1, 1)),0))), IF(O123="Yes", 0, IF(N123="", 0, IFERROR(VALUE(MID(N123, SEARCH("(",N123)+1, 1)),0))), IF(R123="Yes", 0, IF(Q123="", 0, IFERROR(VALUE(MID(Q123, SEARCH("(",Q123)+1, 1)),0)))))</f>
        <v/>
      </c>
      <c r="U123">
        <f>IF(A123="","", IF(T123&gt;=5, "Priority 1 (Critical)", IF(T123&gt;=3, "Priority 2 (Major)", IF(T123&gt;=1, "Priority 3 (Minor)", "Pass/Fixed"))))</f>
        <v/>
      </c>
      <c r="V123">
        <f>IF(A123="","", IF(T123&gt;0, "FAIL", "PASS"))</f>
        <v/>
      </c>
    </row>
    <row r="124">
      <c r="A124">
        <f>IF('Equipment Information'!A124="","", 'Equipment Information'!A124)</f>
        <v/>
      </c>
      <c r="B124">
        <f>IF('Equipment Information'!B124="","", 'Equipment Information'!B124)</f>
        <v/>
      </c>
      <c r="C124">
        <f>IF('Equipment Information'!C124="","", 'Equipment Information'!C124)</f>
        <v/>
      </c>
      <c r="E124">
        <f>IF(D124="","", IFERROR(VLOOKUP(D124, 'Hidden_Data'!M:N, 2, FALSE), "0"))</f>
        <v/>
      </c>
      <c r="H124">
        <f>IF(G124="","", IFERROR(VLOOKUP(G124, 'Hidden_Data'!M:N, 2, FALSE), "0"))</f>
        <v/>
      </c>
      <c r="K124">
        <f>IF(J124="","", IFERROR(VLOOKUP(J124, 'Hidden_Data'!M:N, 2, FALSE), "0"))</f>
        <v/>
      </c>
      <c r="N124">
        <f>IF(M124="","", IFERROR(VLOOKUP(M124, 'Hidden_Data'!M:N, 2, FALSE), "0"))</f>
        <v/>
      </c>
      <c r="Q124">
        <f>IF(P124="","", IFERROR(VLOOKUP(P124, 'Hidden_Data'!M:N, 2, FALSE), "0"))</f>
        <v/>
      </c>
      <c r="T124">
        <f>IF(A124="","", SUM(IF(F124="Yes", 0, IF(E124="", 0, IFERROR(VALUE(MID(E124, SEARCH("(",E124)+1, 1)),0))), IF(I124="Yes", 0, IF(H124="", 0, IFERROR(VALUE(MID(H124, SEARCH("(",H124)+1, 1)),0))), IF(L124="Yes", 0, IF(K124="", 0, IFERROR(VALUE(MID(K124, SEARCH("(",K124)+1, 1)),0))), IF(O124="Yes", 0, IF(N124="", 0, IFERROR(VALUE(MID(N124, SEARCH("(",N124)+1, 1)),0))), IF(R124="Yes", 0, IF(Q124="", 0, IFERROR(VALUE(MID(Q124, SEARCH("(",Q124)+1, 1)),0)))))</f>
        <v/>
      </c>
      <c r="U124">
        <f>IF(A124="","", IF(T124&gt;=5, "Priority 1 (Critical)", IF(T124&gt;=3, "Priority 2 (Major)", IF(T124&gt;=1, "Priority 3 (Minor)", "Pass/Fixed"))))</f>
        <v/>
      </c>
      <c r="V124">
        <f>IF(A124="","", IF(T124&gt;0, "FAIL", "PASS"))</f>
        <v/>
      </c>
    </row>
    <row r="125">
      <c r="A125">
        <f>IF('Equipment Information'!A125="","", 'Equipment Information'!A125)</f>
        <v/>
      </c>
      <c r="B125">
        <f>IF('Equipment Information'!B125="","", 'Equipment Information'!B125)</f>
        <v/>
      </c>
      <c r="C125">
        <f>IF('Equipment Information'!C125="","", 'Equipment Information'!C125)</f>
        <v/>
      </c>
      <c r="E125">
        <f>IF(D125="","", IFERROR(VLOOKUP(D125, 'Hidden_Data'!M:N, 2, FALSE), "0"))</f>
        <v/>
      </c>
      <c r="H125">
        <f>IF(G125="","", IFERROR(VLOOKUP(G125, 'Hidden_Data'!M:N, 2, FALSE), "0"))</f>
        <v/>
      </c>
      <c r="K125">
        <f>IF(J125="","", IFERROR(VLOOKUP(J125, 'Hidden_Data'!M:N, 2, FALSE), "0"))</f>
        <v/>
      </c>
      <c r="N125">
        <f>IF(M125="","", IFERROR(VLOOKUP(M125, 'Hidden_Data'!M:N, 2, FALSE), "0"))</f>
        <v/>
      </c>
      <c r="Q125">
        <f>IF(P125="","", IFERROR(VLOOKUP(P125, 'Hidden_Data'!M:N, 2, FALSE), "0"))</f>
        <v/>
      </c>
      <c r="T125">
        <f>IF(A125="","", SUM(IF(F125="Yes", 0, IF(E125="", 0, IFERROR(VALUE(MID(E125, SEARCH("(",E125)+1, 1)),0))), IF(I125="Yes", 0, IF(H125="", 0, IFERROR(VALUE(MID(H125, SEARCH("(",H125)+1, 1)),0))), IF(L125="Yes", 0, IF(K125="", 0, IFERROR(VALUE(MID(K125, SEARCH("(",K125)+1, 1)),0))), IF(O125="Yes", 0, IF(N125="", 0, IFERROR(VALUE(MID(N125, SEARCH("(",N125)+1, 1)),0))), IF(R125="Yes", 0, IF(Q125="", 0, IFERROR(VALUE(MID(Q125, SEARCH("(",Q125)+1, 1)),0)))))</f>
        <v/>
      </c>
      <c r="U125">
        <f>IF(A125="","", IF(T125&gt;=5, "Priority 1 (Critical)", IF(T125&gt;=3, "Priority 2 (Major)", IF(T125&gt;=1, "Priority 3 (Minor)", "Pass/Fixed"))))</f>
        <v/>
      </c>
      <c r="V125">
        <f>IF(A125="","", IF(T125&gt;0, "FAIL", "PASS"))</f>
        <v/>
      </c>
    </row>
    <row r="126">
      <c r="A126">
        <f>IF('Equipment Information'!A126="","", 'Equipment Information'!A126)</f>
        <v/>
      </c>
      <c r="B126">
        <f>IF('Equipment Information'!B126="","", 'Equipment Information'!B126)</f>
        <v/>
      </c>
      <c r="C126">
        <f>IF('Equipment Information'!C126="","", 'Equipment Information'!C126)</f>
        <v/>
      </c>
      <c r="E126">
        <f>IF(D126="","", IFERROR(VLOOKUP(D126, 'Hidden_Data'!M:N, 2, FALSE), "0"))</f>
        <v/>
      </c>
      <c r="H126">
        <f>IF(G126="","", IFERROR(VLOOKUP(G126, 'Hidden_Data'!M:N, 2, FALSE), "0"))</f>
        <v/>
      </c>
      <c r="K126">
        <f>IF(J126="","", IFERROR(VLOOKUP(J126, 'Hidden_Data'!M:N, 2, FALSE), "0"))</f>
        <v/>
      </c>
      <c r="N126">
        <f>IF(M126="","", IFERROR(VLOOKUP(M126, 'Hidden_Data'!M:N, 2, FALSE), "0"))</f>
        <v/>
      </c>
      <c r="Q126">
        <f>IF(P126="","", IFERROR(VLOOKUP(P126, 'Hidden_Data'!M:N, 2, FALSE), "0"))</f>
        <v/>
      </c>
      <c r="T126">
        <f>IF(A126="","", SUM(IF(F126="Yes", 0, IF(E126="", 0, IFERROR(VALUE(MID(E126, SEARCH("(",E126)+1, 1)),0))), IF(I126="Yes", 0, IF(H126="", 0, IFERROR(VALUE(MID(H126, SEARCH("(",H126)+1, 1)),0))), IF(L126="Yes", 0, IF(K126="", 0, IFERROR(VALUE(MID(K126, SEARCH("(",K126)+1, 1)),0))), IF(O126="Yes", 0, IF(N126="", 0, IFERROR(VALUE(MID(N126, SEARCH("(",N126)+1, 1)),0))), IF(R126="Yes", 0, IF(Q126="", 0, IFERROR(VALUE(MID(Q126, SEARCH("(",Q126)+1, 1)),0)))))</f>
        <v/>
      </c>
      <c r="U126">
        <f>IF(A126="","", IF(T126&gt;=5, "Priority 1 (Critical)", IF(T126&gt;=3, "Priority 2 (Major)", IF(T126&gt;=1, "Priority 3 (Minor)", "Pass/Fixed"))))</f>
        <v/>
      </c>
      <c r="V126">
        <f>IF(A126="","", IF(T126&gt;0, "FAIL", "PASS"))</f>
        <v/>
      </c>
    </row>
    <row r="127">
      <c r="A127">
        <f>IF('Equipment Information'!A127="","", 'Equipment Information'!A127)</f>
        <v/>
      </c>
      <c r="B127">
        <f>IF('Equipment Information'!B127="","", 'Equipment Information'!B127)</f>
        <v/>
      </c>
      <c r="C127">
        <f>IF('Equipment Information'!C127="","", 'Equipment Information'!C127)</f>
        <v/>
      </c>
      <c r="E127">
        <f>IF(D127="","", IFERROR(VLOOKUP(D127, 'Hidden_Data'!M:N, 2, FALSE), "0"))</f>
        <v/>
      </c>
      <c r="H127">
        <f>IF(G127="","", IFERROR(VLOOKUP(G127, 'Hidden_Data'!M:N, 2, FALSE), "0"))</f>
        <v/>
      </c>
      <c r="K127">
        <f>IF(J127="","", IFERROR(VLOOKUP(J127, 'Hidden_Data'!M:N, 2, FALSE), "0"))</f>
        <v/>
      </c>
      <c r="N127">
        <f>IF(M127="","", IFERROR(VLOOKUP(M127, 'Hidden_Data'!M:N, 2, FALSE), "0"))</f>
        <v/>
      </c>
      <c r="Q127">
        <f>IF(P127="","", IFERROR(VLOOKUP(P127, 'Hidden_Data'!M:N, 2, FALSE), "0"))</f>
        <v/>
      </c>
      <c r="T127">
        <f>IF(A127="","", SUM(IF(F127="Yes", 0, IF(E127="", 0, IFERROR(VALUE(MID(E127, SEARCH("(",E127)+1, 1)),0))), IF(I127="Yes", 0, IF(H127="", 0, IFERROR(VALUE(MID(H127, SEARCH("(",H127)+1, 1)),0))), IF(L127="Yes", 0, IF(K127="", 0, IFERROR(VALUE(MID(K127, SEARCH("(",K127)+1, 1)),0))), IF(O127="Yes", 0, IF(N127="", 0, IFERROR(VALUE(MID(N127, SEARCH("(",N127)+1, 1)),0))), IF(R127="Yes", 0, IF(Q127="", 0, IFERROR(VALUE(MID(Q127, SEARCH("(",Q127)+1, 1)),0)))))</f>
        <v/>
      </c>
      <c r="U127">
        <f>IF(A127="","", IF(T127&gt;=5, "Priority 1 (Critical)", IF(T127&gt;=3, "Priority 2 (Major)", IF(T127&gt;=1, "Priority 3 (Minor)", "Pass/Fixed"))))</f>
        <v/>
      </c>
      <c r="V127">
        <f>IF(A127="","", IF(T127&gt;0, "FAIL", "PASS"))</f>
        <v/>
      </c>
    </row>
    <row r="128">
      <c r="A128">
        <f>IF('Equipment Information'!A128="","", 'Equipment Information'!A128)</f>
        <v/>
      </c>
      <c r="B128">
        <f>IF('Equipment Information'!B128="","", 'Equipment Information'!B128)</f>
        <v/>
      </c>
      <c r="C128">
        <f>IF('Equipment Information'!C128="","", 'Equipment Information'!C128)</f>
        <v/>
      </c>
      <c r="E128">
        <f>IF(D128="","", IFERROR(VLOOKUP(D128, 'Hidden_Data'!M:N, 2, FALSE), "0"))</f>
        <v/>
      </c>
      <c r="H128">
        <f>IF(G128="","", IFERROR(VLOOKUP(G128, 'Hidden_Data'!M:N, 2, FALSE), "0"))</f>
        <v/>
      </c>
      <c r="K128">
        <f>IF(J128="","", IFERROR(VLOOKUP(J128, 'Hidden_Data'!M:N, 2, FALSE), "0"))</f>
        <v/>
      </c>
      <c r="N128">
        <f>IF(M128="","", IFERROR(VLOOKUP(M128, 'Hidden_Data'!M:N, 2, FALSE), "0"))</f>
        <v/>
      </c>
      <c r="Q128">
        <f>IF(P128="","", IFERROR(VLOOKUP(P128, 'Hidden_Data'!M:N, 2, FALSE), "0"))</f>
        <v/>
      </c>
      <c r="T128">
        <f>IF(A128="","", SUM(IF(F128="Yes", 0, IF(E128="", 0, IFERROR(VALUE(MID(E128, SEARCH("(",E128)+1, 1)),0))), IF(I128="Yes", 0, IF(H128="", 0, IFERROR(VALUE(MID(H128, SEARCH("(",H128)+1, 1)),0))), IF(L128="Yes", 0, IF(K128="", 0, IFERROR(VALUE(MID(K128, SEARCH("(",K128)+1, 1)),0))), IF(O128="Yes", 0, IF(N128="", 0, IFERROR(VALUE(MID(N128, SEARCH("(",N128)+1, 1)),0))), IF(R128="Yes", 0, IF(Q128="", 0, IFERROR(VALUE(MID(Q128, SEARCH("(",Q128)+1, 1)),0)))))</f>
        <v/>
      </c>
      <c r="U128">
        <f>IF(A128="","", IF(T128&gt;=5, "Priority 1 (Critical)", IF(T128&gt;=3, "Priority 2 (Major)", IF(T128&gt;=1, "Priority 3 (Minor)", "Pass/Fixed"))))</f>
        <v/>
      </c>
      <c r="V128">
        <f>IF(A128="","", IF(T128&gt;0, "FAIL", "PASS"))</f>
        <v/>
      </c>
    </row>
    <row r="129">
      <c r="A129">
        <f>IF('Equipment Information'!A129="","", 'Equipment Information'!A129)</f>
        <v/>
      </c>
      <c r="B129">
        <f>IF('Equipment Information'!B129="","", 'Equipment Information'!B129)</f>
        <v/>
      </c>
      <c r="C129">
        <f>IF('Equipment Information'!C129="","", 'Equipment Information'!C129)</f>
        <v/>
      </c>
      <c r="E129">
        <f>IF(D129="","", IFERROR(VLOOKUP(D129, 'Hidden_Data'!M:N, 2, FALSE), "0"))</f>
        <v/>
      </c>
      <c r="H129">
        <f>IF(G129="","", IFERROR(VLOOKUP(G129, 'Hidden_Data'!M:N, 2, FALSE), "0"))</f>
        <v/>
      </c>
      <c r="K129">
        <f>IF(J129="","", IFERROR(VLOOKUP(J129, 'Hidden_Data'!M:N, 2, FALSE), "0"))</f>
        <v/>
      </c>
      <c r="N129">
        <f>IF(M129="","", IFERROR(VLOOKUP(M129, 'Hidden_Data'!M:N, 2, FALSE), "0"))</f>
        <v/>
      </c>
      <c r="Q129">
        <f>IF(P129="","", IFERROR(VLOOKUP(P129, 'Hidden_Data'!M:N, 2, FALSE), "0"))</f>
        <v/>
      </c>
      <c r="T129">
        <f>IF(A129="","", SUM(IF(F129="Yes", 0, IF(E129="", 0, IFERROR(VALUE(MID(E129, SEARCH("(",E129)+1, 1)),0))), IF(I129="Yes", 0, IF(H129="", 0, IFERROR(VALUE(MID(H129, SEARCH("(",H129)+1, 1)),0))), IF(L129="Yes", 0, IF(K129="", 0, IFERROR(VALUE(MID(K129, SEARCH("(",K129)+1, 1)),0))), IF(O129="Yes", 0, IF(N129="", 0, IFERROR(VALUE(MID(N129, SEARCH("(",N129)+1, 1)),0))), IF(R129="Yes", 0, IF(Q129="", 0, IFERROR(VALUE(MID(Q129, SEARCH("(",Q129)+1, 1)),0)))))</f>
        <v/>
      </c>
      <c r="U129">
        <f>IF(A129="","", IF(T129&gt;=5, "Priority 1 (Critical)", IF(T129&gt;=3, "Priority 2 (Major)", IF(T129&gt;=1, "Priority 3 (Minor)", "Pass/Fixed"))))</f>
        <v/>
      </c>
      <c r="V129">
        <f>IF(A129="","", IF(T129&gt;0, "FAIL", "PASS"))</f>
        <v/>
      </c>
    </row>
    <row r="130">
      <c r="A130">
        <f>IF('Equipment Information'!A130="","", 'Equipment Information'!A130)</f>
        <v/>
      </c>
      <c r="B130">
        <f>IF('Equipment Information'!B130="","", 'Equipment Information'!B130)</f>
        <v/>
      </c>
      <c r="C130">
        <f>IF('Equipment Information'!C130="","", 'Equipment Information'!C130)</f>
        <v/>
      </c>
      <c r="E130">
        <f>IF(D130="","", IFERROR(VLOOKUP(D130, 'Hidden_Data'!M:N, 2, FALSE), "0"))</f>
        <v/>
      </c>
      <c r="H130">
        <f>IF(G130="","", IFERROR(VLOOKUP(G130, 'Hidden_Data'!M:N, 2, FALSE), "0"))</f>
        <v/>
      </c>
      <c r="K130">
        <f>IF(J130="","", IFERROR(VLOOKUP(J130, 'Hidden_Data'!M:N, 2, FALSE), "0"))</f>
        <v/>
      </c>
      <c r="N130">
        <f>IF(M130="","", IFERROR(VLOOKUP(M130, 'Hidden_Data'!M:N, 2, FALSE), "0"))</f>
        <v/>
      </c>
      <c r="Q130">
        <f>IF(P130="","", IFERROR(VLOOKUP(P130, 'Hidden_Data'!M:N, 2, FALSE), "0"))</f>
        <v/>
      </c>
      <c r="T130">
        <f>IF(A130="","", SUM(IF(F130="Yes", 0, IF(E130="", 0, IFERROR(VALUE(MID(E130, SEARCH("(",E130)+1, 1)),0))), IF(I130="Yes", 0, IF(H130="", 0, IFERROR(VALUE(MID(H130, SEARCH("(",H130)+1, 1)),0))), IF(L130="Yes", 0, IF(K130="", 0, IFERROR(VALUE(MID(K130, SEARCH("(",K130)+1, 1)),0))), IF(O130="Yes", 0, IF(N130="", 0, IFERROR(VALUE(MID(N130, SEARCH("(",N130)+1, 1)),0))), IF(R130="Yes", 0, IF(Q130="", 0, IFERROR(VALUE(MID(Q130, SEARCH("(",Q130)+1, 1)),0)))))</f>
        <v/>
      </c>
      <c r="U130">
        <f>IF(A130="","", IF(T130&gt;=5, "Priority 1 (Critical)", IF(T130&gt;=3, "Priority 2 (Major)", IF(T130&gt;=1, "Priority 3 (Minor)", "Pass/Fixed"))))</f>
        <v/>
      </c>
      <c r="V130">
        <f>IF(A130="","", IF(T130&gt;0, "FAIL", "PASS"))</f>
        <v/>
      </c>
    </row>
    <row r="131">
      <c r="A131">
        <f>IF('Equipment Information'!A131="","", 'Equipment Information'!A131)</f>
        <v/>
      </c>
      <c r="B131">
        <f>IF('Equipment Information'!B131="","", 'Equipment Information'!B131)</f>
        <v/>
      </c>
      <c r="C131">
        <f>IF('Equipment Information'!C131="","", 'Equipment Information'!C131)</f>
        <v/>
      </c>
      <c r="E131">
        <f>IF(D131="","", IFERROR(VLOOKUP(D131, 'Hidden_Data'!M:N, 2, FALSE), "0"))</f>
        <v/>
      </c>
      <c r="H131">
        <f>IF(G131="","", IFERROR(VLOOKUP(G131, 'Hidden_Data'!M:N, 2, FALSE), "0"))</f>
        <v/>
      </c>
      <c r="K131">
        <f>IF(J131="","", IFERROR(VLOOKUP(J131, 'Hidden_Data'!M:N, 2, FALSE), "0"))</f>
        <v/>
      </c>
      <c r="N131">
        <f>IF(M131="","", IFERROR(VLOOKUP(M131, 'Hidden_Data'!M:N, 2, FALSE), "0"))</f>
        <v/>
      </c>
      <c r="Q131">
        <f>IF(P131="","", IFERROR(VLOOKUP(P131, 'Hidden_Data'!M:N, 2, FALSE), "0"))</f>
        <v/>
      </c>
      <c r="T131">
        <f>IF(A131="","", SUM(IF(F131="Yes", 0, IF(E131="", 0, IFERROR(VALUE(MID(E131, SEARCH("(",E131)+1, 1)),0))), IF(I131="Yes", 0, IF(H131="", 0, IFERROR(VALUE(MID(H131, SEARCH("(",H131)+1, 1)),0))), IF(L131="Yes", 0, IF(K131="", 0, IFERROR(VALUE(MID(K131, SEARCH("(",K131)+1, 1)),0))), IF(O131="Yes", 0, IF(N131="", 0, IFERROR(VALUE(MID(N131, SEARCH("(",N131)+1, 1)),0))), IF(R131="Yes", 0, IF(Q131="", 0, IFERROR(VALUE(MID(Q131, SEARCH("(",Q131)+1, 1)),0)))))</f>
        <v/>
      </c>
      <c r="U131">
        <f>IF(A131="","", IF(T131&gt;=5, "Priority 1 (Critical)", IF(T131&gt;=3, "Priority 2 (Major)", IF(T131&gt;=1, "Priority 3 (Minor)", "Pass/Fixed"))))</f>
        <v/>
      </c>
      <c r="V131">
        <f>IF(A131="","", IF(T131&gt;0, "FAIL", "PASS"))</f>
        <v/>
      </c>
    </row>
    <row r="132">
      <c r="A132">
        <f>IF('Equipment Information'!A132="","", 'Equipment Information'!A132)</f>
        <v/>
      </c>
      <c r="B132">
        <f>IF('Equipment Information'!B132="","", 'Equipment Information'!B132)</f>
        <v/>
      </c>
      <c r="C132">
        <f>IF('Equipment Information'!C132="","", 'Equipment Information'!C132)</f>
        <v/>
      </c>
      <c r="E132">
        <f>IF(D132="","", IFERROR(VLOOKUP(D132, 'Hidden_Data'!M:N, 2, FALSE), "0"))</f>
        <v/>
      </c>
      <c r="H132">
        <f>IF(G132="","", IFERROR(VLOOKUP(G132, 'Hidden_Data'!M:N, 2, FALSE), "0"))</f>
        <v/>
      </c>
      <c r="K132">
        <f>IF(J132="","", IFERROR(VLOOKUP(J132, 'Hidden_Data'!M:N, 2, FALSE), "0"))</f>
        <v/>
      </c>
      <c r="N132">
        <f>IF(M132="","", IFERROR(VLOOKUP(M132, 'Hidden_Data'!M:N, 2, FALSE), "0"))</f>
        <v/>
      </c>
      <c r="Q132">
        <f>IF(P132="","", IFERROR(VLOOKUP(P132, 'Hidden_Data'!M:N, 2, FALSE), "0"))</f>
        <v/>
      </c>
      <c r="T132">
        <f>IF(A132="","", SUM(IF(F132="Yes", 0, IF(E132="", 0, IFERROR(VALUE(MID(E132, SEARCH("(",E132)+1, 1)),0))), IF(I132="Yes", 0, IF(H132="", 0, IFERROR(VALUE(MID(H132, SEARCH("(",H132)+1, 1)),0))), IF(L132="Yes", 0, IF(K132="", 0, IFERROR(VALUE(MID(K132, SEARCH("(",K132)+1, 1)),0))), IF(O132="Yes", 0, IF(N132="", 0, IFERROR(VALUE(MID(N132, SEARCH("(",N132)+1, 1)),0))), IF(R132="Yes", 0, IF(Q132="", 0, IFERROR(VALUE(MID(Q132, SEARCH("(",Q132)+1, 1)),0)))))</f>
        <v/>
      </c>
      <c r="U132">
        <f>IF(A132="","", IF(T132&gt;=5, "Priority 1 (Critical)", IF(T132&gt;=3, "Priority 2 (Major)", IF(T132&gt;=1, "Priority 3 (Minor)", "Pass/Fixed"))))</f>
        <v/>
      </c>
      <c r="V132">
        <f>IF(A132="","", IF(T132&gt;0, "FAIL", "PASS"))</f>
        <v/>
      </c>
    </row>
    <row r="133">
      <c r="A133">
        <f>IF('Equipment Information'!A133="","", 'Equipment Information'!A133)</f>
        <v/>
      </c>
      <c r="B133">
        <f>IF('Equipment Information'!B133="","", 'Equipment Information'!B133)</f>
        <v/>
      </c>
      <c r="C133">
        <f>IF('Equipment Information'!C133="","", 'Equipment Information'!C133)</f>
        <v/>
      </c>
      <c r="E133">
        <f>IF(D133="","", IFERROR(VLOOKUP(D133, 'Hidden_Data'!M:N, 2, FALSE), "0"))</f>
        <v/>
      </c>
      <c r="H133">
        <f>IF(G133="","", IFERROR(VLOOKUP(G133, 'Hidden_Data'!M:N, 2, FALSE), "0"))</f>
        <v/>
      </c>
      <c r="K133">
        <f>IF(J133="","", IFERROR(VLOOKUP(J133, 'Hidden_Data'!M:N, 2, FALSE), "0"))</f>
        <v/>
      </c>
      <c r="N133">
        <f>IF(M133="","", IFERROR(VLOOKUP(M133, 'Hidden_Data'!M:N, 2, FALSE), "0"))</f>
        <v/>
      </c>
      <c r="Q133">
        <f>IF(P133="","", IFERROR(VLOOKUP(P133, 'Hidden_Data'!M:N, 2, FALSE), "0"))</f>
        <v/>
      </c>
      <c r="T133">
        <f>IF(A133="","", SUM(IF(F133="Yes", 0, IF(E133="", 0, IFERROR(VALUE(MID(E133, SEARCH("(",E133)+1, 1)),0))), IF(I133="Yes", 0, IF(H133="", 0, IFERROR(VALUE(MID(H133, SEARCH("(",H133)+1, 1)),0))), IF(L133="Yes", 0, IF(K133="", 0, IFERROR(VALUE(MID(K133, SEARCH("(",K133)+1, 1)),0))), IF(O133="Yes", 0, IF(N133="", 0, IFERROR(VALUE(MID(N133, SEARCH("(",N133)+1, 1)),0))), IF(R133="Yes", 0, IF(Q133="", 0, IFERROR(VALUE(MID(Q133, SEARCH("(",Q133)+1, 1)),0)))))</f>
        <v/>
      </c>
      <c r="U133">
        <f>IF(A133="","", IF(T133&gt;=5, "Priority 1 (Critical)", IF(T133&gt;=3, "Priority 2 (Major)", IF(T133&gt;=1, "Priority 3 (Minor)", "Pass/Fixed"))))</f>
        <v/>
      </c>
      <c r="V133">
        <f>IF(A133="","", IF(T133&gt;0, "FAIL", "PASS"))</f>
        <v/>
      </c>
    </row>
    <row r="134">
      <c r="A134">
        <f>IF('Equipment Information'!A134="","", 'Equipment Information'!A134)</f>
        <v/>
      </c>
      <c r="B134">
        <f>IF('Equipment Information'!B134="","", 'Equipment Information'!B134)</f>
        <v/>
      </c>
      <c r="C134">
        <f>IF('Equipment Information'!C134="","", 'Equipment Information'!C134)</f>
        <v/>
      </c>
      <c r="E134">
        <f>IF(D134="","", IFERROR(VLOOKUP(D134, 'Hidden_Data'!M:N, 2, FALSE), "0"))</f>
        <v/>
      </c>
      <c r="H134">
        <f>IF(G134="","", IFERROR(VLOOKUP(G134, 'Hidden_Data'!M:N, 2, FALSE), "0"))</f>
        <v/>
      </c>
      <c r="K134">
        <f>IF(J134="","", IFERROR(VLOOKUP(J134, 'Hidden_Data'!M:N, 2, FALSE), "0"))</f>
        <v/>
      </c>
      <c r="N134">
        <f>IF(M134="","", IFERROR(VLOOKUP(M134, 'Hidden_Data'!M:N, 2, FALSE), "0"))</f>
        <v/>
      </c>
      <c r="Q134">
        <f>IF(P134="","", IFERROR(VLOOKUP(P134, 'Hidden_Data'!M:N, 2, FALSE), "0"))</f>
        <v/>
      </c>
      <c r="T134">
        <f>IF(A134="","", SUM(IF(F134="Yes", 0, IF(E134="", 0, IFERROR(VALUE(MID(E134, SEARCH("(",E134)+1, 1)),0))), IF(I134="Yes", 0, IF(H134="", 0, IFERROR(VALUE(MID(H134, SEARCH("(",H134)+1, 1)),0))), IF(L134="Yes", 0, IF(K134="", 0, IFERROR(VALUE(MID(K134, SEARCH("(",K134)+1, 1)),0))), IF(O134="Yes", 0, IF(N134="", 0, IFERROR(VALUE(MID(N134, SEARCH("(",N134)+1, 1)),0))), IF(R134="Yes", 0, IF(Q134="", 0, IFERROR(VALUE(MID(Q134, SEARCH("(",Q134)+1, 1)),0)))))</f>
        <v/>
      </c>
      <c r="U134">
        <f>IF(A134="","", IF(T134&gt;=5, "Priority 1 (Critical)", IF(T134&gt;=3, "Priority 2 (Major)", IF(T134&gt;=1, "Priority 3 (Minor)", "Pass/Fixed"))))</f>
        <v/>
      </c>
      <c r="V134">
        <f>IF(A134="","", IF(T134&gt;0, "FAIL", "PASS"))</f>
        <v/>
      </c>
    </row>
    <row r="135">
      <c r="A135">
        <f>IF('Equipment Information'!A135="","", 'Equipment Information'!A135)</f>
        <v/>
      </c>
      <c r="B135">
        <f>IF('Equipment Information'!B135="","", 'Equipment Information'!B135)</f>
        <v/>
      </c>
      <c r="C135">
        <f>IF('Equipment Information'!C135="","", 'Equipment Information'!C135)</f>
        <v/>
      </c>
      <c r="E135">
        <f>IF(D135="","", IFERROR(VLOOKUP(D135, 'Hidden_Data'!M:N, 2, FALSE), "0"))</f>
        <v/>
      </c>
      <c r="H135">
        <f>IF(G135="","", IFERROR(VLOOKUP(G135, 'Hidden_Data'!M:N, 2, FALSE), "0"))</f>
        <v/>
      </c>
      <c r="K135">
        <f>IF(J135="","", IFERROR(VLOOKUP(J135, 'Hidden_Data'!M:N, 2, FALSE), "0"))</f>
        <v/>
      </c>
      <c r="N135">
        <f>IF(M135="","", IFERROR(VLOOKUP(M135, 'Hidden_Data'!M:N, 2, FALSE), "0"))</f>
        <v/>
      </c>
      <c r="Q135">
        <f>IF(P135="","", IFERROR(VLOOKUP(P135, 'Hidden_Data'!M:N, 2, FALSE), "0"))</f>
        <v/>
      </c>
      <c r="T135">
        <f>IF(A135="","", SUM(IF(F135="Yes", 0, IF(E135="", 0, IFERROR(VALUE(MID(E135, SEARCH("(",E135)+1, 1)),0))), IF(I135="Yes", 0, IF(H135="", 0, IFERROR(VALUE(MID(H135, SEARCH("(",H135)+1, 1)),0))), IF(L135="Yes", 0, IF(K135="", 0, IFERROR(VALUE(MID(K135, SEARCH("(",K135)+1, 1)),0))), IF(O135="Yes", 0, IF(N135="", 0, IFERROR(VALUE(MID(N135, SEARCH("(",N135)+1, 1)),0))), IF(R135="Yes", 0, IF(Q135="", 0, IFERROR(VALUE(MID(Q135, SEARCH("(",Q135)+1, 1)),0)))))</f>
        <v/>
      </c>
      <c r="U135">
        <f>IF(A135="","", IF(T135&gt;=5, "Priority 1 (Critical)", IF(T135&gt;=3, "Priority 2 (Major)", IF(T135&gt;=1, "Priority 3 (Minor)", "Pass/Fixed"))))</f>
        <v/>
      </c>
      <c r="V135">
        <f>IF(A135="","", IF(T135&gt;0, "FAIL", "PASS"))</f>
        <v/>
      </c>
    </row>
    <row r="136">
      <c r="A136">
        <f>IF('Equipment Information'!A136="","", 'Equipment Information'!A136)</f>
        <v/>
      </c>
      <c r="B136">
        <f>IF('Equipment Information'!B136="","", 'Equipment Information'!B136)</f>
        <v/>
      </c>
      <c r="C136">
        <f>IF('Equipment Information'!C136="","", 'Equipment Information'!C136)</f>
        <v/>
      </c>
      <c r="E136">
        <f>IF(D136="","", IFERROR(VLOOKUP(D136, 'Hidden_Data'!M:N, 2, FALSE), "0"))</f>
        <v/>
      </c>
      <c r="H136">
        <f>IF(G136="","", IFERROR(VLOOKUP(G136, 'Hidden_Data'!M:N, 2, FALSE), "0"))</f>
        <v/>
      </c>
      <c r="K136">
        <f>IF(J136="","", IFERROR(VLOOKUP(J136, 'Hidden_Data'!M:N, 2, FALSE), "0"))</f>
        <v/>
      </c>
      <c r="N136">
        <f>IF(M136="","", IFERROR(VLOOKUP(M136, 'Hidden_Data'!M:N, 2, FALSE), "0"))</f>
        <v/>
      </c>
      <c r="Q136">
        <f>IF(P136="","", IFERROR(VLOOKUP(P136, 'Hidden_Data'!M:N, 2, FALSE), "0"))</f>
        <v/>
      </c>
      <c r="T136">
        <f>IF(A136="","", SUM(IF(F136="Yes", 0, IF(E136="", 0, IFERROR(VALUE(MID(E136, SEARCH("(",E136)+1, 1)),0))), IF(I136="Yes", 0, IF(H136="", 0, IFERROR(VALUE(MID(H136, SEARCH("(",H136)+1, 1)),0))), IF(L136="Yes", 0, IF(K136="", 0, IFERROR(VALUE(MID(K136, SEARCH("(",K136)+1, 1)),0))), IF(O136="Yes", 0, IF(N136="", 0, IFERROR(VALUE(MID(N136, SEARCH("(",N136)+1, 1)),0))), IF(R136="Yes", 0, IF(Q136="", 0, IFERROR(VALUE(MID(Q136, SEARCH("(",Q136)+1, 1)),0)))))</f>
        <v/>
      </c>
      <c r="U136">
        <f>IF(A136="","", IF(T136&gt;=5, "Priority 1 (Critical)", IF(T136&gt;=3, "Priority 2 (Major)", IF(T136&gt;=1, "Priority 3 (Minor)", "Pass/Fixed"))))</f>
        <v/>
      </c>
      <c r="V136">
        <f>IF(A136="","", IF(T136&gt;0, "FAIL", "PASS"))</f>
        <v/>
      </c>
    </row>
    <row r="137">
      <c r="A137">
        <f>IF('Equipment Information'!A137="","", 'Equipment Information'!A137)</f>
        <v/>
      </c>
      <c r="B137">
        <f>IF('Equipment Information'!B137="","", 'Equipment Information'!B137)</f>
        <v/>
      </c>
      <c r="C137">
        <f>IF('Equipment Information'!C137="","", 'Equipment Information'!C137)</f>
        <v/>
      </c>
      <c r="E137">
        <f>IF(D137="","", IFERROR(VLOOKUP(D137, 'Hidden_Data'!M:N, 2, FALSE), "0"))</f>
        <v/>
      </c>
      <c r="H137">
        <f>IF(G137="","", IFERROR(VLOOKUP(G137, 'Hidden_Data'!M:N, 2, FALSE), "0"))</f>
        <v/>
      </c>
      <c r="K137">
        <f>IF(J137="","", IFERROR(VLOOKUP(J137, 'Hidden_Data'!M:N, 2, FALSE), "0"))</f>
        <v/>
      </c>
      <c r="N137">
        <f>IF(M137="","", IFERROR(VLOOKUP(M137, 'Hidden_Data'!M:N, 2, FALSE), "0"))</f>
        <v/>
      </c>
      <c r="Q137">
        <f>IF(P137="","", IFERROR(VLOOKUP(P137, 'Hidden_Data'!M:N, 2, FALSE), "0"))</f>
        <v/>
      </c>
      <c r="T137">
        <f>IF(A137="","", SUM(IF(F137="Yes", 0, IF(E137="", 0, IFERROR(VALUE(MID(E137, SEARCH("(",E137)+1, 1)),0))), IF(I137="Yes", 0, IF(H137="", 0, IFERROR(VALUE(MID(H137, SEARCH("(",H137)+1, 1)),0))), IF(L137="Yes", 0, IF(K137="", 0, IFERROR(VALUE(MID(K137, SEARCH("(",K137)+1, 1)),0))), IF(O137="Yes", 0, IF(N137="", 0, IFERROR(VALUE(MID(N137, SEARCH("(",N137)+1, 1)),0))), IF(R137="Yes", 0, IF(Q137="", 0, IFERROR(VALUE(MID(Q137, SEARCH("(",Q137)+1, 1)),0)))))</f>
        <v/>
      </c>
      <c r="U137">
        <f>IF(A137="","", IF(T137&gt;=5, "Priority 1 (Critical)", IF(T137&gt;=3, "Priority 2 (Major)", IF(T137&gt;=1, "Priority 3 (Minor)", "Pass/Fixed"))))</f>
        <v/>
      </c>
      <c r="V137">
        <f>IF(A137="","", IF(T137&gt;0, "FAIL", "PASS"))</f>
        <v/>
      </c>
    </row>
    <row r="138">
      <c r="A138">
        <f>IF('Equipment Information'!A138="","", 'Equipment Information'!A138)</f>
        <v/>
      </c>
      <c r="B138">
        <f>IF('Equipment Information'!B138="","", 'Equipment Information'!B138)</f>
        <v/>
      </c>
      <c r="C138">
        <f>IF('Equipment Information'!C138="","", 'Equipment Information'!C138)</f>
        <v/>
      </c>
      <c r="E138">
        <f>IF(D138="","", IFERROR(VLOOKUP(D138, 'Hidden_Data'!M:N, 2, FALSE), "0"))</f>
        <v/>
      </c>
      <c r="H138">
        <f>IF(G138="","", IFERROR(VLOOKUP(G138, 'Hidden_Data'!M:N, 2, FALSE), "0"))</f>
        <v/>
      </c>
      <c r="K138">
        <f>IF(J138="","", IFERROR(VLOOKUP(J138, 'Hidden_Data'!M:N, 2, FALSE), "0"))</f>
        <v/>
      </c>
      <c r="N138">
        <f>IF(M138="","", IFERROR(VLOOKUP(M138, 'Hidden_Data'!M:N, 2, FALSE), "0"))</f>
        <v/>
      </c>
      <c r="Q138">
        <f>IF(P138="","", IFERROR(VLOOKUP(P138, 'Hidden_Data'!M:N, 2, FALSE), "0"))</f>
        <v/>
      </c>
      <c r="T138">
        <f>IF(A138="","", SUM(IF(F138="Yes", 0, IF(E138="", 0, IFERROR(VALUE(MID(E138, SEARCH("(",E138)+1, 1)),0))), IF(I138="Yes", 0, IF(H138="", 0, IFERROR(VALUE(MID(H138, SEARCH("(",H138)+1, 1)),0))), IF(L138="Yes", 0, IF(K138="", 0, IFERROR(VALUE(MID(K138, SEARCH("(",K138)+1, 1)),0))), IF(O138="Yes", 0, IF(N138="", 0, IFERROR(VALUE(MID(N138, SEARCH("(",N138)+1, 1)),0))), IF(R138="Yes", 0, IF(Q138="", 0, IFERROR(VALUE(MID(Q138, SEARCH("(",Q138)+1, 1)),0)))))</f>
        <v/>
      </c>
      <c r="U138">
        <f>IF(A138="","", IF(T138&gt;=5, "Priority 1 (Critical)", IF(T138&gt;=3, "Priority 2 (Major)", IF(T138&gt;=1, "Priority 3 (Minor)", "Pass/Fixed"))))</f>
        <v/>
      </c>
      <c r="V138">
        <f>IF(A138="","", IF(T138&gt;0, "FAIL", "PASS"))</f>
        <v/>
      </c>
    </row>
    <row r="139">
      <c r="A139">
        <f>IF('Equipment Information'!A139="","", 'Equipment Information'!A139)</f>
        <v/>
      </c>
      <c r="B139">
        <f>IF('Equipment Information'!B139="","", 'Equipment Information'!B139)</f>
        <v/>
      </c>
      <c r="C139">
        <f>IF('Equipment Information'!C139="","", 'Equipment Information'!C139)</f>
        <v/>
      </c>
      <c r="E139">
        <f>IF(D139="","", IFERROR(VLOOKUP(D139, 'Hidden_Data'!M:N, 2, FALSE), "0"))</f>
        <v/>
      </c>
      <c r="H139">
        <f>IF(G139="","", IFERROR(VLOOKUP(G139, 'Hidden_Data'!M:N, 2, FALSE), "0"))</f>
        <v/>
      </c>
      <c r="K139">
        <f>IF(J139="","", IFERROR(VLOOKUP(J139, 'Hidden_Data'!M:N, 2, FALSE), "0"))</f>
        <v/>
      </c>
      <c r="N139">
        <f>IF(M139="","", IFERROR(VLOOKUP(M139, 'Hidden_Data'!M:N, 2, FALSE), "0"))</f>
        <v/>
      </c>
      <c r="Q139">
        <f>IF(P139="","", IFERROR(VLOOKUP(P139, 'Hidden_Data'!M:N, 2, FALSE), "0"))</f>
        <v/>
      </c>
      <c r="T139">
        <f>IF(A139="","", SUM(IF(F139="Yes", 0, IF(E139="", 0, IFERROR(VALUE(MID(E139, SEARCH("(",E139)+1, 1)),0))), IF(I139="Yes", 0, IF(H139="", 0, IFERROR(VALUE(MID(H139, SEARCH("(",H139)+1, 1)),0))), IF(L139="Yes", 0, IF(K139="", 0, IFERROR(VALUE(MID(K139, SEARCH("(",K139)+1, 1)),0))), IF(O139="Yes", 0, IF(N139="", 0, IFERROR(VALUE(MID(N139, SEARCH("(",N139)+1, 1)),0))), IF(R139="Yes", 0, IF(Q139="", 0, IFERROR(VALUE(MID(Q139, SEARCH("(",Q139)+1, 1)),0)))))</f>
        <v/>
      </c>
      <c r="U139">
        <f>IF(A139="","", IF(T139&gt;=5, "Priority 1 (Critical)", IF(T139&gt;=3, "Priority 2 (Major)", IF(T139&gt;=1, "Priority 3 (Minor)", "Pass/Fixed"))))</f>
        <v/>
      </c>
      <c r="V139">
        <f>IF(A139="","", IF(T139&gt;0, "FAIL", "PASS"))</f>
        <v/>
      </c>
    </row>
    <row r="140">
      <c r="A140">
        <f>IF('Equipment Information'!A140="","", 'Equipment Information'!A140)</f>
        <v/>
      </c>
      <c r="B140">
        <f>IF('Equipment Information'!B140="","", 'Equipment Information'!B140)</f>
        <v/>
      </c>
      <c r="C140">
        <f>IF('Equipment Information'!C140="","", 'Equipment Information'!C140)</f>
        <v/>
      </c>
      <c r="E140">
        <f>IF(D140="","", IFERROR(VLOOKUP(D140, 'Hidden_Data'!M:N, 2, FALSE), "0"))</f>
        <v/>
      </c>
      <c r="H140">
        <f>IF(G140="","", IFERROR(VLOOKUP(G140, 'Hidden_Data'!M:N, 2, FALSE), "0"))</f>
        <v/>
      </c>
      <c r="K140">
        <f>IF(J140="","", IFERROR(VLOOKUP(J140, 'Hidden_Data'!M:N, 2, FALSE), "0"))</f>
        <v/>
      </c>
      <c r="N140">
        <f>IF(M140="","", IFERROR(VLOOKUP(M140, 'Hidden_Data'!M:N, 2, FALSE), "0"))</f>
        <v/>
      </c>
      <c r="Q140">
        <f>IF(P140="","", IFERROR(VLOOKUP(P140, 'Hidden_Data'!M:N, 2, FALSE), "0"))</f>
        <v/>
      </c>
      <c r="T140">
        <f>IF(A140="","", SUM(IF(F140="Yes", 0, IF(E140="", 0, IFERROR(VALUE(MID(E140, SEARCH("(",E140)+1, 1)),0))), IF(I140="Yes", 0, IF(H140="", 0, IFERROR(VALUE(MID(H140, SEARCH("(",H140)+1, 1)),0))), IF(L140="Yes", 0, IF(K140="", 0, IFERROR(VALUE(MID(K140, SEARCH("(",K140)+1, 1)),0))), IF(O140="Yes", 0, IF(N140="", 0, IFERROR(VALUE(MID(N140, SEARCH("(",N140)+1, 1)),0))), IF(R140="Yes", 0, IF(Q140="", 0, IFERROR(VALUE(MID(Q140, SEARCH("(",Q140)+1, 1)),0)))))</f>
        <v/>
      </c>
      <c r="U140">
        <f>IF(A140="","", IF(T140&gt;=5, "Priority 1 (Critical)", IF(T140&gt;=3, "Priority 2 (Major)", IF(T140&gt;=1, "Priority 3 (Minor)", "Pass/Fixed"))))</f>
        <v/>
      </c>
      <c r="V140">
        <f>IF(A140="","", IF(T140&gt;0, "FAIL", "PASS"))</f>
        <v/>
      </c>
    </row>
    <row r="141">
      <c r="A141">
        <f>IF('Equipment Information'!A141="","", 'Equipment Information'!A141)</f>
        <v/>
      </c>
      <c r="B141">
        <f>IF('Equipment Information'!B141="","", 'Equipment Information'!B141)</f>
        <v/>
      </c>
      <c r="C141">
        <f>IF('Equipment Information'!C141="","", 'Equipment Information'!C141)</f>
        <v/>
      </c>
      <c r="E141">
        <f>IF(D141="","", IFERROR(VLOOKUP(D141, 'Hidden_Data'!M:N, 2, FALSE), "0"))</f>
        <v/>
      </c>
      <c r="H141">
        <f>IF(G141="","", IFERROR(VLOOKUP(G141, 'Hidden_Data'!M:N, 2, FALSE), "0"))</f>
        <v/>
      </c>
      <c r="K141">
        <f>IF(J141="","", IFERROR(VLOOKUP(J141, 'Hidden_Data'!M:N, 2, FALSE), "0"))</f>
        <v/>
      </c>
      <c r="N141">
        <f>IF(M141="","", IFERROR(VLOOKUP(M141, 'Hidden_Data'!M:N, 2, FALSE), "0"))</f>
        <v/>
      </c>
      <c r="Q141">
        <f>IF(P141="","", IFERROR(VLOOKUP(P141, 'Hidden_Data'!M:N, 2, FALSE), "0"))</f>
        <v/>
      </c>
      <c r="T141">
        <f>IF(A141="","", SUM(IF(F141="Yes", 0, IF(E141="", 0, IFERROR(VALUE(MID(E141, SEARCH("(",E141)+1, 1)),0))), IF(I141="Yes", 0, IF(H141="", 0, IFERROR(VALUE(MID(H141, SEARCH("(",H141)+1, 1)),0))), IF(L141="Yes", 0, IF(K141="", 0, IFERROR(VALUE(MID(K141, SEARCH("(",K141)+1, 1)),0))), IF(O141="Yes", 0, IF(N141="", 0, IFERROR(VALUE(MID(N141, SEARCH("(",N141)+1, 1)),0))), IF(R141="Yes", 0, IF(Q141="", 0, IFERROR(VALUE(MID(Q141, SEARCH("(",Q141)+1, 1)),0)))))</f>
        <v/>
      </c>
      <c r="U141">
        <f>IF(A141="","", IF(T141&gt;=5, "Priority 1 (Critical)", IF(T141&gt;=3, "Priority 2 (Major)", IF(T141&gt;=1, "Priority 3 (Minor)", "Pass/Fixed"))))</f>
        <v/>
      </c>
      <c r="V141">
        <f>IF(A141="","", IF(T141&gt;0, "FAIL", "PASS"))</f>
        <v/>
      </c>
    </row>
    <row r="142">
      <c r="A142">
        <f>IF('Equipment Information'!A142="","", 'Equipment Information'!A142)</f>
        <v/>
      </c>
      <c r="B142">
        <f>IF('Equipment Information'!B142="","", 'Equipment Information'!B142)</f>
        <v/>
      </c>
      <c r="C142">
        <f>IF('Equipment Information'!C142="","", 'Equipment Information'!C142)</f>
        <v/>
      </c>
      <c r="E142">
        <f>IF(D142="","", IFERROR(VLOOKUP(D142, 'Hidden_Data'!M:N, 2, FALSE), "0"))</f>
        <v/>
      </c>
      <c r="H142">
        <f>IF(G142="","", IFERROR(VLOOKUP(G142, 'Hidden_Data'!M:N, 2, FALSE), "0"))</f>
        <v/>
      </c>
      <c r="K142">
        <f>IF(J142="","", IFERROR(VLOOKUP(J142, 'Hidden_Data'!M:N, 2, FALSE), "0"))</f>
        <v/>
      </c>
      <c r="N142">
        <f>IF(M142="","", IFERROR(VLOOKUP(M142, 'Hidden_Data'!M:N, 2, FALSE), "0"))</f>
        <v/>
      </c>
      <c r="Q142">
        <f>IF(P142="","", IFERROR(VLOOKUP(P142, 'Hidden_Data'!M:N, 2, FALSE), "0"))</f>
        <v/>
      </c>
      <c r="T142">
        <f>IF(A142="","", SUM(IF(F142="Yes", 0, IF(E142="", 0, IFERROR(VALUE(MID(E142, SEARCH("(",E142)+1, 1)),0))), IF(I142="Yes", 0, IF(H142="", 0, IFERROR(VALUE(MID(H142, SEARCH("(",H142)+1, 1)),0))), IF(L142="Yes", 0, IF(K142="", 0, IFERROR(VALUE(MID(K142, SEARCH("(",K142)+1, 1)),0))), IF(O142="Yes", 0, IF(N142="", 0, IFERROR(VALUE(MID(N142, SEARCH("(",N142)+1, 1)),0))), IF(R142="Yes", 0, IF(Q142="", 0, IFERROR(VALUE(MID(Q142, SEARCH("(",Q142)+1, 1)),0)))))</f>
        <v/>
      </c>
      <c r="U142">
        <f>IF(A142="","", IF(T142&gt;=5, "Priority 1 (Critical)", IF(T142&gt;=3, "Priority 2 (Major)", IF(T142&gt;=1, "Priority 3 (Minor)", "Pass/Fixed"))))</f>
        <v/>
      </c>
      <c r="V142">
        <f>IF(A142="","", IF(T142&gt;0, "FAIL", "PASS"))</f>
        <v/>
      </c>
    </row>
    <row r="143">
      <c r="A143">
        <f>IF('Equipment Information'!A143="","", 'Equipment Information'!A143)</f>
        <v/>
      </c>
      <c r="B143">
        <f>IF('Equipment Information'!B143="","", 'Equipment Information'!B143)</f>
        <v/>
      </c>
      <c r="C143">
        <f>IF('Equipment Information'!C143="","", 'Equipment Information'!C143)</f>
        <v/>
      </c>
      <c r="E143">
        <f>IF(D143="","", IFERROR(VLOOKUP(D143, 'Hidden_Data'!M:N, 2, FALSE), "0"))</f>
        <v/>
      </c>
      <c r="H143">
        <f>IF(G143="","", IFERROR(VLOOKUP(G143, 'Hidden_Data'!M:N, 2, FALSE), "0"))</f>
        <v/>
      </c>
      <c r="K143">
        <f>IF(J143="","", IFERROR(VLOOKUP(J143, 'Hidden_Data'!M:N, 2, FALSE), "0"))</f>
        <v/>
      </c>
      <c r="N143">
        <f>IF(M143="","", IFERROR(VLOOKUP(M143, 'Hidden_Data'!M:N, 2, FALSE), "0"))</f>
        <v/>
      </c>
      <c r="Q143">
        <f>IF(P143="","", IFERROR(VLOOKUP(P143, 'Hidden_Data'!M:N, 2, FALSE), "0"))</f>
        <v/>
      </c>
      <c r="T143">
        <f>IF(A143="","", SUM(IF(F143="Yes", 0, IF(E143="", 0, IFERROR(VALUE(MID(E143, SEARCH("(",E143)+1, 1)),0))), IF(I143="Yes", 0, IF(H143="", 0, IFERROR(VALUE(MID(H143, SEARCH("(",H143)+1, 1)),0))), IF(L143="Yes", 0, IF(K143="", 0, IFERROR(VALUE(MID(K143, SEARCH("(",K143)+1, 1)),0))), IF(O143="Yes", 0, IF(N143="", 0, IFERROR(VALUE(MID(N143, SEARCH("(",N143)+1, 1)),0))), IF(R143="Yes", 0, IF(Q143="", 0, IFERROR(VALUE(MID(Q143, SEARCH("(",Q143)+1, 1)),0)))))</f>
        <v/>
      </c>
      <c r="U143">
        <f>IF(A143="","", IF(T143&gt;=5, "Priority 1 (Critical)", IF(T143&gt;=3, "Priority 2 (Major)", IF(T143&gt;=1, "Priority 3 (Minor)", "Pass/Fixed"))))</f>
        <v/>
      </c>
      <c r="V143">
        <f>IF(A143="","", IF(T143&gt;0, "FAIL", "PASS"))</f>
        <v/>
      </c>
    </row>
    <row r="144">
      <c r="A144">
        <f>IF('Equipment Information'!A144="","", 'Equipment Information'!A144)</f>
        <v/>
      </c>
      <c r="B144">
        <f>IF('Equipment Information'!B144="","", 'Equipment Information'!B144)</f>
        <v/>
      </c>
      <c r="C144">
        <f>IF('Equipment Information'!C144="","", 'Equipment Information'!C144)</f>
        <v/>
      </c>
      <c r="E144">
        <f>IF(D144="","", IFERROR(VLOOKUP(D144, 'Hidden_Data'!M:N, 2, FALSE), "0"))</f>
        <v/>
      </c>
      <c r="H144">
        <f>IF(G144="","", IFERROR(VLOOKUP(G144, 'Hidden_Data'!M:N, 2, FALSE), "0"))</f>
        <v/>
      </c>
      <c r="K144">
        <f>IF(J144="","", IFERROR(VLOOKUP(J144, 'Hidden_Data'!M:N, 2, FALSE), "0"))</f>
        <v/>
      </c>
      <c r="N144">
        <f>IF(M144="","", IFERROR(VLOOKUP(M144, 'Hidden_Data'!M:N, 2, FALSE), "0"))</f>
        <v/>
      </c>
      <c r="Q144">
        <f>IF(P144="","", IFERROR(VLOOKUP(P144, 'Hidden_Data'!M:N, 2, FALSE), "0"))</f>
        <v/>
      </c>
      <c r="T144">
        <f>IF(A144="","", SUM(IF(F144="Yes", 0, IF(E144="", 0, IFERROR(VALUE(MID(E144, SEARCH("(",E144)+1, 1)),0))), IF(I144="Yes", 0, IF(H144="", 0, IFERROR(VALUE(MID(H144, SEARCH("(",H144)+1, 1)),0))), IF(L144="Yes", 0, IF(K144="", 0, IFERROR(VALUE(MID(K144, SEARCH("(",K144)+1, 1)),0))), IF(O144="Yes", 0, IF(N144="", 0, IFERROR(VALUE(MID(N144, SEARCH("(",N144)+1, 1)),0))), IF(R144="Yes", 0, IF(Q144="", 0, IFERROR(VALUE(MID(Q144, SEARCH("(",Q144)+1, 1)),0)))))</f>
        <v/>
      </c>
      <c r="U144">
        <f>IF(A144="","", IF(T144&gt;=5, "Priority 1 (Critical)", IF(T144&gt;=3, "Priority 2 (Major)", IF(T144&gt;=1, "Priority 3 (Minor)", "Pass/Fixed"))))</f>
        <v/>
      </c>
      <c r="V144">
        <f>IF(A144="","", IF(T144&gt;0, "FAIL", "PASS"))</f>
        <v/>
      </c>
    </row>
    <row r="145">
      <c r="A145">
        <f>IF('Equipment Information'!A145="","", 'Equipment Information'!A145)</f>
        <v/>
      </c>
      <c r="B145">
        <f>IF('Equipment Information'!B145="","", 'Equipment Information'!B145)</f>
        <v/>
      </c>
      <c r="C145">
        <f>IF('Equipment Information'!C145="","", 'Equipment Information'!C145)</f>
        <v/>
      </c>
      <c r="E145">
        <f>IF(D145="","", IFERROR(VLOOKUP(D145, 'Hidden_Data'!M:N, 2, FALSE), "0"))</f>
        <v/>
      </c>
      <c r="H145">
        <f>IF(G145="","", IFERROR(VLOOKUP(G145, 'Hidden_Data'!M:N, 2, FALSE), "0"))</f>
        <v/>
      </c>
      <c r="K145">
        <f>IF(J145="","", IFERROR(VLOOKUP(J145, 'Hidden_Data'!M:N, 2, FALSE), "0"))</f>
        <v/>
      </c>
      <c r="N145">
        <f>IF(M145="","", IFERROR(VLOOKUP(M145, 'Hidden_Data'!M:N, 2, FALSE), "0"))</f>
        <v/>
      </c>
      <c r="Q145">
        <f>IF(P145="","", IFERROR(VLOOKUP(P145, 'Hidden_Data'!M:N, 2, FALSE), "0"))</f>
        <v/>
      </c>
      <c r="T145">
        <f>IF(A145="","", SUM(IF(F145="Yes", 0, IF(E145="", 0, IFERROR(VALUE(MID(E145, SEARCH("(",E145)+1, 1)),0))), IF(I145="Yes", 0, IF(H145="", 0, IFERROR(VALUE(MID(H145, SEARCH("(",H145)+1, 1)),0))), IF(L145="Yes", 0, IF(K145="", 0, IFERROR(VALUE(MID(K145, SEARCH("(",K145)+1, 1)),0))), IF(O145="Yes", 0, IF(N145="", 0, IFERROR(VALUE(MID(N145, SEARCH("(",N145)+1, 1)),0))), IF(R145="Yes", 0, IF(Q145="", 0, IFERROR(VALUE(MID(Q145, SEARCH("(",Q145)+1, 1)),0)))))</f>
        <v/>
      </c>
      <c r="U145">
        <f>IF(A145="","", IF(T145&gt;=5, "Priority 1 (Critical)", IF(T145&gt;=3, "Priority 2 (Major)", IF(T145&gt;=1, "Priority 3 (Minor)", "Pass/Fixed"))))</f>
        <v/>
      </c>
      <c r="V145">
        <f>IF(A145="","", IF(T145&gt;0, "FAIL", "PASS"))</f>
        <v/>
      </c>
    </row>
    <row r="146">
      <c r="A146">
        <f>IF('Equipment Information'!A146="","", 'Equipment Information'!A146)</f>
        <v/>
      </c>
      <c r="B146">
        <f>IF('Equipment Information'!B146="","", 'Equipment Information'!B146)</f>
        <v/>
      </c>
      <c r="C146">
        <f>IF('Equipment Information'!C146="","", 'Equipment Information'!C146)</f>
        <v/>
      </c>
      <c r="E146">
        <f>IF(D146="","", IFERROR(VLOOKUP(D146, 'Hidden_Data'!M:N, 2, FALSE), "0"))</f>
        <v/>
      </c>
      <c r="H146">
        <f>IF(G146="","", IFERROR(VLOOKUP(G146, 'Hidden_Data'!M:N, 2, FALSE), "0"))</f>
        <v/>
      </c>
      <c r="K146">
        <f>IF(J146="","", IFERROR(VLOOKUP(J146, 'Hidden_Data'!M:N, 2, FALSE), "0"))</f>
        <v/>
      </c>
      <c r="N146">
        <f>IF(M146="","", IFERROR(VLOOKUP(M146, 'Hidden_Data'!M:N, 2, FALSE), "0"))</f>
        <v/>
      </c>
      <c r="Q146">
        <f>IF(P146="","", IFERROR(VLOOKUP(P146, 'Hidden_Data'!M:N, 2, FALSE), "0"))</f>
        <v/>
      </c>
      <c r="T146">
        <f>IF(A146="","", SUM(IF(F146="Yes", 0, IF(E146="", 0, IFERROR(VALUE(MID(E146, SEARCH("(",E146)+1, 1)),0))), IF(I146="Yes", 0, IF(H146="", 0, IFERROR(VALUE(MID(H146, SEARCH("(",H146)+1, 1)),0))), IF(L146="Yes", 0, IF(K146="", 0, IFERROR(VALUE(MID(K146, SEARCH("(",K146)+1, 1)),0))), IF(O146="Yes", 0, IF(N146="", 0, IFERROR(VALUE(MID(N146, SEARCH("(",N146)+1, 1)),0))), IF(R146="Yes", 0, IF(Q146="", 0, IFERROR(VALUE(MID(Q146, SEARCH("(",Q146)+1, 1)),0)))))</f>
        <v/>
      </c>
      <c r="U146">
        <f>IF(A146="","", IF(T146&gt;=5, "Priority 1 (Critical)", IF(T146&gt;=3, "Priority 2 (Major)", IF(T146&gt;=1, "Priority 3 (Minor)", "Pass/Fixed"))))</f>
        <v/>
      </c>
      <c r="V146">
        <f>IF(A146="","", IF(T146&gt;0, "FAIL", "PASS"))</f>
        <v/>
      </c>
    </row>
    <row r="147">
      <c r="A147">
        <f>IF('Equipment Information'!A147="","", 'Equipment Information'!A147)</f>
        <v/>
      </c>
      <c r="B147">
        <f>IF('Equipment Information'!B147="","", 'Equipment Information'!B147)</f>
        <v/>
      </c>
      <c r="C147">
        <f>IF('Equipment Information'!C147="","", 'Equipment Information'!C147)</f>
        <v/>
      </c>
      <c r="E147">
        <f>IF(D147="","", IFERROR(VLOOKUP(D147, 'Hidden_Data'!M:N, 2, FALSE), "0"))</f>
        <v/>
      </c>
      <c r="H147">
        <f>IF(G147="","", IFERROR(VLOOKUP(G147, 'Hidden_Data'!M:N, 2, FALSE), "0"))</f>
        <v/>
      </c>
      <c r="K147">
        <f>IF(J147="","", IFERROR(VLOOKUP(J147, 'Hidden_Data'!M:N, 2, FALSE), "0"))</f>
        <v/>
      </c>
      <c r="N147">
        <f>IF(M147="","", IFERROR(VLOOKUP(M147, 'Hidden_Data'!M:N, 2, FALSE), "0"))</f>
        <v/>
      </c>
      <c r="Q147">
        <f>IF(P147="","", IFERROR(VLOOKUP(P147, 'Hidden_Data'!M:N, 2, FALSE), "0"))</f>
        <v/>
      </c>
      <c r="T147">
        <f>IF(A147="","", SUM(IF(F147="Yes", 0, IF(E147="", 0, IFERROR(VALUE(MID(E147, SEARCH("(",E147)+1, 1)),0))), IF(I147="Yes", 0, IF(H147="", 0, IFERROR(VALUE(MID(H147, SEARCH("(",H147)+1, 1)),0))), IF(L147="Yes", 0, IF(K147="", 0, IFERROR(VALUE(MID(K147, SEARCH("(",K147)+1, 1)),0))), IF(O147="Yes", 0, IF(N147="", 0, IFERROR(VALUE(MID(N147, SEARCH("(",N147)+1, 1)),0))), IF(R147="Yes", 0, IF(Q147="", 0, IFERROR(VALUE(MID(Q147, SEARCH("(",Q147)+1, 1)),0)))))</f>
        <v/>
      </c>
      <c r="U147">
        <f>IF(A147="","", IF(T147&gt;=5, "Priority 1 (Critical)", IF(T147&gt;=3, "Priority 2 (Major)", IF(T147&gt;=1, "Priority 3 (Minor)", "Pass/Fixed"))))</f>
        <v/>
      </c>
      <c r="V147">
        <f>IF(A147="","", IF(T147&gt;0, "FAIL", "PASS"))</f>
        <v/>
      </c>
    </row>
    <row r="148">
      <c r="A148">
        <f>IF('Equipment Information'!A148="","", 'Equipment Information'!A148)</f>
        <v/>
      </c>
      <c r="B148">
        <f>IF('Equipment Information'!B148="","", 'Equipment Information'!B148)</f>
        <v/>
      </c>
      <c r="C148">
        <f>IF('Equipment Information'!C148="","", 'Equipment Information'!C148)</f>
        <v/>
      </c>
      <c r="E148">
        <f>IF(D148="","", IFERROR(VLOOKUP(D148, 'Hidden_Data'!M:N, 2, FALSE), "0"))</f>
        <v/>
      </c>
      <c r="H148">
        <f>IF(G148="","", IFERROR(VLOOKUP(G148, 'Hidden_Data'!M:N, 2, FALSE), "0"))</f>
        <v/>
      </c>
      <c r="K148">
        <f>IF(J148="","", IFERROR(VLOOKUP(J148, 'Hidden_Data'!M:N, 2, FALSE), "0"))</f>
        <v/>
      </c>
      <c r="N148">
        <f>IF(M148="","", IFERROR(VLOOKUP(M148, 'Hidden_Data'!M:N, 2, FALSE), "0"))</f>
        <v/>
      </c>
      <c r="Q148">
        <f>IF(P148="","", IFERROR(VLOOKUP(P148, 'Hidden_Data'!M:N, 2, FALSE), "0"))</f>
        <v/>
      </c>
      <c r="T148">
        <f>IF(A148="","", SUM(IF(F148="Yes", 0, IF(E148="", 0, IFERROR(VALUE(MID(E148, SEARCH("(",E148)+1, 1)),0))), IF(I148="Yes", 0, IF(H148="", 0, IFERROR(VALUE(MID(H148, SEARCH("(",H148)+1, 1)),0))), IF(L148="Yes", 0, IF(K148="", 0, IFERROR(VALUE(MID(K148, SEARCH("(",K148)+1, 1)),0))), IF(O148="Yes", 0, IF(N148="", 0, IFERROR(VALUE(MID(N148, SEARCH("(",N148)+1, 1)),0))), IF(R148="Yes", 0, IF(Q148="", 0, IFERROR(VALUE(MID(Q148, SEARCH("(",Q148)+1, 1)),0)))))</f>
        <v/>
      </c>
      <c r="U148">
        <f>IF(A148="","", IF(T148&gt;=5, "Priority 1 (Critical)", IF(T148&gt;=3, "Priority 2 (Major)", IF(T148&gt;=1, "Priority 3 (Minor)", "Pass/Fixed"))))</f>
        <v/>
      </c>
      <c r="V148">
        <f>IF(A148="","", IF(T148&gt;0, "FAIL", "PASS"))</f>
        <v/>
      </c>
    </row>
    <row r="149">
      <c r="A149">
        <f>IF('Equipment Information'!A149="","", 'Equipment Information'!A149)</f>
        <v/>
      </c>
      <c r="B149">
        <f>IF('Equipment Information'!B149="","", 'Equipment Information'!B149)</f>
        <v/>
      </c>
      <c r="C149">
        <f>IF('Equipment Information'!C149="","", 'Equipment Information'!C149)</f>
        <v/>
      </c>
      <c r="E149">
        <f>IF(D149="","", IFERROR(VLOOKUP(D149, 'Hidden_Data'!M:N, 2, FALSE), "0"))</f>
        <v/>
      </c>
      <c r="H149">
        <f>IF(G149="","", IFERROR(VLOOKUP(G149, 'Hidden_Data'!M:N, 2, FALSE), "0"))</f>
        <v/>
      </c>
      <c r="K149">
        <f>IF(J149="","", IFERROR(VLOOKUP(J149, 'Hidden_Data'!M:N, 2, FALSE), "0"))</f>
        <v/>
      </c>
      <c r="N149">
        <f>IF(M149="","", IFERROR(VLOOKUP(M149, 'Hidden_Data'!M:N, 2, FALSE), "0"))</f>
        <v/>
      </c>
      <c r="Q149">
        <f>IF(P149="","", IFERROR(VLOOKUP(P149, 'Hidden_Data'!M:N, 2, FALSE), "0"))</f>
        <v/>
      </c>
      <c r="T149">
        <f>IF(A149="","", SUM(IF(F149="Yes", 0, IF(E149="", 0, IFERROR(VALUE(MID(E149, SEARCH("(",E149)+1, 1)),0))), IF(I149="Yes", 0, IF(H149="", 0, IFERROR(VALUE(MID(H149, SEARCH("(",H149)+1, 1)),0))), IF(L149="Yes", 0, IF(K149="", 0, IFERROR(VALUE(MID(K149, SEARCH("(",K149)+1, 1)),0))), IF(O149="Yes", 0, IF(N149="", 0, IFERROR(VALUE(MID(N149, SEARCH("(",N149)+1, 1)),0))), IF(R149="Yes", 0, IF(Q149="", 0, IFERROR(VALUE(MID(Q149, SEARCH("(",Q149)+1, 1)),0)))))</f>
        <v/>
      </c>
      <c r="U149">
        <f>IF(A149="","", IF(T149&gt;=5, "Priority 1 (Critical)", IF(T149&gt;=3, "Priority 2 (Major)", IF(T149&gt;=1, "Priority 3 (Minor)", "Pass/Fixed"))))</f>
        <v/>
      </c>
      <c r="V149">
        <f>IF(A149="","", IF(T149&gt;0, "FAIL", "PASS"))</f>
        <v/>
      </c>
    </row>
    <row r="150">
      <c r="A150">
        <f>IF('Equipment Information'!A150="","", 'Equipment Information'!A150)</f>
        <v/>
      </c>
      <c r="B150">
        <f>IF('Equipment Information'!B150="","", 'Equipment Information'!B150)</f>
        <v/>
      </c>
      <c r="C150">
        <f>IF('Equipment Information'!C150="","", 'Equipment Information'!C150)</f>
        <v/>
      </c>
      <c r="E150">
        <f>IF(D150="","", IFERROR(VLOOKUP(D150, 'Hidden_Data'!M:N, 2, FALSE), "0"))</f>
        <v/>
      </c>
      <c r="H150">
        <f>IF(G150="","", IFERROR(VLOOKUP(G150, 'Hidden_Data'!M:N, 2, FALSE), "0"))</f>
        <v/>
      </c>
      <c r="K150">
        <f>IF(J150="","", IFERROR(VLOOKUP(J150, 'Hidden_Data'!M:N, 2, FALSE), "0"))</f>
        <v/>
      </c>
      <c r="N150">
        <f>IF(M150="","", IFERROR(VLOOKUP(M150, 'Hidden_Data'!M:N, 2, FALSE), "0"))</f>
        <v/>
      </c>
      <c r="Q150">
        <f>IF(P150="","", IFERROR(VLOOKUP(P150, 'Hidden_Data'!M:N, 2, FALSE), "0"))</f>
        <v/>
      </c>
      <c r="T150">
        <f>IF(A150="","", SUM(IF(F150="Yes", 0, IF(E150="", 0, IFERROR(VALUE(MID(E150, SEARCH("(",E150)+1, 1)),0))), IF(I150="Yes", 0, IF(H150="", 0, IFERROR(VALUE(MID(H150, SEARCH("(",H150)+1, 1)),0))), IF(L150="Yes", 0, IF(K150="", 0, IFERROR(VALUE(MID(K150, SEARCH("(",K150)+1, 1)),0))), IF(O150="Yes", 0, IF(N150="", 0, IFERROR(VALUE(MID(N150, SEARCH("(",N150)+1, 1)),0))), IF(R150="Yes", 0, IF(Q150="", 0, IFERROR(VALUE(MID(Q150, SEARCH("(",Q150)+1, 1)),0)))))</f>
        <v/>
      </c>
      <c r="U150">
        <f>IF(A150="","", IF(T150&gt;=5, "Priority 1 (Critical)", IF(T150&gt;=3, "Priority 2 (Major)", IF(T150&gt;=1, "Priority 3 (Minor)", "Pass/Fixed"))))</f>
        <v/>
      </c>
      <c r="V150">
        <f>IF(A150="","", IF(T150&gt;0, "FAIL", "PASS"))</f>
        <v/>
      </c>
    </row>
    <row r="151">
      <c r="A151">
        <f>IF('Equipment Information'!A151="","", 'Equipment Information'!A151)</f>
        <v/>
      </c>
      <c r="B151">
        <f>IF('Equipment Information'!B151="","", 'Equipment Information'!B151)</f>
        <v/>
      </c>
      <c r="C151">
        <f>IF('Equipment Information'!C151="","", 'Equipment Information'!C151)</f>
        <v/>
      </c>
      <c r="E151">
        <f>IF(D151="","", IFERROR(VLOOKUP(D151, 'Hidden_Data'!M:N, 2, FALSE), "0"))</f>
        <v/>
      </c>
      <c r="H151">
        <f>IF(G151="","", IFERROR(VLOOKUP(G151, 'Hidden_Data'!M:N, 2, FALSE), "0"))</f>
        <v/>
      </c>
      <c r="K151">
        <f>IF(J151="","", IFERROR(VLOOKUP(J151, 'Hidden_Data'!M:N, 2, FALSE), "0"))</f>
        <v/>
      </c>
      <c r="N151">
        <f>IF(M151="","", IFERROR(VLOOKUP(M151, 'Hidden_Data'!M:N, 2, FALSE), "0"))</f>
        <v/>
      </c>
      <c r="Q151">
        <f>IF(P151="","", IFERROR(VLOOKUP(P151, 'Hidden_Data'!M:N, 2, FALSE), "0"))</f>
        <v/>
      </c>
      <c r="T151">
        <f>IF(A151="","", SUM(IF(F151="Yes", 0, IF(E151="", 0, IFERROR(VALUE(MID(E151, SEARCH("(",E151)+1, 1)),0))), IF(I151="Yes", 0, IF(H151="", 0, IFERROR(VALUE(MID(H151, SEARCH("(",H151)+1, 1)),0))), IF(L151="Yes", 0, IF(K151="", 0, IFERROR(VALUE(MID(K151, SEARCH("(",K151)+1, 1)),0))), IF(O151="Yes", 0, IF(N151="", 0, IFERROR(VALUE(MID(N151, SEARCH("(",N151)+1, 1)),0))), IF(R151="Yes", 0, IF(Q151="", 0, IFERROR(VALUE(MID(Q151, SEARCH("(",Q151)+1, 1)),0)))))</f>
        <v/>
      </c>
      <c r="U151">
        <f>IF(A151="","", IF(T151&gt;=5, "Priority 1 (Critical)", IF(T151&gt;=3, "Priority 2 (Major)", IF(T151&gt;=1, "Priority 3 (Minor)", "Pass/Fixed"))))</f>
        <v/>
      </c>
      <c r="V151">
        <f>IF(A151="","", IF(T151&gt;0, "FAIL", "PASS"))</f>
        <v/>
      </c>
    </row>
    <row r="152">
      <c r="A152">
        <f>IF('Equipment Information'!A152="","", 'Equipment Information'!A152)</f>
        <v/>
      </c>
      <c r="B152">
        <f>IF('Equipment Information'!B152="","", 'Equipment Information'!B152)</f>
        <v/>
      </c>
      <c r="C152">
        <f>IF('Equipment Information'!C152="","", 'Equipment Information'!C152)</f>
        <v/>
      </c>
      <c r="E152">
        <f>IF(D152="","", IFERROR(VLOOKUP(D152, 'Hidden_Data'!M:N, 2, FALSE), "0"))</f>
        <v/>
      </c>
      <c r="H152">
        <f>IF(G152="","", IFERROR(VLOOKUP(G152, 'Hidden_Data'!M:N, 2, FALSE), "0"))</f>
        <v/>
      </c>
      <c r="K152">
        <f>IF(J152="","", IFERROR(VLOOKUP(J152, 'Hidden_Data'!M:N, 2, FALSE), "0"))</f>
        <v/>
      </c>
      <c r="N152">
        <f>IF(M152="","", IFERROR(VLOOKUP(M152, 'Hidden_Data'!M:N, 2, FALSE), "0"))</f>
        <v/>
      </c>
      <c r="Q152">
        <f>IF(P152="","", IFERROR(VLOOKUP(P152, 'Hidden_Data'!M:N, 2, FALSE), "0"))</f>
        <v/>
      </c>
      <c r="T152">
        <f>IF(A152="","", SUM(IF(F152="Yes", 0, IF(E152="", 0, IFERROR(VALUE(MID(E152, SEARCH("(",E152)+1, 1)),0))), IF(I152="Yes", 0, IF(H152="", 0, IFERROR(VALUE(MID(H152, SEARCH("(",H152)+1, 1)),0))), IF(L152="Yes", 0, IF(K152="", 0, IFERROR(VALUE(MID(K152, SEARCH("(",K152)+1, 1)),0))), IF(O152="Yes", 0, IF(N152="", 0, IFERROR(VALUE(MID(N152, SEARCH("(",N152)+1, 1)),0))), IF(R152="Yes", 0, IF(Q152="", 0, IFERROR(VALUE(MID(Q152, SEARCH("(",Q152)+1, 1)),0)))))</f>
        <v/>
      </c>
      <c r="U152">
        <f>IF(A152="","", IF(T152&gt;=5, "Priority 1 (Critical)", IF(T152&gt;=3, "Priority 2 (Major)", IF(T152&gt;=1, "Priority 3 (Minor)", "Pass/Fixed"))))</f>
        <v/>
      </c>
      <c r="V152">
        <f>IF(A152="","", IF(T152&gt;0, "FAIL", "PASS"))</f>
        <v/>
      </c>
    </row>
    <row r="153">
      <c r="A153">
        <f>IF('Equipment Information'!A153="","", 'Equipment Information'!A153)</f>
        <v/>
      </c>
      <c r="B153">
        <f>IF('Equipment Information'!B153="","", 'Equipment Information'!B153)</f>
        <v/>
      </c>
      <c r="C153">
        <f>IF('Equipment Information'!C153="","", 'Equipment Information'!C153)</f>
        <v/>
      </c>
      <c r="E153">
        <f>IF(D153="","", IFERROR(VLOOKUP(D153, 'Hidden_Data'!M:N, 2, FALSE), "0"))</f>
        <v/>
      </c>
      <c r="H153">
        <f>IF(G153="","", IFERROR(VLOOKUP(G153, 'Hidden_Data'!M:N, 2, FALSE), "0"))</f>
        <v/>
      </c>
      <c r="K153">
        <f>IF(J153="","", IFERROR(VLOOKUP(J153, 'Hidden_Data'!M:N, 2, FALSE), "0"))</f>
        <v/>
      </c>
      <c r="N153">
        <f>IF(M153="","", IFERROR(VLOOKUP(M153, 'Hidden_Data'!M:N, 2, FALSE), "0"))</f>
        <v/>
      </c>
      <c r="Q153">
        <f>IF(P153="","", IFERROR(VLOOKUP(P153, 'Hidden_Data'!M:N, 2, FALSE), "0"))</f>
        <v/>
      </c>
      <c r="T153">
        <f>IF(A153="","", SUM(IF(F153="Yes", 0, IF(E153="", 0, IFERROR(VALUE(MID(E153, SEARCH("(",E153)+1, 1)),0))), IF(I153="Yes", 0, IF(H153="", 0, IFERROR(VALUE(MID(H153, SEARCH("(",H153)+1, 1)),0))), IF(L153="Yes", 0, IF(K153="", 0, IFERROR(VALUE(MID(K153, SEARCH("(",K153)+1, 1)),0))), IF(O153="Yes", 0, IF(N153="", 0, IFERROR(VALUE(MID(N153, SEARCH("(",N153)+1, 1)),0))), IF(R153="Yes", 0, IF(Q153="", 0, IFERROR(VALUE(MID(Q153, SEARCH("(",Q153)+1, 1)),0)))))</f>
        <v/>
      </c>
      <c r="U153">
        <f>IF(A153="","", IF(T153&gt;=5, "Priority 1 (Critical)", IF(T153&gt;=3, "Priority 2 (Major)", IF(T153&gt;=1, "Priority 3 (Minor)", "Pass/Fixed"))))</f>
        <v/>
      </c>
      <c r="V153">
        <f>IF(A153="","", IF(T153&gt;0, "FAIL", "PASS"))</f>
        <v/>
      </c>
    </row>
    <row r="154">
      <c r="A154">
        <f>IF('Equipment Information'!A154="","", 'Equipment Information'!A154)</f>
        <v/>
      </c>
      <c r="B154">
        <f>IF('Equipment Information'!B154="","", 'Equipment Information'!B154)</f>
        <v/>
      </c>
      <c r="C154">
        <f>IF('Equipment Information'!C154="","", 'Equipment Information'!C154)</f>
        <v/>
      </c>
      <c r="E154">
        <f>IF(D154="","", IFERROR(VLOOKUP(D154, 'Hidden_Data'!M:N, 2, FALSE), "0"))</f>
        <v/>
      </c>
      <c r="H154">
        <f>IF(G154="","", IFERROR(VLOOKUP(G154, 'Hidden_Data'!M:N, 2, FALSE), "0"))</f>
        <v/>
      </c>
      <c r="K154">
        <f>IF(J154="","", IFERROR(VLOOKUP(J154, 'Hidden_Data'!M:N, 2, FALSE), "0"))</f>
        <v/>
      </c>
      <c r="N154">
        <f>IF(M154="","", IFERROR(VLOOKUP(M154, 'Hidden_Data'!M:N, 2, FALSE), "0"))</f>
        <v/>
      </c>
      <c r="Q154">
        <f>IF(P154="","", IFERROR(VLOOKUP(P154, 'Hidden_Data'!M:N, 2, FALSE), "0"))</f>
        <v/>
      </c>
      <c r="T154">
        <f>IF(A154="","", SUM(IF(F154="Yes", 0, IF(E154="", 0, IFERROR(VALUE(MID(E154, SEARCH("(",E154)+1, 1)),0))), IF(I154="Yes", 0, IF(H154="", 0, IFERROR(VALUE(MID(H154, SEARCH("(",H154)+1, 1)),0))), IF(L154="Yes", 0, IF(K154="", 0, IFERROR(VALUE(MID(K154, SEARCH("(",K154)+1, 1)),0))), IF(O154="Yes", 0, IF(N154="", 0, IFERROR(VALUE(MID(N154, SEARCH("(",N154)+1, 1)),0))), IF(R154="Yes", 0, IF(Q154="", 0, IFERROR(VALUE(MID(Q154, SEARCH("(",Q154)+1, 1)),0)))))</f>
        <v/>
      </c>
      <c r="U154">
        <f>IF(A154="","", IF(T154&gt;=5, "Priority 1 (Critical)", IF(T154&gt;=3, "Priority 2 (Major)", IF(T154&gt;=1, "Priority 3 (Minor)", "Pass/Fixed"))))</f>
        <v/>
      </c>
      <c r="V154">
        <f>IF(A154="","", IF(T154&gt;0, "FAIL", "PASS"))</f>
        <v/>
      </c>
    </row>
    <row r="155">
      <c r="A155">
        <f>IF('Equipment Information'!A155="","", 'Equipment Information'!A155)</f>
        <v/>
      </c>
      <c r="B155">
        <f>IF('Equipment Information'!B155="","", 'Equipment Information'!B155)</f>
        <v/>
      </c>
      <c r="C155">
        <f>IF('Equipment Information'!C155="","", 'Equipment Information'!C155)</f>
        <v/>
      </c>
      <c r="E155">
        <f>IF(D155="","", IFERROR(VLOOKUP(D155, 'Hidden_Data'!M:N, 2, FALSE), "0"))</f>
        <v/>
      </c>
      <c r="H155">
        <f>IF(G155="","", IFERROR(VLOOKUP(G155, 'Hidden_Data'!M:N, 2, FALSE), "0"))</f>
        <v/>
      </c>
      <c r="K155">
        <f>IF(J155="","", IFERROR(VLOOKUP(J155, 'Hidden_Data'!M:N, 2, FALSE), "0"))</f>
        <v/>
      </c>
      <c r="N155">
        <f>IF(M155="","", IFERROR(VLOOKUP(M155, 'Hidden_Data'!M:N, 2, FALSE), "0"))</f>
        <v/>
      </c>
      <c r="Q155">
        <f>IF(P155="","", IFERROR(VLOOKUP(P155, 'Hidden_Data'!M:N, 2, FALSE), "0"))</f>
        <v/>
      </c>
      <c r="T155">
        <f>IF(A155="","", SUM(IF(F155="Yes", 0, IF(E155="", 0, IFERROR(VALUE(MID(E155, SEARCH("(",E155)+1, 1)),0))), IF(I155="Yes", 0, IF(H155="", 0, IFERROR(VALUE(MID(H155, SEARCH("(",H155)+1, 1)),0))), IF(L155="Yes", 0, IF(K155="", 0, IFERROR(VALUE(MID(K155, SEARCH("(",K155)+1, 1)),0))), IF(O155="Yes", 0, IF(N155="", 0, IFERROR(VALUE(MID(N155, SEARCH("(",N155)+1, 1)),0))), IF(R155="Yes", 0, IF(Q155="", 0, IFERROR(VALUE(MID(Q155, SEARCH("(",Q155)+1, 1)),0)))))</f>
        <v/>
      </c>
      <c r="U155">
        <f>IF(A155="","", IF(T155&gt;=5, "Priority 1 (Critical)", IF(T155&gt;=3, "Priority 2 (Major)", IF(T155&gt;=1, "Priority 3 (Minor)", "Pass/Fixed"))))</f>
        <v/>
      </c>
      <c r="V155">
        <f>IF(A155="","", IF(T155&gt;0, "FAIL", "PASS"))</f>
        <v/>
      </c>
    </row>
    <row r="156">
      <c r="A156">
        <f>IF('Equipment Information'!A156="","", 'Equipment Information'!A156)</f>
        <v/>
      </c>
      <c r="B156">
        <f>IF('Equipment Information'!B156="","", 'Equipment Information'!B156)</f>
        <v/>
      </c>
      <c r="C156">
        <f>IF('Equipment Information'!C156="","", 'Equipment Information'!C156)</f>
        <v/>
      </c>
      <c r="E156">
        <f>IF(D156="","", IFERROR(VLOOKUP(D156, 'Hidden_Data'!M:N, 2, FALSE), "0"))</f>
        <v/>
      </c>
      <c r="H156">
        <f>IF(G156="","", IFERROR(VLOOKUP(G156, 'Hidden_Data'!M:N, 2, FALSE), "0"))</f>
        <v/>
      </c>
      <c r="K156">
        <f>IF(J156="","", IFERROR(VLOOKUP(J156, 'Hidden_Data'!M:N, 2, FALSE), "0"))</f>
        <v/>
      </c>
      <c r="N156">
        <f>IF(M156="","", IFERROR(VLOOKUP(M156, 'Hidden_Data'!M:N, 2, FALSE), "0"))</f>
        <v/>
      </c>
      <c r="Q156">
        <f>IF(P156="","", IFERROR(VLOOKUP(P156, 'Hidden_Data'!M:N, 2, FALSE), "0"))</f>
        <v/>
      </c>
      <c r="T156">
        <f>IF(A156="","", SUM(IF(F156="Yes", 0, IF(E156="", 0, IFERROR(VALUE(MID(E156, SEARCH("(",E156)+1, 1)),0))), IF(I156="Yes", 0, IF(H156="", 0, IFERROR(VALUE(MID(H156, SEARCH("(",H156)+1, 1)),0))), IF(L156="Yes", 0, IF(K156="", 0, IFERROR(VALUE(MID(K156, SEARCH("(",K156)+1, 1)),0))), IF(O156="Yes", 0, IF(N156="", 0, IFERROR(VALUE(MID(N156, SEARCH("(",N156)+1, 1)),0))), IF(R156="Yes", 0, IF(Q156="", 0, IFERROR(VALUE(MID(Q156, SEARCH("(",Q156)+1, 1)),0)))))</f>
        <v/>
      </c>
      <c r="U156">
        <f>IF(A156="","", IF(T156&gt;=5, "Priority 1 (Critical)", IF(T156&gt;=3, "Priority 2 (Major)", IF(T156&gt;=1, "Priority 3 (Minor)", "Pass/Fixed"))))</f>
        <v/>
      </c>
      <c r="V156">
        <f>IF(A156="","", IF(T156&gt;0, "FAIL", "PASS"))</f>
        <v/>
      </c>
    </row>
    <row r="157">
      <c r="A157">
        <f>IF('Equipment Information'!A157="","", 'Equipment Information'!A157)</f>
        <v/>
      </c>
      <c r="B157">
        <f>IF('Equipment Information'!B157="","", 'Equipment Information'!B157)</f>
        <v/>
      </c>
      <c r="C157">
        <f>IF('Equipment Information'!C157="","", 'Equipment Information'!C157)</f>
        <v/>
      </c>
      <c r="E157">
        <f>IF(D157="","", IFERROR(VLOOKUP(D157, 'Hidden_Data'!M:N, 2, FALSE), "0"))</f>
        <v/>
      </c>
      <c r="H157">
        <f>IF(G157="","", IFERROR(VLOOKUP(G157, 'Hidden_Data'!M:N, 2, FALSE), "0"))</f>
        <v/>
      </c>
      <c r="K157">
        <f>IF(J157="","", IFERROR(VLOOKUP(J157, 'Hidden_Data'!M:N, 2, FALSE), "0"))</f>
        <v/>
      </c>
      <c r="N157">
        <f>IF(M157="","", IFERROR(VLOOKUP(M157, 'Hidden_Data'!M:N, 2, FALSE), "0"))</f>
        <v/>
      </c>
      <c r="Q157">
        <f>IF(P157="","", IFERROR(VLOOKUP(P157, 'Hidden_Data'!M:N, 2, FALSE), "0"))</f>
        <v/>
      </c>
      <c r="T157">
        <f>IF(A157="","", SUM(IF(F157="Yes", 0, IF(E157="", 0, IFERROR(VALUE(MID(E157, SEARCH("(",E157)+1, 1)),0))), IF(I157="Yes", 0, IF(H157="", 0, IFERROR(VALUE(MID(H157, SEARCH("(",H157)+1, 1)),0))), IF(L157="Yes", 0, IF(K157="", 0, IFERROR(VALUE(MID(K157, SEARCH("(",K157)+1, 1)),0))), IF(O157="Yes", 0, IF(N157="", 0, IFERROR(VALUE(MID(N157, SEARCH("(",N157)+1, 1)),0))), IF(R157="Yes", 0, IF(Q157="", 0, IFERROR(VALUE(MID(Q157, SEARCH("(",Q157)+1, 1)),0)))))</f>
        <v/>
      </c>
      <c r="U157">
        <f>IF(A157="","", IF(T157&gt;=5, "Priority 1 (Critical)", IF(T157&gt;=3, "Priority 2 (Major)", IF(T157&gt;=1, "Priority 3 (Minor)", "Pass/Fixed"))))</f>
        <v/>
      </c>
      <c r="V157">
        <f>IF(A157="","", IF(T157&gt;0, "FAIL", "PASS"))</f>
        <v/>
      </c>
    </row>
    <row r="158">
      <c r="A158">
        <f>IF('Equipment Information'!A158="","", 'Equipment Information'!A158)</f>
        <v/>
      </c>
      <c r="B158">
        <f>IF('Equipment Information'!B158="","", 'Equipment Information'!B158)</f>
        <v/>
      </c>
      <c r="C158">
        <f>IF('Equipment Information'!C158="","", 'Equipment Information'!C158)</f>
        <v/>
      </c>
      <c r="E158">
        <f>IF(D158="","", IFERROR(VLOOKUP(D158, 'Hidden_Data'!M:N, 2, FALSE), "0"))</f>
        <v/>
      </c>
      <c r="H158">
        <f>IF(G158="","", IFERROR(VLOOKUP(G158, 'Hidden_Data'!M:N, 2, FALSE), "0"))</f>
        <v/>
      </c>
      <c r="K158">
        <f>IF(J158="","", IFERROR(VLOOKUP(J158, 'Hidden_Data'!M:N, 2, FALSE), "0"))</f>
        <v/>
      </c>
      <c r="N158">
        <f>IF(M158="","", IFERROR(VLOOKUP(M158, 'Hidden_Data'!M:N, 2, FALSE), "0"))</f>
        <v/>
      </c>
      <c r="Q158">
        <f>IF(P158="","", IFERROR(VLOOKUP(P158, 'Hidden_Data'!M:N, 2, FALSE), "0"))</f>
        <v/>
      </c>
      <c r="T158">
        <f>IF(A158="","", SUM(IF(F158="Yes", 0, IF(E158="", 0, IFERROR(VALUE(MID(E158, SEARCH("(",E158)+1, 1)),0))), IF(I158="Yes", 0, IF(H158="", 0, IFERROR(VALUE(MID(H158, SEARCH("(",H158)+1, 1)),0))), IF(L158="Yes", 0, IF(K158="", 0, IFERROR(VALUE(MID(K158, SEARCH("(",K158)+1, 1)),0))), IF(O158="Yes", 0, IF(N158="", 0, IFERROR(VALUE(MID(N158, SEARCH("(",N158)+1, 1)),0))), IF(R158="Yes", 0, IF(Q158="", 0, IFERROR(VALUE(MID(Q158, SEARCH("(",Q158)+1, 1)),0)))))</f>
        <v/>
      </c>
      <c r="U158">
        <f>IF(A158="","", IF(T158&gt;=5, "Priority 1 (Critical)", IF(T158&gt;=3, "Priority 2 (Major)", IF(T158&gt;=1, "Priority 3 (Minor)", "Pass/Fixed"))))</f>
        <v/>
      </c>
      <c r="V158">
        <f>IF(A158="","", IF(T158&gt;0, "FAIL", "PASS"))</f>
        <v/>
      </c>
    </row>
    <row r="159">
      <c r="A159">
        <f>IF('Equipment Information'!A159="","", 'Equipment Information'!A159)</f>
        <v/>
      </c>
      <c r="B159">
        <f>IF('Equipment Information'!B159="","", 'Equipment Information'!B159)</f>
        <v/>
      </c>
      <c r="C159">
        <f>IF('Equipment Information'!C159="","", 'Equipment Information'!C159)</f>
        <v/>
      </c>
      <c r="E159">
        <f>IF(D159="","", IFERROR(VLOOKUP(D159, 'Hidden_Data'!M:N, 2, FALSE), "0"))</f>
        <v/>
      </c>
      <c r="H159">
        <f>IF(G159="","", IFERROR(VLOOKUP(G159, 'Hidden_Data'!M:N, 2, FALSE), "0"))</f>
        <v/>
      </c>
      <c r="K159">
        <f>IF(J159="","", IFERROR(VLOOKUP(J159, 'Hidden_Data'!M:N, 2, FALSE), "0"))</f>
        <v/>
      </c>
      <c r="N159">
        <f>IF(M159="","", IFERROR(VLOOKUP(M159, 'Hidden_Data'!M:N, 2, FALSE), "0"))</f>
        <v/>
      </c>
      <c r="Q159">
        <f>IF(P159="","", IFERROR(VLOOKUP(P159, 'Hidden_Data'!M:N, 2, FALSE), "0"))</f>
        <v/>
      </c>
      <c r="T159">
        <f>IF(A159="","", SUM(IF(F159="Yes", 0, IF(E159="", 0, IFERROR(VALUE(MID(E159, SEARCH("(",E159)+1, 1)),0))), IF(I159="Yes", 0, IF(H159="", 0, IFERROR(VALUE(MID(H159, SEARCH("(",H159)+1, 1)),0))), IF(L159="Yes", 0, IF(K159="", 0, IFERROR(VALUE(MID(K159, SEARCH("(",K159)+1, 1)),0))), IF(O159="Yes", 0, IF(N159="", 0, IFERROR(VALUE(MID(N159, SEARCH("(",N159)+1, 1)),0))), IF(R159="Yes", 0, IF(Q159="", 0, IFERROR(VALUE(MID(Q159, SEARCH("(",Q159)+1, 1)),0)))))</f>
        <v/>
      </c>
      <c r="U159">
        <f>IF(A159="","", IF(T159&gt;=5, "Priority 1 (Critical)", IF(T159&gt;=3, "Priority 2 (Major)", IF(T159&gt;=1, "Priority 3 (Minor)", "Pass/Fixed"))))</f>
        <v/>
      </c>
      <c r="V159">
        <f>IF(A159="","", IF(T159&gt;0, "FAIL", "PASS"))</f>
        <v/>
      </c>
    </row>
    <row r="160">
      <c r="A160">
        <f>IF('Equipment Information'!A160="","", 'Equipment Information'!A160)</f>
        <v/>
      </c>
      <c r="B160">
        <f>IF('Equipment Information'!B160="","", 'Equipment Information'!B160)</f>
        <v/>
      </c>
      <c r="C160">
        <f>IF('Equipment Information'!C160="","", 'Equipment Information'!C160)</f>
        <v/>
      </c>
      <c r="E160">
        <f>IF(D160="","", IFERROR(VLOOKUP(D160, 'Hidden_Data'!M:N, 2, FALSE), "0"))</f>
        <v/>
      </c>
      <c r="H160">
        <f>IF(G160="","", IFERROR(VLOOKUP(G160, 'Hidden_Data'!M:N, 2, FALSE), "0"))</f>
        <v/>
      </c>
      <c r="K160">
        <f>IF(J160="","", IFERROR(VLOOKUP(J160, 'Hidden_Data'!M:N, 2, FALSE), "0"))</f>
        <v/>
      </c>
      <c r="N160">
        <f>IF(M160="","", IFERROR(VLOOKUP(M160, 'Hidden_Data'!M:N, 2, FALSE), "0"))</f>
        <v/>
      </c>
      <c r="Q160">
        <f>IF(P160="","", IFERROR(VLOOKUP(P160, 'Hidden_Data'!M:N, 2, FALSE), "0"))</f>
        <v/>
      </c>
      <c r="T160">
        <f>IF(A160="","", SUM(IF(F160="Yes", 0, IF(E160="", 0, IFERROR(VALUE(MID(E160, SEARCH("(",E160)+1, 1)),0))), IF(I160="Yes", 0, IF(H160="", 0, IFERROR(VALUE(MID(H160, SEARCH("(",H160)+1, 1)),0))), IF(L160="Yes", 0, IF(K160="", 0, IFERROR(VALUE(MID(K160, SEARCH("(",K160)+1, 1)),0))), IF(O160="Yes", 0, IF(N160="", 0, IFERROR(VALUE(MID(N160, SEARCH("(",N160)+1, 1)),0))), IF(R160="Yes", 0, IF(Q160="", 0, IFERROR(VALUE(MID(Q160, SEARCH("(",Q160)+1, 1)),0)))))</f>
        <v/>
      </c>
      <c r="U160">
        <f>IF(A160="","", IF(T160&gt;=5, "Priority 1 (Critical)", IF(T160&gt;=3, "Priority 2 (Major)", IF(T160&gt;=1, "Priority 3 (Minor)", "Pass/Fixed"))))</f>
        <v/>
      </c>
      <c r="V160">
        <f>IF(A160="","", IF(T160&gt;0, "FAIL", "PASS"))</f>
        <v/>
      </c>
    </row>
    <row r="161">
      <c r="A161">
        <f>IF('Equipment Information'!A161="","", 'Equipment Information'!A161)</f>
        <v/>
      </c>
      <c r="B161">
        <f>IF('Equipment Information'!B161="","", 'Equipment Information'!B161)</f>
        <v/>
      </c>
      <c r="C161">
        <f>IF('Equipment Information'!C161="","", 'Equipment Information'!C161)</f>
        <v/>
      </c>
      <c r="E161">
        <f>IF(D161="","", IFERROR(VLOOKUP(D161, 'Hidden_Data'!M:N, 2, FALSE), "0"))</f>
        <v/>
      </c>
      <c r="H161">
        <f>IF(G161="","", IFERROR(VLOOKUP(G161, 'Hidden_Data'!M:N, 2, FALSE), "0"))</f>
        <v/>
      </c>
      <c r="K161">
        <f>IF(J161="","", IFERROR(VLOOKUP(J161, 'Hidden_Data'!M:N, 2, FALSE), "0"))</f>
        <v/>
      </c>
      <c r="N161">
        <f>IF(M161="","", IFERROR(VLOOKUP(M161, 'Hidden_Data'!M:N, 2, FALSE), "0"))</f>
        <v/>
      </c>
      <c r="Q161">
        <f>IF(P161="","", IFERROR(VLOOKUP(P161, 'Hidden_Data'!M:N, 2, FALSE), "0"))</f>
        <v/>
      </c>
      <c r="T161">
        <f>IF(A161="","", SUM(IF(F161="Yes", 0, IF(E161="", 0, IFERROR(VALUE(MID(E161, SEARCH("(",E161)+1, 1)),0))), IF(I161="Yes", 0, IF(H161="", 0, IFERROR(VALUE(MID(H161, SEARCH("(",H161)+1, 1)),0))), IF(L161="Yes", 0, IF(K161="", 0, IFERROR(VALUE(MID(K161, SEARCH("(",K161)+1, 1)),0))), IF(O161="Yes", 0, IF(N161="", 0, IFERROR(VALUE(MID(N161, SEARCH("(",N161)+1, 1)),0))), IF(R161="Yes", 0, IF(Q161="", 0, IFERROR(VALUE(MID(Q161, SEARCH("(",Q161)+1, 1)),0)))))</f>
        <v/>
      </c>
      <c r="U161">
        <f>IF(A161="","", IF(T161&gt;=5, "Priority 1 (Critical)", IF(T161&gt;=3, "Priority 2 (Major)", IF(T161&gt;=1, "Priority 3 (Minor)", "Pass/Fixed"))))</f>
        <v/>
      </c>
      <c r="V161">
        <f>IF(A161="","", IF(T161&gt;0, "FAIL", "PASS"))</f>
        <v/>
      </c>
    </row>
    <row r="162">
      <c r="A162">
        <f>IF('Equipment Information'!A162="","", 'Equipment Information'!A162)</f>
        <v/>
      </c>
      <c r="B162">
        <f>IF('Equipment Information'!B162="","", 'Equipment Information'!B162)</f>
        <v/>
      </c>
      <c r="C162">
        <f>IF('Equipment Information'!C162="","", 'Equipment Information'!C162)</f>
        <v/>
      </c>
      <c r="E162">
        <f>IF(D162="","", IFERROR(VLOOKUP(D162, 'Hidden_Data'!M:N, 2, FALSE), "0"))</f>
        <v/>
      </c>
      <c r="H162">
        <f>IF(G162="","", IFERROR(VLOOKUP(G162, 'Hidden_Data'!M:N, 2, FALSE), "0"))</f>
        <v/>
      </c>
      <c r="K162">
        <f>IF(J162="","", IFERROR(VLOOKUP(J162, 'Hidden_Data'!M:N, 2, FALSE), "0"))</f>
        <v/>
      </c>
      <c r="N162">
        <f>IF(M162="","", IFERROR(VLOOKUP(M162, 'Hidden_Data'!M:N, 2, FALSE), "0"))</f>
        <v/>
      </c>
      <c r="Q162">
        <f>IF(P162="","", IFERROR(VLOOKUP(P162, 'Hidden_Data'!M:N, 2, FALSE), "0"))</f>
        <v/>
      </c>
      <c r="T162">
        <f>IF(A162="","", SUM(IF(F162="Yes", 0, IF(E162="", 0, IFERROR(VALUE(MID(E162, SEARCH("(",E162)+1, 1)),0))), IF(I162="Yes", 0, IF(H162="", 0, IFERROR(VALUE(MID(H162, SEARCH("(",H162)+1, 1)),0))), IF(L162="Yes", 0, IF(K162="", 0, IFERROR(VALUE(MID(K162, SEARCH("(",K162)+1, 1)),0))), IF(O162="Yes", 0, IF(N162="", 0, IFERROR(VALUE(MID(N162, SEARCH("(",N162)+1, 1)),0))), IF(R162="Yes", 0, IF(Q162="", 0, IFERROR(VALUE(MID(Q162, SEARCH("(",Q162)+1, 1)),0)))))</f>
        <v/>
      </c>
      <c r="U162">
        <f>IF(A162="","", IF(T162&gt;=5, "Priority 1 (Critical)", IF(T162&gt;=3, "Priority 2 (Major)", IF(T162&gt;=1, "Priority 3 (Minor)", "Pass/Fixed"))))</f>
        <v/>
      </c>
      <c r="V162">
        <f>IF(A162="","", IF(T162&gt;0, "FAIL", "PASS"))</f>
        <v/>
      </c>
    </row>
    <row r="163">
      <c r="A163">
        <f>IF('Equipment Information'!A163="","", 'Equipment Information'!A163)</f>
        <v/>
      </c>
      <c r="B163">
        <f>IF('Equipment Information'!B163="","", 'Equipment Information'!B163)</f>
        <v/>
      </c>
      <c r="C163">
        <f>IF('Equipment Information'!C163="","", 'Equipment Information'!C163)</f>
        <v/>
      </c>
      <c r="E163">
        <f>IF(D163="","", IFERROR(VLOOKUP(D163, 'Hidden_Data'!M:N, 2, FALSE), "0"))</f>
        <v/>
      </c>
      <c r="H163">
        <f>IF(G163="","", IFERROR(VLOOKUP(G163, 'Hidden_Data'!M:N, 2, FALSE), "0"))</f>
        <v/>
      </c>
      <c r="K163">
        <f>IF(J163="","", IFERROR(VLOOKUP(J163, 'Hidden_Data'!M:N, 2, FALSE), "0"))</f>
        <v/>
      </c>
      <c r="N163">
        <f>IF(M163="","", IFERROR(VLOOKUP(M163, 'Hidden_Data'!M:N, 2, FALSE), "0"))</f>
        <v/>
      </c>
      <c r="Q163">
        <f>IF(P163="","", IFERROR(VLOOKUP(P163, 'Hidden_Data'!M:N, 2, FALSE), "0"))</f>
        <v/>
      </c>
      <c r="T163">
        <f>IF(A163="","", SUM(IF(F163="Yes", 0, IF(E163="", 0, IFERROR(VALUE(MID(E163, SEARCH("(",E163)+1, 1)),0))), IF(I163="Yes", 0, IF(H163="", 0, IFERROR(VALUE(MID(H163, SEARCH("(",H163)+1, 1)),0))), IF(L163="Yes", 0, IF(K163="", 0, IFERROR(VALUE(MID(K163, SEARCH("(",K163)+1, 1)),0))), IF(O163="Yes", 0, IF(N163="", 0, IFERROR(VALUE(MID(N163, SEARCH("(",N163)+1, 1)),0))), IF(R163="Yes", 0, IF(Q163="", 0, IFERROR(VALUE(MID(Q163, SEARCH("(",Q163)+1, 1)),0)))))</f>
        <v/>
      </c>
      <c r="U163">
        <f>IF(A163="","", IF(T163&gt;=5, "Priority 1 (Critical)", IF(T163&gt;=3, "Priority 2 (Major)", IF(T163&gt;=1, "Priority 3 (Minor)", "Pass/Fixed"))))</f>
        <v/>
      </c>
      <c r="V163">
        <f>IF(A163="","", IF(T163&gt;0, "FAIL", "PASS"))</f>
        <v/>
      </c>
    </row>
    <row r="164">
      <c r="A164">
        <f>IF('Equipment Information'!A164="","", 'Equipment Information'!A164)</f>
        <v/>
      </c>
      <c r="B164">
        <f>IF('Equipment Information'!B164="","", 'Equipment Information'!B164)</f>
        <v/>
      </c>
      <c r="C164">
        <f>IF('Equipment Information'!C164="","", 'Equipment Information'!C164)</f>
        <v/>
      </c>
      <c r="E164">
        <f>IF(D164="","", IFERROR(VLOOKUP(D164, 'Hidden_Data'!M:N, 2, FALSE), "0"))</f>
        <v/>
      </c>
      <c r="H164">
        <f>IF(G164="","", IFERROR(VLOOKUP(G164, 'Hidden_Data'!M:N, 2, FALSE), "0"))</f>
        <v/>
      </c>
      <c r="K164">
        <f>IF(J164="","", IFERROR(VLOOKUP(J164, 'Hidden_Data'!M:N, 2, FALSE), "0"))</f>
        <v/>
      </c>
      <c r="N164">
        <f>IF(M164="","", IFERROR(VLOOKUP(M164, 'Hidden_Data'!M:N, 2, FALSE), "0"))</f>
        <v/>
      </c>
      <c r="Q164">
        <f>IF(P164="","", IFERROR(VLOOKUP(P164, 'Hidden_Data'!M:N, 2, FALSE), "0"))</f>
        <v/>
      </c>
      <c r="T164">
        <f>IF(A164="","", SUM(IF(F164="Yes", 0, IF(E164="", 0, IFERROR(VALUE(MID(E164, SEARCH("(",E164)+1, 1)),0))), IF(I164="Yes", 0, IF(H164="", 0, IFERROR(VALUE(MID(H164, SEARCH("(",H164)+1, 1)),0))), IF(L164="Yes", 0, IF(K164="", 0, IFERROR(VALUE(MID(K164, SEARCH("(",K164)+1, 1)),0))), IF(O164="Yes", 0, IF(N164="", 0, IFERROR(VALUE(MID(N164, SEARCH("(",N164)+1, 1)),0))), IF(R164="Yes", 0, IF(Q164="", 0, IFERROR(VALUE(MID(Q164, SEARCH("(",Q164)+1, 1)),0)))))</f>
        <v/>
      </c>
      <c r="U164">
        <f>IF(A164="","", IF(T164&gt;=5, "Priority 1 (Critical)", IF(T164&gt;=3, "Priority 2 (Major)", IF(T164&gt;=1, "Priority 3 (Minor)", "Pass/Fixed"))))</f>
        <v/>
      </c>
      <c r="V164">
        <f>IF(A164="","", IF(T164&gt;0, "FAIL", "PASS"))</f>
        <v/>
      </c>
    </row>
    <row r="165">
      <c r="A165">
        <f>IF('Equipment Information'!A165="","", 'Equipment Information'!A165)</f>
        <v/>
      </c>
      <c r="B165">
        <f>IF('Equipment Information'!B165="","", 'Equipment Information'!B165)</f>
        <v/>
      </c>
      <c r="C165">
        <f>IF('Equipment Information'!C165="","", 'Equipment Information'!C165)</f>
        <v/>
      </c>
      <c r="E165">
        <f>IF(D165="","", IFERROR(VLOOKUP(D165, 'Hidden_Data'!M:N, 2, FALSE), "0"))</f>
        <v/>
      </c>
      <c r="H165">
        <f>IF(G165="","", IFERROR(VLOOKUP(G165, 'Hidden_Data'!M:N, 2, FALSE), "0"))</f>
        <v/>
      </c>
      <c r="K165">
        <f>IF(J165="","", IFERROR(VLOOKUP(J165, 'Hidden_Data'!M:N, 2, FALSE), "0"))</f>
        <v/>
      </c>
      <c r="N165">
        <f>IF(M165="","", IFERROR(VLOOKUP(M165, 'Hidden_Data'!M:N, 2, FALSE), "0"))</f>
        <v/>
      </c>
      <c r="Q165">
        <f>IF(P165="","", IFERROR(VLOOKUP(P165, 'Hidden_Data'!M:N, 2, FALSE), "0"))</f>
        <v/>
      </c>
      <c r="T165">
        <f>IF(A165="","", SUM(IF(F165="Yes", 0, IF(E165="", 0, IFERROR(VALUE(MID(E165, SEARCH("(",E165)+1, 1)),0))), IF(I165="Yes", 0, IF(H165="", 0, IFERROR(VALUE(MID(H165, SEARCH("(",H165)+1, 1)),0))), IF(L165="Yes", 0, IF(K165="", 0, IFERROR(VALUE(MID(K165, SEARCH("(",K165)+1, 1)),0))), IF(O165="Yes", 0, IF(N165="", 0, IFERROR(VALUE(MID(N165, SEARCH("(",N165)+1, 1)),0))), IF(R165="Yes", 0, IF(Q165="", 0, IFERROR(VALUE(MID(Q165, SEARCH("(",Q165)+1, 1)),0)))))</f>
        <v/>
      </c>
      <c r="U165">
        <f>IF(A165="","", IF(T165&gt;=5, "Priority 1 (Critical)", IF(T165&gt;=3, "Priority 2 (Major)", IF(T165&gt;=1, "Priority 3 (Minor)", "Pass/Fixed"))))</f>
        <v/>
      </c>
      <c r="V165">
        <f>IF(A165="","", IF(T165&gt;0, "FAIL", "PASS"))</f>
        <v/>
      </c>
    </row>
    <row r="166">
      <c r="A166">
        <f>IF('Equipment Information'!A166="","", 'Equipment Information'!A166)</f>
        <v/>
      </c>
      <c r="B166">
        <f>IF('Equipment Information'!B166="","", 'Equipment Information'!B166)</f>
        <v/>
      </c>
      <c r="C166">
        <f>IF('Equipment Information'!C166="","", 'Equipment Information'!C166)</f>
        <v/>
      </c>
      <c r="E166">
        <f>IF(D166="","", IFERROR(VLOOKUP(D166, 'Hidden_Data'!M:N, 2, FALSE), "0"))</f>
        <v/>
      </c>
      <c r="H166">
        <f>IF(G166="","", IFERROR(VLOOKUP(G166, 'Hidden_Data'!M:N, 2, FALSE), "0"))</f>
        <v/>
      </c>
      <c r="K166">
        <f>IF(J166="","", IFERROR(VLOOKUP(J166, 'Hidden_Data'!M:N, 2, FALSE), "0"))</f>
        <v/>
      </c>
      <c r="N166">
        <f>IF(M166="","", IFERROR(VLOOKUP(M166, 'Hidden_Data'!M:N, 2, FALSE), "0"))</f>
        <v/>
      </c>
      <c r="Q166">
        <f>IF(P166="","", IFERROR(VLOOKUP(P166, 'Hidden_Data'!M:N, 2, FALSE), "0"))</f>
        <v/>
      </c>
      <c r="T166">
        <f>IF(A166="","", SUM(IF(F166="Yes", 0, IF(E166="", 0, IFERROR(VALUE(MID(E166, SEARCH("(",E166)+1, 1)),0))), IF(I166="Yes", 0, IF(H166="", 0, IFERROR(VALUE(MID(H166, SEARCH("(",H166)+1, 1)),0))), IF(L166="Yes", 0, IF(K166="", 0, IFERROR(VALUE(MID(K166, SEARCH("(",K166)+1, 1)),0))), IF(O166="Yes", 0, IF(N166="", 0, IFERROR(VALUE(MID(N166, SEARCH("(",N166)+1, 1)),0))), IF(R166="Yes", 0, IF(Q166="", 0, IFERROR(VALUE(MID(Q166, SEARCH("(",Q166)+1, 1)),0)))))</f>
        <v/>
      </c>
      <c r="U166">
        <f>IF(A166="","", IF(T166&gt;=5, "Priority 1 (Critical)", IF(T166&gt;=3, "Priority 2 (Major)", IF(T166&gt;=1, "Priority 3 (Minor)", "Pass/Fixed"))))</f>
        <v/>
      </c>
      <c r="V166">
        <f>IF(A166="","", IF(T166&gt;0, "FAIL", "PASS"))</f>
        <v/>
      </c>
    </row>
    <row r="167">
      <c r="A167">
        <f>IF('Equipment Information'!A167="","", 'Equipment Information'!A167)</f>
        <v/>
      </c>
      <c r="B167">
        <f>IF('Equipment Information'!B167="","", 'Equipment Information'!B167)</f>
        <v/>
      </c>
      <c r="C167">
        <f>IF('Equipment Information'!C167="","", 'Equipment Information'!C167)</f>
        <v/>
      </c>
      <c r="E167">
        <f>IF(D167="","", IFERROR(VLOOKUP(D167, 'Hidden_Data'!M:N, 2, FALSE), "0"))</f>
        <v/>
      </c>
      <c r="H167">
        <f>IF(G167="","", IFERROR(VLOOKUP(G167, 'Hidden_Data'!M:N, 2, FALSE), "0"))</f>
        <v/>
      </c>
      <c r="K167">
        <f>IF(J167="","", IFERROR(VLOOKUP(J167, 'Hidden_Data'!M:N, 2, FALSE), "0"))</f>
        <v/>
      </c>
      <c r="N167">
        <f>IF(M167="","", IFERROR(VLOOKUP(M167, 'Hidden_Data'!M:N, 2, FALSE), "0"))</f>
        <v/>
      </c>
      <c r="Q167">
        <f>IF(P167="","", IFERROR(VLOOKUP(P167, 'Hidden_Data'!M:N, 2, FALSE), "0"))</f>
        <v/>
      </c>
      <c r="T167">
        <f>IF(A167="","", SUM(IF(F167="Yes", 0, IF(E167="", 0, IFERROR(VALUE(MID(E167, SEARCH("(",E167)+1, 1)),0))), IF(I167="Yes", 0, IF(H167="", 0, IFERROR(VALUE(MID(H167, SEARCH("(",H167)+1, 1)),0))), IF(L167="Yes", 0, IF(K167="", 0, IFERROR(VALUE(MID(K167, SEARCH("(",K167)+1, 1)),0))), IF(O167="Yes", 0, IF(N167="", 0, IFERROR(VALUE(MID(N167, SEARCH("(",N167)+1, 1)),0))), IF(R167="Yes", 0, IF(Q167="", 0, IFERROR(VALUE(MID(Q167, SEARCH("(",Q167)+1, 1)),0)))))</f>
        <v/>
      </c>
      <c r="U167">
        <f>IF(A167="","", IF(T167&gt;=5, "Priority 1 (Critical)", IF(T167&gt;=3, "Priority 2 (Major)", IF(T167&gt;=1, "Priority 3 (Minor)", "Pass/Fixed"))))</f>
        <v/>
      </c>
      <c r="V167">
        <f>IF(A167="","", IF(T167&gt;0, "FAIL", "PASS"))</f>
        <v/>
      </c>
    </row>
    <row r="168">
      <c r="A168">
        <f>IF('Equipment Information'!A168="","", 'Equipment Information'!A168)</f>
        <v/>
      </c>
      <c r="B168">
        <f>IF('Equipment Information'!B168="","", 'Equipment Information'!B168)</f>
        <v/>
      </c>
      <c r="C168">
        <f>IF('Equipment Information'!C168="","", 'Equipment Information'!C168)</f>
        <v/>
      </c>
      <c r="E168">
        <f>IF(D168="","", IFERROR(VLOOKUP(D168, 'Hidden_Data'!M:N, 2, FALSE), "0"))</f>
        <v/>
      </c>
      <c r="H168">
        <f>IF(G168="","", IFERROR(VLOOKUP(G168, 'Hidden_Data'!M:N, 2, FALSE), "0"))</f>
        <v/>
      </c>
      <c r="K168">
        <f>IF(J168="","", IFERROR(VLOOKUP(J168, 'Hidden_Data'!M:N, 2, FALSE), "0"))</f>
        <v/>
      </c>
      <c r="N168">
        <f>IF(M168="","", IFERROR(VLOOKUP(M168, 'Hidden_Data'!M:N, 2, FALSE), "0"))</f>
        <v/>
      </c>
      <c r="Q168">
        <f>IF(P168="","", IFERROR(VLOOKUP(P168, 'Hidden_Data'!M:N, 2, FALSE), "0"))</f>
        <v/>
      </c>
      <c r="T168">
        <f>IF(A168="","", SUM(IF(F168="Yes", 0, IF(E168="", 0, IFERROR(VALUE(MID(E168, SEARCH("(",E168)+1, 1)),0))), IF(I168="Yes", 0, IF(H168="", 0, IFERROR(VALUE(MID(H168, SEARCH("(",H168)+1, 1)),0))), IF(L168="Yes", 0, IF(K168="", 0, IFERROR(VALUE(MID(K168, SEARCH("(",K168)+1, 1)),0))), IF(O168="Yes", 0, IF(N168="", 0, IFERROR(VALUE(MID(N168, SEARCH("(",N168)+1, 1)),0))), IF(R168="Yes", 0, IF(Q168="", 0, IFERROR(VALUE(MID(Q168, SEARCH("(",Q168)+1, 1)),0)))))</f>
        <v/>
      </c>
      <c r="U168">
        <f>IF(A168="","", IF(T168&gt;=5, "Priority 1 (Critical)", IF(T168&gt;=3, "Priority 2 (Major)", IF(T168&gt;=1, "Priority 3 (Minor)", "Pass/Fixed"))))</f>
        <v/>
      </c>
      <c r="V168">
        <f>IF(A168="","", IF(T168&gt;0, "FAIL", "PASS"))</f>
        <v/>
      </c>
    </row>
    <row r="169">
      <c r="A169">
        <f>IF('Equipment Information'!A169="","", 'Equipment Information'!A169)</f>
        <v/>
      </c>
      <c r="B169">
        <f>IF('Equipment Information'!B169="","", 'Equipment Information'!B169)</f>
        <v/>
      </c>
      <c r="C169">
        <f>IF('Equipment Information'!C169="","", 'Equipment Information'!C169)</f>
        <v/>
      </c>
      <c r="E169">
        <f>IF(D169="","", IFERROR(VLOOKUP(D169, 'Hidden_Data'!M:N, 2, FALSE), "0"))</f>
        <v/>
      </c>
      <c r="H169">
        <f>IF(G169="","", IFERROR(VLOOKUP(G169, 'Hidden_Data'!M:N, 2, FALSE), "0"))</f>
        <v/>
      </c>
      <c r="K169">
        <f>IF(J169="","", IFERROR(VLOOKUP(J169, 'Hidden_Data'!M:N, 2, FALSE), "0"))</f>
        <v/>
      </c>
      <c r="N169">
        <f>IF(M169="","", IFERROR(VLOOKUP(M169, 'Hidden_Data'!M:N, 2, FALSE), "0"))</f>
        <v/>
      </c>
      <c r="Q169">
        <f>IF(P169="","", IFERROR(VLOOKUP(P169, 'Hidden_Data'!M:N, 2, FALSE), "0"))</f>
        <v/>
      </c>
      <c r="T169">
        <f>IF(A169="","", SUM(IF(F169="Yes", 0, IF(E169="", 0, IFERROR(VALUE(MID(E169, SEARCH("(",E169)+1, 1)),0))), IF(I169="Yes", 0, IF(H169="", 0, IFERROR(VALUE(MID(H169, SEARCH("(",H169)+1, 1)),0))), IF(L169="Yes", 0, IF(K169="", 0, IFERROR(VALUE(MID(K169, SEARCH("(",K169)+1, 1)),0))), IF(O169="Yes", 0, IF(N169="", 0, IFERROR(VALUE(MID(N169, SEARCH("(",N169)+1, 1)),0))), IF(R169="Yes", 0, IF(Q169="", 0, IFERROR(VALUE(MID(Q169, SEARCH("(",Q169)+1, 1)),0)))))</f>
        <v/>
      </c>
      <c r="U169">
        <f>IF(A169="","", IF(T169&gt;=5, "Priority 1 (Critical)", IF(T169&gt;=3, "Priority 2 (Major)", IF(T169&gt;=1, "Priority 3 (Minor)", "Pass/Fixed"))))</f>
        <v/>
      </c>
      <c r="V169">
        <f>IF(A169="","", IF(T169&gt;0, "FAIL", "PASS"))</f>
        <v/>
      </c>
    </row>
    <row r="170">
      <c r="A170">
        <f>IF('Equipment Information'!A170="","", 'Equipment Information'!A170)</f>
        <v/>
      </c>
      <c r="B170">
        <f>IF('Equipment Information'!B170="","", 'Equipment Information'!B170)</f>
        <v/>
      </c>
      <c r="C170">
        <f>IF('Equipment Information'!C170="","", 'Equipment Information'!C170)</f>
        <v/>
      </c>
      <c r="E170">
        <f>IF(D170="","", IFERROR(VLOOKUP(D170, 'Hidden_Data'!M:N, 2, FALSE), "0"))</f>
        <v/>
      </c>
      <c r="H170">
        <f>IF(G170="","", IFERROR(VLOOKUP(G170, 'Hidden_Data'!M:N, 2, FALSE), "0"))</f>
        <v/>
      </c>
      <c r="K170">
        <f>IF(J170="","", IFERROR(VLOOKUP(J170, 'Hidden_Data'!M:N, 2, FALSE), "0"))</f>
        <v/>
      </c>
      <c r="N170">
        <f>IF(M170="","", IFERROR(VLOOKUP(M170, 'Hidden_Data'!M:N, 2, FALSE), "0"))</f>
        <v/>
      </c>
      <c r="Q170">
        <f>IF(P170="","", IFERROR(VLOOKUP(P170, 'Hidden_Data'!M:N, 2, FALSE), "0"))</f>
        <v/>
      </c>
      <c r="T170">
        <f>IF(A170="","", SUM(IF(F170="Yes", 0, IF(E170="", 0, IFERROR(VALUE(MID(E170, SEARCH("(",E170)+1, 1)),0))), IF(I170="Yes", 0, IF(H170="", 0, IFERROR(VALUE(MID(H170, SEARCH("(",H170)+1, 1)),0))), IF(L170="Yes", 0, IF(K170="", 0, IFERROR(VALUE(MID(K170, SEARCH("(",K170)+1, 1)),0))), IF(O170="Yes", 0, IF(N170="", 0, IFERROR(VALUE(MID(N170, SEARCH("(",N170)+1, 1)),0))), IF(R170="Yes", 0, IF(Q170="", 0, IFERROR(VALUE(MID(Q170, SEARCH("(",Q170)+1, 1)),0)))))</f>
        <v/>
      </c>
      <c r="U170">
        <f>IF(A170="","", IF(T170&gt;=5, "Priority 1 (Critical)", IF(T170&gt;=3, "Priority 2 (Major)", IF(T170&gt;=1, "Priority 3 (Minor)", "Pass/Fixed"))))</f>
        <v/>
      </c>
      <c r="V170">
        <f>IF(A170="","", IF(T170&gt;0, "FAIL", "PASS"))</f>
        <v/>
      </c>
    </row>
    <row r="171">
      <c r="A171">
        <f>IF('Equipment Information'!A171="","", 'Equipment Information'!A171)</f>
        <v/>
      </c>
      <c r="B171">
        <f>IF('Equipment Information'!B171="","", 'Equipment Information'!B171)</f>
        <v/>
      </c>
      <c r="C171">
        <f>IF('Equipment Information'!C171="","", 'Equipment Information'!C171)</f>
        <v/>
      </c>
      <c r="E171">
        <f>IF(D171="","", IFERROR(VLOOKUP(D171, 'Hidden_Data'!M:N, 2, FALSE), "0"))</f>
        <v/>
      </c>
      <c r="H171">
        <f>IF(G171="","", IFERROR(VLOOKUP(G171, 'Hidden_Data'!M:N, 2, FALSE), "0"))</f>
        <v/>
      </c>
      <c r="K171">
        <f>IF(J171="","", IFERROR(VLOOKUP(J171, 'Hidden_Data'!M:N, 2, FALSE), "0"))</f>
        <v/>
      </c>
      <c r="N171">
        <f>IF(M171="","", IFERROR(VLOOKUP(M171, 'Hidden_Data'!M:N, 2, FALSE), "0"))</f>
        <v/>
      </c>
      <c r="Q171">
        <f>IF(P171="","", IFERROR(VLOOKUP(P171, 'Hidden_Data'!M:N, 2, FALSE), "0"))</f>
        <v/>
      </c>
      <c r="T171">
        <f>IF(A171="","", SUM(IF(F171="Yes", 0, IF(E171="", 0, IFERROR(VALUE(MID(E171, SEARCH("(",E171)+1, 1)),0))), IF(I171="Yes", 0, IF(H171="", 0, IFERROR(VALUE(MID(H171, SEARCH("(",H171)+1, 1)),0))), IF(L171="Yes", 0, IF(K171="", 0, IFERROR(VALUE(MID(K171, SEARCH("(",K171)+1, 1)),0))), IF(O171="Yes", 0, IF(N171="", 0, IFERROR(VALUE(MID(N171, SEARCH("(",N171)+1, 1)),0))), IF(R171="Yes", 0, IF(Q171="", 0, IFERROR(VALUE(MID(Q171, SEARCH("(",Q171)+1, 1)),0)))))</f>
        <v/>
      </c>
      <c r="U171">
        <f>IF(A171="","", IF(T171&gt;=5, "Priority 1 (Critical)", IF(T171&gt;=3, "Priority 2 (Major)", IF(T171&gt;=1, "Priority 3 (Minor)", "Pass/Fixed"))))</f>
        <v/>
      </c>
      <c r="V171">
        <f>IF(A171="","", IF(T171&gt;0, "FAIL", "PASS"))</f>
        <v/>
      </c>
    </row>
    <row r="172">
      <c r="A172">
        <f>IF('Equipment Information'!A172="","", 'Equipment Information'!A172)</f>
        <v/>
      </c>
      <c r="B172">
        <f>IF('Equipment Information'!B172="","", 'Equipment Information'!B172)</f>
        <v/>
      </c>
      <c r="C172">
        <f>IF('Equipment Information'!C172="","", 'Equipment Information'!C172)</f>
        <v/>
      </c>
      <c r="E172">
        <f>IF(D172="","", IFERROR(VLOOKUP(D172, 'Hidden_Data'!M:N, 2, FALSE), "0"))</f>
        <v/>
      </c>
      <c r="H172">
        <f>IF(G172="","", IFERROR(VLOOKUP(G172, 'Hidden_Data'!M:N, 2, FALSE), "0"))</f>
        <v/>
      </c>
      <c r="K172">
        <f>IF(J172="","", IFERROR(VLOOKUP(J172, 'Hidden_Data'!M:N, 2, FALSE), "0"))</f>
        <v/>
      </c>
      <c r="N172">
        <f>IF(M172="","", IFERROR(VLOOKUP(M172, 'Hidden_Data'!M:N, 2, FALSE), "0"))</f>
        <v/>
      </c>
      <c r="Q172">
        <f>IF(P172="","", IFERROR(VLOOKUP(P172, 'Hidden_Data'!M:N, 2, FALSE), "0"))</f>
        <v/>
      </c>
      <c r="T172">
        <f>IF(A172="","", SUM(IF(F172="Yes", 0, IF(E172="", 0, IFERROR(VALUE(MID(E172, SEARCH("(",E172)+1, 1)),0))), IF(I172="Yes", 0, IF(H172="", 0, IFERROR(VALUE(MID(H172, SEARCH("(",H172)+1, 1)),0))), IF(L172="Yes", 0, IF(K172="", 0, IFERROR(VALUE(MID(K172, SEARCH("(",K172)+1, 1)),0))), IF(O172="Yes", 0, IF(N172="", 0, IFERROR(VALUE(MID(N172, SEARCH("(",N172)+1, 1)),0))), IF(R172="Yes", 0, IF(Q172="", 0, IFERROR(VALUE(MID(Q172, SEARCH("(",Q172)+1, 1)),0)))))</f>
        <v/>
      </c>
      <c r="U172">
        <f>IF(A172="","", IF(T172&gt;=5, "Priority 1 (Critical)", IF(T172&gt;=3, "Priority 2 (Major)", IF(T172&gt;=1, "Priority 3 (Minor)", "Pass/Fixed"))))</f>
        <v/>
      </c>
      <c r="V172">
        <f>IF(A172="","", IF(T172&gt;0, "FAIL", "PASS"))</f>
        <v/>
      </c>
    </row>
    <row r="173">
      <c r="A173">
        <f>IF('Equipment Information'!A173="","", 'Equipment Information'!A173)</f>
        <v/>
      </c>
      <c r="B173">
        <f>IF('Equipment Information'!B173="","", 'Equipment Information'!B173)</f>
        <v/>
      </c>
      <c r="C173">
        <f>IF('Equipment Information'!C173="","", 'Equipment Information'!C173)</f>
        <v/>
      </c>
      <c r="E173">
        <f>IF(D173="","", IFERROR(VLOOKUP(D173, 'Hidden_Data'!M:N, 2, FALSE), "0"))</f>
        <v/>
      </c>
      <c r="H173">
        <f>IF(G173="","", IFERROR(VLOOKUP(G173, 'Hidden_Data'!M:N, 2, FALSE), "0"))</f>
        <v/>
      </c>
      <c r="K173">
        <f>IF(J173="","", IFERROR(VLOOKUP(J173, 'Hidden_Data'!M:N, 2, FALSE), "0"))</f>
        <v/>
      </c>
      <c r="N173">
        <f>IF(M173="","", IFERROR(VLOOKUP(M173, 'Hidden_Data'!M:N, 2, FALSE), "0"))</f>
        <v/>
      </c>
      <c r="Q173">
        <f>IF(P173="","", IFERROR(VLOOKUP(P173, 'Hidden_Data'!M:N, 2, FALSE), "0"))</f>
        <v/>
      </c>
      <c r="T173">
        <f>IF(A173="","", SUM(IF(F173="Yes", 0, IF(E173="", 0, IFERROR(VALUE(MID(E173, SEARCH("(",E173)+1, 1)),0))), IF(I173="Yes", 0, IF(H173="", 0, IFERROR(VALUE(MID(H173, SEARCH("(",H173)+1, 1)),0))), IF(L173="Yes", 0, IF(K173="", 0, IFERROR(VALUE(MID(K173, SEARCH("(",K173)+1, 1)),0))), IF(O173="Yes", 0, IF(N173="", 0, IFERROR(VALUE(MID(N173, SEARCH("(",N173)+1, 1)),0))), IF(R173="Yes", 0, IF(Q173="", 0, IFERROR(VALUE(MID(Q173, SEARCH("(",Q173)+1, 1)),0)))))</f>
        <v/>
      </c>
      <c r="U173">
        <f>IF(A173="","", IF(T173&gt;=5, "Priority 1 (Critical)", IF(T173&gt;=3, "Priority 2 (Major)", IF(T173&gt;=1, "Priority 3 (Minor)", "Pass/Fixed"))))</f>
        <v/>
      </c>
      <c r="V173">
        <f>IF(A173="","", IF(T173&gt;0, "FAIL", "PASS"))</f>
        <v/>
      </c>
    </row>
    <row r="174">
      <c r="A174">
        <f>IF('Equipment Information'!A174="","", 'Equipment Information'!A174)</f>
        <v/>
      </c>
      <c r="B174">
        <f>IF('Equipment Information'!B174="","", 'Equipment Information'!B174)</f>
        <v/>
      </c>
      <c r="C174">
        <f>IF('Equipment Information'!C174="","", 'Equipment Information'!C174)</f>
        <v/>
      </c>
      <c r="E174">
        <f>IF(D174="","", IFERROR(VLOOKUP(D174, 'Hidden_Data'!M:N, 2, FALSE), "0"))</f>
        <v/>
      </c>
      <c r="H174">
        <f>IF(G174="","", IFERROR(VLOOKUP(G174, 'Hidden_Data'!M:N, 2, FALSE), "0"))</f>
        <v/>
      </c>
      <c r="K174">
        <f>IF(J174="","", IFERROR(VLOOKUP(J174, 'Hidden_Data'!M:N, 2, FALSE), "0"))</f>
        <v/>
      </c>
      <c r="N174">
        <f>IF(M174="","", IFERROR(VLOOKUP(M174, 'Hidden_Data'!M:N, 2, FALSE), "0"))</f>
        <v/>
      </c>
      <c r="Q174">
        <f>IF(P174="","", IFERROR(VLOOKUP(P174, 'Hidden_Data'!M:N, 2, FALSE), "0"))</f>
        <v/>
      </c>
      <c r="T174">
        <f>IF(A174="","", SUM(IF(F174="Yes", 0, IF(E174="", 0, IFERROR(VALUE(MID(E174, SEARCH("(",E174)+1, 1)),0))), IF(I174="Yes", 0, IF(H174="", 0, IFERROR(VALUE(MID(H174, SEARCH("(",H174)+1, 1)),0))), IF(L174="Yes", 0, IF(K174="", 0, IFERROR(VALUE(MID(K174, SEARCH("(",K174)+1, 1)),0))), IF(O174="Yes", 0, IF(N174="", 0, IFERROR(VALUE(MID(N174, SEARCH("(",N174)+1, 1)),0))), IF(R174="Yes", 0, IF(Q174="", 0, IFERROR(VALUE(MID(Q174, SEARCH("(",Q174)+1, 1)),0)))))</f>
        <v/>
      </c>
      <c r="U174">
        <f>IF(A174="","", IF(T174&gt;=5, "Priority 1 (Critical)", IF(T174&gt;=3, "Priority 2 (Major)", IF(T174&gt;=1, "Priority 3 (Minor)", "Pass/Fixed"))))</f>
        <v/>
      </c>
      <c r="V174">
        <f>IF(A174="","", IF(T174&gt;0, "FAIL", "PASS"))</f>
        <v/>
      </c>
    </row>
    <row r="175">
      <c r="A175">
        <f>IF('Equipment Information'!A175="","", 'Equipment Information'!A175)</f>
        <v/>
      </c>
      <c r="B175">
        <f>IF('Equipment Information'!B175="","", 'Equipment Information'!B175)</f>
        <v/>
      </c>
      <c r="C175">
        <f>IF('Equipment Information'!C175="","", 'Equipment Information'!C175)</f>
        <v/>
      </c>
      <c r="E175">
        <f>IF(D175="","", IFERROR(VLOOKUP(D175, 'Hidden_Data'!M:N, 2, FALSE), "0"))</f>
        <v/>
      </c>
      <c r="H175">
        <f>IF(G175="","", IFERROR(VLOOKUP(G175, 'Hidden_Data'!M:N, 2, FALSE), "0"))</f>
        <v/>
      </c>
      <c r="K175">
        <f>IF(J175="","", IFERROR(VLOOKUP(J175, 'Hidden_Data'!M:N, 2, FALSE), "0"))</f>
        <v/>
      </c>
      <c r="N175">
        <f>IF(M175="","", IFERROR(VLOOKUP(M175, 'Hidden_Data'!M:N, 2, FALSE), "0"))</f>
        <v/>
      </c>
      <c r="Q175">
        <f>IF(P175="","", IFERROR(VLOOKUP(P175, 'Hidden_Data'!M:N, 2, FALSE), "0"))</f>
        <v/>
      </c>
      <c r="T175">
        <f>IF(A175="","", SUM(IF(F175="Yes", 0, IF(E175="", 0, IFERROR(VALUE(MID(E175, SEARCH("(",E175)+1, 1)),0))), IF(I175="Yes", 0, IF(H175="", 0, IFERROR(VALUE(MID(H175, SEARCH("(",H175)+1, 1)),0))), IF(L175="Yes", 0, IF(K175="", 0, IFERROR(VALUE(MID(K175, SEARCH("(",K175)+1, 1)),0))), IF(O175="Yes", 0, IF(N175="", 0, IFERROR(VALUE(MID(N175, SEARCH("(",N175)+1, 1)),0))), IF(R175="Yes", 0, IF(Q175="", 0, IFERROR(VALUE(MID(Q175, SEARCH("(",Q175)+1, 1)),0)))))</f>
        <v/>
      </c>
      <c r="U175">
        <f>IF(A175="","", IF(T175&gt;=5, "Priority 1 (Critical)", IF(T175&gt;=3, "Priority 2 (Major)", IF(T175&gt;=1, "Priority 3 (Minor)", "Pass/Fixed"))))</f>
        <v/>
      </c>
      <c r="V175">
        <f>IF(A175="","", IF(T175&gt;0, "FAIL", "PASS"))</f>
        <v/>
      </c>
    </row>
    <row r="176">
      <c r="A176">
        <f>IF('Equipment Information'!A176="","", 'Equipment Information'!A176)</f>
        <v/>
      </c>
      <c r="B176">
        <f>IF('Equipment Information'!B176="","", 'Equipment Information'!B176)</f>
        <v/>
      </c>
      <c r="C176">
        <f>IF('Equipment Information'!C176="","", 'Equipment Information'!C176)</f>
        <v/>
      </c>
      <c r="E176">
        <f>IF(D176="","", IFERROR(VLOOKUP(D176, 'Hidden_Data'!M:N, 2, FALSE), "0"))</f>
        <v/>
      </c>
      <c r="H176">
        <f>IF(G176="","", IFERROR(VLOOKUP(G176, 'Hidden_Data'!M:N, 2, FALSE), "0"))</f>
        <v/>
      </c>
      <c r="K176">
        <f>IF(J176="","", IFERROR(VLOOKUP(J176, 'Hidden_Data'!M:N, 2, FALSE), "0"))</f>
        <v/>
      </c>
      <c r="N176">
        <f>IF(M176="","", IFERROR(VLOOKUP(M176, 'Hidden_Data'!M:N, 2, FALSE), "0"))</f>
        <v/>
      </c>
      <c r="Q176">
        <f>IF(P176="","", IFERROR(VLOOKUP(P176, 'Hidden_Data'!M:N, 2, FALSE), "0"))</f>
        <v/>
      </c>
      <c r="T176">
        <f>IF(A176="","", SUM(IF(F176="Yes", 0, IF(E176="", 0, IFERROR(VALUE(MID(E176, SEARCH("(",E176)+1, 1)),0))), IF(I176="Yes", 0, IF(H176="", 0, IFERROR(VALUE(MID(H176, SEARCH("(",H176)+1, 1)),0))), IF(L176="Yes", 0, IF(K176="", 0, IFERROR(VALUE(MID(K176, SEARCH("(",K176)+1, 1)),0))), IF(O176="Yes", 0, IF(N176="", 0, IFERROR(VALUE(MID(N176, SEARCH("(",N176)+1, 1)),0))), IF(R176="Yes", 0, IF(Q176="", 0, IFERROR(VALUE(MID(Q176, SEARCH("(",Q176)+1, 1)),0)))))</f>
        <v/>
      </c>
      <c r="U176">
        <f>IF(A176="","", IF(T176&gt;=5, "Priority 1 (Critical)", IF(T176&gt;=3, "Priority 2 (Major)", IF(T176&gt;=1, "Priority 3 (Minor)", "Pass/Fixed"))))</f>
        <v/>
      </c>
      <c r="V176">
        <f>IF(A176="","", IF(T176&gt;0, "FAIL", "PASS"))</f>
        <v/>
      </c>
    </row>
    <row r="177">
      <c r="A177">
        <f>IF('Equipment Information'!A177="","", 'Equipment Information'!A177)</f>
        <v/>
      </c>
      <c r="B177">
        <f>IF('Equipment Information'!B177="","", 'Equipment Information'!B177)</f>
        <v/>
      </c>
      <c r="C177">
        <f>IF('Equipment Information'!C177="","", 'Equipment Information'!C177)</f>
        <v/>
      </c>
      <c r="E177">
        <f>IF(D177="","", IFERROR(VLOOKUP(D177, 'Hidden_Data'!M:N, 2, FALSE), "0"))</f>
        <v/>
      </c>
      <c r="H177">
        <f>IF(G177="","", IFERROR(VLOOKUP(G177, 'Hidden_Data'!M:N, 2, FALSE), "0"))</f>
        <v/>
      </c>
      <c r="K177">
        <f>IF(J177="","", IFERROR(VLOOKUP(J177, 'Hidden_Data'!M:N, 2, FALSE), "0"))</f>
        <v/>
      </c>
      <c r="N177">
        <f>IF(M177="","", IFERROR(VLOOKUP(M177, 'Hidden_Data'!M:N, 2, FALSE), "0"))</f>
        <v/>
      </c>
      <c r="Q177">
        <f>IF(P177="","", IFERROR(VLOOKUP(P177, 'Hidden_Data'!M:N, 2, FALSE), "0"))</f>
        <v/>
      </c>
      <c r="T177">
        <f>IF(A177="","", SUM(IF(F177="Yes", 0, IF(E177="", 0, IFERROR(VALUE(MID(E177, SEARCH("(",E177)+1, 1)),0))), IF(I177="Yes", 0, IF(H177="", 0, IFERROR(VALUE(MID(H177, SEARCH("(",H177)+1, 1)),0))), IF(L177="Yes", 0, IF(K177="", 0, IFERROR(VALUE(MID(K177, SEARCH("(",K177)+1, 1)),0))), IF(O177="Yes", 0, IF(N177="", 0, IFERROR(VALUE(MID(N177, SEARCH("(",N177)+1, 1)),0))), IF(R177="Yes", 0, IF(Q177="", 0, IFERROR(VALUE(MID(Q177, SEARCH("(",Q177)+1, 1)),0)))))</f>
        <v/>
      </c>
      <c r="U177">
        <f>IF(A177="","", IF(T177&gt;=5, "Priority 1 (Critical)", IF(T177&gt;=3, "Priority 2 (Major)", IF(T177&gt;=1, "Priority 3 (Minor)", "Pass/Fixed"))))</f>
        <v/>
      </c>
      <c r="V177">
        <f>IF(A177="","", IF(T177&gt;0, "FAIL", "PASS"))</f>
        <v/>
      </c>
    </row>
    <row r="178">
      <c r="A178">
        <f>IF('Equipment Information'!A178="","", 'Equipment Information'!A178)</f>
        <v/>
      </c>
      <c r="B178">
        <f>IF('Equipment Information'!B178="","", 'Equipment Information'!B178)</f>
        <v/>
      </c>
      <c r="C178">
        <f>IF('Equipment Information'!C178="","", 'Equipment Information'!C178)</f>
        <v/>
      </c>
      <c r="E178">
        <f>IF(D178="","", IFERROR(VLOOKUP(D178, 'Hidden_Data'!M:N, 2, FALSE), "0"))</f>
        <v/>
      </c>
      <c r="H178">
        <f>IF(G178="","", IFERROR(VLOOKUP(G178, 'Hidden_Data'!M:N, 2, FALSE), "0"))</f>
        <v/>
      </c>
      <c r="K178">
        <f>IF(J178="","", IFERROR(VLOOKUP(J178, 'Hidden_Data'!M:N, 2, FALSE), "0"))</f>
        <v/>
      </c>
      <c r="N178">
        <f>IF(M178="","", IFERROR(VLOOKUP(M178, 'Hidden_Data'!M:N, 2, FALSE), "0"))</f>
        <v/>
      </c>
      <c r="Q178">
        <f>IF(P178="","", IFERROR(VLOOKUP(P178, 'Hidden_Data'!M:N, 2, FALSE), "0"))</f>
        <v/>
      </c>
      <c r="T178">
        <f>IF(A178="","", SUM(IF(F178="Yes", 0, IF(E178="", 0, IFERROR(VALUE(MID(E178, SEARCH("(",E178)+1, 1)),0))), IF(I178="Yes", 0, IF(H178="", 0, IFERROR(VALUE(MID(H178, SEARCH("(",H178)+1, 1)),0))), IF(L178="Yes", 0, IF(K178="", 0, IFERROR(VALUE(MID(K178, SEARCH("(",K178)+1, 1)),0))), IF(O178="Yes", 0, IF(N178="", 0, IFERROR(VALUE(MID(N178, SEARCH("(",N178)+1, 1)),0))), IF(R178="Yes", 0, IF(Q178="", 0, IFERROR(VALUE(MID(Q178, SEARCH("(",Q178)+1, 1)),0)))))</f>
        <v/>
      </c>
      <c r="U178">
        <f>IF(A178="","", IF(T178&gt;=5, "Priority 1 (Critical)", IF(T178&gt;=3, "Priority 2 (Major)", IF(T178&gt;=1, "Priority 3 (Minor)", "Pass/Fixed"))))</f>
        <v/>
      </c>
      <c r="V178">
        <f>IF(A178="","", IF(T178&gt;0, "FAIL", "PASS"))</f>
        <v/>
      </c>
    </row>
    <row r="179">
      <c r="A179">
        <f>IF('Equipment Information'!A179="","", 'Equipment Information'!A179)</f>
        <v/>
      </c>
      <c r="B179">
        <f>IF('Equipment Information'!B179="","", 'Equipment Information'!B179)</f>
        <v/>
      </c>
      <c r="C179">
        <f>IF('Equipment Information'!C179="","", 'Equipment Information'!C179)</f>
        <v/>
      </c>
      <c r="E179">
        <f>IF(D179="","", IFERROR(VLOOKUP(D179, 'Hidden_Data'!M:N, 2, FALSE), "0"))</f>
        <v/>
      </c>
      <c r="H179">
        <f>IF(G179="","", IFERROR(VLOOKUP(G179, 'Hidden_Data'!M:N, 2, FALSE), "0"))</f>
        <v/>
      </c>
      <c r="K179">
        <f>IF(J179="","", IFERROR(VLOOKUP(J179, 'Hidden_Data'!M:N, 2, FALSE), "0"))</f>
        <v/>
      </c>
      <c r="N179">
        <f>IF(M179="","", IFERROR(VLOOKUP(M179, 'Hidden_Data'!M:N, 2, FALSE), "0"))</f>
        <v/>
      </c>
      <c r="Q179">
        <f>IF(P179="","", IFERROR(VLOOKUP(P179, 'Hidden_Data'!M:N, 2, FALSE), "0"))</f>
        <v/>
      </c>
      <c r="T179">
        <f>IF(A179="","", SUM(IF(F179="Yes", 0, IF(E179="", 0, IFERROR(VALUE(MID(E179, SEARCH("(",E179)+1, 1)),0))), IF(I179="Yes", 0, IF(H179="", 0, IFERROR(VALUE(MID(H179, SEARCH("(",H179)+1, 1)),0))), IF(L179="Yes", 0, IF(K179="", 0, IFERROR(VALUE(MID(K179, SEARCH("(",K179)+1, 1)),0))), IF(O179="Yes", 0, IF(N179="", 0, IFERROR(VALUE(MID(N179, SEARCH("(",N179)+1, 1)),0))), IF(R179="Yes", 0, IF(Q179="", 0, IFERROR(VALUE(MID(Q179, SEARCH("(",Q179)+1, 1)),0)))))</f>
        <v/>
      </c>
      <c r="U179">
        <f>IF(A179="","", IF(T179&gt;=5, "Priority 1 (Critical)", IF(T179&gt;=3, "Priority 2 (Major)", IF(T179&gt;=1, "Priority 3 (Minor)", "Pass/Fixed"))))</f>
        <v/>
      </c>
      <c r="V179">
        <f>IF(A179="","", IF(T179&gt;0, "FAIL", "PASS"))</f>
        <v/>
      </c>
    </row>
    <row r="180">
      <c r="A180">
        <f>IF('Equipment Information'!A180="","", 'Equipment Information'!A180)</f>
        <v/>
      </c>
      <c r="B180">
        <f>IF('Equipment Information'!B180="","", 'Equipment Information'!B180)</f>
        <v/>
      </c>
      <c r="C180">
        <f>IF('Equipment Information'!C180="","", 'Equipment Information'!C180)</f>
        <v/>
      </c>
      <c r="E180">
        <f>IF(D180="","", IFERROR(VLOOKUP(D180, 'Hidden_Data'!M:N, 2, FALSE), "0"))</f>
        <v/>
      </c>
      <c r="H180">
        <f>IF(G180="","", IFERROR(VLOOKUP(G180, 'Hidden_Data'!M:N, 2, FALSE), "0"))</f>
        <v/>
      </c>
      <c r="K180">
        <f>IF(J180="","", IFERROR(VLOOKUP(J180, 'Hidden_Data'!M:N, 2, FALSE), "0"))</f>
        <v/>
      </c>
      <c r="N180">
        <f>IF(M180="","", IFERROR(VLOOKUP(M180, 'Hidden_Data'!M:N, 2, FALSE), "0"))</f>
        <v/>
      </c>
      <c r="Q180">
        <f>IF(P180="","", IFERROR(VLOOKUP(P180, 'Hidden_Data'!M:N, 2, FALSE), "0"))</f>
        <v/>
      </c>
      <c r="T180">
        <f>IF(A180="","", SUM(IF(F180="Yes", 0, IF(E180="", 0, IFERROR(VALUE(MID(E180, SEARCH("(",E180)+1, 1)),0))), IF(I180="Yes", 0, IF(H180="", 0, IFERROR(VALUE(MID(H180, SEARCH("(",H180)+1, 1)),0))), IF(L180="Yes", 0, IF(K180="", 0, IFERROR(VALUE(MID(K180, SEARCH("(",K180)+1, 1)),0))), IF(O180="Yes", 0, IF(N180="", 0, IFERROR(VALUE(MID(N180, SEARCH("(",N180)+1, 1)),0))), IF(R180="Yes", 0, IF(Q180="", 0, IFERROR(VALUE(MID(Q180, SEARCH("(",Q180)+1, 1)),0)))))</f>
        <v/>
      </c>
      <c r="U180">
        <f>IF(A180="","", IF(T180&gt;=5, "Priority 1 (Critical)", IF(T180&gt;=3, "Priority 2 (Major)", IF(T180&gt;=1, "Priority 3 (Minor)", "Pass/Fixed"))))</f>
        <v/>
      </c>
      <c r="V180">
        <f>IF(A180="","", IF(T180&gt;0, "FAIL", "PASS"))</f>
        <v/>
      </c>
    </row>
    <row r="181">
      <c r="A181">
        <f>IF('Equipment Information'!A181="","", 'Equipment Information'!A181)</f>
        <v/>
      </c>
      <c r="B181">
        <f>IF('Equipment Information'!B181="","", 'Equipment Information'!B181)</f>
        <v/>
      </c>
      <c r="C181">
        <f>IF('Equipment Information'!C181="","", 'Equipment Information'!C181)</f>
        <v/>
      </c>
      <c r="E181">
        <f>IF(D181="","", IFERROR(VLOOKUP(D181, 'Hidden_Data'!M:N, 2, FALSE), "0"))</f>
        <v/>
      </c>
      <c r="H181">
        <f>IF(G181="","", IFERROR(VLOOKUP(G181, 'Hidden_Data'!M:N, 2, FALSE), "0"))</f>
        <v/>
      </c>
      <c r="K181">
        <f>IF(J181="","", IFERROR(VLOOKUP(J181, 'Hidden_Data'!M:N, 2, FALSE), "0"))</f>
        <v/>
      </c>
      <c r="N181">
        <f>IF(M181="","", IFERROR(VLOOKUP(M181, 'Hidden_Data'!M:N, 2, FALSE), "0"))</f>
        <v/>
      </c>
      <c r="Q181">
        <f>IF(P181="","", IFERROR(VLOOKUP(P181, 'Hidden_Data'!M:N, 2, FALSE), "0"))</f>
        <v/>
      </c>
      <c r="T181">
        <f>IF(A181="","", SUM(IF(F181="Yes", 0, IF(E181="", 0, IFERROR(VALUE(MID(E181, SEARCH("(",E181)+1, 1)),0))), IF(I181="Yes", 0, IF(H181="", 0, IFERROR(VALUE(MID(H181, SEARCH("(",H181)+1, 1)),0))), IF(L181="Yes", 0, IF(K181="", 0, IFERROR(VALUE(MID(K181, SEARCH("(",K181)+1, 1)),0))), IF(O181="Yes", 0, IF(N181="", 0, IFERROR(VALUE(MID(N181, SEARCH("(",N181)+1, 1)),0))), IF(R181="Yes", 0, IF(Q181="", 0, IFERROR(VALUE(MID(Q181, SEARCH("(",Q181)+1, 1)),0)))))</f>
        <v/>
      </c>
      <c r="U181">
        <f>IF(A181="","", IF(T181&gt;=5, "Priority 1 (Critical)", IF(T181&gt;=3, "Priority 2 (Major)", IF(T181&gt;=1, "Priority 3 (Minor)", "Pass/Fixed"))))</f>
        <v/>
      </c>
      <c r="V181">
        <f>IF(A181="","", IF(T181&gt;0, "FAIL", "PASS"))</f>
        <v/>
      </c>
    </row>
    <row r="182">
      <c r="A182">
        <f>IF('Equipment Information'!A182="","", 'Equipment Information'!A182)</f>
        <v/>
      </c>
      <c r="B182">
        <f>IF('Equipment Information'!B182="","", 'Equipment Information'!B182)</f>
        <v/>
      </c>
      <c r="C182">
        <f>IF('Equipment Information'!C182="","", 'Equipment Information'!C182)</f>
        <v/>
      </c>
      <c r="E182">
        <f>IF(D182="","", IFERROR(VLOOKUP(D182, 'Hidden_Data'!M:N, 2, FALSE), "0"))</f>
        <v/>
      </c>
      <c r="H182">
        <f>IF(G182="","", IFERROR(VLOOKUP(G182, 'Hidden_Data'!M:N, 2, FALSE), "0"))</f>
        <v/>
      </c>
      <c r="K182">
        <f>IF(J182="","", IFERROR(VLOOKUP(J182, 'Hidden_Data'!M:N, 2, FALSE), "0"))</f>
        <v/>
      </c>
      <c r="N182">
        <f>IF(M182="","", IFERROR(VLOOKUP(M182, 'Hidden_Data'!M:N, 2, FALSE), "0"))</f>
        <v/>
      </c>
      <c r="Q182">
        <f>IF(P182="","", IFERROR(VLOOKUP(P182, 'Hidden_Data'!M:N, 2, FALSE), "0"))</f>
        <v/>
      </c>
      <c r="T182">
        <f>IF(A182="","", SUM(IF(F182="Yes", 0, IF(E182="", 0, IFERROR(VALUE(MID(E182, SEARCH("(",E182)+1, 1)),0))), IF(I182="Yes", 0, IF(H182="", 0, IFERROR(VALUE(MID(H182, SEARCH("(",H182)+1, 1)),0))), IF(L182="Yes", 0, IF(K182="", 0, IFERROR(VALUE(MID(K182, SEARCH("(",K182)+1, 1)),0))), IF(O182="Yes", 0, IF(N182="", 0, IFERROR(VALUE(MID(N182, SEARCH("(",N182)+1, 1)),0))), IF(R182="Yes", 0, IF(Q182="", 0, IFERROR(VALUE(MID(Q182, SEARCH("(",Q182)+1, 1)),0)))))</f>
        <v/>
      </c>
      <c r="U182">
        <f>IF(A182="","", IF(T182&gt;=5, "Priority 1 (Critical)", IF(T182&gt;=3, "Priority 2 (Major)", IF(T182&gt;=1, "Priority 3 (Minor)", "Pass/Fixed"))))</f>
        <v/>
      </c>
      <c r="V182">
        <f>IF(A182="","", IF(T182&gt;0, "FAIL", "PASS"))</f>
        <v/>
      </c>
    </row>
    <row r="183">
      <c r="A183">
        <f>IF('Equipment Information'!A183="","", 'Equipment Information'!A183)</f>
        <v/>
      </c>
      <c r="B183">
        <f>IF('Equipment Information'!B183="","", 'Equipment Information'!B183)</f>
        <v/>
      </c>
      <c r="C183">
        <f>IF('Equipment Information'!C183="","", 'Equipment Information'!C183)</f>
        <v/>
      </c>
      <c r="E183">
        <f>IF(D183="","", IFERROR(VLOOKUP(D183, 'Hidden_Data'!M:N, 2, FALSE), "0"))</f>
        <v/>
      </c>
      <c r="H183">
        <f>IF(G183="","", IFERROR(VLOOKUP(G183, 'Hidden_Data'!M:N, 2, FALSE), "0"))</f>
        <v/>
      </c>
      <c r="K183">
        <f>IF(J183="","", IFERROR(VLOOKUP(J183, 'Hidden_Data'!M:N, 2, FALSE), "0"))</f>
        <v/>
      </c>
      <c r="N183">
        <f>IF(M183="","", IFERROR(VLOOKUP(M183, 'Hidden_Data'!M:N, 2, FALSE), "0"))</f>
        <v/>
      </c>
      <c r="Q183">
        <f>IF(P183="","", IFERROR(VLOOKUP(P183, 'Hidden_Data'!M:N, 2, FALSE), "0"))</f>
        <v/>
      </c>
      <c r="T183">
        <f>IF(A183="","", SUM(IF(F183="Yes", 0, IF(E183="", 0, IFERROR(VALUE(MID(E183, SEARCH("(",E183)+1, 1)),0))), IF(I183="Yes", 0, IF(H183="", 0, IFERROR(VALUE(MID(H183, SEARCH("(",H183)+1, 1)),0))), IF(L183="Yes", 0, IF(K183="", 0, IFERROR(VALUE(MID(K183, SEARCH("(",K183)+1, 1)),0))), IF(O183="Yes", 0, IF(N183="", 0, IFERROR(VALUE(MID(N183, SEARCH("(",N183)+1, 1)),0))), IF(R183="Yes", 0, IF(Q183="", 0, IFERROR(VALUE(MID(Q183, SEARCH("(",Q183)+1, 1)),0)))))</f>
        <v/>
      </c>
      <c r="U183">
        <f>IF(A183="","", IF(T183&gt;=5, "Priority 1 (Critical)", IF(T183&gt;=3, "Priority 2 (Major)", IF(T183&gt;=1, "Priority 3 (Minor)", "Pass/Fixed"))))</f>
        <v/>
      </c>
      <c r="V183">
        <f>IF(A183="","", IF(T183&gt;0, "FAIL", "PASS"))</f>
        <v/>
      </c>
    </row>
    <row r="184">
      <c r="A184">
        <f>IF('Equipment Information'!A184="","", 'Equipment Information'!A184)</f>
        <v/>
      </c>
      <c r="B184">
        <f>IF('Equipment Information'!B184="","", 'Equipment Information'!B184)</f>
        <v/>
      </c>
      <c r="C184">
        <f>IF('Equipment Information'!C184="","", 'Equipment Information'!C184)</f>
        <v/>
      </c>
      <c r="E184">
        <f>IF(D184="","", IFERROR(VLOOKUP(D184, 'Hidden_Data'!M:N, 2, FALSE), "0"))</f>
        <v/>
      </c>
      <c r="H184">
        <f>IF(G184="","", IFERROR(VLOOKUP(G184, 'Hidden_Data'!M:N, 2, FALSE), "0"))</f>
        <v/>
      </c>
      <c r="K184">
        <f>IF(J184="","", IFERROR(VLOOKUP(J184, 'Hidden_Data'!M:N, 2, FALSE), "0"))</f>
        <v/>
      </c>
      <c r="N184">
        <f>IF(M184="","", IFERROR(VLOOKUP(M184, 'Hidden_Data'!M:N, 2, FALSE), "0"))</f>
        <v/>
      </c>
      <c r="Q184">
        <f>IF(P184="","", IFERROR(VLOOKUP(P184, 'Hidden_Data'!M:N, 2, FALSE), "0"))</f>
        <v/>
      </c>
      <c r="T184">
        <f>IF(A184="","", SUM(IF(F184="Yes", 0, IF(E184="", 0, IFERROR(VALUE(MID(E184, SEARCH("(",E184)+1, 1)),0))), IF(I184="Yes", 0, IF(H184="", 0, IFERROR(VALUE(MID(H184, SEARCH("(",H184)+1, 1)),0))), IF(L184="Yes", 0, IF(K184="", 0, IFERROR(VALUE(MID(K184, SEARCH("(",K184)+1, 1)),0))), IF(O184="Yes", 0, IF(N184="", 0, IFERROR(VALUE(MID(N184, SEARCH("(",N184)+1, 1)),0))), IF(R184="Yes", 0, IF(Q184="", 0, IFERROR(VALUE(MID(Q184, SEARCH("(",Q184)+1, 1)),0)))))</f>
        <v/>
      </c>
      <c r="U184">
        <f>IF(A184="","", IF(T184&gt;=5, "Priority 1 (Critical)", IF(T184&gt;=3, "Priority 2 (Major)", IF(T184&gt;=1, "Priority 3 (Minor)", "Pass/Fixed"))))</f>
        <v/>
      </c>
      <c r="V184">
        <f>IF(A184="","", IF(T184&gt;0, "FAIL", "PASS"))</f>
        <v/>
      </c>
    </row>
    <row r="185">
      <c r="A185">
        <f>IF('Equipment Information'!A185="","", 'Equipment Information'!A185)</f>
        <v/>
      </c>
      <c r="B185">
        <f>IF('Equipment Information'!B185="","", 'Equipment Information'!B185)</f>
        <v/>
      </c>
      <c r="C185">
        <f>IF('Equipment Information'!C185="","", 'Equipment Information'!C185)</f>
        <v/>
      </c>
      <c r="E185">
        <f>IF(D185="","", IFERROR(VLOOKUP(D185, 'Hidden_Data'!M:N, 2, FALSE), "0"))</f>
        <v/>
      </c>
      <c r="H185">
        <f>IF(G185="","", IFERROR(VLOOKUP(G185, 'Hidden_Data'!M:N, 2, FALSE), "0"))</f>
        <v/>
      </c>
      <c r="K185">
        <f>IF(J185="","", IFERROR(VLOOKUP(J185, 'Hidden_Data'!M:N, 2, FALSE), "0"))</f>
        <v/>
      </c>
      <c r="N185">
        <f>IF(M185="","", IFERROR(VLOOKUP(M185, 'Hidden_Data'!M:N, 2, FALSE), "0"))</f>
        <v/>
      </c>
      <c r="Q185">
        <f>IF(P185="","", IFERROR(VLOOKUP(P185, 'Hidden_Data'!M:N, 2, FALSE), "0"))</f>
        <v/>
      </c>
      <c r="T185">
        <f>IF(A185="","", SUM(IF(F185="Yes", 0, IF(E185="", 0, IFERROR(VALUE(MID(E185, SEARCH("(",E185)+1, 1)),0))), IF(I185="Yes", 0, IF(H185="", 0, IFERROR(VALUE(MID(H185, SEARCH("(",H185)+1, 1)),0))), IF(L185="Yes", 0, IF(K185="", 0, IFERROR(VALUE(MID(K185, SEARCH("(",K185)+1, 1)),0))), IF(O185="Yes", 0, IF(N185="", 0, IFERROR(VALUE(MID(N185, SEARCH("(",N185)+1, 1)),0))), IF(R185="Yes", 0, IF(Q185="", 0, IFERROR(VALUE(MID(Q185, SEARCH("(",Q185)+1, 1)),0)))))</f>
        <v/>
      </c>
      <c r="U185">
        <f>IF(A185="","", IF(T185&gt;=5, "Priority 1 (Critical)", IF(T185&gt;=3, "Priority 2 (Major)", IF(T185&gt;=1, "Priority 3 (Minor)", "Pass/Fixed"))))</f>
        <v/>
      </c>
      <c r="V185">
        <f>IF(A185="","", IF(T185&gt;0, "FAIL", "PASS"))</f>
        <v/>
      </c>
    </row>
    <row r="186">
      <c r="A186">
        <f>IF('Equipment Information'!A186="","", 'Equipment Information'!A186)</f>
        <v/>
      </c>
      <c r="B186">
        <f>IF('Equipment Information'!B186="","", 'Equipment Information'!B186)</f>
        <v/>
      </c>
      <c r="C186">
        <f>IF('Equipment Information'!C186="","", 'Equipment Information'!C186)</f>
        <v/>
      </c>
      <c r="E186">
        <f>IF(D186="","", IFERROR(VLOOKUP(D186, 'Hidden_Data'!M:N, 2, FALSE), "0"))</f>
        <v/>
      </c>
      <c r="H186">
        <f>IF(G186="","", IFERROR(VLOOKUP(G186, 'Hidden_Data'!M:N, 2, FALSE), "0"))</f>
        <v/>
      </c>
      <c r="K186">
        <f>IF(J186="","", IFERROR(VLOOKUP(J186, 'Hidden_Data'!M:N, 2, FALSE), "0"))</f>
        <v/>
      </c>
      <c r="N186">
        <f>IF(M186="","", IFERROR(VLOOKUP(M186, 'Hidden_Data'!M:N, 2, FALSE), "0"))</f>
        <v/>
      </c>
      <c r="Q186">
        <f>IF(P186="","", IFERROR(VLOOKUP(P186, 'Hidden_Data'!M:N, 2, FALSE), "0"))</f>
        <v/>
      </c>
      <c r="T186">
        <f>IF(A186="","", SUM(IF(F186="Yes", 0, IF(E186="", 0, IFERROR(VALUE(MID(E186, SEARCH("(",E186)+1, 1)),0))), IF(I186="Yes", 0, IF(H186="", 0, IFERROR(VALUE(MID(H186, SEARCH("(",H186)+1, 1)),0))), IF(L186="Yes", 0, IF(K186="", 0, IFERROR(VALUE(MID(K186, SEARCH("(",K186)+1, 1)),0))), IF(O186="Yes", 0, IF(N186="", 0, IFERROR(VALUE(MID(N186, SEARCH("(",N186)+1, 1)),0))), IF(R186="Yes", 0, IF(Q186="", 0, IFERROR(VALUE(MID(Q186, SEARCH("(",Q186)+1, 1)),0)))))</f>
        <v/>
      </c>
      <c r="U186">
        <f>IF(A186="","", IF(T186&gt;=5, "Priority 1 (Critical)", IF(T186&gt;=3, "Priority 2 (Major)", IF(T186&gt;=1, "Priority 3 (Minor)", "Pass/Fixed"))))</f>
        <v/>
      </c>
      <c r="V186">
        <f>IF(A186="","", IF(T186&gt;0, "FAIL", "PASS"))</f>
        <v/>
      </c>
    </row>
    <row r="187">
      <c r="A187">
        <f>IF('Equipment Information'!A187="","", 'Equipment Information'!A187)</f>
        <v/>
      </c>
      <c r="B187">
        <f>IF('Equipment Information'!B187="","", 'Equipment Information'!B187)</f>
        <v/>
      </c>
      <c r="C187">
        <f>IF('Equipment Information'!C187="","", 'Equipment Information'!C187)</f>
        <v/>
      </c>
      <c r="E187">
        <f>IF(D187="","", IFERROR(VLOOKUP(D187, 'Hidden_Data'!M:N, 2, FALSE), "0"))</f>
        <v/>
      </c>
      <c r="H187">
        <f>IF(G187="","", IFERROR(VLOOKUP(G187, 'Hidden_Data'!M:N, 2, FALSE), "0"))</f>
        <v/>
      </c>
      <c r="K187">
        <f>IF(J187="","", IFERROR(VLOOKUP(J187, 'Hidden_Data'!M:N, 2, FALSE), "0"))</f>
        <v/>
      </c>
      <c r="N187">
        <f>IF(M187="","", IFERROR(VLOOKUP(M187, 'Hidden_Data'!M:N, 2, FALSE), "0"))</f>
        <v/>
      </c>
      <c r="Q187">
        <f>IF(P187="","", IFERROR(VLOOKUP(P187, 'Hidden_Data'!M:N, 2, FALSE), "0"))</f>
        <v/>
      </c>
      <c r="T187">
        <f>IF(A187="","", SUM(IF(F187="Yes", 0, IF(E187="", 0, IFERROR(VALUE(MID(E187, SEARCH("(",E187)+1, 1)),0))), IF(I187="Yes", 0, IF(H187="", 0, IFERROR(VALUE(MID(H187, SEARCH("(",H187)+1, 1)),0))), IF(L187="Yes", 0, IF(K187="", 0, IFERROR(VALUE(MID(K187, SEARCH("(",K187)+1, 1)),0))), IF(O187="Yes", 0, IF(N187="", 0, IFERROR(VALUE(MID(N187, SEARCH("(",N187)+1, 1)),0))), IF(R187="Yes", 0, IF(Q187="", 0, IFERROR(VALUE(MID(Q187, SEARCH("(",Q187)+1, 1)),0)))))</f>
        <v/>
      </c>
      <c r="U187">
        <f>IF(A187="","", IF(T187&gt;=5, "Priority 1 (Critical)", IF(T187&gt;=3, "Priority 2 (Major)", IF(T187&gt;=1, "Priority 3 (Minor)", "Pass/Fixed"))))</f>
        <v/>
      </c>
      <c r="V187">
        <f>IF(A187="","", IF(T187&gt;0, "FAIL", "PASS"))</f>
        <v/>
      </c>
    </row>
    <row r="188">
      <c r="A188">
        <f>IF('Equipment Information'!A188="","", 'Equipment Information'!A188)</f>
        <v/>
      </c>
      <c r="B188">
        <f>IF('Equipment Information'!B188="","", 'Equipment Information'!B188)</f>
        <v/>
      </c>
      <c r="C188">
        <f>IF('Equipment Information'!C188="","", 'Equipment Information'!C188)</f>
        <v/>
      </c>
      <c r="E188">
        <f>IF(D188="","", IFERROR(VLOOKUP(D188, 'Hidden_Data'!M:N, 2, FALSE), "0"))</f>
        <v/>
      </c>
      <c r="H188">
        <f>IF(G188="","", IFERROR(VLOOKUP(G188, 'Hidden_Data'!M:N, 2, FALSE), "0"))</f>
        <v/>
      </c>
      <c r="K188">
        <f>IF(J188="","", IFERROR(VLOOKUP(J188, 'Hidden_Data'!M:N, 2, FALSE), "0"))</f>
        <v/>
      </c>
      <c r="N188">
        <f>IF(M188="","", IFERROR(VLOOKUP(M188, 'Hidden_Data'!M:N, 2, FALSE), "0"))</f>
        <v/>
      </c>
      <c r="Q188">
        <f>IF(P188="","", IFERROR(VLOOKUP(P188, 'Hidden_Data'!M:N, 2, FALSE), "0"))</f>
        <v/>
      </c>
      <c r="T188">
        <f>IF(A188="","", SUM(IF(F188="Yes", 0, IF(E188="", 0, IFERROR(VALUE(MID(E188, SEARCH("(",E188)+1, 1)),0))), IF(I188="Yes", 0, IF(H188="", 0, IFERROR(VALUE(MID(H188, SEARCH("(",H188)+1, 1)),0))), IF(L188="Yes", 0, IF(K188="", 0, IFERROR(VALUE(MID(K188, SEARCH("(",K188)+1, 1)),0))), IF(O188="Yes", 0, IF(N188="", 0, IFERROR(VALUE(MID(N188, SEARCH("(",N188)+1, 1)),0))), IF(R188="Yes", 0, IF(Q188="", 0, IFERROR(VALUE(MID(Q188, SEARCH("(",Q188)+1, 1)),0)))))</f>
        <v/>
      </c>
      <c r="U188">
        <f>IF(A188="","", IF(T188&gt;=5, "Priority 1 (Critical)", IF(T188&gt;=3, "Priority 2 (Major)", IF(T188&gt;=1, "Priority 3 (Minor)", "Pass/Fixed"))))</f>
        <v/>
      </c>
      <c r="V188">
        <f>IF(A188="","", IF(T188&gt;0, "FAIL", "PASS"))</f>
        <v/>
      </c>
    </row>
    <row r="189">
      <c r="A189">
        <f>IF('Equipment Information'!A189="","", 'Equipment Information'!A189)</f>
        <v/>
      </c>
      <c r="B189">
        <f>IF('Equipment Information'!B189="","", 'Equipment Information'!B189)</f>
        <v/>
      </c>
      <c r="C189">
        <f>IF('Equipment Information'!C189="","", 'Equipment Information'!C189)</f>
        <v/>
      </c>
      <c r="E189">
        <f>IF(D189="","", IFERROR(VLOOKUP(D189, 'Hidden_Data'!M:N, 2, FALSE), "0"))</f>
        <v/>
      </c>
      <c r="H189">
        <f>IF(G189="","", IFERROR(VLOOKUP(G189, 'Hidden_Data'!M:N, 2, FALSE), "0"))</f>
        <v/>
      </c>
      <c r="K189">
        <f>IF(J189="","", IFERROR(VLOOKUP(J189, 'Hidden_Data'!M:N, 2, FALSE), "0"))</f>
        <v/>
      </c>
      <c r="N189">
        <f>IF(M189="","", IFERROR(VLOOKUP(M189, 'Hidden_Data'!M:N, 2, FALSE), "0"))</f>
        <v/>
      </c>
      <c r="Q189">
        <f>IF(P189="","", IFERROR(VLOOKUP(P189, 'Hidden_Data'!M:N, 2, FALSE), "0"))</f>
        <v/>
      </c>
      <c r="T189">
        <f>IF(A189="","", SUM(IF(F189="Yes", 0, IF(E189="", 0, IFERROR(VALUE(MID(E189, SEARCH("(",E189)+1, 1)),0))), IF(I189="Yes", 0, IF(H189="", 0, IFERROR(VALUE(MID(H189, SEARCH("(",H189)+1, 1)),0))), IF(L189="Yes", 0, IF(K189="", 0, IFERROR(VALUE(MID(K189, SEARCH("(",K189)+1, 1)),0))), IF(O189="Yes", 0, IF(N189="", 0, IFERROR(VALUE(MID(N189, SEARCH("(",N189)+1, 1)),0))), IF(R189="Yes", 0, IF(Q189="", 0, IFERROR(VALUE(MID(Q189, SEARCH("(",Q189)+1, 1)),0)))))</f>
        <v/>
      </c>
      <c r="U189">
        <f>IF(A189="","", IF(T189&gt;=5, "Priority 1 (Critical)", IF(T189&gt;=3, "Priority 2 (Major)", IF(T189&gt;=1, "Priority 3 (Minor)", "Pass/Fixed"))))</f>
        <v/>
      </c>
      <c r="V189">
        <f>IF(A189="","", IF(T189&gt;0, "FAIL", "PASS"))</f>
        <v/>
      </c>
    </row>
    <row r="190">
      <c r="A190">
        <f>IF('Equipment Information'!A190="","", 'Equipment Information'!A190)</f>
        <v/>
      </c>
      <c r="B190">
        <f>IF('Equipment Information'!B190="","", 'Equipment Information'!B190)</f>
        <v/>
      </c>
      <c r="C190">
        <f>IF('Equipment Information'!C190="","", 'Equipment Information'!C190)</f>
        <v/>
      </c>
      <c r="E190">
        <f>IF(D190="","", IFERROR(VLOOKUP(D190, 'Hidden_Data'!M:N, 2, FALSE), "0"))</f>
        <v/>
      </c>
      <c r="H190">
        <f>IF(G190="","", IFERROR(VLOOKUP(G190, 'Hidden_Data'!M:N, 2, FALSE), "0"))</f>
        <v/>
      </c>
      <c r="K190">
        <f>IF(J190="","", IFERROR(VLOOKUP(J190, 'Hidden_Data'!M:N, 2, FALSE), "0"))</f>
        <v/>
      </c>
      <c r="N190">
        <f>IF(M190="","", IFERROR(VLOOKUP(M190, 'Hidden_Data'!M:N, 2, FALSE), "0"))</f>
        <v/>
      </c>
      <c r="Q190">
        <f>IF(P190="","", IFERROR(VLOOKUP(P190, 'Hidden_Data'!M:N, 2, FALSE), "0"))</f>
        <v/>
      </c>
      <c r="T190">
        <f>IF(A190="","", SUM(IF(F190="Yes", 0, IF(E190="", 0, IFERROR(VALUE(MID(E190, SEARCH("(",E190)+1, 1)),0))), IF(I190="Yes", 0, IF(H190="", 0, IFERROR(VALUE(MID(H190, SEARCH("(",H190)+1, 1)),0))), IF(L190="Yes", 0, IF(K190="", 0, IFERROR(VALUE(MID(K190, SEARCH("(",K190)+1, 1)),0))), IF(O190="Yes", 0, IF(N190="", 0, IFERROR(VALUE(MID(N190, SEARCH("(",N190)+1, 1)),0))), IF(R190="Yes", 0, IF(Q190="", 0, IFERROR(VALUE(MID(Q190, SEARCH("(",Q190)+1, 1)),0)))))</f>
        <v/>
      </c>
      <c r="U190">
        <f>IF(A190="","", IF(T190&gt;=5, "Priority 1 (Critical)", IF(T190&gt;=3, "Priority 2 (Major)", IF(T190&gt;=1, "Priority 3 (Minor)", "Pass/Fixed"))))</f>
        <v/>
      </c>
      <c r="V190">
        <f>IF(A190="","", IF(T190&gt;0, "FAIL", "PASS"))</f>
        <v/>
      </c>
    </row>
    <row r="191">
      <c r="A191">
        <f>IF('Equipment Information'!A191="","", 'Equipment Information'!A191)</f>
        <v/>
      </c>
      <c r="B191">
        <f>IF('Equipment Information'!B191="","", 'Equipment Information'!B191)</f>
        <v/>
      </c>
      <c r="C191">
        <f>IF('Equipment Information'!C191="","", 'Equipment Information'!C191)</f>
        <v/>
      </c>
      <c r="E191">
        <f>IF(D191="","", IFERROR(VLOOKUP(D191, 'Hidden_Data'!M:N, 2, FALSE), "0"))</f>
        <v/>
      </c>
      <c r="H191">
        <f>IF(G191="","", IFERROR(VLOOKUP(G191, 'Hidden_Data'!M:N, 2, FALSE), "0"))</f>
        <v/>
      </c>
      <c r="K191">
        <f>IF(J191="","", IFERROR(VLOOKUP(J191, 'Hidden_Data'!M:N, 2, FALSE), "0"))</f>
        <v/>
      </c>
      <c r="N191">
        <f>IF(M191="","", IFERROR(VLOOKUP(M191, 'Hidden_Data'!M:N, 2, FALSE), "0"))</f>
        <v/>
      </c>
      <c r="Q191">
        <f>IF(P191="","", IFERROR(VLOOKUP(P191, 'Hidden_Data'!M:N, 2, FALSE), "0"))</f>
        <v/>
      </c>
      <c r="T191">
        <f>IF(A191="","", SUM(IF(F191="Yes", 0, IF(E191="", 0, IFERROR(VALUE(MID(E191, SEARCH("(",E191)+1, 1)),0))), IF(I191="Yes", 0, IF(H191="", 0, IFERROR(VALUE(MID(H191, SEARCH("(",H191)+1, 1)),0))), IF(L191="Yes", 0, IF(K191="", 0, IFERROR(VALUE(MID(K191, SEARCH("(",K191)+1, 1)),0))), IF(O191="Yes", 0, IF(N191="", 0, IFERROR(VALUE(MID(N191, SEARCH("(",N191)+1, 1)),0))), IF(R191="Yes", 0, IF(Q191="", 0, IFERROR(VALUE(MID(Q191, SEARCH("(",Q191)+1, 1)),0)))))</f>
        <v/>
      </c>
      <c r="U191">
        <f>IF(A191="","", IF(T191&gt;=5, "Priority 1 (Critical)", IF(T191&gt;=3, "Priority 2 (Major)", IF(T191&gt;=1, "Priority 3 (Minor)", "Pass/Fixed"))))</f>
        <v/>
      </c>
      <c r="V191">
        <f>IF(A191="","", IF(T191&gt;0, "FAIL", "PASS"))</f>
        <v/>
      </c>
    </row>
    <row r="192">
      <c r="A192">
        <f>IF('Equipment Information'!A192="","", 'Equipment Information'!A192)</f>
        <v/>
      </c>
      <c r="B192">
        <f>IF('Equipment Information'!B192="","", 'Equipment Information'!B192)</f>
        <v/>
      </c>
      <c r="C192">
        <f>IF('Equipment Information'!C192="","", 'Equipment Information'!C192)</f>
        <v/>
      </c>
      <c r="E192">
        <f>IF(D192="","", IFERROR(VLOOKUP(D192, 'Hidden_Data'!M:N, 2, FALSE), "0"))</f>
        <v/>
      </c>
      <c r="H192">
        <f>IF(G192="","", IFERROR(VLOOKUP(G192, 'Hidden_Data'!M:N, 2, FALSE), "0"))</f>
        <v/>
      </c>
      <c r="K192">
        <f>IF(J192="","", IFERROR(VLOOKUP(J192, 'Hidden_Data'!M:N, 2, FALSE), "0"))</f>
        <v/>
      </c>
      <c r="N192">
        <f>IF(M192="","", IFERROR(VLOOKUP(M192, 'Hidden_Data'!M:N, 2, FALSE), "0"))</f>
        <v/>
      </c>
      <c r="Q192">
        <f>IF(P192="","", IFERROR(VLOOKUP(P192, 'Hidden_Data'!M:N, 2, FALSE), "0"))</f>
        <v/>
      </c>
      <c r="T192">
        <f>IF(A192="","", SUM(IF(F192="Yes", 0, IF(E192="", 0, IFERROR(VALUE(MID(E192, SEARCH("(",E192)+1, 1)),0))), IF(I192="Yes", 0, IF(H192="", 0, IFERROR(VALUE(MID(H192, SEARCH("(",H192)+1, 1)),0))), IF(L192="Yes", 0, IF(K192="", 0, IFERROR(VALUE(MID(K192, SEARCH("(",K192)+1, 1)),0))), IF(O192="Yes", 0, IF(N192="", 0, IFERROR(VALUE(MID(N192, SEARCH("(",N192)+1, 1)),0))), IF(R192="Yes", 0, IF(Q192="", 0, IFERROR(VALUE(MID(Q192, SEARCH("(",Q192)+1, 1)),0)))))</f>
        <v/>
      </c>
      <c r="U192">
        <f>IF(A192="","", IF(T192&gt;=5, "Priority 1 (Critical)", IF(T192&gt;=3, "Priority 2 (Major)", IF(T192&gt;=1, "Priority 3 (Minor)", "Pass/Fixed"))))</f>
        <v/>
      </c>
      <c r="V192">
        <f>IF(A192="","", IF(T192&gt;0, "FAIL", "PASS"))</f>
        <v/>
      </c>
    </row>
    <row r="193">
      <c r="A193">
        <f>IF('Equipment Information'!A193="","", 'Equipment Information'!A193)</f>
        <v/>
      </c>
      <c r="B193">
        <f>IF('Equipment Information'!B193="","", 'Equipment Information'!B193)</f>
        <v/>
      </c>
      <c r="C193">
        <f>IF('Equipment Information'!C193="","", 'Equipment Information'!C193)</f>
        <v/>
      </c>
      <c r="E193">
        <f>IF(D193="","", IFERROR(VLOOKUP(D193, 'Hidden_Data'!M:N, 2, FALSE), "0"))</f>
        <v/>
      </c>
      <c r="H193">
        <f>IF(G193="","", IFERROR(VLOOKUP(G193, 'Hidden_Data'!M:N, 2, FALSE), "0"))</f>
        <v/>
      </c>
      <c r="K193">
        <f>IF(J193="","", IFERROR(VLOOKUP(J193, 'Hidden_Data'!M:N, 2, FALSE), "0"))</f>
        <v/>
      </c>
      <c r="N193">
        <f>IF(M193="","", IFERROR(VLOOKUP(M193, 'Hidden_Data'!M:N, 2, FALSE), "0"))</f>
        <v/>
      </c>
      <c r="Q193">
        <f>IF(P193="","", IFERROR(VLOOKUP(P193, 'Hidden_Data'!M:N, 2, FALSE), "0"))</f>
        <v/>
      </c>
      <c r="T193">
        <f>IF(A193="","", SUM(IF(F193="Yes", 0, IF(E193="", 0, IFERROR(VALUE(MID(E193, SEARCH("(",E193)+1, 1)),0))), IF(I193="Yes", 0, IF(H193="", 0, IFERROR(VALUE(MID(H193, SEARCH("(",H193)+1, 1)),0))), IF(L193="Yes", 0, IF(K193="", 0, IFERROR(VALUE(MID(K193, SEARCH("(",K193)+1, 1)),0))), IF(O193="Yes", 0, IF(N193="", 0, IFERROR(VALUE(MID(N193, SEARCH("(",N193)+1, 1)),0))), IF(R193="Yes", 0, IF(Q193="", 0, IFERROR(VALUE(MID(Q193, SEARCH("(",Q193)+1, 1)),0)))))</f>
        <v/>
      </c>
      <c r="U193">
        <f>IF(A193="","", IF(T193&gt;=5, "Priority 1 (Critical)", IF(T193&gt;=3, "Priority 2 (Major)", IF(T193&gt;=1, "Priority 3 (Minor)", "Pass/Fixed"))))</f>
        <v/>
      </c>
      <c r="V193">
        <f>IF(A193="","", IF(T193&gt;0, "FAIL", "PASS"))</f>
        <v/>
      </c>
    </row>
    <row r="194">
      <c r="A194">
        <f>IF('Equipment Information'!A194="","", 'Equipment Information'!A194)</f>
        <v/>
      </c>
      <c r="B194">
        <f>IF('Equipment Information'!B194="","", 'Equipment Information'!B194)</f>
        <v/>
      </c>
      <c r="C194">
        <f>IF('Equipment Information'!C194="","", 'Equipment Information'!C194)</f>
        <v/>
      </c>
      <c r="E194">
        <f>IF(D194="","", IFERROR(VLOOKUP(D194, 'Hidden_Data'!M:N, 2, FALSE), "0"))</f>
        <v/>
      </c>
      <c r="H194">
        <f>IF(G194="","", IFERROR(VLOOKUP(G194, 'Hidden_Data'!M:N, 2, FALSE), "0"))</f>
        <v/>
      </c>
      <c r="K194">
        <f>IF(J194="","", IFERROR(VLOOKUP(J194, 'Hidden_Data'!M:N, 2, FALSE), "0"))</f>
        <v/>
      </c>
      <c r="N194">
        <f>IF(M194="","", IFERROR(VLOOKUP(M194, 'Hidden_Data'!M:N, 2, FALSE), "0"))</f>
        <v/>
      </c>
      <c r="Q194">
        <f>IF(P194="","", IFERROR(VLOOKUP(P194, 'Hidden_Data'!M:N, 2, FALSE), "0"))</f>
        <v/>
      </c>
      <c r="T194">
        <f>IF(A194="","", SUM(IF(F194="Yes", 0, IF(E194="", 0, IFERROR(VALUE(MID(E194, SEARCH("(",E194)+1, 1)),0))), IF(I194="Yes", 0, IF(H194="", 0, IFERROR(VALUE(MID(H194, SEARCH("(",H194)+1, 1)),0))), IF(L194="Yes", 0, IF(K194="", 0, IFERROR(VALUE(MID(K194, SEARCH("(",K194)+1, 1)),0))), IF(O194="Yes", 0, IF(N194="", 0, IFERROR(VALUE(MID(N194, SEARCH("(",N194)+1, 1)),0))), IF(R194="Yes", 0, IF(Q194="", 0, IFERROR(VALUE(MID(Q194, SEARCH("(",Q194)+1, 1)),0)))))</f>
        <v/>
      </c>
      <c r="U194">
        <f>IF(A194="","", IF(T194&gt;=5, "Priority 1 (Critical)", IF(T194&gt;=3, "Priority 2 (Major)", IF(T194&gt;=1, "Priority 3 (Minor)", "Pass/Fixed"))))</f>
        <v/>
      </c>
      <c r="V194">
        <f>IF(A194="","", IF(T194&gt;0, "FAIL", "PASS"))</f>
        <v/>
      </c>
    </row>
    <row r="195">
      <c r="A195">
        <f>IF('Equipment Information'!A195="","", 'Equipment Information'!A195)</f>
        <v/>
      </c>
      <c r="B195">
        <f>IF('Equipment Information'!B195="","", 'Equipment Information'!B195)</f>
        <v/>
      </c>
      <c r="C195">
        <f>IF('Equipment Information'!C195="","", 'Equipment Information'!C195)</f>
        <v/>
      </c>
      <c r="E195">
        <f>IF(D195="","", IFERROR(VLOOKUP(D195, 'Hidden_Data'!M:N, 2, FALSE), "0"))</f>
        <v/>
      </c>
      <c r="H195">
        <f>IF(G195="","", IFERROR(VLOOKUP(G195, 'Hidden_Data'!M:N, 2, FALSE), "0"))</f>
        <v/>
      </c>
      <c r="K195">
        <f>IF(J195="","", IFERROR(VLOOKUP(J195, 'Hidden_Data'!M:N, 2, FALSE), "0"))</f>
        <v/>
      </c>
      <c r="N195">
        <f>IF(M195="","", IFERROR(VLOOKUP(M195, 'Hidden_Data'!M:N, 2, FALSE), "0"))</f>
        <v/>
      </c>
      <c r="Q195">
        <f>IF(P195="","", IFERROR(VLOOKUP(P195, 'Hidden_Data'!M:N, 2, FALSE), "0"))</f>
        <v/>
      </c>
      <c r="T195">
        <f>IF(A195="","", SUM(IF(F195="Yes", 0, IF(E195="", 0, IFERROR(VALUE(MID(E195, SEARCH("(",E195)+1, 1)),0))), IF(I195="Yes", 0, IF(H195="", 0, IFERROR(VALUE(MID(H195, SEARCH("(",H195)+1, 1)),0))), IF(L195="Yes", 0, IF(K195="", 0, IFERROR(VALUE(MID(K195, SEARCH("(",K195)+1, 1)),0))), IF(O195="Yes", 0, IF(N195="", 0, IFERROR(VALUE(MID(N195, SEARCH("(",N195)+1, 1)),0))), IF(R195="Yes", 0, IF(Q195="", 0, IFERROR(VALUE(MID(Q195, SEARCH("(",Q195)+1, 1)),0)))))</f>
        <v/>
      </c>
      <c r="U195">
        <f>IF(A195="","", IF(T195&gt;=5, "Priority 1 (Critical)", IF(T195&gt;=3, "Priority 2 (Major)", IF(T195&gt;=1, "Priority 3 (Minor)", "Pass/Fixed"))))</f>
        <v/>
      </c>
      <c r="V195">
        <f>IF(A195="","", IF(T195&gt;0, "FAIL", "PASS"))</f>
        <v/>
      </c>
    </row>
    <row r="196">
      <c r="A196">
        <f>IF('Equipment Information'!A196="","", 'Equipment Information'!A196)</f>
        <v/>
      </c>
      <c r="B196">
        <f>IF('Equipment Information'!B196="","", 'Equipment Information'!B196)</f>
        <v/>
      </c>
      <c r="C196">
        <f>IF('Equipment Information'!C196="","", 'Equipment Information'!C196)</f>
        <v/>
      </c>
      <c r="E196">
        <f>IF(D196="","", IFERROR(VLOOKUP(D196, 'Hidden_Data'!M:N, 2, FALSE), "0"))</f>
        <v/>
      </c>
      <c r="H196">
        <f>IF(G196="","", IFERROR(VLOOKUP(G196, 'Hidden_Data'!M:N, 2, FALSE), "0"))</f>
        <v/>
      </c>
      <c r="K196">
        <f>IF(J196="","", IFERROR(VLOOKUP(J196, 'Hidden_Data'!M:N, 2, FALSE), "0"))</f>
        <v/>
      </c>
      <c r="N196">
        <f>IF(M196="","", IFERROR(VLOOKUP(M196, 'Hidden_Data'!M:N, 2, FALSE), "0"))</f>
        <v/>
      </c>
      <c r="Q196">
        <f>IF(P196="","", IFERROR(VLOOKUP(P196, 'Hidden_Data'!M:N, 2, FALSE), "0"))</f>
        <v/>
      </c>
      <c r="T196">
        <f>IF(A196="","", SUM(IF(F196="Yes", 0, IF(E196="", 0, IFERROR(VALUE(MID(E196, SEARCH("(",E196)+1, 1)),0))), IF(I196="Yes", 0, IF(H196="", 0, IFERROR(VALUE(MID(H196, SEARCH("(",H196)+1, 1)),0))), IF(L196="Yes", 0, IF(K196="", 0, IFERROR(VALUE(MID(K196, SEARCH("(",K196)+1, 1)),0))), IF(O196="Yes", 0, IF(N196="", 0, IFERROR(VALUE(MID(N196, SEARCH("(",N196)+1, 1)),0))), IF(R196="Yes", 0, IF(Q196="", 0, IFERROR(VALUE(MID(Q196, SEARCH("(",Q196)+1, 1)),0)))))</f>
        <v/>
      </c>
      <c r="U196">
        <f>IF(A196="","", IF(T196&gt;=5, "Priority 1 (Critical)", IF(T196&gt;=3, "Priority 2 (Major)", IF(T196&gt;=1, "Priority 3 (Minor)", "Pass/Fixed"))))</f>
        <v/>
      </c>
      <c r="V196">
        <f>IF(A196="","", IF(T196&gt;0, "FAIL", "PASS"))</f>
        <v/>
      </c>
    </row>
    <row r="197">
      <c r="A197">
        <f>IF('Equipment Information'!A197="","", 'Equipment Information'!A197)</f>
        <v/>
      </c>
      <c r="B197">
        <f>IF('Equipment Information'!B197="","", 'Equipment Information'!B197)</f>
        <v/>
      </c>
      <c r="C197">
        <f>IF('Equipment Information'!C197="","", 'Equipment Information'!C197)</f>
        <v/>
      </c>
      <c r="E197">
        <f>IF(D197="","", IFERROR(VLOOKUP(D197, 'Hidden_Data'!M:N, 2, FALSE), "0"))</f>
        <v/>
      </c>
      <c r="H197">
        <f>IF(G197="","", IFERROR(VLOOKUP(G197, 'Hidden_Data'!M:N, 2, FALSE), "0"))</f>
        <v/>
      </c>
      <c r="K197">
        <f>IF(J197="","", IFERROR(VLOOKUP(J197, 'Hidden_Data'!M:N, 2, FALSE), "0"))</f>
        <v/>
      </c>
      <c r="N197">
        <f>IF(M197="","", IFERROR(VLOOKUP(M197, 'Hidden_Data'!M:N, 2, FALSE), "0"))</f>
        <v/>
      </c>
      <c r="Q197">
        <f>IF(P197="","", IFERROR(VLOOKUP(P197, 'Hidden_Data'!M:N, 2, FALSE), "0"))</f>
        <v/>
      </c>
      <c r="T197">
        <f>IF(A197="","", SUM(IF(F197="Yes", 0, IF(E197="", 0, IFERROR(VALUE(MID(E197, SEARCH("(",E197)+1, 1)),0))), IF(I197="Yes", 0, IF(H197="", 0, IFERROR(VALUE(MID(H197, SEARCH("(",H197)+1, 1)),0))), IF(L197="Yes", 0, IF(K197="", 0, IFERROR(VALUE(MID(K197, SEARCH("(",K197)+1, 1)),0))), IF(O197="Yes", 0, IF(N197="", 0, IFERROR(VALUE(MID(N197, SEARCH("(",N197)+1, 1)),0))), IF(R197="Yes", 0, IF(Q197="", 0, IFERROR(VALUE(MID(Q197, SEARCH("(",Q197)+1, 1)),0)))))</f>
        <v/>
      </c>
      <c r="U197">
        <f>IF(A197="","", IF(T197&gt;=5, "Priority 1 (Critical)", IF(T197&gt;=3, "Priority 2 (Major)", IF(T197&gt;=1, "Priority 3 (Minor)", "Pass/Fixed"))))</f>
        <v/>
      </c>
      <c r="V197">
        <f>IF(A197="","", IF(T197&gt;0, "FAIL", "PASS"))</f>
        <v/>
      </c>
    </row>
    <row r="198">
      <c r="A198">
        <f>IF('Equipment Information'!A198="","", 'Equipment Information'!A198)</f>
        <v/>
      </c>
      <c r="B198">
        <f>IF('Equipment Information'!B198="","", 'Equipment Information'!B198)</f>
        <v/>
      </c>
      <c r="C198">
        <f>IF('Equipment Information'!C198="","", 'Equipment Information'!C198)</f>
        <v/>
      </c>
      <c r="E198">
        <f>IF(D198="","", IFERROR(VLOOKUP(D198, 'Hidden_Data'!M:N, 2, FALSE), "0"))</f>
        <v/>
      </c>
      <c r="H198">
        <f>IF(G198="","", IFERROR(VLOOKUP(G198, 'Hidden_Data'!M:N, 2, FALSE), "0"))</f>
        <v/>
      </c>
      <c r="K198">
        <f>IF(J198="","", IFERROR(VLOOKUP(J198, 'Hidden_Data'!M:N, 2, FALSE), "0"))</f>
        <v/>
      </c>
      <c r="N198">
        <f>IF(M198="","", IFERROR(VLOOKUP(M198, 'Hidden_Data'!M:N, 2, FALSE), "0"))</f>
        <v/>
      </c>
      <c r="Q198">
        <f>IF(P198="","", IFERROR(VLOOKUP(P198, 'Hidden_Data'!M:N, 2, FALSE), "0"))</f>
        <v/>
      </c>
      <c r="T198">
        <f>IF(A198="","", SUM(IF(F198="Yes", 0, IF(E198="", 0, IFERROR(VALUE(MID(E198, SEARCH("(",E198)+1, 1)),0))), IF(I198="Yes", 0, IF(H198="", 0, IFERROR(VALUE(MID(H198, SEARCH("(",H198)+1, 1)),0))), IF(L198="Yes", 0, IF(K198="", 0, IFERROR(VALUE(MID(K198, SEARCH("(",K198)+1, 1)),0))), IF(O198="Yes", 0, IF(N198="", 0, IFERROR(VALUE(MID(N198, SEARCH("(",N198)+1, 1)),0))), IF(R198="Yes", 0, IF(Q198="", 0, IFERROR(VALUE(MID(Q198, SEARCH("(",Q198)+1, 1)),0)))))</f>
        <v/>
      </c>
      <c r="U198">
        <f>IF(A198="","", IF(T198&gt;=5, "Priority 1 (Critical)", IF(T198&gt;=3, "Priority 2 (Major)", IF(T198&gt;=1, "Priority 3 (Minor)", "Pass/Fixed"))))</f>
        <v/>
      </c>
      <c r="V198">
        <f>IF(A198="","", IF(T198&gt;0, "FAIL", "PASS"))</f>
        <v/>
      </c>
    </row>
    <row r="199">
      <c r="A199">
        <f>IF('Equipment Information'!A199="","", 'Equipment Information'!A199)</f>
        <v/>
      </c>
      <c r="B199">
        <f>IF('Equipment Information'!B199="","", 'Equipment Information'!B199)</f>
        <v/>
      </c>
      <c r="C199">
        <f>IF('Equipment Information'!C199="","", 'Equipment Information'!C199)</f>
        <v/>
      </c>
      <c r="E199">
        <f>IF(D199="","", IFERROR(VLOOKUP(D199, 'Hidden_Data'!M:N, 2, FALSE), "0"))</f>
        <v/>
      </c>
      <c r="H199">
        <f>IF(G199="","", IFERROR(VLOOKUP(G199, 'Hidden_Data'!M:N, 2, FALSE), "0"))</f>
        <v/>
      </c>
      <c r="K199">
        <f>IF(J199="","", IFERROR(VLOOKUP(J199, 'Hidden_Data'!M:N, 2, FALSE), "0"))</f>
        <v/>
      </c>
      <c r="N199">
        <f>IF(M199="","", IFERROR(VLOOKUP(M199, 'Hidden_Data'!M:N, 2, FALSE), "0"))</f>
        <v/>
      </c>
      <c r="Q199">
        <f>IF(P199="","", IFERROR(VLOOKUP(P199, 'Hidden_Data'!M:N, 2, FALSE), "0"))</f>
        <v/>
      </c>
      <c r="T199">
        <f>IF(A199="","", SUM(IF(F199="Yes", 0, IF(E199="", 0, IFERROR(VALUE(MID(E199, SEARCH("(",E199)+1, 1)),0))), IF(I199="Yes", 0, IF(H199="", 0, IFERROR(VALUE(MID(H199, SEARCH("(",H199)+1, 1)),0))), IF(L199="Yes", 0, IF(K199="", 0, IFERROR(VALUE(MID(K199, SEARCH("(",K199)+1, 1)),0))), IF(O199="Yes", 0, IF(N199="", 0, IFERROR(VALUE(MID(N199, SEARCH("(",N199)+1, 1)),0))), IF(R199="Yes", 0, IF(Q199="", 0, IFERROR(VALUE(MID(Q199, SEARCH("(",Q199)+1, 1)),0)))))</f>
        <v/>
      </c>
      <c r="U199">
        <f>IF(A199="","", IF(T199&gt;=5, "Priority 1 (Critical)", IF(T199&gt;=3, "Priority 2 (Major)", IF(T199&gt;=1, "Priority 3 (Minor)", "Pass/Fixed"))))</f>
        <v/>
      </c>
      <c r="V199">
        <f>IF(A199="","", IF(T199&gt;0, "FAIL", "PASS"))</f>
        <v/>
      </c>
    </row>
    <row r="200">
      <c r="A200">
        <f>IF('Equipment Information'!A200="","", 'Equipment Information'!A200)</f>
        <v/>
      </c>
      <c r="B200">
        <f>IF('Equipment Information'!B200="","", 'Equipment Information'!B200)</f>
        <v/>
      </c>
      <c r="C200">
        <f>IF('Equipment Information'!C200="","", 'Equipment Information'!C200)</f>
        <v/>
      </c>
      <c r="E200">
        <f>IF(D200="","", IFERROR(VLOOKUP(D200, 'Hidden_Data'!M:N, 2, FALSE), "0"))</f>
        <v/>
      </c>
      <c r="H200">
        <f>IF(G200="","", IFERROR(VLOOKUP(G200, 'Hidden_Data'!M:N, 2, FALSE), "0"))</f>
        <v/>
      </c>
      <c r="K200">
        <f>IF(J200="","", IFERROR(VLOOKUP(J200, 'Hidden_Data'!M:N, 2, FALSE), "0"))</f>
        <v/>
      </c>
      <c r="N200">
        <f>IF(M200="","", IFERROR(VLOOKUP(M200, 'Hidden_Data'!M:N, 2, FALSE), "0"))</f>
        <v/>
      </c>
      <c r="Q200">
        <f>IF(P200="","", IFERROR(VLOOKUP(P200, 'Hidden_Data'!M:N, 2, FALSE), "0"))</f>
        <v/>
      </c>
      <c r="T200">
        <f>IF(A200="","", SUM(IF(F200="Yes", 0, IF(E200="", 0, IFERROR(VALUE(MID(E200, SEARCH("(",E200)+1, 1)),0))), IF(I200="Yes", 0, IF(H200="", 0, IFERROR(VALUE(MID(H200, SEARCH("(",H200)+1, 1)),0))), IF(L200="Yes", 0, IF(K200="", 0, IFERROR(VALUE(MID(K200, SEARCH("(",K200)+1, 1)),0))), IF(O200="Yes", 0, IF(N200="", 0, IFERROR(VALUE(MID(N200, SEARCH("(",N200)+1, 1)),0))), IF(R200="Yes", 0, IF(Q200="", 0, IFERROR(VALUE(MID(Q200, SEARCH("(",Q200)+1, 1)),0)))))</f>
        <v/>
      </c>
      <c r="U200">
        <f>IF(A200="","", IF(T200&gt;=5, "Priority 1 (Critical)", IF(T200&gt;=3, "Priority 2 (Major)", IF(T200&gt;=1, "Priority 3 (Minor)", "Pass/Fixed"))))</f>
        <v/>
      </c>
      <c r="V200">
        <f>IF(A200="","", IF(T200&gt;0, "FAIL", "PASS"))</f>
        <v/>
      </c>
    </row>
    <row r="201">
      <c r="A201">
        <f>IF('Equipment Information'!A201="","", 'Equipment Information'!A201)</f>
        <v/>
      </c>
      <c r="B201">
        <f>IF('Equipment Information'!B201="","", 'Equipment Information'!B201)</f>
        <v/>
      </c>
      <c r="C201">
        <f>IF('Equipment Information'!C201="","", 'Equipment Information'!C201)</f>
        <v/>
      </c>
      <c r="E201">
        <f>IF(D201="","", IFERROR(VLOOKUP(D201, 'Hidden_Data'!M:N, 2, FALSE), "0"))</f>
        <v/>
      </c>
      <c r="H201">
        <f>IF(G201="","", IFERROR(VLOOKUP(G201, 'Hidden_Data'!M:N, 2, FALSE), "0"))</f>
        <v/>
      </c>
      <c r="K201">
        <f>IF(J201="","", IFERROR(VLOOKUP(J201, 'Hidden_Data'!M:N, 2, FALSE), "0"))</f>
        <v/>
      </c>
      <c r="N201">
        <f>IF(M201="","", IFERROR(VLOOKUP(M201, 'Hidden_Data'!M:N, 2, FALSE), "0"))</f>
        <v/>
      </c>
      <c r="Q201">
        <f>IF(P201="","", IFERROR(VLOOKUP(P201, 'Hidden_Data'!M:N, 2, FALSE), "0"))</f>
        <v/>
      </c>
      <c r="T201">
        <f>IF(A201="","", SUM(IF(F201="Yes", 0, IF(E201="", 0, IFERROR(VALUE(MID(E201, SEARCH("(",E201)+1, 1)),0))), IF(I201="Yes", 0, IF(H201="", 0, IFERROR(VALUE(MID(H201, SEARCH("(",H201)+1, 1)),0))), IF(L201="Yes", 0, IF(K201="", 0, IFERROR(VALUE(MID(K201, SEARCH("(",K201)+1, 1)),0))), IF(O201="Yes", 0, IF(N201="", 0, IFERROR(VALUE(MID(N201, SEARCH("(",N201)+1, 1)),0))), IF(R201="Yes", 0, IF(Q201="", 0, IFERROR(VALUE(MID(Q201, SEARCH("(",Q201)+1, 1)),0)))))</f>
        <v/>
      </c>
      <c r="U201">
        <f>IF(A201="","", IF(T201&gt;=5, "Priority 1 (Critical)", IF(T201&gt;=3, "Priority 2 (Major)", IF(T201&gt;=1, "Priority 3 (Minor)", "Pass/Fixed"))))</f>
        <v/>
      </c>
      <c r="V201">
        <f>IF(A201="","", IF(T201&gt;0, "FAIL", "PASS"))</f>
        <v/>
      </c>
    </row>
    <row r="202">
      <c r="A202">
        <f>IF('Equipment Information'!A202="","", 'Equipment Information'!A202)</f>
        <v/>
      </c>
      <c r="B202">
        <f>IF('Equipment Information'!B202="","", 'Equipment Information'!B202)</f>
        <v/>
      </c>
      <c r="C202">
        <f>IF('Equipment Information'!C202="","", 'Equipment Information'!C202)</f>
        <v/>
      </c>
      <c r="E202">
        <f>IF(D202="","", IFERROR(VLOOKUP(D202, 'Hidden_Data'!M:N, 2, FALSE), "0"))</f>
        <v/>
      </c>
      <c r="H202">
        <f>IF(G202="","", IFERROR(VLOOKUP(G202, 'Hidden_Data'!M:N, 2, FALSE), "0"))</f>
        <v/>
      </c>
      <c r="K202">
        <f>IF(J202="","", IFERROR(VLOOKUP(J202, 'Hidden_Data'!M:N, 2, FALSE), "0"))</f>
        <v/>
      </c>
      <c r="N202">
        <f>IF(M202="","", IFERROR(VLOOKUP(M202, 'Hidden_Data'!M:N, 2, FALSE), "0"))</f>
        <v/>
      </c>
      <c r="Q202">
        <f>IF(P202="","", IFERROR(VLOOKUP(P202, 'Hidden_Data'!M:N, 2, FALSE), "0"))</f>
        <v/>
      </c>
      <c r="T202">
        <f>IF(A202="","", SUM(IF(F202="Yes", 0, IF(E202="", 0, IFERROR(VALUE(MID(E202, SEARCH("(",E202)+1, 1)),0))), IF(I202="Yes", 0, IF(H202="", 0, IFERROR(VALUE(MID(H202, SEARCH("(",H202)+1, 1)),0))), IF(L202="Yes", 0, IF(K202="", 0, IFERROR(VALUE(MID(K202, SEARCH("(",K202)+1, 1)),0))), IF(O202="Yes", 0, IF(N202="", 0, IFERROR(VALUE(MID(N202, SEARCH("(",N202)+1, 1)),0))), IF(R202="Yes", 0, IF(Q202="", 0, IFERROR(VALUE(MID(Q202, SEARCH("(",Q202)+1, 1)),0)))))</f>
        <v/>
      </c>
      <c r="U202">
        <f>IF(A202="","", IF(T202&gt;=5, "Priority 1 (Critical)", IF(T202&gt;=3, "Priority 2 (Major)", IF(T202&gt;=1, "Priority 3 (Minor)", "Pass/Fixed"))))</f>
        <v/>
      </c>
      <c r="V202">
        <f>IF(A202="","", IF(T202&gt;0, "FAIL", "PASS"))</f>
        <v/>
      </c>
    </row>
    <row r="203">
      <c r="A203">
        <f>IF('Equipment Information'!A203="","", 'Equipment Information'!A203)</f>
        <v/>
      </c>
      <c r="B203">
        <f>IF('Equipment Information'!B203="","", 'Equipment Information'!B203)</f>
        <v/>
      </c>
      <c r="C203">
        <f>IF('Equipment Information'!C203="","", 'Equipment Information'!C203)</f>
        <v/>
      </c>
      <c r="E203">
        <f>IF(D203="","", IFERROR(VLOOKUP(D203, 'Hidden_Data'!M:N, 2, FALSE), "0"))</f>
        <v/>
      </c>
      <c r="H203">
        <f>IF(G203="","", IFERROR(VLOOKUP(G203, 'Hidden_Data'!M:N, 2, FALSE), "0"))</f>
        <v/>
      </c>
      <c r="K203">
        <f>IF(J203="","", IFERROR(VLOOKUP(J203, 'Hidden_Data'!M:N, 2, FALSE), "0"))</f>
        <v/>
      </c>
      <c r="N203">
        <f>IF(M203="","", IFERROR(VLOOKUP(M203, 'Hidden_Data'!M:N, 2, FALSE), "0"))</f>
        <v/>
      </c>
      <c r="Q203">
        <f>IF(P203="","", IFERROR(VLOOKUP(P203, 'Hidden_Data'!M:N, 2, FALSE), "0"))</f>
        <v/>
      </c>
      <c r="T203">
        <f>IF(A203="","", SUM(IF(F203="Yes", 0, IF(E203="", 0, IFERROR(VALUE(MID(E203, SEARCH("(",E203)+1, 1)),0))), IF(I203="Yes", 0, IF(H203="", 0, IFERROR(VALUE(MID(H203, SEARCH("(",H203)+1, 1)),0))), IF(L203="Yes", 0, IF(K203="", 0, IFERROR(VALUE(MID(K203, SEARCH("(",K203)+1, 1)),0))), IF(O203="Yes", 0, IF(N203="", 0, IFERROR(VALUE(MID(N203, SEARCH("(",N203)+1, 1)),0))), IF(R203="Yes", 0, IF(Q203="", 0, IFERROR(VALUE(MID(Q203, SEARCH("(",Q203)+1, 1)),0)))))</f>
        <v/>
      </c>
      <c r="U203">
        <f>IF(A203="","", IF(T203&gt;=5, "Priority 1 (Critical)", IF(T203&gt;=3, "Priority 2 (Major)", IF(T203&gt;=1, "Priority 3 (Minor)", "Pass/Fixed"))))</f>
        <v/>
      </c>
      <c r="V203">
        <f>IF(A203="","", IF(T203&gt;0, "FAIL", "PASS"))</f>
        <v/>
      </c>
    </row>
    <row r="204">
      <c r="A204">
        <f>IF('Equipment Information'!A204="","", 'Equipment Information'!A204)</f>
        <v/>
      </c>
      <c r="B204">
        <f>IF('Equipment Information'!B204="","", 'Equipment Information'!B204)</f>
        <v/>
      </c>
      <c r="C204">
        <f>IF('Equipment Information'!C204="","", 'Equipment Information'!C204)</f>
        <v/>
      </c>
      <c r="E204">
        <f>IF(D204="","", IFERROR(VLOOKUP(D204, 'Hidden_Data'!M:N, 2, FALSE), "0"))</f>
        <v/>
      </c>
      <c r="H204">
        <f>IF(G204="","", IFERROR(VLOOKUP(G204, 'Hidden_Data'!M:N, 2, FALSE), "0"))</f>
        <v/>
      </c>
      <c r="K204">
        <f>IF(J204="","", IFERROR(VLOOKUP(J204, 'Hidden_Data'!M:N, 2, FALSE), "0"))</f>
        <v/>
      </c>
      <c r="N204">
        <f>IF(M204="","", IFERROR(VLOOKUP(M204, 'Hidden_Data'!M:N, 2, FALSE), "0"))</f>
        <v/>
      </c>
      <c r="Q204">
        <f>IF(P204="","", IFERROR(VLOOKUP(P204, 'Hidden_Data'!M:N, 2, FALSE), "0"))</f>
        <v/>
      </c>
      <c r="T204">
        <f>IF(A204="","", SUM(IF(F204="Yes", 0, IF(E204="", 0, IFERROR(VALUE(MID(E204, SEARCH("(",E204)+1, 1)),0))), IF(I204="Yes", 0, IF(H204="", 0, IFERROR(VALUE(MID(H204, SEARCH("(",H204)+1, 1)),0))), IF(L204="Yes", 0, IF(K204="", 0, IFERROR(VALUE(MID(K204, SEARCH("(",K204)+1, 1)),0))), IF(O204="Yes", 0, IF(N204="", 0, IFERROR(VALUE(MID(N204, SEARCH("(",N204)+1, 1)),0))), IF(R204="Yes", 0, IF(Q204="", 0, IFERROR(VALUE(MID(Q204, SEARCH("(",Q204)+1, 1)),0)))))</f>
        <v/>
      </c>
      <c r="U204">
        <f>IF(A204="","", IF(T204&gt;=5, "Priority 1 (Critical)", IF(T204&gt;=3, "Priority 2 (Major)", IF(T204&gt;=1, "Priority 3 (Minor)", "Pass/Fixed"))))</f>
        <v/>
      </c>
      <c r="V204">
        <f>IF(A204="","", IF(T204&gt;0, "FAIL", "PASS"))</f>
        <v/>
      </c>
    </row>
    <row r="205">
      <c r="A205">
        <f>IF('Equipment Information'!A205="","", 'Equipment Information'!A205)</f>
        <v/>
      </c>
      <c r="B205">
        <f>IF('Equipment Information'!B205="","", 'Equipment Information'!B205)</f>
        <v/>
      </c>
      <c r="C205">
        <f>IF('Equipment Information'!C205="","", 'Equipment Information'!C205)</f>
        <v/>
      </c>
      <c r="E205">
        <f>IF(D205="","", IFERROR(VLOOKUP(D205, 'Hidden_Data'!M:N, 2, FALSE), "0"))</f>
        <v/>
      </c>
      <c r="H205">
        <f>IF(G205="","", IFERROR(VLOOKUP(G205, 'Hidden_Data'!M:N, 2, FALSE), "0"))</f>
        <v/>
      </c>
      <c r="K205">
        <f>IF(J205="","", IFERROR(VLOOKUP(J205, 'Hidden_Data'!M:N, 2, FALSE), "0"))</f>
        <v/>
      </c>
      <c r="N205">
        <f>IF(M205="","", IFERROR(VLOOKUP(M205, 'Hidden_Data'!M:N, 2, FALSE), "0"))</f>
        <v/>
      </c>
      <c r="Q205">
        <f>IF(P205="","", IFERROR(VLOOKUP(P205, 'Hidden_Data'!M:N, 2, FALSE), "0"))</f>
        <v/>
      </c>
      <c r="T205">
        <f>IF(A205="","", SUM(IF(F205="Yes", 0, IF(E205="", 0, IFERROR(VALUE(MID(E205, SEARCH("(",E205)+1, 1)),0))), IF(I205="Yes", 0, IF(H205="", 0, IFERROR(VALUE(MID(H205, SEARCH("(",H205)+1, 1)),0))), IF(L205="Yes", 0, IF(K205="", 0, IFERROR(VALUE(MID(K205, SEARCH("(",K205)+1, 1)),0))), IF(O205="Yes", 0, IF(N205="", 0, IFERROR(VALUE(MID(N205, SEARCH("(",N205)+1, 1)),0))), IF(R205="Yes", 0, IF(Q205="", 0, IFERROR(VALUE(MID(Q205, SEARCH("(",Q205)+1, 1)),0)))))</f>
        <v/>
      </c>
      <c r="U205">
        <f>IF(A205="","", IF(T205&gt;=5, "Priority 1 (Critical)", IF(T205&gt;=3, "Priority 2 (Major)", IF(T205&gt;=1, "Priority 3 (Minor)", "Pass/Fixed"))))</f>
        <v/>
      </c>
      <c r="V205">
        <f>IF(A205="","", IF(T205&gt;0, "FAIL", "PASS"))</f>
        <v/>
      </c>
    </row>
    <row r="206">
      <c r="A206">
        <f>IF('Equipment Information'!A206="","", 'Equipment Information'!A206)</f>
        <v/>
      </c>
      <c r="B206">
        <f>IF('Equipment Information'!B206="","", 'Equipment Information'!B206)</f>
        <v/>
      </c>
      <c r="C206">
        <f>IF('Equipment Information'!C206="","", 'Equipment Information'!C206)</f>
        <v/>
      </c>
      <c r="E206">
        <f>IF(D206="","", IFERROR(VLOOKUP(D206, 'Hidden_Data'!M:N, 2, FALSE), "0"))</f>
        <v/>
      </c>
      <c r="H206">
        <f>IF(G206="","", IFERROR(VLOOKUP(G206, 'Hidden_Data'!M:N, 2, FALSE), "0"))</f>
        <v/>
      </c>
      <c r="K206">
        <f>IF(J206="","", IFERROR(VLOOKUP(J206, 'Hidden_Data'!M:N, 2, FALSE), "0"))</f>
        <v/>
      </c>
      <c r="N206">
        <f>IF(M206="","", IFERROR(VLOOKUP(M206, 'Hidden_Data'!M:N, 2, FALSE), "0"))</f>
        <v/>
      </c>
      <c r="Q206">
        <f>IF(P206="","", IFERROR(VLOOKUP(P206, 'Hidden_Data'!M:N, 2, FALSE), "0"))</f>
        <v/>
      </c>
      <c r="T206">
        <f>IF(A206="","", SUM(IF(F206="Yes", 0, IF(E206="", 0, IFERROR(VALUE(MID(E206, SEARCH("(",E206)+1, 1)),0))), IF(I206="Yes", 0, IF(H206="", 0, IFERROR(VALUE(MID(H206, SEARCH("(",H206)+1, 1)),0))), IF(L206="Yes", 0, IF(K206="", 0, IFERROR(VALUE(MID(K206, SEARCH("(",K206)+1, 1)),0))), IF(O206="Yes", 0, IF(N206="", 0, IFERROR(VALUE(MID(N206, SEARCH("(",N206)+1, 1)),0))), IF(R206="Yes", 0, IF(Q206="", 0, IFERROR(VALUE(MID(Q206, SEARCH("(",Q206)+1, 1)),0)))))</f>
        <v/>
      </c>
      <c r="U206">
        <f>IF(A206="","", IF(T206&gt;=5, "Priority 1 (Critical)", IF(T206&gt;=3, "Priority 2 (Major)", IF(T206&gt;=1, "Priority 3 (Minor)", "Pass/Fixed"))))</f>
        <v/>
      </c>
      <c r="V206">
        <f>IF(A206="","", IF(T206&gt;0, "FAIL", "PASS"))</f>
        <v/>
      </c>
    </row>
    <row r="207">
      <c r="A207">
        <f>IF('Equipment Information'!A207="","", 'Equipment Information'!A207)</f>
        <v/>
      </c>
      <c r="B207">
        <f>IF('Equipment Information'!B207="","", 'Equipment Information'!B207)</f>
        <v/>
      </c>
      <c r="C207">
        <f>IF('Equipment Information'!C207="","", 'Equipment Information'!C207)</f>
        <v/>
      </c>
      <c r="E207">
        <f>IF(D207="","", IFERROR(VLOOKUP(D207, 'Hidden_Data'!M:N, 2, FALSE), "0"))</f>
        <v/>
      </c>
      <c r="H207">
        <f>IF(G207="","", IFERROR(VLOOKUP(G207, 'Hidden_Data'!M:N, 2, FALSE), "0"))</f>
        <v/>
      </c>
      <c r="K207">
        <f>IF(J207="","", IFERROR(VLOOKUP(J207, 'Hidden_Data'!M:N, 2, FALSE), "0"))</f>
        <v/>
      </c>
      <c r="N207">
        <f>IF(M207="","", IFERROR(VLOOKUP(M207, 'Hidden_Data'!M:N, 2, FALSE), "0"))</f>
        <v/>
      </c>
      <c r="Q207">
        <f>IF(P207="","", IFERROR(VLOOKUP(P207, 'Hidden_Data'!M:N, 2, FALSE), "0"))</f>
        <v/>
      </c>
      <c r="T207">
        <f>IF(A207="","", SUM(IF(F207="Yes", 0, IF(E207="", 0, IFERROR(VALUE(MID(E207, SEARCH("(",E207)+1, 1)),0))), IF(I207="Yes", 0, IF(H207="", 0, IFERROR(VALUE(MID(H207, SEARCH("(",H207)+1, 1)),0))), IF(L207="Yes", 0, IF(K207="", 0, IFERROR(VALUE(MID(K207, SEARCH("(",K207)+1, 1)),0))), IF(O207="Yes", 0, IF(N207="", 0, IFERROR(VALUE(MID(N207, SEARCH("(",N207)+1, 1)),0))), IF(R207="Yes", 0, IF(Q207="", 0, IFERROR(VALUE(MID(Q207, SEARCH("(",Q207)+1, 1)),0)))))</f>
        <v/>
      </c>
      <c r="U207">
        <f>IF(A207="","", IF(T207&gt;=5, "Priority 1 (Critical)", IF(T207&gt;=3, "Priority 2 (Major)", IF(T207&gt;=1, "Priority 3 (Minor)", "Pass/Fixed"))))</f>
        <v/>
      </c>
      <c r="V207">
        <f>IF(A207="","", IF(T207&gt;0, "FAIL", "PASS"))</f>
        <v/>
      </c>
    </row>
    <row r="208">
      <c r="A208">
        <f>IF('Equipment Information'!A208="","", 'Equipment Information'!A208)</f>
        <v/>
      </c>
      <c r="B208">
        <f>IF('Equipment Information'!B208="","", 'Equipment Information'!B208)</f>
        <v/>
      </c>
      <c r="C208">
        <f>IF('Equipment Information'!C208="","", 'Equipment Information'!C208)</f>
        <v/>
      </c>
      <c r="E208">
        <f>IF(D208="","", IFERROR(VLOOKUP(D208, 'Hidden_Data'!M:N, 2, FALSE), "0"))</f>
        <v/>
      </c>
      <c r="H208">
        <f>IF(G208="","", IFERROR(VLOOKUP(G208, 'Hidden_Data'!M:N, 2, FALSE), "0"))</f>
        <v/>
      </c>
      <c r="K208">
        <f>IF(J208="","", IFERROR(VLOOKUP(J208, 'Hidden_Data'!M:N, 2, FALSE), "0"))</f>
        <v/>
      </c>
      <c r="N208">
        <f>IF(M208="","", IFERROR(VLOOKUP(M208, 'Hidden_Data'!M:N, 2, FALSE), "0"))</f>
        <v/>
      </c>
      <c r="Q208">
        <f>IF(P208="","", IFERROR(VLOOKUP(P208, 'Hidden_Data'!M:N, 2, FALSE), "0"))</f>
        <v/>
      </c>
      <c r="T208">
        <f>IF(A208="","", SUM(IF(F208="Yes", 0, IF(E208="", 0, IFERROR(VALUE(MID(E208, SEARCH("(",E208)+1, 1)),0))), IF(I208="Yes", 0, IF(H208="", 0, IFERROR(VALUE(MID(H208, SEARCH("(",H208)+1, 1)),0))), IF(L208="Yes", 0, IF(K208="", 0, IFERROR(VALUE(MID(K208, SEARCH("(",K208)+1, 1)),0))), IF(O208="Yes", 0, IF(N208="", 0, IFERROR(VALUE(MID(N208, SEARCH("(",N208)+1, 1)),0))), IF(R208="Yes", 0, IF(Q208="", 0, IFERROR(VALUE(MID(Q208, SEARCH("(",Q208)+1, 1)),0)))))</f>
        <v/>
      </c>
      <c r="U208">
        <f>IF(A208="","", IF(T208&gt;=5, "Priority 1 (Critical)", IF(T208&gt;=3, "Priority 2 (Major)", IF(T208&gt;=1, "Priority 3 (Minor)", "Pass/Fixed"))))</f>
        <v/>
      </c>
      <c r="V208">
        <f>IF(A208="","", IF(T208&gt;0, "FAIL", "PASS"))</f>
        <v/>
      </c>
    </row>
    <row r="209">
      <c r="A209">
        <f>IF('Equipment Information'!A209="","", 'Equipment Information'!A209)</f>
        <v/>
      </c>
      <c r="B209">
        <f>IF('Equipment Information'!B209="","", 'Equipment Information'!B209)</f>
        <v/>
      </c>
      <c r="C209">
        <f>IF('Equipment Information'!C209="","", 'Equipment Information'!C209)</f>
        <v/>
      </c>
      <c r="E209">
        <f>IF(D209="","", IFERROR(VLOOKUP(D209, 'Hidden_Data'!M:N, 2, FALSE), "0"))</f>
        <v/>
      </c>
      <c r="H209">
        <f>IF(G209="","", IFERROR(VLOOKUP(G209, 'Hidden_Data'!M:N, 2, FALSE), "0"))</f>
        <v/>
      </c>
      <c r="K209">
        <f>IF(J209="","", IFERROR(VLOOKUP(J209, 'Hidden_Data'!M:N, 2, FALSE), "0"))</f>
        <v/>
      </c>
      <c r="N209">
        <f>IF(M209="","", IFERROR(VLOOKUP(M209, 'Hidden_Data'!M:N, 2, FALSE), "0"))</f>
        <v/>
      </c>
      <c r="Q209">
        <f>IF(P209="","", IFERROR(VLOOKUP(P209, 'Hidden_Data'!M:N, 2, FALSE), "0"))</f>
        <v/>
      </c>
      <c r="T209">
        <f>IF(A209="","", SUM(IF(F209="Yes", 0, IF(E209="", 0, IFERROR(VALUE(MID(E209, SEARCH("(",E209)+1, 1)),0))), IF(I209="Yes", 0, IF(H209="", 0, IFERROR(VALUE(MID(H209, SEARCH("(",H209)+1, 1)),0))), IF(L209="Yes", 0, IF(K209="", 0, IFERROR(VALUE(MID(K209, SEARCH("(",K209)+1, 1)),0))), IF(O209="Yes", 0, IF(N209="", 0, IFERROR(VALUE(MID(N209, SEARCH("(",N209)+1, 1)),0))), IF(R209="Yes", 0, IF(Q209="", 0, IFERROR(VALUE(MID(Q209, SEARCH("(",Q209)+1, 1)),0)))))</f>
        <v/>
      </c>
      <c r="U209">
        <f>IF(A209="","", IF(T209&gt;=5, "Priority 1 (Critical)", IF(T209&gt;=3, "Priority 2 (Major)", IF(T209&gt;=1, "Priority 3 (Minor)", "Pass/Fixed"))))</f>
        <v/>
      </c>
      <c r="V209">
        <f>IF(A209="","", IF(T209&gt;0, "FAIL", "PASS"))</f>
        <v/>
      </c>
    </row>
    <row r="210">
      <c r="A210">
        <f>IF('Equipment Information'!A210="","", 'Equipment Information'!A210)</f>
        <v/>
      </c>
      <c r="B210">
        <f>IF('Equipment Information'!B210="","", 'Equipment Information'!B210)</f>
        <v/>
      </c>
      <c r="C210">
        <f>IF('Equipment Information'!C210="","", 'Equipment Information'!C210)</f>
        <v/>
      </c>
      <c r="E210">
        <f>IF(D210="","", IFERROR(VLOOKUP(D210, 'Hidden_Data'!M:N, 2, FALSE), "0"))</f>
        <v/>
      </c>
      <c r="H210">
        <f>IF(G210="","", IFERROR(VLOOKUP(G210, 'Hidden_Data'!M:N, 2, FALSE), "0"))</f>
        <v/>
      </c>
      <c r="K210">
        <f>IF(J210="","", IFERROR(VLOOKUP(J210, 'Hidden_Data'!M:N, 2, FALSE), "0"))</f>
        <v/>
      </c>
      <c r="N210">
        <f>IF(M210="","", IFERROR(VLOOKUP(M210, 'Hidden_Data'!M:N, 2, FALSE), "0"))</f>
        <v/>
      </c>
      <c r="Q210">
        <f>IF(P210="","", IFERROR(VLOOKUP(P210, 'Hidden_Data'!M:N, 2, FALSE), "0"))</f>
        <v/>
      </c>
      <c r="T210">
        <f>IF(A210="","", SUM(IF(F210="Yes", 0, IF(E210="", 0, IFERROR(VALUE(MID(E210, SEARCH("(",E210)+1, 1)),0))), IF(I210="Yes", 0, IF(H210="", 0, IFERROR(VALUE(MID(H210, SEARCH("(",H210)+1, 1)),0))), IF(L210="Yes", 0, IF(K210="", 0, IFERROR(VALUE(MID(K210, SEARCH("(",K210)+1, 1)),0))), IF(O210="Yes", 0, IF(N210="", 0, IFERROR(VALUE(MID(N210, SEARCH("(",N210)+1, 1)),0))), IF(R210="Yes", 0, IF(Q210="", 0, IFERROR(VALUE(MID(Q210, SEARCH("(",Q210)+1, 1)),0)))))</f>
        <v/>
      </c>
      <c r="U210">
        <f>IF(A210="","", IF(T210&gt;=5, "Priority 1 (Critical)", IF(T210&gt;=3, "Priority 2 (Major)", IF(T210&gt;=1, "Priority 3 (Minor)", "Pass/Fixed"))))</f>
        <v/>
      </c>
      <c r="V210">
        <f>IF(A210="","", IF(T210&gt;0, "FAIL", "PASS"))</f>
        <v/>
      </c>
    </row>
    <row r="211">
      <c r="A211">
        <f>IF('Equipment Information'!A211="","", 'Equipment Information'!A211)</f>
        <v/>
      </c>
      <c r="B211">
        <f>IF('Equipment Information'!B211="","", 'Equipment Information'!B211)</f>
        <v/>
      </c>
      <c r="C211">
        <f>IF('Equipment Information'!C211="","", 'Equipment Information'!C211)</f>
        <v/>
      </c>
      <c r="E211">
        <f>IF(D211="","", IFERROR(VLOOKUP(D211, 'Hidden_Data'!M:N, 2, FALSE), "0"))</f>
        <v/>
      </c>
      <c r="H211">
        <f>IF(G211="","", IFERROR(VLOOKUP(G211, 'Hidden_Data'!M:N, 2, FALSE), "0"))</f>
        <v/>
      </c>
      <c r="K211">
        <f>IF(J211="","", IFERROR(VLOOKUP(J211, 'Hidden_Data'!M:N, 2, FALSE), "0"))</f>
        <v/>
      </c>
      <c r="N211">
        <f>IF(M211="","", IFERROR(VLOOKUP(M211, 'Hidden_Data'!M:N, 2, FALSE), "0"))</f>
        <v/>
      </c>
      <c r="Q211">
        <f>IF(P211="","", IFERROR(VLOOKUP(P211, 'Hidden_Data'!M:N, 2, FALSE), "0"))</f>
        <v/>
      </c>
      <c r="T211">
        <f>IF(A211="","", SUM(IF(F211="Yes", 0, IF(E211="", 0, IFERROR(VALUE(MID(E211, SEARCH("(",E211)+1, 1)),0))), IF(I211="Yes", 0, IF(H211="", 0, IFERROR(VALUE(MID(H211, SEARCH("(",H211)+1, 1)),0))), IF(L211="Yes", 0, IF(K211="", 0, IFERROR(VALUE(MID(K211, SEARCH("(",K211)+1, 1)),0))), IF(O211="Yes", 0, IF(N211="", 0, IFERROR(VALUE(MID(N211, SEARCH("(",N211)+1, 1)),0))), IF(R211="Yes", 0, IF(Q211="", 0, IFERROR(VALUE(MID(Q211, SEARCH("(",Q211)+1, 1)),0)))))</f>
        <v/>
      </c>
      <c r="U211">
        <f>IF(A211="","", IF(T211&gt;=5, "Priority 1 (Critical)", IF(T211&gt;=3, "Priority 2 (Major)", IF(T211&gt;=1, "Priority 3 (Minor)", "Pass/Fixed"))))</f>
        <v/>
      </c>
      <c r="V211">
        <f>IF(A211="","", IF(T211&gt;0, "FAIL", "PASS"))</f>
        <v/>
      </c>
    </row>
    <row r="212">
      <c r="A212">
        <f>IF('Equipment Information'!A212="","", 'Equipment Information'!A212)</f>
        <v/>
      </c>
      <c r="B212">
        <f>IF('Equipment Information'!B212="","", 'Equipment Information'!B212)</f>
        <v/>
      </c>
      <c r="C212">
        <f>IF('Equipment Information'!C212="","", 'Equipment Information'!C212)</f>
        <v/>
      </c>
      <c r="E212">
        <f>IF(D212="","", IFERROR(VLOOKUP(D212, 'Hidden_Data'!M:N, 2, FALSE), "0"))</f>
        <v/>
      </c>
      <c r="H212">
        <f>IF(G212="","", IFERROR(VLOOKUP(G212, 'Hidden_Data'!M:N, 2, FALSE), "0"))</f>
        <v/>
      </c>
      <c r="K212">
        <f>IF(J212="","", IFERROR(VLOOKUP(J212, 'Hidden_Data'!M:N, 2, FALSE), "0"))</f>
        <v/>
      </c>
      <c r="N212">
        <f>IF(M212="","", IFERROR(VLOOKUP(M212, 'Hidden_Data'!M:N, 2, FALSE), "0"))</f>
        <v/>
      </c>
      <c r="Q212">
        <f>IF(P212="","", IFERROR(VLOOKUP(P212, 'Hidden_Data'!M:N, 2, FALSE), "0"))</f>
        <v/>
      </c>
      <c r="T212">
        <f>IF(A212="","", SUM(IF(F212="Yes", 0, IF(E212="", 0, IFERROR(VALUE(MID(E212, SEARCH("(",E212)+1, 1)),0))), IF(I212="Yes", 0, IF(H212="", 0, IFERROR(VALUE(MID(H212, SEARCH("(",H212)+1, 1)),0))), IF(L212="Yes", 0, IF(K212="", 0, IFERROR(VALUE(MID(K212, SEARCH("(",K212)+1, 1)),0))), IF(O212="Yes", 0, IF(N212="", 0, IFERROR(VALUE(MID(N212, SEARCH("(",N212)+1, 1)),0))), IF(R212="Yes", 0, IF(Q212="", 0, IFERROR(VALUE(MID(Q212, SEARCH("(",Q212)+1, 1)),0)))))</f>
        <v/>
      </c>
      <c r="U212">
        <f>IF(A212="","", IF(T212&gt;=5, "Priority 1 (Critical)", IF(T212&gt;=3, "Priority 2 (Major)", IF(T212&gt;=1, "Priority 3 (Minor)", "Pass/Fixed"))))</f>
        <v/>
      </c>
      <c r="V212">
        <f>IF(A212="","", IF(T212&gt;0, "FAIL", "PASS"))</f>
        <v/>
      </c>
    </row>
    <row r="213">
      <c r="A213">
        <f>IF('Equipment Information'!A213="","", 'Equipment Information'!A213)</f>
        <v/>
      </c>
      <c r="B213">
        <f>IF('Equipment Information'!B213="","", 'Equipment Information'!B213)</f>
        <v/>
      </c>
      <c r="C213">
        <f>IF('Equipment Information'!C213="","", 'Equipment Information'!C213)</f>
        <v/>
      </c>
      <c r="E213">
        <f>IF(D213="","", IFERROR(VLOOKUP(D213, 'Hidden_Data'!M:N, 2, FALSE), "0"))</f>
        <v/>
      </c>
      <c r="H213">
        <f>IF(G213="","", IFERROR(VLOOKUP(G213, 'Hidden_Data'!M:N, 2, FALSE), "0"))</f>
        <v/>
      </c>
      <c r="K213">
        <f>IF(J213="","", IFERROR(VLOOKUP(J213, 'Hidden_Data'!M:N, 2, FALSE), "0"))</f>
        <v/>
      </c>
      <c r="N213">
        <f>IF(M213="","", IFERROR(VLOOKUP(M213, 'Hidden_Data'!M:N, 2, FALSE), "0"))</f>
        <v/>
      </c>
      <c r="Q213">
        <f>IF(P213="","", IFERROR(VLOOKUP(P213, 'Hidden_Data'!M:N, 2, FALSE), "0"))</f>
        <v/>
      </c>
      <c r="T213">
        <f>IF(A213="","", SUM(IF(F213="Yes", 0, IF(E213="", 0, IFERROR(VALUE(MID(E213, SEARCH("(",E213)+1, 1)),0))), IF(I213="Yes", 0, IF(H213="", 0, IFERROR(VALUE(MID(H213, SEARCH("(",H213)+1, 1)),0))), IF(L213="Yes", 0, IF(K213="", 0, IFERROR(VALUE(MID(K213, SEARCH("(",K213)+1, 1)),0))), IF(O213="Yes", 0, IF(N213="", 0, IFERROR(VALUE(MID(N213, SEARCH("(",N213)+1, 1)),0))), IF(R213="Yes", 0, IF(Q213="", 0, IFERROR(VALUE(MID(Q213, SEARCH("(",Q213)+1, 1)),0)))))</f>
        <v/>
      </c>
      <c r="U213">
        <f>IF(A213="","", IF(T213&gt;=5, "Priority 1 (Critical)", IF(T213&gt;=3, "Priority 2 (Major)", IF(T213&gt;=1, "Priority 3 (Minor)", "Pass/Fixed"))))</f>
        <v/>
      </c>
      <c r="V213">
        <f>IF(A213="","", IF(T213&gt;0, "FAIL", "PASS"))</f>
        <v/>
      </c>
    </row>
    <row r="214">
      <c r="A214">
        <f>IF('Equipment Information'!A214="","", 'Equipment Information'!A214)</f>
        <v/>
      </c>
      <c r="B214">
        <f>IF('Equipment Information'!B214="","", 'Equipment Information'!B214)</f>
        <v/>
      </c>
      <c r="C214">
        <f>IF('Equipment Information'!C214="","", 'Equipment Information'!C214)</f>
        <v/>
      </c>
      <c r="E214">
        <f>IF(D214="","", IFERROR(VLOOKUP(D214, 'Hidden_Data'!M:N, 2, FALSE), "0"))</f>
        <v/>
      </c>
      <c r="H214">
        <f>IF(G214="","", IFERROR(VLOOKUP(G214, 'Hidden_Data'!M:N, 2, FALSE), "0"))</f>
        <v/>
      </c>
      <c r="K214">
        <f>IF(J214="","", IFERROR(VLOOKUP(J214, 'Hidden_Data'!M:N, 2, FALSE), "0"))</f>
        <v/>
      </c>
      <c r="N214">
        <f>IF(M214="","", IFERROR(VLOOKUP(M214, 'Hidden_Data'!M:N, 2, FALSE), "0"))</f>
        <v/>
      </c>
      <c r="Q214">
        <f>IF(P214="","", IFERROR(VLOOKUP(P214, 'Hidden_Data'!M:N, 2, FALSE), "0"))</f>
        <v/>
      </c>
      <c r="T214">
        <f>IF(A214="","", SUM(IF(F214="Yes", 0, IF(E214="", 0, IFERROR(VALUE(MID(E214, SEARCH("(",E214)+1, 1)),0))), IF(I214="Yes", 0, IF(H214="", 0, IFERROR(VALUE(MID(H214, SEARCH("(",H214)+1, 1)),0))), IF(L214="Yes", 0, IF(K214="", 0, IFERROR(VALUE(MID(K214, SEARCH("(",K214)+1, 1)),0))), IF(O214="Yes", 0, IF(N214="", 0, IFERROR(VALUE(MID(N214, SEARCH("(",N214)+1, 1)),0))), IF(R214="Yes", 0, IF(Q214="", 0, IFERROR(VALUE(MID(Q214, SEARCH("(",Q214)+1, 1)),0)))))</f>
        <v/>
      </c>
      <c r="U214">
        <f>IF(A214="","", IF(T214&gt;=5, "Priority 1 (Critical)", IF(T214&gt;=3, "Priority 2 (Major)", IF(T214&gt;=1, "Priority 3 (Minor)", "Pass/Fixed"))))</f>
        <v/>
      </c>
      <c r="V214">
        <f>IF(A214="","", IF(T214&gt;0, "FAIL", "PASS"))</f>
        <v/>
      </c>
    </row>
    <row r="215">
      <c r="A215">
        <f>IF('Equipment Information'!A215="","", 'Equipment Information'!A215)</f>
        <v/>
      </c>
      <c r="B215">
        <f>IF('Equipment Information'!B215="","", 'Equipment Information'!B215)</f>
        <v/>
      </c>
      <c r="C215">
        <f>IF('Equipment Information'!C215="","", 'Equipment Information'!C215)</f>
        <v/>
      </c>
      <c r="E215">
        <f>IF(D215="","", IFERROR(VLOOKUP(D215, 'Hidden_Data'!M:N, 2, FALSE), "0"))</f>
        <v/>
      </c>
      <c r="H215">
        <f>IF(G215="","", IFERROR(VLOOKUP(G215, 'Hidden_Data'!M:N, 2, FALSE), "0"))</f>
        <v/>
      </c>
      <c r="K215">
        <f>IF(J215="","", IFERROR(VLOOKUP(J215, 'Hidden_Data'!M:N, 2, FALSE), "0"))</f>
        <v/>
      </c>
      <c r="N215">
        <f>IF(M215="","", IFERROR(VLOOKUP(M215, 'Hidden_Data'!M:N, 2, FALSE), "0"))</f>
        <v/>
      </c>
      <c r="Q215">
        <f>IF(P215="","", IFERROR(VLOOKUP(P215, 'Hidden_Data'!M:N, 2, FALSE), "0"))</f>
        <v/>
      </c>
      <c r="T215">
        <f>IF(A215="","", SUM(IF(F215="Yes", 0, IF(E215="", 0, IFERROR(VALUE(MID(E215, SEARCH("(",E215)+1, 1)),0))), IF(I215="Yes", 0, IF(H215="", 0, IFERROR(VALUE(MID(H215, SEARCH("(",H215)+1, 1)),0))), IF(L215="Yes", 0, IF(K215="", 0, IFERROR(VALUE(MID(K215, SEARCH("(",K215)+1, 1)),0))), IF(O215="Yes", 0, IF(N215="", 0, IFERROR(VALUE(MID(N215, SEARCH("(",N215)+1, 1)),0))), IF(R215="Yes", 0, IF(Q215="", 0, IFERROR(VALUE(MID(Q215, SEARCH("(",Q215)+1, 1)),0)))))</f>
        <v/>
      </c>
      <c r="U215">
        <f>IF(A215="","", IF(T215&gt;=5, "Priority 1 (Critical)", IF(T215&gt;=3, "Priority 2 (Major)", IF(T215&gt;=1, "Priority 3 (Minor)", "Pass/Fixed"))))</f>
        <v/>
      </c>
      <c r="V215">
        <f>IF(A215="","", IF(T215&gt;0, "FAIL", "PASS"))</f>
        <v/>
      </c>
    </row>
    <row r="216">
      <c r="A216">
        <f>IF('Equipment Information'!A216="","", 'Equipment Information'!A216)</f>
        <v/>
      </c>
      <c r="B216">
        <f>IF('Equipment Information'!B216="","", 'Equipment Information'!B216)</f>
        <v/>
      </c>
      <c r="C216">
        <f>IF('Equipment Information'!C216="","", 'Equipment Information'!C216)</f>
        <v/>
      </c>
      <c r="E216">
        <f>IF(D216="","", IFERROR(VLOOKUP(D216, 'Hidden_Data'!M:N, 2, FALSE), "0"))</f>
        <v/>
      </c>
      <c r="H216">
        <f>IF(G216="","", IFERROR(VLOOKUP(G216, 'Hidden_Data'!M:N, 2, FALSE), "0"))</f>
        <v/>
      </c>
      <c r="K216">
        <f>IF(J216="","", IFERROR(VLOOKUP(J216, 'Hidden_Data'!M:N, 2, FALSE), "0"))</f>
        <v/>
      </c>
      <c r="N216">
        <f>IF(M216="","", IFERROR(VLOOKUP(M216, 'Hidden_Data'!M:N, 2, FALSE), "0"))</f>
        <v/>
      </c>
      <c r="Q216">
        <f>IF(P216="","", IFERROR(VLOOKUP(P216, 'Hidden_Data'!M:N, 2, FALSE), "0"))</f>
        <v/>
      </c>
      <c r="T216">
        <f>IF(A216="","", SUM(IF(F216="Yes", 0, IF(E216="", 0, IFERROR(VALUE(MID(E216, SEARCH("(",E216)+1, 1)),0))), IF(I216="Yes", 0, IF(H216="", 0, IFERROR(VALUE(MID(H216, SEARCH("(",H216)+1, 1)),0))), IF(L216="Yes", 0, IF(K216="", 0, IFERROR(VALUE(MID(K216, SEARCH("(",K216)+1, 1)),0))), IF(O216="Yes", 0, IF(N216="", 0, IFERROR(VALUE(MID(N216, SEARCH("(",N216)+1, 1)),0))), IF(R216="Yes", 0, IF(Q216="", 0, IFERROR(VALUE(MID(Q216, SEARCH("(",Q216)+1, 1)),0)))))</f>
        <v/>
      </c>
      <c r="U216">
        <f>IF(A216="","", IF(T216&gt;=5, "Priority 1 (Critical)", IF(T216&gt;=3, "Priority 2 (Major)", IF(T216&gt;=1, "Priority 3 (Minor)", "Pass/Fixed"))))</f>
        <v/>
      </c>
      <c r="V216">
        <f>IF(A216="","", IF(T216&gt;0, "FAIL", "PASS"))</f>
        <v/>
      </c>
    </row>
    <row r="217">
      <c r="A217">
        <f>IF('Equipment Information'!A217="","", 'Equipment Information'!A217)</f>
        <v/>
      </c>
      <c r="B217">
        <f>IF('Equipment Information'!B217="","", 'Equipment Information'!B217)</f>
        <v/>
      </c>
      <c r="C217">
        <f>IF('Equipment Information'!C217="","", 'Equipment Information'!C217)</f>
        <v/>
      </c>
      <c r="E217">
        <f>IF(D217="","", IFERROR(VLOOKUP(D217, 'Hidden_Data'!M:N, 2, FALSE), "0"))</f>
        <v/>
      </c>
      <c r="H217">
        <f>IF(G217="","", IFERROR(VLOOKUP(G217, 'Hidden_Data'!M:N, 2, FALSE), "0"))</f>
        <v/>
      </c>
      <c r="K217">
        <f>IF(J217="","", IFERROR(VLOOKUP(J217, 'Hidden_Data'!M:N, 2, FALSE), "0"))</f>
        <v/>
      </c>
      <c r="N217">
        <f>IF(M217="","", IFERROR(VLOOKUP(M217, 'Hidden_Data'!M:N, 2, FALSE), "0"))</f>
        <v/>
      </c>
      <c r="Q217">
        <f>IF(P217="","", IFERROR(VLOOKUP(P217, 'Hidden_Data'!M:N, 2, FALSE), "0"))</f>
        <v/>
      </c>
      <c r="T217">
        <f>IF(A217="","", SUM(IF(F217="Yes", 0, IF(E217="", 0, IFERROR(VALUE(MID(E217, SEARCH("(",E217)+1, 1)),0))), IF(I217="Yes", 0, IF(H217="", 0, IFERROR(VALUE(MID(H217, SEARCH("(",H217)+1, 1)),0))), IF(L217="Yes", 0, IF(K217="", 0, IFERROR(VALUE(MID(K217, SEARCH("(",K217)+1, 1)),0))), IF(O217="Yes", 0, IF(N217="", 0, IFERROR(VALUE(MID(N217, SEARCH("(",N217)+1, 1)),0))), IF(R217="Yes", 0, IF(Q217="", 0, IFERROR(VALUE(MID(Q217, SEARCH("(",Q217)+1, 1)),0)))))</f>
        <v/>
      </c>
      <c r="U217">
        <f>IF(A217="","", IF(T217&gt;=5, "Priority 1 (Critical)", IF(T217&gt;=3, "Priority 2 (Major)", IF(T217&gt;=1, "Priority 3 (Minor)", "Pass/Fixed"))))</f>
        <v/>
      </c>
      <c r="V217">
        <f>IF(A217="","", IF(T217&gt;0, "FAIL", "PASS"))</f>
        <v/>
      </c>
    </row>
    <row r="218">
      <c r="A218">
        <f>IF('Equipment Information'!A218="","", 'Equipment Information'!A218)</f>
        <v/>
      </c>
      <c r="B218">
        <f>IF('Equipment Information'!B218="","", 'Equipment Information'!B218)</f>
        <v/>
      </c>
      <c r="C218">
        <f>IF('Equipment Information'!C218="","", 'Equipment Information'!C218)</f>
        <v/>
      </c>
      <c r="E218">
        <f>IF(D218="","", IFERROR(VLOOKUP(D218, 'Hidden_Data'!M:N, 2, FALSE), "0"))</f>
        <v/>
      </c>
      <c r="H218">
        <f>IF(G218="","", IFERROR(VLOOKUP(G218, 'Hidden_Data'!M:N, 2, FALSE), "0"))</f>
        <v/>
      </c>
      <c r="K218">
        <f>IF(J218="","", IFERROR(VLOOKUP(J218, 'Hidden_Data'!M:N, 2, FALSE), "0"))</f>
        <v/>
      </c>
      <c r="N218">
        <f>IF(M218="","", IFERROR(VLOOKUP(M218, 'Hidden_Data'!M:N, 2, FALSE), "0"))</f>
        <v/>
      </c>
      <c r="Q218">
        <f>IF(P218="","", IFERROR(VLOOKUP(P218, 'Hidden_Data'!M:N, 2, FALSE), "0"))</f>
        <v/>
      </c>
      <c r="T218">
        <f>IF(A218="","", SUM(IF(F218="Yes", 0, IF(E218="", 0, IFERROR(VALUE(MID(E218, SEARCH("(",E218)+1, 1)),0))), IF(I218="Yes", 0, IF(H218="", 0, IFERROR(VALUE(MID(H218, SEARCH("(",H218)+1, 1)),0))), IF(L218="Yes", 0, IF(K218="", 0, IFERROR(VALUE(MID(K218, SEARCH("(",K218)+1, 1)),0))), IF(O218="Yes", 0, IF(N218="", 0, IFERROR(VALUE(MID(N218, SEARCH("(",N218)+1, 1)),0))), IF(R218="Yes", 0, IF(Q218="", 0, IFERROR(VALUE(MID(Q218, SEARCH("(",Q218)+1, 1)),0)))))</f>
        <v/>
      </c>
      <c r="U218">
        <f>IF(A218="","", IF(T218&gt;=5, "Priority 1 (Critical)", IF(T218&gt;=3, "Priority 2 (Major)", IF(T218&gt;=1, "Priority 3 (Minor)", "Pass/Fixed"))))</f>
        <v/>
      </c>
      <c r="V218">
        <f>IF(A218="","", IF(T218&gt;0, "FAIL", "PASS"))</f>
        <v/>
      </c>
    </row>
    <row r="219">
      <c r="A219">
        <f>IF('Equipment Information'!A219="","", 'Equipment Information'!A219)</f>
        <v/>
      </c>
      <c r="B219">
        <f>IF('Equipment Information'!B219="","", 'Equipment Information'!B219)</f>
        <v/>
      </c>
      <c r="C219">
        <f>IF('Equipment Information'!C219="","", 'Equipment Information'!C219)</f>
        <v/>
      </c>
      <c r="E219">
        <f>IF(D219="","", IFERROR(VLOOKUP(D219, 'Hidden_Data'!M:N, 2, FALSE), "0"))</f>
        <v/>
      </c>
      <c r="H219">
        <f>IF(G219="","", IFERROR(VLOOKUP(G219, 'Hidden_Data'!M:N, 2, FALSE), "0"))</f>
        <v/>
      </c>
      <c r="K219">
        <f>IF(J219="","", IFERROR(VLOOKUP(J219, 'Hidden_Data'!M:N, 2, FALSE), "0"))</f>
        <v/>
      </c>
      <c r="N219">
        <f>IF(M219="","", IFERROR(VLOOKUP(M219, 'Hidden_Data'!M:N, 2, FALSE), "0"))</f>
        <v/>
      </c>
      <c r="Q219">
        <f>IF(P219="","", IFERROR(VLOOKUP(P219, 'Hidden_Data'!M:N, 2, FALSE), "0"))</f>
        <v/>
      </c>
      <c r="T219">
        <f>IF(A219="","", SUM(IF(F219="Yes", 0, IF(E219="", 0, IFERROR(VALUE(MID(E219, SEARCH("(",E219)+1, 1)),0))), IF(I219="Yes", 0, IF(H219="", 0, IFERROR(VALUE(MID(H219, SEARCH("(",H219)+1, 1)),0))), IF(L219="Yes", 0, IF(K219="", 0, IFERROR(VALUE(MID(K219, SEARCH("(",K219)+1, 1)),0))), IF(O219="Yes", 0, IF(N219="", 0, IFERROR(VALUE(MID(N219, SEARCH("(",N219)+1, 1)),0))), IF(R219="Yes", 0, IF(Q219="", 0, IFERROR(VALUE(MID(Q219, SEARCH("(",Q219)+1, 1)),0)))))</f>
        <v/>
      </c>
      <c r="U219">
        <f>IF(A219="","", IF(T219&gt;=5, "Priority 1 (Critical)", IF(T219&gt;=3, "Priority 2 (Major)", IF(T219&gt;=1, "Priority 3 (Minor)", "Pass/Fixed"))))</f>
        <v/>
      </c>
      <c r="V219">
        <f>IF(A219="","", IF(T219&gt;0, "FAIL", "PASS"))</f>
        <v/>
      </c>
    </row>
    <row r="220">
      <c r="A220">
        <f>IF('Equipment Information'!A220="","", 'Equipment Information'!A220)</f>
        <v/>
      </c>
      <c r="B220">
        <f>IF('Equipment Information'!B220="","", 'Equipment Information'!B220)</f>
        <v/>
      </c>
      <c r="C220">
        <f>IF('Equipment Information'!C220="","", 'Equipment Information'!C220)</f>
        <v/>
      </c>
      <c r="E220">
        <f>IF(D220="","", IFERROR(VLOOKUP(D220, 'Hidden_Data'!M:N, 2, FALSE), "0"))</f>
        <v/>
      </c>
      <c r="H220">
        <f>IF(G220="","", IFERROR(VLOOKUP(G220, 'Hidden_Data'!M:N, 2, FALSE), "0"))</f>
        <v/>
      </c>
      <c r="K220">
        <f>IF(J220="","", IFERROR(VLOOKUP(J220, 'Hidden_Data'!M:N, 2, FALSE), "0"))</f>
        <v/>
      </c>
      <c r="N220">
        <f>IF(M220="","", IFERROR(VLOOKUP(M220, 'Hidden_Data'!M:N, 2, FALSE), "0"))</f>
        <v/>
      </c>
      <c r="Q220">
        <f>IF(P220="","", IFERROR(VLOOKUP(P220, 'Hidden_Data'!M:N, 2, FALSE), "0"))</f>
        <v/>
      </c>
      <c r="T220">
        <f>IF(A220="","", SUM(IF(F220="Yes", 0, IF(E220="", 0, IFERROR(VALUE(MID(E220, SEARCH("(",E220)+1, 1)),0))), IF(I220="Yes", 0, IF(H220="", 0, IFERROR(VALUE(MID(H220, SEARCH("(",H220)+1, 1)),0))), IF(L220="Yes", 0, IF(K220="", 0, IFERROR(VALUE(MID(K220, SEARCH("(",K220)+1, 1)),0))), IF(O220="Yes", 0, IF(N220="", 0, IFERROR(VALUE(MID(N220, SEARCH("(",N220)+1, 1)),0))), IF(R220="Yes", 0, IF(Q220="", 0, IFERROR(VALUE(MID(Q220, SEARCH("(",Q220)+1, 1)),0)))))</f>
        <v/>
      </c>
      <c r="U220">
        <f>IF(A220="","", IF(T220&gt;=5, "Priority 1 (Critical)", IF(T220&gt;=3, "Priority 2 (Major)", IF(T220&gt;=1, "Priority 3 (Minor)", "Pass/Fixed"))))</f>
        <v/>
      </c>
      <c r="V220">
        <f>IF(A220="","", IF(T220&gt;0, "FAIL", "PASS"))</f>
        <v/>
      </c>
    </row>
    <row r="221">
      <c r="A221">
        <f>IF('Equipment Information'!A221="","", 'Equipment Information'!A221)</f>
        <v/>
      </c>
      <c r="B221">
        <f>IF('Equipment Information'!B221="","", 'Equipment Information'!B221)</f>
        <v/>
      </c>
      <c r="C221">
        <f>IF('Equipment Information'!C221="","", 'Equipment Information'!C221)</f>
        <v/>
      </c>
      <c r="E221">
        <f>IF(D221="","", IFERROR(VLOOKUP(D221, 'Hidden_Data'!M:N, 2, FALSE), "0"))</f>
        <v/>
      </c>
      <c r="H221">
        <f>IF(G221="","", IFERROR(VLOOKUP(G221, 'Hidden_Data'!M:N, 2, FALSE), "0"))</f>
        <v/>
      </c>
      <c r="K221">
        <f>IF(J221="","", IFERROR(VLOOKUP(J221, 'Hidden_Data'!M:N, 2, FALSE), "0"))</f>
        <v/>
      </c>
      <c r="N221">
        <f>IF(M221="","", IFERROR(VLOOKUP(M221, 'Hidden_Data'!M:N, 2, FALSE), "0"))</f>
        <v/>
      </c>
      <c r="Q221">
        <f>IF(P221="","", IFERROR(VLOOKUP(P221, 'Hidden_Data'!M:N, 2, FALSE), "0"))</f>
        <v/>
      </c>
      <c r="T221">
        <f>IF(A221="","", SUM(IF(F221="Yes", 0, IF(E221="", 0, IFERROR(VALUE(MID(E221, SEARCH("(",E221)+1, 1)),0))), IF(I221="Yes", 0, IF(H221="", 0, IFERROR(VALUE(MID(H221, SEARCH("(",H221)+1, 1)),0))), IF(L221="Yes", 0, IF(K221="", 0, IFERROR(VALUE(MID(K221, SEARCH("(",K221)+1, 1)),0))), IF(O221="Yes", 0, IF(N221="", 0, IFERROR(VALUE(MID(N221, SEARCH("(",N221)+1, 1)),0))), IF(R221="Yes", 0, IF(Q221="", 0, IFERROR(VALUE(MID(Q221, SEARCH("(",Q221)+1, 1)),0)))))</f>
        <v/>
      </c>
      <c r="U221">
        <f>IF(A221="","", IF(T221&gt;=5, "Priority 1 (Critical)", IF(T221&gt;=3, "Priority 2 (Major)", IF(T221&gt;=1, "Priority 3 (Minor)", "Pass/Fixed"))))</f>
        <v/>
      </c>
      <c r="V221">
        <f>IF(A221="","", IF(T221&gt;0, "FAIL", "PASS"))</f>
        <v/>
      </c>
    </row>
    <row r="222">
      <c r="A222">
        <f>IF('Equipment Information'!A222="","", 'Equipment Information'!A222)</f>
        <v/>
      </c>
      <c r="B222">
        <f>IF('Equipment Information'!B222="","", 'Equipment Information'!B222)</f>
        <v/>
      </c>
      <c r="C222">
        <f>IF('Equipment Information'!C222="","", 'Equipment Information'!C222)</f>
        <v/>
      </c>
      <c r="E222">
        <f>IF(D222="","", IFERROR(VLOOKUP(D222, 'Hidden_Data'!M:N, 2, FALSE), "0"))</f>
        <v/>
      </c>
      <c r="H222">
        <f>IF(G222="","", IFERROR(VLOOKUP(G222, 'Hidden_Data'!M:N, 2, FALSE), "0"))</f>
        <v/>
      </c>
      <c r="K222">
        <f>IF(J222="","", IFERROR(VLOOKUP(J222, 'Hidden_Data'!M:N, 2, FALSE), "0"))</f>
        <v/>
      </c>
      <c r="N222">
        <f>IF(M222="","", IFERROR(VLOOKUP(M222, 'Hidden_Data'!M:N, 2, FALSE), "0"))</f>
        <v/>
      </c>
      <c r="Q222">
        <f>IF(P222="","", IFERROR(VLOOKUP(P222, 'Hidden_Data'!M:N, 2, FALSE), "0"))</f>
        <v/>
      </c>
      <c r="T222">
        <f>IF(A222="","", SUM(IF(F222="Yes", 0, IF(E222="", 0, IFERROR(VALUE(MID(E222, SEARCH("(",E222)+1, 1)),0))), IF(I222="Yes", 0, IF(H222="", 0, IFERROR(VALUE(MID(H222, SEARCH("(",H222)+1, 1)),0))), IF(L222="Yes", 0, IF(K222="", 0, IFERROR(VALUE(MID(K222, SEARCH("(",K222)+1, 1)),0))), IF(O222="Yes", 0, IF(N222="", 0, IFERROR(VALUE(MID(N222, SEARCH("(",N222)+1, 1)),0))), IF(R222="Yes", 0, IF(Q222="", 0, IFERROR(VALUE(MID(Q222, SEARCH("(",Q222)+1, 1)),0)))))</f>
        <v/>
      </c>
      <c r="U222">
        <f>IF(A222="","", IF(T222&gt;=5, "Priority 1 (Critical)", IF(T222&gt;=3, "Priority 2 (Major)", IF(T222&gt;=1, "Priority 3 (Minor)", "Pass/Fixed"))))</f>
        <v/>
      </c>
      <c r="V222">
        <f>IF(A222="","", IF(T222&gt;0, "FAIL", "PASS"))</f>
        <v/>
      </c>
    </row>
    <row r="223">
      <c r="A223">
        <f>IF('Equipment Information'!A223="","", 'Equipment Information'!A223)</f>
        <v/>
      </c>
      <c r="B223">
        <f>IF('Equipment Information'!B223="","", 'Equipment Information'!B223)</f>
        <v/>
      </c>
      <c r="C223">
        <f>IF('Equipment Information'!C223="","", 'Equipment Information'!C223)</f>
        <v/>
      </c>
      <c r="E223">
        <f>IF(D223="","", IFERROR(VLOOKUP(D223, 'Hidden_Data'!M:N, 2, FALSE), "0"))</f>
        <v/>
      </c>
      <c r="H223">
        <f>IF(G223="","", IFERROR(VLOOKUP(G223, 'Hidden_Data'!M:N, 2, FALSE), "0"))</f>
        <v/>
      </c>
      <c r="K223">
        <f>IF(J223="","", IFERROR(VLOOKUP(J223, 'Hidden_Data'!M:N, 2, FALSE), "0"))</f>
        <v/>
      </c>
      <c r="N223">
        <f>IF(M223="","", IFERROR(VLOOKUP(M223, 'Hidden_Data'!M:N, 2, FALSE), "0"))</f>
        <v/>
      </c>
      <c r="Q223">
        <f>IF(P223="","", IFERROR(VLOOKUP(P223, 'Hidden_Data'!M:N, 2, FALSE), "0"))</f>
        <v/>
      </c>
      <c r="T223">
        <f>IF(A223="","", SUM(IF(F223="Yes", 0, IF(E223="", 0, IFERROR(VALUE(MID(E223, SEARCH("(",E223)+1, 1)),0))), IF(I223="Yes", 0, IF(H223="", 0, IFERROR(VALUE(MID(H223, SEARCH("(",H223)+1, 1)),0))), IF(L223="Yes", 0, IF(K223="", 0, IFERROR(VALUE(MID(K223, SEARCH("(",K223)+1, 1)),0))), IF(O223="Yes", 0, IF(N223="", 0, IFERROR(VALUE(MID(N223, SEARCH("(",N223)+1, 1)),0))), IF(R223="Yes", 0, IF(Q223="", 0, IFERROR(VALUE(MID(Q223, SEARCH("(",Q223)+1, 1)),0)))))</f>
        <v/>
      </c>
      <c r="U223">
        <f>IF(A223="","", IF(T223&gt;=5, "Priority 1 (Critical)", IF(T223&gt;=3, "Priority 2 (Major)", IF(T223&gt;=1, "Priority 3 (Minor)", "Pass/Fixed"))))</f>
        <v/>
      </c>
      <c r="V223">
        <f>IF(A223="","", IF(T223&gt;0, "FAIL", "PASS"))</f>
        <v/>
      </c>
    </row>
    <row r="224">
      <c r="A224">
        <f>IF('Equipment Information'!A224="","", 'Equipment Information'!A224)</f>
        <v/>
      </c>
      <c r="B224">
        <f>IF('Equipment Information'!B224="","", 'Equipment Information'!B224)</f>
        <v/>
      </c>
      <c r="C224">
        <f>IF('Equipment Information'!C224="","", 'Equipment Information'!C224)</f>
        <v/>
      </c>
      <c r="E224">
        <f>IF(D224="","", IFERROR(VLOOKUP(D224, 'Hidden_Data'!M:N, 2, FALSE), "0"))</f>
        <v/>
      </c>
      <c r="H224">
        <f>IF(G224="","", IFERROR(VLOOKUP(G224, 'Hidden_Data'!M:N, 2, FALSE), "0"))</f>
        <v/>
      </c>
      <c r="K224">
        <f>IF(J224="","", IFERROR(VLOOKUP(J224, 'Hidden_Data'!M:N, 2, FALSE), "0"))</f>
        <v/>
      </c>
      <c r="N224">
        <f>IF(M224="","", IFERROR(VLOOKUP(M224, 'Hidden_Data'!M:N, 2, FALSE), "0"))</f>
        <v/>
      </c>
      <c r="Q224">
        <f>IF(P224="","", IFERROR(VLOOKUP(P224, 'Hidden_Data'!M:N, 2, FALSE), "0"))</f>
        <v/>
      </c>
      <c r="T224">
        <f>IF(A224="","", SUM(IF(F224="Yes", 0, IF(E224="", 0, IFERROR(VALUE(MID(E224, SEARCH("(",E224)+1, 1)),0))), IF(I224="Yes", 0, IF(H224="", 0, IFERROR(VALUE(MID(H224, SEARCH("(",H224)+1, 1)),0))), IF(L224="Yes", 0, IF(K224="", 0, IFERROR(VALUE(MID(K224, SEARCH("(",K224)+1, 1)),0))), IF(O224="Yes", 0, IF(N224="", 0, IFERROR(VALUE(MID(N224, SEARCH("(",N224)+1, 1)),0))), IF(R224="Yes", 0, IF(Q224="", 0, IFERROR(VALUE(MID(Q224, SEARCH("(",Q224)+1, 1)),0)))))</f>
        <v/>
      </c>
      <c r="U224">
        <f>IF(A224="","", IF(T224&gt;=5, "Priority 1 (Critical)", IF(T224&gt;=3, "Priority 2 (Major)", IF(T224&gt;=1, "Priority 3 (Minor)", "Pass/Fixed"))))</f>
        <v/>
      </c>
      <c r="V224">
        <f>IF(A224="","", IF(T224&gt;0, "FAIL", "PASS"))</f>
        <v/>
      </c>
    </row>
    <row r="225">
      <c r="A225">
        <f>IF('Equipment Information'!A225="","", 'Equipment Information'!A225)</f>
        <v/>
      </c>
      <c r="B225">
        <f>IF('Equipment Information'!B225="","", 'Equipment Information'!B225)</f>
        <v/>
      </c>
      <c r="C225">
        <f>IF('Equipment Information'!C225="","", 'Equipment Information'!C225)</f>
        <v/>
      </c>
      <c r="E225">
        <f>IF(D225="","", IFERROR(VLOOKUP(D225, 'Hidden_Data'!M:N, 2, FALSE), "0"))</f>
        <v/>
      </c>
      <c r="H225">
        <f>IF(G225="","", IFERROR(VLOOKUP(G225, 'Hidden_Data'!M:N, 2, FALSE), "0"))</f>
        <v/>
      </c>
      <c r="K225">
        <f>IF(J225="","", IFERROR(VLOOKUP(J225, 'Hidden_Data'!M:N, 2, FALSE), "0"))</f>
        <v/>
      </c>
      <c r="N225">
        <f>IF(M225="","", IFERROR(VLOOKUP(M225, 'Hidden_Data'!M:N, 2, FALSE), "0"))</f>
        <v/>
      </c>
      <c r="Q225">
        <f>IF(P225="","", IFERROR(VLOOKUP(P225, 'Hidden_Data'!M:N, 2, FALSE), "0"))</f>
        <v/>
      </c>
      <c r="T225">
        <f>IF(A225="","", SUM(IF(F225="Yes", 0, IF(E225="", 0, IFERROR(VALUE(MID(E225, SEARCH("(",E225)+1, 1)),0))), IF(I225="Yes", 0, IF(H225="", 0, IFERROR(VALUE(MID(H225, SEARCH("(",H225)+1, 1)),0))), IF(L225="Yes", 0, IF(K225="", 0, IFERROR(VALUE(MID(K225, SEARCH("(",K225)+1, 1)),0))), IF(O225="Yes", 0, IF(N225="", 0, IFERROR(VALUE(MID(N225, SEARCH("(",N225)+1, 1)),0))), IF(R225="Yes", 0, IF(Q225="", 0, IFERROR(VALUE(MID(Q225, SEARCH("(",Q225)+1, 1)),0)))))</f>
        <v/>
      </c>
      <c r="U225">
        <f>IF(A225="","", IF(T225&gt;=5, "Priority 1 (Critical)", IF(T225&gt;=3, "Priority 2 (Major)", IF(T225&gt;=1, "Priority 3 (Minor)", "Pass/Fixed"))))</f>
        <v/>
      </c>
      <c r="V225">
        <f>IF(A225="","", IF(T225&gt;0, "FAIL", "PASS"))</f>
        <v/>
      </c>
    </row>
    <row r="226">
      <c r="A226">
        <f>IF('Equipment Information'!A226="","", 'Equipment Information'!A226)</f>
        <v/>
      </c>
      <c r="B226">
        <f>IF('Equipment Information'!B226="","", 'Equipment Information'!B226)</f>
        <v/>
      </c>
      <c r="C226">
        <f>IF('Equipment Information'!C226="","", 'Equipment Information'!C226)</f>
        <v/>
      </c>
      <c r="E226">
        <f>IF(D226="","", IFERROR(VLOOKUP(D226, 'Hidden_Data'!M:N, 2, FALSE), "0"))</f>
        <v/>
      </c>
      <c r="H226">
        <f>IF(G226="","", IFERROR(VLOOKUP(G226, 'Hidden_Data'!M:N, 2, FALSE), "0"))</f>
        <v/>
      </c>
      <c r="K226">
        <f>IF(J226="","", IFERROR(VLOOKUP(J226, 'Hidden_Data'!M:N, 2, FALSE), "0"))</f>
        <v/>
      </c>
      <c r="N226">
        <f>IF(M226="","", IFERROR(VLOOKUP(M226, 'Hidden_Data'!M:N, 2, FALSE), "0"))</f>
        <v/>
      </c>
      <c r="Q226">
        <f>IF(P226="","", IFERROR(VLOOKUP(P226, 'Hidden_Data'!M:N, 2, FALSE), "0"))</f>
        <v/>
      </c>
      <c r="T226">
        <f>IF(A226="","", SUM(IF(F226="Yes", 0, IF(E226="", 0, IFERROR(VALUE(MID(E226, SEARCH("(",E226)+1, 1)),0))), IF(I226="Yes", 0, IF(H226="", 0, IFERROR(VALUE(MID(H226, SEARCH("(",H226)+1, 1)),0))), IF(L226="Yes", 0, IF(K226="", 0, IFERROR(VALUE(MID(K226, SEARCH("(",K226)+1, 1)),0))), IF(O226="Yes", 0, IF(N226="", 0, IFERROR(VALUE(MID(N226, SEARCH("(",N226)+1, 1)),0))), IF(R226="Yes", 0, IF(Q226="", 0, IFERROR(VALUE(MID(Q226, SEARCH("(",Q226)+1, 1)),0)))))</f>
        <v/>
      </c>
      <c r="U226">
        <f>IF(A226="","", IF(T226&gt;=5, "Priority 1 (Critical)", IF(T226&gt;=3, "Priority 2 (Major)", IF(T226&gt;=1, "Priority 3 (Minor)", "Pass/Fixed"))))</f>
        <v/>
      </c>
      <c r="V226">
        <f>IF(A226="","", IF(T226&gt;0, "FAIL", "PASS"))</f>
        <v/>
      </c>
    </row>
    <row r="227">
      <c r="A227">
        <f>IF('Equipment Information'!A227="","", 'Equipment Information'!A227)</f>
        <v/>
      </c>
      <c r="B227">
        <f>IF('Equipment Information'!B227="","", 'Equipment Information'!B227)</f>
        <v/>
      </c>
      <c r="C227">
        <f>IF('Equipment Information'!C227="","", 'Equipment Information'!C227)</f>
        <v/>
      </c>
      <c r="E227">
        <f>IF(D227="","", IFERROR(VLOOKUP(D227, 'Hidden_Data'!M:N, 2, FALSE), "0"))</f>
        <v/>
      </c>
      <c r="H227">
        <f>IF(G227="","", IFERROR(VLOOKUP(G227, 'Hidden_Data'!M:N, 2, FALSE), "0"))</f>
        <v/>
      </c>
      <c r="K227">
        <f>IF(J227="","", IFERROR(VLOOKUP(J227, 'Hidden_Data'!M:N, 2, FALSE), "0"))</f>
        <v/>
      </c>
      <c r="N227">
        <f>IF(M227="","", IFERROR(VLOOKUP(M227, 'Hidden_Data'!M:N, 2, FALSE), "0"))</f>
        <v/>
      </c>
      <c r="Q227">
        <f>IF(P227="","", IFERROR(VLOOKUP(P227, 'Hidden_Data'!M:N, 2, FALSE), "0"))</f>
        <v/>
      </c>
      <c r="T227">
        <f>IF(A227="","", SUM(IF(F227="Yes", 0, IF(E227="", 0, IFERROR(VALUE(MID(E227, SEARCH("(",E227)+1, 1)),0))), IF(I227="Yes", 0, IF(H227="", 0, IFERROR(VALUE(MID(H227, SEARCH("(",H227)+1, 1)),0))), IF(L227="Yes", 0, IF(K227="", 0, IFERROR(VALUE(MID(K227, SEARCH("(",K227)+1, 1)),0))), IF(O227="Yes", 0, IF(N227="", 0, IFERROR(VALUE(MID(N227, SEARCH("(",N227)+1, 1)),0))), IF(R227="Yes", 0, IF(Q227="", 0, IFERROR(VALUE(MID(Q227, SEARCH("(",Q227)+1, 1)),0)))))</f>
        <v/>
      </c>
      <c r="U227">
        <f>IF(A227="","", IF(T227&gt;=5, "Priority 1 (Critical)", IF(T227&gt;=3, "Priority 2 (Major)", IF(T227&gt;=1, "Priority 3 (Minor)", "Pass/Fixed"))))</f>
        <v/>
      </c>
      <c r="V227">
        <f>IF(A227="","", IF(T227&gt;0, "FAIL", "PASS"))</f>
        <v/>
      </c>
    </row>
    <row r="228">
      <c r="A228">
        <f>IF('Equipment Information'!A228="","", 'Equipment Information'!A228)</f>
        <v/>
      </c>
      <c r="B228">
        <f>IF('Equipment Information'!B228="","", 'Equipment Information'!B228)</f>
        <v/>
      </c>
      <c r="C228">
        <f>IF('Equipment Information'!C228="","", 'Equipment Information'!C228)</f>
        <v/>
      </c>
      <c r="E228">
        <f>IF(D228="","", IFERROR(VLOOKUP(D228, 'Hidden_Data'!M:N, 2, FALSE), "0"))</f>
        <v/>
      </c>
      <c r="H228">
        <f>IF(G228="","", IFERROR(VLOOKUP(G228, 'Hidden_Data'!M:N, 2, FALSE), "0"))</f>
        <v/>
      </c>
      <c r="K228">
        <f>IF(J228="","", IFERROR(VLOOKUP(J228, 'Hidden_Data'!M:N, 2, FALSE), "0"))</f>
        <v/>
      </c>
      <c r="N228">
        <f>IF(M228="","", IFERROR(VLOOKUP(M228, 'Hidden_Data'!M:N, 2, FALSE), "0"))</f>
        <v/>
      </c>
      <c r="Q228">
        <f>IF(P228="","", IFERROR(VLOOKUP(P228, 'Hidden_Data'!M:N, 2, FALSE), "0"))</f>
        <v/>
      </c>
      <c r="T228">
        <f>IF(A228="","", SUM(IF(F228="Yes", 0, IF(E228="", 0, IFERROR(VALUE(MID(E228, SEARCH("(",E228)+1, 1)),0))), IF(I228="Yes", 0, IF(H228="", 0, IFERROR(VALUE(MID(H228, SEARCH("(",H228)+1, 1)),0))), IF(L228="Yes", 0, IF(K228="", 0, IFERROR(VALUE(MID(K228, SEARCH("(",K228)+1, 1)),0))), IF(O228="Yes", 0, IF(N228="", 0, IFERROR(VALUE(MID(N228, SEARCH("(",N228)+1, 1)),0))), IF(R228="Yes", 0, IF(Q228="", 0, IFERROR(VALUE(MID(Q228, SEARCH("(",Q228)+1, 1)),0)))))</f>
        <v/>
      </c>
      <c r="U228">
        <f>IF(A228="","", IF(T228&gt;=5, "Priority 1 (Critical)", IF(T228&gt;=3, "Priority 2 (Major)", IF(T228&gt;=1, "Priority 3 (Minor)", "Pass/Fixed"))))</f>
        <v/>
      </c>
      <c r="V228">
        <f>IF(A228="","", IF(T228&gt;0, "FAIL", "PASS"))</f>
        <v/>
      </c>
    </row>
    <row r="229">
      <c r="A229">
        <f>IF('Equipment Information'!A229="","", 'Equipment Information'!A229)</f>
        <v/>
      </c>
      <c r="B229">
        <f>IF('Equipment Information'!B229="","", 'Equipment Information'!B229)</f>
        <v/>
      </c>
      <c r="C229">
        <f>IF('Equipment Information'!C229="","", 'Equipment Information'!C229)</f>
        <v/>
      </c>
      <c r="E229">
        <f>IF(D229="","", IFERROR(VLOOKUP(D229, 'Hidden_Data'!M:N, 2, FALSE), "0"))</f>
        <v/>
      </c>
      <c r="H229">
        <f>IF(G229="","", IFERROR(VLOOKUP(G229, 'Hidden_Data'!M:N, 2, FALSE), "0"))</f>
        <v/>
      </c>
      <c r="K229">
        <f>IF(J229="","", IFERROR(VLOOKUP(J229, 'Hidden_Data'!M:N, 2, FALSE), "0"))</f>
        <v/>
      </c>
      <c r="N229">
        <f>IF(M229="","", IFERROR(VLOOKUP(M229, 'Hidden_Data'!M:N, 2, FALSE), "0"))</f>
        <v/>
      </c>
      <c r="Q229">
        <f>IF(P229="","", IFERROR(VLOOKUP(P229, 'Hidden_Data'!M:N, 2, FALSE), "0"))</f>
        <v/>
      </c>
      <c r="T229">
        <f>IF(A229="","", SUM(IF(F229="Yes", 0, IF(E229="", 0, IFERROR(VALUE(MID(E229, SEARCH("(",E229)+1, 1)),0))), IF(I229="Yes", 0, IF(H229="", 0, IFERROR(VALUE(MID(H229, SEARCH("(",H229)+1, 1)),0))), IF(L229="Yes", 0, IF(K229="", 0, IFERROR(VALUE(MID(K229, SEARCH("(",K229)+1, 1)),0))), IF(O229="Yes", 0, IF(N229="", 0, IFERROR(VALUE(MID(N229, SEARCH("(",N229)+1, 1)),0))), IF(R229="Yes", 0, IF(Q229="", 0, IFERROR(VALUE(MID(Q229, SEARCH("(",Q229)+1, 1)),0)))))</f>
        <v/>
      </c>
      <c r="U229">
        <f>IF(A229="","", IF(T229&gt;=5, "Priority 1 (Critical)", IF(T229&gt;=3, "Priority 2 (Major)", IF(T229&gt;=1, "Priority 3 (Minor)", "Pass/Fixed"))))</f>
        <v/>
      </c>
      <c r="V229">
        <f>IF(A229="","", IF(T229&gt;0, "FAIL", "PASS"))</f>
        <v/>
      </c>
    </row>
    <row r="230">
      <c r="A230">
        <f>IF('Equipment Information'!A230="","", 'Equipment Information'!A230)</f>
        <v/>
      </c>
      <c r="B230">
        <f>IF('Equipment Information'!B230="","", 'Equipment Information'!B230)</f>
        <v/>
      </c>
      <c r="C230">
        <f>IF('Equipment Information'!C230="","", 'Equipment Information'!C230)</f>
        <v/>
      </c>
      <c r="E230">
        <f>IF(D230="","", IFERROR(VLOOKUP(D230, 'Hidden_Data'!M:N, 2, FALSE), "0"))</f>
        <v/>
      </c>
      <c r="H230">
        <f>IF(G230="","", IFERROR(VLOOKUP(G230, 'Hidden_Data'!M:N, 2, FALSE), "0"))</f>
        <v/>
      </c>
      <c r="K230">
        <f>IF(J230="","", IFERROR(VLOOKUP(J230, 'Hidden_Data'!M:N, 2, FALSE), "0"))</f>
        <v/>
      </c>
      <c r="N230">
        <f>IF(M230="","", IFERROR(VLOOKUP(M230, 'Hidden_Data'!M:N, 2, FALSE), "0"))</f>
        <v/>
      </c>
      <c r="Q230">
        <f>IF(P230="","", IFERROR(VLOOKUP(P230, 'Hidden_Data'!M:N, 2, FALSE), "0"))</f>
        <v/>
      </c>
      <c r="T230">
        <f>IF(A230="","", SUM(IF(F230="Yes", 0, IF(E230="", 0, IFERROR(VALUE(MID(E230, SEARCH("(",E230)+1, 1)),0))), IF(I230="Yes", 0, IF(H230="", 0, IFERROR(VALUE(MID(H230, SEARCH("(",H230)+1, 1)),0))), IF(L230="Yes", 0, IF(K230="", 0, IFERROR(VALUE(MID(K230, SEARCH("(",K230)+1, 1)),0))), IF(O230="Yes", 0, IF(N230="", 0, IFERROR(VALUE(MID(N230, SEARCH("(",N230)+1, 1)),0))), IF(R230="Yes", 0, IF(Q230="", 0, IFERROR(VALUE(MID(Q230, SEARCH("(",Q230)+1, 1)),0)))))</f>
        <v/>
      </c>
      <c r="U230">
        <f>IF(A230="","", IF(T230&gt;=5, "Priority 1 (Critical)", IF(T230&gt;=3, "Priority 2 (Major)", IF(T230&gt;=1, "Priority 3 (Minor)", "Pass/Fixed"))))</f>
        <v/>
      </c>
      <c r="V230">
        <f>IF(A230="","", IF(T230&gt;0, "FAIL", "PASS"))</f>
        <v/>
      </c>
    </row>
    <row r="231">
      <c r="A231">
        <f>IF('Equipment Information'!A231="","", 'Equipment Information'!A231)</f>
        <v/>
      </c>
      <c r="B231">
        <f>IF('Equipment Information'!B231="","", 'Equipment Information'!B231)</f>
        <v/>
      </c>
      <c r="C231">
        <f>IF('Equipment Information'!C231="","", 'Equipment Information'!C231)</f>
        <v/>
      </c>
      <c r="E231">
        <f>IF(D231="","", IFERROR(VLOOKUP(D231, 'Hidden_Data'!M:N, 2, FALSE), "0"))</f>
        <v/>
      </c>
      <c r="H231">
        <f>IF(G231="","", IFERROR(VLOOKUP(G231, 'Hidden_Data'!M:N, 2, FALSE), "0"))</f>
        <v/>
      </c>
      <c r="K231">
        <f>IF(J231="","", IFERROR(VLOOKUP(J231, 'Hidden_Data'!M:N, 2, FALSE), "0"))</f>
        <v/>
      </c>
      <c r="N231">
        <f>IF(M231="","", IFERROR(VLOOKUP(M231, 'Hidden_Data'!M:N, 2, FALSE), "0"))</f>
        <v/>
      </c>
      <c r="Q231">
        <f>IF(P231="","", IFERROR(VLOOKUP(P231, 'Hidden_Data'!M:N, 2, FALSE), "0"))</f>
        <v/>
      </c>
      <c r="T231">
        <f>IF(A231="","", SUM(IF(F231="Yes", 0, IF(E231="", 0, IFERROR(VALUE(MID(E231, SEARCH("(",E231)+1, 1)),0))), IF(I231="Yes", 0, IF(H231="", 0, IFERROR(VALUE(MID(H231, SEARCH("(",H231)+1, 1)),0))), IF(L231="Yes", 0, IF(K231="", 0, IFERROR(VALUE(MID(K231, SEARCH("(",K231)+1, 1)),0))), IF(O231="Yes", 0, IF(N231="", 0, IFERROR(VALUE(MID(N231, SEARCH("(",N231)+1, 1)),0))), IF(R231="Yes", 0, IF(Q231="", 0, IFERROR(VALUE(MID(Q231, SEARCH("(",Q231)+1, 1)),0)))))</f>
        <v/>
      </c>
      <c r="U231">
        <f>IF(A231="","", IF(T231&gt;=5, "Priority 1 (Critical)", IF(T231&gt;=3, "Priority 2 (Major)", IF(T231&gt;=1, "Priority 3 (Minor)", "Pass/Fixed"))))</f>
        <v/>
      </c>
      <c r="V231">
        <f>IF(A231="","", IF(T231&gt;0, "FAIL", "PASS"))</f>
        <v/>
      </c>
    </row>
    <row r="232">
      <c r="A232">
        <f>IF('Equipment Information'!A232="","", 'Equipment Information'!A232)</f>
        <v/>
      </c>
      <c r="B232">
        <f>IF('Equipment Information'!B232="","", 'Equipment Information'!B232)</f>
        <v/>
      </c>
      <c r="C232">
        <f>IF('Equipment Information'!C232="","", 'Equipment Information'!C232)</f>
        <v/>
      </c>
      <c r="E232">
        <f>IF(D232="","", IFERROR(VLOOKUP(D232, 'Hidden_Data'!M:N, 2, FALSE), "0"))</f>
        <v/>
      </c>
      <c r="H232">
        <f>IF(G232="","", IFERROR(VLOOKUP(G232, 'Hidden_Data'!M:N, 2, FALSE), "0"))</f>
        <v/>
      </c>
      <c r="K232">
        <f>IF(J232="","", IFERROR(VLOOKUP(J232, 'Hidden_Data'!M:N, 2, FALSE), "0"))</f>
        <v/>
      </c>
      <c r="N232">
        <f>IF(M232="","", IFERROR(VLOOKUP(M232, 'Hidden_Data'!M:N, 2, FALSE), "0"))</f>
        <v/>
      </c>
      <c r="Q232">
        <f>IF(P232="","", IFERROR(VLOOKUP(P232, 'Hidden_Data'!M:N, 2, FALSE), "0"))</f>
        <v/>
      </c>
      <c r="T232">
        <f>IF(A232="","", SUM(IF(F232="Yes", 0, IF(E232="", 0, IFERROR(VALUE(MID(E232, SEARCH("(",E232)+1, 1)),0))), IF(I232="Yes", 0, IF(H232="", 0, IFERROR(VALUE(MID(H232, SEARCH("(",H232)+1, 1)),0))), IF(L232="Yes", 0, IF(K232="", 0, IFERROR(VALUE(MID(K232, SEARCH("(",K232)+1, 1)),0))), IF(O232="Yes", 0, IF(N232="", 0, IFERROR(VALUE(MID(N232, SEARCH("(",N232)+1, 1)),0))), IF(R232="Yes", 0, IF(Q232="", 0, IFERROR(VALUE(MID(Q232, SEARCH("(",Q232)+1, 1)),0)))))</f>
        <v/>
      </c>
      <c r="U232">
        <f>IF(A232="","", IF(T232&gt;=5, "Priority 1 (Critical)", IF(T232&gt;=3, "Priority 2 (Major)", IF(T232&gt;=1, "Priority 3 (Minor)", "Pass/Fixed"))))</f>
        <v/>
      </c>
      <c r="V232">
        <f>IF(A232="","", IF(T232&gt;0, "FAIL", "PASS"))</f>
        <v/>
      </c>
    </row>
    <row r="233">
      <c r="A233">
        <f>IF('Equipment Information'!A233="","", 'Equipment Information'!A233)</f>
        <v/>
      </c>
      <c r="B233">
        <f>IF('Equipment Information'!B233="","", 'Equipment Information'!B233)</f>
        <v/>
      </c>
      <c r="C233">
        <f>IF('Equipment Information'!C233="","", 'Equipment Information'!C233)</f>
        <v/>
      </c>
      <c r="E233">
        <f>IF(D233="","", IFERROR(VLOOKUP(D233, 'Hidden_Data'!M:N, 2, FALSE), "0"))</f>
        <v/>
      </c>
      <c r="H233">
        <f>IF(G233="","", IFERROR(VLOOKUP(G233, 'Hidden_Data'!M:N, 2, FALSE), "0"))</f>
        <v/>
      </c>
      <c r="K233">
        <f>IF(J233="","", IFERROR(VLOOKUP(J233, 'Hidden_Data'!M:N, 2, FALSE), "0"))</f>
        <v/>
      </c>
      <c r="N233">
        <f>IF(M233="","", IFERROR(VLOOKUP(M233, 'Hidden_Data'!M:N, 2, FALSE), "0"))</f>
        <v/>
      </c>
      <c r="Q233">
        <f>IF(P233="","", IFERROR(VLOOKUP(P233, 'Hidden_Data'!M:N, 2, FALSE), "0"))</f>
        <v/>
      </c>
      <c r="T233">
        <f>IF(A233="","", SUM(IF(F233="Yes", 0, IF(E233="", 0, IFERROR(VALUE(MID(E233, SEARCH("(",E233)+1, 1)),0))), IF(I233="Yes", 0, IF(H233="", 0, IFERROR(VALUE(MID(H233, SEARCH("(",H233)+1, 1)),0))), IF(L233="Yes", 0, IF(K233="", 0, IFERROR(VALUE(MID(K233, SEARCH("(",K233)+1, 1)),0))), IF(O233="Yes", 0, IF(N233="", 0, IFERROR(VALUE(MID(N233, SEARCH("(",N233)+1, 1)),0))), IF(R233="Yes", 0, IF(Q233="", 0, IFERROR(VALUE(MID(Q233, SEARCH("(",Q233)+1, 1)),0)))))</f>
        <v/>
      </c>
      <c r="U233">
        <f>IF(A233="","", IF(T233&gt;=5, "Priority 1 (Critical)", IF(T233&gt;=3, "Priority 2 (Major)", IF(T233&gt;=1, "Priority 3 (Minor)", "Pass/Fixed"))))</f>
        <v/>
      </c>
      <c r="V233">
        <f>IF(A233="","", IF(T233&gt;0, "FAIL", "PASS"))</f>
        <v/>
      </c>
    </row>
    <row r="234">
      <c r="A234">
        <f>IF('Equipment Information'!A234="","", 'Equipment Information'!A234)</f>
        <v/>
      </c>
      <c r="B234">
        <f>IF('Equipment Information'!B234="","", 'Equipment Information'!B234)</f>
        <v/>
      </c>
      <c r="C234">
        <f>IF('Equipment Information'!C234="","", 'Equipment Information'!C234)</f>
        <v/>
      </c>
      <c r="E234">
        <f>IF(D234="","", IFERROR(VLOOKUP(D234, 'Hidden_Data'!M:N, 2, FALSE), "0"))</f>
        <v/>
      </c>
      <c r="H234">
        <f>IF(G234="","", IFERROR(VLOOKUP(G234, 'Hidden_Data'!M:N, 2, FALSE), "0"))</f>
        <v/>
      </c>
      <c r="K234">
        <f>IF(J234="","", IFERROR(VLOOKUP(J234, 'Hidden_Data'!M:N, 2, FALSE), "0"))</f>
        <v/>
      </c>
      <c r="N234">
        <f>IF(M234="","", IFERROR(VLOOKUP(M234, 'Hidden_Data'!M:N, 2, FALSE), "0"))</f>
        <v/>
      </c>
      <c r="Q234">
        <f>IF(P234="","", IFERROR(VLOOKUP(P234, 'Hidden_Data'!M:N, 2, FALSE), "0"))</f>
        <v/>
      </c>
      <c r="T234">
        <f>IF(A234="","", SUM(IF(F234="Yes", 0, IF(E234="", 0, IFERROR(VALUE(MID(E234, SEARCH("(",E234)+1, 1)),0))), IF(I234="Yes", 0, IF(H234="", 0, IFERROR(VALUE(MID(H234, SEARCH("(",H234)+1, 1)),0))), IF(L234="Yes", 0, IF(K234="", 0, IFERROR(VALUE(MID(K234, SEARCH("(",K234)+1, 1)),0))), IF(O234="Yes", 0, IF(N234="", 0, IFERROR(VALUE(MID(N234, SEARCH("(",N234)+1, 1)),0))), IF(R234="Yes", 0, IF(Q234="", 0, IFERROR(VALUE(MID(Q234, SEARCH("(",Q234)+1, 1)),0)))))</f>
        <v/>
      </c>
      <c r="U234">
        <f>IF(A234="","", IF(T234&gt;=5, "Priority 1 (Critical)", IF(T234&gt;=3, "Priority 2 (Major)", IF(T234&gt;=1, "Priority 3 (Minor)", "Pass/Fixed"))))</f>
        <v/>
      </c>
      <c r="V234">
        <f>IF(A234="","", IF(T234&gt;0, "FAIL", "PASS"))</f>
        <v/>
      </c>
    </row>
    <row r="235">
      <c r="A235">
        <f>IF('Equipment Information'!A235="","", 'Equipment Information'!A235)</f>
        <v/>
      </c>
      <c r="B235">
        <f>IF('Equipment Information'!B235="","", 'Equipment Information'!B235)</f>
        <v/>
      </c>
      <c r="C235">
        <f>IF('Equipment Information'!C235="","", 'Equipment Information'!C235)</f>
        <v/>
      </c>
      <c r="E235">
        <f>IF(D235="","", IFERROR(VLOOKUP(D235, 'Hidden_Data'!M:N, 2, FALSE), "0"))</f>
        <v/>
      </c>
      <c r="H235">
        <f>IF(G235="","", IFERROR(VLOOKUP(G235, 'Hidden_Data'!M:N, 2, FALSE), "0"))</f>
        <v/>
      </c>
      <c r="K235">
        <f>IF(J235="","", IFERROR(VLOOKUP(J235, 'Hidden_Data'!M:N, 2, FALSE), "0"))</f>
        <v/>
      </c>
      <c r="N235">
        <f>IF(M235="","", IFERROR(VLOOKUP(M235, 'Hidden_Data'!M:N, 2, FALSE), "0"))</f>
        <v/>
      </c>
      <c r="Q235">
        <f>IF(P235="","", IFERROR(VLOOKUP(P235, 'Hidden_Data'!M:N, 2, FALSE), "0"))</f>
        <v/>
      </c>
      <c r="T235">
        <f>IF(A235="","", SUM(IF(F235="Yes", 0, IF(E235="", 0, IFERROR(VALUE(MID(E235, SEARCH("(",E235)+1, 1)),0))), IF(I235="Yes", 0, IF(H235="", 0, IFERROR(VALUE(MID(H235, SEARCH("(",H235)+1, 1)),0))), IF(L235="Yes", 0, IF(K235="", 0, IFERROR(VALUE(MID(K235, SEARCH("(",K235)+1, 1)),0))), IF(O235="Yes", 0, IF(N235="", 0, IFERROR(VALUE(MID(N235, SEARCH("(",N235)+1, 1)),0))), IF(R235="Yes", 0, IF(Q235="", 0, IFERROR(VALUE(MID(Q235, SEARCH("(",Q235)+1, 1)),0)))))</f>
        <v/>
      </c>
      <c r="U235">
        <f>IF(A235="","", IF(T235&gt;=5, "Priority 1 (Critical)", IF(T235&gt;=3, "Priority 2 (Major)", IF(T235&gt;=1, "Priority 3 (Minor)", "Pass/Fixed"))))</f>
        <v/>
      </c>
      <c r="V235">
        <f>IF(A235="","", IF(T235&gt;0, "FAIL", "PASS"))</f>
        <v/>
      </c>
    </row>
    <row r="236">
      <c r="A236">
        <f>IF('Equipment Information'!A236="","", 'Equipment Information'!A236)</f>
        <v/>
      </c>
      <c r="B236">
        <f>IF('Equipment Information'!B236="","", 'Equipment Information'!B236)</f>
        <v/>
      </c>
      <c r="C236">
        <f>IF('Equipment Information'!C236="","", 'Equipment Information'!C236)</f>
        <v/>
      </c>
      <c r="E236">
        <f>IF(D236="","", IFERROR(VLOOKUP(D236, 'Hidden_Data'!M:N, 2, FALSE), "0"))</f>
        <v/>
      </c>
      <c r="H236">
        <f>IF(G236="","", IFERROR(VLOOKUP(G236, 'Hidden_Data'!M:N, 2, FALSE), "0"))</f>
        <v/>
      </c>
      <c r="K236">
        <f>IF(J236="","", IFERROR(VLOOKUP(J236, 'Hidden_Data'!M:N, 2, FALSE), "0"))</f>
        <v/>
      </c>
      <c r="N236">
        <f>IF(M236="","", IFERROR(VLOOKUP(M236, 'Hidden_Data'!M:N, 2, FALSE), "0"))</f>
        <v/>
      </c>
      <c r="Q236">
        <f>IF(P236="","", IFERROR(VLOOKUP(P236, 'Hidden_Data'!M:N, 2, FALSE), "0"))</f>
        <v/>
      </c>
      <c r="T236">
        <f>IF(A236="","", SUM(IF(F236="Yes", 0, IF(E236="", 0, IFERROR(VALUE(MID(E236, SEARCH("(",E236)+1, 1)),0))), IF(I236="Yes", 0, IF(H236="", 0, IFERROR(VALUE(MID(H236, SEARCH("(",H236)+1, 1)),0))), IF(L236="Yes", 0, IF(K236="", 0, IFERROR(VALUE(MID(K236, SEARCH("(",K236)+1, 1)),0))), IF(O236="Yes", 0, IF(N236="", 0, IFERROR(VALUE(MID(N236, SEARCH("(",N236)+1, 1)),0))), IF(R236="Yes", 0, IF(Q236="", 0, IFERROR(VALUE(MID(Q236, SEARCH("(",Q236)+1, 1)),0)))))</f>
        <v/>
      </c>
      <c r="U236">
        <f>IF(A236="","", IF(T236&gt;=5, "Priority 1 (Critical)", IF(T236&gt;=3, "Priority 2 (Major)", IF(T236&gt;=1, "Priority 3 (Minor)", "Pass/Fixed"))))</f>
        <v/>
      </c>
      <c r="V236">
        <f>IF(A236="","", IF(T236&gt;0, "FAIL", "PASS"))</f>
        <v/>
      </c>
    </row>
    <row r="237">
      <c r="A237">
        <f>IF('Equipment Information'!A237="","", 'Equipment Information'!A237)</f>
        <v/>
      </c>
      <c r="B237">
        <f>IF('Equipment Information'!B237="","", 'Equipment Information'!B237)</f>
        <v/>
      </c>
      <c r="C237">
        <f>IF('Equipment Information'!C237="","", 'Equipment Information'!C237)</f>
        <v/>
      </c>
      <c r="E237">
        <f>IF(D237="","", IFERROR(VLOOKUP(D237, 'Hidden_Data'!M:N, 2, FALSE), "0"))</f>
        <v/>
      </c>
      <c r="H237">
        <f>IF(G237="","", IFERROR(VLOOKUP(G237, 'Hidden_Data'!M:N, 2, FALSE), "0"))</f>
        <v/>
      </c>
      <c r="K237">
        <f>IF(J237="","", IFERROR(VLOOKUP(J237, 'Hidden_Data'!M:N, 2, FALSE), "0"))</f>
        <v/>
      </c>
      <c r="N237">
        <f>IF(M237="","", IFERROR(VLOOKUP(M237, 'Hidden_Data'!M:N, 2, FALSE), "0"))</f>
        <v/>
      </c>
      <c r="Q237">
        <f>IF(P237="","", IFERROR(VLOOKUP(P237, 'Hidden_Data'!M:N, 2, FALSE), "0"))</f>
        <v/>
      </c>
      <c r="T237">
        <f>IF(A237="","", SUM(IF(F237="Yes", 0, IF(E237="", 0, IFERROR(VALUE(MID(E237, SEARCH("(",E237)+1, 1)),0))), IF(I237="Yes", 0, IF(H237="", 0, IFERROR(VALUE(MID(H237, SEARCH("(",H237)+1, 1)),0))), IF(L237="Yes", 0, IF(K237="", 0, IFERROR(VALUE(MID(K237, SEARCH("(",K237)+1, 1)),0))), IF(O237="Yes", 0, IF(N237="", 0, IFERROR(VALUE(MID(N237, SEARCH("(",N237)+1, 1)),0))), IF(R237="Yes", 0, IF(Q237="", 0, IFERROR(VALUE(MID(Q237, SEARCH("(",Q237)+1, 1)),0)))))</f>
        <v/>
      </c>
      <c r="U237">
        <f>IF(A237="","", IF(T237&gt;=5, "Priority 1 (Critical)", IF(T237&gt;=3, "Priority 2 (Major)", IF(T237&gt;=1, "Priority 3 (Minor)", "Pass/Fixed"))))</f>
        <v/>
      </c>
      <c r="V237">
        <f>IF(A237="","", IF(T237&gt;0, "FAIL", "PASS"))</f>
        <v/>
      </c>
    </row>
    <row r="238">
      <c r="A238">
        <f>IF('Equipment Information'!A238="","", 'Equipment Information'!A238)</f>
        <v/>
      </c>
      <c r="B238">
        <f>IF('Equipment Information'!B238="","", 'Equipment Information'!B238)</f>
        <v/>
      </c>
      <c r="C238">
        <f>IF('Equipment Information'!C238="","", 'Equipment Information'!C238)</f>
        <v/>
      </c>
      <c r="E238">
        <f>IF(D238="","", IFERROR(VLOOKUP(D238, 'Hidden_Data'!M:N, 2, FALSE), "0"))</f>
        <v/>
      </c>
      <c r="H238">
        <f>IF(G238="","", IFERROR(VLOOKUP(G238, 'Hidden_Data'!M:N, 2, FALSE), "0"))</f>
        <v/>
      </c>
      <c r="K238">
        <f>IF(J238="","", IFERROR(VLOOKUP(J238, 'Hidden_Data'!M:N, 2, FALSE), "0"))</f>
        <v/>
      </c>
      <c r="N238">
        <f>IF(M238="","", IFERROR(VLOOKUP(M238, 'Hidden_Data'!M:N, 2, FALSE), "0"))</f>
        <v/>
      </c>
      <c r="Q238">
        <f>IF(P238="","", IFERROR(VLOOKUP(P238, 'Hidden_Data'!M:N, 2, FALSE), "0"))</f>
        <v/>
      </c>
      <c r="T238">
        <f>IF(A238="","", SUM(IF(F238="Yes", 0, IF(E238="", 0, IFERROR(VALUE(MID(E238, SEARCH("(",E238)+1, 1)),0))), IF(I238="Yes", 0, IF(H238="", 0, IFERROR(VALUE(MID(H238, SEARCH("(",H238)+1, 1)),0))), IF(L238="Yes", 0, IF(K238="", 0, IFERROR(VALUE(MID(K238, SEARCH("(",K238)+1, 1)),0))), IF(O238="Yes", 0, IF(N238="", 0, IFERROR(VALUE(MID(N238, SEARCH("(",N238)+1, 1)),0))), IF(R238="Yes", 0, IF(Q238="", 0, IFERROR(VALUE(MID(Q238, SEARCH("(",Q238)+1, 1)),0)))))</f>
        <v/>
      </c>
      <c r="U238">
        <f>IF(A238="","", IF(T238&gt;=5, "Priority 1 (Critical)", IF(T238&gt;=3, "Priority 2 (Major)", IF(T238&gt;=1, "Priority 3 (Minor)", "Pass/Fixed"))))</f>
        <v/>
      </c>
      <c r="V238">
        <f>IF(A238="","", IF(T238&gt;0, "FAIL", "PASS"))</f>
        <v/>
      </c>
    </row>
    <row r="239">
      <c r="A239">
        <f>IF('Equipment Information'!A239="","", 'Equipment Information'!A239)</f>
        <v/>
      </c>
      <c r="B239">
        <f>IF('Equipment Information'!B239="","", 'Equipment Information'!B239)</f>
        <v/>
      </c>
      <c r="C239">
        <f>IF('Equipment Information'!C239="","", 'Equipment Information'!C239)</f>
        <v/>
      </c>
      <c r="E239">
        <f>IF(D239="","", IFERROR(VLOOKUP(D239, 'Hidden_Data'!M:N, 2, FALSE), "0"))</f>
        <v/>
      </c>
      <c r="H239">
        <f>IF(G239="","", IFERROR(VLOOKUP(G239, 'Hidden_Data'!M:N, 2, FALSE), "0"))</f>
        <v/>
      </c>
      <c r="K239">
        <f>IF(J239="","", IFERROR(VLOOKUP(J239, 'Hidden_Data'!M:N, 2, FALSE), "0"))</f>
        <v/>
      </c>
      <c r="N239">
        <f>IF(M239="","", IFERROR(VLOOKUP(M239, 'Hidden_Data'!M:N, 2, FALSE), "0"))</f>
        <v/>
      </c>
      <c r="Q239">
        <f>IF(P239="","", IFERROR(VLOOKUP(P239, 'Hidden_Data'!M:N, 2, FALSE), "0"))</f>
        <v/>
      </c>
      <c r="T239">
        <f>IF(A239="","", SUM(IF(F239="Yes", 0, IF(E239="", 0, IFERROR(VALUE(MID(E239, SEARCH("(",E239)+1, 1)),0))), IF(I239="Yes", 0, IF(H239="", 0, IFERROR(VALUE(MID(H239, SEARCH("(",H239)+1, 1)),0))), IF(L239="Yes", 0, IF(K239="", 0, IFERROR(VALUE(MID(K239, SEARCH("(",K239)+1, 1)),0))), IF(O239="Yes", 0, IF(N239="", 0, IFERROR(VALUE(MID(N239, SEARCH("(",N239)+1, 1)),0))), IF(R239="Yes", 0, IF(Q239="", 0, IFERROR(VALUE(MID(Q239, SEARCH("(",Q239)+1, 1)),0)))))</f>
        <v/>
      </c>
      <c r="U239">
        <f>IF(A239="","", IF(T239&gt;=5, "Priority 1 (Critical)", IF(T239&gt;=3, "Priority 2 (Major)", IF(T239&gt;=1, "Priority 3 (Minor)", "Pass/Fixed"))))</f>
        <v/>
      </c>
      <c r="V239">
        <f>IF(A239="","", IF(T239&gt;0, "FAIL", "PASS"))</f>
        <v/>
      </c>
    </row>
    <row r="240">
      <c r="A240">
        <f>IF('Equipment Information'!A240="","", 'Equipment Information'!A240)</f>
        <v/>
      </c>
      <c r="B240">
        <f>IF('Equipment Information'!B240="","", 'Equipment Information'!B240)</f>
        <v/>
      </c>
      <c r="C240">
        <f>IF('Equipment Information'!C240="","", 'Equipment Information'!C240)</f>
        <v/>
      </c>
      <c r="E240">
        <f>IF(D240="","", IFERROR(VLOOKUP(D240, 'Hidden_Data'!M:N, 2, FALSE), "0"))</f>
        <v/>
      </c>
      <c r="H240">
        <f>IF(G240="","", IFERROR(VLOOKUP(G240, 'Hidden_Data'!M:N, 2, FALSE), "0"))</f>
        <v/>
      </c>
      <c r="K240">
        <f>IF(J240="","", IFERROR(VLOOKUP(J240, 'Hidden_Data'!M:N, 2, FALSE), "0"))</f>
        <v/>
      </c>
      <c r="N240">
        <f>IF(M240="","", IFERROR(VLOOKUP(M240, 'Hidden_Data'!M:N, 2, FALSE), "0"))</f>
        <v/>
      </c>
      <c r="Q240">
        <f>IF(P240="","", IFERROR(VLOOKUP(P240, 'Hidden_Data'!M:N, 2, FALSE), "0"))</f>
        <v/>
      </c>
      <c r="T240">
        <f>IF(A240="","", SUM(IF(F240="Yes", 0, IF(E240="", 0, IFERROR(VALUE(MID(E240, SEARCH("(",E240)+1, 1)),0))), IF(I240="Yes", 0, IF(H240="", 0, IFERROR(VALUE(MID(H240, SEARCH("(",H240)+1, 1)),0))), IF(L240="Yes", 0, IF(K240="", 0, IFERROR(VALUE(MID(K240, SEARCH("(",K240)+1, 1)),0))), IF(O240="Yes", 0, IF(N240="", 0, IFERROR(VALUE(MID(N240, SEARCH("(",N240)+1, 1)),0))), IF(R240="Yes", 0, IF(Q240="", 0, IFERROR(VALUE(MID(Q240, SEARCH("(",Q240)+1, 1)),0)))))</f>
        <v/>
      </c>
      <c r="U240">
        <f>IF(A240="","", IF(T240&gt;=5, "Priority 1 (Critical)", IF(T240&gt;=3, "Priority 2 (Major)", IF(T240&gt;=1, "Priority 3 (Minor)", "Pass/Fixed"))))</f>
        <v/>
      </c>
      <c r="V240">
        <f>IF(A240="","", IF(T240&gt;0, "FAIL", "PASS"))</f>
        <v/>
      </c>
    </row>
    <row r="241">
      <c r="A241">
        <f>IF('Equipment Information'!A241="","", 'Equipment Information'!A241)</f>
        <v/>
      </c>
      <c r="B241">
        <f>IF('Equipment Information'!B241="","", 'Equipment Information'!B241)</f>
        <v/>
      </c>
      <c r="C241">
        <f>IF('Equipment Information'!C241="","", 'Equipment Information'!C241)</f>
        <v/>
      </c>
      <c r="E241">
        <f>IF(D241="","", IFERROR(VLOOKUP(D241, 'Hidden_Data'!M:N, 2, FALSE), "0"))</f>
        <v/>
      </c>
      <c r="H241">
        <f>IF(G241="","", IFERROR(VLOOKUP(G241, 'Hidden_Data'!M:N, 2, FALSE), "0"))</f>
        <v/>
      </c>
      <c r="K241">
        <f>IF(J241="","", IFERROR(VLOOKUP(J241, 'Hidden_Data'!M:N, 2, FALSE), "0"))</f>
        <v/>
      </c>
      <c r="N241">
        <f>IF(M241="","", IFERROR(VLOOKUP(M241, 'Hidden_Data'!M:N, 2, FALSE), "0"))</f>
        <v/>
      </c>
      <c r="Q241">
        <f>IF(P241="","", IFERROR(VLOOKUP(P241, 'Hidden_Data'!M:N, 2, FALSE), "0"))</f>
        <v/>
      </c>
      <c r="T241">
        <f>IF(A241="","", SUM(IF(F241="Yes", 0, IF(E241="", 0, IFERROR(VALUE(MID(E241, SEARCH("(",E241)+1, 1)),0))), IF(I241="Yes", 0, IF(H241="", 0, IFERROR(VALUE(MID(H241, SEARCH("(",H241)+1, 1)),0))), IF(L241="Yes", 0, IF(K241="", 0, IFERROR(VALUE(MID(K241, SEARCH("(",K241)+1, 1)),0))), IF(O241="Yes", 0, IF(N241="", 0, IFERROR(VALUE(MID(N241, SEARCH("(",N241)+1, 1)),0))), IF(R241="Yes", 0, IF(Q241="", 0, IFERROR(VALUE(MID(Q241, SEARCH("(",Q241)+1, 1)),0)))))</f>
        <v/>
      </c>
      <c r="U241">
        <f>IF(A241="","", IF(T241&gt;=5, "Priority 1 (Critical)", IF(T241&gt;=3, "Priority 2 (Major)", IF(T241&gt;=1, "Priority 3 (Minor)", "Pass/Fixed"))))</f>
        <v/>
      </c>
      <c r="V241">
        <f>IF(A241="","", IF(T241&gt;0, "FAIL", "PASS"))</f>
        <v/>
      </c>
    </row>
    <row r="242">
      <c r="A242">
        <f>IF('Equipment Information'!A242="","", 'Equipment Information'!A242)</f>
        <v/>
      </c>
      <c r="B242">
        <f>IF('Equipment Information'!B242="","", 'Equipment Information'!B242)</f>
        <v/>
      </c>
      <c r="C242">
        <f>IF('Equipment Information'!C242="","", 'Equipment Information'!C242)</f>
        <v/>
      </c>
      <c r="E242">
        <f>IF(D242="","", IFERROR(VLOOKUP(D242, 'Hidden_Data'!M:N, 2, FALSE), "0"))</f>
        <v/>
      </c>
      <c r="H242">
        <f>IF(G242="","", IFERROR(VLOOKUP(G242, 'Hidden_Data'!M:N, 2, FALSE), "0"))</f>
        <v/>
      </c>
      <c r="K242">
        <f>IF(J242="","", IFERROR(VLOOKUP(J242, 'Hidden_Data'!M:N, 2, FALSE), "0"))</f>
        <v/>
      </c>
      <c r="N242">
        <f>IF(M242="","", IFERROR(VLOOKUP(M242, 'Hidden_Data'!M:N, 2, FALSE), "0"))</f>
        <v/>
      </c>
      <c r="Q242">
        <f>IF(P242="","", IFERROR(VLOOKUP(P242, 'Hidden_Data'!M:N, 2, FALSE), "0"))</f>
        <v/>
      </c>
      <c r="T242">
        <f>IF(A242="","", SUM(IF(F242="Yes", 0, IF(E242="", 0, IFERROR(VALUE(MID(E242, SEARCH("(",E242)+1, 1)),0))), IF(I242="Yes", 0, IF(H242="", 0, IFERROR(VALUE(MID(H242, SEARCH("(",H242)+1, 1)),0))), IF(L242="Yes", 0, IF(K242="", 0, IFERROR(VALUE(MID(K242, SEARCH("(",K242)+1, 1)),0))), IF(O242="Yes", 0, IF(N242="", 0, IFERROR(VALUE(MID(N242, SEARCH("(",N242)+1, 1)),0))), IF(R242="Yes", 0, IF(Q242="", 0, IFERROR(VALUE(MID(Q242, SEARCH("(",Q242)+1, 1)),0)))))</f>
        <v/>
      </c>
      <c r="U242">
        <f>IF(A242="","", IF(T242&gt;=5, "Priority 1 (Critical)", IF(T242&gt;=3, "Priority 2 (Major)", IF(T242&gt;=1, "Priority 3 (Minor)", "Pass/Fixed"))))</f>
        <v/>
      </c>
      <c r="V242">
        <f>IF(A242="","", IF(T242&gt;0, "FAIL", "PASS"))</f>
        <v/>
      </c>
    </row>
    <row r="243">
      <c r="A243">
        <f>IF('Equipment Information'!A243="","", 'Equipment Information'!A243)</f>
        <v/>
      </c>
      <c r="B243">
        <f>IF('Equipment Information'!B243="","", 'Equipment Information'!B243)</f>
        <v/>
      </c>
      <c r="C243">
        <f>IF('Equipment Information'!C243="","", 'Equipment Information'!C243)</f>
        <v/>
      </c>
      <c r="E243">
        <f>IF(D243="","", IFERROR(VLOOKUP(D243, 'Hidden_Data'!M:N, 2, FALSE), "0"))</f>
        <v/>
      </c>
      <c r="H243">
        <f>IF(G243="","", IFERROR(VLOOKUP(G243, 'Hidden_Data'!M:N, 2, FALSE), "0"))</f>
        <v/>
      </c>
      <c r="K243">
        <f>IF(J243="","", IFERROR(VLOOKUP(J243, 'Hidden_Data'!M:N, 2, FALSE), "0"))</f>
        <v/>
      </c>
      <c r="N243">
        <f>IF(M243="","", IFERROR(VLOOKUP(M243, 'Hidden_Data'!M:N, 2, FALSE), "0"))</f>
        <v/>
      </c>
      <c r="Q243">
        <f>IF(P243="","", IFERROR(VLOOKUP(P243, 'Hidden_Data'!M:N, 2, FALSE), "0"))</f>
        <v/>
      </c>
      <c r="T243">
        <f>IF(A243="","", SUM(IF(F243="Yes", 0, IF(E243="", 0, IFERROR(VALUE(MID(E243, SEARCH("(",E243)+1, 1)),0))), IF(I243="Yes", 0, IF(H243="", 0, IFERROR(VALUE(MID(H243, SEARCH("(",H243)+1, 1)),0))), IF(L243="Yes", 0, IF(K243="", 0, IFERROR(VALUE(MID(K243, SEARCH("(",K243)+1, 1)),0))), IF(O243="Yes", 0, IF(N243="", 0, IFERROR(VALUE(MID(N243, SEARCH("(",N243)+1, 1)),0))), IF(R243="Yes", 0, IF(Q243="", 0, IFERROR(VALUE(MID(Q243, SEARCH("(",Q243)+1, 1)),0)))))</f>
        <v/>
      </c>
      <c r="U243">
        <f>IF(A243="","", IF(T243&gt;=5, "Priority 1 (Critical)", IF(T243&gt;=3, "Priority 2 (Major)", IF(T243&gt;=1, "Priority 3 (Minor)", "Pass/Fixed"))))</f>
        <v/>
      </c>
      <c r="V243">
        <f>IF(A243="","", IF(T243&gt;0, "FAIL", "PASS"))</f>
        <v/>
      </c>
    </row>
    <row r="244">
      <c r="A244">
        <f>IF('Equipment Information'!A244="","", 'Equipment Information'!A244)</f>
        <v/>
      </c>
      <c r="B244">
        <f>IF('Equipment Information'!B244="","", 'Equipment Information'!B244)</f>
        <v/>
      </c>
      <c r="C244">
        <f>IF('Equipment Information'!C244="","", 'Equipment Information'!C244)</f>
        <v/>
      </c>
      <c r="E244">
        <f>IF(D244="","", IFERROR(VLOOKUP(D244, 'Hidden_Data'!M:N, 2, FALSE), "0"))</f>
        <v/>
      </c>
      <c r="H244">
        <f>IF(G244="","", IFERROR(VLOOKUP(G244, 'Hidden_Data'!M:N, 2, FALSE), "0"))</f>
        <v/>
      </c>
      <c r="K244">
        <f>IF(J244="","", IFERROR(VLOOKUP(J244, 'Hidden_Data'!M:N, 2, FALSE), "0"))</f>
        <v/>
      </c>
      <c r="N244">
        <f>IF(M244="","", IFERROR(VLOOKUP(M244, 'Hidden_Data'!M:N, 2, FALSE), "0"))</f>
        <v/>
      </c>
      <c r="Q244">
        <f>IF(P244="","", IFERROR(VLOOKUP(P244, 'Hidden_Data'!M:N, 2, FALSE), "0"))</f>
        <v/>
      </c>
      <c r="T244">
        <f>IF(A244="","", SUM(IF(F244="Yes", 0, IF(E244="", 0, IFERROR(VALUE(MID(E244, SEARCH("(",E244)+1, 1)),0))), IF(I244="Yes", 0, IF(H244="", 0, IFERROR(VALUE(MID(H244, SEARCH("(",H244)+1, 1)),0))), IF(L244="Yes", 0, IF(K244="", 0, IFERROR(VALUE(MID(K244, SEARCH("(",K244)+1, 1)),0))), IF(O244="Yes", 0, IF(N244="", 0, IFERROR(VALUE(MID(N244, SEARCH("(",N244)+1, 1)),0))), IF(R244="Yes", 0, IF(Q244="", 0, IFERROR(VALUE(MID(Q244, SEARCH("(",Q244)+1, 1)),0)))))</f>
        <v/>
      </c>
      <c r="U244">
        <f>IF(A244="","", IF(T244&gt;=5, "Priority 1 (Critical)", IF(T244&gt;=3, "Priority 2 (Major)", IF(T244&gt;=1, "Priority 3 (Minor)", "Pass/Fixed"))))</f>
        <v/>
      </c>
      <c r="V244">
        <f>IF(A244="","", IF(T244&gt;0, "FAIL", "PASS"))</f>
        <v/>
      </c>
    </row>
    <row r="245">
      <c r="A245">
        <f>IF('Equipment Information'!A245="","", 'Equipment Information'!A245)</f>
        <v/>
      </c>
      <c r="B245">
        <f>IF('Equipment Information'!B245="","", 'Equipment Information'!B245)</f>
        <v/>
      </c>
      <c r="C245">
        <f>IF('Equipment Information'!C245="","", 'Equipment Information'!C245)</f>
        <v/>
      </c>
      <c r="E245">
        <f>IF(D245="","", IFERROR(VLOOKUP(D245, 'Hidden_Data'!M:N, 2, FALSE), "0"))</f>
        <v/>
      </c>
      <c r="H245">
        <f>IF(G245="","", IFERROR(VLOOKUP(G245, 'Hidden_Data'!M:N, 2, FALSE), "0"))</f>
        <v/>
      </c>
      <c r="K245">
        <f>IF(J245="","", IFERROR(VLOOKUP(J245, 'Hidden_Data'!M:N, 2, FALSE), "0"))</f>
        <v/>
      </c>
      <c r="N245">
        <f>IF(M245="","", IFERROR(VLOOKUP(M245, 'Hidden_Data'!M:N, 2, FALSE), "0"))</f>
        <v/>
      </c>
      <c r="Q245">
        <f>IF(P245="","", IFERROR(VLOOKUP(P245, 'Hidden_Data'!M:N, 2, FALSE), "0"))</f>
        <v/>
      </c>
      <c r="T245">
        <f>IF(A245="","", SUM(IF(F245="Yes", 0, IF(E245="", 0, IFERROR(VALUE(MID(E245, SEARCH("(",E245)+1, 1)),0))), IF(I245="Yes", 0, IF(H245="", 0, IFERROR(VALUE(MID(H245, SEARCH("(",H245)+1, 1)),0))), IF(L245="Yes", 0, IF(K245="", 0, IFERROR(VALUE(MID(K245, SEARCH("(",K245)+1, 1)),0))), IF(O245="Yes", 0, IF(N245="", 0, IFERROR(VALUE(MID(N245, SEARCH("(",N245)+1, 1)),0))), IF(R245="Yes", 0, IF(Q245="", 0, IFERROR(VALUE(MID(Q245, SEARCH("(",Q245)+1, 1)),0)))))</f>
        <v/>
      </c>
      <c r="U245">
        <f>IF(A245="","", IF(T245&gt;=5, "Priority 1 (Critical)", IF(T245&gt;=3, "Priority 2 (Major)", IF(T245&gt;=1, "Priority 3 (Minor)", "Pass/Fixed"))))</f>
        <v/>
      </c>
      <c r="V245">
        <f>IF(A245="","", IF(T245&gt;0, "FAIL", "PASS"))</f>
        <v/>
      </c>
    </row>
    <row r="246">
      <c r="A246">
        <f>IF('Equipment Information'!A246="","", 'Equipment Information'!A246)</f>
        <v/>
      </c>
      <c r="B246">
        <f>IF('Equipment Information'!B246="","", 'Equipment Information'!B246)</f>
        <v/>
      </c>
      <c r="C246">
        <f>IF('Equipment Information'!C246="","", 'Equipment Information'!C246)</f>
        <v/>
      </c>
      <c r="E246">
        <f>IF(D246="","", IFERROR(VLOOKUP(D246, 'Hidden_Data'!M:N, 2, FALSE), "0"))</f>
        <v/>
      </c>
      <c r="H246">
        <f>IF(G246="","", IFERROR(VLOOKUP(G246, 'Hidden_Data'!M:N, 2, FALSE), "0"))</f>
        <v/>
      </c>
      <c r="K246">
        <f>IF(J246="","", IFERROR(VLOOKUP(J246, 'Hidden_Data'!M:N, 2, FALSE), "0"))</f>
        <v/>
      </c>
      <c r="N246">
        <f>IF(M246="","", IFERROR(VLOOKUP(M246, 'Hidden_Data'!M:N, 2, FALSE), "0"))</f>
        <v/>
      </c>
      <c r="Q246">
        <f>IF(P246="","", IFERROR(VLOOKUP(P246, 'Hidden_Data'!M:N, 2, FALSE), "0"))</f>
        <v/>
      </c>
      <c r="T246">
        <f>IF(A246="","", SUM(IF(F246="Yes", 0, IF(E246="", 0, IFERROR(VALUE(MID(E246, SEARCH("(",E246)+1, 1)),0))), IF(I246="Yes", 0, IF(H246="", 0, IFERROR(VALUE(MID(H246, SEARCH("(",H246)+1, 1)),0))), IF(L246="Yes", 0, IF(K246="", 0, IFERROR(VALUE(MID(K246, SEARCH("(",K246)+1, 1)),0))), IF(O246="Yes", 0, IF(N246="", 0, IFERROR(VALUE(MID(N246, SEARCH("(",N246)+1, 1)),0))), IF(R246="Yes", 0, IF(Q246="", 0, IFERROR(VALUE(MID(Q246, SEARCH("(",Q246)+1, 1)),0)))))</f>
        <v/>
      </c>
      <c r="U246">
        <f>IF(A246="","", IF(T246&gt;=5, "Priority 1 (Critical)", IF(T246&gt;=3, "Priority 2 (Major)", IF(T246&gt;=1, "Priority 3 (Minor)", "Pass/Fixed"))))</f>
        <v/>
      </c>
      <c r="V246">
        <f>IF(A246="","", IF(T246&gt;0, "FAIL", "PASS"))</f>
        <v/>
      </c>
    </row>
    <row r="247">
      <c r="A247">
        <f>IF('Equipment Information'!A247="","", 'Equipment Information'!A247)</f>
        <v/>
      </c>
      <c r="B247">
        <f>IF('Equipment Information'!B247="","", 'Equipment Information'!B247)</f>
        <v/>
      </c>
      <c r="C247">
        <f>IF('Equipment Information'!C247="","", 'Equipment Information'!C247)</f>
        <v/>
      </c>
      <c r="E247">
        <f>IF(D247="","", IFERROR(VLOOKUP(D247, 'Hidden_Data'!M:N, 2, FALSE), "0"))</f>
        <v/>
      </c>
      <c r="H247">
        <f>IF(G247="","", IFERROR(VLOOKUP(G247, 'Hidden_Data'!M:N, 2, FALSE), "0"))</f>
        <v/>
      </c>
      <c r="K247">
        <f>IF(J247="","", IFERROR(VLOOKUP(J247, 'Hidden_Data'!M:N, 2, FALSE), "0"))</f>
        <v/>
      </c>
      <c r="N247">
        <f>IF(M247="","", IFERROR(VLOOKUP(M247, 'Hidden_Data'!M:N, 2, FALSE), "0"))</f>
        <v/>
      </c>
      <c r="Q247">
        <f>IF(P247="","", IFERROR(VLOOKUP(P247, 'Hidden_Data'!M:N, 2, FALSE), "0"))</f>
        <v/>
      </c>
      <c r="T247">
        <f>IF(A247="","", SUM(IF(F247="Yes", 0, IF(E247="", 0, IFERROR(VALUE(MID(E247, SEARCH("(",E247)+1, 1)),0))), IF(I247="Yes", 0, IF(H247="", 0, IFERROR(VALUE(MID(H247, SEARCH("(",H247)+1, 1)),0))), IF(L247="Yes", 0, IF(K247="", 0, IFERROR(VALUE(MID(K247, SEARCH("(",K247)+1, 1)),0))), IF(O247="Yes", 0, IF(N247="", 0, IFERROR(VALUE(MID(N247, SEARCH("(",N247)+1, 1)),0))), IF(R247="Yes", 0, IF(Q247="", 0, IFERROR(VALUE(MID(Q247, SEARCH("(",Q247)+1, 1)),0)))))</f>
        <v/>
      </c>
      <c r="U247">
        <f>IF(A247="","", IF(T247&gt;=5, "Priority 1 (Critical)", IF(T247&gt;=3, "Priority 2 (Major)", IF(T247&gt;=1, "Priority 3 (Minor)", "Pass/Fixed"))))</f>
        <v/>
      </c>
      <c r="V247">
        <f>IF(A247="","", IF(T247&gt;0, "FAIL", "PASS"))</f>
        <v/>
      </c>
    </row>
    <row r="248">
      <c r="A248">
        <f>IF('Equipment Information'!A248="","", 'Equipment Information'!A248)</f>
        <v/>
      </c>
      <c r="B248">
        <f>IF('Equipment Information'!B248="","", 'Equipment Information'!B248)</f>
        <v/>
      </c>
      <c r="C248">
        <f>IF('Equipment Information'!C248="","", 'Equipment Information'!C248)</f>
        <v/>
      </c>
      <c r="E248">
        <f>IF(D248="","", IFERROR(VLOOKUP(D248, 'Hidden_Data'!M:N, 2, FALSE), "0"))</f>
        <v/>
      </c>
      <c r="H248">
        <f>IF(G248="","", IFERROR(VLOOKUP(G248, 'Hidden_Data'!M:N, 2, FALSE), "0"))</f>
        <v/>
      </c>
      <c r="K248">
        <f>IF(J248="","", IFERROR(VLOOKUP(J248, 'Hidden_Data'!M:N, 2, FALSE), "0"))</f>
        <v/>
      </c>
      <c r="N248">
        <f>IF(M248="","", IFERROR(VLOOKUP(M248, 'Hidden_Data'!M:N, 2, FALSE), "0"))</f>
        <v/>
      </c>
      <c r="Q248">
        <f>IF(P248="","", IFERROR(VLOOKUP(P248, 'Hidden_Data'!M:N, 2, FALSE), "0"))</f>
        <v/>
      </c>
      <c r="T248">
        <f>IF(A248="","", SUM(IF(F248="Yes", 0, IF(E248="", 0, IFERROR(VALUE(MID(E248, SEARCH("(",E248)+1, 1)),0))), IF(I248="Yes", 0, IF(H248="", 0, IFERROR(VALUE(MID(H248, SEARCH("(",H248)+1, 1)),0))), IF(L248="Yes", 0, IF(K248="", 0, IFERROR(VALUE(MID(K248, SEARCH("(",K248)+1, 1)),0))), IF(O248="Yes", 0, IF(N248="", 0, IFERROR(VALUE(MID(N248, SEARCH("(",N248)+1, 1)),0))), IF(R248="Yes", 0, IF(Q248="", 0, IFERROR(VALUE(MID(Q248, SEARCH("(",Q248)+1, 1)),0)))))</f>
        <v/>
      </c>
      <c r="U248">
        <f>IF(A248="","", IF(T248&gt;=5, "Priority 1 (Critical)", IF(T248&gt;=3, "Priority 2 (Major)", IF(T248&gt;=1, "Priority 3 (Minor)", "Pass/Fixed"))))</f>
        <v/>
      </c>
      <c r="V248">
        <f>IF(A248="","", IF(T248&gt;0, "FAIL", "PASS"))</f>
        <v/>
      </c>
    </row>
    <row r="249">
      <c r="A249">
        <f>IF('Equipment Information'!A249="","", 'Equipment Information'!A249)</f>
        <v/>
      </c>
      <c r="B249">
        <f>IF('Equipment Information'!B249="","", 'Equipment Information'!B249)</f>
        <v/>
      </c>
      <c r="C249">
        <f>IF('Equipment Information'!C249="","", 'Equipment Information'!C249)</f>
        <v/>
      </c>
      <c r="E249">
        <f>IF(D249="","", IFERROR(VLOOKUP(D249, 'Hidden_Data'!M:N, 2, FALSE), "0"))</f>
        <v/>
      </c>
      <c r="H249">
        <f>IF(G249="","", IFERROR(VLOOKUP(G249, 'Hidden_Data'!M:N, 2, FALSE), "0"))</f>
        <v/>
      </c>
      <c r="K249">
        <f>IF(J249="","", IFERROR(VLOOKUP(J249, 'Hidden_Data'!M:N, 2, FALSE), "0"))</f>
        <v/>
      </c>
      <c r="N249">
        <f>IF(M249="","", IFERROR(VLOOKUP(M249, 'Hidden_Data'!M:N, 2, FALSE), "0"))</f>
        <v/>
      </c>
      <c r="Q249">
        <f>IF(P249="","", IFERROR(VLOOKUP(P249, 'Hidden_Data'!M:N, 2, FALSE), "0"))</f>
        <v/>
      </c>
      <c r="T249">
        <f>IF(A249="","", SUM(IF(F249="Yes", 0, IF(E249="", 0, IFERROR(VALUE(MID(E249, SEARCH("(",E249)+1, 1)),0))), IF(I249="Yes", 0, IF(H249="", 0, IFERROR(VALUE(MID(H249, SEARCH("(",H249)+1, 1)),0))), IF(L249="Yes", 0, IF(K249="", 0, IFERROR(VALUE(MID(K249, SEARCH("(",K249)+1, 1)),0))), IF(O249="Yes", 0, IF(N249="", 0, IFERROR(VALUE(MID(N249, SEARCH("(",N249)+1, 1)),0))), IF(R249="Yes", 0, IF(Q249="", 0, IFERROR(VALUE(MID(Q249, SEARCH("(",Q249)+1, 1)),0)))))</f>
        <v/>
      </c>
      <c r="U249">
        <f>IF(A249="","", IF(T249&gt;=5, "Priority 1 (Critical)", IF(T249&gt;=3, "Priority 2 (Major)", IF(T249&gt;=1, "Priority 3 (Minor)", "Pass/Fixed"))))</f>
        <v/>
      </c>
      <c r="V249">
        <f>IF(A249="","", IF(T249&gt;0, "FAIL", "PASS"))</f>
        <v/>
      </c>
    </row>
    <row r="250">
      <c r="A250">
        <f>IF('Equipment Information'!A250="","", 'Equipment Information'!A250)</f>
        <v/>
      </c>
      <c r="B250">
        <f>IF('Equipment Information'!B250="","", 'Equipment Information'!B250)</f>
        <v/>
      </c>
      <c r="C250">
        <f>IF('Equipment Information'!C250="","", 'Equipment Information'!C250)</f>
        <v/>
      </c>
      <c r="E250">
        <f>IF(D250="","", IFERROR(VLOOKUP(D250, 'Hidden_Data'!M:N, 2, FALSE), "0"))</f>
        <v/>
      </c>
      <c r="H250">
        <f>IF(G250="","", IFERROR(VLOOKUP(G250, 'Hidden_Data'!M:N, 2, FALSE), "0"))</f>
        <v/>
      </c>
      <c r="K250">
        <f>IF(J250="","", IFERROR(VLOOKUP(J250, 'Hidden_Data'!M:N, 2, FALSE), "0"))</f>
        <v/>
      </c>
      <c r="N250">
        <f>IF(M250="","", IFERROR(VLOOKUP(M250, 'Hidden_Data'!M:N, 2, FALSE), "0"))</f>
        <v/>
      </c>
      <c r="Q250">
        <f>IF(P250="","", IFERROR(VLOOKUP(P250, 'Hidden_Data'!M:N, 2, FALSE), "0"))</f>
        <v/>
      </c>
      <c r="T250">
        <f>IF(A250="","", SUM(IF(F250="Yes", 0, IF(E250="", 0, IFERROR(VALUE(MID(E250, SEARCH("(",E250)+1, 1)),0))), IF(I250="Yes", 0, IF(H250="", 0, IFERROR(VALUE(MID(H250, SEARCH("(",H250)+1, 1)),0))), IF(L250="Yes", 0, IF(K250="", 0, IFERROR(VALUE(MID(K250, SEARCH("(",K250)+1, 1)),0))), IF(O250="Yes", 0, IF(N250="", 0, IFERROR(VALUE(MID(N250, SEARCH("(",N250)+1, 1)),0))), IF(R250="Yes", 0, IF(Q250="", 0, IFERROR(VALUE(MID(Q250, SEARCH("(",Q250)+1, 1)),0)))))</f>
        <v/>
      </c>
      <c r="U250">
        <f>IF(A250="","", IF(T250&gt;=5, "Priority 1 (Critical)", IF(T250&gt;=3, "Priority 2 (Major)", IF(T250&gt;=1, "Priority 3 (Minor)", "Pass/Fixed"))))</f>
        <v/>
      </c>
      <c r="V250">
        <f>IF(A250="","", IF(T250&gt;0, "FAIL", "PASS"))</f>
        <v/>
      </c>
    </row>
    <row r="251">
      <c r="A251">
        <f>IF('Equipment Information'!A251="","", 'Equipment Information'!A251)</f>
        <v/>
      </c>
      <c r="B251">
        <f>IF('Equipment Information'!B251="","", 'Equipment Information'!B251)</f>
        <v/>
      </c>
      <c r="C251">
        <f>IF('Equipment Information'!C251="","", 'Equipment Information'!C251)</f>
        <v/>
      </c>
      <c r="E251">
        <f>IF(D251="","", IFERROR(VLOOKUP(D251, 'Hidden_Data'!M:N, 2, FALSE), "0"))</f>
        <v/>
      </c>
      <c r="H251">
        <f>IF(G251="","", IFERROR(VLOOKUP(G251, 'Hidden_Data'!M:N, 2, FALSE), "0"))</f>
        <v/>
      </c>
      <c r="K251">
        <f>IF(J251="","", IFERROR(VLOOKUP(J251, 'Hidden_Data'!M:N, 2, FALSE), "0"))</f>
        <v/>
      </c>
      <c r="N251">
        <f>IF(M251="","", IFERROR(VLOOKUP(M251, 'Hidden_Data'!M:N, 2, FALSE), "0"))</f>
        <v/>
      </c>
      <c r="Q251">
        <f>IF(P251="","", IFERROR(VLOOKUP(P251, 'Hidden_Data'!M:N, 2, FALSE), "0"))</f>
        <v/>
      </c>
      <c r="T251">
        <f>IF(A251="","", SUM(IF(F251="Yes", 0, IF(E251="", 0, IFERROR(VALUE(MID(E251, SEARCH("(",E251)+1, 1)),0))), IF(I251="Yes", 0, IF(H251="", 0, IFERROR(VALUE(MID(H251, SEARCH("(",H251)+1, 1)),0))), IF(L251="Yes", 0, IF(K251="", 0, IFERROR(VALUE(MID(K251, SEARCH("(",K251)+1, 1)),0))), IF(O251="Yes", 0, IF(N251="", 0, IFERROR(VALUE(MID(N251, SEARCH("(",N251)+1, 1)),0))), IF(R251="Yes", 0, IF(Q251="", 0, IFERROR(VALUE(MID(Q251, SEARCH("(",Q251)+1, 1)),0)))))</f>
        <v/>
      </c>
      <c r="U251">
        <f>IF(A251="","", IF(T251&gt;=5, "Priority 1 (Critical)", IF(T251&gt;=3, "Priority 2 (Major)", IF(T251&gt;=1, "Priority 3 (Minor)", "Pass/Fixed"))))</f>
        <v/>
      </c>
      <c r="V251">
        <f>IF(A251="","", IF(T251&gt;0, "FAIL", "PASS"))</f>
        <v/>
      </c>
    </row>
    <row r="252">
      <c r="A252">
        <f>IF('Equipment Information'!A252="","", 'Equipment Information'!A252)</f>
        <v/>
      </c>
      <c r="B252">
        <f>IF('Equipment Information'!B252="","", 'Equipment Information'!B252)</f>
        <v/>
      </c>
      <c r="C252">
        <f>IF('Equipment Information'!C252="","", 'Equipment Information'!C252)</f>
        <v/>
      </c>
      <c r="E252">
        <f>IF(D252="","", IFERROR(VLOOKUP(D252, 'Hidden_Data'!M:N, 2, FALSE), "0"))</f>
        <v/>
      </c>
      <c r="H252">
        <f>IF(G252="","", IFERROR(VLOOKUP(G252, 'Hidden_Data'!M:N, 2, FALSE), "0"))</f>
        <v/>
      </c>
      <c r="K252">
        <f>IF(J252="","", IFERROR(VLOOKUP(J252, 'Hidden_Data'!M:N, 2, FALSE), "0"))</f>
        <v/>
      </c>
      <c r="N252">
        <f>IF(M252="","", IFERROR(VLOOKUP(M252, 'Hidden_Data'!M:N, 2, FALSE), "0"))</f>
        <v/>
      </c>
      <c r="Q252">
        <f>IF(P252="","", IFERROR(VLOOKUP(P252, 'Hidden_Data'!M:N, 2, FALSE), "0"))</f>
        <v/>
      </c>
      <c r="T252">
        <f>IF(A252="","", SUM(IF(F252="Yes", 0, IF(E252="", 0, IFERROR(VALUE(MID(E252, SEARCH("(",E252)+1, 1)),0))), IF(I252="Yes", 0, IF(H252="", 0, IFERROR(VALUE(MID(H252, SEARCH("(",H252)+1, 1)),0))), IF(L252="Yes", 0, IF(K252="", 0, IFERROR(VALUE(MID(K252, SEARCH("(",K252)+1, 1)),0))), IF(O252="Yes", 0, IF(N252="", 0, IFERROR(VALUE(MID(N252, SEARCH("(",N252)+1, 1)),0))), IF(R252="Yes", 0, IF(Q252="", 0, IFERROR(VALUE(MID(Q252, SEARCH("(",Q252)+1, 1)),0)))))</f>
        <v/>
      </c>
      <c r="U252">
        <f>IF(A252="","", IF(T252&gt;=5, "Priority 1 (Critical)", IF(T252&gt;=3, "Priority 2 (Major)", IF(T252&gt;=1, "Priority 3 (Minor)", "Pass/Fixed"))))</f>
        <v/>
      </c>
      <c r="V252">
        <f>IF(A252="","", IF(T252&gt;0, "FAIL", "PASS"))</f>
        <v/>
      </c>
    </row>
    <row r="253">
      <c r="A253">
        <f>IF('Equipment Information'!A253="","", 'Equipment Information'!A253)</f>
        <v/>
      </c>
      <c r="B253">
        <f>IF('Equipment Information'!B253="","", 'Equipment Information'!B253)</f>
        <v/>
      </c>
      <c r="C253">
        <f>IF('Equipment Information'!C253="","", 'Equipment Information'!C253)</f>
        <v/>
      </c>
      <c r="E253">
        <f>IF(D253="","", IFERROR(VLOOKUP(D253, 'Hidden_Data'!M:N, 2, FALSE), "0"))</f>
        <v/>
      </c>
      <c r="H253">
        <f>IF(G253="","", IFERROR(VLOOKUP(G253, 'Hidden_Data'!M:N, 2, FALSE), "0"))</f>
        <v/>
      </c>
      <c r="K253">
        <f>IF(J253="","", IFERROR(VLOOKUP(J253, 'Hidden_Data'!M:N, 2, FALSE), "0"))</f>
        <v/>
      </c>
      <c r="N253">
        <f>IF(M253="","", IFERROR(VLOOKUP(M253, 'Hidden_Data'!M:N, 2, FALSE), "0"))</f>
        <v/>
      </c>
      <c r="Q253">
        <f>IF(P253="","", IFERROR(VLOOKUP(P253, 'Hidden_Data'!M:N, 2, FALSE), "0"))</f>
        <v/>
      </c>
      <c r="T253">
        <f>IF(A253="","", SUM(IF(F253="Yes", 0, IF(E253="", 0, IFERROR(VALUE(MID(E253, SEARCH("(",E253)+1, 1)),0))), IF(I253="Yes", 0, IF(H253="", 0, IFERROR(VALUE(MID(H253, SEARCH("(",H253)+1, 1)),0))), IF(L253="Yes", 0, IF(K253="", 0, IFERROR(VALUE(MID(K253, SEARCH("(",K253)+1, 1)),0))), IF(O253="Yes", 0, IF(N253="", 0, IFERROR(VALUE(MID(N253, SEARCH("(",N253)+1, 1)),0))), IF(R253="Yes", 0, IF(Q253="", 0, IFERROR(VALUE(MID(Q253, SEARCH("(",Q253)+1, 1)),0)))))</f>
        <v/>
      </c>
      <c r="U253">
        <f>IF(A253="","", IF(T253&gt;=5, "Priority 1 (Critical)", IF(T253&gt;=3, "Priority 2 (Major)", IF(T253&gt;=1, "Priority 3 (Minor)", "Pass/Fixed"))))</f>
        <v/>
      </c>
      <c r="V253">
        <f>IF(A253="","", IF(T253&gt;0, "FAIL", "PASS"))</f>
        <v/>
      </c>
    </row>
    <row r="254">
      <c r="A254">
        <f>IF('Equipment Information'!A254="","", 'Equipment Information'!A254)</f>
        <v/>
      </c>
      <c r="B254">
        <f>IF('Equipment Information'!B254="","", 'Equipment Information'!B254)</f>
        <v/>
      </c>
      <c r="C254">
        <f>IF('Equipment Information'!C254="","", 'Equipment Information'!C254)</f>
        <v/>
      </c>
      <c r="E254">
        <f>IF(D254="","", IFERROR(VLOOKUP(D254, 'Hidden_Data'!M:N, 2, FALSE), "0"))</f>
        <v/>
      </c>
      <c r="H254">
        <f>IF(G254="","", IFERROR(VLOOKUP(G254, 'Hidden_Data'!M:N, 2, FALSE), "0"))</f>
        <v/>
      </c>
      <c r="K254">
        <f>IF(J254="","", IFERROR(VLOOKUP(J254, 'Hidden_Data'!M:N, 2, FALSE), "0"))</f>
        <v/>
      </c>
      <c r="N254">
        <f>IF(M254="","", IFERROR(VLOOKUP(M254, 'Hidden_Data'!M:N, 2, FALSE), "0"))</f>
        <v/>
      </c>
      <c r="Q254">
        <f>IF(P254="","", IFERROR(VLOOKUP(P254, 'Hidden_Data'!M:N, 2, FALSE), "0"))</f>
        <v/>
      </c>
      <c r="T254">
        <f>IF(A254="","", SUM(IF(F254="Yes", 0, IF(E254="", 0, IFERROR(VALUE(MID(E254, SEARCH("(",E254)+1, 1)),0))), IF(I254="Yes", 0, IF(H254="", 0, IFERROR(VALUE(MID(H254, SEARCH("(",H254)+1, 1)),0))), IF(L254="Yes", 0, IF(K254="", 0, IFERROR(VALUE(MID(K254, SEARCH("(",K254)+1, 1)),0))), IF(O254="Yes", 0, IF(N254="", 0, IFERROR(VALUE(MID(N254, SEARCH("(",N254)+1, 1)),0))), IF(R254="Yes", 0, IF(Q254="", 0, IFERROR(VALUE(MID(Q254, SEARCH("(",Q254)+1, 1)),0)))))</f>
        <v/>
      </c>
      <c r="U254">
        <f>IF(A254="","", IF(T254&gt;=5, "Priority 1 (Critical)", IF(T254&gt;=3, "Priority 2 (Major)", IF(T254&gt;=1, "Priority 3 (Minor)", "Pass/Fixed"))))</f>
        <v/>
      </c>
      <c r="V254">
        <f>IF(A254="","", IF(T254&gt;0, "FAIL", "PASS"))</f>
        <v/>
      </c>
    </row>
    <row r="255">
      <c r="A255">
        <f>IF('Equipment Information'!A255="","", 'Equipment Information'!A255)</f>
        <v/>
      </c>
      <c r="B255">
        <f>IF('Equipment Information'!B255="","", 'Equipment Information'!B255)</f>
        <v/>
      </c>
      <c r="C255">
        <f>IF('Equipment Information'!C255="","", 'Equipment Information'!C255)</f>
        <v/>
      </c>
      <c r="E255">
        <f>IF(D255="","", IFERROR(VLOOKUP(D255, 'Hidden_Data'!M:N, 2, FALSE), "0"))</f>
        <v/>
      </c>
      <c r="H255">
        <f>IF(G255="","", IFERROR(VLOOKUP(G255, 'Hidden_Data'!M:N, 2, FALSE), "0"))</f>
        <v/>
      </c>
      <c r="K255">
        <f>IF(J255="","", IFERROR(VLOOKUP(J255, 'Hidden_Data'!M:N, 2, FALSE), "0"))</f>
        <v/>
      </c>
      <c r="N255">
        <f>IF(M255="","", IFERROR(VLOOKUP(M255, 'Hidden_Data'!M:N, 2, FALSE), "0"))</f>
        <v/>
      </c>
      <c r="Q255">
        <f>IF(P255="","", IFERROR(VLOOKUP(P255, 'Hidden_Data'!M:N, 2, FALSE), "0"))</f>
        <v/>
      </c>
      <c r="T255">
        <f>IF(A255="","", SUM(IF(F255="Yes", 0, IF(E255="", 0, IFERROR(VALUE(MID(E255, SEARCH("(",E255)+1, 1)),0))), IF(I255="Yes", 0, IF(H255="", 0, IFERROR(VALUE(MID(H255, SEARCH("(",H255)+1, 1)),0))), IF(L255="Yes", 0, IF(K255="", 0, IFERROR(VALUE(MID(K255, SEARCH("(",K255)+1, 1)),0))), IF(O255="Yes", 0, IF(N255="", 0, IFERROR(VALUE(MID(N255, SEARCH("(",N255)+1, 1)),0))), IF(R255="Yes", 0, IF(Q255="", 0, IFERROR(VALUE(MID(Q255, SEARCH("(",Q255)+1, 1)),0)))))</f>
        <v/>
      </c>
      <c r="U255">
        <f>IF(A255="","", IF(T255&gt;=5, "Priority 1 (Critical)", IF(T255&gt;=3, "Priority 2 (Major)", IF(T255&gt;=1, "Priority 3 (Minor)", "Pass/Fixed"))))</f>
        <v/>
      </c>
      <c r="V255">
        <f>IF(A255="","", IF(T255&gt;0, "FAIL", "PASS"))</f>
        <v/>
      </c>
    </row>
    <row r="256">
      <c r="A256">
        <f>IF('Equipment Information'!A256="","", 'Equipment Information'!A256)</f>
        <v/>
      </c>
      <c r="B256">
        <f>IF('Equipment Information'!B256="","", 'Equipment Information'!B256)</f>
        <v/>
      </c>
      <c r="C256">
        <f>IF('Equipment Information'!C256="","", 'Equipment Information'!C256)</f>
        <v/>
      </c>
      <c r="E256">
        <f>IF(D256="","", IFERROR(VLOOKUP(D256, 'Hidden_Data'!M:N, 2, FALSE), "0"))</f>
        <v/>
      </c>
      <c r="H256">
        <f>IF(G256="","", IFERROR(VLOOKUP(G256, 'Hidden_Data'!M:N, 2, FALSE), "0"))</f>
        <v/>
      </c>
      <c r="K256">
        <f>IF(J256="","", IFERROR(VLOOKUP(J256, 'Hidden_Data'!M:N, 2, FALSE), "0"))</f>
        <v/>
      </c>
      <c r="N256">
        <f>IF(M256="","", IFERROR(VLOOKUP(M256, 'Hidden_Data'!M:N, 2, FALSE), "0"))</f>
        <v/>
      </c>
      <c r="Q256">
        <f>IF(P256="","", IFERROR(VLOOKUP(P256, 'Hidden_Data'!M:N, 2, FALSE), "0"))</f>
        <v/>
      </c>
      <c r="T256">
        <f>IF(A256="","", SUM(IF(F256="Yes", 0, IF(E256="", 0, IFERROR(VALUE(MID(E256, SEARCH("(",E256)+1, 1)),0))), IF(I256="Yes", 0, IF(H256="", 0, IFERROR(VALUE(MID(H256, SEARCH("(",H256)+1, 1)),0))), IF(L256="Yes", 0, IF(K256="", 0, IFERROR(VALUE(MID(K256, SEARCH("(",K256)+1, 1)),0))), IF(O256="Yes", 0, IF(N256="", 0, IFERROR(VALUE(MID(N256, SEARCH("(",N256)+1, 1)),0))), IF(R256="Yes", 0, IF(Q256="", 0, IFERROR(VALUE(MID(Q256, SEARCH("(",Q256)+1, 1)),0)))))</f>
        <v/>
      </c>
      <c r="U256">
        <f>IF(A256="","", IF(T256&gt;=5, "Priority 1 (Critical)", IF(T256&gt;=3, "Priority 2 (Major)", IF(T256&gt;=1, "Priority 3 (Minor)", "Pass/Fixed"))))</f>
        <v/>
      </c>
      <c r="V256">
        <f>IF(A256="","", IF(T256&gt;0, "FAIL", "PASS"))</f>
        <v/>
      </c>
    </row>
    <row r="257">
      <c r="A257">
        <f>IF('Equipment Information'!A257="","", 'Equipment Information'!A257)</f>
        <v/>
      </c>
      <c r="B257">
        <f>IF('Equipment Information'!B257="","", 'Equipment Information'!B257)</f>
        <v/>
      </c>
      <c r="C257">
        <f>IF('Equipment Information'!C257="","", 'Equipment Information'!C257)</f>
        <v/>
      </c>
      <c r="E257">
        <f>IF(D257="","", IFERROR(VLOOKUP(D257, 'Hidden_Data'!M:N, 2, FALSE), "0"))</f>
        <v/>
      </c>
      <c r="H257">
        <f>IF(G257="","", IFERROR(VLOOKUP(G257, 'Hidden_Data'!M:N, 2, FALSE), "0"))</f>
        <v/>
      </c>
      <c r="K257">
        <f>IF(J257="","", IFERROR(VLOOKUP(J257, 'Hidden_Data'!M:N, 2, FALSE), "0"))</f>
        <v/>
      </c>
      <c r="N257">
        <f>IF(M257="","", IFERROR(VLOOKUP(M257, 'Hidden_Data'!M:N, 2, FALSE), "0"))</f>
        <v/>
      </c>
      <c r="Q257">
        <f>IF(P257="","", IFERROR(VLOOKUP(P257, 'Hidden_Data'!M:N, 2, FALSE), "0"))</f>
        <v/>
      </c>
      <c r="T257">
        <f>IF(A257="","", SUM(IF(F257="Yes", 0, IF(E257="", 0, IFERROR(VALUE(MID(E257, SEARCH("(",E257)+1, 1)),0))), IF(I257="Yes", 0, IF(H257="", 0, IFERROR(VALUE(MID(H257, SEARCH("(",H257)+1, 1)),0))), IF(L257="Yes", 0, IF(K257="", 0, IFERROR(VALUE(MID(K257, SEARCH("(",K257)+1, 1)),0))), IF(O257="Yes", 0, IF(N257="", 0, IFERROR(VALUE(MID(N257, SEARCH("(",N257)+1, 1)),0))), IF(R257="Yes", 0, IF(Q257="", 0, IFERROR(VALUE(MID(Q257, SEARCH("(",Q257)+1, 1)),0)))))</f>
        <v/>
      </c>
      <c r="U257">
        <f>IF(A257="","", IF(T257&gt;=5, "Priority 1 (Critical)", IF(T257&gt;=3, "Priority 2 (Major)", IF(T257&gt;=1, "Priority 3 (Minor)", "Pass/Fixed"))))</f>
        <v/>
      </c>
      <c r="V257">
        <f>IF(A257="","", IF(T257&gt;0, "FAIL", "PASS"))</f>
        <v/>
      </c>
    </row>
    <row r="258">
      <c r="A258">
        <f>IF('Equipment Information'!A258="","", 'Equipment Information'!A258)</f>
        <v/>
      </c>
      <c r="B258">
        <f>IF('Equipment Information'!B258="","", 'Equipment Information'!B258)</f>
        <v/>
      </c>
      <c r="C258">
        <f>IF('Equipment Information'!C258="","", 'Equipment Information'!C258)</f>
        <v/>
      </c>
      <c r="E258">
        <f>IF(D258="","", IFERROR(VLOOKUP(D258, 'Hidden_Data'!M:N, 2, FALSE), "0"))</f>
        <v/>
      </c>
      <c r="H258">
        <f>IF(G258="","", IFERROR(VLOOKUP(G258, 'Hidden_Data'!M:N, 2, FALSE), "0"))</f>
        <v/>
      </c>
      <c r="K258">
        <f>IF(J258="","", IFERROR(VLOOKUP(J258, 'Hidden_Data'!M:N, 2, FALSE), "0"))</f>
        <v/>
      </c>
      <c r="N258">
        <f>IF(M258="","", IFERROR(VLOOKUP(M258, 'Hidden_Data'!M:N, 2, FALSE), "0"))</f>
        <v/>
      </c>
      <c r="Q258">
        <f>IF(P258="","", IFERROR(VLOOKUP(P258, 'Hidden_Data'!M:N, 2, FALSE), "0"))</f>
        <v/>
      </c>
      <c r="T258">
        <f>IF(A258="","", SUM(IF(F258="Yes", 0, IF(E258="", 0, IFERROR(VALUE(MID(E258, SEARCH("(",E258)+1, 1)),0))), IF(I258="Yes", 0, IF(H258="", 0, IFERROR(VALUE(MID(H258, SEARCH("(",H258)+1, 1)),0))), IF(L258="Yes", 0, IF(K258="", 0, IFERROR(VALUE(MID(K258, SEARCH("(",K258)+1, 1)),0))), IF(O258="Yes", 0, IF(N258="", 0, IFERROR(VALUE(MID(N258, SEARCH("(",N258)+1, 1)),0))), IF(R258="Yes", 0, IF(Q258="", 0, IFERROR(VALUE(MID(Q258, SEARCH("(",Q258)+1, 1)),0)))))</f>
        <v/>
      </c>
      <c r="U258">
        <f>IF(A258="","", IF(T258&gt;=5, "Priority 1 (Critical)", IF(T258&gt;=3, "Priority 2 (Major)", IF(T258&gt;=1, "Priority 3 (Minor)", "Pass/Fixed"))))</f>
        <v/>
      </c>
      <c r="V258">
        <f>IF(A258="","", IF(T258&gt;0, "FAIL", "PASS"))</f>
        <v/>
      </c>
    </row>
    <row r="259">
      <c r="A259">
        <f>IF('Equipment Information'!A259="","", 'Equipment Information'!A259)</f>
        <v/>
      </c>
      <c r="B259">
        <f>IF('Equipment Information'!B259="","", 'Equipment Information'!B259)</f>
        <v/>
      </c>
      <c r="C259">
        <f>IF('Equipment Information'!C259="","", 'Equipment Information'!C259)</f>
        <v/>
      </c>
      <c r="E259">
        <f>IF(D259="","", IFERROR(VLOOKUP(D259, 'Hidden_Data'!M:N, 2, FALSE), "0"))</f>
        <v/>
      </c>
      <c r="H259">
        <f>IF(G259="","", IFERROR(VLOOKUP(G259, 'Hidden_Data'!M:N, 2, FALSE), "0"))</f>
        <v/>
      </c>
      <c r="K259">
        <f>IF(J259="","", IFERROR(VLOOKUP(J259, 'Hidden_Data'!M:N, 2, FALSE), "0"))</f>
        <v/>
      </c>
      <c r="N259">
        <f>IF(M259="","", IFERROR(VLOOKUP(M259, 'Hidden_Data'!M:N, 2, FALSE), "0"))</f>
        <v/>
      </c>
      <c r="Q259">
        <f>IF(P259="","", IFERROR(VLOOKUP(P259, 'Hidden_Data'!M:N, 2, FALSE), "0"))</f>
        <v/>
      </c>
      <c r="T259">
        <f>IF(A259="","", SUM(IF(F259="Yes", 0, IF(E259="", 0, IFERROR(VALUE(MID(E259, SEARCH("(",E259)+1, 1)),0))), IF(I259="Yes", 0, IF(H259="", 0, IFERROR(VALUE(MID(H259, SEARCH("(",H259)+1, 1)),0))), IF(L259="Yes", 0, IF(K259="", 0, IFERROR(VALUE(MID(K259, SEARCH("(",K259)+1, 1)),0))), IF(O259="Yes", 0, IF(N259="", 0, IFERROR(VALUE(MID(N259, SEARCH("(",N259)+1, 1)),0))), IF(R259="Yes", 0, IF(Q259="", 0, IFERROR(VALUE(MID(Q259, SEARCH("(",Q259)+1, 1)),0)))))</f>
        <v/>
      </c>
      <c r="U259">
        <f>IF(A259="","", IF(T259&gt;=5, "Priority 1 (Critical)", IF(T259&gt;=3, "Priority 2 (Major)", IF(T259&gt;=1, "Priority 3 (Minor)", "Pass/Fixed"))))</f>
        <v/>
      </c>
      <c r="V259">
        <f>IF(A259="","", IF(T259&gt;0, "FAIL", "PASS"))</f>
        <v/>
      </c>
    </row>
    <row r="260">
      <c r="A260">
        <f>IF('Equipment Information'!A260="","", 'Equipment Information'!A260)</f>
        <v/>
      </c>
      <c r="B260">
        <f>IF('Equipment Information'!B260="","", 'Equipment Information'!B260)</f>
        <v/>
      </c>
      <c r="C260">
        <f>IF('Equipment Information'!C260="","", 'Equipment Information'!C260)</f>
        <v/>
      </c>
      <c r="E260">
        <f>IF(D260="","", IFERROR(VLOOKUP(D260, 'Hidden_Data'!M:N, 2, FALSE), "0"))</f>
        <v/>
      </c>
      <c r="H260">
        <f>IF(G260="","", IFERROR(VLOOKUP(G260, 'Hidden_Data'!M:N, 2, FALSE), "0"))</f>
        <v/>
      </c>
      <c r="K260">
        <f>IF(J260="","", IFERROR(VLOOKUP(J260, 'Hidden_Data'!M:N, 2, FALSE), "0"))</f>
        <v/>
      </c>
      <c r="N260">
        <f>IF(M260="","", IFERROR(VLOOKUP(M260, 'Hidden_Data'!M:N, 2, FALSE), "0"))</f>
        <v/>
      </c>
      <c r="Q260">
        <f>IF(P260="","", IFERROR(VLOOKUP(P260, 'Hidden_Data'!M:N, 2, FALSE), "0"))</f>
        <v/>
      </c>
      <c r="T260">
        <f>IF(A260="","", SUM(IF(F260="Yes", 0, IF(E260="", 0, IFERROR(VALUE(MID(E260, SEARCH("(",E260)+1, 1)),0))), IF(I260="Yes", 0, IF(H260="", 0, IFERROR(VALUE(MID(H260, SEARCH("(",H260)+1, 1)),0))), IF(L260="Yes", 0, IF(K260="", 0, IFERROR(VALUE(MID(K260, SEARCH("(",K260)+1, 1)),0))), IF(O260="Yes", 0, IF(N260="", 0, IFERROR(VALUE(MID(N260, SEARCH("(",N260)+1, 1)),0))), IF(R260="Yes", 0, IF(Q260="", 0, IFERROR(VALUE(MID(Q260, SEARCH("(",Q260)+1, 1)),0)))))</f>
        <v/>
      </c>
      <c r="U260">
        <f>IF(A260="","", IF(T260&gt;=5, "Priority 1 (Critical)", IF(T260&gt;=3, "Priority 2 (Major)", IF(T260&gt;=1, "Priority 3 (Minor)", "Pass/Fixed"))))</f>
        <v/>
      </c>
      <c r="V260">
        <f>IF(A260="","", IF(T260&gt;0, "FAIL", "PASS"))</f>
        <v/>
      </c>
    </row>
    <row r="261">
      <c r="A261">
        <f>IF('Equipment Information'!A261="","", 'Equipment Information'!A261)</f>
        <v/>
      </c>
      <c r="B261">
        <f>IF('Equipment Information'!B261="","", 'Equipment Information'!B261)</f>
        <v/>
      </c>
      <c r="C261">
        <f>IF('Equipment Information'!C261="","", 'Equipment Information'!C261)</f>
        <v/>
      </c>
      <c r="E261">
        <f>IF(D261="","", IFERROR(VLOOKUP(D261, 'Hidden_Data'!M:N, 2, FALSE), "0"))</f>
        <v/>
      </c>
      <c r="H261">
        <f>IF(G261="","", IFERROR(VLOOKUP(G261, 'Hidden_Data'!M:N, 2, FALSE), "0"))</f>
        <v/>
      </c>
      <c r="K261">
        <f>IF(J261="","", IFERROR(VLOOKUP(J261, 'Hidden_Data'!M:N, 2, FALSE), "0"))</f>
        <v/>
      </c>
      <c r="N261">
        <f>IF(M261="","", IFERROR(VLOOKUP(M261, 'Hidden_Data'!M:N, 2, FALSE), "0"))</f>
        <v/>
      </c>
      <c r="Q261">
        <f>IF(P261="","", IFERROR(VLOOKUP(P261, 'Hidden_Data'!M:N, 2, FALSE), "0"))</f>
        <v/>
      </c>
      <c r="T261">
        <f>IF(A261="","", SUM(IF(F261="Yes", 0, IF(E261="", 0, IFERROR(VALUE(MID(E261, SEARCH("(",E261)+1, 1)),0))), IF(I261="Yes", 0, IF(H261="", 0, IFERROR(VALUE(MID(H261, SEARCH("(",H261)+1, 1)),0))), IF(L261="Yes", 0, IF(K261="", 0, IFERROR(VALUE(MID(K261, SEARCH("(",K261)+1, 1)),0))), IF(O261="Yes", 0, IF(N261="", 0, IFERROR(VALUE(MID(N261, SEARCH("(",N261)+1, 1)),0))), IF(R261="Yes", 0, IF(Q261="", 0, IFERROR(VALUE(MID(Q261, SEARCH("(",Q261)+1, 1)),0)))))</f>
        <v/>
      </c>
      <c r="U261">
        <f>IF(A261="","", IF(T261&gt;=5, "Priority 1 (Critical)", IF(T261&gt;=3, "Priority 2 (Major)", IF(T261&gt;=1, "Priority 3 (Minor)", "Pass/Fixed"))))</f>
        <v/>
      </c>
      <c r="V261">
        <f>IF(A261="","", IF(T261&gt;0, "FAIL", "PASS"))</f>
        <v/>
      </c>
    </row>
    <row r="262">
      <c r="A262">
        <f>IF('Equipment Information'!A262="","", 'Equipment Information'!A262)</f>
        <v/>
      </c>
      <c r="B262">
        <f>IF('Equipment Information'!B262="","", 'Equipment Information'!B262)</f>
        <v/>
      </c>
      <c r="C262">
        <f>IF('Equipment Information'!C262="","", 'Equipment Information'!C262)</f>
        <v/>
      </c>
      <c r="E262">
        <f>IF(D262="","", IFERROR(VLOOKUP(D262, 'Hidden_Data'!M:N, 2, FALSE), "0"))</f>
        <v/>
      </c>
      <c r="H262">
        <f>IF(G262="","", IFERROR(VLOOKUP(G262, 'Hidden_Data'!M:N, 2, FALSE), "0"))</f>
        <v/>
      </c>
      <c r="K262">
        <f>IF(J262="","", IFERROR(VLOOKUP(J262, 'Hidden_Data'!M:N, 2, FALSE), "0"))</f>
        <v/>
      </c>
      <c r="N262">
        <f>IF(M262="","", IFERROR(VLOOKUP(M262, 'Hidden_Data'!M:N, 2, FALSE), "0"))</f>
        <v/>
      </c>
      <c r="Q262">
        <f>IF(P262="","", IFERROR(VLOOKUP(P262, 'Hidden_Data'!M:N, 2, FALSE), "0"))</f>
        <v/>
      </c>
      <c r="T262">
        <f>IF(A262="","", SUM(IF(F262="Yes", 0, IF(E262="", 0, IFERROR(VALUE(MID(E262, SEARCH("(",E262)+1, 1)),0))), IF(I262="Yes", 0, IF(H262="", 0, IFERROR(VALUE(MID(H262, SEARCH("(",H262)+1, 1)),0))), IF(L262="Yes", 0, IF(K262="", 0, IFERROR(VALUE(MID(K262, SEARCH("(",K262)+1, 1)),0))), IF(O262="Yes", 0, IF(N262="", 0, IFERROR(VALUE(MID(N262, SEARCH("(",N262)+1, 1)),0))), IF(R262="Yes", 0, IF(Q262="", 0, IFERROR(VALUE(MID(Q262, SEARCH("(",Q262)+1, 1)),0)))))</f>
        <v/>
      </c>
      <c r="U262">
        <f>IF(A262="","", IF(T262&gt;=5, "Priority 1 (Critical)", IF(T262&gt;=3, "Priority 2 (Major)", IF(T262&gt;=1, "Priority 3 (Minor)", "Pass/Fixed"))))</f>
        <v/>
      </c>
      <c r="V262">
        <f>IF(A262="","", IF(T262&gt;0, "FAIL", "PASS"))</f>
        <v/>
      </c>
    </row>
    <row r="263">
      <c r="A263">
        <f>IF('Equipment Information'!A263="","", 'Equipment Information'!A263)</f>
        <v/>
      </c>
      <c r="B263">
        <f>IF('Equipment Information'!B263="","", 'Equipment Information'!B263)</f>
        <v/>
      </c>
      <c r="C263">
        <f>IF('Equipment Information'!C263="","", 'Equipment Information'!C263)</f>
        <v/>
      </c>
      <c r="E263">
        <f>IF(D263="","", IFERROR(VLOOKUP(D263, 'Hidden_Data'!M:N, 2, FALSE), "0"))</f>
        <v/>
      </c>
      <c r="H263">
        <f>IF(G263="","", IFERROR(VLOOKUP(G263, 'Hidden_Data'!M:N, 2, FALSE), "0"))</f>
        <v/>
      </c>
      <c r="K263">
        <f>IF(J263="","", IFERROR(VLOOKUP(J263, 'Hidden_Data'!M:N, 2, FALSE), "0"))</f>
        <v/>
      </c>
      <c r="N263">
        <f>IF(M263="","", IFERROR(VLOOKUP(M263, 'Hidden_Data'!M:N, 2, FALSE), "0"))</f>
        <v/>
      </c>
      <c r="Q263">
        <f>IF(P263="","", IFERROR(VLOOKUP(P263, 'Hidden_Data'!M:N, 2, FALSE), "0"))</f>
        <v/>
      </c>
      <c r="T263">
        <f>IF(A263="","", SUM(IF(F263="Yes", 0, IF(E263="", 0, IFERROR(VALUE(MID(E263, SEARCH("(",E263)+1, 1)),0))), IF(I263="Yes", 0, IF(H263="", 0, IFERROR(VALUE(MID(H263, SEARCH("(",H263)+1, 1)),0))), IF(L263="Yes", 0, IF(K263="", 0, IFERROR(VALUE(MID(K263, SEARCH("(",K263)+1, 1)),0))), IF(O263="Yes", 0, IF(N263="", 0, IFERROR(VALUE(MID(N263, SEARCH("(",N263)+1, 1)),0))), IF(R263="Yes", 0, IF(Q263="", 0, IFERROR(VALUE(MID(Q263, SEARCH("(",Q263)+1, 1)),0)))))</f>
        <v/>
      </c>
      <c r="U263">
        <f>IF(A263="","", IF(T263&gt;=5, "Priority 1 (Critical)", IF(T263&gt;=3, "Priority 2 (Major)", IF(T263&gt;=1, "Priority 3 (Minor)", "Pass/Fixed"))))</f>
        <v/>
      </c>
      <c r="V263">
        <f>IF(A263="","", IF(T263&gt;0, "FAIL", "PASS"))</f>
        <v/>
      </c>
    </row>
    <row r="264">
      <c r="A264">
        <f>IF('Equipment Information'!A264="","", 'Equipment Information'!A264)</f>
        <v/>
      </c>
      <c r="B264">
        <f>IF('Equipment Information'!B264="","", 'Equipment Information'!B264)</f>
        <v/>
      </c>
      <c r="C264">
        <f>IF('Equipment Information'!C264="","", 'Equipment Information'!C264)</f>
        <v/>
      </c>
      <c r="E264">
        <f>IF(D264="","", IFERROR(VLOOKUP(D264, 'Hidden_Data'!M:N, 2, FALSE), "0"))</f>
        <v/>
      </c>
      <c r="H264">
        <f>IF(G264="","", IFERROR(VLOOKUP(G264, 'Hidden_Data'!M:N, 2, FALSE), "0"))</f>
        <v/>
      </c>
      <c r="K264">
        <f>IF(J264="","", IFERROR(VLOOKUP(J264, 'Hidden_Data'!M:N, 2, FALSE), "0"))</f>
        <v/>
      </c>
      <c r="N264">
        <f>IF(M264="","", IFERROR(VLOOKUP(M264, 'Hidden_Data'!M:N, 2, FALSE), "0"))</f>
        <v/>
      </c>
      <c r="Q264">
        <f>IF(P264="","", IFERROR(VLOOKUP(P264, 'Hidden_Data'!M:N, 2, FALSE), "0"))</f>
        <v/>
      </c>
      <c r="T264">
        <f>IF(A264="","", SUM(IF(F264="Yes", 0, IF(E264="", 0, IFERROR(VALUE(MID(E264, SEARCH("(",E264)+1, 1)),0))), IF(I264="Yes", 0, IF(H264="", 0, IFERROR(VALUE(MID(H264, SEARCH("(",H264)+1, 1)),0))), IF(L264="Yes", 0, IF(K264="", 0, IFERROR(VALUE(MID(K264, SEARCH("(",K264)+1, 1)),0))), IF(O264="Yes", 0, IF(N264="", 0, IFERROR(VALUE(MID(N264, SEARCH("(",N264)+1, 1)),0))), IF(R264="Yes", 0, IF(Q264="", 0, IFERROR(VALUE(MID(Q264, SEARCH("(",Q264)+1, 1)),0)))))</f>
        <v/>
      </c>
      <c r="U264">
        <f>IF(A264="","", IF(T264&gt;=5, "Priority 1 (Critical)", IF(T264&gt;=3, "Priority 2 (Major)", IF(T264&gt;=1, "Priority 3 (Minor)", "Pass/Fixed"))))</f>
        <v/>
      </c>
      <c r="V264">
        <f>IF(A264="","", IF(T264&gt;0, "FAIL", "PASS"))</f>
        <v/>
      </c>
    </row>
    <row r="265">
      <c r="A265">
        <f>IF('Equipment Information'!A265="","", 'Equipment Information'!A265)</f>
        <v/>
      </c>
      <c r="B265">
        <f>IF('Equipment Information'!B265="","", 'Equipment Information'!B265)</f>
        <v/>
      </c>
      <c r="C265">
        <f>IF('Equipment Information'!C265="","", 'Equipment Information'!C265)</f>
        <v/>
      </c>
      <c r="E265">
        <f>IF(D265="","", IFERROR(VLOOKUP(D265, 'Hidden_Data'!M:N, 2, FALSE), "0"))</f>
        <v/>
      </c>
      <c r="H265">
        <f>IF(G265="","", IFERROR(VLOOKUP(G265, 'Hidden_Data'!M:N, 2, FALSE), "0"))</f>
        <v/>
      </c>
      <c r="K265">
        <f>IF(J265="","", IFERROR(VLOOKUP(J265, 'Hidden_Data'!M:N, 2, FALSE), "0"))</f>
        <v/>
      </c>
      <c r="N265">
        <f>IF(M265="","", IFERROR(VLOOKUP(M265, 'Hidden_Data'!M:N, 2, FALSE), "0"))</f>
        <v/>
      </c>
      <c r="Q265">
        <f>IF(P265="","", IFERROR(VLOOKUP(P265, 'Hidden_Data'!M:N, 2, FALSE), "0"))</f>
        <v/>
      </c>
      <c r="T265">
        <f>IF(A265="","", SUM(IF(F265="Yes", 0, IF(E265="", 0, IFERROR(VALUE(MID(E265, SEARCH("(",E265)+1, 1)),0))), IF(I265="Yes", 0, IF(H265="", 0, IFERROR(VALUE(MID(H265, SEARCH("(",H265)+1, 1)),0))), IF(L265="Yes", 0, IF(K265="", 0, IFERROR(VALUE(MID(K265, SEARCH("(",K265)+1, 1)),0))), IF(O265="Yes", 0, IF(N265="", 0, IFERROR(VALUE(MID(N265, SEARCH("(",N265)+1, 1)),0))), IF(R265="Yes", 0, IF(Q265="", 0, IFERROR(VALUE(MID(Q265, SEARCH("(",Q265)+1, 1)),0)))))</f>
        <v/>
      </c>
      <c r="U265">
        <f>IF(A265="","", IF(T265&gt;=5, "Priority 1 (Critical)", IF(T265&gt;=3, "Priority 2 (Major)", IF(T265&gt;=1, "Priority 3 (Minor)", "Pass/Fixed"))))</f>
        <v/>
      </c>
      <c r="V265">
        <f>IF(A265="","", IF(T265&gt;0, "FAIL", "PASS"))</f>
        <v/>
      </c>
    </row>
    <row r="266">
      <c r="A266">
        <f>IF('Equipment Information'!A266="","", 'Equipment Information'!A266)</f>
        <v/>
      </c>
      <c r="B266">
        <f>IF('Equipment Information'!B266="","", 'Equipment Information'!B266)</f>
        <v/>
      </c>
      <c r="C266">
        <f>IF('Equipment Information'!C266="","", 'Equipment Information'!C266)</f>
        <v/>
      </c>
      <c r="E266">
        <f>IF(D266="","", IFERROR(VLOOKUP(D266, 'Hidden_Data'!M:N, 2, FALSE), "0"))</f>
        <v/>
      </c>
      <c r="H266">
        <f>IF(G266="","", IFERROR(VLOOKUP(G266, 'Hidden_Data'!M:N, 2, FALSE), "0"))</f>
        <v/>
      </c>
      <c r="K266">
        <f>IF(J266="","", IFERROR(VLOOKUP(J266, 'Hidden_Data'!M:N, 2, FALSE), "0"))</f>
        <v/>
      </c>
      <c r="N266">
        <f>IF(M266="","", IFERROR(VLOOKUP(M266, 'Hidden_Data'!M:N, 2, FALSE), "0"))</f>
        <v/>
      </c>
      <c r="Q266">
        <f>IF(P266="","", IFERROR(VLOOKUP(P266, 'Hidden_Data'!M:N, 2, FALSE), "0"))</f>
        <v/>
      </c>
      <c r="T266">
        <f>IF(A266="","", SUM(IF(F266="Yes", 0, IF(E266="", 0, IFERROR(VALUE(MID(E266, SEARCH("(",E266)+1, 1)),0))), IF(I266="Yes", 0, IF(H266="", 0, IFERROR(VALUE(MID(H266, SEARCH("(",H266)+1, 1)),0))), IF(L266="Yes", 0, IF(K266="", 0, IFERROR(VALUE(MID(K266, SEARCH("(",K266)+1, 1)),0))), IF(O266="Yes", 0, IF(N266="", 0, IFERROR(VALUE(MID(N266, SEARCH("(",N266)+1, 1)),0))), IF(R266="Yes", 0, IF(Q266="", 0, IFERROR(VALUE(MID(Q266, SEARCH("(",Q266)+1, 1)),0)))))</f>
        <v/>
      </c>
      <c r="U266">
        <f>IF(A266="","", IF(T266&gt;=5, "Priority 1 (Critical)", IF(T266&gt;=3, "Priority 2 (Major)", IF(T266&gt;=1, "Priority 3 (Minor)", "Pass/Fixed"))))</f>
        <v/>
      </c>
      <c r="V266">
        <f>IF(A266="","", IF(T266&gt;0, "FAIL", "PASS"))</f>
        <v/>
      </c>
    </row>
    <row r="267">
      <c r="A267">
        <f>IF('Equipment Information'!A267="","", 'Equipment Information'!A267)</f>
        <v/>
      </c>
      <c r="B267">
        <f>IF('Equipment Information'!B267="","", 'Equipment Information'!B267)</f>
        <v/>
      </c>
      <c r="C267">
        <f>IF('Equipment Information'!C267="","", 'Equipment Information'!C267)</f>
        <v/>
      </c>
      <c r="E267">
        <f>IF(D267="","", IFERROR(VLOOKUP(D267, 'Hidden_Data'!M:N, 2, FALSE), "0"))</f>
        <v/>
      </c>
      <c r="H267">
        <f>IF(G267="","", IFERROR(VLOOKUP(G267, 'Hidden_Data'!M:N, 2, FALSE), "0"))</f>
        <v/>
      </c>
      <c r="K267">
        <f>IF(J267="","", IFERROR(VLOOKUP(J267, 'Hidden_Data'!M:N, 2, FALSE), "0"))</f>
        <v/>
      </c>
      <c r="N267">
        <f>IF(M267="","", IFERROR(VLOOKUP(M267, 'Hidden_Data'!M:N, 2, FALSE), "0"))</f>
        <v/>
      </c>
      <c r="Q267">
        <f>IF(P267="","", IFERROR(VLOOKUP(P267, 'Hidden_Data'!M:N, 2, FALSE), "0"))</f>
        <v/>
      </c>
      <c r="T267">
        <f>IF(A267="","", SUM(IF(F267="Yes", 0, IF(E267="", 0, IFERROR(VALUE(MID(E267, SEARCH("(",E267)+1, 1)),0))), IF(I267="Yes", 0, IF(H267="", 0, IFERROR(VALUE(MID(H267, SEARCH("(",H267)+1, 1)),0))), IF(L267="Yes", 0, IF(K267="", 0, IFERROR(VALUE(MID(K267, SEARCH("(",K267)+1, 1)),0))), IF(O267="Yes", 0, IF(N267="", 0, IFERROR(VALUE(MID(N267, SEARCH("(",N267)+1, 1)),0))), IF(R267="Yes", 0, IF(Q267="", 0, IFERROR(VALUE(MID(Q267, SEARCH("(",Q267)+1, 1)),0)))))</f>
        <v/>
      </c>
      <c r="U267">
        <f>IF(A267="","", IF(T267&gt;=5, "Priority 1 (Critical)", IF(T267&gt;=3, "Priority 2 (Major)", IF(T267&gt;=1, "Priority 3 (Minor)", "Pass/Fixed"))))</f>
        <v/>
      </c>
      <c r="V267">
        <f>IF(A267="","", IF(T267&gt;0, "FAIL", "PASS"))</f>
        <v/>
      </c>
    </row>
    <row r="268">
      <c r="A268">
        <f>IF('Equipment Information'!A268="","", 'Equipment Information'!A268)</f>
        <v/>
      </c>
      <c r="B268">
        <f>IF('Equipment Information'!B268="","", 'Equipment Information'!B268)</f>
        <v/>
      </c>
      <c r="C268">
        <f>IF('Equipment Information'!C268="","", 'Equipment Information'!C268)</f>
        <v/>
      </c>
      <c r="E268">
        <f>IF(D268="","", IFERROR(VLOOKUP(D268, 'Hidden_Data'!M:N, 2, FALSE), "0"))</f>
        <v/>
      </c>
      <c r="H268">
        <f>IF(G268="","", IFERROR(VLOOKUP(G268, 'Hidden_Data'!M:N, 2, FALSE), "0"))</f>
        <v/>
      </c>
      <c r="K268">
        <f>IF(J268="","", IFERROR(VLOOKUP(J268, 'Hidden_Data'!M:N, 2, FALSE), "0"))</f>
        <v/>
      </c>
      <c r="N268">
        <f>IF(M268="","", IFERROR(VLOOKUP(M268, 'Hidden_Data'!M:N, 2, FALSE), "0"))</f>
        <v/>
      </c>
      <c r="Q268">
        <f>IF(P268="","", IFERROR(VLOOKUP(P268, 'Hidden_Data'!M:N, 2, FALSE), "0"))</f>
        <v/>
      </c>
      <c r="T268">
        <f>IF(A268="","", SUM(IF(F268="Yes", 0, IF(E268="", 0, IFERROR(VALUE(MID(E268, SEARCH("(",E268)+1, 1)),0))), IF(I268="Yes", 0, IF(H268="", 0, IFERROR(VALUE(MID(H268, SEARCH("(",H268)+1, 1)),0))), IF(L268="Yes", 0, IF(K268="", 0, IFERROR(VALUE(MID(K268, SEARCH("(",K268)+1, 1)),0))), IF(O268="Yes", 0, IF(N268="", 0, IFERROR(VALUE(MID(N268, SEARCH("(",N268)+1, 1)),0))), IF(R268="Yes", 0, IF(Q268="", 0, IFERROR(VALUE(MID(Q268, SEARCH("(",Q268)+1, 1)),0)))))</f>
        <v/>
      </c>
      <c r="U268">
        <f>IF(A268="","", IF(T268&gt;=5, "Priority 1 (Critical)", IF(T268&gt;=3, "Priority 2 (Major)", IF(T268&gt;=1, "Priority 3 (Minor)", "Pass/Fixed"))))</f>
        <v/>
      </c>
      <c r="V268">
        <f>IF(A268="","", IF(T268&gt;0, "FAIL", "PASS"))</f>
        <v/>
      </c>
    </row>
    <row r="269">
      <c r="A269">
        <f>IF('Equipment Information'!A269="","", 'Equipment Information'!A269)</f>
        <v/>
      </c>
      <c r="B269">
        <f>IF('Equipment Information'!B269="","", 'Equipment Information'!B269)</f>
        <v/>
      </c>
      <c r="C269">
        <f>IF('Equipment Information'!C269="","", 'Equipment Information'!C269)</f>
        <v/>
      </c>
      <c r="E269">
        <f>IF(D269="","", IFERROR(VLOOKUP(D269, 'Hidden_Data'!M:N, 2, FALSE), "0"))</f>
        <v/>
      </c>
      <c r="H269">
        <f>IF(G269="","", IFERROR(VLOOKUP(G269, 'Hidden_Data'!M:N, 2, FALSE), "0"))</f>
        <v/>
      </c>
      <c r="K269">
        <f>IF(J269="","", IFERROR(VLOOKUP(J269, 'Hidden_Data'!M:N, 2, FALSE), "0"))</f>
        <v/>
      </c>
      <c r="N269">
        <f>IF(M269="","", IFERROR(VLOOKUP(M269, 'Hidden_Data'!M:N, 2, FALSE), "0"))</f>
        <v/>
      </c>
      <c r="Q269">
        <f>IF(P269="","", IFERROR(VLOOKUP(P269, 'Hidden_Data'!M:N, 2, FALSE), "0"))</f>
        <v/>
      </c>
      <c r="T269">
        <f>IF(A269="","", SUM(IF(F269="Yes", 0, IF(E269="", 0, IFERROR(VALUE(MID(E269, SEARCH("(",E269)+1, 1)),0))), IF(I269="Yes", 0, IF(H269="", 0, IFERROR(VALUE(MID(H269, SEARCH("(",H269)+1, 1)),0))), IF(L269="Yes", 0, IF(K269="", 0, IFERROR(VALUE(MID(K269, SEARCH("(",K269)+1, 1)),0))), IF(O269="Yes", 0, IF(N269="", 0, IFERROR(VALUE(MID(N269, SEARCH("(",N269)+1, 1)),0))), IF(R269="Yes", 0, IF(Q269="", 0, IFERROR(VALUE(MID(Q269, SEARCH("(",Q269)+1, 1)),0)))))</f>
        <v/>
      </c>
      <c r="U269">
        <f>IF(A269="","", IF(T269&gt;=5, "Priority 1 (Critical)", IF(T269&gt;=3, "Priority 2 (Major)", IF(T269&gt;=1, "Priority 3 (Minor)", "Pass/Fixed"))))</f>
        <v/>
      </c>
      <c r="V269">
        <f>IF(A269="","", IF(T269&gt;0, "FAIL", "PASS"))</f>
        <v/>
      </c>
    </row>
    <row r="270">
      <c r="A270">
        <f>IF('Equipment Information'!A270="","", 'Equipment Information'!A270)</f>
        <v/>
      </c>
      <c r="B270">
        <f>IF('Equipment Information'!B270="","", 'Equipment Information'!B270)</f>
        <v/>
      </c>
      <c r="C270">
        <f>IF('Equipment Information'!C270="","", 'Equipment Information'!C270)</f>
        <v/>
      </c>
      <c r="E270">
        <f>IF(D270="","", IFERROR(VLOOKUP(D270, 'Hidden_Data'!M:N, 2, FALSE), "0"))</f>
        <v/>
      </c>
      <c r="H270">
        <f>IF(G270="","", IFERROR(VLOOKUP(G270, 'Hidden_Data'!M:N, 2, FALSE), "0"))</f>
        <v/>
      </c>
      <c r="K270">
        <f>IF(J270="","", IFERROR(VLOOKUP(J270, 'Hidden_Data'!M:N, 2, FALSE), "0"))</f>
        <v/>
      </c>
      <c r="N270">
        <f>IF(M270="","", IFERROR(VLOOKUP(M270, 'Hidden_Data'!M:N, 2, FALSE), "0"))</f>
        <v/>
      </c>
      <c r="Q270">
        <f>IF(P270="","", IFERROR(VLOOKUP(P270, 'Hidden_Data'!M:N, 2, FALSE), "0"))</f>
        <v/>
      </c>
      <c r="T270">
        <f>IF(A270="","", SUM(IF(F270="Yes", 0, IF(E270="", 0, IFERROR(VALUE(MID(E270, SEARCH("(",E270)+1, 1)),0))), IF(I270="Yes", 0, IF(H270="", 0, IFERROR(VALUE(MID(H270, SEARCH("(",H270)+1, 1)),0))), IF(L270="Yes", 0, IF(K270="", 0, IFERROR(VALUE(MID(K270, SEARCH("(",K270)+1, 1)),0))), IF(O270="Yes", 0, IF(N270="", 0, IFERROR(VALUE(MID(N270, SEARCH("(",N270)+1, 1)),0))), IF(R270="Yes", 0, IF(Q270="", 0, IFERROR(VALUE(MID(Q270, SEARCH("(",Q270)+1, 1)),0)))))</f>
        <v/>
      </c>
      <c r="U270">
        <f>IF(A270="","", IF(T270&gt;=5, "Priority 1 (Critical)", IF(T270&gt;=3, "Priority 2 (Major)", IF(T270&gt;=1, "Priority 3 (Minor)", "Pass/Fixed"))))</f>
        <v/>
      </c>
      <c r="V270">
        <f>IF(A270="","", IF(T270&gt;0, "FAIL", "PASS"))</f>
        <v/>
      </c>
    </row>
    <row r="271">
      <c r="A271">
        <f>IF('Equipment Information'!A271="","", 'Equipment Information'!A271)</f>
        <v/>
      </c>
      <c r="B271">
        <f>IF('Equipment Information'!B271="","", 'Equipment Information'!B271)</f>
        <v/>
      </c>
      <c r="C271">
        <f>IF('Equipment Information'!C271="","", 'Equipment Information'!C271)</f>
        <v/>
      </c>
      <c r="E271">
        <f>IF(D271="","", IFERROR(VLOOKUP(D271, 'Hidden_Data'!M:N, 2, FALSE), "0"))</f>
        <v/>
      </c>
      <c r="H271">
        <f>IF(G271="","", IFERROR(VLOOKUP(G271, 'Hidden_Data'!M:N, 2, FALSE), "0"))</f>
        <v/>
      </c>
      <c r="K271">
        <f>IF(J271="","", IFERROR(VLOOKUP(J271, 'Hidden_Data'!M:N, 2, FALSE), "0"))</f>
        <v/>
      </c>
      <c r="N271">
        <f>IF(M271="","", IFERROR(VLOOKUP(M271, 'Hidden_Data'!M:N, 2, FALSE), "0"))</f>
        <v/>
      </c>
      <c r="Q271">
        <f>IF(P271="","", IFERROR(VLOOKUP(P271, 'Hidden_Data'!M:N, 2, FALSE), "0"))</f>
        <v/>
      </c>
      <c r="T271">
        <f>IF(A271="","", SUM(IF(F271="Yes", 0, IF(E271="", 0, IFERROR(VALUE(MID(E271, SEARCH("(",E271)+1, 1)),0))), IF(I271="Yes", 0, IF(H271="", 0, IFERROR(VALUE(MID(H271, SEARCH("(",H271)+1, 1)),0))), IF(L271="Yes", 0, IF(K271="", 0, IFERROR(VALUE(MID(K271, SEARCH("(",K271)+1, 1)),0))), IF(O271="Yes", 0, IF(N271="", 0, IFERROR(VALUE(MID(N271, SEARCH("(",N271)+1, 1)),0))), IF(R271="Yes", 0, IF(Q271="", 0, IFERROR(VALUE(MID(Q271, SEARCH("(",Q271)+1, 1)),0)))))</f>
        <v/>
      </c>
      <c r="U271">
        <f>IF(A271="","", IF(T271&gt;=5, "Priority 1 (Critical)", IF(T271&gt;=3, "Priority 2 (Major)", IF(T271&gt;=1, "Priority 3 (Minor)", "Pass/Fixed"))))</f>
        <v/>
      </c>
      <c r="V271">
        <f>IF(A271="","", IF(T271&gt;0, "FAIL", "PASS"))</f>
        <v/>
      </c>
    </row>
    <row r="272">
      <c r="A272">
        <f>IF('Equipment Information'!A272="","", 'Equipment Information'!A272)</f>
        <v/>
      </c>
      <c r="B272">
        <f>IF('Equipment Information'!B272="","", 'Equipment Information'!B272)</f>
        <v/>
      </c>
      <c r="C272">
        <f>IF('Equipment Information'!C272="","", 'Equipment Information'!C272)</f>
        <v/>
      </c>
      <c r="E272">
        <f>IF(D272="","", IFERROR(VLOOKUP(D272, 'Hidden_Data'!M:N, 2, FALSE), "0"))</f>
        <v/>
      </c>
      <c r="H272">
        <f>IF(G272="","", IFERROR(VLOOKUP(G272, 'Hidden_Data'!M:N, 2, FALSE), "0"))</f>
        <v/>
      </c>
      <c r="K272">
        <f>IF(J272="","", IFERROR(VLOOKUP(J272, 'Hidden_Data'!M:N, 2, FALSE), "0"))</f>
        <v/>
      </c>
      <c r="N272">
        <f>IF(M272="","", IFERROR(VLOOKUP(M272, 'Hidden_Data'!M:N, 2, FALSE), "0"))</f>
        <v/>
      </c>
      <c r="Q272">
        <f>IF(P272="","", IFERROR(VLOOKUP(P272, 'Hidden_Data'!M:N, 2, FALSE), "0"))</f>
        <v/>
      </c>
      <c r="T272">
        <f>IF(A272="","", SUM(IF(F272="Yes", 0, IF(E272="", 0, IFERROR(VALUE(MID(E272, SEARCH("(",E272)+1, 1)),0))), IF(I272="Yes", 0, IF(H272="", 0, IFERROR(VALUE(MID(H272, SEARCH("(",H272)+1, 1)),0))), IF(L272="Yes", 0, IF(K272="", 0, IFERROR(VALUE(MID(K272, SEARCH("(",K272)+1, 1)),0))), IF(O272="Yes", 0, IF(N272="", 0, IFERROR(VALUE(MID(N272, SEARCH("(",N272)+1, 1)),0))), IF(R272="Yes", 0, IF(Q272="", 0, IFERROR(VALUE(MID(Q272, SEARCH("(",Q272)+1, 1)),0)))))</f>
        <v/>
      </c>
      <c r="U272">
        <f>IF(A272="","", IF(T272&gt;=5, "Priority 1 (Critical)", IF(T272&gt;=3, "Priority 2 (Major)", IF(T272&gt;=1, "Priority 3 (Minor)", "Pass/Fixed"))))</f>
        <v/>
      </c>
      <c r="V272">
        <f>IF(A272="","", IF(T272&gt;0, "FAIL", "PASS"))</f>
        <v/>
      </c>
    </row>
    <row r="273">
      <c r="A273">
        <f>IF('Equipment Information'!A273="","", 'Equipment Information'!A273)</f>
        <v/>
      </c>
      <c r="B273">
        <f>IF('Equipment Information'!B273="","", 'Equipment Information'!B273)</f>
        <v/>
      </c>
      <c r="C273">
        <f>IF('Equipment Information'!C273="","", 'Equipment Information'!C273)</f>
        <v/>
      </c>
      <c r="E273">
        <f>IF(D273="","", IFERROR(VLOOKUP(D273, 'Hidden_Data'!M:N, 2, FALSE), "0"))</f>
        <v/>
      </c>
      <c r="H273">
        <f>IF(G273="","", IFERROR(VLOOKUP(G273, 'Hidden_Data'!M:N, 2, FALSE), "0"))</f>
        <v/>
      </c>
      <c r="K273">
        <f>IF(J273="","", IFERROR(VLOOKUP(J273, 'Hidden_Data'!M:N, 2, FALSE), "0"))</f>
        <v/>
      </c>
      <c r="N273">
        <f>IF(M273="","", IFERROR(VLOOKUP(M273, 'Hidden_Data'!M:N, 2, FALSE), "0"))</f>
        <v/>
      </c>
      <c r="Q273">
        <f>IF(P273="","", IFERROR(VLOOKUP(P273, 'Hidden_Data'!M:N, 2, FALSE), "0"))</f>
        <v/>
      </c>
      <c r="T273">
        <f>IF(A273="","", SUM(IF(F273="Yes", 0, IF(E273="", 0, IFERROR(VALUE(MID(E273, SEARCH("(",E273)+1, 1)),0))), IF(I273="Yes", 0, IF(H273="", 0, IFERROR(VALUE(MID(H273, SEARCH("(",H273)+1, 1)),0))), IF(L273="Yes", 0, IF(K273="", 0, IFERROR(VALUE(MID(K273, SEARCH("(",K273)+1, 1)),0))), IF(O273="Yes", 0, IF(N273="", 0, IFERROR(VALUE(MID(N273, SEARCH("(",N273)+1, 1)),0))), IF(R273="Yes", 0, IF(Q273="", 0, IFERROR(VALUE(MID(Q273, SEARCH("(",Q273)+1, 1)),0)))))</f>
        <v/>
      </c>
      <c r="U273">
        <f>IF(A273="","", IF(T273&gt;=5, "Priority 1 (Critical)", IF(T273&gt;=3, "Priority 2 (Major)", IF(T273&gt;=1, "Priority 3 (Minor)", "Pass/Fixed"))))</f>
        <v/>
      </c>
      <c r="V273">
        <f>IF(A273="","", IF(T273&gt;0, "FAIL", "PASS"))</f>
        <v/>
      </c>
    </row>
    <row r="274">
      <c r="A274">
        <f>IF('Equipment Information'!A274="","", 'Equipment Information'!A274)</f>
        <v/>
      </c>
      <c r="B274">
        <f>IF('Equipment Information'!B274="","", 'Equipment Information'!B274)</f>
        <v/>
      </c>
      <c r="C274">
        <f>IF('Equipment Information'!C274="","", 'Equipment Information'!C274)</f>
        <v/>
      </c>
      <c r="E274">
        <f>IF(D274="","", IFERROR(VLOOKUP(D274, 'Hidden_Data'!M:N, 2, FALSE), "0"))</f>
        <v/>
      </c>
      <c r="H274">
        <f>IF(G274="","", IFERROR(VLOOKUP(G274, 'Hidden_Data'!M:N, 2, FALSE), "0"))</f>
        <v/>
      </c>
      <c r="K274">
        <f>IF(J274="","", IFERROR(VLOOKUP(J274, 'Hidden_Data'!M:N, 2, FALSE), "0"))</f>
        <v/>
      </c>
      <c r="N274">
        <f>IF(M274="","", IFERROR(VLOOKUP(M274, 'Hidden_Data'!M:N, 2, FALSE), "0"))</f>
        <v/>
      </c>
      <c r="Q274">
        <f>IF(P274="","", IFERROR(VLOOKUP(P274, 'Hidden_Data'!M:N, 2, FALSE), "0"))</f>
        <v/>
      </c>
      <c r="T274">
        <f>IF(A274="","", SUM(IF(F274="Yes", 0, IF(E274="", 0, IFERROR(VALUE(MID(E274, SEARCH("(",E274)+1, 1)),0))), IF(I274="Yes", 0, IF(H274="", 0, IFERROR(VALUE(MID(H274, SEARCH("(",H274)+1, 1)),0))), IF(L274="Yes", 0, IF(K274="", 0, IFERROR(VALUE(MID(K274, SEARCH("(",K274)+1, 1)),0))), IF(O274="Yes", 0, IF(N274="", 0, IFERROR(VALUE(MID(N274, SEARCH("(",N274)+1, 1)),0))), IF(R274="Yes", 0, IF(Q274="", 0, IFERROR(VALUE(MID(Q274, SEARCH("(",Q274)+1, 1)),0)))))</f>
        <v/>
      </c>
      <c r="U274">
        <f>IF(A274="","", IF(T274&gt;=5, "Priority 1 (Critical)", IF(T274&gt;=3, "Priority 2 (Major)", IF(T274&gt;=1, "Priority 3 (Minor)", "Pass/Fixed"))))</f>
        <v/>
      </c>
      <c r="V274">
        <f>IF(A274="","", IF(T274&gt;0, "FAIL", "PASS"))</f>
        <v/>
      </c>
    </row>
    <row r="275">
      <c r="A275">
        <f>IF('Equipment Information'!A275="","", 'Equipment Information'!A275)</f>
        <v/>
      </c>
      <c r="B275">
        <f>IF('Equipment Information'!B275="","", 'Equipment Information'!B275)</f>
        <v/>
      </c>
      <c r="C275">
        <f>IF('Equipment Information'!C275="","", 'Equipment Information'!C275)</f>
        <v/>
      </c>
      <c r="E275">
        <f>IF(D275="","", IFERROR(VLOOKUP(D275, 'Hidden_Data'!M:N, 2, FALSE), "0"))</f>
        <v/>
      </c>
      <c r="H275">
        <f>IF(G275="","", IFERROR(VLOOKUP(G275, 'Hidden_Data'!M:N, 2, FALSE), "0"))</f>
        <v/>
      </c>
      <c r="K275">
        <f>IF(J275="","", IFERROR(VLOOKUP(J275, 'Hidden_Data'!M:N, 2, FALSE), "0"))</f>
        <v/>
      </c>
      <c r="N275">
        <f>IF(M275="","", IFERROR(VLOOKUP(M275, 'Hidden_Data'!M:N, 2, FALSE), "0"))</f>
        <v/>
      </c>
      <c r="Q275">
        <f>IF(P275="","", IFERROR(VLOOKUP(P275, 'Hidden_Data'!M:N, 2, FALSE), "0"))</f>
        <v/>
      </c>
      <c r="T275">
        <f>IF(A275="","", SUM(IF(F275="Yes", 0, IF(E275="", 0, IFERROR(VALUE(MID(E275, SEARCH("(",E275)+1, 1)),0))), IF(I275="Yes", 0, IF(H275="", 0, IFERROR(VALUE(MID(H275, SEARCH("(",H275)+1, 1)),0))), IF(L275="Yes", 0, IF(K275="", 0, IFERROR(VALUE(MID(K275, SEARCH("(",K275)+1, 1)),0))), IF(O275="Yes", 0, IF(N275="", 0, IFERROR(VALUE(MID(N275, SEARCH("(",N275)+1, 1)),0))), IF(R275="Yes", 0, IF(Q275="", 0, IFERROR(VALUE(MID(Q275, SEARCH("(",Q275)+1, 1)),0)))))</f>
        <v/>
      </c>
      <c r="U275">
        <f>IF(A275="","", IF(T275&gt;=5, "Priority 1 (Critical)", IF(T275&gt;=3, "Priority 2 (Major)", IF(T275&gt;=1, "Priority 3 (Minor)", "Pass/Fixed"))))</f>
        <v/>
      </c>
      <c r="V275">
        <f>IF(A275="","", IF(T275&gt;0, "FAIL", "PASS"))</f>
        <v/>
      </c>
    </row>
    <row r="276">
      <c r="A276">
        <f>IF('Equipment Information'!A276="","", 'Equipment Information'!A276)</f>
        <v/>
      </c>
      <c r="B276">
        <f>IF('Equipment Information'!B276="","", 'Equipment Information'!B276)</f>
        <v/>
      </c>
      <c r="C276">
        <f>IF('Equipment Information'!C276="","", 'Equipment Information'!C276)</f>
        <v/>
      </c>
      <c r="E276">
        <f>IF(D276="","", IFERROR(VLOOKUP(D276, 'Hidden_Data'!M:N, 2, FALSE), "0"))</f>
        <v/>
      </c>
      <c r="H276">
        <f>IF(G276="","", IFERROR(VLOOKUP(G276, 'Hidden_Data'!M:N, 2, FALSE), "0"))</f>
        <v/>
      </c>
      <c r="K276">
        <f>IF(J276="","", IFERROR(VLOOKUP(J276, 'Hidden_Data'!M:N, 2, FALSE), "0"))</f>
        <v/>
      </c>
      <c r="N276">
        <f>IF(M276="","", IFERROR(VLOOKUP(M276, 'Hidden_Data'!M:N, 2, FALSE), "0"))</f>
        <v/>
      </c>
      <c r="Q276">
        <f>IF(P276="","", IFERROR(VLOOKUP(P276, 'Hidden_Data'!M:N, 2, FALSE), "0"))</f>
        <v/>
      </c>
      <c r="T276">
        <f>IF(A276="","", SUM(IF(F276="Yes", 0, IF(E276="", 0, IFERROR(VALUE(MID(E276, SEARCH("(",E276)+1, 1)),0))), IF(I276="Yes", 0, IF(H276="", 0, IFERROR(VALUE(MID(H276, SEARCH("(",H276)+1, 1)),0))), IF(L276="Yes", 0, IF(K276="", 0, IFERROR(VALUE(MID(K276, SEARCH("(",K276)+1, 1)),0))), IF(O276="Yes", 0, IF(N276="", 0, IFERROR(VALUE(MID(N276, SEARCH("(",N276)+1, 1)),0))), IF(R276="Yes", 0, IF(Q276="", 0, IFERROR(VALUE(MID(Q276, SEARCH("(",Q276)+1, 1)),0)))))</f>
        <v/>
      </c>
      <c r="U276">
        <f>IF(A276="","", IF(T276&gt;=5, "Priority 1 (Critical)", IF(T276&gt;=3, "Priority 2 (Major)", IF(T276&gt;=1, "Priority 3 (Minor)", "Pass/Fixed"))))</f>
        <v/>
      </c>
      <c r="V276">
        <f>IF(A276="","", IF(T276&gt;0, "FAIL", "PASS"))</f>
        <v/>
      </c>
    </row>
    <row r="277">
      <c r="A277">
        <f>IF('Equipment Information'!A277="","", 'Equipment Information'!A277)</f>
        <v/>
      </c>
      <c r="B277">
        <f>IF('Equipment Information'!B277="","", 'Equipment Information'!B277)</f>
        <v/>
      </c>
      <c r="C277">
        <f>IF('Equipment Information'!C277="","", 'Equipment Information'!C277)</f>
        <v/>
      </c>
      <c r="E277">
        <f>IF(D277="","", IFERROR(VLOOKUP(D277, 'Hidden_Data'!M:N, 2, FALSE), "0"))</f>
        <v/>
      </c>
      <c r="H277">
        <f>IF(G277="","", IFERROR(VLOOKUP(G277, 'Hidden_Data'!M:N, 2, FALSE), "0"))</f>
        <v/>
      </c>
      <c r="K277">
        <f>IF(J277="","", IFERROR(VLOOKUP(J277, 'Hidden_Data'!M:N, 2, FALSE), "0"))</f>
        <v/>
      </c>
      <c r="N277">
        <f>IF(M277="","", IFERROR(VLOOKUP(M277, 'Hidden_Data'!M:N, 2, FALSE), "0"))</f>
        <v/>
      </c>
      <c r="Q277">
        <f>IF(P277="","", IFERROR(VLOOKUP(P277, 'Hidden_Data'!M:N, 2, FALSE), "0"))</f>
        <v/>
      </c>
      <c r="T277">
        <f>IF(A277="","", SUM(IF(F277="Yes", 0, IF(E277="", 0, IFERROR(VALUE(MID(E277, SEARCH("(",E277)+1, 1)),0))), IF(I277="Yes", 0, IF(H277="", 0, IFERROR(VALUE(MID(H277, SEARCH("(",H277)+1, 1)),0))), IF(L277="Yes", 0, IF(K277="", 0, IFERROR(VALUE(MID(K277, SEARCH("(",K277)+1, 1)),0))), IF(O277="Yes", 0, IF(N277="", 0, IFERROR(VALUE(MID(N277, SEARCH("(",N277)+1, 1)),0))), IF(R277="Yes", 0, IF(Q277="", 0, IFERROR(VALUE(MID(Q277, SEARCH("(",Q277)+1, 1)),0)))))</f>
        <v/>
      </c>
      <c r="U277">
        <f>IF(A277="","", IF(T277&gt;=5, "Priority 1 (Critical)", IF(T277&gt;=3, "Priority 2 (Major)", IF(T277&gt;=1, "Priority 3 (Minor)", "Pass/Fixed"))))</f>
        <v/>
      </c>
      <c r="V277">
        <f>IF(A277="","", IF(T277&gt;0, "FAIL", "PASS"))</f>
        <v/>
      </c>
    </row>
    <row r="278">
      <c r="A278">
        <f>IF('Equipment Information'!A278="","", 'Equipment Information'!A278)</f>
        <v/>
      </c>
      <c r="B278">
        <f>IF('Equipment Information'!B278="","", 'Equipment Information'!B278)</f>
        <v/>
      </c>
      <c r="C278">
        <f>IF('Equipment Information'!C278="","", 'Equipment Information'!C278)</f>
        <v/>
      </c>
      <c r="E278">
        <f>IF(D278="","", IFERROR(VLOOKUP(D278, 'Hidden_Data'!M:N, 2, FALSE), "0"))</f>
        <v/>
      </c>
      <c r="H278">
        <f>IF(G278="","", IFERROR(VLOOKUP(G278, 'Hidden_Data'!M:N, 2, FALSE), "0"))</f>
        <v/>
      </c>
      <c r="K278">
        <f>IF(J278="","", IFERROR(VLOOKUP(J278, 'Hidden_Data'!M:N, 2, FALSE), "0"))</f>
        <v/>
      </c>
      <c r="N278">
        <f>IF(M278="","", IFERROR(VLOOKUP(M278, 'Hidden_Data'!M:N, 2, FALSE), "0"))</f>
        <v/>
      </c>
      <c r="Q278">
        <f>IF(P278="","", IFERROR(VLOOKUP(P278, 'Hidden_Data'!M:N, 2, FALSE), "0"))</f>
        <v/>
      </c>
      <c r="T278">
        <f>IF(A278="","", SUM(IF(F278="Yes", 0, IF(E278="", 0, IFERROR(VALUE(MID(E278, SEARCH("(",E278)+1, 1)),0))), IF(I278="Yes", 0, IF(H278="", 0, IFERROR(VALUE(MID(H278, SEARCH("(",H278)+1, 1)),0))), IF(L278="Yes", 0, IF(K278="", 0, IFERROR(VALUE(MID(K278, SEARCH("(",K278)+1, 1)),0))), IF(O278="Yes", 0, IF(N278="", 0, IFERROR(VALUE(MID(N278, SEARCH("(",N278)+1, 1)),0))), IF(R278="Yes", 0, IF(Q278="", 0, IFERROR(VALUE(MID(Q278, SEARCH("(",Q278)+1, 1)),0)))))</f>
        <v/>
      </c>
      <c r="U278">
        <f>IF(A278="","", IF(T278&gt;=5, "Priority 1 (Critical)", IF(T278&gt;=3, "Priority 2 (Major)", IF(T278&gt;=1, "Priority 3 (Minor)", "Pass/Fixed"))))</f>
        <v/>
      </c>
      <c r="V278">
        <f>IF(A278="","", IF(T278&gt;0, "FAIL", "PASS"))</f>
        <v/>
      </c>
    </row>
    <row r="279">
      <c r="A279">
        <f>IF('Equipment Information'!A279="","", 'Equipment Information'!A279)</f>
        <v/>
      </c>
      <c r="B279">
        <f>IF('Equipment Information'!B279="","", 'Equipment Information'!B279)</f>
        <v/>
      </c>
      <c r="C279">
        <f>IF('Equipment Information'!C279="","", 'Equipment Information'!C279)</f>
        <v/>
      </c>
      <c r="E279">
        <f>IF(D279="","", IFERROR(VLOOKUP(D279, 'Hidden_Data'!M:N, 2, FALSE), "0"))</f>
        <v/>
      </c>
      <c r="H279">
        <f>IF(G279="","", IFERROR(VLOOKUP(G279, 'Hidden_Data'!M:N, 2, FALSE), "0"))</f>
        <v/>
      </c>
      <c r="K279">
        <f>IF(J279="","", IFERROR(VLOOKUP(J279, 'Hidden_Data'!M:N, 2, FALSE), "0"))</f>
        <v/>
      </c>
      <c r="N279">
        <f>IF(M279="","", IFERROR(VLOOKUP(M279, 'Hidden_Data'!M:N, 2, FALSE), "0"))</f>
        <v/>
      </c>
      <c r="Q279">
        <f>IF(P279="","", IFERROR(VLOOKUP(P279, 'Hidden_Data'!M:N, 2, FALSE), "0"))</f>
        <v/>
      </c>
      <c r="T279">
        <f>IF(A279="","", SUM(IF(F279="Yes", 0, IF(E279="", 0, IFERROR(VALUE(MID(E279, SEARCH("(",E279)+1, 1)),0))), IF(I279="Yes", 0, IF(H279="", 0, IFERROR(VALUE(MID(H279, SEARCH("(",H279)+1, 1)),0))), IF(L279="Yes", 0, IF(K279="", 0, IFERROR(VALUE(MID(K279, SEARCH("(",K279)+1, 1)),0))), IF(O279="Yes", 0, IF(N279="", 0, IFERROR(VALUE(MID(N279, SEARCH("(",N279)+1, 1)),0))), IF(R279="Yes", 0, IF(Q279="", 0, IFERROR(VALUE(MID(Q279, SEARCH("(",Q279)+1, 1)),0)))))</f>
        <v/>
      </c>
      <c r="U279">
        <f>IF(A279="","", IF(T279&gt;=5, "Priority 1 (Critical)", IF(T279&gt;=3, "Priority 2 (Major)", IF(T279&gt;=1, "Priority 3 (Minor)", "Pass/Fixed"))))</f>
        <v/>
      </c>
      <c r="V279">
        <f>IF(A279="","", IF(T279&gt;0, "FAIL", "PASS"))</f>
        <v/>
      </c>
    </row>
    <row r="280">
      <c r="A280">
        <f>IF('Equipment Information'!A280="","", 'Equipment Information'!A280)</f>
        <v/>
      </c>
      <c r="B280">
        <f>IF('Equipment Information'!B280="","", 'Equipment Information'!B280)</f>
        <v/>
      </c>
      <c r="C280">
        <f>IF('Equipment Information'!C280="","", 'Equipment Information'!C280)</f>
        <v/>
      </c>
      <c r="E280">
        <f>IF(D280="","", IFERROR(VLOOKUP(D280, 'Hidden_Data'!M:N, 2, FALSE), "0"))</f>
        <v/>
      </c>
      <c r="H280">
        <f>IF(G280="","", IFERROR(VLOOKUP(G280, 'Hidden_Data'!M:N, 2, FALSE), "0"))</f>
        <v/>
      </c>
      <c r="K280">
        <f>IF(J280="","", IFERROR(VLOOKUP(J280, 'Hidden_Data'!M:N, 2, FALSE), "0"))</f>
        <v/>
      </c>
      <c r="N280">
        <f>IF(M280="","", IFERROR(VLOOKUP(M280, 'Hidden_Data'!M:N, 2, FALSE), "0"))</f>
        <v/>
      </c>
      <c r="Q280">
        <f>IF(P280="","", IFERROR(VLOOKUP(P280, 'Hidden_Data'!M:N, 2, FALSE), "0"))</f>
        <v/>
      </c>
      <c r="T280">
        <f>IF(A280="","", SUM(IF(F280="Yes", 0, IF(E280="", 0, IFERROR(VALUE(MID(E280, SEARCH("(",E280)+1, 1)),0))), IF(I280="Yes", 0, IF(H280="", 0, IFERROR(VALUE(MID(H280, SEARCH("(",H280)+1, 1)),0))), IF(L280="Yes", 0, IF(K280="", 0, IFERROR(VALUE(MID(K280, SEARCH("(",K280)+1, 1)),0))), IF(O280="Yes", 0, IF(N280="", 0, IFERROR(VALUE(MID(N280, SEARCH("(",N280)+1, 1)),0))), IF(R280="Yes", 0, IF(Q280="", 0, IFERROR(VALUE(MID(Q280, SEARCH("(",Q280)+1, 1)),0)))))</f>
        <v/>
      </c>
      <c r="U280">
        <f>IF(A280="","", IF(T280&gt;=5, "Priority 1 (Critical)", IF(T280&gt;=3, "Priority 2 (Major)", IF(T280&gt;=1, "Priority 3 (Minor)", "Pass/Fixed"))))</f>
        <v/>
      </c>
      <c r="V280">
        <f>IF(A280="","", IF(T280&gt;0, "FAIL", "PASS"))</f>
        <v/>
      </c>
    </row>
    <row r="281">
      <c r="A281">
        <f>IF('Equipment Information'!A281="","", 'Equipment Information'!A281)</f>
        <v/>
      </c>
      <c r="B281">
        <f>IF('Equipment Information'!B281="","", 'Equipment Information'!B281)</f>
        <v/>
      </c>
      <c r="C281">
        <f>IF('Equipment Information'!C281="","", 'Equipment Information'!C281)</f>
        <v/>
      </c>
      <c r="E281">
        <f>IF(D281="","", IFERROR(VLOOKUP(D281, 'Hidden_Data'!M:N, 2, FALSE), "0"))</f>
        <v/>
      </c>
      <c r="H281">
        <f>IF(G281="","", IFERROR(VLOOKUP(G281, 'Hidden_Data'!M:N, 2, FALSE), "0"))</f>
        <v/>
      </c>
      <c r="K281">
        <f>IF(J281="","", IFERROR(VLOOKUP(J281, 'Hidden_Data'!M:N, 2, FALSE), "0"))</f>
        <v/>
      </c>
      <c r="N281">
        <f>IF(M281="","", IFERROR(VLOOKUP(M281, 'Hidden_Data'!M:N, 2, FALSE), "0"))</f>
        <v/>
      </c>
      <c r="Q281">
        <f>IF(P281="","", IFERROR(VLOOKUP(P281, 'Hidden_Data'!M:N, 2, FALSE), "0"))</f>
        <v/>
      </c>
      <c r="T281">
        <f>IF(A281="","", SUM(IF(F281="Yes", 0, IF(E281="", 0, IFERROR(VALUE(MID(E281, SEARCH("(",E281)+1, 1)),0))), IF(I281="Yes", 0, IF(H281="", 0, IFERROR(VALUE(MID(H281, SEARCH("(",H281)+1, 1)),0))), IF(L281="Yes", 0, IF(K281="", 0, IFERROR(VALUE(MID(K281, SEARCH("(",K281)+1, 1)),0))), IF(O281="Yes", 0, IF(N281="", 0, IFERROR(VALUE(MID(N281, SEARCH("(",N281)+1, 1)),0))), IF(R281="Yes", 0, IF(Q281="", 0, IFERROR(VALUE(MID(Q281, SEARCH("(",Q281)+1, 1)),0)))))</f>
        <v/>
      </c>
      <c r="U281">
        <f>IF(A281="","", IF(T281&gt;=5, "Priority 1 (Critical)", IF(T281&gt;=3, "Priority 2 (Major)", IF(T281&gt;=1, "Priority 3 (Minor)", "Pass/Fixed"))))</f>
        <v/>
      </c>
      <c r="V281">
        <f>IF(A281="","", IF(T281&gt;0, "FAIL", "PASS"))</f>
        <v/>
      </c>
    </row>
    <row r="282">
      <c r="A282">
        <f>IF('Equipment Information'!A282="","", 'Equipment Information'!A282)</f>
        <v/>
      </c>
      <c r="B282">
        <f>IF('Equipment Information'!B282="","", 'Equipment Information'!B282)</f>
        <v/>
      </c>
      <c r="C282">
        <f>IF('Equipment Information'!C282="","", 'Equipment Information'!C282)</f>
        <v/>
      </c>
      <c r="E282">
        <f>IF(D282="","", IFERROR(VLOOKUP(D282, 'Hidden_Data'!M:N, 2, FALSE), "0"))</f>
        <v/>
      </c>
      <c r="H282">
        <f>IF(G282="","", IFERROR(VLOOKUP(G282, 'Hidden_Data'!M:N, 2, FALSE), "0"))</f>
        <v/>
      </c>
      <c r="K282">
        <f>IF(J282="","", IFERROR(VLOOKUP(J282, 'Hidden_Data'!M:N, 2, FALSE), "0"))</f>
        <v/>
      </c>
      <c r="N282">
        <f>IF(M282="","", IFERROR(VLOOKUP(M282, 'Hidden_Data'!M:N, 2, FALSE), "0"))</f>
        <v/>
      </c>
      <c r="Q282">
        <f>IF(P282="","", IFERROR(VLOOKUP(P282, 'Hidden_Data'!M:N, 2, FALSE), "0"))</f>
        <v/>
      </c>
      <c r="T282">
        <f>IF(A282="","", SUM(IF(F282="Yes", 0, IF(E282="", 0, IFERROR(VALUE(MID(E282, SEARCH("(",E282)+1, 1)),0))), IF(I282="Yes", 0, IF(H282="", 0, IFERROR(VALUE(MID(H282, SEARCH("(",H282)+1, 1)),0))), IF(L282="Yes", 0, IF(K282="", 0, IFERROR(VALUE(MID(K282, SEARCH("(",K282)+1, 1)),0))), IF(O282="Yes", 0, IF(N282="", 0, IFERROR(VALUE(MID(N282, SEARCH("(",N282)+1, 1)),0))), IF(R282="Yes", 0, IF(Q282="", 0, IFERROR(VALUE(MID(Q282, SEARCH("(",Q282)+1, 1)),0)))))</f>
        <v/>
      </c>
      <c r="U282">
        <f>IF(A282="","", IF(T282&gt;=5, "Priority 1 (Critical)", IF(T282&gt;=3, "Priority 2 (Major)", IF(T282&gt;=1, "Priority 3 (Minor)", "Pass/Fixed"))))</f>
        <v/>
      </c>
      <c r="V282">
        <f>IF(A282="","", IF(T282&gt;0, "FAIL", "PASS"))</f>
        <v/>
      </c>
    </row>
    <row r="283">
      <c r="A283">
        <f>IF('Equipment Information'!A283="","", 'Equipment Information'!A283)</f>
        <v/>
      </c>
      <c r="B283">
        <f>IF('Equipment Information'!B283="","", 'Equipment Information'!B283)</f>
        <v/>
      </c>
      <c r="C283">
        <f>IF('Equipment Information'!C283="","", 'Equipment Information'!C283)</f>
        <v/>
      </c>
      <c r="E283">
        <f>IF(D283="","", IFERROR(VLOOKUP(D283, 'Hidden_Data'!M:N, 2, FALSE), "0"))</f>
        <v/>
      </c>
      <c r="H283">
        <f>IF(G283="","", IFERROR(VLOOKUP(G283, 'Hidden_Data'!M:N, 2, FALSE), "0"))</f>
        <v/>
      </c>
      <c r="K283">
        <f>IF(J283="","", IFERROR(VLOOKUP(J283, 'Hidden_Data'!M:N, 2, FALSE), "0"))</f>
        <v/>
      </c>
      <c r="N283">
        <f>IF(M283="","", IFERROR(VLOOKUP(M283, 'Hidden_Data'!M:N, 2, FALSE), "0"))</f>
        <v/>
      </c>
      <c r="Q283">
        <f>IF(P283="","", IFERROR(VLOOKUP(P283, 'Hidden_Data'!M:N, 2, FALSE), "0"))</f>
        <v/>
      </c>
      <c r="T283">
        <f>IF(A283="","", SUM(IF(F283="Yes", 0, IF(E283="", 0, IFERROR(VALUE(MID(E283, SEARCH("(",E283)+1, 1)),0))), IF(I283="Yes", 0, IF(H283="", 0, IFERROR(VALUE(MID(H283, SEARCH("(",H283)+1, 1)),0))), IF(L283="Yes", 0, IF(K283="", 0, IFERROR(VALUE(MID(K283, SEARCH("(",K283)+1, 1)),0))), IF(O283="Yes", 0, IF(N283="", 0, IFERROR(VALUE(MID(N283, SEARCH("(",N283)+1, 1)),0))), IF(R283="Yes", 0, IF(Q283="", 0, IFERROR(VALUE(MID(Q283, SEARCH("(",Q283)+1, 1)),0)))))</f>
        <v/>
      </c>
      <c r="U283">
        <f>IF(A283="","", IF(T283&gt;=5, "Priority 1 (Critical)", IF(T283&gt;=3, "Priority 2 (Major)", IF(T283&gt;=1, "Priority 3 (Minor)", "Pass/Fixed"))))</f>
        <v/>
      </c>
      <c r="V283">
        <f>IF(A283="","", IF(T283&gt;0, "FAIL", "PASS"))</f>
        <v/>
      </c>
    </row>
    <row r="284">
      <c r="A284">
        <f>IF('Equipment Information'!A284="","", 'Equipment Information'!A284)</f>
        <v/>
      </c>
      <c r="B284">
        <f>IF('Equipment Information'!B284="","", 'Equipment Information'!B284)</f>
        <v/>
      </c>
      <c r="C284">
        <f>IF('Equipment Information'!C284="","", 'Equipment Information'!C284)</f>
        <v/>
      </c>
      <c r="E284">
        <f>IF(D284="","", IFERROR(VLOOKUP(D284, 'Hidden_Data'!M:N, 2, FALSE), "0"))</f>
        <v/>
      </c>
      <c r="H284">
        <f>IF(G284="","", IFERROR(VLOOKUP(G284, 'Hidden_Data'!M:N, 2, FALSE), "0"))</f>
        <v/>
      </c>
      <c r="K284">
        <f>IF(J284="","", IFERROR(VLOOKUP(J284, 'Hidden_Data'!M:N, 2, FALSE), "0"))</f>
        <v/>
      </c>
      <c r="N284">
        <f>IF(M284="","", IFERROR(VLOOKUP(M284, 'Hidden_Data'!M:N, 2, FALSE), "0"))</f>
        <v/>
      </c>
      <c r="Q284">
        <f>IF(P284="","", IFERROR(VLOOKUP(P284, 'Hidden_Data'!M:N, 2, FALSE), "0"))</f>
        <v/>
      </c>
      <c r="T284">
        <f>IF(A284="","", SUM(IF(F284="Yes", 0, IF(E284="", 0, IFERROR(VALUE(MID(E284, SEARCH("(",E284)+1, 1)),0))), IF(I284="Yes", 0, IF(H284="", 0, IFERROR(VALUE(MID(H284, SEARCH("(",H284)+1, 1)),0))), IF(L284="Yes", 0, IF(K284="", 0, IFERROR(VALUE(MID(K284, SEARCH("(",K284)+1, 1)),0))), IF(O284="Yes", 0, IF(N284="", 0, IFERROR(VALUE(MID(N284, SEARCH("(",N284)+1, 1)),0))), IF(R284="Yes", 0, IF(Q284="", 0, IFERROR(VALUE(MID(Q284, SEARCH("(",Q284)+1, 1)),0)))))</f>
        <v/>
      </c>
      <c r="U284">
        <f>IF(A284="","", IF(T284&gt;=5, "Priority 1 (Critical)", IF(T284&gt;=3, "Priority 2 (Major)", IF(T284&gt;=1, "Priority 3 (Minor)", "Pass/Fixed"))))</f>
        <v/>
      </c>
      <c r="V284">
        <f>IF(A284="","", IF(T284&gt;0, "FAIL", "PASS"))</f>
        <v/>
      </c>
    </row>
    <row r="285">
      <c r="A285">
        <f>IF('Equipment Information'!A285="","", 'Equipment Information'!A285)</f>
        <v/>
      </c>
      <c r="B285">
        <f>IF('Equipment Information'!B285="","", 'Equipment Information'!B285)</f>
        <v/>
      </c>
      <c r="C285">
        <f>IF('Equipment Information'!C285="","", 'Equipment Information'!C285)</f>
        <v/>
      </c>
      <c r="E285">
        <f>IF(D285="","", IFERROR(VLOOKUP(D285, 'Hidden_Data'!M:N, 2, FALSE), "0"))</f>
        <v/>
      </c>
      <c r="H285">
        <f>IF(G285="","", IFERROR(VLOOKUP(G285, 'Hidden_Data'!M:N, 2, FALSE), "0"))</f>
        <v/>
      </c>
      <c r="K285">
        <f>IF(J285="","", IFERROR(VLOOKUP(J285, 'Hidden_Data'!M:N, 2, FALSE), "0"))</f>
        <v/>
      </c>
      <c r="N285">
        <f>IF(M285="","", IFERROR(VLOOKUP(M285, 'Hidden_Data'!M:N, 2, FALSE), "0"))</f>
        <v/>
      </c>
      <c r="Q285">
        <f>IF(P285="","", IFERROR(VLOOKUP(P285, 'Hidden_Data'!M:N, 2, FALSE), "0"))</f>
        <v/>
      </c>
      <c r="T285">
        <f>IF(A285="","", SUM(IF(F285="Yes", 0, IF(E285="", 0, IFERROR(VALUE(MID(E285, SEARCH("(",E285)+1, 1)),0))), IF(I285="Yes", 0, IF(H285="", 0, IFERROR(VALUE(MID(H285, SEARCH("(",H285)+1, 1)),0))), IF(L285="Yes", 0, IF(K285="", 0, IFERROR(VALUE(MID(K285, SEARCH("(",K285)+1, 1)),0))), IF(O285="Yes", 0, IF(N285="", 0, IFERROR(VALUE(MID(N285, SEARCH("(",N285)+1, 1)),0))), IF(R285="Yes", 0, IF(Q285="", 0, IFERROR(VALUE(MID(Q285, SEARCH("(",Q285)+1, 1)),0)))))</f>
        <v/>
      </c>
      <c r="U285">
        <f>IF(A285="","", IF(T285&gt;=5, "Priority 1 (Critical)", IF(T285&gt;=3, "Priority 2 (Major)", IF(T285&gt;=1, "Priority 3 (Minor)", "Pass/Fixed"))))</f>
        <v/>
      </c>
      <c r="V285">
        <f>IF(A285="","", IF(T285&gt;0, "FAIL", "PASS"))</f>
        <v/>
      </c>
    </row>
    <row r="286">
      <c r="A286">
        <f>IF('Equipment Information'!A286="","", 'Equipment Information'!A286)</f>
        <v/>
      </c>
      <c r="B286">
        <f>IF('Equipment Information'!B286="","", 'Equipment Information'!B286)</f>
        <v/>
      </c>
      <c r="C286">
        <f>IF('Equipment Information'!C286="","", 'Equipment Information'!C286)</f>
        <v/>
      </c>
      <c r="E286">
        <f>IF(D286="","", IFERROR(VLOOKUP(D286, 'Hidden_Data'!M:N, 2, FALSE), "0"))</f>
        <v/>
      </c>
      <c r="H286">
        <f>IF(G286="","", IFERROR(VLOOKUP(G286, 'Hidden_Data'!M:N, 2, FALSE), "0"))</f>
        <v/>
      </c>
      <c r="K286">
        <f>IF(J286="","", IFERROR(VLOOKUP(J286, 'Hidden_Data'!M:N, 2, FALSE), "0"))</f>
        <v/>
      </c>
      <c r="N286">
        <f>IF(M286="","", IFERROR(VLOOKUP(M286, 'Hidden_Data'!M:N, 2, FALSE), "0"))</f>
        <v/>
      </c>
      <c r="Q286">
        <f>IF(P286="","", IFERROR(VLOOKUP(P286, 'Hidden_Data'!M:N, 2, FALSE), "0"))</f>
        <v/>
      </c>
      <c r="T286">
        <f>IF(A286="","", SUM(IF(F286="Yes", 0, IF(E286="", 0, IFERROR(VALUE(MID(E286, SEARCH("(",E286)+1, 1)),0))), IF(I286="Yes", 0, IF(H286="", 0, IFERROR(VALUE(MID(H286, SEARCH("(",H286)+1, 1)),0))), IF(L286="Yes", 0, IF(K286="", 0, IFERROR(VALUE(MID(K286, SEARCH("(",K286)+1, 1)),0))), IF(O286="Yes", 0, IF(N286="", 0, IFERROR(VALUE(MID(N286, SEARCH("(",N286)+1, 1)),0))), IF(R286="Yes", 0, IF(Q286="", 0, IFERROR(VALUE(MID(Q286, SEARCH("(",Q286)+1, 1)),0)))))</f>
        <v/>
      </c>
      <c r="U286">
        <f>IF(A286="","", IF(T286&gt;=5, "Priority 1 (Critical)", IF(T286&gt;=3, "Priority 2 (Major)", IF(T286&gt;=1, "Priority 3 (Minor)", "Pass/Fixed"))))</f>
        <v/>
      </c>
      <c r="V286">
        <f>IF(A286="","", IF(T286&gt;0, "FAIL", "PASS"))</f>
        <v/>
      </c>
    </row>
    <row r="287">
      <c r="A287">
        <f>IF('Equipment Information'!A287="","", 'Equipment Information'!A287)</f>
        <v/>
      </c>
      <c r="B287">
        <f>IF('Equipment Information'!B287="","", 'Equipment Information'!B287)</f>
        <v/>
      </c>
      <c r="C287">
        <f>IF('Equipment Information'!C287="","", 'Equipment Information'!C287)</f>
        <v/>
      </c>
      <c r="E287">
        <f>IF(D287="","", IFERROR(VLOOKUP(D287, 'Hidden_Data'!M:N, 2, FALSE), "0"))</f>
        <v/>
      </c>
      <c r="H287">
        <f>IF(G287="","", IFERROR(VLOOKUP(G287, 'Hidden_Data'!M:N, 2, FALSE), "0"))</f>
        <v/>
      </c>
      <c r="K287">
        <f>IF(J287="","", IFERROR(VLOOKUP(J287, 'Hidden_Data'!M:N, 2, FALSE), "0"))</f>
        <v/>
      </c>
      <c r="N287">
        <f>IF(M287="","", IFERROR(VLOOKUP(M287, 'Hidden_Data'!M:N, 2, FALSE), "0"))</f>
        <v/>
      </c>
      <c r="Q287">
        <f>IF(P287="","", IFERROR(VLOOKUP(P287, 'Hidden_Data'!M:N, 2, FALSE), "0"))</f>
        <v/>
      </c>
      <c r="T287">
        <f>IF(A287="","", SUM(IF(F287="Yes", 0, IF(E287="", 0, IFERROR(VALUE(MID(E287, SEARCH("(",E287)+1, 1)),0))), IF(I287="Yes", 0, IF(H287="", 0, IFERROR(VALUE(MID(H287, SEARCH("(",H287)+1, 1)),0))), IF(L287="Yes", 0, IF(K287="", 0, IFERROR(VALUE(MID(K287, SEARCH("(",K287)+1, 1)),0))), IF(O287="Yes", 0, IF(N287="", 0, IFERROR(VALUE(MID(N287, SEARCH("(",N287)+1, 1)),0))), IF(R287="Yes", 0, IF(Q287="", 0, IFERROR(VALUE(MID(Q287, SEARCH("(",Q287)+1, 1)),0)))))</f>
        <v/>
      </c>
      <c r="U287">
        <f>IF(A287="","", IF(T287&gt;=5, "Priority 1 (Critical)", IF(T287&gt;=3, "Priority 2 (Major)", IF(T287&gt;=1, "Priority 3 (Minor)", "Pass/Fixed"))))</f>
        <v/>
      </c>
      <c r="V287">
        <f>IF(A287="","", IF(T287&gt;0, "FAIL", "PASS"))</f>
        <v/>
      </c>
    </row>
    <row r="288">
      <c r="A288">
        <f>IF('Equipment Information'!A288="","", 'Equipment Information'!A288)</f>
        <v/>
      </c>
      <c r="B288">
        <f>IF('Equipment Information'!B288="","", 'Equipment Information'!B288)</f>
        <v/>
      </c>
      <c r="C288">
        <f>IF('Equipment Information'!C288="","", 'Equipment Information'!C288)</f>
        <v/>
      </c>
      <c r="E288">
        <f>IF(D288="","", IFERROR(VLOOKUP(D288, 'Hidden_Data'!M:N, 2, FALSE), "0"))</f>
        <v/>
      </c>
      <c r="H288">
        <f>IF(G288="","", IFERROR(VLOOKUP(G288, 'Hidden_Data'!M:N, 2, FALSE), "0"))</f>
        <v/>
      </c>
      <c r="K288">
        <f>IF(J288="","", IFERROR(VLOOKUP(J288, 'Hidden_Data'!M:N, 2, FALSE), "0"))</f>
        <v/>
      </c>
      <c r="N288">
        <f>IF(M288="","", IFERROR(VLOOKUP(M288, 'Hidden_Data'!M:N, 2, FALSE), "0"))</f>
        <v/>
      </c>
      <c r="Q288">
        <f>IF(P288="","", IFERROR(VLOOKUP(P288, 'Hidden_Data'!M:N, 2, FALSE), "0"))</f>
        <v/>
      </c>
      <c r="T288">
        <f>IF(A288="","", SUM(IF(F288="Yes", 0, IF(E288="", 0, IFERROR(VALUE(MID(E288, SEARCH("(",E288)+1, 1)),0))), IF(I288="Yes", 0, IF(H288="", 0, IFERROR(VALUE(MID(H288, SEARCH("(",H288)+1, 1)),0))), IF(L288="Yes", 0, IF(K288="", 0, IFERROR(VALUE(MID(K288, SEARCH("(",K288)+1, 1)),0))), IF(O288="Yes", 0, IF(N288="", 0, IFERROR(VALUE(MID(N288, SEARCH("(",N288)+1, 1)),0))), IF(R288="Yes", 0, IF(Q288="", 0, IFERROR(VALUE(MID(Q288, SEARCH("(",Q288)+1, 1)),0)))))</f>
        <v/>
      </c>
      <c r="U288">
        <f>IF(A288="","", IF(T288&gt;=5, "Priority 1 (Critical)", IF(T288&gt;=3, "Priority 2 (Major)", IF(T288&gt;=1, "Priority 3 (Minor)", "Pass/Fixed"))))</f>
        <v/>
      </c>
      <c r="V288">
        <f>IF(A288="","", IF(T288&gt;0, "FAIL", "PASS"))</f>
        <v/>
      </c>
    </row>
    <row r="289">
      <c r="A289">
        <f>IF('Equipment Information'!A289="","", 'Equipment Information'!A289)</f>
        <v/>
      </c>
      <c r="B289">
        <f>IF('Equipment Information'!B289="","", 'Equipment Information'!B289)</f>
        <v/>
      </c>
      <c r="C289">
        <f>IF('Equipment Information'!C289="","", 'Equipment Information'!C289)</f>
        <v/>
      </c>
      <c r="E289">
        <f>IF(D289="","", IFERROR(VLOOKUP(D289, 'Hidden_Data'!M:N, 2, FALSE), "0"))</f>
        <v/>
      </c>
      <c r="H289">
        <f>IF(G289="","", IFERROR(VLOOKUP(G289, 'Hidden_Data'!M:N, 2, FALSE), "0"))</f>
        <v/>
      </c>
      <c r="K289">
        <f>IF(J289="","", IFERROR(VLOOKUP(J289, 'Hidden_Data'!M:N, 2, FALSE), "0"))</f>
        <v/>
      </c>
      <c r="N289">
        <f>IF(M289="","", IFERROR(VLOOKUP(M289, 'Hidden_Data'!M:N, 2, FALSE), "0"))</f>
        <v/>
      </c>
      <c r="Q289">
        <f>IF(P289="","", IFERROR(VLOOKUP(P289, 'Hidden_Data'!M:N, 2, FALSE), "0"))</f>
        <v/>
      </c>
      <c r="T289">
        <f>IF(A289="","", SUM(IF(F289="Yes", 0, IF(E289="", 0, IFERROR(VALUE(MID(E289, SEARCH("(",E289)+1, 1)),0))), IF(I289="Yes", 0, IF(H289="", 0, IFERROR(VALUE(MID(H289, SEARCH("(",H289)+1, 1)),0))), IF(L289="Yes", 0, IF(K289="", 0, IFERROR(VALUE(MID(K289, SEARCH("(",K289)+1, 1)),0))), IF(O289="Yes", 0, IF(N289="", 0, IFERROR(VALUE(MID(N289, SEARCH("(",N289)+1, 1)),0))), IF(R289="Yes", 0, IF(Q289="", 0, IFERROR(VALUE(MID(Q289, SEARCH("(",Q289)+1, 1)),0)))))</f>
        <v/>
      </c>
      <c r="U289">
        <f>IF(A289="","", IF(T289&gt;=5, "Priority 1 (Critical)", IF(T289&gt;=3, "Priority 2 (Major)", IF(T289&gt;=1, "Priority 3 (Minor)", "Pass/Fixed"))))</f>
        <v/>
      </c>
      <c r="V289">
        <f>IF(A289="","", IF(T289&gt;0, "FAIL", "PASS"))</f>
        <v/>
      </c>
    </row>
    <row r="290">
      <c r="A290">
        <f>IF('Equipment Information'!A290="","", 'Equipment Information'!A290)</f>
        <v/>
      </c>
      <c r="B290">
        <f>IF('Equipment Information'!B290="","", 'Equipment Information'!B290)</f>
        <v/>
      </c>
      <c r="C290">
        <f>IF('Equipment Information'!C290="","", 'Equipment Information'!C290)</f>
        <v/>
      </c>
      <c r="E290">
        <f>IF(D290="","", IFERROR(VLOOKUP(D290, 'Hidden_Data'!M:N, 2, FALSE), "0"))</f>
        <v/>
      </c>
      <c r="H290">
        <f>IF(G290="","", IFERROR(VLOOKUP(G290, 'Hidden_Data'!M:N, 2, FALSE), "0"))</f>
        <v/>
      </c>
      <c r="K290">
        <f>IF(J290="","", IFERROR(VLOOKUP(J290, 'Hidden_Data'!M:N, 2, FALSE), "0"))</f>
        <v/>
      </c>
      <c r="N290">
        <f>IF(M290="","", IFERROR(VLOOKUP(M290, 'Hidden_Data'!M:N, 2, FALSE), "0"))</f>
        <v/>
      </c>
      <c r="Q290">
        <f>IF(P290="","", IFERROR(VLOOKUP(P290, 'Hidden_Data'!M:N, 2, FALSE), "0"))</f>
        <v/>
      </c>
      <c r="T290">
        <f>IF(A290="","", SUM(IF(F290="Yes", 0, IF(E290="", 0, IFERROR(VALUE(MID(E290, SEARCH("(",E290)+1, 1)),0))), IF(I290="Yes", 0, IF(H290="", 0, IFERROR(VALUE(MID(H290, SEARCH("(",H290)+1, 1)),0))), IF(L290="Yes", 0, IF(K290="", 0, IFERROR(VALUE(MID(K290, SEARCH("(",K290)+1, 1)),0))), IF(O290="Yes", 0, IF(N290="", 0, IFERROR(VALUE(MID(N290, SEARCH("(",N290)+1, 1)),0))), IF(R290="Yes", 0, IF(Q290="", 0, IFERROR(VALUE(MID(Q290, SEARCH("(",Q290)+1, 1)),0)))))</f>
        <v/>
      </c>
      <c r="U290">
        <f>IF(A290="","", IF(T290&gt;=5, "Priority 1 (Critical)", IF(T290&gt;=3, "Priority 2 (Major)", IF(T290&gt;=1, "Priority 3 (Minor)", "Pass/Fixed"))))</f>
        <v/>
      </c>
      <c r="V290">
        <f>IF(A290="","", IF(T290&gt;0, "FAIL", "PASS"))</f>
        <v/>
      </c>
    </row>
    <row r="291">
      <c r="A291">
        <f>IF('Equipment Information'!A291="","", 'Equipment Information'!A291)</f>
        <v/>
      </c>
      <c r="B291">
        <f>IF('Equipment Information'!B291="","", 'Equipment Information'!B291)</f>
        <v/>
      </c>
      <c r="C291">
        <f>IF('Equipment Information'!C291="","", 'Equipment Information'!C291)</f>
        <v/>
      </c>
      <c r="E291">
        <f>IF(D291="","", IFERROR(VLOOKUP(D291, 'Hidden_Data'!M:N, 2, FALSE), "0"))</f>
        <v/>
      </c>
      <c r="H291">
        <f>IF(G291="","", IFERROR(VLOOKUP(G291, 'Hidden_Data'!M:N, 2, FALSE), "0"))</f>
        <v/>
      </c>
      <c r="K291">
        <f>IF(J291="","", IFERROR(VLOOKUP(J291, 'Hidden_Data'!M:N, 2, FALSE), "0"))</f>
        <v/>
      </c>
      <c r="N291">
        <f>IF(M291="","", IFERROR(VLOOKUP(M291, 'Hidden_Data'!M:N, 2, FALSE), "0"))</f>
        <v/>
      </c>
      <c r="Q291">
        <f>IF(P291="","", IFERROR(VLOOKUP(P291, 'Hidden_Data'!M:N, 2, FALSE), "0"))</f>
        <v/>
      </c>
      <c r="T291">
        <f>IF(A291="","", SUM(IF(F291="Yes", 0, IF(E291="", 0, IFERROR(VALUE(MID(E291, SEARCH("(",E291)+1, 1)),0))), IF(I291="Yes", 0, IF(H291="", 0, IFERROR(VALUE(MID(H291, SEARCH("(",H291)+1, 1)),0))), IF(L291="Yes", 0, IF(K291="", 0, IFERROR(VALUE(MID(K291, SEARCH("(",K291)+1, 1)),0))), IF(O291="Yes", 0, IF(N291="", 0, IFERROR(VALUE(MID(N291, SEARCH("(",N291)+1, 1)),0))), IF(R291="Yes", 0, IF(Q291="", 0, IFERROR(VALUE(MID(Q291, SEARCH("(",Q291)+1, 1)),0)))))</f>
        <v/>
      </c>
      <c r="U291">
        <f>IF(A291="","", IF(T291&gt;=5, "Priority 1 (Critical)", IF(T291&gt;=3, "Priority 2 (Major)", IF(T291&gt;=1, "Priority 3 (Minor)", "Pass/Fixed"))))</f>
        <v/>
      </c>
      <c r="V291">
        <f>IF(A291="","", IF(T291&gt;0, "FAIL", "PASS"))</f>
        <v/>
      </c>
    </row>
    <row r="292">
      <c r="A292">
        <f>IF('Equipment Information'!A292="","", 'Equipment Information'!A292)</f>
        <v/>
      </c>
      <c r="B292">
        <f>IF('Equipment Information'!B292="","", 'Equipment Information'!B292)</f>
        <v/>
      </c>
      <c r="C292">
        <f>IF('Equipment Information'!C292="","", 'Equipment Information'!C292)</f>
        <v/>
      </c>
      <c r="E292">
        <f>IF(D292="","", IFERROR(VLOOKUP(D292, 'Hidden_Data'!M:N, 2, FALSE), "0"))</f>
        <v/>
      </c>
      <c r="H292">
        <f>IF(G292="","", IFERROR(VLOOKUP(G292, 'Hidden_Data'!M:N, 2, FALSE), "0"))</f>
        <v/>
      </c>
      <c r="K292">
        <f>IF(J292="","", IFERROR(VLOOKUP(J292, 'Hidden_Data'!M:N, 2, FALSE), "0"))</f>
        <v/>
      </c>
      <c r="N292">
        <f>IF(M292="","", IFERROR(VLOOKUP(M292, 'Hidden_Data'!M:N, 2, FALSE), "0"))</f>
        <v/>
      </c>
      <c r="Q292">
        <f>IF(P292="","", IFERROR(VLOOKUP(P292, 'Hidden_Data'!M:N, 2, FALSE), "0"))</f>
        <v/>
      </c>
      <c r="T292">
        <f>IF(A292="","", SUM(IF(F292="Yes", 0, IF(E292="", 0, IFERROR(VALUE(MID(E292, SEARCH("(",E292)+1, 1)),0))), IF(I292="Yes", 0, IF(H292="", 0, IFERROR(VALUE(MID(H292, SEARCH("(",H292)+1, 1)),0))), IF(L292="Yes", 0, IF(K292="", 0, IFERROR(VALUE(MID(K292, SEARCH("(",K292)+1, 1)),0))), IF(O292="Yes", 0, IF(N292="", 0, IFERROR(VALUE(MID(N292, SEARCH("(",N292)+1, 1)),0))), IF(R292="Yes", 0, IF(Q292="", 0, IFERROR(VALUE(MID(Q292, SEARCH("(",Q292)+1, 1)),0)))))</f>
        <v/>
      </c>
      <c r="U292">
        <f>IF(A292="","", IF(T292&gt;=5, "Priority 1 (Critical)", IF(T292&gt;=3, "Priority 2 (Major)", IF(T292&gt;=1, "Priority 3 (Minor)", "Pass/Fixed"))))</f>
        <v/>
      </c>
      <c r="V292">
        <f>IF(A292="","", IF(T292&gt;0, "FAIL", "PASS"))</f>
        <v/>
      </c>
    </row>
    <row r="293">
      <c r="A293">
        <f>IF('Equipment Information'!A293="","", 'Equipment Information'!A293)</f>
        <v/>
      </c>
      <c r="B293">
        <f>IF('Equipment Information'!B293="","", 'Equipment Information'!B293)</f>
        <v/>
      </c>
      <c r="C293">
        <f>IF('Equipment Information'!C293="","", 'Equipment Information'!C293)</f>
        <v/>
      </c>
      <c r="E293">
        <f>IF(D293="","", IFERROR(VLOOKUP(D293, 'Hidden_Data'!M:N, 2, FALSE), "0"))</f>
        <v/>
      </c>
      <c r="H293">
        <f>IF(G293="","", IFERROR(VLOOKUP(G293, 'Hidden_Data'!M:N, 2, FALSE), "0"))</f>
        <v/>
      </c>
      <c r="K293">
        <f>IF(J293="","", IFERROR(VLOOKUP(J293, 'Hidden_Data'!M:N, 2, FALSE), "0"))</f>
        <v/>
      </c>
      <c r="N293">
        <f>IF(M293="","", IFERROR(VLOOKUP(M293, 'Hidden_Data'!M:N, 2, FALSE), "0"))</f>
        <v/>
      </c>
      <c r="Q293">
        <f>IF(P293="","", IFERROR(VLOOKUP(P293, 'Hidden_Data'!M:N, 2, FALSE), "0"))</f>
        <v/>
      </c>
      <c r="T293">
        <f>IF(A293="","", SUM(IF(F293="Yes", 0, IF(E293="", 0, IFERROR(VALUE(MID(E293, SEARCH("(",E293)+1, 1)),0))), IF(I293="Yes", 0, IF(H293="", 0, IFERROR(VALUE(MID(H293, SEARCH("(",H293)+1, 1)),0))), IF(L293="Yes", 0, IF(K293="", 0, IFERROR(VALUE(MID(K293, SEARCH("(",K293)+1, 1)),0))), IF(O293="Yes", 0, IF(N293="", 0, IFERROR(VALUE(MID(N293, SEARCH("(",N293)+1, 1)),0))), IF(R293="Yes", 0, IF(Q293="", 0, IFERROR(VALUE(MID(Q293, SEARCH("(",Q293)+1, 1)),0)))))</f>
        <v/>
      </c>
      <c r="U293">
        <f>IF(A293="","", IF(T293&gt;=5, "Priority 1 (Critical)", IF(T293&gt;=3, "Priority 2 (Major)", IF(T293&gt;=1, "Priority 3 (Minor)", "Pass/Fixed"))))</f>
        <v/>
      </c>
      <c r="V293">
        <f>IF(A293="","", IF(T293&gt;0, "FAIL", "PASS"))</f>
        <v/>
      </c>
    </row>
    <row r="294">
      <c r="A294">
        <f>IF('Equipment Information'!A294="","", 'Equipment Information'!A294)</f>
        <v/>
      </c>
      <c r="B294">
        <f>IF('Equipment Information'!B294="","", 'Equipment Information'!B294)</f>
        <v/>
      </c>
      <c r="C294">
        <f>IF('Equipment Information'!C294="","", 'Equipment Information'!C294)</f>
        <v/>
      </c>
      <c r="E294">
        <f>IF(D294="","", IFERROR(VLOOKUP(D294, 'Hidden_Data'!M:N, 2, FALSE), "0"))</f>
        <v/>
      </c>
      <c r="H294">
        <f>IF(G294="","", IFERROR(VLOOKUP(G294, 'Hidden_Data'!M:N, 2, FALSE), "0"))</f>
        <v/>
      </c>
      <c r="K294">
        <f>IF(J294="","", IFERROR(VLOOKUP(J294, 'Hidden_Data'!M:N, 2, FALSE), "0"))</f>
        <v/>
      </c>
      <c r="N294">
        <f>IF(M294="","", IFERROR(VLOOKUP(M294, 'Hidden_Data'!M:N, 2, FALSE), "0"))</f>
        <v/>
      </c>
      <c r="Q294">
        <f>IF(P294="","", IFERROR(VLOOKUP(P294, 'Hidden_Data'!M:N, 2, FALSE), "0"))</f>
        <v/>
      </c>
      <c r="T294">
        <f>IF(A294="","", SUM(IF(F294="Yes", 0, IF(E294="", 0, IFERROR(VALUE(MID(E294, SEARCH("(",E294)+1, 1)),0))), IF(I294="Yes", 0, IF(H294="", 0, IFERROR(VALUE(MID(H294, SEARCH("(",H294)+1, 1)),0))), IF(L294="Yes", 0, IF(K294="", 0, IFERROR(VALUE(MID(K294, SEARCH("(",K294)+1, 1)),0))), IF(O294="Yes", 0, IF(N294="", 0, IFERROR(VALUE(MID(N294, SEARCH("(",N294)+1, 1)),0))), IF(R294="Yes", 0, IF(Q294="", 0, IFERROR(VALUE(MID(Q294, SEARCH("(",Q294)+1, 1)),0)))))</f>
        <v/>
      </c>
      <c r="U294">
        <f>IF(A294="","", IF(T294&gt;=5, "Priority 1 (Critical)", IF(T294&gt;=3, "Priority 2 (Major)", IF(T294&gt;=1, "Priority 3 (Minor)", "Pass/Fixed"))))</f>
        <v/>
      </c>
      <c r="V294">
        <f>IF(A294="","", IF(T294&gt;0, "FAIL", "PASS"))</f>
        <v/>
      </c>
    </row>
    <row r="295">
      <c r="A295">
        <f>IF('Equipment Information'!A295="","", 'Equipment Information'!A295)</f>
        <v/>
      </c>
      <c r="B295">
        <f>IF('Equipment Information'!B295="","", 'Equipment Information'!B295)</f>
        <v/>
      </c>
      <c r="C295">
        <f>IF('Equipment Information'!C295="","", 'Equipment Information'!C295)</f>
        <v/>
      </c>
      <c r="E295">
        <f>IF(D295="","", IFERROR(VLOOKUP(D295, 'Hidden_Data'!M:N, 2, FALSE), "0"))</f>
        <v/>
      </c>
      <c r="H295">
        <f>IF(G295="","", IFERROR(VLOOKUP(G295, 'Hidden_Data'!M:N, 2, FALSE), "0"))</f>
        <v/>
      </c>
      <c r="K295">
        <f>IF(J295="","", IFERROR(VLOOKUP(J295, 'Hidden_Data'!M:N, 2, FALSE), "0"))</f>
        <v/>
      </c>
      <c r="N295">
        <f>IF(M295="","", IFERROR(VLOOKUP(M295, 'Hidden_Data'!M:N, 2, FALSE), "0"))</f>
        <v/>
      </c>
      <c r="Q295">
        <f>IF(P295="","", IFERROR(VLOOKUP(P295, 'Hidden_Data'!M:N, 2, FALSE), "0"))</f>
        <v/>
      </c>
      <c r="T295">
        <f>IF(A295="","", SUM(IF(F295="Yes", 0, IF(E295="", 0, IFERROR(VALUE(MID(E295, SEARCH("(",E295)+1, 1)),0))), IF(I295="Yes", 0, IF(H295="", 0, IFERROR(VALUE(MID(H295, SEARCH("(",H295)+1, 1)),0))), IF(L295="Yes", 0, IF(K295="", 0, IFERROR(VALUE(MID(K295, SEARCH("(",K295)+1, 1)),0))), IF(O295="Yes", 0, IF(N295="", 0, IFERROR(VALUE(MID(N295, SEARCH("(",N295)+1, 1)),0))), IF(R295="Yes", 0, IF(Q295="", 0, IFERROR(VALUE(MID(Q295, SEARCH("(",Q295)+1, 1)),0)))))</f>
        <v/>
      </c>
      <c r="U295">
        <f>IF(A295="","", IF(T295&gt;=5, "Priority 1 (Critical)", IF(T295&gt;=3, "Priority 2 (Major)", IF(T295&gt;=1, "Priority 3 (Minor)", "Pass/Fixed"))))</f>
        <v/>
      </c>
      <c r="V295">
        <f>IF(A295="","", IF(T295&gt;0, "FAIL", "PASS"))</f>
        <v/>
      </c>
    </row>
    <row r="296">
      <c r="A296">
        <f>IF('Equipment Information'!A296="","", 'Equipment Information'!A296)</f>
        <v/>
      </c>
      <c r="B296">
        <f>IF('Equipment Information'!B296="","", 'Equipment Information'!B296)</f>
        <v/>
      </c>
      <c r="C296">
        <f>IF('Equipment Information'!C296="","", 'Equipment Information'!C296)</f>
        <v/>
      </c>
      <c r="E296">
        <f>IF(D296="","", IFERROR(VLOOKUP(D296, 'Hidden_Data'!M:N, 2, FALSE), "0"))</f>
        <v/>
      </c>
      <c r="H296">
        <f>IF(G296="","", IFERROR(VLOOKUP(G296, 'Hidden_Data'!M:N, 2, FALSE), "0"))</f>
        <v/>
      </c>
      <c r="K296">
        <f>IF(J296="","", IFERROR(VLOOKUP(J296, 'Hidden_Data'!M:N, 2, FALSE), "0"))</f>
        <v/>
      </c>
      <c r="N296">
        <f>IF(M296="","", IFERROR(VLOOKUP(M296, 'Hidden_Data'!M:N, 2, FALSE), "0"))</f>
        <v/>
      </c>
      <c r="Q296">
        <f>IF(P296="","", IFERROR(VLOOKUP(P296, 'Hidden_Data'!M:N, 2, FALSE), "0"))</f>
        <v/>
      </c>
      <c r="T296">
        <f>IF(A296="","", SUM(IF(F296="Yes", 0, IF(E296="", 0, IFERROR(VALUE(MID(E296, SEARCH("(",E296)+1, 1)),0))), IF(I296="Yes", 0, IF(H296="", 0, IFERROR(VALUE(MID(H296, SEARCH("(",H296)+1, 1)),0))), IF(L296="Yes", 0, IF(K296="", 0, IFERROR(VALUE(MID(K296, SEARCH("(",K296)+1, 1)),0))), IF(O296="Yes", 0, IF(N296="", 0, IFERROR(VALUE(MID(N296, SEARCH("(",N296)+1, 1)),0))), IF(R296="Yes", 0, IF(Q296="", 0, IFERROR(VALUE(MID(Q296, SEARCH("(",Q296)+1, 1)),0)))))</f>
        <v/>
      </c>
      <c r="U296">
        <f>IF(A296="","", IF(T296&gt;=5, "Priority 1 (Critical)", IF(T296&gt;=3, "Priority 2 (Major)", IF(T296&gt;=1, "Priority 3 (Minor)", "Pass/Fixed"))))</f>
        <v/>
      </c>
      <c r="V296">
        <f>IF(A296="","", IF(T296&gt;0, "FAIL", "PASS"))</f>
        <v/>
      </c>
    </row>
    <row r="297">
      <c r="A297">
        <f>IF('Equipment Information'!A297="","", 'Equipment Information'!A297)</f>
        <v/>
      </c>
      <c r="B297">
        <f>IF('Equipment Information'!B297="","", 'Equipment Information'!B297)</f>
        <v/>
      </c>
      <c r="C297">
        <f>IF('Equipment Information'!C297="","", 'Equipment Information'!C297)</f>
        <v/>
      </c>
      <c r="E297">
        <f>IF(D297="","", IFERROR(VLOOKUP(D297, 'Hidden_Data'!M:N, 2, FALSE), "0"))</f>
        <v/>
      </c>
      <c r="H297">
        <f>IF(G297="","", IFERROR(VLOOKUP(G297, 'Hidden_Data'!M:N, 2, FALSE), "0"))</f>
        <v/>
      </c>
      <c r="K297">
        <f>IF(J297="","", IFERROR(VLOOKUP(J297, 'Hidden_Data'!M:N, 2, FALSE), "0"))</f>
        <v/>
      </c>
      <c r="N297">
        <f>IF(M297="","", IFERROR(VLOOKUP(M297, 'Hidden_Data'!M:N, 2, FALSE), "0"))</f>
        <v/>
      </c>
      <c r="Q297">
        <f>IF(P297="","", IFERROR(VLOOKUP(P297, 'Hidden_Data'!M:N, 2, FALSE), "0"))</f>
        <v/>
      </c>
      <c r="T297">
        <f>IF(A297="","", SUM(IF(F297="Yes", 0, IF(E297="", 0, IFERROR(VALUE(MID(E297, SEARCH("(",E297)+1, 1)),0))), IF(I297="Yes", 0, IF(H297="", 0, IFERROR(VALUE(MID(H297, SEARCH("(",H297)+1, 1)),0))), IF(L297="Yes", 0, IF(K297="", 0, IFERROR(VALUE(MID(K297, SEARCH("(",K297)+1, 1)),0))), IF(O297="Yes", 0, IF(N297="", 0, IFERROR(VALUE(MID(N297, SEARCH("(",N297)+1, 1)),0))), IF(R297="Yes", 0, IF(Q297="", 0, IFERROR(VALUE(MID(Q297, SEARCH("(",Q297)+1, 1)),0)))))</f>
        <v/>
      </c>
      <c r="U297">
        <f>IF(A297="","", IF(T297&gt;=5, "Priority 1 (Critical)", IF(T297&gt;=3, "Priority 2 (Major)", IF(T297&gt;=1, "Priority 3 (Minor)", "Pass/Fixed"))))</f>
        <v/>
      </c>
      <c r="V297">
        <f>IF(A297="","", IF(T297&gt;0, "FAIL", "PASS"))</f>
        <v/>
      </c>
    </row>
    <row r="298">
      <c r="A298">
        <f>IF('Equipment Information'!A298="","", 'Equipment Information'!A298)</f>
        <v/>
      </c>
      <c r="B298">
        <f>IF('Equipment Information'!B298="","", 'Equipment Information'!B298)</f>
        <v/>
      </c>
      <c r="C298">
        <f>IF('Equipment Information'!C298="","", 'Equipment Information'!C298)</f>
        <v/>
      </c>
      <c r="E298">
        <f>IF(D298="","", IFERROR(VLOOKUP(D298, 'Hidden_Data'!M:N, 2, FALSE), "0"))</f>
        <v/>
      </c>
      <c r="H298">
        <f>IF(G298="","", IFERROR(VLOOKUP(G298, 'Hidden_Data'!M:N, 2, FALSE), "0"))</f>
        <v/>
      </c>
      <c r="K298">
        <f>IF(J298="","", IFERROR(VLOOKUP(J298, 'Hidden_Data'!M:N, 2, FALSE), "0"))</f>
        <v/>
      </c>
      <c r="N298">
        <f>IF(M298="","", IFERROR(VLOOKUP(M298, 'Hidden_Data'!M:N, 2, FALSE), "0"))</f>
        <v/>
      </c>
      <c r="Q298">
        <f>IF(P298="","", IFERROR(VLOOKUP(P298, 'Hidden_Data'!M:N, 2, FALSE), "0"))</f>
        <v/>
      </c>
      <c r="T298">
        <f>IF(A298="","", SUM(IF(F298="Yes", 0, IF(E298="", 0, IFERROR(VALUE(MID(E298, SEARCH("(",E298)+1, 1)),0))), IF(I298="Yes", 0, IF(H298="", 0, IFERROR(VALUE(MID(H298, SEARCH("(",H298)+1, 1)),0))), IF(L298="Yes", 0, IF(K298="", 0, IFERROR(VALUE(MID(K298, SEARCH("(",K298)+1, 1)),0))), IF(O298="Yes", 0, IF(N298="", 0, IFERROR(VALUE(MID(N298, SEARCH("(",N298)+1, 1)),0))), IF(R298="Yes", 0, IF(Q298="", 0, IFERROR(VALUE(MID(Q298, SEARCH("(",Q298)+1, 1)),0)))))</f>
        <v/>
      </c>
      <c r="U298">
        <f>IF(A298="","", IF(T298&gt;=5, "Priority 1 (Critical)", IF(T298&gt;=3, "Priority 2 (Major)", IF(T298&gt;=1, "Priority 3 (Minor)", "Pass/Fixed"))))</f>
        <v/>
      </c>
      <c r="V298">
        <f>IF(A298="","", IF(T298&gt;0, "FAIL", "PASS"))</f>
        <v/>
      </c>
    </row>
    <row r="299">
      <c r="A299">
        <f>IF('Equipment Information'!A299="","", 'Equipment Information'!A299)</f>
        <v/>
      </c>
      <c r="B299">
        <f>IF('Equipment Information'!B299="","", 'Equipment Information'!B299)</f>
        <v/>
      </c>
      <c r="C299">
        <f>IF('Equipment Information'!C299="","", 'Equipment Information'!C299)</f>
        <v/>
      </c>
      <c r="E299">
        <f>IF(D299="","", IFERROR(VLOOKUP(D299, 'Hidden_Data'!M:N, 2, FALSE), "0"))</f>
        <v/>
      </c>
      <c r="H299">
        <f>IF(G299="","", IFERROR(VLOOKUP(G299, 'Hidden_Data'!M:N, 2, FALSE), "0"))</f>
        <v/>
      </c>
      <c r="K299">
        <f>IF(J299="","", IFERROR(VLOOKUP(J299, 'Hidden_Data'!M:N, 2, FALSE), "0"))</f>
        <v/>
      </c>
      <c r="N299">
        <f>IF(M299="","", IFERROR(VLOOKUP(M299, 'Hidden_Data'!M:N, 2, FALSE), "0"))</f>
        <v/>
      </c>
      <c r="Q299">
        <f>IF(P299="","", IFERROR(VLOOKUP(P299, 'Hidden_Data'!M:N, 2, FALSE), "0"))</f>
        <v/>
      </c>
      <c r="T299">
        <f>IF(A299="","", SUM(IF(F299="Yes", 0, IF(E299="", 0, IFERROR(VALUE(MID(E299, SEARCH("(",E299)+1, 1)),0))), IF(I299="Yes", 0, IF(H299="", 0, IFERROR(VALUE(MID(H299, SEARCH("(",H299)+1, 1)),0))), IF(L299="Yes", 0, IF(K299="", 0, IFERROR(VALUE(MID(K299, SEARCH("(",K299)+1, 1)),0))), IF(O299="Yes", 0, IF(N299="", 0, IFERROR(VALUE(MID(N299, SEARCH("(",N299)+1, 1)),0))), IF(R299="Yes", 0, IF(Q299="", 0, IFERROR(VALUE(MID(Q299, SEARCH("(",Q299)+1, 1)),0)))))</f>
        <v/>
      </c>
      <c r="U299">
        <f>IF(A299="","", IF(T299&gt;=5, "Priority 1 (Critical)", IF(T299&gt;=3, "Priority 2 (Major)", IF(T299&gt;=1, "Priority 3 (Minor)", "Pass/Fixed"))))</f>
        <v/>
      </c>
      <c r="V299">
        <f>IF(A299="","", IF(T299&gt;0, "FAIL", "PASS"))</f>
        <v/>
      </c>
    </row>
    <row r="300">
      <c r="A300">
        <f>IF('Equipment Information'!A300="","", 'Equipment Information'!A300)</f>
        <v/>
      </c>
      <c r="B300">
        <f>IF('Equipment Information'!B300="","", 'Equipment Information'!B300)</f>
        <v/>
      </c>
      <c r="C300">
        <f>IF('Equipment Information'!C300="","", 'Equipment Information'!C300)</f>
        <v/>
      </c>
      <c r="E300">
        <f>IF(D300="","", IFERROR(VLOOKUP(D300, 'Hidden_Data'!M:N, 2, FALSE), "0"))</f>
        <v/>
      </c>
      <c r="H300">
        <f>IF(G300="","", IFERROR(VLOOKUP(G300, 'Hidden_Data'!M:N, 2, FALSE), "0"))</f>
        <v/>
      </c>
      <c r="K300">
        <f>IF(J300="","", IFERROR(VLOOKUP(J300, 'Hidden_Data'!M:N, 2, FALSE), "0"))</f>
        <v/>
      </c>
      <c r="N300">
        <f>IF(M300="","", IFERROR(VLOOKUP(M300, 'Hidden_Data'!M:N, 2, FALSE), "0"))</f>
        <v/>
      </c>
      <c r="Q300">
        <f>IF(P300="","", IFERROR(VLOOKUP(P300, 'Hidden_Data'!M:N, 2, FALSE), "0"))</f>
        <v/>
      </c>
      <c r="T300">
        <f>IF(A300="","", SUM(IF(F300="Yes", 0, IF(E300="", 0, IFERROR(VALUE(MID(E300, SEARCH("(",E300)+1, 1)),0))), IF(I300="Yes", 0, IF(H300="", 0, IFERROR(VALUE(MID(H300, SEARCH("(",H300)+1, 1)),0))), IF(L300="Yes", 0, IF(K300="", 0, IFERROR(VALUE(MID(K300, SEARCH("(",K300)+1, 1)),0))), IF(O300="Yes", 0, IF(N300="", 0, IFERROR(VALUE(MID(N300, SEARCH("(",N300)+1, 1)),0))), IF(R300="Yes", 0, IF(Q300="", 0, IFERROR(VALUE(MID(Q300, SEARCH("(",Q300)+1, 1)),0)))))</f>
        <v/>
      </c>
      <c r="U300">
        <f>IF(A300="","", IF(T300&gt;=5, "Priority 1 (Critical)", IF(T300&gt;=3, "Priority 2 (Major)", IF(T300&gt;=1, "Priority 3 (Minor)", "Pass/Fixed"))))</f>
        <v/>
      </c>
      <c r="V300">
        <f>IF(A300="","", IF(T300&gt;0, "FAIL", "PASS"))</f>
        <v/>
      </c>
    </row>
    <row r="301">
      <c r="A301">
        <f>IF('Equipment Information'!A301="","", 'Equipment Information'!A301)</f>
        <v/>
      </c>
      <c r="B301">
        <f>IF('Equipment Information'!B301="","", 'Equipment Information'!B301)</f>
        <v/>
      </c>
      <c r="C301">
        <f>IF('Equipment Information'!C301="","", 'Equipment Information'!C301)</f>
        <v/>
      </c>
      <c r="E301">
        <f>IF(D301="","", IFERROR(VLOOKUP(D301, 'Hidden_Data'!M:N, 2, FALSE), "0"))</f>
        <v/>
      </c>
      <c r="H301">
        <f>IF(G301="","", IFERROR(VLOOKUP(G301, 'Hidden_Data'!M:N, 2, FALSE), "0"))</f>
        <v/>
      </c>
      <c r="K301">
        <f>IF(J301="","", IFERROR(VLOOKUP(J301, 'Hidden_Data'!M:N, 2, FALSE), "0"))</f>
        <v/>
      </c>
      <c r="N301">
        <f>IF(M301="","", IFERROR(VLOOKUP(M301, 'Hidden_Data'!M:N, 2, FALSE), "0"))</f>
        <v/>
      </c>
      <c r="Q301">
        <f>IF(P301="","", IFERROR(VLOOKUP(P301, 'Hidden_Data'!M:N, 2, FALSE), "0"))</f>
        <v/>
      </c>
      <c r="T301">
        <f>IF(A301="","", SUM(IF(F301="Yes", 0, IF(E301="", 0, IFERROR(VALUE(MID(E301, SEARCH("(",E301)+1, 1)),0))), IF(I301="Yes", 0, IF(H301="", 0, IFERROR(VALUE(MID(H301, SEARCH("(",H301)+1, 1)),0))), IF(L301="Yes", 0, IF(K301="", 0, IFERROR(VALUE(MID(K301, SEARCH("(",K301)+1, 1)),0))), IF(O301="Yes", 0, IF(N301="", 0, IFERROR(VALUE(MID(N301, SEARCH("(",N301)+1, 1)),0))), IF(R301="Yes", 0, IF(Q301="", 0, IFERROR(VALUE(MID(Q301, SEARCH("(",Q301)+1, 1)),0)))))</f>
        <v/>
      </c>
      <c r="U301">
        <f>IF(A301="","", IF(T301&gt;=5, "Priority 1 (Critical)", IF(T301&gt;=3, "Priority 2 (Major)", IF(T301&gt;=1, "Priority 3 (Minor)", "Pass/Fixed"))))</f>
        <v/>
      </c>
      <c r="V301">
        <f>IF(A301="","", IF(T301&gt;0, "FAIL", "PASS"))</f>
        <v/>
      </c>
    </row>
    <row r="302">
      <c r="A302">
        <f>IF('Equipment Information'!A302="","", 'Equipment Information'!A302)</f>
        <v/>
      </c>
      <c r="B302">
        <f>IF('Equipment Information'!B302="","", 'Equipment Information'!B302)</f>
        <v/>
      </c>
      <c r="C302">
        <f>IF('Equipment Information'!C302="","", 'Equipment Information'!C302)</f>
        <v/>
      </c>
      <c r="E302">
        <f>IF(D302="","", IFERROR(VLOOKUP(D302, 'Hidden_Data'!M:N, 2, FALSE), "0"))</f>
        <v/>
      </c>
      <c r="H302">
        <f>IF(G302="","", IFERROR(VLOOKUP(G302, 'Hidden_Data'!M:N, 2, FALSE), "0"))</f>
        <v/>
      </c>
      <c r="K302">
        <f>IF(J302="","", IFERROR(VLOOKUP(J302, 'Hidden_Data'!M:N, 2, FALSE), "0"))</f>
        <v/>
      </c>
      <c r="N302">
        <f>IF(M302="","", IFERROR(VLOOKUP(M302, 'Hidden_Data'!M:N, 2, FALSE), "0"))</f>
        <v/>
      </c>
      <c r="Q302">
        <f>IF(P302="","", IFERROR(VLOOKUP(P302, 'Hidden_Data'!M:N, 2, FALSE), "0"))</f>
        <v/>
      </c>
      <c r="T302">
        <f>IF(A302="","", SUM(IF(F302="Yes", 0, IF(E302="", 0, IFERROR(VALUE(MID(E302, SEARCH("(",E302)+1, 1)),0))), IF(I302="Yes", 0, IF(H302="", 0, IFERROR(VALUE(MID(H302, SEARCH("(",H302)+1, 1)),0))), IF(L302="Yes", 0, IF(K302="", 0, IFERROR(VALUE(MID(K302, SEARCH("(",K302)+1, 1)),0))), IF(O302="Yes", 0, IF(N302="", 0, IFERROR(VALUE(MID(N302, SEARCH("(",N302)+1, 1)),0))), IF(R302="Yes", 0, IF(Q302="", 0, IFERROR(VALUE(MID(Q302, SEARCH("(",Q302)+1, 1)),0)))))</f>
        <v/>
      </c>
      <c r="U302">
        <f>IF(A302="","", IF(T302&gt;=5, "Priority 1 (Critical)", IF(T302&gt;=3, "Priority 2 (Major)", IF(T302&gt;=1, "Priority 3 (Minor)", "Pass/Fixed"))))</f>
        <v/>
      </c>
      <c r="V302">
        <f>IF(A302="","", IF(T302&gt;0, "FAIL", "PASS"))</f>
        <v/>
      </c>
    </row>
    <row r="303">
      <c r="A303">
        <f>IF('Equipment Information'!A303="","", 'Equipment Information'!A303)</f>
        <v/>
      </c>
      <c r="B303">
        <f>IF('Equipment Information'!B303="","", 'Equipment Information'!B303)</f>
        <v/>
      </c>
      <c r="C303">
        <f>IF('Equipment Information'!C303="","", 'Equipment Information'!C303)</f>
        <v/>
      </c>
      <c r="E303">
        <f>IF(D303="","", IFERROR(VLOOKUP(D303, 'Hidden_Data'!M:N, 2, FALSE), "0"))</f>
        <v/>
      </c>
      <c r="H303">
        <f>IF(G303="","", IFERROR(VLOOKUP(G303, 'Hidden_Data'!M:N, 2, FALSE), "0"))</f>
        <v/>
      </c>
      <c r="K303">
        <f>IF(J303="","", IFERROR(VLOOKUP(J303, 'Hidden_Data'!M:N, 2, FALSE), "0"))</f>
        <v/>
      </c>
      <c r="N303">
        <f>IF(M303="","", IFERROR(VLOOKUP(M303, 'Hidden_Data'!M:N, 2, FALSE), "0"))</f>
        <v/>
      </c>
      <c r="Q303">
        <f>IF(P303="","", IFERROR(VLOOKUP(P303, 'Hidden_Data'!M:N, 2, FALSE), "0"))</f>
        <v/>
      </c>
      <c r="T303">
        <f>IF(A303="","", SUM(IF(F303="Yes", 0, IF(E303="", 0, IFERROR(VALUE(MID(E303, SEARCH("(",E303)+1, 1)),0))), IF(I303="Yes", 0, IF(H303="", 0, IFERROR(VALUE(MID(H303, SEARCH("(",H303)+1, 1)),0))), IF(L303="Yes", 0, IF(K303="", 0, IFERROR(VALUE(MID(K303, SEARCH("(",K303)+1, 1)),0))), IF(O303="Yes", 0, IF(N303="", 0, IFERROR(VALUE(MID(N303, SEARCH("(",N303)+1, 1)),0))), IF(R303="Yes", 0, IF(Q303="", 0, IFERROR(VALUE(MID(Q303, SEARCH("(",Q303)+1, 1)),0)))))</f>
        <v/>
      </c>
      <c r="U303">
        <f>IF(A303="","", IF(T303&gt;=5, "Priority 1 (Critical)", IF(T303&gt;=3, "Priority 2 (Major)", IF(T303&gt;=1, "Priority 3 (Minor)", "Pass/Fixed"))))</f>
        <v/>
      </c>
      <c r="V303">
        <f>IF(A303="","", IF(T303&gt;0, "FAIL", "PASS"))</f>
        <v/>
      </c>
    </row>
    <row r="304">
      <c r="A304">
        <f>IF('Equipment Information'!A304="","", 'Equipment Information'!A304)</f>
        <v/>
      </c>
      <c r="B304">
        <f>IF('Equipment Information'!B304="","", 'Equipment Information'!B304)</f>
        <v/>
      </c>
      <c r="C304">
        <f>IF('Equipment Information'!C304="","", 'Equipment Information'!C304)</f>
        <v/>
      </c>
      <c r="E304">
        <f>IF(D304="","", IFERROR(VLOOKUP(D304, 'Hidden_Data'!M:N, 2, FALSE), "0"))</f>
        <v/>
      </c>
      <c r="H304">
        <f>IF(G304="","", IFERROR(VLOOKUP(G304, 'Hidden_Data'!M:N, 2, FALSE), "0"))</f>
        <v/>
      </c>
      <c r="K304">
        <f>IF(J304="","", IFERROR(VLOOKUP(J304, 'Hidden_Data'!M:N, 2, FALSE), "0"))</f>
        <v/>
      </c>
      <c r="N304">
        <f>IF(M304="","", IFERROR(VLOOKUP(M304, 'Hidden_Data'!M:N, 2, FALSE), "0"))</f>
        <v/>
      </c>
      <c r="Q304">
        <f>IF(P304="","", IFERROR(VLOOKUP(P304, 'Hidden_Data'!M:N, 2, FALSE), "0"))</f>
        <v/>
      </c>
      <c r="T304">
        <f>IF(A304="","", SUM(IF(F304="Yes", 0, IF(E304="", 0, IFERROR(VALUE(MID(E304, SEARCH("(",E304)+1, 1)),0))), IF(I304="Yes", 0, IF(H304="", 0, IFERROR(VALUE(MID(H304, SEARCH("(",H304)+1, 1)),0))), IF(L304="Yes", 0, IF(K304="", 0, IFERROR(VALUE(MID(K304, SEARCH("(",K304)+1, 1)),0))), IF(O304="Yes", 0, IF(N304="", 0, IFERROR(VALUE(MID(N304, SEARCH("(",N304)+1, 1)),0))), IF(R304="Yes", 0, IF(Q304="", 0, IFERROR(VALUE(MID(Q304, SEARCH("(",Q304)+1, 1)),0)))))</f>
        <v/>
      </c>
      <c r="U304">
        <f>IF(A304="","", IF(T304&gt;=5, "Priority 1 (Critical)", IF(T304&gt;=3, "Priority 2 (Major)", IF(T304&gt;=1, "Priority 3 (Minor)", "Pass/Fixed"))))</f>
        <v/>
      </c>
      <c r="V304">
        <f>IF(A304="","", IF(T304&gt;0, "FAIL", "PASS"))</f>
        <v/>
      </c>
    </row>
    <row r="305">
      <c r="A305">
        <f>IF('Equipment Information'!A305="","", 'Equipment Information'!A305)</f>
        <v/>
      </c>
      <c r="B305">
        <f>IF('Equipment Information'!B305="","", 'Equipment Information'!B305)</f>
        <v/>
      </c>
      <c r="C305">
        <f>IF('Equipment Information'!C305="","", 'Equipment Information'!C305)</f>
        <v/>
      </c>
      <c r="E305">
        <f>IF(D305="","", IFERROR(VLOOKUP(D305, 'Hidden_Data'!M:N, 2, FALSE), "0"))</f>
        <v/>
      </c>
      <c r="H305">
        <f>IF(G305="","", IFERROR(VLOOKUP(G305, 'Hidden_Data'!M:N, 2, FALSE), "0"))</f>
        <v/>
      </c>
      <c r="K305">
        <f>IF(J305="","", IFERROR(VLOOKUP(J305, 'Hidden_Data'!M:N, 2, FALSE), "0"))</f>
        <v/>
      </c>
      <c r="N305">
        <f>IF(M305="","", IFERROR(VLOOKUP(M305, 'Hidden_Data'!M:N, 2, FALSE), "0"))</f>
        <v/>
      </c>
      <c r="Q305">
        <f>IF(P305="","", IFERROR(VLOOKUP(P305, 'Hidden_Data'!M:N, 2, FALSE), "0"))</f>
        <v/>
      </c>
      <c r="T305">
        <f>IF(A305="","", SUM(IF(F305="Yes", 0, IF(E305="", 0, IFERROR(VALUE(MID(E305, SEARCH("(",E305)+1, 1)),0))), IF(I305="Yes", 0, IF(H305="", 0, IFERROR(VALUE(MID(H305, SEARCH("(",H305)+1, 1)),0))), IF(L305="Yes", 0, IF(K305="", 0, IFERROR(VALUE(MID(K305, SEARCH("(",K305)+1, 1)),0))), IF(O305="Yes", 0, IF(N305="", 0, IFERROR(VALUE(MID(N305, SEARCH("(",N305)+1, 1)),0))), IF(R305="Yes", 0, IF(Q305="", 0, IFERROR(VALUE(MID(Q305, SEARCH("(",Q305)+1, 1)),0)))))</f>
        <v/>
      </c>
      <c r="U305">
        <f>IF(A305="","", IF(T305&gt;=5, "Priority 1 (Critical)", IF(T305&gt;=3, "Priority 2 (Major)", IF(T305&gt;=1, "Priority 3 (Minor)", "Pass/Fixed"))))</f>
        <v/>
      </c>
      <c r="V305">
        <f>IF(A305="","", IF(T305&gt;0, "FAIL", "PASS"))</f>
        <v/>
      </c>
    </row>
    <row r="306">
      <c r="A306">
        <f>IF('Equipment Information'!A306="","", 'Equipment Information'!A306)</f>
        <v/>
      </c>
      <c r="B306">
        <f>IF('Equipment Information'!B306="","", 'Equipment Information'!B306)</f>
        <v/>
      </c>
      <c r="C306">
        <f>IF('Equipment Information'!C306="","", 'Equipment Information'!C306)</f>
        <v/>
      </c>
      <c r="E306">
        <f>IF(D306="","", IFERROR(VLOOKUP(D306, 'Hidden_Data'!M:N, 2, FALSE), "0"))</f>
        <v/>
      </c>
      <c r="H306">
        <f>IF(G306="","", IFERROR(VLOOKUP(G306, 'Hidden_Data'!M:N, 2, FALSE), "0"))</f>
        <v/>
      </c>
      <c r="K306">
        <f>IF(J306="","", IFERROR(VLOOKUP(J306, 'Hidden_Data'!M:N, 2, FALSE), "0"))</f>
        <v/>
      </c>
      <c r="N306">
        <f>IF(M306="","", IFERROR(VLOOKUP(M306, 'Hidden_Data'!M:N, 2, FALSE), "0"))</f>
        <v/>
      </c>
      <c r="Q306">
        <f>IF(P306="","", IFERROR(VLOOKUP(P306, 'Hidden_Data'!M:N, 2, FALSE), "0"))</f>
        <v/>
      </c>
      <c r="T306">
        <f>IF(A306="","", SUM(IF(F306="Yes", 0, IF(E306="", 0, IFERROR(VALUE(MID(E306, SEARCH("(",E306)+1, 1)),0))), IF(I306="Yes", 0, IF(H306="", 0, IFERROR(VALUE(MID(H306, SEARCH("(",H306)+1, 1)),0))), IF(L306="Yes", 0, IF(K306="", 0, IFERROR(VALUE(MID(K306, SEARCH("(",K306)+1, 1)),0))), IF(O306="Yes", 0, IF(N306="", 0, IFERROR(VALUE(MID(N306, SEARCH("(",N306)+1, 1)),0))), IF(R306="Yes", 0, IF(Q306="", 0, IFERROR(VALUE(MID(Q306, SEARCH("(",Q306)+1, 1)),0)))))</f>
        <v/>
      </c>
      <c r="U306">
        <f>IF(A306="","", IF(T306&gt;=5, "Priority 1 (Critical)", IF(T306&gt;=3, "Priority 2 (Major)", IF(T306&gt;=1, "Priority 3 (Minor)", "Pass/Fixed"))))</f>
        <v/>
      </c>
      <c r="V306">
        <f>IF(A306="","", IF(T306&gt;0, "FAIL", "PASS"))</f>
        <v/>
      </c>
    </row>
    <row r="307">
      <c r="A307">
        <f>IF('Equipment Information'!A307="","", 'Equipment Information'!A307)</f>
        <v/>
      </c>
      <c r="B307">
        <f>IF('Equipment Information'!B307="","", 'Equipment Information'!B307)</f>
        <v/>
      </c>
      <c r="C307">
        <f>IF('Equipment Information'!C307="","", 'Equipment Information'!C307)</f>
        <v/>
      </c>
      <c r="E307">
        <f>IF(D307="","", IFERROR(VLOOKUP(D307, 'Hidden_Data'!M:N, 2, FALSE), "0"))</f>
        <v/>
      </c>
      <c r="H307">
        <f>IF(G307="","", IFERROR(VLOOKUP(G307, 'Hidden_Data'!M:N, 2, FALSE), "0"))</f>
        <v/>
      </c>
      <c r="K307">
        <f>IF(J307="","", IFERROR(VLOOKUP(J307, 'Hidden_Data'!M:N, 2, FALSE), "0"))</f>
        <v/>
      </c>
      <c r="N307">
        <f>IF(M307="","", IFERROR(VLOOKUP(M307, 'Hidden_Data'!M:N, 2, FALSE), "0"))</f>
        <v/>
      </c>
      <c r="Q307">
        <f>IF(P307="","", IFERROR(VLOOKUP(P307, 'Hidden_Data'!M:N, 2, FALSE), "0"))</f>
        <v/>
      </c>
      <c r="T307">
        <f>IF(A307="","", SUM(IF(F307="Yes", 0, IF(E307="", 0, IFERROR(VALUE(MID(E307, SEARCH("(",E307)+1, 1)),0))), IF(I307="Yes", 0, IF(H307="", 0, IFERROR(VALUE(MID(H307, SEARCH("(",H307)+1, 1)),0))), IF(L307="Yes", 0, IF(K307="", 0, IFERROR(VALUE(MID(K307, SEARCH("(",K307)+1, 1)),0))), IF(O307="Yes", 0, IF(N307="", 0, IFERROR(VALUE(MID(N307, SEARCH("(",N307)+1, 1)),0))), IF(R307="Yes", 0, IF(Q307="", 0, IFERROR(VALUE(MID(Q307, SEARCH("(",Q307)+1, 1)),0)))))</f>
        <v/>
      </c>
      <c r="U307">
        <f>IF(A307="","", IF(T307&gt;=5, "Priority 1 (Critical)", IF(T307&gt;=3, "Priority 2 (Major)", IF(T307&gt;=1, "Priority 3 (Minor)", "Pass/Fixed"))))</f>
        <v/>
      </c>
      <c r="V307">
        <f>IF(A307="","", IF(T307&gt;0, "FAIL", "PASS"))</f>
        <v/>
      </c>
    </row>
    <row r="308">
      <c r="A308">
        <f>IF('Equipment Information'!A308="","", 'Equipment Information'!A308)</f>
        <v/>
      </c>
      <c r="B308">
        <f>IF('Equipment Information'!B308="","", 'Equipment Information'!B308)</f>
        <v/>
      </c>
      <c r="C308">
        <f>IF('Equipment Information'!C308="","", 'Equipment Information'!C308)</f>
        <v/>
      </c>
      <c r="E308">
        <f>IF(D308="","", IFERROR(VLOOKUP(D308, 'Hidden_Data'!M:N, 2, FALSE), "0"))</f>
        <v/>
      </c>
      <c r="H308">
        <f>IF(G308="","", IFERROR(VLOOKUP(G308, 'Hidden_Data'!M:N, 2, FALSE), "0"))</f>
        <v/>
      </c>
      <c r="K308">
        <f>IF(J308="","", IFERROR(VLOOKUP(J308, 'Hidden_Data'!M:N, 2, FALSE), "0"))</f>
        <v/>
      </c>
      <c r="N308">
        <f>IF(M308="","", IFERROR(VLOOKUP(M308, 'Hidden_Data'!M:N, 2, FALSE), "0"))</f>
        <v/>
      </c>
      <c r="Q308">
        <f>IF(P308="","", IFERROR(VLOOKUP(P308, 'Hidden_Data'!M:N, 2, FALSE), "0"))</f>
        <v/>
      </c>
      <c r="T308">
        <f>IF(A308="","", SUM(IF(F308="Yes", 0, IF(E308="", 0, IFERROR(VALUE(MID(E308, SEARCH("(",E308)+1, 1)),0))), IF(I308="Yes", 0, IF(H308="", 0, IFERROR(VALUE(MID(H308, SEARCH("(",H308)+1, 1)),0))), IF(L308="Yes", 0, IF(K308="", 0, IFERROR(VALUE(MID(K308, SEARCH("(",K308)+1, 1)),0))), IF(O308="Yes", 0, IF(N308="", 0, IFERROR(VALUE(MID(N308, SEARCH("(",N308)+1, 1)),0))), IF(R308="Yes", 0, IF(Q308="", 0, IFERROR(VALUE(MID(Q308, SEARCH("(",Q308)+1, 1)),0)))))</f>
        <v/>
      </c>
      <c r="U308">
        <f>IF(A308="","", IF(T308&gt;=5, "Priority 1 (Critical)", IF(T308&gt;=3, "Priority 2 (Major)", IF(T308&gt;=1, "Priority 3 (Minor)", "Pass/Fixed"))))</f>
        <v/>
      </c>
      <c r="V308">
        <f>IF(A308="","", IF(T308&gt;0, "FAIL", "PASS"))</f>
        <v/>
      </c>
    </row>
    <row r="309">
      <c r="A309">
        <f>IF('Equipment Information'!A309="","", 'Equipment Information'!A309)</f>
        <v/>
      </c>
      <c r="B309">
        <f>IF('Equipment Information'!B309="","", 'Equipment Information'!B309)</f>
        <v/>
      </c>
      <c r="C309">
        <f>IF('Equipment Information'!C309="","", 'Equipment Information'!C309)</f>
        <v/>
      </c>
      <c r="E309">
        <f>IF(D309="","", IFERROR(VLOOKUP(D309, 'Hidden_Data'!M:N, 2, FALSE), "0"))</f>
        <v/>
      </c>
      <c r="H309">
        <f>IF(G309="","", IFERROR(VLOOKUP(G309, 'Hidden_Data'!M:N, 2, FALSE), "0"))</f>
        <v/>
      </c>
      <c r="K309">
        <f>IF(J309="","", IFERROR(VLOOKUP(J309, 'Hidden_Data'!M:N, 2, FALSE), "0"))</f>
        <v/>
      </c>
      <c r="N309">
        <f>IF(M309="","", IFERROR(VLOOKUP(M309, 'Hidden_Data'!M:N, 2, FALSE), "0"))</f>
        <v/>
      </c>
      <c r="Q309">
        <f>IF(P309="","", IFERROR(VLOOKUP(P309, 'Hidden_Data'!M:N, 2, FALSE), "0"))</f>
        <v/>
      </c>
      <c r="T309">
        <f>IF(A309="","", SUM(IF(F309="Yes", 0, IF(E309="", 0, IFERROR(VALUE(MID(E309, SEARCH("(",E309)+1, 1)),0))), IF(I309="Yes", 0, IF(H309="", 0, IFERROR(VALUE(MID(H309, SEARCH("(",H309)+1, 1)),0))), IF(L309="Yes", 0, IF(K309="", 0, IFERROR(VALUE(MID(K309, SEARCH("(",K309)+1, 1)),0))), IF(O309="Yes", 0, IF(N309="", 0, IFERROR(VALUE(MID(N309, SEARCH("(",N309)+1, 1)),0))), IF(R309="Yes", 0, IF(Q309="", 0, IFERROR(VALUE(MID(Q309, SEARCH("(",Q309)+1, 1)),0)))))</f>
        <v/>
      </c>
      <c r="U309">
        <f>IF(A309="","", IF(T309&gt;=5, "Priority 1 (Critical)", IF(T309&gt;=3, "Priority 2 (Major)", IF(T309&gt;=1, "Priority 3 (Minor)", "Pass/Fixed"))))</f>
        <v/>
      </c>
      <c r="V309">
        <f>IF(A309="","", IF(T309&gt;0, "FAIL", "PASS"))</f>
        <v/>
      </c>
    </row>
    <row r="310">
      <c r="A310">
        <f>IF('Equipment Information'!A310="","", 'Equipment Information'!A310)</f>
        <v/>
      </c>
      <c r="B310">
        <f>IF('Equipment Information'!B310="","", 'Equipment Information'!B310)</f>
        <v/>
      </c>
      <c r="C310">
        <f>IF('Equipment Information'!C310="","", 'Equipment Information'!C310)</f>
        <v/>
      </c>
      <c r="E310">
        <f>IF(D310="","", IFERROR(VLOOKUP(D310, 'Hidden_Data'!M:N, 2, FALSE), "0"))</f>
        <v/>
      </c>
      <c r="H310">
        <f>IF(G310="","", IFERROR(VLOOKUP(G310, 'Hidden_Data'!M:N, 2, FALSE), "0"))</f>
        <v/>
      </c>
      <c r="K310">
        <f>IF(J310="","", IFERROR(VLOOKUP(J310, 'Hidden_Data'!M:N, 2, FALSE), "0"))</f>
        <v/>
      </c>
      <c r="N310">
        <f>IF(M310="","", IFERROR(VLOOKUP(M310, 'Hidden_Data'!M:N, 2, FALSE), "0"))</f>
        <v/>
      </c>
      <c r="Q310">
        <f>IF(P310="","", IFERROR(VLOOKUP(P310, 'Hidden_Data'!M:N, 2, FALSE), "0"))</f>
        <v/>
      </c>
      <c r="T310">
        <f>IF(A310="","", SUM(IF(F310="Yes", 0, IF(E310="", 0, IFERROR(VALUE(MID(E310, SEARCH("(",E310)+1, 1)),0))), IF(I310="Yes", 0, IF(H310="", 0, IFERROR(VALUE(MID(H310, SEARCH("(",H310)+1, 1)),0))), IF(L310="Yes", 0, IF(K310="", 0, IFERROR(VALUE(MID(K310, SEARCH("(",K310)+1, 1)),0))), IF(O310="Yes", 0, IF(N310="", 0, IFERROR(VALUE(MID(N310, SEARCH("(",N310)+1, 1)),0))), IF(R310="Yes", 0, IF(Q310="", 0, IFERROR(VALUE(MID(Q310, SEARCH("(",Q310)+1, 1)),0)))))</f>
        <v/>
      </c>
      <c r="U310">
        <f>IF(A310="","", IF(T310&gt;=5, "Priority 1 (Critical)", IF(T310&gt;=3, "Priority 2 (Major)", IF(T310&gt;=1, "Priority 3 (Minor)", "Pass/Fixed"))))</f>
        <v/>
      </c>
      <c r="V310">
        <f>IF(A310="","", IF(T310&gt;0, "FAIL", "PASS"))</f>
        <v/>
      </c>
    </row>
    <row r="311">
      <c r="A311">
        <f>IF('Equipment Information'!A311="","", 'Equipment Information'!A311)</f>
        <v/>
      </c>
      <c r="B311">
        <f>IF('Equipment Information'!B311="","", 'Equipment Information'!B311)</f>
        <v/>
      </c>
      <c r="C311">
        <f>IF('Equipment Information'!C311="","", 'Equipment Information'!C311)</f>
        <v/>
      </c>
      <c r="E311">
        <f>IF(D311="","", IFERROR(VLOOKUP(D311, 'Hidden_Data'!M:N, 2, FALSE), "0"))</f>
        <v/>
      </c>
      <c r="H311">
        <f>IF(G311="","", IFERROR(VLOOKUP(G311, 'Hidden_Data'!M:N, 2, FALSE), "0"))</f>
        <v/>
      </c>
      <c r="K311">
        <f>IF(J311="","", IFERROR(VLOOKUP(J311, 'Hidden_Data'!M:N, 2, FALSE), "0"))</f>
        <v/>
      </c>
      <c r="N311">
        <f>IF(M311="","", IFERROR(VLOOKUP(M311, 'Hidden_Data'!M:N, 2, FALSE), "0"))</f>
        <v/>
      </c>
      <c r="Q311">
        <f>IF(P311="","", IFERROR(VLOOKUP(P311, 'Hidden_Data'!M:N, 2, FALSE), "0"))</f>
        <v/>
      </c>
      <c r="T311">
        <f>IF(A311="","", SUM(IF(F311="Yes", 0, IF(E311="", 0, IFERROR(VALUE(MID(E311, SEARCH("(",E311)+1, 1)),0))), IF(I311="Yes", 0, IF(H311="", 0, IFERROR(VALUE(MID(H311, SEARCH("(",H311)+1, 1)),0))), IF(L311="Yes", 0, IF(K311="", 0, IFERROR(VALUE(MID(K311, SEARCH("(",K311)+1, 1)),0))), IF(O311="Yes", 0, IF(N311="", 0, IFERROR(VALUE(MID(N311, SEARCH("(",N311)+1, 1)),0))), IF(R311="Yes", 0, IF(Q311="", 0, IFERROR(VALUE(MID(Q311, SEARCH("(",Q311)+1, 1)),0)))))</f>
        <v/>
      </c>
      <c r="U311">
        <f>IF(A311="","", IF(T311&gt;=5, "Priority 1 (Critical)", IF(T311&gt;=3, "Priority 2 (Major)", IF(T311&gt;=1, "Priority 3 (Minor)", "Pass/Fixed"))))</f>
        <v/>
      </c>
      <c r="V311">
        <f>IF(A311="","", IF(T311&gt;0, "FAIL", "PASS"))</f>
        <v/>
      </c>
    </row>
    <row r="312">
      <c r="A312">
        <f>IF('Equipment Information'!A312="","", 'Equipment Information'!A312)</f>
        <v/>
      </c>
      <c r="B312">
        <f>IF('Equipment Information'!B312="","", 'Equipment Information'!B312)</f>
        <v/>
      </c>
      <c r="C312">
        <f>IF('Equipment Information'!C312="","", 'Equipment Information'!C312)</f>
        <v/>
      </c>
      <c r="E312">
        <f>IF(D312="","", IFERROR(VLOOKUP(D312, 'Hidden_Data'!M:N, 2, FALSE), "0"))</f>
        <v/>
      </c>
      <c r="H312">
        <f>IF(G312="","", IFERROR(VLOOKUP(G312, 'Hidden_Data'!M:N, 2, FALSE), "0"))</f>
        <v/>
      </c>
      <c r="K312">
        <f>IF(J312="","", IFERROR(VLOOKUP(J312, 'Hidden_Data'!M:N, 2, FALSE), "0"))</f>
        <v/>
      </c>
      <c r="N312">
        <f>IF(M312="","", IFERROR(VLOOKUP(M312, 'Hidden_Data'!M:N, 2, FALSE), "0"))</f>
        <v/>
      </c>
      <c r="Q312">
        <f>IF(P312="","", IFERROR(VLOOKUP(P312, 'Hidden_Data'!M:N, 2, FALSE), "0"))</f>
        <v/>
      </c>
      <c r="T312">
        <f>IF(A312="","", SUM(IF(F312="Yes", 0, IF(E312="", 0, IFERROR(VALUE(MID(E312, SEARCH("(",E312)+1, 1)),0))), IF(I312="Yes", 0, IF(H312="", 0, IFERROR(VALUE(MID(H312, SEARCH("(",H312)+1, 1)),0))), IF(L312="Yes", 0, IF(K312="", 0, IFERROR(VALUE(MID(K312, SEARCH("(",K312)+1, 1)),0))), IF(O312="Yes", 0, IF(N312="", 0, IFERROR(VALUE(MID(N312, SEARCH("(",N312)+1, 1)),0))), IF(R312="Yes", 0, IF(Q312="", 0, IFERROR(VALUE(MID(Q312, SEARCH("(",Q312)+1, 1)),0)))))</f>
        <v/>
      </c>
      <c r="U312">
        <f>IF(A312="","", IF(T312&gt;=5, "Priority 1 (Critical)", IF(T312&gt;=3, "Priority 2 (Major)", IF(T312&gt;=1, "Priority 3 (Minor)", "Pass/Fixed"))))</f>
        <v/>
      </c>
      <c r="V312">
        <f>IF(A312="","", IF(T312&gt;0, "FAIL", "PASS"))</f>
        <v/>
      </c>
    </row>
    <row r="313">
      <c r="A313">
        <f>IF('Equipment Information'!A313="","", 'Equipment Information'!A313)</f>
        <v/>
      </c>
      <c r="B313">
        <f>IF('Equipment Information'!B313="","", 'Equipment Information'!B313)</f>
        <v/>
      </c>
      <c r="C313">
        <f>IF('Equipment Information'!C313="","", 'Equipment Information'!C313)</f>
        <v/>
      </c>
      <c r="E313">
        <f>IF(D313="","", IFERROR(VLOOKUP(D313, 'Hidden_Data'!M:N, 2, FALSE), "0"))</f>
        <v/>
      </c>
      <c r="H313">
        <f>IF(G313="","", IFERROR(VLOOKUP(G313, 'Hidden_Data'!M:N, 2, FALSE), "0"))</f>
        <v/>
      </c>
      <c r="K313">
        <f>IF(J313="","", IFERROR(VLOOKUP(J313, 'Hidden_Data'!M:N, 2, FALSE), "0"))</f>
        <v/>
      </c>
      <c r="N313">
        <f>IF(M313="","", IFERROR(VLOOKUP(M313, 'Hidden_Data'!M:N, 2, FALSE), "0"))</f>
        <v/>
      </c>
      <c r="Q313">
        <f>IF(P313="","", IFERROR(VLOOKUP(P313, 'Hidden_Data'!M:N, 2, FALSE), "0"))</f>
        <v/>
      </c>
      <c r="T313">
        <f>IF(A313="","", SUM(IF(F313="Yes", 0, IF(E313="", 0, IFERROR(VALUE(MID(E313, SEARCH("(",E313)+1, 1)),0))), IF(I313="Yes", 0, IF(H313="", 0, IFERROR(VALUE(MID(H313, SEARCH("(",H313)+1, 1)),0))), IF(L313="Yes", 0, IF(K313="", 0, IFERROR(VALUE(MID(K313, SEARCH("(",K313)+1, 1)),0))), IF(O313="Yes", 0, IF(N313="", 0, IFERROR(VALUE(MID(N313, SEARCH("(",N313)+1, 1)),0))), IF(R313="Yes", 0, IF(Q313="", 0, IFERROR(VALUE(MID(Q313, SEARCH("(",Q313)+1, 1)),0)))))</f>
        <v/>
      </c>
      <c r="U313">
        <f>IF(A313="","", IF(T313&gt;=5, "Priority 1 (Critical)", IF(T313&gt;=3, "Priority 2 (Major)", IF(T313&gt;=1, "Priority 3 (Minor)", "Pass/Fixed"))))</f>
        <v/>
      </c>
      <c r="V313">
        <f>IF(A313="","", IF(T313&gt;0, "FAIL", "PASS"))</f>
        <v/>
      </c>
    </row>
    <row r="314">
      <c r="A314">
        <f>IF('Equipment Information'!A314="","", 'Equipment Information'!A314)</f>
        <v/>
      </c>
      <c r="B314">
        <f>IF('Equipment Information'!B314="","", 'Equipment Information'!B314)</f>
        <v/>
      </c>
      <c r="C314">
        <f>IF('Equipment Information'!C314="","", 'Equipment Information'!C314)</f>
        <v/>
      </c>
      <c r="E314">
        <f>IF(D314="","", IFERROR(VLOOKUP(D314, 'Hidden_Data'!M:N, 2, FALSE), "0"))</f>
        <v/>
      </c>
      <c r="H314">
        <f>IF(G314="","", IFERROR(VLOOKUP(G314, 'Hidden_Data'!M:N, 2, FALSE), "0"))</f>
        <v/>
      </c>
      <c r="K314">
        <f>IF(J314="","", IFERROR(VLOOKUP(J314, 'Hidden_Data'!M:N, 2, FALSE), "0"))</f>
        <v/>
      </c>
      <c r="N314">
        <f>IF(M314="","", IFERROR(VLOOKUP(M314, 'Hidden_Data'!M:N, 2, FALSE), "0"))</f>
        <v/>
      </c>
      <c r="Q314">
        <f>IF(P314="","", IFERROR(VLOOKUP(P314, 'Hidden_Data'!M:N, 2, FALSE), "0"))</f>
        <v/>
      </c>
      <c r="T314">
        <f>IF(A314="","", SUM(IF(F314="Yes", 0, IF(E314="", 0, IFERROR(VALUE(MID(E314, SEARCH("(",E314)+1, 1)),0))), IF(I314="Yes", 0, IF(H314="", 0, IFERROR(VALUE(MID(H314, SEARCH("(",H314)+1, 1)),0))), IF(L314="Yes", 0, IF(K314="", 0, IFERROR(VALUE(MID(K314, SEARCH("(",K314)+1, 1)),0))), IF(O314="Yes", 0, IF(N314="", 0, IFERROR(VALUE(MID(N314, SEARCH("(",N314)+1, 1)),0))), IF(R314="Yes", 0, IF(Q314="", 0, IFERROR(VALUE(MID(Q314, SEARCH("(",Q314)+1, 1)),0)))))</f>
        <v/>
      </c>
      <c r="U314">
        <f>IF(A314="","", IF(T314&gt;=5, "Priority 1 (Critical)", IF(T314&gt;=3, "Priority 2 (Major)", IF(T314&gt;=1, "Priority 3 (Minor)", "Pass/Fixed"))))</f>
        <v/>
      </c>
      <c r="V314">
        <f>IF(A314="","", IF(T314&gt;0, "FAIL", "PASS"))</f>
        <v/>
      </c>
    </row>
    <row r="315">
      <c r="A315">
        <f>IF('Equipment Information'!A315="","", 'Equipment Information'!A315)</f>
        <v/>
      </c>
      <c r="B315">
        <f>IF('Equipment Information'!B315="","", 'Equipment Information'!B315)</f>
        <v/>
      </c>
      <c r="C315">
        <f>IF('Equipment Information'!C315="","", 'Equipment Information'!C315)</f>
        <v/>
      </c>
      <c r="E315">
        <f>IF(D315="","", IFERROR(VLOOKUP(D315, 'Hidden_Data'!M:N, 2, FALSE), "0"))</f>
        <v/>
      </c>
      <c r="H315">
        <f>IF(G315="","", IFERROR(VLOOKUP(G315, 'Hidden_Data'!M:N, 2, FALSE), "0"))</f>
        <v/>
      </c>
      <c r="K315">
        <f>IF(J315="","", IFERROR(VLOOKUP(J315, 'Hidden_Data'!M:N, 2, FALSE), "0"))</f>
        <v/>
      </c>
      <c r="N315">
        <f>IF(M315="","", IFERROR(VLOOKUP(M315, 'Hidden_Data'!M:N, 2, FALSE), "0"))</f>
        <v/>
      </c>
      <c r="Q315">
        <f>IF(P315="","", IFERROR(VLOOKUP(P315, 'Hidden_Data'!M:N, 2, FALSE), "0"))</f>
        <v/>
      </c>
      <c r="T315">
        <f>IF(A315="","", SUM(IF(F315="Yes", 0, IF(E315="", 0, IFERROR(VALUE(MID(E315, SEARCH("(",E315)+1, 1)),0))), IF(I315="Yes", 0, IF(H315="", 0, IFERROR(VALUE(MID(H315, SEARCH("(",H315)+1, 1)),0))), IF(L315="Yes", 0, IF(K315="", 0, IFERROR(VALUE(MID(K315, SEARCH("(",K315)+1, 1)),0))), IF(O315="Yes", 0, IF(N315="", 0, IFERROR(VALUE(MID(N315, SEARCH("(",N315)+1, 1)),0))), IF(R315="Yes", 0, IF(Q315="", 0, IFERROR(VALUE(MID(Q315, SEARCH("(",Q315)+1, 1)),0)))))</f>
        <v/>
      </c>
      <c r="U315">
        <f>IF(A315="","", IF(T315&gt;=5, "Priority 1 (Critical)", IF(T315&gt;=3, "Priority 2 (Major)", IF(T315&gt;=1, "Priority 3 (Minor)", "Pass/Fixed"))))</f>
        <v/>
      </c>
      <c r="V315">
        <f>IF(A315="","", IF(T315&gt;0, "FAIL", "PASS"))</f>
        <v/>
      </c>
    </row>
    <row r="316">
      <c r="A316">
        <f>IF('Equipment Information'!A316="","", 'Equipment Information'!A316)</f>
        <v/>
      </c>
      <c r="B316">
        <f>IF('Equipment Information'!B316="","", 'Equipment Information'!B316)</f>
        <v/>
      </c>
      <c r="C316">
        <f>IF('Equipment Information'!C316="","", 'Equipment Information'!C316)</f>
        <v/>
      </c>
      <c r="E316">
        <f>IF(D316="","", IFERROR(VLOOKUP(D316, 'Hidden_Data'!M:N, 2, FALSE), "0"))</f>
        <v/>
      </c>
      <c r="H316">
        <f>IF(G316="","", IFERROR(VLOOKUP(G316, 'Hidden_Data'!M:N, 2, FALSE), "0"))</f>
        <v/>
      </c>
      <c r="K316">
        <f>IF(J316="","", IFERROR(VLOOKUP(J316, 'Hidden_Data'!M:N, 2, FALSE), "0"))</f>
        <v/>
      </c>
      <c r="N316">
        <f>IF(M316="","", IFERROR(VLOOKUP(M316, 'Hidden_Data'!M:N, 2, FALSE), "0"))</f>
        <v/>
      </c>
      <c r="Q316">
        <f>IF(P316="","", IFERROR(VLOOKUP(P316, 'Hidden_Data'!M:N, 2, FALSE), "0"))</f>
        <v/>
      </c>
      <c r="T316">
        <f>IF(A316="","", SUM(IF(F316="Yes", 0, IF(E316="", 0, IFERROR(VALUE(MID(E316, SEARCH("(",E316)+1, 1)),0))), IF(I316="Yes", 0, IF(H316="", 0, IFERROR(VALUE(MID(H316, SEARCH("(",H316)+1, 1)),0))), IF(L316="Yes", 0, IF(K316="", 0, IFERROR(VALUE(MID(K316, SEARCH("(",K316)+1, 1)),0))), IF(O316="Yes", 0, IF(N316="", 0, IFERROR(VALUE(MID(N316, SEARCH("(",N316)+1, 1)),0))), IF(R316="Yes", 0, IF(Q316="", 0, IFERROR(VALUE(MID(Q316, SEARCH("(",Q316)+1, 1)),0)))))</f>
        <v/>
      </c>
      <c r="U316">
        <f>IF(A316="","", IF(T316&gt;=5, "Priority 1 (Critical)", IF(T316&gt;=3, "Priority 2 (Major)", IF(T316&gt;=1, "Priority 3 (Minor)", "Pass/Fixed"))))</f>
        <v/>
      </c>
      <c r="V316">
        <f>IF(A316="","", IF(T316&gt;0, "FAIL", "PASS"))</f>
        <v/>
      </c>
    </row>
    <row r="317">
      <c r="A317">
        <f>IF('Equipment Information'!A317="","", 'Equipment Information'!A317)</f>
        <v/>
      </c>
      <c r="B317">
        <f>IF('Equipment Information'!B317="","", 'Equipment Information'!B317)</f>
        <v/>
      </c>
      <c r="C317">
        <f>IF('Equipment Information'!C317="","", 'Equipment Information'!C317)</f>
        <v/>
      </c>
      <c r="E317">
        <f>IF(D317="","", IFERROR(VLOOKUP(D317, 'Hidden_Data'!M:N, 2, FALSE), "0"))</f>
        <v/>
      </c>
      <c r="H317">
        <f>IF(G317="","", IFERROR(VLOOKUP(G317, 'Hidden_Data'!M:N, 2, FALSE), "0"))</f>
        <v/>
      </c>
      <c r="K317">
        <f>IF(J317="","", IFERROR(VLOOKUP(J317, 'Hidden_Data'!M:N, 2, FALSE), "0"))</f>
        <v/>
      </c>
      <c r="N317">
        <f>IF(M317="","", IFERROR(VLOOKUP(M317, 'Hidden_Data'!M:N, 2, FALSE), "0"))</f>
        <v/>
      </c>
      <c r="Q317">
        <f>IF(P317="","", IFERROR(VLOOKUP(P317, 'Hidden_Data'!M:N, 2, FALSE), "0"))</f>
        <v/>
      </c>
      <c r="T317">
        <f>IF(A317="","", SUM(IF(F317="Yes", 0, IF(E317="", 0, IFERROR(VALUE(MID(E317, SEARCH("(",E317)+1, 1)),0))), IF(I317="Yes", 0, IF(H317="", 0, IFERROR(VALUE(MID(H317, SEARCH("(",H317)+1, 1)),0))), IF(L317="Yes", 0, IF(K317="", 0, IFERROR(VALUE(MID(K317, SEARCH("(",K317)+1, 1)),0))), IF(O317="Yes", 0, IF(N317="", 0, IFERROR(VALUE(MID(N317, SEARCH("(",N317)+1, 1)),0))), IF(R317="Yes", 0, IF(Q317="", 0, IFERROR(VALUE(MID(Q317, SEARCH("(",Q317)+1, 1)),0)))))</f>
        <v/>
      </c>
      <c r="U317">
        <f>IF(A317="","", IF(T317&gt;=5, "Priority 1 (Critical)", IF(T317&gt;=3, "Priority 2 (Major)", IF(T317&gt;=1, "Priority 3 (Minor)", "Pass/Fixed"))))</f>
        <v/>
      </c>
      <c r="V317">
        <f>IF(A317="","", IF(T317&gt;0, "FAIL", "PASS"))</f>
        <v/>
      </c>
    </row>
    <row r="318">
      <c r="A318">
        <f>IF('Equipment Information'!A318="","", 'Equipment Information'!A318)</f>
        <v/>
      </c>
      <c r="B318">
        <f>IF('Equipment Information'!B318="","", 'Equipment Information'!B318)</f>
        <v/>
      </c>
      <c r="C318">
        <f>IF('Equipment Information'!C318="","", 'Equipment Information'!C318)</f>
        <v/>
      </c>
      <c r="E318">
        <f>IF(D318="","", IFERROR(VLOOKUP(D318, 'Hidden_Data'!M:N, 2, FALSE), "0"))</f>
        <v/>
      </c>
      <c r="H318">
        <f>IF(G318="","", IFERROR(VLOOKUP(G318, 'Hidden_Data'!M:N, 2, FALSE), "0"))</f>
        <v/>
      </c>
      <c r="K318">
        <f>IF(J318="","", IFERROR(VLOOKUP(J318, 'Hidden_Data'!M:N, 2, FALSE), "0"))</f>
        <v/>
      </c>
      <c r="N318">
        <f>IF(M318="","", IFERROR(VLOOKUP(M318, 'Hidden_Data'!M:N, 2, FALSE), "0"))</f>
        <v/>
      </c>
      <c r="Q318">
        <f>IF(P318="","", IFERROR(VLOOKUP(P318, 'Hidden_Data'!M:N, 2, FALSE), "0"))</f>
        <v/>
      </c>
      <c r="T318">
        <f>IF(A318="","", SUM(IF(F318="Yes", 0, IF(E318="", 0, IFERROR(VALUE(MID(E318, SEARCH("(",E318)+1, 1)),0))), IF(I318="Yes", 0, IF(H318="", 0, IFERROR(VALUE(MID(H318, SEARCH("(",H318)+1, 1)),0))), IF(L318="Yes", 0, IF(K318="", 0, IFERROR(VALUE(MID(K318, SEARCH("(",K318)+1, 1)),0))), IF(O318="Yes", 0, IF(N318="", 0, IFERROR(VALUE(MID(N318, SEARCH("(",N318)+1, 1)),0))), IF(R318="Yes", 0, IF(Q318="", 0, IFERROR(VALUE(MID(Q318, SEARCH("(",Q318)+1, 1)),0)))))</f>
        <v/>
      </c>
      <c r="U318">
        <f>IF(A318="","", IF(T318&gt;=5, "Priority 1 (Critical)", IF(T318&gt;=3, "Priority 2 (Major)", IF(T318&gt;=1, "Priority 3 (Minor)", "Pass/Fixed"))))</f>
        <v/>
      </c>
      <c r="V318">
        <f>IF(A318="","", IF(T318&gt;0, "FAIL", "PASS"))</f>
        <v/>
      </c>
    </row>
    <row r="319">
      <c r="A319">
        <f>IF('Equipment Information'!A319="","", 'Equipment Information'!A319)</f>
        <v/>
      </c>
      <c r="B319">
        <f>IF('Equipment Information'!B319="","", 'Equipment Information'!B319)</f>
        <v/>
      </c>
      <c r="C319">
        <f>IF('Equipment Information'!C319="","", 'Equipment Information'!C319)</f>
        <v/>
      </c>
      <c r="E319">
        <f>IF(D319="","", IFERROR(VLOOKUP(D319, 'Hidden_Data'!M:N, 2, FALSE), "0"))</f>
        <v/>
      </c>
      <c r="H319">
        <f>IF(G319="","", IFERROR(VLOOKUP(G319, 'Hidden_Data'!M:N, 2, FALSE), "0"))</f>
        <v/>
      </c>
      <c r="K319">
        <f>IF(J319="","", IFERROR(VLOOKUP(J319, 'Hidden_Data'!M:N, 2, FALSE), "0"))</f>
        <v/>
      </c>
      <c r="N319">
        <f>IF(M319="","", IFERROR(VLOOKUP(M319, 'Hidden_Data'!M:N, 2, FALSE), "0"))</f>
        <v/>
      </c>
      <c r="Q319">
        <f>IF(P319="","", IFERROR(VLOOKUP(P319, 'Hidden_Data'!M:N, 2, FALSE), "0"))</f>
        <v/>
      </c>
      <c r="T319">
        <f>IF(A319="","", SUM(IF(F319="Yes", 0, IF(E319="", 0, IFERROR(VALUE(MID(E319, SEARCH("(",E319)+1, 1)),0))), IF(I319="Yes", 0, IF(H319="", 0, IFERROR(VALUE(MID(H319, SEARCH("(",H319)+1, 1)),0))), IF(L319="Yes", 0, IF(K319="", 0, IFERROR(VALUE(MID(K319, SEARCH("(",K319)+1, 1)),0))), IF(O319="Yes", 0, IF(N319="", 0, IFERROR(VALUE(MID(N319, SEARCH("(",N319)+1, 1)),0))), IF(R319="Yes", 0, IF(Q319="", 0, IFERROR(VALUE(MID(Q319, SEARCH("(",Q319)+1, 1)),0)))))</f>
        <v/>
      </c>
      <c r="U319">
        <f>IF(A319="","", IF(T319&gt;=5, "Priority 1 (Critical)", IF(T319&gt;=3, "Priority 2 (Major)", IF(T319&gt;=1, "Priority 3 (Minor)", "Pass/Fixed"))))</f>
        <v/>
      </c>
      <c r="V319">
        <f>IF(A319="","", IF(T319&gt;0, "FAIL", "PASS"))</f>
        <v/>
      </c>
    </row>
    <row r="320">
      <c r="A320">
        <f>IF('Equipment Information'!A320="","", 'Equipment Information'!A320)</f>
        <v/>
      </c>
      <c r="B320">
        <f>IF('Equipment Information'!B320="","", 'Equipment Information'!B320)</f>
        <v/>
      </c>
      <c r="C320">
        <f>IF('Equipment Information'!C320="","", 'Equipment Information'!C320)</f>
        <v/>
      </c>
      <c r="E320">
        <f>IF(D320="","", IFERROR(VLOOKUP(D320, 'Hidden_Data'!M:N, 2, FALSE), "0"))</f>
        <v/>
      </c>
      <c r="H320">
        <f>IF(G320="","", IFERROR(VLOOKUP(G320, 'Hidden_Data'!M:N, 2, FALSE), "0"))</f>
        <v/>
      </c>
      <c r="K320">
        <f>IF(J320="","", IFERROR(VLOOKUP(J320, 'Hidden_Data'!M:N, 2, FALSE), "0"))</f>
        <v/>
      </c>
      <c r="N320">
        <f>IF(M320="","", IFERROR(VLOOKUP(M320, 'Hidden_Data'!M:N, 2, FALSE), "0"))</f>
        <v/>
      </c>
      <c r="Q320">
        <f>IF(P320="","", IFERROR(VLOOKUP(P320, 'Hidden_Data'!M:N, 2, FALSE), "0"))</f>
        <v/>
      </c>
      <c r="T320">
        <f>IF(A320="","", SUM(IF(F320="Yes", 0, IF(E320="", 0, IFERROR(VALUE(MID(E320, SEARCH("(",E320)+1, 1)),0))), IF(I320="Yes", 0, IF(H320="", 0, IFERROR(VALUE(MID(H320, SEARCH("(",H320)+1, 1)),0))), IF(L320="Yes", 0, IF(K320="", 0, IFERROR(VALUE(MID(K320, SEARCH("(",K320)+1, 1)),0))), IF(O320="Yes", 0, IF(N320="", 0, IFERROR(VALUE(MID(N320, SEARCH("(",N320)+1, 1)),0))), IF(R320="Yes", 0, IF(Q320="", 0, IFERROR(VALUE(MID(Q320, SEARCH("(",Q320)+1, 1)),0)))))</f>
        <v/>
      </c>
      <c r="U320">
        <f>IF(A320="","", IF(T320&gt;=5, "Priority 1 (Critical)", IF(T320&gt;=3, "Priority 2 (Major)", IF(T320&gt;=1, "Priority 3 (Minor)", "Pass/Fixed"))))</f>
        <v/>
      </c>
      <c r="V320">
        <f>IF(A320="","", IF(T320&gt;0, "FAIL", "PASS"))</f>
        <v/>
      </c>
    </row>
    <row r="321">
      <c r="A321">
        <f>IF('Equipment Information'!A321="","", 'Equipment Information'!A321)</f>
        <v/>
      </c>
      <c r="B321">
        <f>IF('Equipment Information'!B321="","", 'Equipment Information'!B321)</f>
        <v/>
      </c>
      <c r="C321">
        <f>IF('Equipment Information'!C321="","", 'Equipment Information'!C321)</f>
        <v/>
      </c>
      <c r="E321">
        <f>IF(D321="","", IFERROR(VLOOKUP(D321, 'Hidden_Data'!M:N, 2, FALSE), "0"))</f>
        <v/>
      </c>
      <c r="H321">
        <f>IF(G321="","", IFERROR(VLOOKUP(G321, 'Hidden_Data'!M:N, 2, FALSE), "0"))</f>
        <v/>
      </c>
      <c r="K321">
        <f>IF(J321="","", IFERROR(VLOOKUP(J321, 'Hidden_Data'!M:N, 2, FALSE), "0"))</f>
        <v/>
      </c>
      <c r="N321">
        <f>IF(M321="","", IFERROR(VLOOKUP(M321, 'Hidden_Data'!M:N, 2, FALSE), "0"))</f>
        <v/>
      </c>
      <c r="Q321">
        <f>IF(P321="","", IFERROR(VLOOKUP(P321, 'Hidden_Data'!M:N, 2, FALSE), "0"))</f>
        <v/>
      </c>
      <c r="T321">
        <f>IF(A321="","", SUM(IF(F321="Yes", 0, IF(E321="", 0, IFERROR(VALUE(MID(E321, SEARCH("(",E321)+1, 1)),0))), IF(I321="Yes", 0, IF(H321="", 0, IFERROR(VALUE(MID(H321, SEARCH("(",H321)+1, 1)),0))), IF(L321="Yes", 0, IF(K321="", 0, IFERROR(VALUE(MID(K321, SEARCH("(",K321)+1, 1)),0))), IF(O321="Yes", 0, IF(N321="", 0, IFERROR(VALUE(MID(N321, SEARCH("(",N321)+1, 1)),0))), IF(R321="Yes", 0, IF(Q321="", 0, IFERROR(VALUE(MID(Q321, SEARCH("(",Q321)+1, 1)),0)))))</f>
        <v/>
      </c>
      <c r="U321">
        <f>IF(A321="","", IF(T321&gt;=5, "Priority 1 (Critical)", IF(T321&gt;=3, "Priority 2 (Major)", IF(T321&gt;=1, "Priority 3 (Minor)", "Pass/Fixed"))))</f>
        <v/>
      </c>
      <c r="V321">
        <f>IF(A321="","", IF(T321&gt;0, "FAIL", "PASS"))</f>
        <v/>
      </c>
    </row>
    <row r="322">
      <c r="A322">
        <f>IF('Equipment Information'!A322="","", 'Equipment Information'!A322)</f>
        <v/>
      </c>
      <c r="B322">
        <f>IF('Equipment Information'!B322="","", 'Equipment Information'!B322)</f>
        <v/>
      </c>
      <c r="C322">
        <f>IF('Equipment Information'!C322="","", 'Equipment Information'!C322)</f>
        <v/>
      </c>
      <c r="E322">
        <f>IF(D322="","", IFERROR(VLOOKUP(D322, 'Hidden_Data'!M:N, 2, FALSE), "0"))</f>
        <v/>
      </c>
      <c r="H322">
        <f>IF(G322="","", IFERROR(VLOOKUP(G322, 'Hidden_Data'!M:N, 2, FALSE), "0"))</f>
        <v/>
      </c>
      <c r="K322">
        <f>IF(J322="","", IFERROR(VLOOKUP(J322, 'Hidden_Data'!M:N, 2, FALSE), "0"))</f>
        <v/>
      </c>
      <c r="N322">
        <f>IF(M322="","", IFERROR(VLOOKUP(M322, 'Hidden_Data'!M:N, 2, FALSE), "0"))</f>
        <v/>
      </c>
      <c r="Q322">
        <f>IF(P322="","", IFERROR(VLOOKUP(P322, 'Hidden_Data'!M:N, 2, FALSE), "0"))</f>
        <v/>
      </c>
      <c r="T322">
        <f>IF(A322="","", SUM(IF(F322="Yes", 0, IF(E322="", 0, IFERROR(VALUE(MID(E322, SEARCH("(",E322)+1, 1)),0))), IF(I322="Yes", 0, IF(H322="", 0, IFERROR(VALUE(MID(H322, SEARCH("(",H322)+1, 1)),0))), IF(L322="Yes", 0, IF(K322="", 0, IFERROR(VALUE(MID(K322, SEARCH("(",K322)+1, 1)),0))), IF(O322="Yes", 0, IF(N322="", 0, IFERROR(VALUE(MID(N322, SEARCH("(",N322)+1, 1)),0))), IF(R322="Yes", 0, IF(Q322="", 0, IFERROR(VALUE(MID(Q322, SEARCH("(",Q322)+1, 1)),0)))))</f>
        <v/>
      </c>
      <c r="U322">
        <f>IF(A322="","", IF(T322&gt;=5, "Priority 1 (Critical)", IF(T322&gt;=3, "Priority 2 (Major)", IF(T322&gt;=1, "Priority 3 (Minor)", "Pass/Fixed"))))</f>
        <v/>
      </c>
      <c r="V322">
        <f>IF(A322="","", IF(T322&gt;0, "FAIL", "PASS"))</f>
        <v/>
      </c>
    </row>
    <row r="323">
      <c r="A323">
        <f>IF('Equipment Information'!A323="","", 'Equipment Information'!A323)</f>
        <v/>
      </c>
      <c r="B323">
        <f>IF('Equipment Information'!B323="","", 'Equipment Information'!B323)</f>
        <v/>
      </c>
      <c r="C323">
        <f>IF('Equipment Information'!C323="","", 'Equipment Information'!C323)</f>
        <v/>
      </c>
      <c r="E323">
        <f>IF(D323="","", IFERROR(VLOOKUP(D323, 'Hidden_Data'!M:N, 2, FALSE), "0"))</f>
        <v/>
      </c>
      <c r="H323">
        <f>IF(G323="","", IFERROR(VLOOKUP(G323, 'Hidden_Data'!M:N, 2, FALSE), "0"))</f>
        <v/>
      </c>
      <c r="K323">
        <f>IF(J323="","", IFERROR(VLOOKUP(J323, 'Hidden_Data'!M:N, 2, FALSE), "0"))</f>
        <v/>
      </c>
      <c r="N323">
        <f>IF(M323="","", IFERROR(VLOOKUP(M323, 'Hidden_Data'!M:N, 2, FALSE), "0"))</f>
        <v/>
      </c>
      <c r="Q323">
        <f>IF(P323="","", IFERROR(VLOOKUP(P323, 'Hidden_Data'!M:N, 2, FALSE), "0"))</f>
        <v/>
      </c>
      <c r="T323">
        <f>IF(A323="","", SUM(IF(F323="Yes", 0, IF(E323="", 0, IFERROR(VALUE(MID(E323, SEARCH("(",E323)+1, 1)),0))), IF(I323="Yes", 0, IF(H323="", 0, IFERROR(VALUE(MID(H323, SEARCH("(",H323)+1, 1)),0))), IF(L323="Yes", 0, IF(K323="", 0, IFERROR(VALUE(MID(K323, SEARCH("(",K323)+1, 1)),0))), IF(O323="Yes", 0, IF(N323="", 0, IFERROR(VALUE(MID(N323, SEARCH("(",N323)+1, 1)),0))), IF(R323="Yes", 0, IF(Q323="", 0, IFERROR(VALUE(MID(Q323, SEARCH("(",Q323)+1, 1)),0)))))</f>
        <v/>
      </c>
      <c r="U323">
        <f>IF(A323="","", IF(T323&gt;=5, "Priority 1 (Critical)", IF(T323&gt;=3, "Priority 2 (Major)", IF(T323&gt;=1, "Priority 3 (Minor)", "Pass/Fixed"))))</f>
        <v/>
      </c>
      <c r="V323">
        <f>IF(A323="","", IF(T323&gt;0, "FAIL", "PASS"))</f>
        <v/>
      </c>
    </row>
    <row r="324">
      <c r="A324">
        <f>IF('Equipment Information'!A324="","", 'Equipment Information'!A324)</f>
        <v/>
      </c>
      <c r="B324">
        <f>IF('Equipment Information'!B324="","", 'Equipment Information'!B324)</f>
        <v/>
      </c>
      <c r="C324">
        <f>IF('Equipment Information'!C324="","", 'Equipment Information'!C324)</f>
        <v/>
      </c>
      <c r="E324">
        <f>IF(D324="","", IFERROR(VLOOKUP(D324, 'Hidden_Data'!M:N, 2, FALSE), "0"))</f>
        <v/>
      </c>
      <c r="H324">
        <f>IF(G324="","", IFERROR(VLOOKUP(G324, 'Hidden_Data'!M:N, 2, FALSE), "0"))</f>
        <v/>
      </c>
      <c r="K324">
        <f>IF(J324="","", IFERROR(VLOOKUP(J324, 'Hidden_Data'!M:N, 2, FALSE), "0"))</f>
        <v/>
      </c>
      <c r="N324">
        <f>IF(M324="","", IFERROR(VLOOKUP(M324, 'Hidden_Data'!M:N, 2, FALSE), "0"))</f>
        <v/>
      </c>
      <c r="Q324">
        <f>IF(P324="","", IFERROR(VLOOKUP(P324, 'Hidden_Data'!M:N, 2, FALSE), "0"))</f>
        <v/>
      </c>
      <c r="T324">
        <f>IF(A324="","", SUM(IF(F324="Yes", 0, IF(E324="", 0, IFERROR(VALUE(MID(E324, SEARCH("(",E324)+1, 1)),0))), IF(I324="Yes", 0, IF(H324="", 0, IFERROR(VALUE(MID(H324, SEARCH("(",H324)+1, 1)),0))), IF(L324="Yes", 0, IF(K324="", 0, IFERROR(VALUE(MID(K324, SEARCH("(",K324)+1, 1)),0))), IF(O324="Yes", 0, IF(N324="", 0, IFERROR(VALUE(MID(N324, SEARCH("(",N324)+1, 1)),0))), IF(R324="Yes", 0, IF(Q324="", 0, IFERROR(VALUE(MID(Q324, SEARCH("(",Q324)+1, 1)),0)))))</f>
        <v/>
      </c>
      <c r="U324">
        <f>IF(A324="","", IF(T324&gt;=5, "Priority 1 (Critical)", IF(T324&gt;=3, "Priority 2 (Major)", IF(T324&gt;=1, "Priority 3 (Minor)", "Pass/Fixed"))))</f>
        <v/>
      </c>
      <c r="V324">
        <f>IF(A324="","", IF(T324&gt;0, "FAIL", "PASS"))</f>
        <v/>
      </c>
    </row>
    <row r="325">
      <c r="A325">
        <f>IF('Equipment Information'!A325="","", 'Equipment Information'!A325)</f>
        <v/>
      </c>
      <c r="B325">
        <f>IF('Equipment Information'!B325="","", 'Equipment Information'!B325)</f>
        <v/>
      </c>
      <c r="C325">
        <f>IF('Equipment Information'!C325="","", 'Equipment Information'!C325)</f>
        <v/>
      </c>
      <c r="E325">
        <f>IF(D325="","", IFERROR(VLOOKUP(D325, 'Hidden_Data'!M:N, 2, FALSE), "0"))</f>
        <v/>
      </c>
      <c r="H325">
        <f>IF(G325="","", IFERROR(VLOOKUP(G325, 'Hidden_Data'!M:N, 2, FALSE), "0"))</f>
        <v/>
      </c>
      <c r="K325">
        <f>IF(J325="","", IFERROR(VLOOKUP(J325, 'Hidden_Data'!M:N, 2, FALSE), "0"))</f>
        <v/>
      </c>
      <c r="N325">
        <f>IF(M325="","", IFERROR(VLOOKUP(M325, 'Hidden_Data'!M:N, 2, FALSE), "0"))</f>
        <v/>
      </c>
      <c r="Q325">
        <f>IF(P325="","", IFERROR(VLOOKUP(P325, 'Hidden_Data'!M:N, 2, FALSE), "0"))</f>
        <v/>
      </c>
      <c r="T325">
        <f>IF(A325="","", SUM(IF(F325="Yes", 0, IF(E325="", 0, IFERROR(VALUE(MID(E325, SEARCH("(",E325)+1, 1)),0))), IF(I325="Yes", 0, IF(H325="", 0, IFERROR(VALUE(MID(H325, SEARCH("(",H325)+1, 1)),0))), IF(L325="Yes", 0, IF(K325="", 0, IFERROR(VALUE(MID(K325, SEARCH("(",K325)+1, 1)),0))), IF(O325="Yes", 0, IF(N325="", 0, IFERROR(VALUE(MID(N325, SEARCH("(",N325)+1, 1)),0))), IF(R325="Yes", 0, IF(Q325="", 0, IFERROR(VALUE(MID(Q325, SEARCH("(",Q325)+1, 1)),0)))))</f>
        <v/>
      </c>
      <c r="U325">
        <f>IF(A325="","", IF(T325&gt;=5, "Priority 1 (Critical)", IF(T325&gt;=3, "Priority 2 (Major)", IF(T325&gt;=1, "Priority 3 (Minor)", "Pass/Fixed"))))</f>
        <v/>
      </c>
      <c r="V325">
        <f>IF(A325="","", IF(T325&gt;0, "FAIL", "PASS"))</f>
        <v/>
      </c>
    </row>
    <row r="326">
      <c r="A326">
        <f>IF('Equipment Information'!A326="","", 'Equipment Information'!A326)</f>
        <v/>
      </c>
      <c r="B326">
        <f>IF('Equipment Information'!B326="","", 'Equipment Information'!B326)</f>
        <v/>
      </c>
      <c r="C326">
        <f>IF('Equipment Information'!C326="","", 'Equipment Information'!C326)</f>
        <v/>
      </c>
      <c r="E326">
        <f>IF(D326="","", IFERROR(VLOOKUP(D326, 'Hidden_Data'!M:N, 2, FALSE), "0"))</f>
        <v/>
      </c>
      <c r="H326">
        <f>IF(G326="","", IFERROR(VLOOKUP(G326, 'Hidden_Data'!M:N, 2, FALSE), "0"))</f>
        <v/>
      </c>
      <c r="K326">
        <f>IF(J326="","", IFERROR(VLOOKUP(J326, 'Hidden_Data'!M:N, 2, FALSE), "0"))</f>
        <v/>
      </c>
      <c r="N326">
        <f>IF(M326="","", IFERROR(VLOOKUP(M326, 'Hidden_Data'!M:N, 2, FALSE), "0"))</f>
        <v/>
      </c>
      <c r="Q326">
        <f>IF(P326="","", IFERROR(VLOOKUP(P326, 'Hidden_Data'!M:N, 2, FALSE), "0"))</f>
        <v/>
      </c>
      <c r="T326">
        <f>IF(A326="","", SUM(IF(F326="Yes", 0, IF(E326="", 0, IFERROR(VALUE(MID(E326, SEARCH("(",E326)+1, 1)),0))), IF(I326="Yes", 0, IF(H326="", 0, IFERROR(VALUE(MID(H326, SEARCH("(",H326)+1, 1)),0))), IF(L326="Yes", 0, IF(K326="", 0, IFERROR(VALUE(MID(K326, SEARCH("(",K326)+1, 1)),0))), IF(O326="Yes", 0, IF(N326="", 0, IFERROR(VALUE(MID(N326, SEARCH("(",N326)+1, 1)),0))), IF(R326="Yes", 0, IF(Q326="", 0, IFERROR(VALUE(MID(Q326, SEARCH("(",Q326)+1, 1)),0)))))</f>
        <v/>
      </c>
      <c r="U326">
        <f>IF(A326="","", IF(T326&gt;=5, "Priority 1 (Critical)", IF(T326&gt;=3, "Priority 2 (Major)", IF(T326&gt;=1, "Priority 3 (Minor)", "Pass/Fixed"))))</f>
        <v/>
      </c>
      <c r="V326">
        <f>IF(A326="","", IF(T326&gt;0, "FAIL", "PASS"))</f>
        <v/>
      </c>
    </row>
    <row r="327">
      <c r="A327">
        <f>IF('Equipment Information'!A327="","", 'Equipment Information'!A327)</f>
        <v/>
      </c>
      <c r="B327">
        <f>IF('Equipment Information'!B327="","", 'Equipment Information'!B327)</f>
        <v/>
      </c>
      <c r="C327">
        <f>IF('Equipment Information'!C327="","", 'Equipment Information'!C327)</f>
        <v/>
      </c>
      <c r="E327">
        <f>IF(D327="","", IFERROR(VLOOKUP(D327, 'Hidden_Data'!M:N, 2, FALSE), "0"))</f>
        <v/>
      </c>
      <c r="H327">
        <f>IF(G327="","", IFERROR(VLOOKUP(G327, 'Hidden_Data'!M:N, 2, FALSE), "0"))</f>
        <v/>
      </c>
      <c r="K327">
        <f>IF(J327="","", IFERROR(VLOOKUP(J327, 'Hidden_Data'!M:N, 2, FALSE), "0"))</f>
        <v/>
      </c>
      <c r="N327">
        <f>IF(M327="","", IFERROR(VLOOKUP(M327, 'Hidden_Data'!M:N, 2, FALSE), "0"))</f>
        <v/>
      </c>
      <c r="Q327">
        <f>IF(P327="","", IFERROR(VLOOKUP(P327, 'Hidden_Data'!M:N, 2, FALSE), "0"))</f>
        <v/>
      </c>
      <c r="T327">
        <f>IF(A327="","", SUM(IF(F327="Yes", 0, IF(E327="", 0, IFERROR(VALUE(MID(E327, SEARCH("(",E327)+1, 1)),0))), IF(I327="Yes", 0, IF(H327="", 0, IFERROR(VALUE(MID(H327, SEARCH("(",H327)+1, 1)),0))), IF(L327="Yes", 0, IF(K327="", 0, IFERROR(VALUE(MID(K327, SEARCH("(",K327)+1, 1)),0))), IF(O327="Yes", 0, IF(N327="", 0, IFERROR(VALUE(MID(N327, SEARCH("(",N327)+1, 1)),0))), IF(R327="Yes", 0, IF(Q327="", 0, IFERROR(VALUE(MID(Q327, SEARCH("(",Q327)+1, 1)),0)))))</f>
        <v/>
      </c>
      <c r="U327">
        <f>IF(A327="","", IF(T327&gt;=5, "Priority 1 (Critical)", IF(T327&gt;=3, "Priority 2 (Major)", IF(T327&gt;=1, "Priority 3 (Minor)", "Pass/Fixed"))))</f>
        <v/>
      </c>
      <c r="V327">
        <f>IF(A327="","", IF(T327&gt;0, "FAIL", "PASS"))</f>
        <v/>
      </c>
    </row>
    <row r="328">
      <c r="A328">
        <f>IF('Equipment Information'!A328="","", 'Equipment Information'!A328)</f>
        <v/>
      </c>
      <c r="B328">
        <f>IF('Equipment Information'!B328="","", 'Equipment Information'!B328)</f>
        <v/>
      </c>
      <c r="C328">
        <f>IF('Equipment Information'!C328="","", 'Equipment Information'!C328)</f>
        <v/>
      </c>
      <c r="E328">
        <f>IF(D328="","", IFERROR(VLOOKUP(D328, 'Hidden_Data'!M:N, 2, FALSE), "0"))</f>
        <v/>
      </c>
      <c r="H328">
        <f>IF(G328="","", IFERROR(VLOOKUP(G328, 'Hidden_Data'!M:N, 2, FALSE), "0"))</f>
        <v/>
      </c>
      <c r="K328">
        <f>IF(J328="","", IFERROR(VLOOKUP(J328, 'Hidden_Data'!M:N, 2, FALSE), "0"))</f>
        <v/>
      </c>
      <c r="N328">
        <f>IF(M328="","", IFERROR(VLOOKUP(M328, 'Hidden_Data'!M:N, 2, FALSE), "0"))</f>
        <v/>
      </c>
      <c r="Q328">
        <f>IF(P328="","", IFERROR(VLOOKUP(P328, 'Hidden_Data'!M:N, 2, FALSE), "0"))</f>
        <v/>
      </c>
      <c r="T328">
        <f>IF(A328="","", SUM(IF(F328="Yes", 0, IF(E328="", 0, IFERROR(VALUE(MID(E328, SEARCH("(",E328)+1, 1)),0))), IF(I328="Yes", 0, IF(H328="", 0, IFERROR(VALUE(MID(H328, SEARCH("(",H328)+1, 1)),0))), IF(L328="Yes", 0, IF(K328="", 0, IFERROR(VALUE(MID(K328, SEARCH("(",K328)+1, 1)),0))), IF(O328="Yes", 0, IF(N328="", 0, IFERROR(VALUE(MID(N328, SEARCH("(",N328)+1, 1)),0))), IF(R328="Yes", 0, IF(Q328="", 0, IFERROR(VALUE(MID(Q328, SEARCH("(",Q328)+1, 1)),0)))))</f>
        <v/>
      </c>
      <c r="U328">
        <f>IF(A328="","", IF(T328&gt;=5, "Priority 1 (Critical)", IF(T328&gt;=3, "Priority 2 (Major)", IF(T328&gt;=1, "Priority 3 (Minor)", "Pass/Fixed"))))</f>
        <v/>
      </c>
      <c r="V328">
        <f>IF(A328="","", IF(T328&gt;0, "FAIL", "PASS"))</f>
        <v/>
      </c>
    </row>
    <row r="329">
      <c r="A329">
        <f>IF('Equipment Information'!A329="","", 'Equipment Information'!A329)</f>
        <v/>
      </c>
      <c r="B329">
        <f>IF('Equipment Information'!B329="","", 'Equipment Information'!B329)</f>
        <v/>
      </c>
      <c r="C329">
        <f>IF('Equipment Information'!C329="","", 'Equipment Information'!C329)</f>
        <v/>
      </c>
      <c r="E329">
        <f>IF(D329="","", IFERROR(VLOOKUP(D329, 'Hidden_Data'!M:N, 2, FALSE), "0"))</f>
        <v/>
      </c>
      <c r="H329">
        <f>IF(G329="","", IFERROR(VLOOKUP(G329, 'Hidden_Data'!M:N, 2, FALSE), "0"))</f>
        <v/>
      </c>
      <c r="K329">
        <f>IF(J329="","", IFERROR(VLOOKUP(J329, 'Hidden_Data'!M:N, 2, FALSE), "0"))</f>
        <v/>
      </c>
      <c r="N329">
        <f>IF(M329="","", IFERROR(VLOOKUP(M329, 'Hidden_Data'!M:N, 2, FALSE), "0"))</f>
        <v/>
      </c>
      <c r="Q329">
        <f>IF(P329="","", IFERROR(VLOOKUP(P329, 'Hidden_Data'!M:N, 2, FALSE), "0"))</f>
        <v/>
      </c>
      <c r="T329">
        <f>IF(A329="","", SUM(IF(F329="Yes", 0, IF(E329="", 0, IFERROR(VALUE(MID(E329, SEARCH("(",E329)+1, 1)),0))), IF(I329="Yes", 0, IF(H329="", 0, IFERROR(VALUE(MID(H329, SEARCH("(",H329)+1, 1)),0))), IF(L329="Yes", 0, IF(K329="", 0, IFERROR(VALUE(MID(K329, SEARCH("(",K329)+1, 1)),0))), IF(O329="Yes", 0, IF(N329="", 0, IFERROR(VALUE(MID(N329, SEARCH("(",N329)+1, 1)),0))), IF(R329="Yes", 0, IF(Q329="", 0, IFERROR(VALUE(MID(Q329, SEARCH("(",Q329)+1, 1)),0)))))</f>
        <v/>
      </c>
      <c r="U329">
        <f>IF(A329="","", IF(T329&gt;=5, "Priority 1 (Critical)", IF(T329&gt;=3, "Priority 2 (Major)", IF(T329&gt;=1, "Priority 3 (Minor)", "Pass/Fixed"))))</f>
        <v/>
      </c>
      <c r="V329">
        <f>IF(A329="","", IF(T329&gt;0, "FAIL", "PASS"))</f>
        <v/>
      </c>
    </row>
    <row r="330">
      <c r="A330">
        <f>IF('Equipment Information'!A330="","", 'Equipment Information'!A330)</f>
        <v/>
      </c>
      <c r="B330">
        <f>IF('Equipment Information'!B330="","", 'Equipment Information'!B330)</f>
        <v/>
      </c>
      <c r="C330">
        <f>IF('Equipment Information'!C330="","", 'Equipment Information'!C330)</f>
        <v/>
      </c>
      <c r="E330">
        <f>IF(D330="","", IFERROR(VLOOKUP(D330, 'Hidden_Data'!M:N, 2, FALSE), "0"))</f>
        <v/>
      </c>
      <c r="H330">
        <f>IF(G330="","", IFERROR(VLOOKUP(G330, 'Hidden_Data'!M:N, 2, FALSE), "0"))</f>
        <v/>
      </c>
      <c r="K330">
        <f>IF(J330="","", IFERROR(VLOOKUP(J330, 'Hidden_Data'!M:N, 2, FALSE), "0"))</f>
        <v/>
      </c>
      <c r="N330">
        <f>IF(M330="","", IFERROR(VLOOKUP(M330, 'Hidden_Data'!M:N, 2, FALSE), "0"))</f>
        <v/>
      </c>
      <c r="Q330">
        <f>IF(P330="","", IFERROR(VLOOKUP(P330, 'Hidden_Data'!M:N, 2, FALSE), "0"))</f>
        <v/>
      </c>
      <c r="T330">
        <f>IF(A330="","", SUM(IF(F330="Yes", 0, IF(E330="", 0, IFERROR(VALUE(MID(E330, SEARCH("(",E330)+1, 1)),0))), IF(I330="Yes", 0, IF(H330="", 0, IFERROR(VALUE(MID(H330, SEARCH("(",H330)+1, 1)),0))), IF(L330="Yes", 0, IF(K330="", 0, IFERROR(VALUE(MID(K330, SEARCH("(",K330)+1, 1)),0))), IF(O330="Yes", 0, IF(N330="", 0, IFERROR(VALUE(MID(N330, SEARCH("(",N330)+1, 1)),0))), IF(R330="Yes", 0, IF(Q330="", 0, IFERROR(VALUE(MID(Q330, SEARCH("(",Q330)+1, 1)),0)))))</f>
        <v/>
      </c>
      <c r="U330">
        <f>IF(A330="","", IF(T330&gt;=5, "Priority 1 (Critical)", IF(T330&gt;=3, "Priority 2 (Major)", IF(T330&gt;=1, "Priority 3 (Minor)", "Pass/Fixed"))))</f>
        <v/>
      </c>
      <c r="V330">
        <f>IF(A330="","", IF(T330&gt;0, "FAIL", "PASS"))</f>
        <v/>
      </c>
    </row>
    <row r="331">
      <c r="A331">
        <f>IF('Equipment Information'!A331="","", 'Equipment Information'!A331)</f>
        <v/>
      </c>
      <c r="B331">
        <f>IF('Equipment Information'!B331="","", 'Equipment Information'!B331)</f>
        <v/>
      </c>
      <c r="C331">
        <f>IF('Equipment Information'!C331="","", 'Equipment Information'!C331)</f>
        <v/>
      </c>
      <c r="E331">
        <f>IF(D331="","", IFERROR(VLOOKUP(D331, 'Hidden_Data'!M:N, 2, FALSE), "0"))</f>
        <v/>
      </c>
      <c r="H331">
        <f>IF(G331="","", IFERROR(VLOOKUP(G331, 'Hidden_Data'!M:N, 2, FALSE), "0"))</f>
        <v/>
      </c>
      <c r="K331">
        <f>IF(J331="","", IFERROR(VLOOKUP(J331, 'Hidden_Data'!M:N, 2, FALSE), "0"))</f>
        <v/>
      </c>
      <c r="N331">
        <f>IF(M331="","", IFERROR(VLOOKUP(M331, 'Hidden_Data'!M:N, 2, FALSE), "0"))</f>
        <v/>
      </c>
      <c r="Q331">
        <f>IF(P331="","", IFERROR(VLOOKUP(P331, 'Hidden_Data'!M:N, 2, FALSE), "0"))</f>
        <v/>
      </c>
      <c r="T331">
        <f>IF(A331="","", SUM(IF(F331="Yes", 0, IF(E331="", 0, IFERROR(VALUE(MID(E331, SEARCH("(",E331)+1, 1)),0))), IF(I331="Yes", 0, IF(H331="", 0, IFERROR(VALUE(MID(H331, SEARCH("(",H331)+1, 1)),0))), IF(L331="Yes", 0, IF(K331="", 0, IFERROR(VALUE(MID(K331, SEARCH("(",K331)+1, 1)),0))), IF(O331="Yes", 0, IF(N331="", 0, IFERROR(VALUE(MID(N331, SEARCH("(",N331)+1, 1)),0))), IF(R331="Yes", 0, IF(Q331="", 0, IFERROR(VALUE(MID(Q331, SEARCH("(",Q331)+1, 1)),0)))))</f>
        <v/>
      </c>
      <c r="U331">
        <f>IF(A331="","", IF(T331&gt;=5, "Priority 1 (Critical)", IF(T331&gt;=3, "Priority 2 (Major)", IF(T331&gt;=1, "Priority 3 (Minor)", "Pass/Fixed"))))</f>
        <v/>
      </c>
      <c r="V331">
        <f>IF(A331="","", IF(T331&gt;0, "FAIL", "PASS"))</f>
        <v/>
      </c>
    </row>
    <row r="332">
      <c r="A332">
        <f>IF('Equipment Information'!A332="","", 'Equipment Information'!A332)</f>
        <v/>
      </c>
      <c r="B332">
        <f>IF('Equipment Information'!B332="","", 'Equipment Information'!B332)</f>
        <v/>
      </c>
      <c r="C332">
        <f>IF('Equipment Information'!C332="","", 'Equipment Information'!C332)</f>
        <v/>
      </c>
      <c r="E332">
        <f>IF(D332="","", IFERROR(VLOOKUP(D332, 'Hidden_Data'!M:N, 2, FALSE), "0"))</f>
        <v/>
      </c>
      <c r="H332">
        <f>IF(G332="","", IFERROR(VLOOKUP(G332, 'Hidden_Data'!M:N, 2, FALSE), "0"))</f>
        <v/>
      </c>
      <c r="K332">
        <f>IF(J332="","", IFERROR(VLOOKUP(J332, 'Hidden_Data'!M:N, 2, FALSE), "0"))</f>
        <v/>
      </c>
      <c r="N332">
        <f>IF(M332="","", IFERROR(VLOOKUP(M332, 'Hidden_Data'!M:N, 2, FALSE), "0"))</f>
        <v/>
      </c>
      <c r="Q332">
        <f>IF(P332="","", IFERROR(VLOOKUP(P332, 'Hidden_Data'!M:N, 2, FALSE), "0"))</f>
        <v/>
      </c>
      <c r="T332">
        <f>IF(A332="","", SUM(IF(F332="Yes", 0, IF(E332="", 0, IFERROR(VALUE(MID(E332, SEARCH("(",E332)+1, 1)),0))), IF(I332="Yes", 0, IF(H332="", 0, IFERROR(VALUE(MID(H332, SEARCH("(",H332)+1, 1)),0))), IF(L332="Yes", 0, IF(K332="", 0, IFERROR(VALUE(MID(K332, SEARCH("(",K332)+1, 1)),0))), IF(O332="Yes", 0, IF(N332="", 0, IFERROR(VALUE(MID(N332, SEARCH("(",N332)+1, 1)),0))), IF(R332="Yes", 0, IF(Q332="", 0, IFERROR(VALUE(MID(Q332, SEARCH("(",Q332)+1, 1)),0)))))</f>
        <v/>
      </c>
      <c r="U332">
        <f>IF(A332="","", IF(T332&gt;=5, "Priority 1 (Critical)", IF(T332&gt;=3, "Priority 2 (Major)", IF(T332&gt;=1, "Priority 3 (Minor)", "Pass/Fixed"))))</f>
        <v/>
      </c>
      <c r="V332">
        <f>IF(A332="","", IF(T332&gt;0, "FAIL", "PASS"))</f>
        <v/>
      </c>
    </row>
    <row r="333">
      <c r="A333">
        <f>IF('Equipment Information'!A333="","", 'Equipment Information'!A333)</f>
        <v/>
      </c>
      <c r="B333">
        <f>IF('Equipment Information'!B333="","", 'Equipment Information'!B333)</f>
        <v/>
      </c>
      <c r="C333">
        <f>IF('Equipment Information'!C333="","", 'Equipment Information'!C333)</f>
        <v/>
      </c>
      <c r="E333">
        <f>IF(D333="","", IFERROR(VLOOKUP(D333, 'Hidden_Data'!M:N, 2, FALSE), "0"))</f>
        <v/>
      </c>
      <c r="H333">
        <f>IF(G333="","", IFERROR(VLOOKUP(G333, 'Hidden_Data'!M:N, 2, FALSE), "0"))</f>
        <v/>
      </c>
      <c r="K333">
        <f>IF(J333="","", IFERROR(VLOOKUP(J333, 'Hidden_Data'!M:N, 2, FALSE), "0"))</f>
        <v/>
      </c>
      <c r="N333">
        <f>IF(M333="","", IFERROR(VLOOKUP(M333, 'Hidden_Data'!M:N, 2, FALSE), "0"))</f>
        <v/>
      </c>
      <c r="Q333">
        <f>IF(P333="","", IFERROR(VLOOKUP(P333, 'Hidden_Data'!M:N, 2, FALSE), "0"))</f>
        <v/>
      </c>
      <c r="T333">
        <f>IF(A333="","", SUM(IF(F333="Yes", 0, IF(E333="", 0, IFERROR(VALUE(MID(E333, SEARCH("(",E333)+1, 1)),0))), IF(I333="Yes", 0, IF(H333="", 0, IFERROR(VALUE(MID(H333, SEARCH("(",H333)+1, 1)),0))), IF(L333="Yes", 0, IF(K333="", 0, IFERROR(VALUE(MID(K333, SEARCH("(",K333)+1, 1)),0))), IF(O333="Yes", 0, IF(N333="", 0, IFERROR(VALUE(MID(N333, SEARCH("(",N333)+1, 1)),0))), IF(R333="Yes", 0, IF(Q333="", 0, IFERROR(VALUE(MID(Q333, SEARCH("(",Q333)+1, 1)),0)))))</f>
        <v/>
      </c>
      <c r="U333">
        <f>IF(A333="","", IF(T333&gt;=5, "Priority 1 (Critical)", IF(T333&gt;=3, "Priority 2 (Major)", IF(T333&gt;=1, "Priority 3 (Minor)", "Pass/Fixed"))))</f>
        <v/>
      </c>
      <c r="V333">
        <f>IF(A333="","", IF(T333&gt;0, "FAIL", "PASS"))</f>
        <v/>
      </c>
    </row>
    <row r="334">
      <c r="A334">
        <f>IF('Equipment Information'!A334="","", 'Equipment Information'!A334)</f>
        <v/>
      </c>
      <c r="B334">
        <f>IF('Equipment Information'!B334="","", 'Equipment Information'!B334)</f>
        <v/>
      </c>
      <c r="C334">
        <f>IF('Equipment Information'!C334="","", 'Equipment Information'!C334)</f>
        <v/>
      </c>
      <c r="E334">
        <f>IF(D334="","", IFERROR(VLOOKUP(D334, 'Hidden_Data'!M:N, 2, FALSE), "0"))</f>
        <v/>
      </c>
      <c r="H334">
        <f>IF(G334="","", IFERROR(VLOOKUP(G334, 'Hidden_Data'!M:N, 2, FALSE), "0"))</f>
        <v/>
      </c>
      <c r="K334">
        <f>IF(J334="","", IFERROR(VLOOKUP(J334, 'Hidden_Data'!M:N, 2, FALSE), "0"))</f>
        <v/>
      </c>
      <c r="N334">
        <f>IF(M334="","", IFERROR(VLOOKUP(M334, 'Hidden_Data'!M:N, 2, FALSE), "0"))</f>
        <v/>
      </c>
      <c r="Q334">
        <f>IF(P334="","", IFERROR(VLOOKUP(P334, 'Hidden_Data'!M:N, 2, FALSE), "0"))</f>
        <v/>
      </c>
      <c r="T334">
        <f>IF(A334="","", SUM(IF(F334="Yes", 0, IF(E334="", 0, IFERROR(VALUE(MID(E334, SEARCH("(",E334)+1, 1)),0))), IF(I334="Yes", 0, IF(H334="", 0, IFERROR(VALUE(MID(H334, SEARCH("(",H334)+1, 1)),0))), IF(L334="Yes", 0, IF(K334="", 0, IFERROR(VALUE(MID(K334, SEARCH("(",K334)+1, 1)),0))), IF(O334="Yes", 0, IF(N334="", 0, IFERROR(VALUE(MID(N334, SEARCH("(",N334)+1, 1)),0))), IF(R334="Yes", 0, IF(Q334="", 0, IFERROR(VALUE(MID(Q334, SEARCH("(",Q334)+1, 1)),0)))))</f>
        <v/>
      </c>
      <c r="U334">
        <f>IF(A334="","", IF(T334&gt;=5, "Priority 1 (Critical)", IF(T334&gt;=3, "Priority 2 (Major)", IF(T334&gt;=1, "Priority 3 (Minor)", "Pass/Fixed"))))</f>
        <v/>
      </c>
      <c r="V334">
        <f>IF(A334="","", IF(T334&gt;0, "FAIL", "PASS"))</f>
        <v/>
      </c>
    </row>
    <row r="335">
      <c r="A335">
        <f>IF('Equipment Information'!A335="","", 'Equipment Information'!A335)</f>
        <v/>
      </c>
      <c r="B335">
        <f>IF('Equipment Information'!B335="","", 'Equipment Information'!B335)</f>
        <v/>
      </c>
      <c r="C335">
        <f>IF('Equipment Information'!C335="","", 'Equipment Information'!C335)</f>
        <v/>
      </c>
      <c r="E335">
        <f>IF(D335="","", IFERROR(VLOOKUP(D335, 'Hidden_Data'!M:N, 2, FALSE), "0"))</f>
        <v/>
      </c>
      <c r="H335">
        <f>IF(G335="","", IFERROR(VLOOKUP(G335, 'Hidden_Data'!M:N, 2, FALSE), "0"))</f>
        <v/>
      </c>
      <c r="K335">
        <f>IF(J335="","", IFERROR(VLOOKUP(J335, 'Hidden_Data'!M:N, 2, FALSE), "0"))</f>
        <v/>
      </c>
      <c r="N335">
        <f>IF(M335="","", IFERROR(VLOOKUP(M335, 'Hidden_Data'!M:N, 2, FALSE), "0"))</f>
        <v/>
      </c>
      <c r="Q335">
        <f>IF(P335="","", IFERROR(VLOOKUP(P335, 'Hidden_Data'!M:N, 2, FALSE), "0"))</f>
        <v/>
      </c>
      <c r="T335">
        <f>IF(A335="","", SUM(IF(F335="Yes", 0, IF(E335="", 0, IFERROR(VALUE(MID(E335, SEARCH("(",E335)+1, 1)),0))), IF(I335="Yes", 0, IF(H335="", 0, IFERROR(VALUE(MID(H335, SEARCH("(",H335)+1, 1)),0))), IF(L335="Yes", 0, IF(K335="", 0, IFERROR(VALUE(MID(K335, SEARCH("(",K335)+1, 1)),0))), IF(O335="Yes", 0, IF(N335="", 0, IFERROR(VALUE(MID(N335, SEARCH("(",N335)+1, 1)),0))), IF(R335="Yes", 0, IF(Q335="", 0, IFERROR(VALUE(MID(Q335, SEARCH("(",Q335)+1, 1)),0)))))</f>
        <v/>
      </c>
      <c r="U335">
        <f>IF(A335="","", IF(T335&gt;=5, "Priority 1 (Critical)", IF(T335&gt;=3, "Priority 2 (Major)", IF(T335&gt;=1, "Priority 3 (Minor)", "Pass/Fixed"))))</f>
        <v/>
      </c>
      <c r="V335">
        <f>IF(A335="","", IF(T335&gt;0, "FAIL", "PASS"))</f>
        <v/>
      </c>
    </row>
    <row r="336">
      <c r="A336">
        <f>IF('Equipment Information'!A336="","", 'Equipment Information'!A336)</f>
        <v/>
      </c>
      <c r="B336">
        <f>IF('Equipment Information'!B336="","", 'Equipment Information'!B336)</f>
        <v/>
      </c>
      <c r="C336">
        <f>IF('Equipment Information'!C336="","", 'Equipment Information'!C336)</f>
        <v/>
      </c>
      <c r="E336">
        <f>IF(D336="","", IFERROR(VLOOKUP(D336, 'Hidden_Data'!M:N, 2, FALSE), "0"))</f>
        <v/>
      </c>
      <c r="H336">
        <f>IF(G336="","", IFERROR(VLOOKUP(G336, 'Hidden_Data'!M:N, 2, FALSE), "0"))</f>
        <v/>
      </c>
      <c r="K336">
        <f>IF(J336="","", IFERROR(VLOOKUP(J336, 'Hidden_Data'!M:N, 2, FALSE), "0"))</f>
        <v/>
      </c>
      <c r="N336">
        <f>IF(M336="","", IFERROR(VLOOKUP(M336, 'Hidden_Data'!M:N, 2, FALSE), "0"))</f>
        <v/>
      </c>
      <c r="Q336">
        <f>IF(P336="","", IFERROR(VLOOKUP(P336, 'Hidden_Data'!M:N, 2, FALSE), "0"))</f>
        <v/>
      </c>
      <c r="T336">
        <f>IF(A336="","", SUM(IF(F336="Yes", 0, IF(E336="", 0, IFERROR(VALUE(MID(E336, SEARCH("(",E336)+1, 1)),0))), IF(I336="Yes", 0, IF(H336="", 0, IFERROR(VALUE(MID(H336, SEARCH("(",H336)+1, 1)),0))), IF(L336="Yes", 0, IF(K336="", 0, IFERROR(VALUE(MID(K336, SEARCH("(",K336)+1, 1)),0))), IF(O336="Yes", 0, IF(N336="", 0, IFERROR(VALUE(MID(N336, SEARCH("(",N336)+1, 1)),0))), IF(R336="Yes", 0, IF(Q336="", 0, IFERROR(VALUE(MID(Q336, SEARCH("(",Q336)+1, 1)),0)))))</f>
        <v/>
      </c>
      <c r="U336">
        <f>IF(A336="","", IF(T336&gt;=5, "Priority 1 (Critical)", IF(T336&gt;=3, "Priority 2 (Major)", IF(T336&gt;=1, "Priority 3 (Minor)", "Pass/Fixed"))))</f>
        <v/>
      </c>
      <c r="V336">
        <f>IF(A336="","", IF(T336&gt;0, "FAIL", "PASS"))</f>
        <v/>
      </c>
    </row>
    <row r="337">
      <c r="A337">
        <f>IF('Equipment Information'!A337="","", 'Equipment Information'!A337)</f>
        <v/>
      </c>
      <c r="B337">
        <f>IF('Equipment Information'!B337="","", 'Equipment Information'!B337)</f>
        <v/>
      </c>
      <c r="C337">
        <f>IF('Equipment Information'!C337="","", 'Equipment Information'!C337)</f>
        <v/>
      </c>
      <c r="E337">
        <f>IF(D337="","", IFERROR(VLOOKUP(D337, 'Hidden_Data'!M:N, 2, FALSE), "0"))</f>
        <v/>
      </c>
      <c r="H337">
        <f>IF(G337="","", IFERROR(VLOOKUP(G337, 'Hidden_Data'!M:N, 2, FALSE), "0"))</f>
        <v/>
      </c>
      <c r="K337">
        <f>IF(J337="","", IFERROR(VLOOKUP(J337, 'Hidden_Data'!M:N, 2, FALSE), "0"))</f>
        <v/>
      </c>
      <c r="N337">
        <f>IF(M337="","", IFERROR(VLOOKUP(M337, 'Hidden_Data'!M:N, 2, FALSE), "0"))</f>
        <v/>
      </c>
      <c r="Q337">
        <f>IF(P337="","", IFERROR(VLOOKUP(P337, 'Hidden_Data'!M:N, 2, FALSE), "0"))</f>
        <v/>
      </c>
      <c r="T337">
        <f>IF(A337="","", SUM(IF(F337="Yes", 0, IF(E337="", 0, IFERROR(VALUE(MID(E337, SEARCH("(",E337)+1, 1)),0))), IF(I337="Yes", 0, IF(H337="", 0, IFERROR(VALUE(MID(H337, SEARCH("(",H337)+1, 1)),0))), IF(L337="Yes", 0, IF(K337="", 0, IFERROR(VALUE(MID(K337, SEARCH("(",K337)+1, 1)),0))), IF(O337="Yes", 0, IF(N337="", 0, IFERROR(VALUE(MID(N337, SEARCH("(",N337)+1, 1)),0))), IF(R337="Yes", 0, IF(Q337="", 0, IFERROR(VALUE(MID(Q337, SEARCH("(",Q337)+1, 1)),0)))))</f>
        <v/>
      </c>
      <c r="U337">
        <f>IF(A337="","", IF(T337&gt;=5, "Priority 1 (Critical)", IF(T337&gt;=3, "Priority 2 (Major)", IF(T337&gt;=1, "Priority 3 (Minor)", "Pass/Fixed"))))</f>
        <v/>
      </c>
      <c r="V337">
        <f>IF(A337="","", IF(T337&gt;0, "FAIL", "PASS"))</f>
        <v/>
      </c>
    </row>
    <row r="338">
      <c r="A338">
        <f>IF('Equipment Information'!A338="","", 'Equipment Information'!A338)</f>
        <v/>
      </c>
      <c r="B338">
        <f>IF('Equipment Information'!B338="","", 'Equipment Information'!B338)</f>
        <v/>
      </c>
      <c r="C338">
        <f>IF('Equipment Information'!C338="","", 'Equipment Information'!C338)</f>
        <v/>
      </c>
      <c r="E338">
        <f>IF(D338="","", IFERROR(VLOOKUP(D338, 'Hidden_Data'!M:N, 2, FALSE), "0"))</f>
        <v/>
      </c>
      <c r="H338">
        <f>IF(G338="","", IFERROR(VLOOKUP(G338, 'Hidden_Data'!M:N, 2, FALSE), "0"))</f>
        <v/>
      </c>
      <c r="K338">
        <f>IF(J338="","", IFERROR(VLOOKUP(J338, 'Hidden_Data'!M:N, 2, FALSE), "0"))</f>
        <v/>
      </c>
      <c r="N338">
        <f>IF(M338="","", IFERROR(VLOOKUP(M338, 'Hidden_Data'!M:N, 2, FALSE), "0"))</f>
        <v/>
      </c>
      <c r="Q338">
        <f>IF(P338="","", IFERROR(VLOOKUP(P338, 'Hidden_Data'!M:N, 2, FALSE), "0"))</f>
        <v/>
      </c>
      <c r="T338">
        <f>IF(A338="","", SUM(IF(F338="Yes", 0, IF(E338="", 0, IFERROR(VALUE(MID(E338, SEARCH("(",E338)+1, 1)),0))), IF(I338="Yes", 0, IF(H338="", 0, IFERROR(VALUE(MID(H338, SEARCH("(",H338)+1, 1)),0))), IF(L338="Yes", 0, IF(K338="", 0, IFERROR(VALUE(MID(K338, SEARCH("(",K338)+1, 1)),0))), IF(O338="Yes", 0, IF(N338="", 0, IFERROR(VALUE(MID(N338, SEARCH("(",N338)+1, 1)),0))), IF(R338="Yes", 0, IF(Q338="", 0, IFERROR(VALUE(MID(Q338, SEARCH("(",Q338)+1, 1)),0)))))</f>
        <v/>
      </c>
      <c r="U338">
        <f>IF(A338="","", IF(T338&gt;=5, "Priority 1 (Critical)", IF(T338&gt;=3, "Priority 2 (Major)", IF(T338&gt;=1, "Priority 3 (Minor)", "Pass/Fixed"))))</f>
        <v/>
      </c>
      <c r="V338">
        <f>IF(A338="","", IF(T338&gt;0, "FAIL", "PASS"))</f>
        <v/>
      </c>
    </row>
    <row r="339">
      <c r="A339">
        <f>IF('Equipment Information'!A339="","", 'Equipment Information'!A339)</f>
        <v/>
      </c>
      <c r="B339">
        <f>IF('Equipment Information'!B339="","", 'Equipment Information'!B339)</f>
        <v/>
      </c>
      <c r="C339">
        <f>IF('Equipment Information'!C339="","", 'Equipment Information'!C339)</f>
        <v/>
      </c>
      <c r="E339">
        <f>IF(D339="","", IFERROR(VLOOKUP(D339, 'Hidden_Data'!M:N, 2, FALSE), "0"))</f>
        <v/>
      </c>
      <c r="H339">
        <f>IF(G339="","", IFERROR(VLOOKUP(G339, 'Hidden_Data'!M:N, 2, FALSE), "0"))</f>
        <v/>
      </c>
      <c r="K339">
        <f>IF(J339="","", IFERROR(VLOOKUP(J339, 'Hidden_Data'!M:N, 2, FALSE), "0"))</f>
        <v/>
      </c>
      <c r="N339">
        <f>IF(M339="","", IFERROR(VLOOKUP(M339, 'Hidden_Data'!M:N, 2, FALSE), "0"))</f>
        <v/>
      </c>
      <c r="Q339">
        <f>IF(P339="","", IFERROR(VLOOKUP(P339, 'Hidden_Data'!M:N, 2, FALSE), "0"))</f>
        <v/>
      </c>
      <c r="T339">
        <f>IF(A339="","", SUM(IF(F339="Yes", 0, IF(E339="", 0, IFERROR(VALUE(MID(E339, SEARCH("(",E339)+1, 1)),0))), IF(I339="Yes", 0, IF(H339="", 0, IFERROR(VALUE(MID(H339, SEARCH("(",H339)+1, 1)),0))), IF(L339="Yes", 0, IF(K339="", 0, IFERROR(VALUE(MID(K339, SEARCH("(",K339)+1, 1)),0))), IF(O339="Yes", 0, IF(N339="", 0, IFERROR(VALUE(MID(N339, SEARCH("(",N339)+1, 1)),0))), IF(R339="Yes", 0, IF(Q339="", 0, IFERROR(VALUE(MID(Q339, SEARCH("(",Q339)+1, 1)),0)))))</f>
        <v/>
      </c>
      <c r="U339">
        <f>IF(A339="","", IF(T339&gt;=5, "Priority 1 (Critical)", IF(T339&gt;=3, "Priority 2 (Major)", IF(T339&gt;=1, "Priority 3 (Minor)", "Pass/Fixed"))))</f>
        <v/>
      </c>
      <c r="V339">
        <f>IF(A339="","", IF(T339&gt;0, "FAIL", "PASS"))</f>
        <v/>
      </c>
    </row>
    <row r="340">
      <c r="A340">
        <f>IF('Equipment Information'!A340="","", 'Equipment Information'!A340)</f>
        <v/>
      </c>
      <c r="B340">
        <f>IF('Equipment Information'!B340="","", 'Equipment Information'!B340)</f>
        <v/>
      </c>
      <c r="C340">
        <f>IF('Equipment Information'!C340="","", 'Equipment Information'!C340)</f>
        <v/>
      </c>
      <c r="E340">
        <f>IF(D340="","", IFERROR(VLOOKUP(D340, 'Hidden_Data'!M:N, 2, FALSE), "0"))</f>
        <v/>
      </c>
      <c r="H340">
        <f>IF(G340="","", IFERROR(VLOOKUP(G340, 'Hidden_Data'!M:N, 2, FALSE), "0"))</f>
        <v/>
      </c>
      <c r="K340">
        <f>IF(J340="","", IFERROR(VLOOKUP(J340, 'Hidden_Data'!M:N, 2, FALSE), "0"))</f>
        <v/>
      </c>
      <c r="N340">
        <f>IF(M340="","", IFERROR(VLOOKUP(M340, 'Hidden_Data'!M:N, 2, FALSE), "0"))</f>
        <v/>
      </c>
      <c r="Q340">
        <f>IF(P340="","", IFERROR(VLOOKUP(P340, 'Hidden_Data'!M:N, 2, FALSE), "0"))</f>
        <v/>
      </c>
      <c r="T340">
        <f>IF(A340="","", SUM(IF(F340="Yes", 0, IF(E340="", 0, IFERROR(VALUE(MID(E340, SEARCH("(",E340)+1, 1)),0))), IF(I340="Yes", 0, IF(H340="", 0, IFERROR(VALUE(MID(H340, SEARCH("(",H340)+1, 1)),0))), IF(L340="Yes", 0, IF(K340="", 0, IFERROR(VALUE(MID(K340, SEARCH("(",K340)+1, 1)),0))), IF(O340="Yes", 0, IF(N340="", 0, IFERROR(VALUE(MID(N340, SEARCH("(",N340)+1, 1)),0))), IF(R340="Yes", 0, IF(Q340="", 0, IFERROR(VALUE(MID(Q340, SEARCH("(",Q340)+1, 1)),0)))))</f>
        <v/>
      </c>
      <c r="U340">
        <f>IF(A340="","", IF(T340&gt;=5, "Priority 1 (Critical)", IF(T340&gt;=3, "Priority 2 (Major)", IF(T340&gt;=1, "Priority 3 (Minor)", "Pass/Fixed"))))</f>
        <v/>
      </c>
      <c r="V340">
        <f>IF(A340="","", IF(T340&gt;0, "FAIL", "PASS"))</f>
        <v/>
      </c>
    </row>
    <row r="341">
      <c r="A341">
        <f>IF('Equipment Information'!A341="","", 'Equipment Information'!A341)</f>
        <v/>
      </c>
      <c r="B341">
        <f>IF('Equipment Information'!B341="","", 'Equipment Information'!B341)</f>
        <v/>
      </c>
      <c r="C341">
        <f>IF('Equipment Information'!C341="","", 'Equipment Information'!C341)</f>
        <v/>
      </c>
      <c r="E341">
        <f>IF(D341="","", IFERROR(VLOOKUP(D341, 'Hidden_Data'!M:N, 2, FALSE), "0"))</f>
        <v/>
      </c>
      <c r="H341">
        <f>IF(G341="","", IFERROR(VLOOKUP(G341, 'Hidden_Data'!M:N, 2, FALSE), "0"))</f>
        <v/>
      </c>
      <c r="K341">
        <f>IF(J341="","", IFERROR(VLOOKUP(J341, 'Hidden_Data'!M:N, 2, FALSE), "0"))</f>
        <v/>
      </c>
      <c r="N341">
        <f>IF(M341="","", IFERROR(VLOOKUP(M341, 'Hidden_Data'!M:N, 2, FALSE), "0"))</f>
        <v/>
      </c>
      <c r="Q341">
        <f>IF(P341="","", IFERROR(VLOOKUP(P341, 'Hidden_Data'!M:N, 2, FALSE), "0"))</f>
        <v/>
      </c>
      <c r="T341">
        <f>IF(A341="","", SUM(IF(F341="Yes", 0, IF(E341="", 0, IFERROR(VALUE(MID(E341, SEARCH("(",E341)+1, 1)),0))), IF(I341="Yes", 0, IF(H341="", 0, IFERROR(VALUE(MID(H341, SEARCH("(",H341)+1, 1)),0))), IF(L341="Yes", 0, IF(K341="", 0, IFERROR(VALUE(MID(K341, SEARCH("(",K341)+1, 1)),0))), IF(O341="Yes", 0, IF(N341="", 0, IFERROR(VALUE(MID(N341, SEARCH("(",N341)+1, 1)),0))), IF(R341="Yes", 0, IF(Q341="", 0, IFERROR(VALUE(MID(Q341, SEARCH("(",Q341)+1, 1)),0)))))</f>
        <v/>
      </c>
      <c r="U341">
        <f>IF(A341="","", IF(T341&gt;=5, "Priority 1 (Critical)", IF(T341&gt;=3, "Priority 2 (Major)", IF(T341&gt;=1, "Priority 3 (Minor)", "Pass/Fixed"))))</f>
        <v/>
      </c>
      <c r="V341">
        <f>IF(A341="","", IF(T341&gt;0, "FAIL", "PASS"))</f>
        <v/>
      </c>
    </row>
    <row r="342">
      <c r="A342">
        <f>IF('Equipment Information'!A342="","", 'Equipment Information'!A342)</f>
        <v/>
      </c>
      <c r="B342">
        <f>IF('Equipment Information'!B342="","", 'Equipment Information'!B342)</f>
        <v/>
      </c>
      <c r="C342">
        <f>IF('Equipment Information'!C342="","", 'Equipment Information'!C342)</f>
        <v/>
      </c>
      <c r="E342">
        <f>IF(D342="","", IFERROR(VLOOKUP(D342, 'Hidden_Data'!M:N, 2, FALSE), "0"))</f>
        <v/>
      </c>
      <c r="H342">
        <f>IF(G342="","", IFERROR(VLOOKUP(G342, 'Hidden_Data'!M:N, 2, FALSE), "0"))</f>
        <v/>
      </c>
      <c r="K342">
        <f>IF(J342="","", IFERROR(VLOOKUP(J342, 'Hidden_Data'!M:N, 2, FALSE), "0"))</f>
        <v/>
      </c>
      <c r="N342">
        <f>IF(M342="","", IFERROR(VLOOKUP(M342, 'Hidden_Data'!M:N, 2, FALSE), "0"))</f>
        <v/>
      </c>
      <c r="Q342">
        <f>IF(P342="","", IFERROR(VLOOKUP(P342, 'Hidden_Data'!M:N, 2, FALSE), "0"))</f>
        <v/>
      </c>
      <c r="T342">
        <f>IF(A342="","", SUM(IF(F342="Yes", 0, IF(E342="", 0, IFERROR(VALUE(MID(E342, SEARCH("(",E342)+1, 1)),0))), IF(I342="Yes", 0, IF(H342="", 0, IFERROR(VALUE(MID(H342, SEARCH("(",H342)+1, 1)),0))), IF(L342="Yes", 0, IF(K342="", 0, IFERROR(VALUE(MID(K342, SEARCH("(",K342)+1, 1)),0))), IF(O342="Yes", 0, IF(N342="", 0, IFERROR(VALUE(MID(N342, SEARCH("(",N342)+1, 1)),0))), IF(R342="Yes", 0, IF(Q342="", 0, IFERROR(VALUE(MID(Q342, SEARCH("(",Q342)+1, 1)),0)))))</f>
        <v/>
      </c>
      <c r="U342">
        <f>IF(A342="","", IF(T342&gt;=5, "Priority 1 (Critical)", IF(T342&gt;=3, "Priority 2 (Major)", IF(T342&gt;=1, "Priority 3 (Minor)", "Pass/Fixed"))))</f>
        <v/>
      </c>
      <c r="V342">
        <f>IF(A342="","", IF(T342&gt;0, "FAIL", "PASS"))</f>
        <v/>
      </c>
    </row>
    <row r="343">
      <c r="A343">
        <f>IF('Equipment Information'!A343="","", 'Equipment Information'!A343)</f>
        <v/>
      </c>
      <c r="B343">
        <f>IF('Equipment Information'!B343="","", 'Equipment Information'!B343)</f>
        <v/>
      </c>
      <c r="C343">
        <f>IF('Equipment Information'!C343="","", 'Equipment Information'!C343)</f>
        <v/>
      </c>
      <c r="E343">
        <f>IF(D343="","", IFERROR(VLOOKUP(D343, 'Hidden_Data'!M:N, 2, FALSE), "0"))</f>
        <v/>
      </c>
      <c r="H343">
        <f>IF(G343="","", IFERROR(VLOOKUP(G343, 'Hidden_Data'!M:N, 2, FALSE), "0"))</f>
        <v/>
      </c>
      <c r="K343">
        <f>IF(J343="","", IFERROR(VLOOKUP(J343, 'Hidden_Data'!M:N, 2, FALSE), "0"))</f>
        <v/>
      </c>
      <c r="N343">
        <f>IF(M343="","", IFERROR(VLOOKUP(M343, 'Hidden_Data'!M:N, 2, FALSE), "0"))</f>
        <v/>
      </c>
      <c r="Q343">
        <f>IF(P343="","", IFERROR(VLOOKUP(P343, 'Hidden_Data'!M:N, 2, FALSE), "0"))</f>
        <v/>
      </c>
      <c r="T343">
        <f>IF(A343="","", SUM(IF(F343="Yes", 0, IF(E343="", 0, IFERROR(VALUE(MID(E343, SEARCH("(",E343)+1, 1)),0))), IF(I343="Yes", 0, IF(H343="", 0, IFERROR(VALUE(MID(H343, SEARCH("(",H343)+1, 1)),0))), IF(L343="Yes", 0, IF(K343="", 0, IFERROR(VALUE(MID(K343, SEARCH("(",K343)+1, 1)),0))), IF(O343="Yes", 0, IF(N343="", 0, IFERROR(VALUE(MID(N343, SEARCH("(",N343)+1, 1)),0))), IF(R343="Yes", 0, IF(Q343="", 0, IFERROR(VALUE(MID(Q343, SEARCH("(",Q343)+1, 1)),0)))))</f>
        <v/>
      </c>
      <c r="U343">
        <f>IF(A343="","", IF(T343&gt;=5, "Priority 1 (Critical)", IF(T343&gt;=3, "Priority 2 (Major)", IF(T343&gt;=1, "Priority 3 (Minor)", "Pass/Fixed"))))</f>
        <v/>
      </c>
      <c r="V343">
        <f>IF(A343="","", IF(T343&gt;0, "FAIL", "PASS"))</f>
        <v/>
      </c>
    </row>
    <row r="344">
      <c r="A344">
        <f>IF('Equipment Information'!A344="","", 'Equipment Information'!A344)</f>
        <v/>
      </c>
      <c r="B344">
        <f>IF('Equipment Information'!B344="","", 'Equipment Information'!B344)</f>
        <v/>
      </c>
      <c r="C344">
        <f>IF('Equipment Information'!C344="","", 'Equipment Information'!C344)</f>
        <v/>
      </c>
      <c r="E344">
        <f>IF(D344="","", IFERROR(VLOOKUP(D344, 'Hidden_Data'!M:N, 2, FALSE), "0"))</f>
        <v/>
      </c>
      <c r="H344">
        <f>IF(G344="","", IFERROR(VLOOKUP(G344, 'Hidden_Data'!M:N, 2, FALSE), "0"))</f>
        <v/>
      </c>
      <c r="K344">
        <f>IF(J344="","", IFERROR(VLOOKUP(J344, 'Hidden_Data'!M:N, 2, FALSE), "0"))</f>
        <v/>
      </c>
      <c r="N344">
        <f>IF(M344="","", IFERROR(VLOOKUP(M344, 'Hidden_Data'!M:N, 2, FALSE), "0"))</f>
        <v/>
      </c>
      <c r="Q344">
        <f>IF(P344="","", IFERROR(VLOOKUP(P344, 'Hidden_Data'!M:N, 2, FALSE), "0"))</f>
        <v/>
      </c>
      <c r="T344">
        <f>IF(A344="","", SUM(IF(F344="Yes", 0, IF(E344="", 0, IFERROR(VALUE(MID(E344, SEARCH("(",E344)+1, 1)),0))), IF(I344="Yes", 0, IF(H344="", 0, IFERROR(VALUE(MID(H344, SEARCH("(",H344)+1, 1)),0))), IF(L344="Yes", 0, IF(K344="", 0, IFERROR(VALUE(MID(K344, SEARCH("(",K344)+1, 1)),0))), IF(O344="Yes", 0, IF(N344="", 0, IFERROR(VALUE(MID(N344, SEARCH("(",N344)+1, 1)),0))), IF(R344="Yes", 0, IF(Q344="", 0, IFERROR(VALUE(MID(Q344, SEARCH("(",Q344)+1, 1)),0)))))</f>
        <v/>
      </c>
      <c r="U344">
        <f>IF(A344="","", IF(T344&gt;=5, "Priority 1 (Critical)", IF(T344&gt;=3, "Priority 2 (Major)", IF(T344&gt;=1, "Priority 3 (Minor)", "Pass/Fixed"))))</f>
        <v/>
      </c>
      <c r="V344">
        <f>IF(A344="","", IF(T344&gt;0, "FAIL", "PASS"))</f>
        <v/>
      </c>
    </row>
    <row r="345">
      <c r="A345">
        <f>IF('Equipment Information'!A345="","", 'Equipment Information'!A345)</f>
        <v/>
      </c>
      <c r="B345">
        <f>IF('Equipment Information'!B345="","", 'Equipment Information'!B345)</f>
        <v/>
      </c>
      <c r="C345">
        <f>IF('Equipment Information'!C345="","", 'Equipment Information'!C345)</f>
        <v/>
      </c>
      <c r="E345">
        <f>IF(D345="","", IFERROR(VLOOKUP(D345, 'Hidden_Data'!M:N, 2, FALSE), "0"))</f>
        <v/>
      </c>
      <c r="H345">
        <f>IF(G345="","", IFERROR(VLOOKUP(G345, 'Hidden_Data'!M:N, 2, FALSE), "0"))</f>
        <v/>
      </c>
      <c r="K345">
        <f>IF(J345="","", IFERROR(VLOOKUP(J345, 'Hidden_Data'!M:N, 2, FALSE), "0"))</f>
        <v/>
      </c>
      <c r="N345">
        <f>IF(M345="","", IFERROR(VLOOKUP(M345, 'Hidden_Data'!M:N, 2, FALSE), "0"))</f>
        <v/>
      </c>
      <c r="Q345">
        <f>IF(P345="","", IFERROR(VLOOKUP(P345, 'Hidden_Data'!M:N, 2, FALSE), "0"))</f>
        <v/>
      </c>
      <c r="T345">
        <f>IF(A345="","", SUM(IF(F345="Yes", 0, IF(E345="", 0, IFERROR(VALUE(MID(E345, SEARCH("(",E345)+1, 1)),0))), IF(I345="Yes", 0, IF(H345="", 0, IFERROR(VALUE(MID(H345, SEARCH("(",H345)+1, 1)),0))), IF(L345="Yes", 0, IF(K345="", 0, IFERROR(VALUE(MID(K345, SEARCH("(",K345)+1, 1)),0))), IF(O345="Yes", 0, IF(N345="", 0, IFERROR(VALUE(MID(N345, SEARCH("(",N345)+1, 1)),0))), IF(R345="Yes", 0, IF(Q345="", 0, IFERROR(VALUE(MID(Q345, SEARCH("(",Q345)+1, 1)),0)))))</f>
        <v/>
      </c>
      <c r="U345">
        <f>IF(A345="","", IF(T345&gt;=5, "Priority 1 (Critical)", IF(T345&gt;=3, "Priority 2 (Major)", IF(T345&gt;=1, "Priority 3 (Minor)", "Pass/Fixed"))))</f>
        <v/>
      </c>
      <c r="V345">
        <f>IF(A345="","", IF(T345&gt;0, "FAIL", "PASS"))</f>
        <v/>
      </c>
    </row>
    <row r="346">
      <c r="A346">
        <f>IF('Equipment Information'!A346="","", 'Equipment Information'!A346)</f>
        <v/>
      </c>
      <c r="B346">
        <f>IF('Equipment Information'!B346="","", 'Equipment Information'!B346)</f>
        <v/>
      </c>
      <c r="C346">
        <f>IF('Equipment Information'!C346="","", 'Equipment Information'!C346)</f>
        <v/>
      </c>
      <c r="E346">
        <f>IF(D346="","", IFERROR(VLOOKUP(D346, 'Hidden_Data'!M:N, 2, FALSE), "0"))</f>
        <v/>
      </c>
      <c r="H346">
        <f>IF(G346="","", IFERROR(VLOOKUP(G346, 'Hidden_Data'!M:N, 2, FALSE), "0"))</f>
        <v/>
      </c>
      <c r="K346">
        <f>IF(J346="","", IFERROR(VLOOKUP(J346, 'Hidden_Data'!M:N, 2, FALSE), "0"))</f>
        <v/>
      </c>
      <c r="N346">
        <f>IF(M346="","", IFERROR(VLOOKUP(M346, 'Hidden_Data'!M:N, 2, FALSE), "0"))</f>
        <v/>
      </c>
      <c r="Q346">
        <f>IF(P346="","", IFERROR(VLOOKUP(P346, 'Hidden_Data'!M:N, 2, FALSE), "0"))</f>
        <v/>
      </c>
      <c r="T346">
        <f>IF(A346="","", SUM(IF(F346="Yes", 0, IF(E346="", 0, IFERROR(VALUE(MID(E346, SEARCH("(",E346)+1, 1)),0))), IF(I346="Yes", 0, IF(H346="", 0, IFERROR(VALUE(MID(H346, SEARCH("(",H346)+1, 1)),0))), IF(L346="Yes", 0, IF(K346="", 0, IFERROR(VALUE(MID(K346, SEARCH("(",K346)+1, 1)),0))), IF(O346="Yes", 0, IF(N346="", 0, IFERROR(VALUE(MID(N346, SEARCH("(",N346)+1, 1)),0))), IF(R346="Yes", 0, IF(Q346="", 0, IFERROR(VALUE(MID(Q346, SEARCH("(",Q346)+1, 1)),0)))))</f>
        <v/>
      </c>
      <c r="U346">
        <f>IF(A346="","", IF(T346&gt;=5, "Priority 1 (Critical)", IF(T346&gt;=3, "Priority 2 (Major)", IF(T346&gt;=1, "Priority 3 (Minor)", "Pass/Fixed"))))</f>
        <v/>
      </c>
      <c r="V346">
        <f>IF(A346="","", IF(T346&gt;0, "FAIL", "PASS"))</f>
        <v/>
      </c>
    </row>
    <row r="347">
      <c r="A347">
        <f>IF('Equipment Information'!A347="","", 'Equipment Information'!A347)</f>
        <v/>
      </c>
      <c r="B347">
        <f>IF('Equipment Information'!B347="","", 'Equipment Information'!B347)</f>
        <v/>
      </c>
      <c r="C347">
        <f>IF('Equipment Information'!C347="","", 'Equipment Information'!C347)</f>
        <v/>
      </c>
      <c r="E347">
        <f>IF(D347="","", IFERROR(VLOOKUP(D347, 'Hidden_Data'!M:N, 2, FALSE), "0"))</f>
        <v/>
      </c>
      <c r="H347">
        <f>IF(G347="","", IFERROR(VLOOKUP(G347, 'Hidden_Data'!M:N, 2, FALSE), "0"))</f>
        <v/>
      </c>
      <c r="K347">
        <f>IF(J347="","", IFERROR(VLOOKUP(J347, 'Hidden_Data'!M:N, 2, FALSE), "0"))</f>
        <v/>
      </c>
      <c r="N347">
        <f>IF(M347="","", IFERROR(VLOOKUP(M347, 'Hidden_Data'!M:N, 2, FALSE), "0"))</f>
        <v/>
      </c>
      <c r="Q347">
        <f>IF(P347="","", IFERROR(VLOOKUP(P347, 'Hidden_Data'!M:N, 2, FALSE), "0"))</f>
        <v/>
      </c>
      <c r="T347">
        <f>IF(A347="","", SUM(IF(F347="Yes", 0, IF(E347="", 0, IFERROR(VALUE(MID(E347, SEARCH("(",E347)+1, 1)),0))), IF(I347="Yes", 0, IF(H347="", 0, IFERROR(VALUE(MID(H347, SEARCH("(",H347)+1, 1)),0))), IF(L347="Yes", 0, IF(K347="", 0, IFERROR(VALUE(MID(K347, SEARCH("(",K347)+1, 1)),0))), IF(O347="Yes", 0, IF(N347="", 0, IFERROR(VALUE(MID(N347, SEARCH("(",N347)+1, 1)),0))), IF(R347="Yes", 0, IF(Q347="", 0, IFERROR(VALUE(MID(Q347, SEARCH("(",Q347)+1, 1)),0)))))</f>
        <v/>
      </c>
      <c r="U347">
        <f>IF(A347="","", IF(T347&gt;=5, "Priority 1 (Critical)", IF(T347&gt;=3, "Priority 2 (Major)", IF(T347&gt;=1, "Priority 3 (Minor)", "Pass/Fixed"))))</f>
        <v/>
      </c>
      <c r="V347">
        <f>IF(A347="","", IF(T347&gt;0, "FAIL", "PASS"))</f>
        <v/>
      </c>
    </row>
    <row r="348">
      <c r="A348">
        <f>IF('Equipment Information'!A348="","", 'Equipment Information'!A348)</f>
        <v/>
      </c>
      <c r="B348">
        <f>IF('Equipment Information'!B348="","", 'Equipment Information'!B348)</f>
        <v/>
      </c>
      <c r="C348">
        <f>IF('Equipment Information'!C348="","", 'Equipment Information'!C348)</f>
        <v/>
      </c>
      <c r="E348">
        <f>IF(D348="","", IFERROR(VLOOKUP(D348, 'Hidden_Data'!M:N, 2, FALSE), "0"))</f>
        <v/>
      </c>
      <c r="H348">
        <f>IF(G348="","", IFERROR(VLOOKUP(G348, 'Hidden_Data'!M:N, 2, FALSE), "0"))</f>
        <v/>
      </c>
      <c r="K348">
        <f>IF(J348="","", IFERROR(VLOOKUP(J348, 'Hidden_Data'!M:N, 2, FALSE), "0"))</f>
        <v/>
      </c>
      <c r="N348">
        <f>IF(M348="","", IFERROR(VLOOKUP(M348, 'Hidden_Data'!M:N, 2, FALSE), "0"))</f>
        <v/>
      </c>
      <c r="Q348">
        <f>IF(P348="","", IFERROR(VLOOKUP(P348, 'Hidden_Data'!M:N, 2, FALSE), "0"))</f>
        <v/>
      </c>
      <c r="T348">
        <f>IF(A348="","", SUM(IF(F348="Yes", 0, IF(E348="", 0, IFERROR(VALUE(MID(E348, SEARCH("(",E348)+1, 1)),0))), IF(I348="Yes", 0, IF(H348="", 0, IFERROR(VALUE(MID(H348, SEARCH("(",H348)+1, 1)),0))), IF(L348="Yes", 0, IF(K348="", 0, IFERROR(VALUE(MID(K348, SEARCH("(",K348)+1, 1)),0))), IF(O348="Yes", 0, IF(N348="", 0, IFERROR(VALUE(MID(N348, SEARCH("(",N348)+1, 1)),0))), IF(R348="Yes", 0, IF(Q348="", 0, IFERROR(VALUE(MID(Q348, SEARCH("(",Q348)+1, 1)),0)))))</f>
        <v/>
      </c>
      <c r="U348">
        <f>IF(A348="","", IF(T348&gt;=5, "Priority 1 (Critical)", IF(T348&gt;=3, "Priority 2 (Major)", IF(T348&gt;=1, "Priority 3 (Minor)", "Pass/Fixed"))))</f>
        <v/>
      </c>
      <c r="V348">
        <f>IF(A348="","", IF(T348&gt;0, "FAIL", "PASS"))</f>
        <v/>
      </c>
    </row>
    <row r="349">
      <c r="A349">
        <f>IF('Equipment Information'!A349="","", 'Equipment Information'!A349)</f>
        <v/>
      </c>
      <c r="B349">
        <f>IF('Equipment Information'!B349="","", 'Equipment Information'!B349)</f>
        <v/>
      </c>
      <c r="C349">
        <f>IF('Equipment Information'!C349="","", 'Equipment Information'!C349)</f>
        <v/>
      </c>
      <c r="E349">
        <f>IF(D349="","", IFERROR(VLOOKUP(D349, 'Hidden_Data'!M:N, 2, FALSE), "0"))</f>
        <v/>
      </c>
      <c r="H349">
        <f>IF(G349="","", IFERROR(VLOOKUP(G349, 'Hidden_Data'!M:N, 2, FALSE), "0"))</f>
        <v/>
      </c>
      <c r="K349">
        <f>IF(J349="","", IFERROR(VLOOKUP(J349, 'Hidden_Data'!M:N, 2, FALSE), "0"))</f>
        <v/>
      </c>
      <c r="N349">
        <f>IF(M349="","", IFERROR(VLOOKUP(M349, 'Hidden_Data'!M:N, 2, FALSE), "0"))</f>
        <v/>
      </c>
      <c r="Q349">
        <f>IF(P349="","", IFERROR(VLOOKUP(P349, 'Hidden_Data'!M:N, 2, FALSE), "0"))</f>
        <v/>
      </c>
      <c r="T349">
        <f>IF(A349="","", SUM(IF(F349="Yes", 0, IF(E349="", 0, IFERROR(VALUE(MID(E349, SEARCH("(",E349)+1, 1)),0))), IF(I349="Yes", 0, IF(H349="", 0, IFERROR(VALUE(MID(H349, SEARCH("(",H349)+1, 1)),0))), IF(L349="Yes", 0, IF(K349="", 0, IFERROR(VALUE(MID(K349, SEARCH("(",K349)+1, 1)),0))), IF(O349="Yes", 0, IF(N349="", 0, IFERROR(VALUE(MID(N349, SEARCH("(",N349)+1, 1)),0))), IF(R349="Yes", 0, IF(Q349="", 0, IFERROR(VALUE(MID(Q349, SEARCH("(",Q349)+1, 1)),0)))))</f>
        <v/>
      </c>
      <c r="U349">
        <f>IF(A349="","", IF(T349&gt;=5, "Priority 1 (Critical)", IF(T349&gt;=3, "Priority 2 (Major)", IF(T349&gt;=1, "Priority 3 (Minor)", "Pass/Fixed"))))</f>
        <v/>
      </c>
      <c r="V349">
        <f>IF(A349="","", IF(T349&gt;0, "FAIL", "PASS"))</f>
        <v/>
      </c>
    </row>
    <row r="350">
      <c r="A350">
        <f>IF('Equipment Information'!A350="","", 'Equipment Information'!A350)</f>
        <v/>
      </c>
      <c r="B350">
        <f>IF('Equipment Information'!B350="","", 'Equipment Information'!B350)</f>
        <v/>
      </c>
      <c r="C350">
        <f>IF('Equipment Information'!C350="","", 'Equipment Information'!C350)</f>
        <v/>
      </c>
      <c r="E350">
        <f>IF(D350="","", IFERROR(VLOOKUP(D350, 'Hidden_Data'!M:N, 2, FALSE), "0"))</f>
        <v/>
      </c>
      <c r="H350">
        <f>IF(G350="","", IFERROR(VLOOKUP(G350, 'Hidden_Data'!M:N, 2, FALSE), "0"))</f>
        <v/>
      </c>
      <c r="K350">
        <f>IF(J350="","", IFERROR(VLOOKUP(J350, 'Hidden_Data'!M:N, 2, FALSE), "0"))</f>
        <v/>
      </c>
      <c r="N350">
        <f>IF(M350="","", IFERROR(VLOOKUP(M350, 'Hidden_Data'!M:N, 2, FALSE), "0"))</f>
        <v/>
      </c>
      <c r="Q350">
        <f>IF(P350="","", IFERROR(VLOOKUP(P350, 'Hidden_Data'!M:N, 2, FALSE), "0"))</f>
        <v/>
      </c>
      <c r="T350">
        <f>IF(A350="","", SUM(IF(F350="Yes", 0, IF(E350="", 0, IFERROR(VALUE(MID(E350, SEARCH("(",E350)+1, 1)),0))), IF(I350="Yes", 0, IF(H350="", 0, IFERROR(VALUE(MID(H350, SEARCH("(",H350)+1, 1)),0))), IF(L350="Yes", 0, IF(K350="", 0, IFERROR(VALUE(MID(K350, SEARCH("(",K350)+1, 1)),0))), IF(O350="Yes", 0, IF(N350="", 0, IFERROR(VALUE(MID(N350, SEARCH("(",N350)+1, 1)),0))), IF(R350="Yes", 0, IF(Q350="", 0, IFERROR(VALUE(MID(Q350, SEARCH("(",Q350)+1, 1)),0)))))</f>
        <v/>
      </c>
      <c r="U350">
        <f>IF(A350="","", IF(T350&gt;=5, "Priority 1 (Critical)", IF(T350&gt;=3, "Priority 2 (Major)", IF(T350&gt;=1, "Priority 3 (Minor)", "Pass/Fixed"))))</f>
        <v/>
      </c>
      <c r="V350">
        <f>IF(A350="","", IF(T350&gt;0, "FAIL", "PASS"))</f>
        <v/>
      </c>
    </row>
    <row r="351">
      <c r="A351">
        <f>IF('Equipment Information'!A351="","", 'Equipment Information'!A351)</f>
        <v/>
      </c>
      <c r="B351">
        <f>IF('Equipment Information'!B351="","", 'Equipment Information'!B351)</f>
        <v/>
      </c>
      <c r="C351">
        <f>IF('Equipment Information'!C351="","", 'Equipment Information'!C351)</f>
        <v/>
      </c>
      <c r="E351">
        <f>IF(D351="","", IFERROR(VLOOKUP(D351, 'Hidden_Data'!M:N, 2, FALSE), "0"))</f>
        <v/>
      </c>
      <c r="H351">
        <f>IF(G351="","", IFERROR(VLOOKUP(G351, 'Hidden_Data'!M:N, 2, FALSE), "0"))</f>
        <v/>
      </c>
      <c r="K351">
        <f>IF(J351="","", IFERROR(VLOOKUP(J351, 'Hidden_Data'!M:N, 2, FALSE), "0"))</f>
        <v/>
      </c>
      <c r="N351">
        <f>IF(M351="","", IFERROR(VLOOKUP(M351, 'Hidden_Data'!M:N, 2, FALSE), "0"))</f>
        <v/>
      </c>
      <c r="Q351">
        <f>IF(P351="","", IFERROR(VLOOKUP(P351, 'Hidden_Data'!M:N, 2, FALSE), "0"))</f>
        <v/>
      </c>
      <c r="T351">
        <f>IF(A351="","", SUM(IF(F351="Yes", 0, IF(E351="", 0, IFERROR(VALUE(MID(E351, SEARCH("(",E351)+1, 1)),0))), IF(I351="Yes", 0, IF(H351="", 0, IFERROR(VALUE(MID(H351, SEARCH("(",H351)+1, 1)),0))), IF(L351="Yes", 0, IF(K351="", 0, IFERROR(VALUE(MID(K351, SEARCH("(",K351)+1, 1)),0))), IF(O351="Yes", 0, IF(N351="", 0, IFERROR(VALUE(MID(N351, SEARCH("(",N351)+1, 1)),0))), IF(R351="Yes", 0, IF(Q351="", 0, IFERROR(VALUE(MID(Q351, SEARCH("(",Q351)+1, 1)),0)))))</f>
        <v/>
      </c>
      <c r="U351">
        <f>IF(A351="","", IF(T351&gt;=5, "Priority 1 (Critical)", IF(T351&gt;=3, "Priority 2 (Major)", IF(T351&gt;=1, "Priority 3 (Minor)", "Pass/Fixed"))))</f>
        <v/>
      </c>
      <c r="V351">
        <f>IF(A351="","", IF(T351&gt;0, "FAIL", "PASS"))</f>
        <v/>
      </c>
    </row>
    <row r="352">
      <c r="A352">
        <f>IF('Equipment Information'!A352="","", 'Equipment Information'!A352)</f>
        <v/>
      </c>
      <c r="B352">
        <f>IF('Equipment Information'!B352="","", 'Equipment Information'!B352)</f>
        <v/>
      </c>
      <c r="C352">
        <f>IF('Equipment Information'!C352="","", 'Equipment Information'!C352)</f>
        <v/>
      </c>
      <c r="E352">
        <f>IF(D352="","", IFERROR(VLOOKUP(D352, 'Hidden_Data'!M:N, 2, FALSE), "0"))</f>
        <v/>
      </c>
      <c r="H352">
        <f>IF(G352="","", IFERROR(VLOOKUP(G352, 'Hidden_Data'!M:N, 2, FALSE), "0"))</f>
        <v/>
      </c>
      <c r="K352">
        <f>IF(J352="","", IFERROR(VLOOKUP(J352, 'Hidden_Data'!M:N, 2, FALSE), "0"))</f>
        <v/>
      </c>
      <c r="N352">
        <f>IF(M352="","", IFERROR(VLOOKUP(M352, 'Hidden_Data'!M:N, 2, FALSE), "0"))</f>
        <v/>
      </c>
      <c r="Q352">
        <f>IF(P352="","", IFERROR(VLOOKUP(P352, 'Hidden_Data'!M:N, 2, FALSE), "0"))</f>
        <v/>
      </c>
      <c r="T352">
        <f>IF(A352="","", SUM(IF(F352="Yes", 0, IF(E352="", 0, IFERROR(VALUE(MID(E352, SEARCH("(",E352)+1, 1)),0))), IF(I352="Yes", 0, IF(H352="", 0, IFERROR(VALUE(MID(H352, SEARCH("(",H352)+1, 1)),0))), IF(L352="Yes", 0, IF(K352="", 0, IFERROR(VALUE(MID(K352, SEARCH("(",K352)+1, 1)),0))), IF(O352="Yes", 0, IF(N352="", 0, IFERROR(VALUE(MID(N352, SEARCH("(",N352)+1, 1)),0))), IF(R352="Yes", 0, IF(Q352="", 0, IFERROR(VALUE(MID(Q352, SEARCH("(",Q352)+1, 1)),0)))))</f>
        <v/>
      </c>
      <c r="U352">
        <f>IF(A352="","", IF(T352&gt;=5, "Priority 1 (Critical)", IF(T352&gt;=3, "Priority 2 (Major)", IF(T352&gt;=1, "Priority 3 (Minor)", "Pass/Fixed"))))</f>
        <v/>
      </c>
      <c r="V352">
        <f>IF(A352="","", IF(T352&gt;0, "FAIL", "PASS"))</f>
        <v/>
      </c>
    </row>
    <row r="353">
      <c r="A353">
        <f>IF('Equipment Information'!A353="","", 'Equipment Information'!A353)</f>
        <v/>
      </c>
      <c r="B353">
        <f>IF('Equipment Information'!B353="","", 'Equipment Information'!B353)</f>
        <v/>
      </c>
      <c r="C353">
        <f>IF('Equipment Information'!C353="","", 'Equipment Information'!C353)</f>
        <v/>
      </c>
      <c r="E353">
        <f>IF(D353="","", IFERROR(VLOOKUP(D353, 'Hidden_Data'!M:N, 2, FALSE), "0"))</f>
        <v/>
      </c>
      <c r="H353">
        <f>IF(G353="","", IFERROR(VLOOKUP(G353, 'Hidden_Data'!M:N, 2, FALSE), "0"))</f>
        <v/>
      </c>
      <c r="K353">
        <f>IF(J353="","", IFERROR(VLOOKUP(J353, 'Hidden_Data'!M:N, 2, FALSE), "0"))</f>
        <v/>
      </c>
      <c r="N353">
        <f>IF(M353="","", IFERROR(VLOOKUP(M353, 'Hidden_Data'!M:N, 2, FALSE), "0"))</f>
        <v/>
      </c>
      <c r="Q353">
        <f>IF(P353="","", IFERROR(VLOOKUP(P353, 'Hidden_Data'!M:N, 2, FALSE), "0"))</f>
        <v/>
      </c>
      <c r="T353">
        <f>IF(A353="","", SUM(IF(F353="Yes", 0, IF(E353="", 0, IFERROR(VALUE(MID(E353, SEARCH("(",E353)+1, 1)),0))), IF(I353="Yes", 0, IF(H353="", 0, IFERROR(VALUE(MID(H353, SEARCH("(",H353)+1, 1)),0))), IF(L353="Yes", 0, IF(K353="", 0, IFERROR(VALUE(MID(K353, SEARCH("(",K353)+1, 1)),0))), IF(O353="Yes", 0, IF(N353="", 0, IFERROR(VALUE(MID(N353, SEARCH("(",N353)+1, 1)),0))), IF(R353="Yes", 0, IF(Q353="", 0, IFERROR(VALUE(MID(Q353, SEARCH("(",Q353)+1, 1)),0)))))</f>
        <v/>
      </c>
      <c r="U353">
        <f>IF(A353="","", IF(T353&gt;=5, "Priority 1 (Critical)", IF(T353&gt;=3, "Priority 2 (Major)", IF(T353&gt;=1, "Priority 3 (Minor)", "Pass/Fixed"))))</f>
        <v/>
      </c>
      <c r="V353">
        <f>IF(A353="","", IF(T353&gt;0, "FAIL", "PASS"))</f>
        <v/>
      </c>
    </row>
    <row r="354">
      <c r="A354">
        <f>IF('Equipment Information'!A354="","", 'Equipment Information'!A354)</f>
        <v/>
      </c>
      <c r="B354">
        <f>IF('Equipment Information'!B354="","", 'Equipment Information'!B354)</f>
        <v/>
      </c>
      <c r="C354">
        <f>IF('Equipment Information'!C354="","", 'Equipment Information'!C354)</f>
        <v/>
      </c>
      <c r="E354">
        <f>IF(D354="","", IFERROR(VLOOKUP(D354, 'Hidden_Data'!M:N, 2, FALSE), "0"))</f>
        <v/>
      </c>
      <c r="H354">
        <f>IF(G354="","", IFERROR(VLOOKUP(G354, 'Hidden_Data'!M:N, 2, FALSE), "0"))</f>
        <v/>
      </c>
      <c r="K354">
        <f>IF(J354="","", IFERROR(VLOOKUP(J354, 'Hidden_Data'!M:N, 2, FALSE), "0"))</f>
        <v/>
      </c>
      <c r="N354">
        <f>IF(M354="","", IFERROR(VLOOKUP(M354, 'Hidden_Data'!M:N, 2, FALSE), "0"))</f>
        <v/>
      </c>
      <c r="Q354">
        <f>IF(P354="","", IFERROR(VLOOKUP(P354, 'Hidden_Data'!M:N, 2, FALSE), "0"))</f>
        <v/>
      </c>
      <c r="T354">
        <f>IF(A354="","", SUM(IF(F354="Yes", 0, IF(E354="", 0, IFERROR(VALUE(MID(E354, SEARCH("(",E354)+1, 1)),0))), IF(I354="Yes", 0, IF(H354="", 0, IFERROR(VALUE(MID(H354, SEARCH("(",H354)+1, 1)),0))), IF(L354="Yes", 0, IF(K354="", 0, IFERROR(VALUE(MID(K354, SEARCH("(",K354)+1, 1)),0))), IF(O354="Yes", 0, IF(N354="", 0, IFERROR(VALUE(MID(N354, SEARCH("(",N354)+1, 1)),0))), IF(R354="Yes", 0, IF(Q354="", 0, IFERROR(VALUE(MID(Q354, SEARCH("(",Q354)+1, 1)),0)))))</f>
        <v/>
      </c>
      <c r="U354">
        <f>IF(A354="","", IF(T354&gt;=5, "Priority 1 (Critical)", IF(T354&gt;=3, "Priority 2 (Major)", IF(T354&gt;=1, "Priority 3 (Minor)", "Pass/Fixed"))))</f>
        <v/>
      </c>
      <c r="V354">
        <f>IF(A354="","", IF(T354&gt;0, "FAIL", "PASS"))</f>
        <v/>
      </c>
    </row>
    <row r="355">
      <c r="A355">
        <f>IF('Equipment Information'!A355="","", 'Equipment Information'!A355)</f>
        <v/>
      </c>
      <c r="B355">
        <f>IF('Equipment Information'!B355="","", 'Equipment Information'!B355)</f>
        <v/>
      </c>
      <c r="C355">
        <f>IF('Equipment Information'!C355="","", 'Equipment Information'!C355)</f>
        <v/>
      </c>
      <c r="E355">
        <f>IF(D355="","", IFERROR(VLOOKUP(D355, 'Hidden_Data'!M:N, 2, FALSE), "0"))</f>
        <v/>
      </c>
      <c r="H355">
        <f>IF(G355="","", IFERROR(VLOOKUP(G355, 'Hidden_Data'!M:N, 2, FALSE), "0"))</f>
        <v/>
      </c>
      <c r="K355">
        <f>IF(J355="","", IFERROR(VLOOKUP(J355, 'Hidden_Data'!M:N, 2, FALSE), "0"))</f>
        <v/>
      </c>
      <c r="N355">
        <f>IF(M355="","", IFERROR(VLOOKUP(M355, 'Hidden_Data'!M:N, 2, FALSE), "0"))</f>
        <v/>
      </c>
      <c r="Q355">
        <f>IF(P355="","", IFERROR(VLOOKUP(P355, 'Hidden_Data'!M:N, 2, FALSE), "0"))</f>
        <v/>
      </c>
      <c r="T355">
        <f>IF(A355="","", SUM(IF(F355="Yes", 0, IF(E355="", 0, IFERROR(VALUE(MID(E355, SEARCH("(",E355)+1, 1)),0))), IF(I355="Yes", 0, IF(H355="", 0, IFERROR(VALUE(MID(H355, SEARCH("(",H355)+1, 1)),0))), IF(L355="Yes", 0, IF(K355="", 0, IFERROR(VALUE(MID(K355, SEARCH("(",K355)+1, 1)),0))), IF(O355="Yes", 0, IF(N355="", 0, IFERROR(VALUE(MID(N355, SEARCH("(",N355)+1, 1)),0))), IF(R355="Yes", 0, IF(Q355="", 0, IFERROR(VALUE(MID(Q355, SEARCH("(",Q355)+1, 1)),0)))))</f>
        <v/>
      </c>
      <c r="U355">
        <f>IF(A355="","", IF(T355&gt;=5, "Priority 1 (Critical)", IF(T355&gt;=3, "Priority 2 (Major)", IF(T355&gt;=1, "Priority 3 (Minor)", "Pass/Fixed"))))</f>
        <v/>
      </c>
      <c r="V355">
        <f>IF(A355="","", IF(T355&gt;0, "FAIL", "PASS"))</f>
        <v/>
      </c>
    </row>
    <row r="356">
      <c r="A356">
        <f>IF('Equipment Information'!A356="","", 'Equipment Information'!A356)</f>
        <v/>
      </c>
      <c r="B356">
        <f>IF('Equipment Information'!B356="","", 'Equipment Information'!B356)</f>
        <v/>
      </c>
      <c r="C356">
        <f>IF('Equipment Information'!C356="","", 'Equipment Information'!C356)</f>
        <v/>
      </c>
      <c r="E356">
        <f>IF(D356="","", IFERROR(VLOOKUP(D356, 'Hidden_Data'!M:N, 2, FALSE), "0"))</f>
        <v/>
      </c>
      <c r="H356">
        <f>IF(G356="","", IFERROR(VLOOKUP(G356, 'Hidden_Data'!M:N, 2, FALSE), "0"))</f>
        <v/>
      </c>
      <c r="K356">
        <f>IF(J356="","", IFERROR(VLOOKUP(J356, 'Hidden_Data'!M:N, 2, FALSE), "0"))</f>
        <v/>
      </c>
      <c r="N356">
        <f>IF(M356="","", IFERROR(VLOOKUP(M356, 'Hidden_Data'!M:N, 2, FALSE), "0"))</f>
        <v/>
      </c>
      <c r="Q356">
        <f>IF(P356="","", IFERROR(VLOOKUP(P356, 'Hidden_Data'!M:N, 2, FALSE), "0"))</f>
        <v/>
      </c>
      <c r="T356">
        <f>IF(A356="","", SUM(IF(F356="Yes", 0, IF(E356="", 0, IFERROR(VALUE(MID(E356, SEARCH("(",E356)+1, 1)),0))), IF(I356="Yes", 0, IF(H356="", 0, IFERROR(VALUE(MID(H356, SEARCH("(",H356)+1, 1)),0))), IF(L356="Yes", 0, IF(K356="", 0, IFERROR(VALUE(MID(K356, SEARCH("(",K356)+1, 1)),0))), IF(O356="Yes", 0, IF(N356="", 0, IFERROR(VALUE(MID(N356, SEARCH("(",N356)+1, 1)),0))), IF(R356="Yes", 0, IF(Q356="", 0, IFERROR(VALUE(MID(Q356, SEARCH("(",Q356)+1, 1)),0)))))</f>
        <v/>
      </c>
      <c r="U356">
        <f>IF(A356="","", IF(T356&gt;=5, "Priority 1 (Critical)", IF(T356&gt;=3, "Priority 2 (Major)", IF(T356&gt;=1, "Priority 3 (Minor)", "Pass/Fixed"))))</f>
        <v/>
      </c>
      <c r="V356">
        <f>IF(A356="","", IF(T356&gt;0, "FAIL", "PASS"))</f>
        <v/>
      </c>
    </row>
    <row r="357">
      <c r="A357">
        <f>IF('Equipment Information'!A357="","", 'Equipment Information'!A357)</f>
        <v/>
      </c>
      <c r="B357">
        <f>IF('Equipment Information'!B357="","", 'Equipment Information'!B357)</f>
        <v/>
      </c>
      <c r="C357">
        <f>IF('Equipment Information'!C357="","", 'Equipment Information'!C357)</f>
        <v/>
      </c>
      <c r="E357">
        <f>IF(D357="","", IFERROR(VLOOKUP(D357, 'Hidden_Data'!M:N, 2, FALSE), "0"))</f>
        <v/>
      </c>
      <c r="H357">
        <f>IF(G357="","", IFERROR(VLOOKUP(G357, 'Hidden_Data'!M:N, 2, FALSE), "0"))</f>
        <v/>
      </c>
      <c r="K357">
        <f>IF(J357="","", IFERROR(VLOOKUP(J357, 'Hidden_Data'!M:N, 2, FALSE), "0"))</f>
        <v/>
      </c>
      <c r="N357">
        <f>IF(M357="","", IFERROR(VLOOKUP(M357, 'Hidden_Data'!M:N, 2, FALSE), "0"))</f>
        <v/>
      </c>
      <c r="Q357">
        <f>IF(P357="","", IFERROR(VLOOKUP(P357, 'Hidden_Data'!M:N, 2, FALSE), "0"))</f>
        <v/>
      </c>
      <c r="T357">
        <f>IF(A357="","", SUM(IF(F357="Yes", 0, IF(E357="", 0, IFERROR(VALUE(MID(E357, SEARCH("(",E357)+1, 1)),0))), IF(I357="Yes", 0, IF(H357="", 0, IFERROR(VALUE(MID(H357, SEARCH("(",H357)+1, 1)),0))), IF(L357="Yes", 0, IF(K357="", 0, IFERROR(VALUE(MID(K357, SEARCH("(",K357)+1, 1)),0))), IF(O357="Yes", 0, IF(N357="", 0, IFERROR(VALUE(MID(N357, SEARCH("(",N357)+1, 1)),0))), IF(R357="Yes", 0, IF(Q357="", 0, IFERROR(VALUE(MID(Q357, SEARCH("(",Q357)+1, 1)),0)))))</f>
        <v/>
      </c>
      <c r="U357">
        <f>IF(A357="","", IF(T357&gt;=5, "Priority 1 (Critical)", IF(T357&gt;=3, "Priority 2 (Major)", IF(T357&gt;=1, "Priority 3 (Minor)", "Pass/Fixed"))))</f>
        <v/>
      </c>
      <c r="V357">
        <f>IF(A357="","", IF(T357&gt;0, "FAIL", "PASS"))</f>
        <v/>
      </c>
    </row>
    <row r="358">
      <c r="A358">
        <f>IF('Equipment Information'!A358="","", 'Equipment Information'!A358)</f>
        <v/>
      </c>
      <c r="B358">
        <f>IF('Equipment Information'!B358="","", 'Equipment Information'!B358)</f>
        <v/>
      </c>
      <c r="C358">
        <f>IF('Equipment Information'!C358="","", 'Equipment Information'!C358)</f>
        <v/>
      </c>
      <c r="E358">
        <f>IF(D358="","", IFERROR(VLOOKUP(D358, 'Hidden_Data'!M:N, 2, FALSE), "0"))</f>
        <v/>
      </c>
      <c r="H358">
        <f>IF(G358="","", IFERROR(VLOOKUP(G358, 'Hidden_Data'!M:N, 2, FALSE), "0"))</f>
        <v/>
      </c>
      <c r="K358">
        <f>IF(J358="","", IFERROR(VLOOKUP(J358, 'Hidden_Data'!M:N, 2, FALSE), "0"))</f>
        <v/>
      </c>
      <c r="N358">
        <f>IF(M358="","", IFERROR(VLOOKUP(M358, 'Hidden_Data'!M:N, 2, FALSE), "0"))</f>
        <v/>
      </c>
      <c r="Q358">
        <f>IF(P358="","", IFERROR(VLOOKUP(P358, 'Hidden_Data'!M:N, 2, FALSE), "0"))</f>
        <v/>
      </c>
      <c r="T358">
        <f>IF(A358="","", SUM(IF(F358="Yes", 0, IF(E358="", 0, IFERROR(VALUE(MID(E358, SEARCH("(",E358)+1, 1)),0))), IF(I358="Yes", 0, IF(H358="", 0, IFERROR(VALUE(MID(H358, SEARCH("(",H358)+1, 1)),0))), IF(L358="Yes", 0, IF(K358="", 0, IFERROR(VALUE(MID(K358, SEARCH("(",K358)+1, 1)),0))), IF(O358="Yes", 0, IF(N358="", 0, IFERROR(VALUE(MID(N358, SEARCH("(",N358)+1, 1)),0))), IF(R358="Yes", 0, IF(Q358="", 0, IFERROR(VALUE(MID(Q358, SEARCH("(",Q358)+1, 1)),0)))))</f>
        <v/>
      </c>
      <c r="U358">
        <f>IF(A358="","", IF(T358&gt;=5, "Priority 1 (Critical)", IF(T358&gt;=3, "Priority 2 (Major)", IF(T358&gt;=1, "Priority 3 (Minor)", "Pass/Fixed"))))</f>
        <v/>
      </c>
      <c r="V358">
        <f>IF(A358="","", IF(T358&gt;0, "FAIL", "PASS"))</f>
        <v/>
      </c>
    </row>
    <row r="359">
      <c r="A359">
        <f>IF('Equipment Information'!A359="","", 'Equipment Information'!A359)</f>
        <v/>
      </c>
      <c r="B359">
        <f>IF('Equipment Information'!B359="","", 'Equipment Information'!B359)</f>
        <v/>
      </c>
      <c r="C359">
        <f>IF('Equipment Information'!C359="","", 'Equipment Information'!C359)</f>
        <v/>
      </c>
      <c r="E359">
        <f>IF(D359="","", IFERROR(VLOOKUP(D359, 'Hidden_Data'!M:N, 2, FALSE), "0"))</f>
        <v/>
      </c>
      <c r="H359">
        <f>IF(G359="","", IFERROR(VLOOKUP(G359, 'Hidden_Data'!M:N, 2, FALSE), "0"))</f>
        <v/>
      </c>
      <c r="K359">
        <f>IF(J359="","", IFERROR(VLOOKUP(J359, 'Hidden_Data'!M:N, 2, FALSE), "0"))</f>
        <v/>
      </c>
      <c r="N359">
        <f>IF(M359="","", IFERROR(VLOOKUP(M359, 'Hidden_Data'!M:N, 2, FALSE), "0"))</f>
        <v/>
      </c>
      <c r="Q359">
        <f>IF(P359="","", IFERROR(VLOOKUP(P359, 'Hidden_Data'!M:N, 2, FALSE), "0"))</f>
        <v/>
      </c>
      <c r="T359">
        <f>IF(A359="","", SUM(IF(F359="Yes", 0, IF(E359="", 0, IFERROR(VALUE(MID(E359, SEARCH("(",E359)+1, 1)),0))), IF(I359="Yes", 0, IF(H359="", 0, IFERROR(VALUE(MID(H359, SEARCH("(",H359)+1, 1)),0))), IF(L359="Yes", 0, IF(K359="", 0, IFERROR(VALUE(MID(K359, SEARCH("(",K359)+1, 1)),0))), IF(O359="Yes", 0, IF(N359="", 0, IFERROR(VALUE(MID(N359, SEARCH("(",N359)+1, 1)),0))), IF(R359="Yes", 0, IF(Q359="", 0, IFERROR(VALUE(MID(Q359, SEARCH("(",Q359)+1, 1)),0)))))</f>
        <v/>
      </c>
      <c r="U359">
        <f>IF(A359="","", IF(T359&gt;=5, "Priority 1 (Critical)", IF(T359&gt;=3, "Priority 2 (Major)", IF(T359&gt;=1, "Priority 3 (Minor)", "Pass/Fixed"))))</f>
        <v/>
      </c>
      <c r="V359">
        <f>IF(A359="","", IF(T359&gt;0, "FAIL", "PASS"))</f>
        <v/>
      </c>
    </row>
    <row r="360">
      <c r="A360">
        <f>IF('Equipment Information'!A360="","", 'Equipment Information'!A360)</f>
        <v/>
      </c>
      <c r="B360">
        <f>IF('Equipment Information'!B360="","", 'Equipment Information'!B360)</f>
        <v/>
      </c>
      <c r="C360">
        <f>IF('Equipment Information'!C360="","", 'Equipment Information'!C360)</f>
        <v/>
      </c>
      <c r="E360">
        <f>IF(D360="","", IFERROR(VLOOKUP(D360, 'Hidden_Data'!M:N, 2, FALSE), "0"))</f>
        <v/>
      </c>
      <c r="H360">
        <f>IF(G360="","", IFERROR(VLOOKUP(G360, 'Hidden_Data'!M:N, 2, FALSE), "0"))</f>
        <v/>
      </c>
      <c r="K360">
        <f>IF(J360="","", IFERROR(VLOOKUP(J360, 'Hidden_Data'!M:N, 2, FALSE), "0"))</f>
        <v/>
      </c>
      <c r="N360">
        <f>IF(M360="","", IFERROR(VLOOKUP(M360, 'Hidden_Data'!M:N, 2, FALSE), "0"))</f>
        <v/>
      </c>
      <c r="Q360">
        <f>IF(P360="","", IFERROR(VLOOKUP(P360, 'Hidden_Data'!M:N, 2, FALSE), "0"))</f>
        <v/>
      </c>
      <c r="T360">
        <f>IF(A360="","", SUM(IF(F360="Yes", 0, IF(E360="", 0, IFERROR(VALUE(MID(E360, SEARCH("(",E360)+1, 1)),0))), IF(I360="Yes", 0, IF(H360="", 0, IFERROR(VALUE(MID(H360, SEARCH("(",H360)+1, 1)),0))), IF(L360="Yes", 0, IF(K360="", 0, IFERROR(VALUE(MID(K360, SEARCH("(",K360)+1, 1)),0))), IF(O360="Yes", 0, IF(N360="", 0, IFERROR(VALUE(MID(N360, SEARCH("(",N360)+1, 1)),0))), IF(R360="Yes", 0, IF(Q360="", 0, IFERROR(VALUE(MID(Q360, SEARCH("(",Q360)+1, 1)),0)))))</f>
        <v/>
      </c>
      <c r="U360">
        <f>IF(A360="","", IF(T360&gt;=5, "Priority 1 (Critical)", IF(T360&gt;=3, "Priority 2 (Major)", IF(T360&gt;=1, "Priority 3 (Minor)", "Pass/Fixed"))))</f>
        <v/>
      </c>
      <c r="V360">
        <f>IF(A360="","", IF(T360&gt;0, "FAIL", "PASS"))</f>
        <v/>
      </c>
    </row>
    <row r="361">
      <c r="A361">
        <f>IF('Equipment Information'!A361="","", 'Equipment Information'!A361)</f>
        <v/>
      </c>
      <c r="B361">
        <f>IF('Equipment Information'!B361="","", 'Equipment Information'!B361)</f>
        <v/>
      </c>
      <c r="C361">
        <f>IF('Equipment Information'!C361="","", 'Equipment Information'!C361)</f>
        <v/>
      </c>
      <c r="E361">
        <f>IF(D361="","", IFERROR(VLOOKUP(D361, 'Hidden_Data'!M:N, 2, FALSE), "0"))</f>
        <v/>
      </c>
      <c r="H361">
        <f>IF(G361="","", IFERROR(VLOOKUP(G361, 'Hidden_Data'!M:N, 2, FALSE), "0"))</f>
        <v/>
      </c>
      <c r="K361">
        <f>IF(J361="","", IFERROR(VLOOKUP(J361, 'Hidden_Data'!M:N, 2, FALSE), "0"))</f>
        <v/>
      </c>
      <c r="N361">
        <f>IF(M361="","", IFERROR(VLOOKUP(M361, 'Hidden_Data'!M:N, 2, FALSE), "0"))</f>
        <v/>
      </c>
      <c r="Q361">
        <f>IF(P361="","", IFERROR(VLOOKUP(P361, 'Hidden_Data'!M:N, 2, FALSE), "0"))</f>
        <v/>
      </c>
      <c r="T361">
        <f>IF(A361="","", SUM(IF(F361="Yes", 0, IF(E361="", 0, IFERROR(VALUE(MID(E361, SEARCH("(",E361)+1, 1)),0))), IF(I361="Yes", 0, IF(H361="", 0, IFERROR(VALUE(MID(H361, SEARCH("(",H361)+1, 1)),0))), IF(L361="Yes", 0, IF(K361="", 0, IFERROR(VALUE(MID(K361, SEARCH("(",K361)+1, 1)),0))), IF(O361="Yes", 0, IF(N361="", 0, IFERROR(VALUE(MID(N361, SEARCH("(",N361)+1, 1)),0))), IF(R361="Yes", 0, IF(Q361="", 0, IFERROR(VALUE(MID(Q361, SEARCH("(",Q361)+1, 1)),0)))))</f>
        <v/>
      </c>
      <c r="U361">
        <f>IF(A361="","", IF(T361&gt;=5, "Priority 1 (Critical)", IF(T361&gt;=3, "Priority 2 (Major)", IF(T361&gt;=1, "Priority 3 (Minor)", "Pass/Fixed"))))</f>
        <v/>
      </c>
      <c r="V361">
        <f>IF(A361="","", IF(T361&gt;0, "FAIL", "PASS"))</f>
        <v/>
      </c>
    </row>
    <row r="362">
      <c r="A362">
        <f>IF('Equipment Information'!A362="","", 'Equipment Information'!A362)</f>
        <v/>
      </c>
      <c r="B362">
        <f>IF('Equipment Information'!B362="","", 'Equipment Information'!B362)</f>
        <v/>
      </c>
      <c r="C362">
        <f>IF('Equipment Information'!C362="","", 'Equipment Information'!C362)</f>
        <v/>
      </c>
      <c r="E362">
        <f>IF(D362="","", IFERROR(VLOOKUP(D362, 'Hidden_Data'!M:N, 2, FALSE), "0"))</f>
        <v/>
      </c>
      <c r="H362">
        <f>IF(G362="","", IFERROR(VLOOKUP(G362, 'Hidden_Data'!M:N, 2, FALSE), "0"))</f>
        <v/>
      </c>
      <c r="K362">
        <f>IF(J362="","", IFERROR(VLOOKUP(J362, 'Hidden_Data'!M:N, 2, FALSE), "0"))</f>
        <v/>
      </c>
      <c r="N362">
        <f>IF(M362="","", IFERROR(VLOOKUP(M362, 'Hidden_Data'!M:N, 2, FALSE), "0"))</f>
        <v/>
      </c>
      <c r="Q362">
        <f>IF(P362="","", IFERROR(VLOOKUP(P362, 'Hidden_Data'!M:N, 2, FALSE), "0"))</f>
        <v/>
      </c>
      <c r="T362">
        <f>IF(A362="","", SUM(IF(F362="Yes", 0, IF(E362="", 0, IFERROR(VALUE(MID(E362, SEARCH("(",E362)+1, 1)),0))), IF(I362="Yes", 0, IF(H362="", 0, IFERROR(VALUE(MID(H362, SEARCH("(",H362)+1, 1)),0))), IF(L362="Yes", 0, IF(K362="", 0, IFERROR(VALUE(MID(K362, SEARCH("(",K362)+1, 1)),0))), IF(O362="Yes", 0, IF(N362="", 0, IFERROR(VALUE(MID(N362, SEARCH("(",N362)+1, 1)),0))), IF(R362="Yes", 0, IF(Q362="", 0, IFERROR(VALUE(MID(Q362, SEARCH("(",Q362)+1, 1)),0)))))</f>
        <v/>
      </c>
      <c r="U362">
        <f>IF(A362="","", IF(T362&gt;=5, "Priority 1 (Critical)", IF(T362&gt;=3, "Priority 2 (Major)", IF(T362&gt;=1, "Priority 3 (Minor)", "Pass/Fixed"))))</f>
        <v/>
      </c>
      <c r="V362">
        <f>IF(A362="","", IF(T362&gt;0, "FAIL", "PASS"))</f>
        <v/>
      </c>
    </row>
    <row r="363">
      <c r="A363">
        <f>IF('Equipment Information'!A363="","", 'Equipment Information'!A363)</f>
        <v/>
      </c>
      <c r="B363">
        <f>IF('Equipment Information'!B363="","", 'Equipment Information'!B363)</f>
        <v/>
      </c>
      <c r="C363">
        <f>IF('Equipment Information'!C363="","", 'Equipment Information'!C363)</f>
        <v/>
      </c>
      <c r="E363">
        <f>IF(D363="","", IFERROR(VLOOKUP(D363, 'Hidden_Data'!M:N, 2, FALSE), "0"))</f>
        <v/>
      </c>
      <c r="H363">
        <f>IF(G363="","", IFERROR(VLOOKUP(G363, 'Hidden_Data'!M:N, 2, FALSE), "0"))</f>
        <v/>
      </c>
      <c r="K363">
        <f>IF(J363="","", IFERROR(VLOOKUP(J363, 'Hidden_Data'!M:N, 2, FALSE), "0"))</f>
        <v/>
      </c>
      <c r="N363">
        <f>IF(M363="","", IFERROR(VLOOKUP(M363, 'Hidden_Data'!M:N, 2, FALSE), "0"))</f>
        <v/>
      </c>
      <c r="Q363">
        <f>IF(P363="","", IFERROR(VLOOKUP(P363, 'Hidden_Data'!M:N, 2, FALSE), "0"))</f>
        <v/>
      </c>
      <c r="T363">
        <f>IF(A363="","", SUM(IF(F363="Yes", 0, IF(E363="", 0, IFERROR(VALUE(MID(E363, SEARCH("(",E363)+1, 1)),0))), IF(I363="Yes", 0, IF(H363="", 0, IFERROR(VALUE(MID(H363, SEARCH("(",H363)+1, 1)),0))), IF(L363="Yes", 0, IF(K363="", 0, IFERROR(VALUE(MID(K363, SEARCH("(",K363)+1, 1)),0))), IF(O363="Yes", 0, IF(N363="", 0, IFERROR(VALUE(MID(N363, SEARCH("(",N363)+1, 1)),0))), IF(R363="Yes", 0, IF(Q363="", 0, IFERROR(VALUE(MID(Q363, SEARCH("(",Q363)+1, 1)),0)))))</f>
        <v/>
      </c>
      <c r="U363">
        <f>IF(A363="","", IF(T363&gt;=5, "Priority 1 (Critical)", IF(T363&gt;=3, "Priority 2 (Major)", IF(T363&gt;=1, "Priority 3 (Minor)", "Pass/Fixed"))))</f>
        <v/>
      </c>
      <c r="V363">
        <f>IF(A363="","", IF(T363&gt;0, "FAIL", "PASS"))</f>
        <v/>
      </c>
    </row>
    <row r="364">
      <c r="A364">
        <f>IF('Equipment Information'!A364="","", 'Equipment Information'!A364)</f>
        <v/>
      </c>
      <c r="B364">
        <f>IF('Equipment Information'!B364="","", 'Equipment Information'!B364)</f>
        <v/>
      </c>
      <c r="C364">
        <f>IF('Equipment Information'!C364="","", 'Equipment Information'!C364)</f>
        <v/>
      </c>
      <c r="E364">
        <f>IF(D364="","", IFERROR(VLOOKUP(D364, 'Hidden_Data'!M:N, 2, FALSE), "0"))</f>
        <v/>
      </c>
      <c r="H364">
        <f>IF(G364="","", IFERROR(VLOOKUP(G364, 'Hidden_Data'!M:N, 2, FALSE), "0"))</f>
        <v/>
      </c>
      <c r="K364">
        <f>IF(J364="","", IFERROR(VLOOKUP(J364, 'Hidden_Data'!M:N, 2, FALSE), "0"))</f>
        <v/>
      </c>
      <c r="N364">
        <f>IF(M364="","", IFERROR(VLOOKUP(M364, 'Hidden_Data'!M:N, 2, FALSE), "0"))</f>
        <v/>
      </c>
      <c r="Q364">
        <f>IF(P364="","", IFERROR(VLOOKUP(P364, 'Hidden_Data'!M:N, 2, FALSE), "0"))</f>
        <v/>
      </c>
      <c r="T364">
        <f>IF(A364="","", SUM(IF(F364="Yes", 0, IF(E364="", 0, IFERROR(VALUE(MID(E364, SEARCH("(",E364)+1, 1)),0))), IF(I364="Yes", 0, IF(H364="", 0, IFERROR(VALUE(MID(H364, SEARCH("(",H364)+1, 1)),0))), IF(L364="Yes", 0, IF(K364="", 0, IFERROR(VALUE(MID(K364, SEARCH("(",K364)+1, 1)),0))), IF(O364="Yes", 0, IF(N364="", 0, IFERROR(VALUE(MID(N364, SEARCH("(",N364)+1, 1)),0))), IF(R364="Yes", 0, IF(Q364="", 0, IFERROR(VALUE(MID(Q364, SEARCH("(",Q364)+1, 1)),0)))))</f>
        <v/>
      </c>
      <c r="U364">
        <f>IF(A364="","", IF(T364&gt;=5, "Priority 1 (Critical)", IF(T364&gt;=3, "Priority 2 (Major)", IF(T364&gt;=1, "Priority 3 (Minor)", "Pass/Fixed"))))</f>
        <v/>
      </c>
      <c r="V364">
        <f>IF(A364="","", IF(T364&gt;0, "FAIL", "PASS"))</f>
        <v/>
      </c>
    </row>
    <row r="365">
      <c r="A365">
        <f>IF('Equipment Information'!A365="","", 'Equipment Information'!A365)</f>
        <v/>
      </c>
      <c r="B365">
        <f>IF('Equipment Information'!B365="","", 'Equipment Information'!B365)</f>
        <v/>
      </c>
      <c r="C365">
        <f>IF('Equipment Information'!C365="","", 'Equipment Information'!C365)</f>
        <v/>
      </c>
      <c r="E365">
        <f>IF(D365="","", IFERROR(VLOOKUP(D365, 'Hidden_Data'!M:N, 2, FALSE), "0"))</f>
        <v/>
      </c>
      <c r="H365">
        <f>IF(G365="","", IFERROR(VLOOKUP(G365, 'Hidden_Data'!M:N, 2, FALSE), "0"))</f>
        <v/>
      </c>
      <c r="K365">
        <f>IF(J365="","", IFERROR(VLOOKUP(J365, 'Hidden_Data'!M:N, 2, FALSE), "0"))</f>
        <v/>
      </c>
      <c r="N365">
        <f>IF(M365="","", IFERROR(VLOOKUP(M365, 'Hidden_Data'!M:N, 2, FALSE), "0"))</f>
        <v/>
      </c>
      <c r="Q365">
        <f>IF(P365="","", IFERROR(VLOOKUP(P365, 'Hidden_Data'!M:N, 2, FALSE), "0"))</f>
        <v/>
      </c>
      <c r="T365">
        <f>IF(A365="","", SUM(IF(F365="Yes", 0, IF(E365="", 0, IFERROR(VALUE(MID(E365, SEARCH("(",E365)+1, 1)),0))), IF(I365="Yes", 0, IF(H365="", 0, IFERROR(VALUE(MID(H365, SEARCH("(",H365)+1, 1)),0))), IF(L365="Yes", 0, IF(K365="", 0, IFERROR(VALUE(MID(K365, SEARCH("(",K365)+1, 1)),0))), IF(O365="Yes", 0, IF(N365="", 0, IFERROR(VALUE(MID(N365, SEARCH("(",N365)+1, 1)),0))), IF(R365="Yes", 0, IF(Q365="", 0, IFERROR(VALUE(MID(Q365, SEARCH("(",Q365)+1, 1)),0)))))</f>
        <v/>
      </c>
      <c r="U365">
        <f>IF(A365="","", IF(T365&gt;=5, "Priority 1 (Critical)", IF(T365&gt;=3, "Priority 2 (Major)", IF(T365&gt;=1, "Priority 3 (Minor)", "Pass/Fixed"))))</f>
        <v/>
      </c>
      <c r="V365">
        <f>IF(A365="","", IF(T365&gt;0, "FAIL", "PASS"))</f>
        <v/>
      </c>
    </row>
    <row r="366">
      <c r="A366">
        <f>IF('Equipment Information'!A366="","", 'Equipment Information'!A366)</f>
        <v/>
      </c>
      <c r="B366">
        <f>IF('Equipment Information'!B366="","", 'Equipment Information'!B366)</f>
        <v/>
      </c>
      <c r="C366">
        <f>IF('Equipment Information'!C366="","", 'Equipment Information'!C366)</f>
        <v/>
      </c>
      <c r="E366">
        <f>IF(D366="","", IFERROR(VLOOKUP(D366, 'Hidden_Data'!M:N, 2, FALSE), "0"))</f>
        <v/>
      </c>
      <c r="H366">
        <f>IF(G366="","", IFERROR(VLOOKUP(G366, 'Hidden_Data'!M:N, 2, FALSE), "0"))</f>
        <v/>
      </c>
      <c r="K366">
        <f>IF(J366="","", IFERROR(VLOOKUP(J366, 'Hidden_Data'!M:N, 2, FALSE), "0"))</f>
        <v/>
      </c>
      <c r="N366">
        <f>IF(M366="","", IFERROR(VLOOKUP(M366, 'Hidden_Data'!M:N, 2, FALSE), "0"))</f>
        <v/>
      </c>
      <c r="Q366">
        <f>IF(P366="","", IFERROR(VLOOKUP(P366, 'Hidden_Data'!M:N, 2, FALSE), "0"))</f>
        <v/>
      </c>
      <c r="T366">
        <f>IF(A366="","", SUM(IF(F366="Yes", 0, IF(E366="", 0, IFERROR(VALUE(MID(E366, SEARCH("(",E366)+1, 1)),0))), IF(I366="Yes", 0, IF(H366="", 0, IFERROR(VALUE(MID(H366, SEARCH("(",H366)+1, 1)),0))), IF(L366="Yes", 0, IF(K366="", 0, IFERROR(VALUE(MID(K366, SEARCH("(",K366)+1, 1)),0))), IF(O366="Yes", 0, IF(N366="", 0, IFERROR(VALUE(MID(N366, SEARCH("(",N366)+1, 1)),0))), IF(R366="Yes", 0, IF(Q366="", 0, IFERROR(VALUE(MID(Q366, SEARCH("(",Q366)+1, 1)),0)))))</f>
        <v/>
      </c>
      <c r="U366">
        <f>IF(A366="","", IF(T366&gt;=5, "Priority 1 (Critical)", IF(T366&gt;=3, "Priority 2 (Major)", IF(T366&gt;=1, "Priority 3 (Minor)", "Pass/Fixed"))))</f>
        <v/>
      </c>
      <c r="V366">
        <f>IF(A366="","", IF(T366&gt;0, "FAIL", "PASS"))</f>
        <v/>
      </c>
    </row>
    <row r="367">
      <c r="A367">
        <f>IF('Equipment Information'!A367="","", 'Equipment Information'!A367)</f>
        <v/>
      </c>
      <c r="B367">
        <f>IF('Equipment Information'!B367="","", 'Equipment Information'!B367)</f>
        <v/>
      </c>
      <c r="C367">
        <f>IF('Equipment Information'!C367="","", 'Equipment Information'!C367)</f>
        <v/>
      </c>
      <c r="E367">
        <f>IF(D367="","", IFERROR(VLOOKUP(D367, 'Hidden_Data'!M:N, 2, FALSE), "0"))</f>
        <v/>
      </c>
      <c r="H367">
        <f>IF(G367="","", IFERROR(VLOOKUP(G367, 'Hidden_Data'!M:N, 2, FALSE), "0"))</f>
        <v/>
      </c>
      <c r="K367">
        <f>IF(J367="","", IFERROR(VLOOKUP(J367, 'Hidden_Data'!M:N, 2, FALSE), "0"))</f>
        <v/>
      </c>
      <c r="N367">
        <f>IF(M367="","", IFERROR(VLOOKUP(M367, 'Hidden_Data'!M:N, 2, FALSE), "0"))</f>
        <v/>
      </c>
      <c r="Q367">
        <f>IF(P367="","", IFERROR(VLOOKUP(P367, 'Hidden_Data'!M:N, 2, FALSE), "0"))</f>
        <v/>
      </c>
      <c r="T367">
        <f>IF(A367="","", SUM(IF(F367="Yes", 0, IF(E367="", 0, IFERROR(VALUE(MID(E367, SEARCH("(",E367)+1, 1)),0))), IF(I367="Yes", 0, IF(H367="", 0, IFERROR(VALUE(MID(H367, SEARCH("(",H367)+1, 1)),0))), IF(L367="Yes", 0, IF(K367="", 0, IFERROR(VALUE(MID(K367, SEARCH("(",K367)+1, 1)),0))), IF(O367="Yes", 0, IF(N367="", 0, IFERROR(VALUE(MID(N367, SEARCH("(",N367)+1, 1)),0))), IF(R367="Yes", 0, IF(Q367="", 0, IFERROR(VALUE(MID(Q367, SEARCH("(",Q367)+1, 1)),0)))))</f>
        <v/>
      </c>
      <c r="U367">
        <f>IF(A367="","", IF(T367&gt;=5, "Priority 1 (Critical)", IF(T367&gt;=3, "Priority 2 (Major)", IF(T367&gt;=1, "Priority 3 (Minor)", "Pass/Fixed"))))</f>
        <v/>
      </c>
      <c r="V367">
        <f>IF(A367="","", IF(T367&gt;0, "FAIL", "PASS"))</f>
        <v/>
      </c>
    </row>
    <row r="368">
      <c r="A368">
        <f>IF('Equipment Information'!A368="","", 'Equipment Information'!A368)</f>
        <v/>
      </c>
      <c r="B368">
        <f>IF('Equipment Information'!B368="","", 'Equipment Information'!B368)</f>
        <v/>
      </c>
      <c r="C368">
        <f>IF('Equipment Information'!C368="","", 'Equipment Information'!C368)</f>
        <v/>
      </c>
      <c r="E368">
        <f>IF(D368="","", IFERROR(VLOOKUP(D368, 'Hidden_Data'!M:N, 2, FALSE), "0"))</f>
        <v/>
      </c>
      <c r="H368">
        <f>IF(G368="","", IFERROR(VLOOKUP(G368, 'Hidden_Data'!M:N, 2, FALSE), "0"))</f>
        <v/>
      </c>
      <c r="K368">
        <f>IF(J368="","", IFERROR(VLOOKUP(J368, 'Hidden_Data'!M:N, 2, FALSE), "0"))</f>
        <v/>
      </c>
      <c r="N368">
        <f>IF(M368="","", IFERROR(VLOOKUP(M368, 'Hidden_Data'!M:N, 2, FALSE), "0"))</f>
        <v/>
      </c>
      <c r="Q368">
        <f>IF(P368="","", IFERROR(VLOOKUP(P368, 'Hidden_Data'!M:N, 2, FALSE), "0"))</f>
        <v/>
      </c>
      <c r="T368">
        <f>IF(A368="","", SUM(IF(F368="Yes", 0, IF(E368="", 0, IFERROR(VALUE(MID(E368, SEARCH("(",E368)+1, 1)),0))), IF(I368="Yes", 0, IF(H368="", 0, IFERROR(VALUE(MID(H368, SEARCH("(",H368)+1, 1)),0))), IF(L368="Yes", 0, IF(K368="", 0, IFERROR(VALUE(MID(K368, SEARCH("(",K368)+1, 1)),0))), IF(O368="Yes", 0, IF(N368="", 0, IFERROR(VALUE(MID(N368, SEARCH("(",N368)+1, 1)),0))), IF(R368="Yes", 0, IF(Q368="", 0, IFERROR(VALUE(MID(Q368, SEARCH("(",Q368)+1, 1)),0)))))</f>
        <v/>
      </c>
      <c r="U368">
        <f>IF(A368="","", IF(T368&gt;=5, "Priority 1 (Critical)", IF(T368&gt;=3, "Priority 2 (Major)", IF(T368&gt;=1, "Priority 3 (Minor)", "Pass/Fixed"))))</f>
        <v/>
      </c>
      <c r="V368">
        <f>IF(A368="","", IF(T368&gt;0, "FAIL", "PASS"))</f>
        <v/>
      </c>
    </row>
    <row r="369">
      <c r="A369">
        <f>IF('Equipment Information'!A369="","", 'Equipment Information'!A369)</f>
        <v/>
      </c>
      <c r="B369">
        <f>IF('Equipment Information'!B369="","", 'Equipment Information'!B369)</f>
        <v/>
      </c>
      <c r="C369">
        <f>IF('Equipment Information'!C369="","", 'Equipment Information'!C369)</f>
        <v/>
      </c>
      <c r="E369">
        <f>IF(D369="","", IFERROR(VLOOKUP(D369, 'Hidden_Data'!M:N, 2, FALSE), "0"))</f>
        <v/>
      </c>
      <c r="H369">
        <f>IF(G369="","", IFERROR(VLOOKUP(G369, 'Hidden_Data'!M:N, 2, FALSE), "0"))</f>
        <v/>
      </c>
      <c r="K369">
        <f>IF(J369="","", IFERROR(VLOOKUP(J369, 'Hidden_Data'!M:N, 2, FALSE), "0"))</f>
        <v/>
      </c>
      <c r="N369">
        <f>IF(M369="","", IFERROR(VLOOKUP(M369, 'Hidden_Data'!M:N, 2, FALSE), "0"))</f>
        <v/>
      </c>
      <c r="Q369">
        <f>IF(P369="","", IFERROR(VLOOKUP(P369, 'Hidden_Data'!M:N, 2, FALSE), "0"))</f>
        <v/>
      </c>
      <c r="T369">
        <f>IF(A369="","", SUM(IF(F369="Yes", 0, IF(E369="", 0, IFERROR(VALUE(MID(E369, SEARCH("(",E369)+1, 1)),0))), IF(I369="Yes", 0, IF(H369="", 0, IFERROR(VALUE(MID(H369, SEARCH("(",H369)+1, 1)),0))), IF(L369="Yes", 0, IF(K369="", 0, IFERROR(VALUE(MID(K369, SEARCH("(",K369)+1, 1)),0))), IF(O369="Yes", 0, IF(N369="", 0, IFERROR(VALUE(MID(N369, SEARCH("(",N369)+1, 1)),0))), IF(R369="Yes", 0, IF(Q369="", 0, IFERROR(VALUE(MID(Q369, SEARCH("(",Q369)+1, 1)),0)))))</f>
        <v/>
      </c>
      <c r="U369">
        <f>IF(A369="","", IF(T369&gt;=5, "Priority 1 (Critical)", IF(T369&gt;=3, "Priority 2 (Major)", IF(T369&gt;=1, "Priority 3 (Minor)", "Pass/Fixed"))))</f>
        <v/>
      </c>
      <c r="V369">
        <f>IF(A369="","", IF(T369&gt;0, "FAIL", "PASS"))</f>
        <v/>
      </c>
    </row>
    <row r="370">
      <c r="A370">
        <f>IF('Equipment Information'!A370="","", 'Equipment Information'!A370)</f>
        <v/>
      </c>
      <c r="B370">
        <f>IF('Equipment Information'!B370="","", 'Equipment Information'!B370)</f>
        <v/>
      </c>
      <c r="C370">
        <f>IF('Equipment Information'!C370="","", 'Equipment Information'!C370)</f>
        <v/>
      </c>
      <c r="E370">
        <f>IF(D370="","", IFERROR(VLOOKUP(D370, 'Hidden_Data'!M:N, 2, FALSE), "0"))</f>
        <v/>
      </c>
      <c r="H370">
        <f>IF(G370="","", IFERROR(VLOOKUP(G370, 'Hidden_Data'!M:N, 2, FALSE), "0"))</f>
        <v/>
      </c>
      <c r="K370">
        <f>IF(J370="","", IFERROR(VLOOKUP(J370, 'Hidden_Data'!M:N, 2, FALSE), "0"))</f>
        <v/>
      </c>
      <c r="N370">
        <f>IF(M370="","", IFERROR(VLOOKUP(M370, 'Hidden_Data'!M:N, 2, FALSE), "0"))</f>
        <v/>
      </c>
      <c r="Q370">
        <f>IF(P370="","", IFERROR(VLOOKUP(P370, 'Hidden_Data'!M:N, 2, FALSE), "0"))</f>
        <v/>
      </c>
      <c r="T370">
        <f>IF(A370="","", SUM(IF(F370="Yes", 0, IF(E370="", 0, IFERROR(VALUE(MID(E370, SEARCH("(",E370)+1, 1)),0))), IF(I370="Yes", 0, IF(H370="", 0, IFERROR(VALUE(MID(H370, SEARCH("(",H370)+1, 1)),0))), IF(L370="Yes", 0, IF(K370="", 0, IFERROR(VALUE(MID(K370, SEARCH("(",K370)+1, 1)),0))), IF(O370="Yes", 0, IF(N370="", 0, IFERROR(VALUE(MID(N370, SEARCH("(",N370)+1, 1)),0))), IF(R370="Yes", 0, IF(Q370="", 0, IFERROR(VALUE(MID(Q370, SEARCH("(",Q370)+1, 1)),0)))))</f>
        <v/>
      </c>
      <c r="U370">
        <f>IF(A370="","", IF(T370&gt;=5, "Priority 1 (Critical)", IF(T370&gt;=3, "Priority 2 (Major)", IF(T370&gt;=1, "Priority 3 (Minor)", "Pass/Fixed"))))</f>
        <v/>
      </c>
      <c r="V370">
        <f>IF(A370="","", IF(T370&gt;0, "FAIL", "PASS"))</f>
        <v/>
      </c>
    </row>
    <row r="371">
      <c r="A371">
        <f>IF('Equipment Information'!A371="","", 'Equipment Information'!A371)</f>
        <v/>
      </c>
      <c r="B371">
        <f>IF('Equipment Information'!B371="","", 'Equipment Information'!B371)</f>
        <v/>
      </c>
      <c r="C371">
        <f>IF('Equipment Information'!C371="","", 'Equipment Information'!C371)</f>
        <v/>
      </c>
      <c r="E371">
        <f>IF(D371="","", IFERROR(VLOOKUP(D371, 'Hidden_Data'!M:N, 2, FALSE), "0"))</f>
        <v/>
      </c>
      <c r="H371">
        <f>IF(G371="","", IFERROR(VLOOKUP(G371, 'Hidden_Data'!M:N, 2, FALSE), "0"))</f>
        <v/>
      </c>
      <c r="K371">
        <f>IF(J371="","", IFERROR(VLOOKUP(J371, 'Hidden_Data'!M:N, 2, FALSE), "0"))</f>
        <v/>
      </c>
      <c r="N371">
        <f>IF(M371="","", IFERROR(VLOOKUP(M371, 'Hidden_Data'!M:N, 2, FALSE), "0"))</f>
        <v/>
      </c>
      <c r="Q371">
        <f>IF(P371="","", IFERROR(VLOOKUP(P371, 'Hidden_Data'!M:N, 2, FALSE), "0"))</f>
        <v/>
      </c>
      <c r="T371">
        <f>IF(A371="","", SUM(IF(F371="Yes", 0, IF(E371="", 0, IFERROR(VALUE(MID(E371, SEARCH("(",E371)+1, 1)),0))), IF(I371="Yes", 0, IF(H371="", 0, IFERROR(VALUE(MID(H371, SEARCH("(",H371)+1, 1)),0))), IF(L371="Yes", 0, IF(K371="", 0, IFERROR(VALUE(MID(K371, SEARCH("(",K371)+1, 1)),0))), IF(O371="Yes", 0, IF(N371="", 0, IFERROR(VALUE(MID(N371, SEARCH("(",N371)+1, 1)),0))), IF(R371="Yes", 0, IF(Q371="", 0, IFERROR(VALUE(MID(Q371, SEARCH("(",Q371)+1, 1)),0)))))</f>
        <v/>
      </c>
      <c r="U371">
        <f>IF(A371="","", IF(T371&gt;=5, "Priority 1 (Critical)", IF(T371&gt;=3, "Priority 2 (Major)", IF(T371&gt;=1, "Priority 3 (Minor)", "Pass/Fixed"))))</f>
        <v/>
      </c>
      <c r="V371">
        <f>IF(A371="","", IF(T371&gt;0, "FAIL", "PASS"))</f>
        <v/>
      </c>
    </row>
    <row r="372">
      <c r="A372">
        <f>IF('Equipment Information'!A372="","", 'Equipment Information'!A372)</f>
        <v/>
      </c>
      <c r="B372">
        <f>IF('Equipment Information'!B372="","", 'Equipment Information'!B372)</f>
        <v/>
      </c>
      <c r="C372">
        <f>IF('Equipment Information'!C372="","", 'Equipment Information'!C372)</f>
        <v/>
      </c>
      <c r="E372">
        <f>IF(D372="","", IFERROR(VLOOKUP(D372, 'Hidden_Data'!M:N, 2, FALSE), "0"))</f>
        <v/>
      </c>
      <c r="H372">
        <f>IF(G372="","", IFERROR(VLOOKUP(G372, 'Hidden_Data'!M:N, 2, FALSE), "0"))</f>
        <v/>
      </c>
      <c r="K372">
        <f>IF(J372="","", IFERROR(VLOOKUP(J372, 'Hidden_Data'!M:N, 2, FALSE), "0"))</f>
        <v/>
      </c>
      <c r="N372">
        <f>IF(M372="","", IFERROR(VLOOKUP(M372, 'Hidden_Data'!M:N, 2, FALSE), "0"))</f>
        <v/>
      </c>
      <c r="Q372">
        <f>IF(P372="","", IFERROR(VLOOKUP(P372, 'Hidden_Data'!M:N, 2, FALSE), "0"))</f>
        <v/>
      </c>
      <c r="T372">
        <f>IF(A372="","", SUM(IF(F372="Yes", 0, IF(E372="", 0, IFERROR(VALUE(MID(E372, SEARCH("(",E372)+1, 1)),0))), IF(I372="Yes", 0, IF(H372="", 0, IFERROR(VALUE(MID(H372, SEARCH("(",H372)+1, 1)),0))), IF(L372="Yes", 0, IF(K372="", 0, IFERROR(VALUE(MID(K372, SEARCH("(",K372)+1, 1)),0))), IF(O372="Yes", 0, IF(N372="", 0, IFERROR(VALUE(MID(N372, SEARCH("(",N372)+1, 1)),0))), IF(R372="Yes", 0, IF(Q372="", 0, IFERROR(VALUE(MID(Q372, SEARCH("(",Q372)+1, 1)),0)))))</f>
        <v/>
      </c>
      <c r="U372">
        <f>IF(A372="","", IF(T372&gt;=5, "Priority 1 (Critical)", IF(T372&gt;=3, "Priority 2 (Major)", IF(T372&gt;=1, "Priority 3 (Minor)", "Pass/Fixed"))))</f>
        <v/>
      </c>
      <c r="V372">
        <f>IF(A372="","", IF(T372&gt;0, "FAIL", "PASS"))</f>
        <v/>
      </c>
    </row>
    <row r="373">
      <c r="A373">
        <f>IF('Equipment Information'!A373="","", 'Equipment Information'!A373)</f>
        <v/>
      </c>
      <c r="B373">
        <f>IF('Equipment Information'!B373="","", 'Equipment Information'!B373)</f>
        <v/>
      </c>
      <c r="C373">
        <f>IF('Equipment Information'!C373="","", 'Equipment Information'!C373)</f>
        <v/>
      </c>
      <c r="E373">
        <f>IF(D373="","", IFERROR(VLOOKUP(D373, 'Hidden_Data'!M:N, 2, FALSE), "0"))</f>
        <v/>
      </c>
      <c r="H373">
        <f>IF(G373="","", IFERROR(VLOOKUP(G373, 'Hidden_Data'!M:N, 2, FALSE), "0"))</f>
        <v/>
      </c>
      <c r="K373">
        <f>IF(J373="","", IFERROR(VLOOKUP(J373, 'Hidden_Data'!M:N, 2, FALSE), "0"))</f>
        <v/>
      </c>
      <c r="N373">
        <f>IF(M373="","", IFERROR(VLOOKUP(M373, 'Hidden_Data'!M:N, 2, FALSE), "0"))</f>
        <v/>
      </c>
      <c r="Q373">
        <f>IF(P373="","", IFERROR(VLOOKUP(P373, 'Hidden_Data'!M:N, 2, FALSE), "0"))</f>
        <v/>
      </c>
      <c r="T373">
        <f>IF(A373="","", SUM(IF(F373="Yes", 0, IF(E373="", 0, IFERROR(VALUE(MID(E373, SEARCH("(",E373)+1, 1)),0))), IF(I373="Yes", 0, IF(H373="", 0, IFERROR(VALUE(MID(H373, SEARCH("(",H373)+1, 1)),0))), IF(L373="Yes", 0, IF(K373="", 0, IFERROR(VALUE(MID(K373, SEARCH("(",K373)+1, 1)),0))), IF(O373="Yes", 0, IF(N373="", 0, IFERROR(VALUE(MID(N373, SEARCH("(",N373)+1, 1)),0))), IF(R373="Yes", 0, IF(Q373="", 0, IFERROR(VALUE(MID(Q373, SEARCH("(",Q373)+1, 1)),0)))))</f>
        <v/>
      </c>
      <c r="U373">
        <f>IF(A373="","", IF(T373&gt;=5, "Priority 1 (Critical)", IF(T373&gt;=3, "Priority 2 (Major)", IF(T373&gt;=1, "Priority 3 (Minor)", "Pass/Fixed"))))</f>
        <v/>
      </c>
      <c r="V373">
        <f>IF(A373="","", IF(T373&gt;0, "FAIL", "PASS"))</f>
        <v/>
      </c>
    </row>
    <row r="374">
      <c r="A374">
        <f>IF('Equipment Information'!A374="","", 'Equipment Information'!A374)</f>
        <v/>
      </c>
      <c r="B374">
        <f>IF('Equipment Information'!B374="","", 'Equipment Information'!B374)</f>
        <v/>
      </c>
      <c r="C374">
        <f>IF('Equipment Information'!C374="","", 'Equipment Information'!C374)</f>
        <v/>
      </c>
      <c r="E374">
        <f>IF(D374="","", IFERROR(VLOOKUP(D374, 'Hidden_Data'!M:N, 2, FALSE), "0"))</f>
        <v/>
      </c>
      <c r="H374">
        <f>IF(G374="","", IFERROR(VLOOKUP(G374, 'Hidden_Data'!M:N, 2, FALSE), "0"))</f>
        <v/>
      </c>
      <c r="K374">
        <f>IF(J374="","", IFERROR(VLOOKUP(J374, 'Hidden_Data'!M:N, 2, FALSE), "0"))</f>
        <v/>
      </c>
      <c r="N374">
        <f>IF(M374="","", IFERROR(VLOOKUP(M374, 'Hidden_Data'!M:N, 2, FALSE), "0"))</f>
        <v/>
      </c>
      <c r="Q374">
        <f>IF(P374="","", IFERROR(VLOOKUP(P374, 'Hidden_Data'!M:N, 2, FALSE), "0"))</f>
        <v/>
      </c>
      <c r="T374">
        <f>IF(A374="","", SUM(IF(F374="Yes", 0, IF(E374="", 0, IFERROR(VALUE(MID(E374, SEARCH("(",E374)+1, 1)),0))), IF(I374="Yes", 0, IF(H374="", 0, IFERROR(VALUE(MID(H374, SEARCH("(",H374)+1, 1)),0))), IF(L374="Yes", 0, IF(K374="", 0, IFERROR(VALUE(MID(K374, SEARCH("(",K374)+1, 1)),0))), IF(O374="Yes", 0, IF(N374="", 0, IFERROR(VALUE(MID(N374, SEARCH("(",N374)+1, 1)),0))), IF(R374="Yes", 0, IF(Q374="", 0, IFERROR(VALUE(MID(Q374, SEARCH("(",Q374)+1, 1)),0)))))</f>
        <v/>
      </c>
      <c r="U374">
        <f>IF(A374="","", IF(T374&gt;=5, "Priority 1 (Critical)", IF(T374&gt;=3, "Priority 2 (Major)", IF(T374&gt;=1, "Priority 3 (Minor)", "Pass/Fixed"))))</f>
        <v/>
      </c>
      <c r="V374">
        <f>IF(A374="","", IF(T374&gt;0, "FAIL", "PASS"))</f>
        <v/>
      </c>
    </row>
    <row r="375">
      <c r="A375">
        <f>IF('Equipment Information'!A375="","", 'Equipment Information'!A375)</f>
        <v/>
      </c>
      <c r="B375">
        <f>IF('Equipment Information'!B375="","", 'Equipment Information'!B375)</f>
        <v/>
      </c>
      <c r="C375">
        <f>IF('Equipment Information'!C375="","", 'Equipment Information'!C375)</f>
        <v/>
      </c>
      <c r="E375">
        <f>IF(D375="","", IFERROR(VLOOKUP(D375, 'Hidden_Data'!M:N, 2, FALSE), "0"))</f>
        <v/>
      </c>
      <c r="H375">
        <f>IF(G375="","", IFERROR(VLOOKUP(G375, 'Hidden_Data'!M:N, 2, FALSE), "0"))</f>
        <v/>
      </c>
      <c r="K375">
        <f>IF(J375="","", IFERROR(VLOOKUP(J375, 'Hidden_Data'!M:N, 2, FALSE), "0"))</f>
        <v/>
      </c>
      <c r="N375">
        <f>IF(M375="","", IFERROR(VLOOKUP(M375, 'Hidden_Data'!M:N, 2, FALSE), "0"))</f>
        <v/>
      </c>
      <c r="Q375">
        <f>IF(P375="","", IFERROR(VLOOKUP(P375, 'Hidden_Data'!M:N, 2, FALSE), "0"))</f>
        <v/>
      </c>
      <c r="T375">
        <f>IF(A375="","", SUM(IF(F375="Yes", 0, IF(E375="", 0, IFERROR(VALUE(MID(E375, SEARCH("(",E375)+1, 1)),0))), IF(I375="Yes", 0, IF(H375="", 0, IFERROR(VALUE(MID(H375, SEARCH("(",H375)+1, 1)),0))), IF(L375="Yes", 0, IF(K375="", 0, IFERROR(VALUE(MID(K375, SEARCH("(",K375)+1, 1)),0))), IF(O375="Yes", 0, IF(N375="", 0, IFERROR(VALUE(MID(N375, SEARCH("(",N375)+1, 1)),0))), IF(R375="Yes", 0, IF(Q375="", 0, IFERROR(VALUE(MID(Q375, SEARCH("(",Q375)+1, 1)),0)))))</f>
        <v/>
      </c>
      <c r="U375">
        <f>IF(A375="","", IF(T375&gt;=5, "Priority 1 (Critical)", IF(T375&gt;=3, "Priority 2 (Major)", IF(T375&gt;=1, "Priority 3 (Minor)", "Pass/Fixed"))))</f>
        <v/>
      </c>
      <c r="V375">
        <f>IF(A375="","", IF(T375&gt;0, "FAIL", "PASS"))</f>
        <v/>
      </c>
    </row>
    <row r="376">
      <c r="A376">
        <f>IF('Equipment Information'!A376="","", 'Equipment Information'!A376)</f>
        <v/>
      </c>
      <c r="B376">
        <f>IF('Equipment Information'!B376="","", 'Equipment Information'!B376)</f>
        <v/>
      </c>
      <c r="C376">
        <f>IF('Equipment Information'!C376="","", 'Equipment Information'!C376)</f>
        <v/>
      </c>
      <c r="E376">
        <f>IF(D376="","", IFERROR(VLOOKUP(D376, 'Hidden_Data'!M:N, 2, FALSE), "0"))</f>
        <v/>
      </c>
      <c r="H376">
        <f>IF(G376="","", IFERROR(VLOOKUP(G376, 'Hidden_Data'!M:N, 2, FALSE), "0"))</f>
        <v/>
      </c>
      <c r="K376">
        <f>IF(J376="","", IFERROR(VLOOKUP(J376, 'Hidden_Data'!M:N, 2, FALSE), "0"))</f>
        <v/>
      </c>
      <c r="N376">
        <f>IF(M376="","", IFERROR(VLOOKUP(M376, 'Hidden_Data'!M:N, 2, FALSE), "0"))</f>
        <v/>
      </c>
      <c r="Q376">
        <f>IF(P376="","", IFERROR(VLOOKUP(P376, 'Hidden_Data'!M:N, 2, FALSE), "0"))</f>
        <v/>
      </c>
      <c r="T376">
        <f>IF(A376="","", SUM(IF(F376="Yes", 0, IF(E376="", 0, IFERROR(VALUE(MID(E376, SEARCH("(",E376)+1, 1)),0))), IF(I376="Yes", 0, IF(H376="", 0, IFERROR(VALUE(MID(H376, SEARCH("(",H376)+1, 1)),0))), IF(L376="Yes", 0, IF(K376="", 0, IFERROR(VALUE(MID(K376, SEARCH("(",K376)+1, 1)),0))), IF(O376="Yes", 0, IF(N376="", 0, IFERROR(VALUE(MID(N376, SEARCH("(",N376)+1, 1)),0))), IF(R376="Yes", 0, IF(Q376="", 0, IFERROR(VALUE(MID(Q376, SEARCH("(",Q376)+1, 1)),0)))))</f>
        <v/>
      </c>
      <c r="U376">
        <f>IF(A376="","", IF(T376&gt;=5, "Priority 1 (Critical)", IF(T376&gt;=3, "Priority 2 (Major)", IF(T376&gt;=1, "Priority 3 (Minor)", "Pass/Fixed"))))</f>
        <v/>
      </c>
      <c r="V376">
        <f>IF(A376="","", IF(T376&gt;0, "FAIL", "PASS"))</f>
        <v/>
      </c>
    </row>
    <row r="377">
      <c r="A377">
        <f>IF('Equipment Information'!A377="","", 'Equipment Information'!A377)</f>
        <v/>
      </c>
      <c r="B377">
        <f>IF('Equipment Information'!B377="","", 'Equipment Information'!B377)</f>
        <v/>
      </c>
      <c r="C377">
        <f>IF('Equipment Information'!C377="","", 'Equipment Information'!C377)</f>
        <v/>
      </c>
      <c r="E377">
        <f>IF(D377="","", IFERROR(VLOOKUP(D377, 'Hidden_Data'!M:N, 2, FALSE), "0"))</f>
        <v/>
      </c>
      <c r="H377">
        <f>IF(G377="","", IFERROR(VLOOKUP(G377, 'Hidden_Data'!M:N, 2, FALSE), "0"))</f>
        <v/>
      </c>
      <c r="K377">
        <f>IF(J377="","", IFERROR(VLOOKUP(J377, 'Hidden_Data'!M:N, 2, FALSE), "0"))</f>
        <v/>
      </c>
      <c r="N377">
        <f>IF(M377="","", IFERROR(VLOOKUP(M377, 'Hidden_Data'!M:N, 2, FALSE), "0"))</f>
        <v/>
      </c>
      <c r="Q377">
        <f>IF(P377="","", IFERROR(VLOOKUP(P377, 'Hidden_Data'!M:N, 2, FALSE), "0"))</f>
        <v/>
      </c>
      <c r="T377">
        <f>IF(A377="","", SUM(IF(F377="Yes", 0, IF(E377="", 0, IFERROR(VALUE(MID(E377, SEARCH("(",E377)+1, 1)),0))), IF(I377="Yes", 0, IF(H377="", 0, IFERROR(VALUE(MID(H377, SEARCH("(",H377)+1, 1)),0))), IF(L377="Yes", 0, IF(K377="", 0, IFERROR(VALUE(MID(K377, SEARCH("(",K377)+1, 1)),0))), IF(O377="Yes", 0, IF(N377="", 0, IFERROR(VALUE(MID(N377, SEARCH("(",N377)+1, 1)),0))), IF(R377="Yes", 0, IF(Q377="", 0, IFERROR(VALUE(MID(Q377, SEARCH("(",Q377)+1, 1)),0)))))</f>
        <v/>
      </c>
      <c r="U377">
        <f>IF(A377="","", IF(T377&gt;=5, "Priority 1 (Critical)", IF(T377&gt;=3, "Priority 2 (Major)", IF(T377&gt;=1, "Priority 3 (Minor)", "Pass/Fixed"))))</f>
        <v/>
      </c>
      <c r="V377">
        <f>IF(A377="","", IF(T377&gt;0, "FAIL", "PASS"))</f>
        <v/>
      </c>
    </row>
    <row r="378">
      <c r="A378">
        <f>IF('Equipment Information'!A378="","", 'Equipment Information'!A378)</f>
        <v/>
      </c>
      <c r="B378">
        <f>IF('Equipment Information'!B378="","", 'Equipment Information'!B378)</f>
        <v/>
      </c>
      <c r="C378">
        <f>IF('Equipment Information'!C378="","", 'Equipment Information'!C378)</f>
        <v/>
      </c>
      <c r="E378">
        <f>IF(D378="","", IFERROR(VLOOKUP(D378, 'Hidden_Data'!M:N, 2, FALSE), "0"))</f>
        <v/>
      </c>
      <c r="H378">
        <f>IF(G378="","", IFERROR(VLOOKUP(G378, 'Hidden_Data'!M:N, 2, FALSE), "0"))</f>
        <v/>
      </c>
      <c r="K378">
        <f>IF(J378="","", IFERROR(VLOOKUP(J378, 'Hidden_Data'!M:N, 2, FALSE), "0"))</f>
        <v/>
      </c>
      <c r="N378">
        <f>IF(M378="","", IFERROR(VLOOKUP(M378, 'Hidden_Data'!M:N, 2, FALSE), "0"))</f>
        <v/>
      </c>
      <c r="Q378">
        <f>IF(P378="","", IFERROR(VLOOKUP(P378, 'Hidden_Data'!M:N, 2, FALSE), "0"))</f>
        <v/>
      </c>
      <c r="T378">
        <f>IF(A378="","", SUM(IF(F378="Yes", 0, IF(E378="", 0, IFERROR(VALUE(MID(E378, SEARCH("(",E378)+1, 1)),0))), IF(I378="Yes", 0, IF(H378="", 0, IFERROR(VALUE(MID(H378, SEARCH("(",H378)+1, 1)),0))), IF(L378="Yes", 0, IF(K378="", 0, IFERROR(VALUE(MID(K378, SEARCH("(",K378)+1, 1)),0))), IF(O378="Yes", 0, IF(N378="", 0, IFERROR(VALUE(MID(N378, SEARCH("(",N378)+1, 1)),0))), IF(R378="Yes", 0, IF(Q378="", 0, IFERROR(VALUE(MID(Q378, SEARCH("(",Q378)+1, 1)),0)))))</f>
        <v/>
      </c>
      <c r="U378">
        <f>IF(A378="","", IF(T378&gt;=5, "Priority 1 (Critical)", IF(T378&gt;=3, "Priority 2 (Major)", IF(T378&gt;=1, "Priority 3 (Minor)", "Pass/Fixed"))))</f>
        <v/>
      </c>
      <c r="V378">
        <f>IF(A378="","", IF(T378&gt;0, "FAIL", "PASS"))</f>
        <v/>
      </c>
    </row>
    <row r="379">
      <c r="A379">
        <f>IF('Equipment Information'!A379="","", 'Equipment Information'!A379)</f>
        <v/>
      </c>
      <c r="B379">
        <f>IF('Equipment Information'!B379="","", 'Equipment Information'!B379)</f>
        <v/>
      </c>
      <c r="C379">
        <f>IF('Equipment Information'!C379="","", 'Equipment Information'!C379)</f>
        <v/>
      </c>
      <c r="E379">
        <f>IF(D379="","", IFERROR(VLOOKUP(D379, 'Hidden_Data'!M:N, 2, FALSE), "0"))</f>
        <v/>
      </c>
      <c r="H379">
        <f>IF(G379="","", IFERROR(VLOOKUP(G379, 'Hidden_Data'!M:N, 2, FALSE), "0"))</f>
        <v/>
      </c>
      <c r="K379">
        <f>IF(J379="","", IFERROR(VLOOKUP(J379, 'Hidden_Data'!M:N, 2, FALSE), "0"))</f>
        <v/>
      </c>
      <c r="N379">
        <f>IF(M379="","", IFERROR(VLOOKUP(M379, 'Hidden_Data'!M:N, 2, FALSE), "0"))</f>
        <v/>
      </c>
      <c r="Q379">
        <f>IF(P379="","", IFERROR(VLOOKUP(P379, 'Hidden_Data'!M:N, 2, FALSE), "0"))</f>
        <v/>
      </c>
      <c r="T379">
        <f>IF(A379="","", SUM(IF(F379="Yes", 0, IF(E379="", 0, IFERROR(VALUE(MID(E379, SEARCH("(",E379)+1, 1)),0))), IF(I379="Yes", 0, IF(H379="", 0, IFERROR(VALUE(MID(H379, SEARCH("(",H379)+1, 1)),0))), IF(L379="Yes", 0, IF(K379="", 0, IFERROR(VALUE(MID(K379, SEARCH("(",K379)+1, 1)),0))), IF(O379="Yes", 0, IF(N379="", 0, IFERROR(VALUE(MID(N379, SEARCH("(",N379)+1, 1)),0))), IF(R379="Yes", 0, IF(Q379="", 0, IFERROR(VALUE(MID(Q379, SEARCH("(",Q379)+1, 1)),0)))))</f>
        <v/>
      </c>
      <c r="U379">
        <f>IF(A379="","", IF(T379&gt;=5, "Priority 1 (Critical)", IF(T379&gt;=3, "Priority 2 (Major)", IF(T379&gt;=1, "Priority 3 (Minor)", "Pass/Fixed"))))</f>
        <v/>
      </c>
      <c r="V379">
        <f>IF(A379="","", IF(T379&gt;0, "FAIL", "PASS"))</f>
        <v/>
      </c>
    </row>
    <row r="380">
      <c r="A380">
        <f>IF('Equipment Information'!A380="","", 'Equipment Information'!A380)</f>
        <v/>
      </c>
      <c r="B380">
        <f>IF('Equipment Information'!B380="","", 'Equipment Information'!B380)</f>
        <v/>
      </c>
      <c r="C380">
        <f>IF('Equipment Information'!C380="","", 'Equipment Information'!C380)</f>
        <v/>
      </c>
      <c r="E380">
        <f>IF(D380="","", IFERROR(VLOOKUP(D380, 'Hidden_Data'!M:N, 2, FALSE), "0"))</f>
        <v/>
      </c>
      <c r="H380">
        <f>IF(G380="","", IFERROR(VLOOKUP(G380, 'Hidden_Data'!M:N, 2, FALSE), "0"))</f>
        <v/>
      </c>
      <c r="K380">
        <f>IF(J380="","", IFERROR(VLOOKUP(J380, 'Hidden_Data'!M:N, 2, FALSE), "0"))</f>
        <v/>
      </c>
      <c r="N380">
        <f>IF(M380="","", IFERROR(VLOOKUP(M380, 'Hidden_Data'!M:N, 2, FALSE), "0"))</f>
        <v/>
      </c>
      <c r="Q380">
        <f>IF(P380="","", IFERROR(VLOOKUP(P380, 'Hidden_Data'!M:N, 2, FALSE), "0"))</f>
        <v/>
      </c>
      <c r="T380">
        <f>IF(A380="","", SUM(IF(F380="Yes", 0, IF(E380="", 0, IFERROR(VALUE(MID(E380, SEARCH("(",E380)+1, 1)),0))), IF(I380="Yes", 0, IF(H380="", 0, IFERROR(VALUE(MID(H380, SEARCH("(",H380)+1, 1)),0))), IF(L380="Yes", 0, IF(K380="", 0, IFERROR(VALUE(MID(K380, SEARCH("(",K380)+1, 1)),0))), IF(O380="Yes", 0, IF(N380="", 0, IFERROR(VALUE(MID(N380, SEARCH("(",N380)+1, 1)),0))), IF(R380="Yes", 0, IF(Q380="", 0, IFERROR(VALUE(MID(Q380, SEARCH("(",Q380)+1, 1)),0)))))</f>
        <v/>
      </c>
      <c r="U380">
        <f>IF(A380="","", IF(T380&gt;=5, "Priority 1 (Critical)", IF(T380&gt;=3, "Priority 2 (Major)", IF(T380&gt;=1, "Priority 3 (Minor)", "Pass/Fixed"))))</f>
        <v/>
      </c>
      <c r="V380">
        <f>IF(A380="","", IF(T380&gt;0, "FAIL", "PASS"))</f>
        <v/>
      </c>
    </row>
    <row r="381">
      <c r="A381">
        <f>IF('Equipment Information'!A381="","", 'Equipment Information'!A381)</f>
        <v/>
      </c>
      <c r="B381">
        <f>IF('Equipment Information'!B381="","", 'Equipment Information'!B381)</f>
        <v/>
      </c>
      <c r="C381">
        <f>IF('Equipment Information'!C381="","", 'Equipment Information'!C381)</f>
        <v/>
      </c>
      <c r="E381">
        <f>IF(D381="","", IFERROR(VLOOKUP(D381, 'Hidden_Data'!M:N, 2, FALSE), "0"))</f>
        <v/>
      </c>
      <c r="H381">
        <f>IF(G381="","", IFERROR(VLOOKUP(G381, 'Hidden_Data'!M:N, 2, FALSE), "0"))</f>
        <v/>
      </c>
      <c r="K381">
        <f>IF(J381="","", IFERROR(VLOOKUP(J381, 'Hidden_Data'!M:N, 2, FALSE), "0"))</f>
        <v/>
      </c>
      <c r="N381">
        <f>IF(M381="","", IFERROR(VLOOKUP(M381, 'Hidden_Data'!M:N, 2, FALSE), "0"))</f>
        <v/>
      </c>
      <c r="Q381">
        <f>IF(P381="","", IFERROR(VLOOKUP(P381, 'Hidden_Data'!M:N, 2, FALSE), "0"))</f>
        <v/>
      </c>
      <c r="T381">
        <f>IF(A381="","", SUM(IF(F381="Yes", 0, IF(E381="", 0, IFERROR(VALUE(MID(E381, SEARCH("(",E381)+1, 1)),0))), IF(I381="Yes", 0, IF(H381="", 0, IFERROR(VALUE(MID(H381, SEARCH("(",H381)+1, 1)),0))), IF(L381="Yes", 0, IF(K381="", 0, IFERROR(VALUE(MID(K381, SEARCH("(",K381)+1, 1)),0))), IF(O381="Yes", 0, IF(N381="", 0, IFERROR(VALUE(MID(N381, SEARCH("(",N381)+1, 1)),0))), IF(R381="Yes", 0, IF(Q381="", 0, IFERROR(VALUE(MID(Q381, SEARCH("(",Q381)+1, 1)),0)))))</f>
        <v/>
      </c>
      <c r="U381">
        <f>IF(A381="","", IF(T381&gt;=5, "Priority 1 (Critical)", IF(T381&gt;=3, "Priority 2 (Major)", IF(T381&gt;=1, "Priority 3 (Minor)", "Pass/Fixed"))))</f>
        <v/>
      </c>
      <c r="V381">
        <f>IF(A381="","", IF(T381&gt;0, "FAIL", "PASS"))</f>
        <v/>
      </c>
    </row>
    <row r="382">
      <c r="A382">
        <f>IF('Equipment Information'!A382="","", 'Equipment Information'!A382)</f>
        <v/>
      </c>
      <c r="B382">
        <f>IF('Equipment Information'!B382="","", 'Equipment Information'!B382)</f>
        <v/>
      </c>
      <c r="C382">
        <f>IF('Equipment Information'!C382="","", 'Equipment Information'!C382)</f>
        <v/>
      </c>
      <c r="E382">
        <f>IF(D382="","", IFERROR(VLOOKUP(D382, 'Hidden_Data'!M:N, 2, FALSE), "0"))</f>
        <v/>
      </c>
      <c r="H382">
        <f>IF(G382="","", IFERROR(VLOOKUP(G382, 'Hidden_Data'!M:N, 2, FALSE), "0"))</f>
        <v/>
      </c>
      <c r="K382">
        <f>IF(J382="","", IFERROR(VLOOKUP(J382, 'Hidden_Data'!M:N, 2, FALSE), "0"))</f>
        <v/>
      </c>
      <c r="N382">
        <f>IF(M382="","", IFERROR(VLOOKUP(M382, 'Hidden_Data'!M:N, 2, FALSE), "0"))</f>
        <v/>
      </c>
      <c r="Q382">
        <f>IF(P382="","", IFERROR(VLOOKUP(P382, 'Hidden_Data'!M:N, 2, FALSE), "0"))</f>
        <v/>
      </c>
      <c r="T382">
        <f>IF(A382="","", SUM(IF(F382="Yes", 0, IF(E382="", 0, IFERROR(VALUE(MID(E382, SEARCH("(",E382)+1, 1)),0))), IF(I382="Yes", 0, IF(H382="", 0, IFERROR(VALUE(MID(H382, SEARCH("(",H382)+1, 1)),0))), IF(L382="Yes", 0, IF(K382="", 0, IFERROR(VALUE(MID(K382, SEARCH("(",K382)+1, 1)),0))), IF(O382="Yes", 0, IF(N382="", 0, IFERROR(VALUE(MID(N382, SEARCH("(",N382)+1, 1)),0))), IF(R382="Yes", 0, IF(Q382="", 0, IFERROR(VALUE(MID(Q382, SEARCH("(",Q382)+1, 1)),0)))))</f>
        <v/>
      </c>
      <c r="U382">
        <f>IF(A382="","", IF(T382&gt;=5, "Priority 1 (Critical)", IF(T382&gt;=3, "Priority 2 (Major)", IF(T382&gt;=1, "Priority 3 (Minor)", "Pass/Fixed"))))</f>
        <v/>
      </c>
      <c r="V382">
        <f>IF(A382="","", IF(T382&gt;0, "FAIL", "PASS"))</f>
        <v/>
      </c>
    </row>
    <row r="383">
      <c r="A383">
        <f>IF('Equipment Information'!A383="","", 'Equipment Information'!A383)</f>
        <v/>
      </c>
      <c r="B383">
        <f>IF('Equipment Information'!B383="","", 'Equipment Information'!B383)</f>
        <v/>
      </c>
      <c r="C383">
        <f>IF('Equipment Information'!C383="","", 'Equipment Information'!C383)</f>
        <v/>
      </c>
      <c r="E383">
        <f>IF(D383="","", IFERROR(VLOOKUP(D383, 'Hidden_Data'!M:N, 2, FALSE), "0"))</f>
        <v/>
      </c>
      <c r="H383">
        <f>IF(G383="","", IFERROR(VLOOKUP(G383, 'Hidden_Data'!M:N, 2, FALSE), "0"))</f>
        <v/>
      </c>
      <c r="K383">
        <f>IF(J383="","", IFERROR(VLOOKUP(J383, 'Hidden_Data'!M:N, 2, FALSE), "0"))</f>
        <v/>
      </c>
      <c r="N383">
        <f>IF(M383="","", IFERROR(VLOOKUP(M383, 'Hidden_Data'!M:N, 2, FALSE), "0"))</f>
        <v/>
      </c>
      <c r="Q383">
        <f>IF(P383="","", IFERROR(VLOOKUP(P383, 'Hidden_Data'!M:N, 2, FALSE), "0"))</f>
        <v/>
      </c>
      <c r="T383">
        <f>IF(A383="","", SUM(IF(F383="Yes", 0, IF(E383="", 0, IFERROR(VALUE(MID(E383, SEARCH("(",E383)+1, 1)),0))), IF(I383="Yes", 0, IF(H383="", 0, IFERROR(VALUE(MID(H383, SEARCH("(",H383)+1, 1)),0))), IF(L383="Yes", 0, IF(K383="", 0, IFERROR(VALUE(MID(K383, SEARCH("(",K383)+1, 1)),0))), IF(O383="Yes", 0, IF(N383="", 0, IFERROR(VALUE(MID(N383, SEARCH("(",N383)+1, 1)),0))), IF(R383="Yes", 0, IF(Q383="", 0, IFERROR(VALUE(MID(Q383, SEARCH("(",Q383)+1, 1)),0)))))</f>
        <v/>
      </c>
      <c r="U383">
        <f>IF(A383="","", IF(T383&gt;=5, "Priority 1 (Critical)", IF(T383&gt;=3, "Priority 2 (Major)", IF(T383&gt;=1, "Priority 3 (Minor)", "Pass/Fixed"))))</f>
        <v/>
      </c>
      <c r="V383">
        <f>IF(A383="","", IF(T383&gt;0, "FAIL", "PASS"))</f>
        <v/>
      </c>
    </row>
    <row r="384">
      <c r="A384">
        <f>IF('Equipment Information'!A384="","", 'Equipment Information'!A384)</f>
        <v/>
      </c>
      <c r="B384">
        <f>IF('Equipment Information'!B384="","", 'Equipment Information'!B384)</f>
        <v/>
      </c>
      <c r="C384">
        <f>IF('Equipment Information'!C384="","", 'Equipment Information'!C384)</f>
        <v/>
      </c>
      <c r="E384">
        <f>IF(D384="","", IFERROR(VLOOKUP(D384, 'Hidden_Data'!M:N, 2, FALSE), "0"))</f>
        <v/>
      </c>
      <c r="H384">
        <f>IF(G384="","", IFERROR(VLOOKUP(G384, 'Hidden_Data'!M:N, 2, FALSE), "0"))</f>
        <v/>
      </c>
      <c r="K384">
        <f>IF(J384="","", IFERROR(VLOOKUP(J384, 'Hidden_Data'!M:N, 2, FALSE), "0"))</f>
        <v/>
      </c>
      <c r="N384">
        <f>IF(M384="","", IFERROR(VLOOKUP(M384, 'Hidden_Data'!M:N, 2, FALSE), "0"))</f>
        <v/>
      </c>
      <c r="Q384">
        <f>IF(P384="","", IFERROR(VLOOKUP(P384, 'Hidden_Data'!M:N, 2, FALSE), "0"))</f>
        <v/>
      </c>
      <c r="T384">
        <f>IF(A384="","", SUM(IF(F384="Yes", 0, IF(E384="", 0, IFERROR(VALUE(MID(E384, SEARCH("(",E384)+1, 1)),0))), IF(I384="Yes", 0, IF(H384="", 0, IFERROR(VALUE(MID(H384, SEARCH("(",H384)+1, 1)),0))), IF(L384="Yes", 0, IF(K384="", 0, IFERROR(VALUE(MID(K384, SEARCH("(",K384)+1, 1)),0))), IF(O384="Yes", 0, IF(N384="", 0, IFERROR(VALUE(MID(N384, SEARCH("(",N384)+1, 1)),0))), IF(R384="Yes", 0, IF(Q384="", 0, IFERROR(VALUE(MID(Q384, SEARCH("(",Q384)+1, 1)),0)))))</f>
        <v/>
      </c>
      <c r="U384">
        <f>IF(A384="","", IF(T384&gt;=5, "Priority 1 (Critical)", IF(T384&gt;=3, "Priority 2 (Major)", IF(T384&gt;=1, "Priority 3 (Minor)", "Pass/Fixed"))))</f>
        <v/>
      </c>
      <c r="V384">
        <f>IF(A384="","", IF(T384&gt;0, "FAIL", "PASS"))</f>
        <v/>
      </c>
    </row>
    <row r="385">
      <c r="A385">
        <f>IF('Equipment Information'!A385="","", 'Equipment Information'!A385)</f>
        <v/>
      </c>
      <c r="B385">
        <f>IF('Equipment Information'!B385="","", 'Equipment Information'!B385)</f>
        <v/>
      </c>
      <c r="C385">
        <f>IF('Equipment Information'!C385="","", 'Equipment Information'!C385)</f>
        <v/>
      </c>
      <c r="E385">
        <f>IF(D385="","", IFERROR(VLOOKUP(D385, 'Hidden_Data'!M:N, 2, FALSE), "0"))</f>
        <v/>
      </c>
      <c r="H385">
        <f>IF(G385="","", IFERROR(VLOOKUP(G385, 'Hidden_Data'!M:N, 2, FALSE), "0"))</f>
        <v/>
      </c>
      <c r="K385">
        <f>IF(J385="","", IFERROR(VLOOKUP(J385, 'Hidden_Data'!M:N, 2, FALSE), "0"))</f>
        <v/>
      </c>
      <c r="N385">
        <f>IF(M385="","", IFERROR(VLOOKUP(M385, 'Hidden_Data'!M:N, 2, FALSE), "0"))</f>
        <v/>
      </c>
      <c r="Q385">
        <f>IF(P385="","", IFERROR(VLOOKUP(P385, 'Hidden_Data'!M:N, 2, FALSE), "0"))</f>
        <v/>
      </c>
      <c r="T385">
        <f>IF(A385="","", SUM(IF(F385="Yes", 0, IF(E385="", 0, IFERROR(VALUE(MID(E385, SEARCH("(",E385)+1, 1)),0))), IF(I385="Yes", 0, IF(H385="", 0, IFERROR(VALUE(MID(H385, SEARCH("(",H385)+1, 1)),0))), IF(L385="Yes", 0, IF(K385="", 0, IFERROR(VALUE(MID(K385, SEARCH("(",K385)+1, 1)),0))), IF(O385="Yes", 0, IF(N385="", 0, IFERROR(VALUE(MID(N385, SEARCH("(",N385)+1, 1)),0))), IF(R385="Yes", 0, IF(Q385="", 0, IFERROR(VALUE(MID(Q385, SEARCH("(",Q385)+1, 1)),0)))))</f>
        <v/>
      </c>
      <c r="U385">
        <f>IF(A385="","", IF(T385&gt;=5, "Priority 1 (Critical)", IF(T385&gt;=3, "Priority 2 (Major)", IF(T385&gt;=1, "Priority 3 (Minor)", "Pass/Fixed"))))</f>
        <v/>
      </c>
      <c r="V385">
        <f>IF(A385="","", IF(T385&gt;0, "FAIL", "PASS"))</f>
        <v/>
      </c>
    </row>
    <row r="386">
      <c r="A386">
        <f>IF('Equipment Information'!A386="","", 'Equipment Information'!A386)</f>
        <v/>
      </c>
      <c r="B386">
        <f>IF('Equipment Information'!B386="","", 'Equipment Information'!B386)</f>
        <v/>
      </c>
      <c r="C386">
        <f>IF('Equipment Information'!C386="","", 'Equipment Information'!C386)</f>
        <v/>
      </c>
      <c r="E386">
        <f>IF(D386="","", IFERROR(VLOOKUP(D386, 'Hidden_Data'!M:N, 2, FALSE), "0"))</f>
        <v/>
      </c>
      <c r="H386">
        <f>IF(G386="","", IFERROR(VLOOKUP(G386, 'Hidden_Data'!M:N, 2, FALSE), "0"))</f>
        <v/>
      </c>
      <c r="K386">
        <f>IF(J386="","", IFERROR(VLOOKUP(J386, 'Hidden_Data'!M:N, 2, FALSE), "0"))</f>
        <v/>
      </c>
      <c r="N386">
        <f>IF(M386="","", IFERROR(VLOOKUP(M386, 'Hidden_Data'!M:N, 2, FALSE), "0"))</f>
        <v/>
      </c>
      <c r="Q386">
        <f>IF(P386="","", IFERROR(VLOOKUP(P386, 'Hidden_Data'!M:N, 2, FALSE), "0"))</f>
        <v/>
      </c>
      <c r="T386">
        <f>IF(A386="","", SUM(IF(F386="Yes", 0, IF(E386="", 0, IFERROR(VALUE(MID(E386, SEARCH("(",E386)+1, 1)),0))), IF(I386="Yes", 0, IF(H386="", 0, IFERROR(VALUE(MID(H386, SEARCH("(",H386)+1, 1)),0))), IF(L386="Yes", 0, IF(K386="", 0, IFERROR(VALUE(MID(K386, SEARCH("(",K386)+1, 1)),0))), IF(O386="Yes", 0, IF(N386="", 0, IFERROR(VALUE(MID(N386, SEARCH("(",N386)+1, 1)),0))), IF(R386="Yes", 0, IF(Q386="", 0, IFERROR(VALUE(MID(Q386, SEARCH("(",Q386)+1, 1)),0)))))</f>
        <v/>
      </c>
      <c r="U386">
        <f>IF(A386="","", IF(T386&gt;=5, "Priority 1 (Critical)", IF(T386&gt;=3, "Priority 2 (Major)", IF(T386&gt;=1, "Priority 3 (Minor)", "Pass/Fixed"))))</f>
        <v/>
      </c>
      <c r="V386">
        <f>IF(A386="","", IF(T386&gt;0, "FAIL", "PASS"))</f>
        <v/>
      </c>
    </row>
    <row r="387">
      <c r="A387">
        <f>IF('Equipment Information'!A387="","", 'Equipment Information'!A387)</f>
        <v/>
      </c>
      <c r="B387">
        <f>IF('Equipment Information'!B387="","", 'Equipment Information'!B387)</f>
        <v/>
      </c>
      <c r="C387">
        <f>IF('Equipment Information'!C387="","", 'Equipment Information'!C387)</f>
        <v/>
      </c>
      <c r="E387">
        <f>IF(D387="","", IFERROR(VLOOKUP(D387, 'Hidden_Data'!M:N, 2, FALSE), "0"))</f>
        <v/>
      </c>
      <c r="H387">
        <f>IF(G387="","", IFERROR(VLOOKUP(G387, 'Hidden_Data'!M:N, 2, FALSE), "0"))</f>
        <v/>
      </c>
      <c r="K387">
        <f>IF(J387="","", IFERROR(VLOOKUP(J387, 'Hidden_Data'!M:N, 2, FALSE), "0"))</f>
        <v/>
      </c>
      <c r="N387">
        <f>IF(M387="","", IFERROR(VLOOKUP(M387, 'Hidden_Data'!M:N, 2, FALSE), "0"))</f>
        <v/>
      </c>
      <c r="Q387">
        <f>IF(P387="","", IFERROR(VLOOKUP(P387, 'Hidden_Data'!M:N, 2, FALSE), "0"))</f>
        <v/>
      </c>
      <c r="T387">
        <f>IF(A387="","", SUM(IF(F387="Yes", 0, IF(E387="", 0, IFERROR(VALUE(MID(E387, SEARCH("(",E387)+1, 1)),0))), IF(I387="Yes", 0, IF(H387="", 0, IFERROR(VALUE(MID(H387, SEARCH("(",H387)+1, 1)),0))), IF(L387="Yes", 0, IF(K387="", 0, IFERROR(VALUE(MID(K387, SEARCH("(",K387)+1, 1)),0))), IF(O387="Yes", 0, IF(N387="", 0, IFERROR(VALUE(MID(N387, SEARCH("(",N387)+1, 1)),0))), IF(R387="Yes", 0, IF(Q387="", 0, IFERROR(VALUE(MID(Q387, SEARCH("(",Q387)+1, 1)),0)))))</f>
        <v/>
      </c>
      <c r="U387">
        <f>IF(A387="","", IF(T387&gt;=5, "Priority 1 (Critical)", IF(T387&gt;=3, "Priority 2 (Major)", IF(T387&gt;=1, "Priority 3 (Minor)", "Pass/Fixed"))))</f>
        <v/>
      </c>
      <c r="V387">
        <f>IF(A387="","", IF(T387&gt;0, "FAIL", "PASS"))</f>
        <v/>
      </c>
    </row>
    <row r="388">
      <c r="A388">
        <f>IF('Equipment Information'!A388="","", 'Equipment Information'!A388)</f>
        <v/>
      </c>
      <c r="B388">
        <f>IF('Equipment Information'!B388="","", 'Equipment Information'!B388)</f>
        <v/>
      </c>
      <c r="C388">
        <f>IF('Equipment Information'!C388="","", 'Equipment Information'!C388)</f>
        <v/>
      </c>
      <c r="E388">
        <f>IF(D388="","", IFERROR(VLOOKUP(D388, 'Hidden_Data'!M:N, 2, FALSE), "0"))</f>
        <v/>
      </c>
      <c r="H388">
        <f>IF(G388="","", IFERROR(VLOOKUP(G388, 'Hidden_Data'!M:N, 2, FALSE), "0"))</f>
        <v/>
      </c>
      <c r="K388">
        <f>IF(J388="","", IFERROR(VLOOKUP(J388, 'Hidden_Data'!M:N, 2, FALSE), "0"))</f>
        <v/>
      </c>
      <c r="N388">
        <f>IF(M388="","", IFERROR(VLOOKUP(M388, 'Hidden_Data'!M:N, 2, FALSE), "0"))</f>
        <v/>
      </c>
      <c r="Q388">
        <f>IF(P388="","", IFERROR(VLOOKUP(P388, 'Hidden_Data'!M:N, 2, FALSE), "0"))</f>
        <v/>
      </c>
      <c r="T388">
        <f>IF(A388="","", SUM(IF(F388="Yes", 0, IF(E388="", 0, IFERROR(VALUE(MID(E388, SEARCH("(",E388)+1, 1)),0))), IF(I388="Yes", 0, IF(H388="", 0, IFERROR(VALUE(MID(H388, SEARCH("(",H388)+1, 1)),0))), IF(L388="Yes", 0, IF(K388="", 0, IFERROR(VALUE(MID(K388, SEARCH("(",K388)+1, 1)),0))), IF(O388="Yes", 0, IF(N388="", 0, IFERROR(VALUE(MID(N388, SEARCH("(",N388)+1, 1)),0))), IF(R388="Yes", 0, IF(Q388="", 0, IFERROR(VALUE(MID(Q388, SEARCH("(",Q388)+1, 1)),0)))))</f>
        <v/>
      </c>
      <c r="U388">
        <f>IF(A388="","", IF(T388&gt;=5, "Priority 1 (Critical)", IF(T388&gt;=3, "Priority 2 (Major)", IF(T388&gt;=1, "Priority 3 (Minor)", "Pass/Fixed"))))</f>
        <v/>
      </c>
      <c r="V388">
        <f>IF(A388="","", IF(T388&gt;0, "FAIL", "PASS"))</f>
        <v/>
      </c>
    </row>
    <row r="389">
      <c r="A389">
        <f>IF('Equipment Information'!A389="","", 'Equipment Information'!A389)</f>
        <v/>
      </c>
      <c r="B389">
        <f>IF('Equipment Information'!B389="","", 'Equipment Information'!B389)</f>
        <v/>
      </c>
      <c r="C389">
        <f>IF('Equipment Information'!C389="","", 'Equipment Information'!C389)</f>
        <v/>
      </c>
      <c r="E389">
        <f>IF(D389="","", IFERROR(VLOOKUP(D389, 'Hidden_Data'!M:N, 2, FALSE), "0"))</f>
        <v/>
      </c>
      <c r="H389">
        <f>IF(G389="","", IFERROR(VLOOKUP(G389, 'Hidden_Data'!M:N, 2, FALSE), "0"))</f>
        <v/>
      </c>
      <c r="K389">
        <f>IF(J389="","", IFERROR(VLOOKUP(J389, 'Hidden_Data'!M:N, 2, FALSE), "0"))</f>
        <v/>
      </c>
      <c r="N389">
        <f>IF(M389="","", IFERROR(VLOOKUP(M389, 'Hidden_Data'!M:N, 2, FALSE), "0"))</f>
        <v/>
      </c>
      <c r="Q389">
        <f>IF(P389="","", IFERROR(VLOOKUP(P389, 'Hidden_Data'!M:N, 2, FALSE), "0"))</f>
        <v/>
      </c>
      <c r="T389">
        <f>IF(A389="","", SUM(IF(F389="Yes", 0, IF(E389="", 0, IFERROR(VALUE(MID(E389, SEARCH("(",E389)+1, 1)),0))), IF(I389="Yes", 0, IF(H389="", 0, IFERROR(VALUE(MID(H389, SEARCH("(",H389)+1, 1)),0))), IF(L389="Yes", 0, IF(K389="", 0, IFERROR(VALUE(MID(K389, SEARCH("(",K389)+1, 1)),0))), IF(O389="Yes", 0, IF(N389="", 0, IFERROR(VALUE(MID(N389, SEARCH("(",N389)+1, 1)),0))), IF(R389="Yes", 0, IF(Q389="", 0, IFERROR(VALUE(MID(Q389, SEARCH("(",Q389)+1, 1)),0)))))</f>
        <v/>
      </c>
      <c r="U389">
        <f>IF(A389="","", IF(T389&gt;=5, "Priority 1 (Critical)", IF(T389&gt;=3, "Priority 2 (Major)", IF(T389&gt;=1, "Priority 3 (Minor)", "Pass/Fixed"))))</f>
        <v/>
      </c>
      <c r="V389">
        <f>IF(A389="","", IF(T389&gt;0, "FAIL", "PASS"))</f>
        <v/>
      </c>
    </row>
    <row r="390">
      <c r="A390">
        <f>IF('Equipment Information'!A390="","", 'Equipment Information'!A390)</f>
        <v/>
      </c>
      <c r="B390">
        <f>IF('Equipment Information'!B390="","", 'Equipment Information'!B390)</f>
        <v/>
      </c>
      <c r="C390">
        <f>IF('Equipment Information'!C390="","", 'Equipment Information'!C390)</f>
        <v/>
      </c>
      <c r="E390">
        <f>IF(D390="","", IFERROR(VLOOKUP(D390, 'Hidden_Data'!M:N, 2, FALSE), "0"))</f>
        <v/>
      </c>
      <c r="H390">
        <f>IF(G390="","", IFERROR(VLOOKUP(G390, 'Hidden_Data'!M:N, 2, FALSE), "0"))</f>
        <v/>
      </c>
      <c r="K390">
        <f>IF(J390="","", IFERROR(VLOOKUP(J390, 'Hidden_Data'!M:N, 2, FALSE), "0"))</f>
        <v/>
      </c>
      <c r="N390">
        <f>IF(M390="","", IFERROR(VLOOKUP(M390, 'Hidden_Data'!M:N, 2, FALSE), "0"))</f>
        <v/>
      </c>
      <c r="Q390">
        <f>IF(P390="","", IFERROR(VLOOKUP(P390, 'Hidden_Data'!M:N, 2, FALSE), "0"))</f>
        <v/>
      </c>
      <c r="T390">
        <f>IF(A390="","", SUM(IF(F390="Yes", 0, IF(E390="", 0, IFERROR(VALUE(MID(E390, SEARCH("(",E390)+1, 1)),0))), IF(I390="Yes", 0, IF(H390="", 0, IFERROR(VALUE(MID(H390, SEARCH("(",H390)+1, 1)),0))), IF(L390="Yes", 0, IF(K390="", 0, IFERROR(VALUE(MID(K390, SEARCH("(",K390)+1, 1)),0))), IF(O390="Yes", 0, IF(N390="", 0, IFERROR(VALUE(MID(N390, SEARCH("(",N390)+1, 1)),0))), IF(R390="Yes", 0, IF(Q390="", 0, IFERROR(VALUE(MID(Q390, SEARCH("(",Q390)+1, 1)),0)))))</f>
        <v/>
      </c>
      <c r="U390">
        <f>IF(A390="","", IF(T390&gt;=5, "Priority 1 (Critical)", IF(T390&gt;=3, "Priority 2 (Major)", IF(T390&gt;=1, "Priority 3 (Minor)", "Pass/Fixed"))))</f>
        <v/>
      </c>
      <c r="V390">
        <f>IF(A390="","", IF(T390&gt;0, "FAIL", "PASS"))</f>
        <v/>
      </c>
    </row>
    <row r="391">
      <c r="A391">
        <f>IF('Equipment Information'!A391="","", 'Equipment Information'!A391)</f>
        <v/>
      </c>
      <c r="B391">
        <f>IF('Equipment Information'!B391="","", 'Equipment Information'!B391)</f>
        <v/>
      </c>
      <c r="C391">
        <f>IF('Equipment Information'!C391="","", 'Equipment Information'!C391)</f>
        <v/>
      </c>
      <c r="E391">
        <f>IF(D391="","", IFERROR(VLOOKUP(D391, 'Hidden_Data'!M:N, 2, FALSE), "0"))</f>
        <v/>
      </c>
      <c r="H391">
        <f>IF(G391="","", IFERROR(VLOOKUP(G391, 'Hidden_Data'!M:N, 2, FALSE), "0"))</f>
        <v/>
      </c>
      <c r="K391">
        <f>IF(J391="","", IFERROR(VLOOKUP(J391, 'Hidden_Data'!M:N, 2, FALSE), "0"))</f>
        <v/>
      </c>
      <c r="N391">
        <f>IF(M391="","", IFERROR(VLOOKUP(M391, 'Hidden_Data'!M:N, 2, FALSE), "0"))</f>
        <v/>
      </c>
      <c r="Q391">
        <f>IF(P391="","", IFERROR(VLOOKUP(P391, 'Hidden_Data'!M:N, 2, FALSE), "0"))</f>
        <v/>
      </c>
      <c r="T391">
        <f>IF(A391="","", SUM(IF(F391="Yes", 0, IF(E391="", 0, IFERROR(VALUE(MID(E391, SEARCH("(",E391)+1, 1)),0))), IF(I391="Yes", 0, IF(H391="", 0, IFERROR(VALUE(MID(H391, SEARCH("(",H391)+1, 1)),0))), IF(L391="Yes", 0, IF(K391="", 0, IFERROR(VALUE(MID(K391, SEARCH("(",K391)+1, 1)),0))), IF(O391="Yes", 0, IF(N391="", 0, IFERROR(VALUE(MID(N391, SEARCH("(",N391)+1, 1)),0))), IF(R391="Yes", 0, IF(Q391="", 0, IFERROR(VALUE(MID(Q391, SEARCH("(",Q391)+1, 1)),0)))))</f>
        <v/>
      </c>
      <c r="U391">
        <f>IF(A391="","", IF(T391&gt;=5, "Priority 1 (Critical)", IF(T391&gt;=3, "Priority 2 (Major)", IF(T391&gt;=1, "Priority 3 (Minor)", "Pass/Fixed"))))</f>
        <v/>
      </c>
      <c r="V391">
        <f>IF(A391="","", IF(T391&gt;0, "FAIL", "PASS"))</f>
        <v/>
      </c>
    </row>
    <row r="392">
      <c r="A392">
        <f>IF('Equipment Information'!A392="","", 'Equipment Information'!A392)</f>
        <v/>
      </c>
      <c r="B392">
        <f>IF('Equipment Information'!B392="","", 'Equipment Information'!B392)</f>
        <v/>
      </c>
      <c r="C392">
        <f>IF('Equipment Information'!C392="","", 'Equipment Information'!C392)</f>
        <v/>
      </c>
      <c r="E392">
        <f>IF(D392="","", IFERROR(VLOOKUP(D392, 'Hidden_Data'!M:N, 2, FALSE), "0"))</f>
        <v/>
      </c>
      <c r="H392">
        <f>IF(G392="","", IFERROR(VLOOKUP(G392, 'Hidden_Data'!M:N, 2, FALSE), "0"))</f>
        <v/>
      </c>
      <c r="K392">
        <f>IF(J392="","", IFERROR(VLOOKUP(J392, 'Hidden_Data'!M:N, 2, FALSE), "0"))</f>
        <v/>
      </c>
      <c r="N392">
        <f>IF(M392="","", IFERROR(VLOOKUP(M392, 'Hidden_Data'!M:N, 2, FALSE), "0"))</f>
        <v/>
      </c>
      <c r="Q392">
        <f>IF(P392="","", IFERROR(VLOOKUP(P392, 'Hidden_Data'!M:N, 2, FALSE), "0"))</f>
        <v/>
      </c>
      <c r="T392">
        <f>IF(A392="","", SUM(IF(F392="Yes", 0, IF(E392="", 0, IFERROR(VALUE(MID(E392, SEARCH("(",E392)+1, 1)),0))), IF(I392="Yes", 0, IF(H392="", 0, IFERROR(VALUE(MID(H392, SEARCH("(",H392)+1, 1)),0))), IF(L392="Yes", 0, IF(K392="", 0, IFERROR(VALUE(MID(K392, SEARCH("(",K392)+1, 1)),0))), IF(O392="Yes", 0, IF(N392="", 0, IFERROR(VALUE(MID(N392, SEARCH("(",N392)+1, 1)),0))), IF(R392="Yes", 0, IF(Q392="", 0, IFERROR(VALUE(MID(Q392, SEARCH("(",Q392)+1, 1)),0)))))</f>
        <v/>
      </c>
      <c r="U392">
        <f>IF(A392="","", IF(T392&gt;=5, "Priority 1 (Critical)", IF(T392&gt;=3, "Priority 2 (Major)", IF(T392&gt;=1, "Priority 3 (Minor)", "Pass/Fixed"))))</f>
        <v/>
      </c>
      <c r="V392">
        <f>IF(A392="","", IF(T392&gt;0, "FAIL", "PASS"))</f>
        <v/>
      </c>
    </row>
    <row r="393">
      <c r="A393">
        <f>IF('Equipment Information'!A393="","", 'Equipment Information'!A393)</f>
        <v/>
      </c>
      <c r="B393">
        <f>IF('Equipment Information'!B393="","", 'Equipment Information'!B393)</f>
        <v/>
      </c>
      <c r="C393">
        <f>IF('Equipment Information'!C393="","", 'Equipment Information'!C393)</f>
        <v/>
      </c>
      <c r="E393">
        <f>IF(D393="","", IFERROR(VLOOKUP(D393, 'Hidden_Data'!M:N, 2, FALSE), "0"))</f>
        <v/>
      </c>
      <c r="H393">
        <f>IF(G393="","", IFERROR(VLOOKUP(G393, 'Hidden_Data'!M:N, 2, FALSE), "0"))</f>
        <v/>
      </c>
      <c r="K393">
        <f>IF(J393="","", IFERROR(VLOOKUP(J393, 'Hidden_Data'!M:N, 2, FALSE), "0"))</f>
        <v/>
      </c>
      <c r="N393">
        <f>IF(M393="","", IFERROR(VLOOKUP(M393, 'Hidden_Data'!M:N, 2, FALSE), "0"))</f>
        <v/>
      </c>
      <c r="Q393">
        <f>IF(P393="","", IFERROR(VLOOKUP(P393, 'Hidden_Data'!M:N, 2, FALSE), "0"))</f>
        <v/>
      </c>
      <c r="T393">
        <f>IF(A393="","", SUM(IF(F393="Yes", 0, IF(E393="", 0, IFERROR(VALUE(MID(E393, SEARCH("(",E393)+1, 1)),0))), IF(I393="Yes", 0, IF(H393="", 0, IFERROR(VALUE(MID(H393, SEARCH("(",H393)+1, 1)),0))), IF(L393="Yes", 0, IF(K393="", 0, IFERROR(VALUE(MID(K393, SEARCH("(",K393)+1, 1)),0))), IF(O393="Yes", 0, IF(N393="", 0, IFERROR(VALUE(MID(N393, SEARCH("(",N393)+1, 1)),0))), IF(R393="Yes", 0, IF(Q393="", 0, IFERROR(VALUE(MID(Q393, SEARCH("(",Q393)+1, 1)),0)))))</f>
        <v/>
      </c>
      <c r="U393">
        <f>IF(A393="","", IF(T393&gt;=5, "Priority 1 (Critical)", IF(T393&gt;=3, "Priority 2 (Major)", IF(T393&gt;=1, "Priority 3 (Minor)", "Pass/Fixed"))))</f>
        <v/>
      </c>
      <c r="V393">
        <f>IF(A393="","", IF(T393&gt;0, "FAIL", "PASS"))</f>
        <v/>
      </c>
    </row>
    <row r="394">
      <c r="A394">
        <f>IF('Equipment Information'!A394="","", 'Equipment Information'!A394)</f>
        <v/>
      </c>
      <c r="B394">
        <f>IF('Equipment Information'!B394="","", 'Equipment Information'!B394)</f>
        <v/>
      </c>
      <c r="C394">
        <f>IF('Equipment Information'!C394="","", 'Equipment Information'!C394)</f>
        <v/>
      </c>
      <c r="E394">
        <f>IF(D394="","", IFERROR(VLOOKUP(D394, 'Hidden_Data'!M:N, 2, FALSE), "0"))</f>
        <v/>
      </c>
      <c r="H394">
        <f>IF(G394="","", IFERROR(VLOOKUP(G394, 'Hidden_Data'!M:N, 2, FALSE), "0"))</f>
        <v/>
      </c>
      <c r="K394">
        <f>IF(J394="","", IFERROR(VLOOKUP(J394, 'Hidden_Data'!M:N, 2, FALSE), "0"))</f>
        <v/>
      </c>
      <c r="N394">
        <f>IF(M394="","", IFERROR(VLOOKUP(M394, 'Hidden_Data'!M:N, 2, FALSE), "0"))</f>
        <v/>
      </c>
      <c r="Q394">
        <f>IF(P394="","", IFERROR(VLOOKUP(P394, 'Hidden_Data'!M:N, 2, FALSE), "0"))</f>
        <v/>
      </c>
      <c r="T394">
        <f>IF(A394="","", SUM(IF(F394="Yes", 0, IF(E394="", 0, IFERROR(VALUE(MID(E394, SEARCH("(",E394)+1, 1)),0))), IF(I394="Yes", 0, IF(H394="", 0, IFERROR(VALUE(MID(H394, SEARCH("(",H394)+1, 1)),0))), IF(L394="Yes", 0, IF(K394="", 0, IFERROR(VALUE(MID(K394, SEARCH("(",K394)+1, 1)),0))), IF(O394="Yes", 0, IF(N394="", 0, IFERROR(VALUE(MID(N394, SEARCH("(",N394)+1, 1)),0))), IF(R394="Yes", 0, IF(Q394="", 0, IFERROR(VALUE(MID(Q394, SEARCH("(",Q394)+1, 1)),0)))))</f>
        <v/>
      </c>
      <c r="U394">
        <f>IF(A394="","", IF(T394&gt;=5, "Priority 1 (Critical)", IF(T394&gt;=3, "Priority 2 (Major)", IF(T394&gt;=1, "Priority 3 (Minor)", "Pass/Fixed"))))</f>
        <v/>
      </c>
      <c r="V394">
        <f>IF(A394="","", IF(T394&gt;0, "FAIL", "PASS"))</f>
        <v/>
      </c>
    </row>
    <row r="395">
      <c r="A395">
        <f>IF('Equipment Information'!A395="","", 'Equipment Information'!A395)</f>
        <v/>
      </c>
      <c r="B395">
        <f>IF('Equipment Information'!B395="","", 'Equipment Information'!B395)</f>
        <v/>
      </c>
      <c r="C395">
        <f>IF('Equipment Information'!C395="","", 'Equipment Information'!C395)</f>
        <v/>
      </c>
      <c r="E395">
        <f>IF(D395="","", IFERROR(VLOOKUP(D395, 'Hidden_Data'!M:N, 2, FALSE), "0"))</f>
        <v/>
      </c>
      <c r="H395">
        <f>IF(G395="","", IFERROR(VLOOKUP(G395, 'Hidden_Data'!M:N, 2, FALSE), "0"))</f>
        <v/>
      </c>
      <c r="K395">
        <f>IF(J395="","", IFERROR(VLOOKUP(J395, 'Hidden_Data'!M:N, 2, FALSE), "0"))</f>
        <v/>
      </c>
      <c r="N395">
        <f>IF(M395="","", IFERROR(VLOOKUP(M395, 'Hidden_Data'!M:N, 2, FALSE), "0"))</f>
        <v/>
      </c>
      <c r="Q395">
        <f>IF(P395="","", IFERROR(VLOOKUP(P395, 'Hidden_Data'!M:N, 2, FALSE), "0"))</f>
        <v/>
      </c>
      <c r="T395">
        <f>IF(A395="","", SUM(IF(F395="Yes", 0, IF(E395="", 0, IFERROR(VALUE(MID(E395, SEARCH("(",E395)+1, 1)),0))), IF(I395="Yes", 0, IF(H395="", 0, IFERROR(VALUE(MID(H395, SEARCH("(",H395)+1, 1)),0))), IF(L395="Yes", 0, IF(K395="", 0, IFERROR(VALUE(MID(K395, SEARCH("(",K395)+1, 1)),0))), IF(O395="Yes", 0, IF(N395="", 0, IFERROR(VALUE(MID(N395, SEARCH("(",N395)+1, 1)),0))), IF(R395="Yes", 0, IF(Q395="", 0, IFERROR(VALUE(MID(Q395, SEARCH("(",Q395)+1, 1)),0)))))</f>
        <v/>
      </c>
      <c r="U395">
        <f>IF(A395="","", IF(T395&gt;=5, "Priority 1 (Critical)", IF(T395&gt;=3, "Priority 2 (Major)", IF(T395&gt;=1, "Priority 3 (Minor)", "Pass/Fixed"))))</f>
        <v/>
      </c>
      <c r="V395">
        <f>IF(A395="","", IF(T395&gt;0, "FAIL", "PASS"))</f>
        <v/>
      </c>
    </row>
    <row r="396">
      <c r="A396">
        <f>IF('Equipment Information'!A396="","", 'Equipment Information'!A396)</f>
        <v/>
      </c>
      <c r="B396">
        <f>IF('Equipment Information'!B396="","", 'Equipment Information'!B396)</f>
        <v/>
      </c>
      <c r="C396">
        <f>IF('Equipment Information'!C396="","", 'Equipment Information'!C396)</f>
        <v/>
      </c>
      <c r="E396">
        <f>IF(D396="","", IFERROR(VLOOKUP(D396, 'Hidden_Data'!M:N, 2, FALSE), "0"))</f>
        <v/>
      </c>
      <c r="H396">
        <f>IF(G396="","", IFERROR(VLOOKUP(G396, 'Hidden_Data'!M:N, 2, FALSE), "0"))</f>
        <v/>
      </c>
      <c r="K396">
        <f>IF(J396="","", IFERROR(VLOOKUP(J396, 'Hidden_Data'!M:N, 2, FALSE), "0"))</f>
        <v/>
      </c>
      <c r="N396">
        <f>IF(M396="","", IFERROR(VLOOKUP(M396, 'Hidden_Data'!M:N, 2, FALSE), "0"))</f>
        <v/>
      </c>
      <c r="Q396">
        <f>IF(P396="","", IFERROR(VLOOKUP(P396, 'Hidden_Data'!M:N, 2, FALSE), "0"))</f>
        <v/>
      </c>
      <c r="T396">
        <f>IF(A396="","", SUM(IF(F396="Yes", 0, IF(E396="", 0, IFERROR(VALUE(MID(E396, SEARCH("(",E396)+1, 1)),0))), IF(I396="Yes", 0, IF(H396="", 0, IFERROR(VALUE(MID(H396, SEARCH("(",H396)+1, 1)),0))), IF(L396="Yes", 0, IF(K396="", 0, IFERROR(VALUE(MID(K396, SEARCH("(",K396)+1, 1)),0))), IF(O396="Yes", 0, IF(N396="", 0, IFERROR(VALUE(MID(N396, SEARCH("(",N396)+1, 1)),0))), IF(R396="Yes", 0, IF(Q396="", 0, IFERROR(VALUE(MID(Q396, SEARCH("(",Q396)+1, 1)),0)))))</f>
        <v/>
      </c>
      <c r="U396">
        <f>IF(A396="","", IF(T396&gt;=5, "Priority 1 (Critical)", IF(T396&gt;=3, "Priority 2 (Major)", IF(T396&gt;=1, "Priority 3 (Minor)", "Pass/Fixed"))))</f>
        <v/>
      </c>
      <c r="V396">
        <f>IF(A396="","", IF(T396&gt;0, "FAIL", "PASS"))</f>
        <v/>
      </c>
    </row>
    <row r="397">
      <c r="A397">
        <f>IF('Equipment Information'!A397="","", 'Equipment Information'!A397)</f>
        <v/>
      </c>
      <c r="B397">
        <f>IF('Equipment Information'!B397="","", 'Equipment Information'!B397)</f>
        <v/>
      </c>
      <c r="C397">
        <f>IF('Equipment Information'!C397="","", 'Equipment Information'!C397)</f>
        <v/>
      </c>
      <c r="E397">
        <f>IF(D397="","", IFERROR(VLOOKUP(D397, 'Hidden_Data'!M:N, 2, FALSE), "0"))</f>
        <v/>
      </c>
      <c r="H397">
        <f>IF(G397="","", IFERROR(VLOOKUP(G397, 'Hidden_Data'!M:N, 2, FALSE), "0"))</f>
        <v/>
      </c>
      <c r="K397">
        <f>IF(J397="","", IFERROR(VLOOKUP(J397, 'Hidden_Data'!M:N, 2, FALSE), "0"))</f>
        <v/>
      </c>
      <c r="N397">
        <f>IF(M397="","", IFERROR(VLOOKUP(M397, 'Hidden_Data'!M:N, 2, FALSE), "0"))</f>
        <v/>
      </c>
      <c r="Q397">
        <f>IF(P397="","", IFERROR(VLOOKUP(P397, 'Hidden_Data'!M:N, 2, FALSE), "0"))</f>
        <v/>
      </c>
      <c r="T397">
        <f>IF(A397="","", SUM(IF(F397="Yes", 0, IF(E397="", 0, IFERROR(VALUE(MID(E397, SEARCH("(",E397)+1, 1)),0))), IF(I397="Yes", 0, IF(H397="", 0, IFERROR(VALUE(MID(H397, SEARCH("(",H397)+1, 1)),0))), IF(L397="Yes", 0, IF(K397="", 0, IFERROR(VALUE(MID(K397, SEARCH("(",K397)+1, 1)),0))), IF(O397="Yes", 0, IF(N397="", 0, IFERROR(VALUE(MID(N397, SEARCH("(",N397)+1, 1)),0))), IF(R397="Yes", 0, IF(Q397="", 0, IFERROR(VALUE(MID(Q397, SEARCH("(",Q397)+1, 1)),0)))))</f>
        <v/>
      </c>
      <c r="U397">
        <f>IF(A397="","", IF(T397&gt;=5, "Priority 1 (Critical)", IF(T397&gt;=3, "Priority 2 (Major)", IF(T397&gt;=1, "Priority 3 (Minor)", "Pass/Fixed"))))</f>
        <v/>
      </c>
      <c r="V397">
        <f>IF(A397="","", IF(T397&gt;0, "FAIL", "PASS"))</f>
        <v/>
      </c>
    </row>
    <row r="398">
      <c r="A398">
        <f>IF('Equipment Information'!A398="","", 'Equipment Information'!A398)</f>
        <v/>
      </c>
      <c r="B398">
        <f>IF('Equipment Information'!B398="","", 'Equipment Information'!B398)</f>
        <v/>
      </c>
      <c r="C398">
        <f>IF('Equipment Information'!C398="","", 'Equipment Information'!C398)</f>
        <v/>
      </c>
      <c r="E398">
        <f>IF(D398="","", IFERROR(VLOOKUP(D398, 'Hidden_Data'!M:N, 2, FALSE), "0"))</f>
        <v/>
      </c>
      <c r="H398">
        <f>IF(G398="","", IFERROR(VLOOKUP(G398, 'Hidden_Data'!M:N, 2, FALSE), "0"))</f>
        <v/>
      </c>
      <c r="K398">
        <f>IF(J398="","", IFERROR(VLOOKUP(J398, 'Hidden_Data'!M:N, 2, FALSE), "0"))</f>
        <v/>
      </c>
      <c r="N398">
        <f>IF(M398="","", IFERROR(VLOOKUP(M398, 'Hidden_Data'!M:N, 2, FALSE), "0"))</f>
        <v/>
      </c>
      <c r="Q398">
        <f>IF(P398="","", IFERROR(VLOOKUP(P398, 'Hidden_Data'!M:N, 2, FALSE), "0"))</f>
        <v/>
      </c>
      <c r="T398">
        <f>IF(A398="","", SUM(IF(F398="Yes", 0, IF(E398="", 0, IFERROR(VALUE(MID(E398, SEARCH("(",E398)+1, 1)),0))), IF(I398="Yes", 0, IF(H398="", 0, IFERROR(VALUE(MID(H398, SEARCH("(",H398)+1, 1)),0))), IF(L398="Yes", 0, IF(K398="", 0, IFERROR(VALUE(MID(K398, SEARCH("(",K398)+1, 1)),0))), IF(O398="Yes", 0, IF(N398="", 0, IFERROR(VALUE(MID(N398, SEARCH("(",N398)+1, 1)),0))), IF(R398="Yes", 0, IF(Q398="", 0, IFERROR(VALUE(MID(Q398, SEARCH("(",Q398)+1, 1)),0)))))</f>
        <v/>
      </c>
      <c r="U398">
        <f>IF(A398="","", IF(T398&gt;=5, "Priority 1 (Critical)", IF(T398&gt;=3, "Priority 2 (Major)", IF(T398&gt;=1, "Priority 3 (Minor)", "Pass/Fixed"))))</f>
        <v/>
      </c>
      <c r="V398">
        <f>IF(A398="","", IF(T398&gt;0, "FAIL", "PASS"))</f>
        <v/>
      </c>
    </row>
    <row r="399">
      <c r="A399">
        <f>IF('Equipment Information'!A399="","", 'Equipment Information'!A399)</f>
        <v/>
      </c>
      <c r="B399">
        <f>IF('Equipment Information'!B399="","", 'Equipment Information'!B399)</f>
        <v/>
      </c>
      <c r="C399">
        <f>IF('Equipment Information'!C399="","", 'Equipment Information'!C399)</f>
        <v/>
      </c>
      <c r="E399">
        <f>IF(D399="","", IFERROR(VLOOKUP(D399, 'Hidden_Data'!M:N, 2, FALSE), "0"))</f>
        <v/>
      </c>
      <c r="H399">
        <f>IF(G399="","", IFERROR(VLOOKUP(G399, 'Hidden_Data'!M:N, 2, FALSE), "0"))</f>
        <v/>
      </c>
      <c r="K399">
        <f>IF(J399="","", IFERROR(VLOOKUP(J399, 'Hidden_Data'!M:N, 2, FALSE), "0"))</f>
        <v/>
      </c>
      <c r="N399">
        <f>IF(M399="","", IFERROR(VLOOKUP(M399, 'Hidden_Data'!M:N, 2, FALSE), "0"))</f>
        <v/>
      </c>
      <c r="Q399">
        <f>IF(P399="","", IFERROR(VLOOKUP(P399, 'Hidden_Data'!M:N, 2, FALSE), "0"))</f>
        <v/>
      </c>
      <c r="T399">
        <f>IF(A399="","", SUM(IF(F399="Yes", 0, IF(E399="", 0, IFERROR(VALUE(MID(E399, SEARCH("(",E399)+1, 1)),0))), IF(I399="Yes", 0, IF(H399="", 0, IFERROR(VALUE(MID(H399, SEARCH("(",H399)+1, 1)),0))), IF(L399="Yes", 0, IF(K399="", 0, IFERROR(VALUE(MID(K399, SEARCH("(",K399)+1, 1)),0))), IF(O399="Yes", 0, IF(N399="", 0, IFERROR(VALUE(MID(N399, SEARCH("(",N399)+1, 1)),0))), IF(R399="Yes", 0, IF(Q399="", 0, IFERROR(VALUE(MID(Q399, SEARCH("(",Q399)+1, 1)),0)))))</f>
        <v/>
      </c>
      <c r="U399">
        <f>IF(A399="","", IF(T399&gt;=5, "Priority 1 (Critical)", IF(T399&gt;=3, "Priority 2 (Major)", IF(T399&gt;=1, "Priority 3 (Minor)", "Pass/Fixed"))))</f>
        <v/>
      </c>
      <c r="V399">
        <f>IF(A399="","", IF(T399&gt;0, "FAIL", "PASS"))</f>
        <v/>
      </c>
    </row>
    <row r="400">
      <c r="A400">
        <f>IF('Equipment Information'!A400="","", 'Equipment Information'!A400)</f>
        <v/>
      </c>
      <c r="B400">
        <f>IF('Equipment Information'!B400="","", 'Equipment Information'!B400)</f>
        <v/>
      </c>
      <c r="C400">
        <f>IF('Equipment Information'!C400="","", 'Equipment Information'!C400)</f>
        <v/>
      </c>
      <c r="E400">
        <f>IF(D400="","", IFERROR(VLOOKUP(D400, 'Hidden_Data'!M:N, 2, FALSE), "0"))</f>
        <v/>
      </c>
      <c r="H400">
        <f>IF(G400="","", IFERROR(VLOOKUP(G400, 'Hidden_Data'!M:N, 2, FALSE), "0"))</f>
        <v/>
      </c>
      <c r="K400">
        <f>IF(J400="","", IFERROR(VLOOKUP(J400, 'Hidden_Data'!M:N, 2, FALSE), "0"))</f>
        <v/>
      </c>
      <c r="N400">
        <f>IF(M400="","", IFERROR(VLOOKUP(M400, 'Hidden_Data'!M:N, 2, FALSE), "0"))</f>
        <v/>
      </c>
      <c r="Q400">
        <f>IF(P400="","", IFERROR(VLOOKUP(P400, 'Hidden_Data'!M:N, 2, FALSE), "0"))</f>
        <v/>
      </c>
      <c r="T400">
        <f>IF(A400="","", SUM(IF(F400="Yes", 0, IF(E400="", 0, IFERROR(VALUE(MID(E400, SEARCH("(",E400)+1, 1)),0))), IF(I400="Yes", 0, IF(H400="", 0, IFERROR(VALUE(MID(H400, SEARCH("(",H400)+1, 1)),0))), IF(L400="Yes", 0, IF(K400="", 0, IFERROR(VALUE(MID(K400, SEARCH("(",K400)+1, 1)),0))), IF(O400="Yes", 0, IF(N400="", 0, IFERROR(VALUE(MID(N400, SEARCH("(",N400)+1, 1)),0))), IF(R400="Yes", 0, IF(Q400="", 0, IFERROR(VALUE(MID(Q400, SEARCH("(",Q400)+1, 1)),0)))))</f>
        <v/>
      </c>
      <c r="U400">
        <f>IF(A400="","", IF(T400&gt;=5, "Priority 1 (Critical)", IF(T400&gt;=3, "Priority 2 (Major)", IF(T400&gt;=1, "Priority 3 (Minor)", "Pass/Fixed"))))</f>
        <v/>
      </c>
      <c r="V400">
        <f>IF(A400="","", IF(T400&gt;0, "FAIL", "PASS"))</f>
        <v/>
      </c>
    </row>
    <row r="401">
      <c r="A401">
        <f>IF('Equipment Information'!A401="","", 'Equipment Information'!A401)</f>
        <v/>
      </c>
      <c r="B401">
        <f>IF('Equipment Information'!B401="","", 'Equipment Information'!B401)</f>
        <v/>
      </c>
      <c r="C401">
        <f>IF('Equipment Information'!C401="","", 'Equipment Information'!C401)</f>
        <v/>
      </c>
      <c r="E401">
        <f>IF(D401="","", IFERROR(VLOOKUP(D401, 'Hidden_Data'!M:N, 2, FALSE), "0"))</f>
        <v/>
      </c>
      <c r="H401">
        <f>IF(G401="","", IFERROR(VLOOKUP(G401, 'Hidden_Data'!M:N, 2, FALSE), "0"))</f>
        <v/>
      </c>
      <c r="K401">
        <f>IF(J401="","", IFERROR(VLOOKUP(J401, 'Hidden_Data'!M:N, 2, FALSE), "0"))</f>
        <v/>
      </c>
      <c r="N401">
        <f>IF(M401="","", IFERROR(VLOOKUP(M401, 'Hidden_Data'!M:N, 2, FALSE), "0"))</f>
        <v/>
      </c>
      <c r="Q401">
        <f>IF(P401="","", IFERROR(VLOOKUP(P401, 'Hidden_Data'!M:N, 2, FALSE), "0"))</f>
        <v/>
      </c>
      <c r="T401">
        <f>IF(A401="","", SUM(IF(F401="Yes", 0, IF(E401="", 0, IFERROR(VALUE(MID(E401, SEARCH("(",E401)+1, 1)),0))), IF(I401="Yes", 0, IF(H401="", 0, IFERROR(VALUE(MID(H401, SEARCH("(",H401)+1, 1)),0))), IF(L401="Yes", 0, IF(K401="", 0, IFERROR(VALUE(MID(K401, SEARCH("(",K401)+1, 1)),0))), IF(O401="Yes", 0, IF(N401="", 0, IFERROR(VALUE(MID(N401, SEARCH("(",N401)+1, 1)),0))), IF(R401="Yes", 0, IF(Q401="", 0, IFERROR(VALUE(MID(Q401, SEARCH("(",Q401)+1, 1)),0)))))</f>
        <v/>
      </c>
      <c r="U401">
        <f>IF(A401="","", IF(T401&gt;=5, "Priority 1 (Critical)", IF(T401&gt;=3, "Priority 2 (Major)", IF(T401&gt;=1, "Priority 3 (Minor)", "Pass/Fixed"))))</f>
        <v/>
      </c>
      <c r="V401">
        <f>IF(A401="","", IF(T401&gt;0, "FAIL", "PASS"))</f>
        <v/>
      </c>
    </row>
    <row r="402">
      <c r="A402">
        <f>IF('Equipment Information'!A402="","", 'Equipment Information'!A402)</f>
        <v/>
      </c>
      <c r="B402">
        <f>IF('Equipment Information'!B402="","", 'Equipment Information'!B402)</f>
        <v/>
      </c>
      <c r="C402">
        <f>IF('Equipment Information'!C402="","", 'Equipment Information'!C402)</f>
        <v/>
      </c>
      <c r="E402">
        <f>IF(D402="","", IFERROR(VLOOKUP(D402, 'Hidden_Data'!M:N, 2, FALSE), "0"))</f>
        <v/>
      </c>
      <c r="H402">
        <f>IF(G402="","", IFERROR(VLOOKUP(G402, 'Hidden_Data'!M:N, 2, FALSE), "0"))</f>
        <v/>
      </c>
      <c r="K402">
        <f>IF(J402="","", IFERROR(VLOOKUP(J402, 'Hidden_Data'!M:N, 2, FALSE), "0"))</f>
        <v/>
      </c>
      <c r="N402">
        <f>IF(M402="","", IFERROR(VLOOKUP(M402, 'Hidden_Data'!M:N, 2, FALSE), "0"))</f>
        <v/>
      </c>
      <c r="Q402">
        <f>IF(P402="","", IFERROR(VLOOKUP(P402, 'Hidden_Data'!M:N, 2, FALSE), "0"))</f>
        <v/>
      </c>
      <c r="T402">
        <f>IF(A402="","", SUM(IF(F402="Yes", 0, IF(E402="", 0, IFERROR(VALUE(MID(E402, SEARCH("(",E402)+1, 1)),0))), IF(I402="Yes", 0, IF(H402="", 0, IFERROR(VALUE(MID(H402, SEARCH("(",H402)+1, 1)),0))), IF(L402="Yes", 0, IF(K402="", 0, IFERROR(VALUE(MID(K402, SEARCH("(",K402)+1, 1)),0))), IF(O402="Yes", 0, IF(N402="", 0, IFERROR(VALUE(MID(N402, SEARCH("(",N402)+1, 1)),0))), IF(R402="Yes", 0, IF(Q402="", 0, IFERROR(VALUE(MID(Q402, SEARCH("(",Q402)+1, 1)),0)))))</f>
        <v/>
      </c>
      <c r="U402">
        <f>IF(A402="","", IF(T402&gt;=5, "Priority 1 (Critical)", IF(T402&gt;=3, "Priority 2 (Major)", IF(T402&gt;=1, "Priority 3 (Minor)", "Pass/Fixed"))))</f>
        <v/>
      </c>
      <c r="V402">
        <f>IF(A402="","", IF(T402&gt;0, "FAIL", "PASS"))</f>
        <v/>
      </c>
    </row>
    <row r="403">
      <c r="A403">
        <f>IF('Equipment Information'!A403="","", 'Equipment Information'!A403)</f>
        <v/>
      </c>
      <c r="B403">
        <f>IF('Equipment Information'!B403="","", 'Equipment Information'!B403)</f>
        <v/>
      </c>
      <c r="C403">
        <f>IF('Equipment Information'!C403="","", 'Equipment Information'!C403)</f>
        <v/>
      </c>
      <c r="E403">
        <f>IF(D403="","", IFERROR(VLOOKUP(D403, 'Hidden_Data'!M:N, 2, FALSE), "0"))</f>
        <v/>
      </c>
      <c r="H403">
        <f>IF(G403="","", IFERROR(VLOOKUP(G403, 'Hidden_Data'!M:N, 2, FALSE), "0"))</f>
        <v/>
      </c>
      <c r="K403">
        <f>IF(J403="","", IFERROR(VLOOKUP(J403, 'Hidden_Data'!M:N, 2, FALSE), "0"))</f>
        <v/>
      </c>
      <c r="N403">
        <f>IF(M403="","", IFERROR(VLOOKUP(M403, 'Hidden_Data'!M:N, 2, FALSE), "0"))</f>
        <v/>
      </c>
      <c r="Q403">
        <f>IF(P403="","", IFERROR(VLOOKUP(P403, 'Hidden_Data'!M:N, 2, FALSE), "0"))</f>
        <v/>
      </c>
      <c r="T403">
        <f>IF(A403="","", SUM(IF(F403="Yes", 0, IF(E403="", 0, IFERROR(VALUE(MID(E403, SEARCH("(",E403)+1, 1)),0))), IF(I403="Yes", 0, IF(H403="", 0, IFERROR(VALUE(MID(H403, SEARCH("(",H403)+1, 1)),0))), IF(L403="Yes", 0, IF(K403="", 0, IFERROR(VALUE(MID(K403, SEARCH("(",K403)+1, 1)),0))), IF(O403="Yes", 0, IF(N403="", 0, IFERROR(VALUE(MID(N403, SEARCH("(",N403)+1, 1)),0))), IF(R403="Yes", 0, IF(Q403="", 0, IFERROR(VALUE(MID(Q403, SEARCH("(",Q403)+1, 1)),0)))))</f>
        <v/>
      </c>
      <c r="U403">
        <f>IF(A403="","", IF(T403&gt;=5, "Priority 1 (Critical)", IF(T403&gt;=3, "Priority 2 (Major)", IF(T403&gt;=1, "Priority 3 (Minor)", "Pass/Fixed"))))</f>
        <v/>
      </c>
      <c r="V403">
        <f>IF(A403="","", IF(T403&gt;0, "FAIL", "PASS"))</f>
        <v/>
      </c>
    </row>
    <row r="404">
      <c r="A404">
        <f>IF('Equipment Information'!A404="","", 'Equipment Information'!A404)</f>
        <v/>
      </c>
      <c r="B404">
        <f>IF('Equipment Information'!B404="","", 'Equipment Information'!B404)</f>
        <v/>
      </c>
      <c r="C404">
        <f>IF('Equipment Information'!C404="","", 'Equipment Information'!C404)</f>
        <v/>
      </c>
      <c r="E404">
        <f>IF(D404="","", IFERROR(VLOOKUP(D404, 'Hidden_Data'!M:N, 2, FALSE), "0"))</f>
        <v/>
      </c>
      <c r="H404">
        <f>IF(G404="","", IFERROR(VLOOKUP(G404, 'Hidden_Data'!M:N, 2, FALSE), "0"))</f>
        <v/>
      </c>
      <c r="K404">
        <f>IF(J404="","", IFERROR(VLOOKUP(J404, 'Hidden_Data'!M:N, 2, FALSE), "0"))</f>
        <v/>
      </c>
      <c r="N404">
        <f>IF(M404="","", IFERROR(VLOOKUP(M404, 'Hidden_Data'!M:N, 2, FALSE), "0"))</f>
        <v/>
      </c>
      <c r="Q404">
        <f>IF(P404="","", IFERROR(VLOOKUP(P404, 'Hidden_Data'!M:N, 2, FALSE), "0"))</f>
        <v/>
      </c>
      <c r="T404">
        <f>IF(A404="","", SUM(IF(F404="Yes", 0, IF(E404="", 0, IFERROR(VALUE(MID(E404, SEARCH("(",E404)+1, 1)),0))), IF(I404="Yes", 0, IF(H404="", 0, IFERROR(VALUE(MID(H404, SEARCH("(",H404)+1, 1)),0))), IF(L404="Yes", 0, IF(K404="", 0, IFERROR(VALUE(MID(K404, SEARCH("(",K404)+1, 1)),0))), IF(O404="Yes", 0, IF(N404="", 0, IFERROR(VALUE(MID(N404, SEARCH("(",N404)+1, 1)),0))), IF(R404="Yes", 0, IF(Q404="", 0, IFERROR(VALUE(MID(Q404, SEARCH("(",Q404)+1, 1)),0)))))</f>
        <v/>
      </c>
      <c r="U404">
        <f>IF(A404="","", IF(T404&gt;=5, "Priority 1 (Critical)", IF(T404&gt;=3, "Priority 2 (Major)", IF(T404&gt;=1, "Priority 3 (Minor)", "Pass/Fixed"))))</f>
        <v/>
      </c>
      <c r="V404">
        <f>IF(A404="","", IF(T404&gt;0, "FAIL", "PASS"))</f>
        <v/>
      </c>
    </row>
    <row r="405">
      <c r="A405">
        <f>IF('Equipment Information'!A405="","", 'Equipment Information'!A405)</f>
        <v/>
      </c>
      <c r="B405">
        <f>IF('Equipment Information'!B405="","", 'Equipment Information'!B405)</f>
        <v/>
      </c>
      <c r="C405">
        <f>IF('Equipment Information'!C405="","", 'Equipment Information'!C405)</f>
        <v/>
      </c>
      <c r="E405">
        <f>IF(D405="","", IFERROR(VLOOKUP(D405, 'Hidden_Data'!M:N, 2, FALSE), "0"))</f>
        <v/>
      </c>
      <c r="H405">
        <f>IF(G405="","", IFERROR(VLOOKUP(G405, 'Hidden_Data'!M:N, 2, FALSE), "0"))</f>
        <v/>
      </c>
      <c r="K405">
        <f>IF(J405="","", IFERROR(VLOOKUP(J405, 'Hidden_Data'!M:N, 2, FALSE), "0"))</f>
        <v/>
      </c>
      <c r="N405">
        <f>IF(M405="","", IFERROR(VLOOKUP(M405, 'Hidden_Data'!M:N, 2, FALSE), "0"))</f>
        <v/>
      </c>
      <c r="Q405">
        <f>IF(P405="","", IFERROR(VLOOKUP(P405, 'Hidden_Data'!M:N, 2, FALSE), "0"))</f>
        <v/>
      </c>
      <c r="T405">
        <f>IF(A405="","", SUM(IF(F405="Yes", 0, IF(E405="", 0, IFERROR(VALUE(MID(E405, SEARCH("(",E405)+1, 1)),0))), IF(I405="Yes", 0, IF(H405="", 0, IFERROR(VALUE(MID(H405, SEARCH("(",H405)+1, 1)),0))), IF(L405="Yes", 0, IF(K405="", 0, IFERROR(VALUE(MID(K405, SEARCH("(",K405)+1, 1)),0))), IF(O405="Yes", 0, IF(N405="", 0, IFERROR(VALUE(MID(N405, SEARCH("(",N405)+1, 1)),0))), IF(R405="Yes", 0, IF(Q405="", 0, IFERROR(VALUE(MID(Q405, SEARCH("(",Q405)+1, 1)),0)))))</f>
        <v/>
      </c>
      <c r="U405">
        <f>IF(A405="","", IF(T405&gt;=5, "Priority 1 (Critical)", IF(T405&gt;=3, "Priority 2 (Major)", IF(T405&gt;=1, "Priority 3 (Minor)", "Pass/Fixed"))))</f>
        <v/>
      </c>
      <c r="V405">
        <f>IF(A405="","", IF(T405&gt;0, "FAIL", "PASS"))</f>
        <v/>
      </c>
    </row>
    <row r="406">
      <c r="A406">
        <f>IF('Equipment Information'!A406="","", 'Equipment Information'!A406)</f>
        <v/>
      </c>
      <c r="B406">
        <f>IF('Equipment Information'!B406="","", 'Equipment Information'!B406)</f>
        <v/>
      </c>
      <c r="C406">
        <f>IF('Equipment Information'!C406="","", 'Equipment Information'!C406)</f>
        <v/>
      </c>
      <c r="E406">
        <f>IF(D406="","", IFERROR(VLOOKUP(D406, 'Hidden_Data'!M:N, 2, FALSE), "0"))</f>
        <v/>
      </c>
      <c r="H406">
        <f>IF(G406="","", IFERROR(VLOOKUP(G406, 'Hidden_Data'!M:N, 2, FALSE), "0"))</f>
        <v/>
      </c>
      <c r="K406">
        <f>IF(J406="","", IFERROR(VLOOKUP(J406, 'Hidden_Data'!M:N, 2, FALSE), "0"))</f>
        <v/>
      </c>
      <c r="N406">
        <f>IF(M406="","", IFERROR(VLOOKUP(M406, 'Hidden_Data'!M:N, 2, FALSE), "0"))</f>
        <v/>
      </c>
      <c r="Q406">
        <f>IF(P406="","", IFERROR(VLOOKUP(P406, 'Hidden_Data'!M:N, 2, FALSE), "0"))</f>
        <v/>
      </c>
      <c r="T406">
        <f>IF(A406="","", SUM(IF(F406="Yes", 0, IF(E406="", 0, IFERROR(VALUE(MID(E406, SEARCH("(",E406)+1, 1)),0))), IF(I406="Yes", 0, IF(H406="", 0, IFERROR(VALUE(MID(H406, SEARCH("(",H406)+1, 1)),0))), IF(L406="Yes", 0, IF(K406="", 0, IFERROR(VALUE(MID(K406, SEARCH("(",K406)+1, 1)),0))), IF(O406="Yes", 0, IF(N406="", 0, IFERROR(VALUE(MID(N406, SEARCH("(",N406)+1, 1)),0))), IF(R406="Yes", 0, IF(Q406="", 0, IFERROR(VALUE(MID(Q406, SEARCH("(",Q406)+1, 1)),0)))))</f>
        <v/>
      </c>
      <c r="U406">
        <f>IF(A406="","", IF(T406&gt;=5, "Priority 1 (Critical)", IF(T406&gt;=3, "Priority 2 (Major)", IF(T406&gt;=1, "Priority 3 (Minor)", "Pass/Fixed"))))</f>
        <v/>
      </c>
      <c r="V406">
        <f>IF(A406="","", IF(T406&gt;0, "FAIL", "PASS"))</f>
        <v/>
      </c>
    </row>
    <row r="407">
      <c r="A407">
        <f>IF('Equipment Information'!A407="","", 'Equipment Information'!A407)</f>
        <v/>
      </c>
      <c r="B407">
        <f>IF('Equipment Information'!B407="","", 'Equipment Information'!B407)</f>
        <v/>
      </c>
      <c r="C407">
        <f>IF('Equipment Information'!C407="","", 'Equipment Information'!C407)</f>
        <v/>
      </c>
      <c r="E407">
        <f>IF(D407="","", IFERROR(VLOOKUP(D407, 'Hidden_Data'!M:N, 2, FALSE), "0"))</f>
        <v/>
      </c>
      <c r="H407">
        <f>IF(G407="","", IFERROR(VLOOKUP(G407, 'Hidden_Data'!M:N, 2, FALSE), "0"))</f>
        <v/>
      </c>
      <c r="K407">
        <f>IF(J407="","", IFERROR(VLOOKUP(J407, 'Hidden_Data'!M:N, 2, FALSE), "0"))</f>
        <v/>
      </c>
      <c r="N407">
        <f>IF(M407="","", IFERROR(VLOOKUP(M407, 'Hidden_Data'!M:N, 2, FALSE), "0"))</f>
        <v/>
      </c>
      <c r="Q407">
        <f>IF(P407="","", IFERROR(VLOOKUP(P407, 'Hidden_Data'!M:N, 2, FALSE), "0"))</f>
        <v/>
      </c>
      <c r="T407">
        <f>IF(A407="","", SUM(IF(F407="Yes", 0, IF(E407="", 0, IFERROR(VALUE(MID(E407, SEARCH("(",E407)+1, 1)),0))), IF(I407="Yes", 0, IF(H407="", 0, IFERROR(VALUE(MID(H407, SEARCH("(",H407)+1, 1)),0))), IF(L407="Yes", 0, IF(K407="", 0, IFERROR(VALUE(MID(K407, SEARCH("(",K407)+1, 1)),0))), IF(O407="Yes", 0, IF(N407="", 0, IFERROR(VALUE(MID(N407, SEARCH("(",N407)+1, 1)),0))), IF(R407="Yes", 0, IF(Q407="", 0, IFERROR(VALUE(MID(Q407, SEARCH("(",Q407)+1, 1)),0)))))</f>
        <v/>
      </c>
      <c r="U407">
        <f>IF(A407="","", IF(T407&gt;=5, "Priority 1 (Critical)", IF(T407&gt;=3, "Priority 2 (Major)", IF(T407&gt;=1, "Priority 3 (Minor)", "Pass/Fixed"))))</f>
        <v/>
      </c>
      <c r="V407">
        <f>IF(A407="","", IF(T407&gt;0, "FAIL", "PASS"))</f>
        <v/>
      </c>
    </row>
    <row r="408">
      <c r="A408">
        <f>IF('Equipment Information'!A408="","", 'Equipment Information'!A408)</f>
        <v/>
      </c>
      <c r="B408">
        <f>IF('Equipment Information'!B408="","", 'Equipment Information'!B408)</f>
        <v/>
      </c>
      <c r="C408">
        <f>IF('Equipment Information'!C408="","", 'Equipment Information'!C408)</f>
        <v/>
      </c>
      <c r="E408">
        <f>IF(D408="","", IFERROR(VLOOKUP(D408, 'Hidden_Data'!M:N, 2, FALSE), "0"))</f>
        <v/>
      </c>
      <c r="H408">
        <f>IF(G408="","", IFERROR(VLOOKUP(G408, 'Hidden_Data'!M:N, 2, FALSE), "0"))</f>
        <v/>
      </c>
      <c r="K408">
        <f>IF(J408="","", IFERROR(VLOOKUP(J408, 'Hidden_Data'!M:N, 2, FALSE), "0"))</f>
        <v/>
      </c>
      <c r="N408">
        <f>IF(M408="","", IFERROR(VLOOKUP(M408, 'Hidden_Data'!M:N, 2, FALSE), "0"))</f>
        <v/>
      </c>
      <c r="Q408">
        <f>IF(P408="","", IFERROR(VLOOKUP(P408, 'Hidden_Data'!M:N, 2, FALSE), "0"))</f>
        <v/>
      </c>
      <c r="T408">
        <f>IF(A408="","", SUM(IF(F408="Yes", 0, IF(E408="", 0, IFERROR(VALUE(MID(E408, SEARCH("(",E408)+1, 1)),0))), IF(I408="Yes", 0, IF(H408="", 0, IFERROR(VALUE(MID(H408, SEARCH("(",H408)+1, 1)),0))), IF(L408="Yes", 0, IF(K408="", 0, IFERROR(VALUE(MID(K408, SEARCH("(",K408)+1, 1)),0))), IF(O408="Yes", 0, IF(N408="", 0, IFERROR(VALUE(MID(N408, SEARCH("(",N408)+1, 1)),0))), IF(R408="Yes", 0, IF(Q408="", 0, IFERROR(VALUE(MID(Q408, SEARCH("(",Q408)+1, 1)),0)))))</f>
        <v/>
      </c>
      <c r="U408">
        <f>IF(A408="","", IF(T408&gt;=5, "Priority 1 (Critical)", IF(T408&gt;=3, "Priority 2 (Major)", IF(T408&gt;=1, "Priority 3 (Minor)", "Pass/Fixed"))))</f>
        <v/>
      </c>
      <c r="V408">
        <f>IF(A408="","", IF(T408&gt;0, "FAIL", "PASS"))</f>
        <v/>
      </c>
    </row>
    <row r="409">
      <c r="A409">
        <f>IF('Equipment Information'!A409="","", 'Equipment Information'!A409)</f>
        <v/>
      </c>
      <c r="B409">
        <f>IF('Equipment Information'!B409="","", 'Equipment Information'!B409)</f>
        <v/>
      </c>
      <c r="C409">
        <f>IF('Equipment Information'!C409="","", 'Equipment Information'!C409)</f>
        <v/>
      </c>
      <c r="E409">
        <f>IF(D409="","", IFERROR(VLOOKUP(D409, 'Hidden_Data'!M:N, 2, FALSE), "0"))</f>
        <v/>
      </c>
      <c r="H409">
        <f>IF(G409="","", IFERROR(VLOOKUP(G409, 'Hidden_Data'!M:N, 2, FALSE), "0"))</f>
        <v/>
      </c>
      <c r="K409">
        <f>IF(J409="","", IFERROR(VLOOKUP(J409, 'Hidden_Data'!M:N, 2, FALSE), "0"))</f>
        <v/>
      </c>
      <c r="N409">
        <f>IF(M409="","", IFERROR(VLOOKUP(M409, 'Hidden_Data'!M:N, 2, FALSE), "0"))</f>
        <v/>
      </c>
      <c r="Q409">
        <f>IF(P409="","", IFERROR(VLOOKUP(P409, 'Hidden_Data'!M:N, 2, FALSE), "0"))</f>
        <v/>
      </c>
      <c r="T409">
        <f>IF(A409="","", SUM(IF(F409="Yes", 0, IF(E409="", 0, IFERROR(VALUE(MID(E409, SEARCH("(",E409)+1, 1)),0))), IF(I409="Yes", 0, IF(H409="", 0, IFERROR(VALUE(MID(H409, SEARCH("(",H409)+1, 1)),0))), IF(L409="Yes", 0, IF(K409="", 0, IFERROR(VALUE(MID(K409, SEARCH("(",K409)+1, 1)),0))), IF(O409="Yes", 0, IF(N409="", 0, IFERROR(VALUE(MID(N409, SEARCH("(",N409)+1, 1)),0))), IF(R409="Yes", 0, IF(Q409="", 0, IFERROR(VALUE(MID(Q409, SEARCH("(",Q409)+1, 1)),0)))))</f>
        <v/>
      </c>
      <c r="U409">
        <f>IF(A409="","", IF(T409&gt;=5, "Priority 1 (Critical)", IF(T409&gt;=3, "Priority 2 (Major)", IF(T409&gt;=1, "Priority 3 (Minor)", "Pass/Fixed"))))</f>
        <v/>
      </c>
      <c r="V409">
        <f>IF(A409="","", IF(T409&gt;0, "FAIL", "PASS"))</f>
        <v/>
      </c>
    </row>
    <row r="410">
      <c r="A410">
        <f>IF('Equipment Information'!A410="","", 'Equipment Information'!A410)</f>
        <v/>
      </c>
      <c r="B410">
        <f>IF('Equipment Information'!B410="","", 'Equipment Information'!B410)</f>
        <v/>
      </c>
      <c r="C410">
        <f>IF('Equipment Information'!C410="","", 'Equipment Information'!C410)</f>
        <v/>
      </c>
      <c r="E410">
        <f>IF(D410="","", IFERROR(VLOOKUP(D410, 'Hidden_Data'!M:N, 2, FALSE), "0"))</f>
        <v/>
      </c>
      <c r="H410">
        <f>IF(G410="","", IFERROR(VLOOKUP(G410, 'Hidden_Data'!M:N, 2, FALSE), "0"))</f>
        <v/>
      </c>
      <c r="K410">
        <f>IF(J410="","", IFERROR(VLOOKUP(J410, 'Hidden_Data'!M:N, 2, FALSE), "0"))</f>
        <v/>
      </c>
      <c r="N410">
        <f>IF(M410="","", IFERROR(VLOOKUP(M410, 'Hidden_Data'!M:N, 2, FALSE), "0"))</f>
        <v/>
      </c>
      <c r="Q410">
        <f>IF(P410="","", IFERROR(VLOOKUP(P410, 'Hidden_Data'!M:N, 2, FALSE), "0"))</f>
        <v/>
      </c>
      <c r="T410">
        <f>IF(A410="","", SUM(IF(F410="Yes", 0, IF(E410="", 0, IFERROR(VALUE(MID(E410, SEARCH("(",E410)+1, 1)),0))), IF(I410="Yes", 0, IF(H410="", 0, IFERROR(VALUE(MID(H410, SEARCH("(",H410)+1, 1)),0))), IF(L410="Yes", 0, IF(K410="", 0, IFERROR(VALUE(MID(K410, SEARCH("(",K410)+1, 1)),0))), IF(O410="Yes", 0, IF(N410="", 0, IFERROR(VALUE(MID(N410, SEARCH("(",N410)+1, 1)),0))), IF(R410="Yes", 0, IF(Q410="", 0, IFERROR(VALUE(MID(Q410, SEARCH("(",Q410)+1, 1)),0)))))</f>
        <v/>
      </c>
      <c r="U410">
        <f>IF(A410="","", IF(T410&gt;=5, "Priority 1 (Critical)", IF(T410&gt;=3, "Priority 2 (Major)", IF(T410&gt;=1, "Priority 3 (Minor)", "Pass/Fixed"))))</f>
        <v/>
      </c>
      <c r="V410">
        <f>IF(A410="","", IF(T410&gt;0, "FAIL", "PASS"))</f>
        <v/>
      </c>
    </row>
    <row r="411">
      <c r="A411">
        <f>IF('Equipment Information'!A411="","", 'Equipment Information'!A411)</f>
        <v/>
      </c>
      <c r="B411">
        <f>IF('Equipment Information'!B411="","", 'Equipment Information'!B411)</f>
        <v/>
      </c>
      <c r="C411">
        <f>IF('Equipment Information'!C411="","", 'Equipment Information'!C411)</f>
        <v/>
      </c>
      <c r="E411">
        <f>IF(D411="","", IFERROR(VLOOKUP(D411, 'Hidden_Data'!M:N, 2, FALSE), "0"))</f>
        <v/>
      </c>
      <c r="H411">
        <f>IF(G411="","", IFERROR(VLOOKUP(G411, 'Hidden_Data'!M:N, 2, FALSE), "0"))</f>
        <v/>
      </c>
      <c r="K411">
        <f>IF(J411="","", IFERROR(VLOOKUP(J411, 'Hidden_Data'!M:N, 2, FALSE), "0"))</f>
        <v/>
      </c>
      <c r="N411">
        <f>IF(M411="","", IFERROR(VLOOKUP(M411, 'Hidden_Data'!M:N, 2, FALSE), "0"))</f>
        <v/>
      </c>
      <c r="Q411">
        <f>IF(P411="","", IFERROR(VLOOKUP(P411, 'Hidden_Data'!M:N, 2, FALSE), "0"))</f>
        <v/>
      </c>
      <c r="T411">
        <f>IF(A411="","", SUM(IF(F411="Yes", 0, IF(E411="", 0, IFERROR(VALUE(MID(E411, SEARCH("(",E411)+1, 1)),0))), IF(I411="Yes", 0, IF(H411="", 0, IFERROR(VALUE(MID(H411, SEARCH("(",H411)+1, 1)),0))), IF(L411="Yes", 0, IF(K411="", 0, IFERROR(VALUE(MID(K411, SEARCH("(",K411)+1, 1)),0))), IF(O411="Yes", 0, IF(N411="", 0, IFERROR(VALUE(MID(N411, SEARCH("(",N411)+1, 1)),0))), IF(R411="Yes", 0, IF(Q411="", 0, IFERROR(VALUE(MID(Q411, SEARCH("(",Q411)+1, 1)),0)))))</f>
        <v/>
      </c>
      <c r="U411">
        <f>IF(A411="","", IF(T411&gt;=5, "Priority 1 (Critical)", IF(T411&gt;=3, "Priority 2 (Major)", IF(T411&gt;=1, "Priority 3 (Minor)", "Pass/Fixed"))))</f>
        <v/>
      </c>
      <c r="V411">
        <f>IF(A411="","", IF(T411&gt;0, "FAIL", "PASS"))</f>
        <v/>
      </c>
    </row>
    <row r="412">
      <c r="A412">
        <f>IF('Equipment Information'!A412="","", 'Equipment Information'!A412)</f>
        <v/>
      </c>
      <c r="B412">
        <f>IF('Equipment Information'!B412="","", 'Equipment Information'!B412)</f>
        <v/>
      </c>
      <c r="C412">
        <f>IF('Equipment Information'!C412="","", 'Equipment Information'!C412)</f>
        <v/>
      </c>
      <c r="E412">
        <f>IF(D412="","", IFERROR(VLOOKUP(D412, 'Hidden_Data'!M:N, 2, FALSE), "0"))</f>
        <v/>
      </c>
      <c r="H412">
        <f>IF(G412="","", IFERROR(VLOOKUP(G412, 'Hidden_Data'!M:N, 2, FALSE), "0"))</f>
        <v/>
      </c>
      <c r="K412">
        <f>IF(J412="","", IFERROR(VLOOKUP(J412, 'Hidden_Data'!M:N, 2, FALSE), "0"))</f>
        <v/>
      </c>
      <c r="N412">
        <f>IF(M412="","", IFERROR(VLOOKUP(M412, 'Hidden_Data'!M:N, 2, FALSE), "0"))</f>
        <v/>
      </c>
      <c r="Q412">
        <f>IF(P412="","", IFERROR(VLOOKUP(P412, 'Hidden_Data'!M:N, 2, FALSE), "0"))</f>
        <v/>
      </c>
      <c r="T412">
        <f>IF(A412="","", SUM(IF(F412="Yes", 0, IF(E412="", 0, IFERROR(VALUE(MID(E412, SEARCH("(",E412)+1, 1)),0))), IF(I412="Yes", 0, IF(H412="", 0, IFERROR(VALUE(MID(H412, SEARCH("(",H412)+1, 1)),0))), IF(L412="Yes", 0, IF(K412="", 0, IFERROR(VALUE(MID(K412, SEARCH("(",K412)+1, 1)),0))), IF(O412="Yes", 0, IF(N412="", 0, IFERROR(VALUE(MID(N412, SEARCH("(",N412)+1, 1)),0))), IF(R412="Yes", 0, IF(Q412="", 0, IFERROR(VALUE(MID(Q412, SEARCH("(",Q412)+1, 1)),0)))))</f>
        <v/>
      </c>
      <c r="U412">
        <f>IF(A412="","", IF(T412&gt;=5, "Priority 1 (Critical)", IF(T412&gt;=3, "Priority 2 (Major)", IF(T412&gt;=1, "Priority 3 (Minor)", "Pass/Fixed"))))</f>
        <v/>
      </c>
      <c r="V412">
        <f>IF(A412="","", IF(T412&gt;0, "FAIL", "PASS"))</f>
        <v/>
      </c>
    </row>
    <row r="413">
      <c r="A413">
        <f>IF('Equipment Information'!A413="","", 'Equipment Information'!A413)</f>
        <v/>
      </c>
      <c r="B413">
        <f>IF('Equipment Information'!B413="","", 'Equipment Information'!B413)</f>
        <v/>
      </c>
      <c r="C413">
        <f>IF('Equipment Information'!C413="","", 'Equipment Information'!C413)</f>
        <v/>
      </c>
      <c r="E413">
        <f>IF(D413="","", IFERROR(VLOOKUP(D413, 'Hidden_Data'!M:N, 2, FALSE), "0"))</f>
        <v/>
      </c>
      <c r="H413">
        <f>IF(G413="","", IFERROR(VLOOKUP(G413, 'Hidden_Data'!M:N, 2, FALSE), "0"))</f>
        <v/>
      </c>
      <c r="K413">
        <f>IF(J413="","", IFERROR(VLOOKUP(J413, 'Hidden_Data'!M:N, 2, FALSE), "0"))</f>
        <v/>
      </c>
      <c r="N413">
        <f>IF(M413="","", IFERROR(VLOOKUP(M413, 'Hidden_Data'!M:N, 2, FALSE), "0"))</f>
        <v/>
      </c>
      <c r="Q413">
        <f>IF(P413="","", IFERROR(VLOOKUP(P413, 'Hidden_Data'!M:N, 2, FALSE), "0"))</f>
        <v/>
      </c>
      <c r="T413">
        <f>IF(A413="","", SUM(IF(F413="Yes", 0, IF(E413="", 0, IFERROR(VALUE(MID(E413, SEARCH("(",E413)+1, 1)),0))), IF(I413="Yes", 0, IF(H413="", 0, IFERROR(VALUE(MID(H413, SEARCH("(",H413)+1, 1)),0))), IF(L413="Yes", 0, IF(K413="", 0, IFERROR(VALUE(MID(K413, SEARCH("(",K413)+1, 1)),0))), IF(O413="Yes", 0, IF(N413="", 0, IFERROR(VALUE(MID(N413, SEARCH("(",N413)+1, 1)),0))), IF(R413="Yes", 0, IF(Q413="", 0, IFERROR(VALUE(MID(Q413, SEARCH("(",Q413)+1, 1)),0)))))</f>
        <v/>
      </c>
      <c r="U413">
        <f>IF(A413="","", IF(T413&gt;=5, "Priority 1 (Critical)", IF(T413&gt;=3, "Priority 2 (Major)", IF(T413&gt;=1, "Priority 3 (Minor)", "Pass/Fixed"))))</f>
        <v/>
      </c>
      <c r="V413">
        <f>IF(A413="","", IF(T413&gt;0, "FAIL", "PASS"))</f>
        <v/>
      </c>
    </row>
    <row r="414">
      <c r="A414">
        <f>IF('Equipment Information'!A414="","", 'Equipment Information'!A414)</f>
        <v/>
      </c>
      <c r="B414">
        <f>IF('Equipment Information'!B414="","", 'Equipment Information'!B414)</f>
        <v/>
      </c>
      <c r="C414">
        <f>IF('Equipment Information'!C414="","", 'Equipment Information'!C414)</f>
        <v/>
      </c>
      <c r="E414">
        <f>IF(D414="","", IFERROR(VLOOKUP(D414, 'Hidden_Data'!M:N, 2, FALSE), "0"))</f>
        <v/>
      </c>
      <c r="H414">
        <f>IF(G414="","", IFERROR(VLOOKUP(G414, 'Hidden_Data'!M:N, 2, FALSE), "0"))</f>
        <v/>
      </c>
      <c r="K414">
        <f>IF(J414="","", IFERROR(VLOOKUP(J414, 'Hidden_Data'!M:N, 2, FALSE), "0"))</f>
        <v/>
      </c>
      <c r="N414">
        <f>IF(M414="","", IFERROR(VLOOKUP(M414, 'Hidden_Data'!M:N, 2, FALSE), "0"))</f>
        <v/>
      </c>
      <c r="Q414">
        <f>IF(P414="","", IFERROR(VLOOKUP(P414, 'Hidden_Data'!M:N, 2, FALSE), "0"))</f>
        <v/>
      </c>
      <c r="T414">
        <f>IF(A414="","", SUM(IF(F414="Yes", 0, IF(E414="", 0, IFERROR(VALUE(MID(E414, SEARCH("(",E414)+1, 1)),0))), IF(I414="Yes", 0, IF(H414="", 0, IFERROR(VALUE(MID(H414, SEARCH("(",H414)+1, 1)),0))), IF(L414="Yes", 0, IF(K414="", 0, IFERROR(VALUE(MID(K414, SEARCH("(",K414)+1, 1)),0))), IF(O414="Yes", 0, IF(N414="", 0, IFERROR(VALUE(MID(N414, SEARCH("(",N414)+1, 1)),0))), IF(R414="Yes", 0, IF(Q414="", 0, IFERROR(VALUE(MID(Q414, SEARCH("(",Q414)+1, 1)),0)))))</f>
        <v/>
      </c>
      <c r="U414">
        <f>IF(A414="","", IF(T414&gt;=5, "Priority 1 (Critical)", IF(T414&gt;=3, "Priority 2 (Major)", IF(T414&gt;=1, "Priority 3 (Minor)", "Pass/Fixed"))))</f>
        <v/>
      </c>
      <c r="V414">
        <f>IF(A414="","", IF(T414&gt;0, "FAIL", "PASS"))</f>
        <v/>
      </c>
    </row>
    <row r="415">
      <c r="A415">
        <f>IF('Equipment Information'!A415="","", 'Equipment Information'!A415)</f>
        <v/>
      </c>
      <c r="B415">
        <f>IF('Equipment Information'!B415="","", 'Equipment Information'!B415)</f>
        <v/>
      </c>
      <c r="C415">
        <f>IF('Equipment Information'!C415="","", 'Equipment Information'!C415)</f>
        <v/>
      </c>
      <c r="E415">
        <f>IF(D415="","", IFERROR(VLOOKUP(D415, 'Hidden_Data'!M:N, 2, FALSE), "0"))</f>
        <v/>
      </c>
      <c r="H415">
        <f>IF(G415="","", IFERROR(VLOOKUP(G415, 'Hidden_Data'!M:N, 2, FALSE), "0"))</f>
        <v/>
      </c>
      <c r="K415">
        <f>IF(J415="","", IFERROR(VLOOKUP(J415, 'Hidden_Data'!M:N, 2, FALSE), "0"))</f>
        <v/>
      </c>
      <c r="N415">
        <f>IF(M415="","", IFERROR(VLOOKUP(M415, 'Hidden_Data'!M:N, 2, FALSE), "0"))</f>
        <v/>
      </c>
      <c r="Q415">
        <f>IF(P415="","", IFERROR(VLOOKUP(P415, 'Hidden_Data'!M:N, 2, FALSE), "0"))</f>
        <v/>
      </c>
      <c r="T415">
        <f>IF(A415="","", SUM(IF(F415="Yes", 0, IF(E415="", 0, IFERROR(VALUE(MID(E415, SEARCH("(",E415)+1, 1)),0))), IF(I415="Yes", 0, IF(H415="", 0, IFERROR(VALUE(MID(H415, SEARCH("(",H415)+1, 1)),0))), IF(L415="Yes", 0, IF(K415="", 0, IFERROR(VALUE(MID(K415, SEARCH("(",K415)+1, 1)),0))), IF(O415="Yes", 0, IF(N415="", 0, IFERROR(VALUE(MID(N415, SEARCH("(",N415)+1, 1)),0))), IF(R415="Yes", 0, IF(Q415="", 0, IFERROR(VALUE(MID(Q415, SEARCH("(",Q415)+1, 1)),0)))))</f>
        <v/>
      </c>
      <c r="U415">
        <f>IF(A415="","", IF(T415&gt;=5, "Priority 1 (Critical)", IF(T415&gt;=3, "Priority 2 (Major)", IF(T415&gt;=1, "Priority 3 (Minor)", "Pass/Fixed"))))</f>
        <v/>
      </c>
      <c r="V415">
        <f>IF(A415="","", IF(T415&gt;0, "FAIL", "PASS"))</f>
        <v/>
      </c>
    </row>
    <row r="416">
      <c r="A416">
        <f>IF('Equipment Information'!A416="","", 'Equipment Information'!A416)</f>
        <v/>
      </c>
      <c r="B416">
        <f>IF('Equipment Information'!B416="","", 'Equipment Information'!B416)</f>
        <v/>
      </c>
      <c r="C416">
        <f>IF('Equipment Information'!C416="","", 'Equipment Information'!C416)</f>
        <v/>
      </c>
      <c r="E416">
        <f>IF(D416="","", IFERROR(VLOOKUP(D416, 'Hidden_Data'!M:N, 2, FALSE), "0"))</f>
        <v/>
      </c>
      <c r="H416">
        <f>IF(G416="","", IFERROR(VLOOKUP(G416, 'Hidden_Data'!M:N, 2, FALSE), "0"))</f>
        <v/>
      </c>
      <c r="K416">
        <f>IF(J416="","", IFERROR(VLOOKUP(J416, 'Hidden_Data'!M:N, 2, FALSE), "0"))</f>
        <v/>
      </c>
      <c r="N416">
        <f>IF(M416="","", IFERROR(VLOOKUP(M416, 'Hidden_Data'!M:N, 2, FALSE), "0"))</f>
        <v/>
      </c>
      <c r="Q416">
        <f>IF(P416="","", IFERROR(VLOOKUP(P416, 'Hidden_Data'!M:N, 2, FALSE), "0"))</f>
        <v/>
      </c>
      <c r="T416">
        <f>IF(A416="","", SUM(IF(F416="Yes", 0, IF(E416="", 0, IFERROR(VALUE(MID(E416, SEARCH("(",E416)+1, 1)),0))), IF(I416="Yes", 0, IF(H416="", 0, IFERROR(VALUE(MID(H416, SEARCH("(",H416)+1, 1)),0))), IF(L416="Yes", 0, IF(K416="", 0, IFERROR(VALUE(MID(K416, SEARCH("(",K416)+1, 1)),0))), IF(O416="Yes", 0, IF(N416="", 0, IFERROR(VALUE(MID(N416, SEARCH("(",N416)+1, 1)),0))), IF(R416="Yes", 0, IF(Q416="", 0, IFERROR(VALUE(MID(Q416, SEARCH("(",Q416)+1, 1)),0)))))</f>
        <v/>
      </c>
      <c r="U416">
        <f>IF(A416="","", IF(T416&gt;=5, "Priority 1 (Critical)", IF(T416&gt;=3, "Priority 2 (Major)", IF(T416&gt;=1, "Priority 3 (Minor)", "Pass/Fixed"))))</f>
        <v/>
      </c>
      <c r="V416">
        <f>IF(A416="","", IF(T416&gt;0, "FAIL", "PASS"))</f>
        <v/>
      </c>
    </row>
    <row r="417">
      <c r="A417">
        <f>IF('Equipment Information'!A417="","", 'Equipment Information'!A417)</f>
        <v/>
      </c>
      <c r="B417">
        <f>IF('Equipment Information'!B417="","", 'Equipment Information'!B417)</f>
        <v/>
      </c>
      <c r="C417">
        <f>IF('Equipment Information'!C417="","", 'Equipment Information'!C417)</f>
        <v/>
      </c>
      <c r="E417">
        <f>IF(D417="","", IFERROR(VLOOKUP(D417, 'Hidden_Data'!M:N, 2, FALSE), "0"))</f>
        <v/>
      </c>
      <c r="H417">
        <f>IF(G417="","", IFERROR(VLOOKUP(G417, 'Hidden_Data'!M:N, 2, FALSE), "0"))</f>
        <v/>
      </c>
      <c r="K417">
        <f>IF(J417="","", IFERROR(VLOOKUP(J417, 'Hidden_Data'!M:N, 2, FALSE), "0"))</f>
        <v/>
      </c>
      <c r="N417">
        <f>IF(M417="","", IFERROR(VLOOKUP(M417, 'Hidden_Data'!M:N, 2, FALSE), "0"))</f>
        <v/>
      </c>
      <c r="Q417">
        <f>IF(P417="","", IFERROR(VLOOKUP(P417, 'Hidden_Data'!M:N, 2, FALSE), "0"))</f>
        <v/>
      </c>
      <c r="T417">
        <f>IF(A417="","", SUM(IF(F417="Yes", 0, IF(E417="", 0, IFERROR(VALUE(MID(E417, SEARCH("(",E417)+1, 1)),0))), IF(I417="Yes", 0, IF(H417="", 0, IFERROR(VALUE(MID(H417, SEARCH("(",H417)+1, 1)),0))), IF(L417="Yes", 0, IF(K417="", 0, IFERROR(VALUE(MID(K417, SEARCH("(",K417)+1, 1)),0))), IF(O417="Yes", 0, IF(N417="", 0, IFERROR(VALUE(MID(N417, SEARCH("(",N417)+1, 1)),0))), IF(R417="Yes", 0, IF(Q417="", 0, IFERROR(VALUE(MID(Q417, SEARCH("(",Q417)+1, 1)),0)))))</f>
        <v/>
      </c>
      <c r="U417">
        <f>IF(A417="","", IF(T417&gt;=5, "Priority 1 (Critical)", IF(T417&gt;=3, "Priority 2 (Major)", IF(T417&gt;=1, "Priority 3 (Minor)", "Pass/Fixed"))))</f>
        <v/>
      </c>
      <c r="V417">
        <f>IF(A417="","", IF(T417&gt;0, "FAIL", "PASS"))</f>
        <v/>
      </c>
    </row>
    <row r="418">
      <c r="A418">
        <f>IF('Equipment Information'!A418="","", 'Equipment Information'!A418)</f>
        <v/>
      </c>
      <c r="B418">
        <f>IF('Equipment Information'!B418="","", 'Equipment Information'!B418)</f>
        <v/>
      </c>
      <c r="C418">
        <f>IF('Equipment Information'!C418="","", 'Equipment Information'!C418)</f>
        <v/>
      </c>
      <c r="E418">
        <f>IF(D418="","", IFERROR(VLOOKUP(D418, 'Hidden_Data'!M:N, 2, FALSE), "0"))</f>
        <v/>
      </c>
      <c r="H418">
        <f>IF(G418="","", IFERROR(VLOOKUP(G418, 'Hidden_Data'!M:N, 2, FALSE), "0"))</f>
        <v/>
      </c>
      <c r="K418">
        <f>IF(J418="","", IFERROR(VLOOKUP(J418, 'Hidden_Data'!M:N, 2, FALSE), "0"))</f>
        <v/>
      </c>
      <c r="N418">
        <f>IF(M418="","", IFERROR(VLOOKUP(M418, 'Hidden_Data'!M:N, 2, FALSE), "0"))</f>
        <v/>
      </c>
      <c r="Q418">
        <f>IF(P418="","", IFERROR(VLOOKUP(P418, 'Hidden_Data'!M:N, 2, FALSE), "0"))</f>
        <v/>
      </c>
      <c r="T418">
        <f>IF(A418="","", SUM(IF(F418="Yes", 0, IF(E418="", 0, IFERROR(VALUE(MID(E418, SEARCH("(",E418)+1, 1)),0))), IF(I418="Yes", 0, IF(H418="", 0, IFERROR(VALUE(MID(H418, SEARCH("(",H418)+1, 1)),0))), IF(L418="Yes", 0, IF(K418="", 0, IFERROR(VALUE(MID(K418, SEARCH("(",K418)+1, 1)),0))), IF(O418="Yes", 0, IF(N418="", 0, IFERROR(VALUE(MID(N418, SEARCH("(",N418)+1, 1)),0))), IF(R418="Yes", 0, IF(Q418="", 0, IFERROR(VALUE(MID(Q418, SEARCH("(",Q418)+1, 1)),0)))))</f>
        <v/>
      </c>
      <c r="U418">
        <f>IF(A418="","", IF(T418&gt;=5, "Priority 1 (Critical)", IF(T418&gt;=3, "Priority 2 (Major)", IF(T418&gt;=1, "Priority 3 (Minor)", "Pass/Fixed"))))</f>
        <v/>
      </c>
      <c r="V418">
        <f>IF(A418="","", IF(T418&gt;0, "FAIL", "PASS"))</f>
        <v/>
      </c>
    </row>
    <row r="419">
      <c r="A419">
        <f>IF('Equipment Information'!A419="","", 'Equipment Information'!A419)</f>
        <v/>
      </c>
      <c r="B419">
        <f>IF('Equipment Information'!B419="","", 'Equipment Information'!B419)</f>
        <v/>
      </c>
      <c r="C419">
        <f>IF('Equipment Information'!C419="","", 'Equipment Information'!C419)</f>
        <v/>
      </c>
      <c r="E419">
        <f>IF(D419="","", IFERROR(VLOOKUP(D419, 'Hidden_Data'!M:N, 2, FALSE), "0"))</f>
        <v/>
      </c>
      <c r="H419">
        <f>IF(G419="","", IFERROR(VLOOKUP(G419, 'Hidden_Data'!M:N, 2, FALSE), "0"))</f>
        <v/>
      </c>
      <c r="K419">
        <f>IF(J419="","", IFERROR(VLOOKUP(J419, 'Hidden_Data'!M:N, 2, FALSE), "0"))</f>
        <v/>
      </c>
      <c r="N419">
        <f>IF(M419="","", IFERROR(VLOOKUP(M419, 'Hidden_Data'!M:N, 2, FALSE), "0"))</f>
        <v/>
      </c>
      <c r="Q419">
        <f>IF(P419="","", IFERROR(VLOOKUP(P419, 'Hidden_Data'!M:N, 2, FALSE), "0"))</f>
        <v/>
      </c>
      <c r="T419">
        <f>IF(A419="","", SUM(IF(F419="Yes", 0, IF(E419="", 0, IFERROR(VALUE(MID(E419, SEARCH("(",E419)+1, 1)),0))), IF(I419="Yes", 0, IF(H419="", 0, IFERROR(VALUE(MID(H419, SEARCH("(",H419)+1, 1)),0))), IF(L419="Yes", 0, IF(K419="", 0, IFERROR(VALUE(MID(K419, SEARCH("(",K419)+1, 1)),0))), IF(O419="Yes", 0, IF(N419="", 0, IFERROR(VALUE(MID(N419, SEARCH("(",N419)+1, 1)),0))), IF(R419="Yes", 0, IF(Q419="", 0, IFERROR(VALUE(MID(Q419, SEARCH("(",Q419)+1, 1)),0)))))</f>
        <v/>
      </c>
      <c r="U419">
        <f>IF(A419="","", IF(T419&gt;=5, "Priority 1 (Critical)", IF(T419&gt;=3, "Priority 2 (Major)", IF(T419&gt;=1, "Priority 3 (Minor)", "Pass/Fixed"))))</f>
        <v/>
      </c>
      <c r="V419">
        <f>IF(A419="","", IF(T419&gt;0, "FAIL", "PASS"))</f>
        <v/>
      </c>
    </row>
    <row r="420">
      <c r="A420">
        <f>IF('Equipment Information'!A420="","", 'Equipment Information'!A420)</f>
        <v/>
      </c>
      <c r="B420">
        <f>IF('Equipment Information'!B420="","", 'Equipment Information'!B420)</f>
        <v/>
      </c>
      <c r="C420">
        <f>IF('Equipment Information'!C420="","", 'Equipment Information'!C420)</f>
        <v/>
      </c>
      <c r="E420">
        <f>IF(D420="","", IFERROR(VLOOKUP(D420, 'Hidden_Data'!M:N, 2, FALSE), "0"))</f>
        <v/>
      </c>
      <c r="H420">
        <f>IF(G420="","", IFERROR(VLOOKUP(G420, 'Hidden_Data'!M:N, 2, FALSE), "0"))</f>
        <v/>
      </c>
      <c r="K420">
        <f>IF(J420="","", IFERROR(VLOOKUP(J420, 'Hidden_Data'!M:N, 2, FALSE), "0"))</f>
        <v/>
      </c>
      <c r="N420">
        <f>IF(M420="","", IFERROR(VLOOKUP(M420, 'Hidden_Data'!M:N, 2, FALSE), "0"))</f>
        <v/>
      </c>
      <c r="Q420">
        <f>IF(P420="","", IFERROR(VLOOKUP(P420, 'Hidden_Data'!M:N, 2, FALSE), "0"))</f>
        <v/>
      </c>
      <c r="T420">
        <f>IF(A420="","", SUM(IF(F420="Yes", 0, IF(E420="", 0, IFERROR(VALUE(MID(E420, SEARCH("(",E420)+1, 1)),0))), IF(I420="Yes", 0, IF(H420="", 0, IFERROR(VALUE(MID(H420, SEARCH("(",H420)+1, 1)),0))), IF(L420="Yes", 0, IF(K420="", 0, IFERROR(VALUE(MID(K420, SEARCH("(",K420)+1, 1)),0))), IF(O420="Yes", 0, IF(N420="", 0, IFERROR(VALUE(MID(N420, SEARCH("(",N420)+1, 1)),0))), IF(R420="Yes", 0, IF(Q420="", 0, IFERROR(VALUE(MID(Q420, SEARCH("(",Q420)+1, 1)),0)))))</f>
        <v/>
      </c>
      <c r="U420">
        <f>IF(A420="","", IF(T420&gt;=5, "Priority 1 (Critical)", IF(T420&gt;=3, "Priority 2 (Major)", IF(T420&gt;=1, "Priority 3 (Minor)", "Pass/Fixed"))))</f>
        <v/>
      </c>
      <c r="V420">
        <f>IF(A420="","", IF(T420&gt;0, "FAIL", "PASS"))</f>
        <v/>
      </c>
    </row>
    <row r="421">
      <c r="A421">
        <f>IF('Equipment Information'!A421="","", 'Equipment Information'!A421)</f>
        <v/>
      </c>
      <c r="B421">
        <f>IF('Equipment Information'!B421="","", 'Equipment Information'!B421)</f>
        <v/>
      </c>
      <c r="C421">
        <f>IF('Equipment Information'!C421="","", 'Equipment Information'!C421)</f>
        <v/>
      </c>
      <c r="E421">
        <f>IF(D421="","", IFERROR(VLOOKUP(D421, 'Hidden_Data'!M:N, 2, FALSE), "0"))</f>
        <v/>
      </c>
      <c r="H421">
        <f>IF(G421="","", IFERROR(VLOOKUP(G421, 'Hidden_Data'!M:N, 2, FALSE), "0"))</f>
        <v/>
      </c>
      <c r="K421">
        <f>IF(J421="","", IFERROR(VLOOKUP(J421, 'Hidden_Data'!M:N, 2, FALSE), "0"))</f>
        <v/>
      </c>
      <c r="N421">
        <f>IF(M421="","", IFERROR(VLOOKUP(M421, 'Hidden_Data'!M:N, 2, FALSE), "0"))</f>
        <v/>
      </c>
      <c r="Q421">
        <f>IF(P421="","", IFERROR(VLOOKUP(P421, 'Hidden_Data'!M:N, 2, FALSE), "0"))</f>
        <v/>
      </c>
      <c r="T421">
        <f>IF(A421="","", SUM(IF(F421="Yes", 0, IF(E421="", 0, IFERROR(VALUE(MID(E421, SEARCH("(",E421)+1, 1)),0))), IF(I421="Yes", 0, IF(H421="", 0, IFERROR(VALUE(MID(H421, SEARCH("(",H421)+1, 1)),0))), IF(L421="Yes", 0, IF(K421="", 0, IFERROR(VALUE(MID(K421, SEARCH("(",K421)+1, 1)),0))), IF(O421="Yes", 0, IF(N421="", 0, IFERROR(VALUE(MID(N421, SEARCH("(",N421)+1, 1)),0))), IF(R421="Yes", 0, IF(Q421="", 0, IFERROR(VALUE(MID(Q421, SEARCH("(",Q421)+1, 1)),0)))))</f>
        <v/>
      </c>
      <c r="U421">
        <f>IF(A421="","", IF(T421&gt;=5, "Priority 1 (Critical)", IF(T421&gt;=3, "Priority 2 (Major)", IF(T421&gt;=1, "Priority 3 (Minor)", "Pass/Fixed"))))</f>
        <v/>
      </c>
      <c r="V421">
        <f>IF(A421="","", IF(T421&gt;0, "FAIL", "PASS"))</f>
        <v/>
      </c>
    </row>
    <row r="422">
      <c r="A422">
        <f>IF('Equipment Information'!A422="","", 'Equipment Information'!A422)</f>
        <v/>
      </c>
      <c r="B422">
        <f>IF('Equipment Information'!B422="","", 'Equipment Information'!B422)</f>
        <v/>
      </c>
      <c r="C422">
        <f>IF('Equipment Information'!C422="","", 'Equipment Information'!C422)</f>
        <v/>
      </c>
      <c r="E422">
        <f>IF(D422="","", IFERROR(VLOOKUP(D422, 'Hidden_Data'!M:N, 2, FALSE), "0"))</f>
        <v/>
      </c>
      <c r="H422">
        <f>IF(G422="","", IFERROR(VLOOKUP(G422, 'Hidden_Data'!M:N, 2, FALSE), "0"))</f>
        <v/>
      </c>
      <c r="K422">
        <f>IF(J422="","", IFERROR(VLOOKUP(J422, 'Hidden_Data'!M:N, 2, FALSE), "0"))</f>
        <v/>
      </c>
      <c r="N422">
        <f>IF(M422="","", IFERROR(VLOOKUP(M422, 'Hidden_Data'!M:N, 2, FALSE), "0"))</f>
        <v/>
      </c>
      <c r="Q422">
        <f>IF(P422="","", IFERROR(VLOOKUP(P422, 'Hidden_Data'!M:N, 2, FALSE), "0"))</f>
        <v/>
      </c>
      <c r="T422">
        <f>IF(A422="","", SUM(IF(F422="Yes", 0, IF(E422="", 0, IFERROR(VALUE(MID(E422, SEARCH("(",E422)+1, 1)),0))), IF(I422="Yes", 0, IF(H422="", 0, IFERROR(VALUE(MID(H422, SEARCH("(",H422)+1, 1)),0))), IF(L422="Yes", 0, IF(K422="", 0, IFERROR(VALUE(MID(K422, SEARCH("(",K422)+1, 1)),0))), IF(O422="Yes", 0, IF(N422="", 0, IFERROR(VALUE(MID(N422, SEARCH("(",N422)+1, 1)),0))), IF(R422="Yes", 0, IF(Q422="", 0, IFERROR(VALUE(MID(Q422, SEARCH("(",Q422)+1, 1)),0)))))</f>
        <v/>
      </c>
      <c r="U422">
        <f>IF(A422="","", IF(T422&gt;=5, "Priority 1 (Critical)", IF(T422&gt;=3, "Priority 2 (Major)", IF(T422&gt;=1, "Priority 3 (Minor)", "Pass/Fixed"))))</f>
        <v/>
      </c>
      <c r="V422">
        <f>IF(A422="","", IF(T422&gt;0, "FAIL", "PASS"))</f>
        <v/>
      </c>
    </row>
    <row r="423">
      <c r="A423">
        <f>IF('Equipment Information'!A423="","", 'Equipment Information'!A423)</f>
        <v/>
      </c>
      <c r="B423">
        <f>IF('Equipment Information'!B423="","", 'Equipment Information'!B423)</f>
        <v/>
      </c>
      <c r="C423">
        <f>IF('Equipment Information'!C423="","", 'Equipment Information'!C423)</f>
        <v/>
      </c>
      <c r="E423">
        <f>IF(D423="","", IFERROR(VLOOKUP(D423, 'Hidden_Data'!M:N, 2, FALSE), "0"))</f>
        <v/>
      </c>
      <c r="H423">
        <f>IF(G423="","", IFERROR(VLOOKUP(G423, 'Hidden_Data'!M:N, 2, FALSE), "0"))</f>
        <v/>
      </c>
      <c r="K423">
        <f>IF(J423="","", IFERROR(VLOOKUP(J423, 'Hidden_Data'!M:N, 2, FALSE), "0"))</f>
        <v/>
      </c>
      <c r="N423">
        <f>IF(M423="","", IFERROR(VLOOKUP(M423, 'Hidden_Data'!M:N, 2, FALSE), "0"))</f>
        <v/>
      </c>
      <c r="Q423">
        <f>IF(P423="","", IFERROR(VLOOKUP(P423, 'Hidden_Data'!M:N, 2, FALSE), "0"))</f>
        <v/>
      </c>
      <c r="T423">
        <f>IF(A423="","", SUM(IF(F423="Yes", 0, IF(E423="", 0, IFERROR(VALUE(MID(E423, SEARCH("(",E423)+1, 1)),0))), IF(I423="Yes", 0, IF(H423="", 0, IFERROR(VALUE(MID(H423, SEARCH("(",H423)+1, 1)),0))), IF(L423="Yes", 0, IF(K423="", 0, IFERROR(VALUE(MID(K423, SEARCH("(",K423)+1, 1)),0))), IF(O423="Yes", 0, IF(N423="", 0, IFERROR(VALUE(MID(N423, SEARCH("(",N423)+1, 1)),0))), IF(R423="Yes", 0, IF(Q423="", 0, IFERROR(VALUE(MID(Q423, SEARCH("(",Q423)+1, 1)),0)))))</f>
        <v/>
      </c>
      <c r="U423">
        <f>IF(A423="","", IF(T423&gt;=5, "Priority 1 (Critical)", IF(T423&gt;=3, "Priority 2 (Major)", IF(T423&gt;=1, "Priority 3 (Minor)", "Pass/Fixed"))))</f>
        <v/>
      </c>
      <c r="V423">
        <f>IF(A423="","", IF(T423&gt;0, "FAIL", "PASS"))</f>
        <v/>
      </c>
    </row>
    <row r="424">
      <c r="A424">
        <f>IF('Equipment Information'!A424="","", 'Equipment Information'!A424)</f>
        <v/>
      </c>
      <c r="B424">
        <f>IF('Equipment Information'!B424="","", 'Equipment Information'!B424)</f>
        <v/>
      </c>
      <c r="C424">
        <f>IF('Equipment Information'!C424="","", 'Equipment Information'!C424)</f>
        <v/>
      </c>
      <c r="E424">
        <f>IF(D424="","", IFERROR(VLOOKUP(D424, 'Hidden_Data'!M:N, 2, FALSE), "0"))</f>
        <v/>
      </c>
      <c r="H424">
        <f>IF(G424="","", IFERROR(VLOOKUP(G424, 'Hidden_Data'!M:N, 2, FALSE), "0"))</f>
        <v/>
      </c>
      <c r="K424">
        <f>IF(J424="","", IFERROR(VLOOKUP(J424, 'Hidden_Data'!M:N, 2, FALSE), "0"))</f>
        <v/>
      </c>
      <c r="N424">
        <f>IF(M424="","", IFERROR(VLOOKUP(M424, 'Hidden_Data'!M:N, 2, FALSE), "0"))</f>
        <v/>
      </c>
      <c r="Q424">
        <f>IF(P424="","", IFERROR(VLOOKUP(P424, 'Hidden_Data'!M:N, 2, FALSE), "0"))</f>
        <v/>
      </c>
      <c r="T424">
        <f>IF(A424="","", SUM(IF(F424="Yes", 0, IF(E424="", 0, IFERROR(VALUE(MID(E424, SEARCH("(",E424)+1, 1)),0))), IF(I424="Yes", 0, IF(H424="", 0, IFERROR(VALUE(MID(H424, SEARCH("(",H424)+1, 1)),0))), IF(L424="Yes", 0, IF(K424="", 0, IFERROR(VALUE(MID(K424, SEARCH("(",K424)+1, 1)),0))), IF(O424="Yes", 0, IF(N424="", 0, IFERROR(VALUE(MID(N424, SEARCH("(",N424)+1, 1)),0))), IF(R424="Yes", 0, IF(Q424="", 0, IFERROR(VALUE(MID(Q424, SEARCH("(",Q424)+1, 1)),0)))))</f>
        <v/>
      </c>
      <c r="U424">
        <f>IF(A424="","", IF(T424&gt;=5, "Priority 1 (Critical)", IF(T424&gt;=3, "Priority 2 (Major)", IF(T424&gt;=1, "Priority 3 (Minor)", "Pass/Fixed"))))</f>
        <v/>
      </c>
      <c r="V424">
        <f>IF(A424="","", IF(T424&gt;0, "FAIL", "PASS"))</f>
        <v/>
      </c>
    </row>
    <row r="425">
      <c r="A425">
        <f>IF('Equipment Information'!A425="","", 'Equipment Information'!A425)</f>
        <v/>
      </c>
      <c r="B425">
        <f>IF('Equipment Information'!B425="","", 'Equipment Information'!B425)</f>
        <v/>
      </c>
      <c r="C425">
        <f>IF('Equipment Information'!C425="","", 'Equipment Information'!C425)</f>
        <v/>
      </c>
      <c r="E425">
        <f>IF(D425="","", IFERROR(VLOOKUP(D425, 'Hidden_Data'!M:N, 2, FALSE), "0"))</f>
        <v/>
      </c>
      <c r="H425">
        <f>IF(G425="","", IFERROR(VLOOKUP(G425, 'Hidden_Data'!M:N, 2, FALSE), "0"))</f>
        <v/>
      </c>
      <c r="K425">
        <f>IF(J425="","", IFERROR(VLOOKUP(J425, 'Hidden_Data'!M:N, 2, FALSE), "0"))</f>
        <v/>
      </c>
      <c r="N425">
        <f>IF(M425="","", IFERROR(VLOOKUP(M425, 'Hidden_Data'!M:N, 2, FALSE), "0"))</f>
        <v/>
      </c>
      <c r="Q425">
        <f>IF(P425="","", IFERROR(VLOOKUP(P425, 'Hidden_Data'!M:N, 2, FALSE), "0"))</f>
        <v/>
      </c>
      <c r="T425">
        <f>IF(A425="","", SUM(IF(F425="Yes", 0, IF(E425="", 0, IFERROR(VALUE(MID(E425, SEARCH("(",E425)+1, 1)),0))), IF(I425="Yes", 0, IF(H425="", 0, IFERROR(VALUE(MID(H425, SEARCH("(",H425)+1, 1)),0))), IF(L425="Yes", 0, IF(K425="", 0, IFERROR(VALUE(MID(K425, SEARCH("(",K425)+1, 1)),0))), IF(O425="Yes", 0, IF(N425="", 0, IFERROR(VALUE(MID(N425, SEARCH("(",N425)+1, 1)),0))), IF(R425="Yes", 0, IF(Q425="", 0, IFERROR(VALUE(MID(Q425, SEARCH("(",Q425)+1, 1)),0)))))</f>
        <v/>
      </c>
      <c r="U425">
        <f>IF(A425="","", IF(T425&gt;=5, "Priority 1 (Critical)", IF(T425&gt;=3, "Priority 2 (Major)", IF(T425&gt;=1, "Priority 3 (Minor)", "Pass/Fixed"))))</f>
        <v/>
      </c>
      <c r="V425">
        <f>IF(A425="","", IF(T425&gt;0, "FAIL", "PASS"))</f>
        <v/>
      </c>
    </row>
    <row r="426">
      <c r="A426">
        <f>IF('Equipment Information'!A426="","", 'Equipment Information'!A426)</f>
        <v/>
      </c>
      <c r="B426">
        <f>IF('Equipment Information'!B426="","", 'Equipment Information'!B426)</f>
        <v/>
      </c>
      <c r="C426">
        <f>IF('Equipment Information'!C426="","", 'Equipment Information'!C426)</f>
        <v/>
      </c>
      <c r="E426">
        <f>IF(D426="","", IFERROR(VLOOKUP(D426, 'Hidden_Data'!M:N, 2, FALSE), "0"))</f>
        <v/>
      </c>
      <c r="H426">
        <f>IF(G426="","", IFERROR(VLOOKUP(G426, 'Hidden_Data'!M:N, 2, FALSE), "0"))</f>
        <v/>
      </c>
      <c r="K426">
        <f>IF(J426="","", IFERROR(VLOOKUP(J426, 'Hidden_Data'!M:N, 2, FALSE), "0"))</f>
        <v/>
      </c>
      <c r="N426">
        <f>IF(M426="","", IFERROR(VLOOKUP(M426, 'Hidden_Data'!M:N, 2, FALSE), "0"))</f>
        <v/>
      </c>
      <c r="Q426">
        <f>IF(P426="","", IFERROR(VLOOKUP(P426, 'Hidden_Data'!M:N, 2, FALSE), "0"))</f>
        <v/>
      </c>
      <c r="T426">
        <f>IF(A426="","", SUM(IF(F426="Yes", 0, IF(E426="", 0, IFERROR(VALUE(MID(E426, SEARCH("(",E426)+1, 1)),0))), IF(I426="Yes", 0, IF(H426="", 0, IFERROR(VALUE(MID(H426, SEARCH("(",H426)+1, 1)),0))), IF(L426="Yes", 0, IF(K426="", 0, IFERROR(VALUE(MID(K426, SEARCH("(",K426)+1, 1)),0))), IF(O426="Yes", 0, IF(N426="", 0, IFERROR(VALUE(MID(N426, SEARCH("(",N426)+1, 1)),0))), IF(R426="Yes", 0, IF(Q426="", 0, IFERROR(VALUE(MID(Q426, SEARCH("(",Q426)+1, 1)),0)))))</f>
        <v/>
      </c>
      <c r="U426">
        <f>IF(A426="","", IF(T426&gt;=5, "Priority 1 (Critical)", IF(T426&gt;=3, "Priority 2 (Major)", IF(T426&gt;=1, "Priority 3 (Minor)", "Pass/Fixed"))))</f>
        <v/>
      </c>
      <c r="V426">
        <f>IF(A426="","", IF(T426&gt;0, "FAIL", "PASS"))</f>
        <v/>
      </c>
    </row>
    <row r="427">
      <c r="A427">
        <f>IF('Equipment Information'!A427="","", 'Equipment Information'!A427)</f>
        <v/>
      </c>
      <c r="B427">
        <f>IF('Equipment Information'!B427="","", 'Equipment Information'!B427)</f>
        <v/>
      </c>
      <c r="C427">
        <f>IF('Equipment Information'!C427="","", 'Equipment Information'!C427)</f>
        <v/>
      </c>
      <c r="E427">
        <f>IF(D427="","", IFERROR(VLOOKUP(D427, 'Hidden_Data'!M:N, 2, FALSE), "0"))</f>
        <v/>
      </c>
      <c r="H427">
        <f>IF(G427="","", IFERROR(VLOOKUP(G427, 'Hidden_Data'!M:N, 2, FALSE), "0"))</f>
        <v/>
      </c>
      <c r="K427">
        <f>IF(J427="","", IFERROR(VLOOKUP(J427, 'Hidden_Data'!M:N, 2, FALSE), "0"))</f>
        <v/>
      </c>
      <c r="N427">
        <f>IF(M427="","", IFERROR(VLOOKUP(M427, 'Hidden_Data'!M:N, 2, FALSE), "0"))</f>
        <v/>
      </c>
      <c r="Q427">
        <f>IF(P427="","", IFERROR(VLOOKUP(P427, 'Hidden_Data'!M:N, 2, FALSE), "0"))</f>
        <v/>
      </c>
      <c r="T427">
        <f>IF(A427="","", SUM(IF(F427="Yes", 0, IF(E427="", 0, IFERROR(VALUE(MID(E427, SEARCH("(",E427)+1, 1)),0))), IF(I427="Yes", 0, IF(H427="", 0, IFERROR(VALUE(MID(H427, SEARCH("(",H427)+1, 1)),0))), IF(L427="Yes", 0, IF(K427="", 0, IFERROR(VALUE(MID(K427, SEARCH("(",K427)+1, 1)),0))), IF(O427="Yes", 0, IF(N427="", 0, IFERROR(VALUE(MID(N427, SEARCH("(",N427)+1, 1)),0))), IF(R427="Yes", 0, IF(Q427="", 0, IFERROR(VALUE(MID(Q427, SEARCH("(",Q427)+1, 1)),0)))))</f>
        <v/>
      </c>
      <c r="U427">
        <f>IF(A427="","", IF(T427&gt;=5, "Priority 1 (Critical)", IF(T427&gt;=3, "Priority 2 (Major)", IF(T427&gt;=1, "Priority 3 (Minor)", "Pass/Fixed"))))</f>
        <v/>
      </c>
      <c r="V427">
        <f>IF(A427="","", IF(T427&gt;0, "FAIL", "PASS"))</f>
        <v/>
      </c>
    </row>
    <row r="428">
      <c r="A428">
        <f>IF('Equipment Information'!A428="","", 'Equipment Information'!A428)</f>
        <v/>
      </c>
      <c r="B428">
        <f>IF('Equipment Information'!B428="","", 'Equipment Information'!B428)</f>
        <v/>
      </c>
      <c r="C428">
        <f>IF('Equipment Information'!C428="","", 'Equipment Information'!C428)</f>
        <v/>
      </c>
      <c r="E428">
        <f>IF(D428="","", IFERROR(VLOOKUP(D428, 'Hidden_Data'!M:N, 2, FALSE), "0"))</f>
        <v/>
      </c>
      <c r="H428">
        <f>IF(G428="","", IFERROR(VLOOKUP(G428, 'Hidden_Data'!M:N, 2, FALSE), "0"))</f>
        <v/>
      </c>
      <c r="K428">
        <f>IF(J428="","", IFERROR(VLOOKUP(J428, 'Hidden_Data'!M:N, 2, FALSE), "0"))</f>
        <v/>
      </c>
      <c r="N428">
        <f>IF(M428="","", IFERROR(VLOOKUP(M428, 'Hidden_Data'!M:N, 2, FALSE), "0"))</f>
        <v/>
      </c>
      <c r="Q428">
        <f>IF(P428="","", IFERROR(VLOOKUP(P428, 'Hidden_Data'!M:N, 2, FALSE), "0"))</f>
        <v/>
      </c>
      <c r="T428">
        <f>IF(A428="","", SUM(IF(F428="Yes", 0, IF(E428="", 0, IFERROR(VALUE(MID(E428, SEARCH("(",E428)+1, 1)),0))), IF(I428="Yes", 0, IF(H428="", 0, IFERROR(VALUE(MID(H428, SEARCH("(",H428)+1, 1)),0))), IF(L428="Yes", 0, IF(K428="", 0, IFERROR(VALUE(MID(K428, SEARCH("(",K428)+1, 1)),0))), IF(O428="Yes", 0, IF(N428="", 0, IFERROR(VALUE(MID(N428, SEARCH("(",N428)+1, 1)),0))), IF(R428="Yes", 0, IF(Q428="", 0, IFERROR(VALUE(MID(Q428, SEARCH("(",Q428)+1, 1)),0)))))</f>
        <v/>
      </c>
      <c r="U428">
        <f>IF(A428="","", IF(T428&gt;=5, "Priority 1 (Critical)", IF(T428&gt;=3, "Priority 2 (Major)", IF(T428&gt;=1, "Priority 3 (Minor)", "Pass/Fixed"))))</f>
        <v/>
      </c>
      <c r="V428">
        <f>IF(A428="","", IF(T428&gt;0, "FAIL", "PASS"))</f>
        <v/>
      </c>
    </row>
    <row r="429">
      <c r="A429">
        <f>IF('Equipment Information'!A429="","", 'Equipment Information'!A429)</f>
        <v/>
      </c>
      <c r="B429">
        <f>IF('Equipment Information'!B429="","", 'Equipment Information'!B429)</f>
        <v/>
      </c>
      <c r="C429">
        <f>IF('Equipment Information'!C429="","", 'Equipment Information'!C429)</f>
        <v/>
      </c>
      <c r="E429">
        <f>IF(D429="","", IFERROR(VLOOKUP(D429, 'Hidden_Data'!M:N, 2, FALSE), "0"))</f>
        <v/>
      </c>
      <c r="H429">
        <f>IF(G429="","", IFERROR(VLOOKUP(G429, 'Hidden_Data'!M:N, 2, FALSE), "0"))</f>
        <v/>
      </c>
      <c r="K429">
        <f>IF(J429="","", IFERROR(VLOOKUP(J429, 'Hidden_Data'!M:N, 2, FALSE), "0"))</f>
        <v/>
      </c>
      <c r="N429">
        <f>IF(M429="","", IFERROR(VLOOKUP(M429, 'Hidden_Data'!M:N, 2, FALSE), "0"))</f>
        <v/>
      </c>
      <c r="Q429">
        <f>IF(P429="","", IFERROR(VLOOKUP(P429, 'Hidden_Data'!M:N, 2, FALSE), "0"))</f>
        <v/>
      </c>
      <c r="T429">
        <f>IF(A429="","", SUM(IF(F429="Yes", 0, IF(E429="", 0, IFERROR(VALUE(MID(E429, SEARCH("(",E429)+1, 1)),0))), IF(I429="Yes", 0, IF(H429="", 0, IFERROR(VALUE(MID(H429, SEARCH("(",H429)+1, 1)),0))), IF(L429="Yes", 0, IF(K429="", 0, IFERROR(VALUE(MID(K429, SEARCH("(",K429)+1, 1)),0))), IF(O429="Yes", 0, IF(N429="", 0, IFERROR(VALUE(MID(N429, SEARCH("(",N429)+1, 1)),0))), IF(R429="Yes", 0, IF(Q429="", 0, IFERROR(VALUE(MID(Q429, SEARCH("(",Q429)+1, 1)),0)))))</f>
        <v/>
      </c>
      <c r="U429">
        <f>IF(A429="","", IF(T429&gt;=5, "Priority 1 (Critical)", IF(T429&gt;=3, "Priority 2 (Major)", IF(T429&gt;=1, "Priority 3 (Minor)", "Pass/Fixed"))))</f>
        <v/>
      </c>
      <c r="V429">
        <f>IF(A429="","", IF(T429&gt;0, "FAIL", "PASS"))</f>
        <v/>
      </c>
    </row>
    <row r="430">
      <c r="A430">
        <f>IF('Equipment Information'!A430="","", 'Equipment Information'!A430)</f>
        <v/>
      </c>
      <c r="B430">
        <f>IF('Equipment Information'!B430="","", 'Equipment Information'!B430)</f>
        <v/>
      </c>
      <c r="C430">
        <f>IF('Equipment Information'!C430="","", 'Equipment Information'!C430)</f>
        <v/>
      </c>
      <c r="E430">
        <f>IF(D430="","", IFERROR(VLOOKUP(D430, 'Hidden_Data'!M:N, 2, FALSE), "0"))</f>
        <v/>
      </c>
      <c r="H430">
        <f>IF(G430="","", IFERROR(VLOOKUP(G430, 'Hidden_Data'!M:N, 2, FALSE), "0"))</f>
        <v/>
      </c>
      <c r="K430">
        <f>IF(J430="","", IFERROR(VLOOKUP(J430, 'Hidden_Data'!M:N, 2, FALSE), "0"))</f>
        <v/>
      </c>
      <c r="N430">
        <f>IF(M430="","", IFERROR(VLOOKUP(M430, 'Hidden_Data'!M:N, 2, FALSE), "0"))</f>
        <v/>
      </c>
      <c r="Q430">
        <f>IF(P430="","", IFERROR(VLOOKUP(P430, 'Hidden_Data'!M:N, 2, FALSE), "0"))</f>
        <v/>
      </c>
      <c r="T430">
        <f>IF(A430="","", SUM(IF(F430="Yes", 0, IF(E430="", 0, IFERROR(VALUE(MID(E430, SEARCH("(",E430)+1, 1)),0))), IF(I430="Yes", 0, IF(H430="", 0, IFERROR(VALUE(MID(H430, SEARCH("(",H430)+1, 1)),0))), IF(L430="Yes", 0, IF(K430="", 0, IFERROR(VALUE(MID(K430, SEARCH("(",K430)+1, 1)),0))), IF(O430="Yes", 0, IF(N430="", 0, IFERROR(VALUE(MID(N430, SEARCH("(",N430)+1, 1)),0))), IF(R430="Yes", 0, IF(Q430="", 0, IFERROR(VALUE(MID(Q430, SEARCH("(",Q430)+1, 1)),0)))))</f>
        <v/>
      </c>
      <c r="U430">
        <f>IF(A430="","", IF(T430&gt;=5, "Priority 1 (Critical)", IF(T430&gt;=3, "Priority 2 (Major)", IF(T430&gt;=1, "Priority 3 (Minor)", "Pass/Fixed"))))</f>
        <v/>
      </c>
      <c r="V430">
        <f>IF(A430="","", IF(T430&gt;0, "FAIL", "PASS"))</f>
        <v/>
      </c>
    </row>
    <row r="431">
      <c r="A431">
        <f>IF('Equipment Information'!A431="","", 'Equipment Information'!A431)</f>
        <v/>
      </c>
      <c r="B431">
        <f>IF('Equipment Information'!B431="","", 'Equipment Information'!B431)</f>
        <v/>
      </c>
      <c r="C431">
        <f>IF('Equipment Information'!C431="","", 'Equipment Information'!C431)</f>
        <v/>
      </c>
      <c r="E431">
        <f>IF(D431="","", IFERROR(VLOOKUP(D431, 'Hidden_Data'!M:N, 2, FALSE), "0"))</f>
        <v/>
      </c>
      <c r="H431">
        <f>IF(G431="","", IFERROR(VLOOKUP(G431, 'Hidden_Data'!M:N, 2, FALSE), "0"))</f>
        <v/>
      </c>
      <c r="K431">
        <f>IF(J431="","", IFERROR(VLOOKUP(J431, 'Hidden_Data'!M:N, 2, FALSE), "0"))</f>
        <v/>
      </c>
      <c r="N431">
        <f>IF(M431="","", IFERROR(VLOOKUP(M431, 'Hidden_Data'!M:N, 2, FALSE), "0"))</f>
        <v/>
      </c>
      <c r="Q431">
        <f>IF(P431="","", IFERROR(VLOOKUP(P431, 'Hidden_Data'!M:N, 2, FALSE), "0"))</f>
        <v/>
      </c>
      <c r="T431">
        <f>IF(A431="","", SUM(IF(F431="Yes", 0, IF(E431="", 0, IFERROR(VALUE(MID(E431, SEARCH("(",E431)+1, 1)),0))), IF(I431="Yes", 0, IF(H431="", 0, IFERROR(VALUE(MID(H431, SEARCH("(",H431)+1, 1)),0))), IF(L431="Yes", 0, IF(K431="", 0, IFERROR(VALUE(MID(K431, SEARCH("(",K431)+1, 1)),0))), IF(O431="Yes", 0, IF(N431="", 0, IFERROR(VALUE(MID(N431, SEARCH("(",N431)+1, 1)),0))), IF(R431="Yes", 0, IF(Q431="", 0, IFERROR(VALUE(MID(Q431, SEARCH("(",Q431)+1, 1)),0)))))</f>
        <v/>
      </c>
      <c r="U431">
        <f>IF(A431="","", IF(T431&gt;=5, "Priority 1 (Critical)", IF(T431&gt;=3, "Priority 2 (Major)", IF(T431&gt;=1, "Priority 3 (Minor)", "Pass/Fixed"))))</f>
        <v/>
      </c>
      <c r="V431">
        <f>IF(A431="","", IF(T431&gt;0, "FAIL", "PASS"))</f>
        <v/>
      </c>
    </row>
    <row r="432">
      <c r="A432">
        <f>IF('Equipment Information'!A432="","", 'Equipment Information'!A432)</f>
        <v/>
      </c>
      <c r="B432">
        <f>IF('Equipment Information'!B432="","", 'Equipment Information'!B432)</f>
        <v/>
      </c>
      <c r="C432">
        <f>IF('Equipment Information'!C432="","", 'Equipment Information'!C432)</f>
        <v/>
      </c>
      <c r="E432">
        <f>IF(D432="","", IFERROR(VLOOKUP(D432, 'Hidden_Data'!M:N, 2, FALSE), "0"))</f>
        <v/>
      </c>
      <c r="H432">
        <f>IF(G432="","", IFERROR(VLOOKUP(G432, 'Hidden_Data'!M:N, 2, FALSE), "0"))</f>
        <v/>
      </c>
      <c r="K432">
        <f>IF(J432="","", IFERROR(VLOOKUP(J432, 'Hidden_Data'!M:N, 2, FALSE), "0"))</f>
        <v/>
      </c>
      <c r="N432">
        <f>IF(M432="","", IFERROR(VLOOKUP(M432, 'Hidden_Data'!M:N, 2, FALSE), "0"))</f>
        <v/>
      </c>
      <c r="Q432">
        <f>IF(P432="","", IFERROR(VLOOKUP(P432, 'Hidden_Data'!M:N, 2, FALSE), "0"))</f>
        <v/>
      </c>
      <c r="T432">
        <f>IF(A432="","", SUM(IF(F432="Yes", 0, IF(E432="", 0, IFERROR(VALUE(MID(E432, SEARCH("(",E432)+1, 1)),0))), IF(I432="Yes", 0, IF(H432="", 0, IFERROR(VALUE(MID(H432, SEARCH("(",H432)+1, 1)),0))), IF(L432="Yes", 0, IF(K432="", 0, IFERROR(VALUE(MID(K432, SEARCH("(",K432)+1, 1)),0))), IF(O432="Yes", 0, IF(N432="", 0, IFERROR(VALUE(MID(N432, SEARCH("(",N432)+1, 1)),0))), IF(R432="Yes", 0, IF(Q432="", 0, IFERROR(VALUE(MID(Q432, SEARCH("(",Q432)+1, 1)),0)))))</f>
        <v/>
      </c>
      <c r="U432">
        <f>IF(A432="","", IF(T432&gt;=5, "Priority 1 (Critical)", IF(T432&gt;=3, "Priority 2 (Major)", IF(T432&gt;=1, "Priority 3 (Minor)", "Pass/Fixed"))))</f>
        <v/>
      </c>
      <c r="V432">
        <f>IF(A432="","", IF(T432&gt;0, "FAIL", "PASS"))</f>
        <v/>
      </c>
    </row>
    <row r="433">
      <c r="A433">
        <f>IF('Equipment Information'!A433="","", 'Equipment Information'!A433)</f>
        <v/>
      </c>
      <c r="B433">
        <f>IF('Equipment Information'!B433="","", 'Equipment Information'!B433)</f>
        <v/>
      </c>
      <c r="C433">
        <f>IF('Equipment Information'!C433="","", 'Equipment Information'!C433)</f>
        <v/>
      </c>
      <c r="E433">
        <f>IF(D433="","", IFERROR(VLOOKUP(D433, 'Hidden_Data'!M:N, 2, FALSE), "0"))</f>
        <v/>
      </c>
      <c r="H433">
        <f>IF(G433="","", IFERROR(VLOOKUP(G433, 'Hidden_Data'!M:N, 2, FALSE), "0"))</f>
        <v/>
      </c>
      <c r="K433">
        <f>IF(J433="","", IFERROR(VLOOKUP(J433, 'Hidden_Data'!M:N, 2, FALSE), "0"))</f>
        <v/>
      </c>
      <c r="N433">
        <f>IF(M433="","", IFERROR(VLOOKUP(M433, 'Hidden_Data'!M:N, 2, FALSE), "0"))</f>
        <v/>
      </c>
      <c r="Q433">
        <f>IF(P433="","", IFERROR(VLOOKUP(P433, 'Hidden_Data'!M:N, 2, FALSE), "0"))</f>
        <v/>
      </c>
      <c r="T433">
        <f>IF(A433="","", SUM(IF(F433="Yes", 0, IF(E433="", 0, IFERROR(VALUE(MID(E433, SEARCH("(",E433)+1, 1)),0))), IF(I433="Yes", 0, IF(H433="", 0, IFERROR(VALUE(MID(H433, SEARCH("(",H433)+1, 1)),0))), IF(L433="Yes", 0, IF(K433="", 0, IFERROR(VALUE(MID(K433, SEARCH("(",K433)+1, 1)),0))), IF(O433="Yes", 0, IF(N433="", 0, IFERROR(VALUE(MID(N433, SEARCH("(",N433)+1, 1)),0))), IF(R433="Yes", 0, IF(Q433="", 0, IFERROR(VALUE(MID(Q433, SEARCH("(",Q433)+1, 1)),0)))))</f>
        <v/>
      </c>
      <c r="U433">
        <f>IF(A433="","", IF(T433&gt;=5, "Priority 1 (Critical)", IF(T433&gt;=3, "Priority 2 (Major)", IF(T433&gt;=1, "Priority 3 (Minor)", "Pass/Fixed"))))</f>
        <v/>
      </c>
      <c r="V433">
        <f>IF(A433="","", IF(T433&gt;0, "FAIL", "PASS"))</f>
        <v/>
      </c>
    </row>
    <row r="434">
      <c r="A434">
        <f>IF('Equipment Information'!A434="","", 'Equipment Information'!A434)</f>
        <v/>
      </c>
      <c r="B434">
        <f>IF('Equipment Information'!B434="","", 'Equipment Information'!B434)</f>
        <v/>
      </c>
      <c r="C434">
        <f>IF('Equipment Information'!C434="","", 'Equipment Information'!C434)</f>
        <v/>
      </c>
      <c r="E434">
        <f>IF(D434="","", IFERROR(VLOOKUP(D434, 'Hidden_Data'!M:N, 2, FALSE), "0"))</f>
        <v/>
      </c>
      <c r="H434">
        <f>IF(G434="","", IFERROR(VLOOKUP(G434, 'Hidden_Data'!M:N, 2, FALSE), "0"))</f>
        <v/>
      </c>
      <c r="K434">
        <f>IF(J434="","", IFERROR(VLOOKUP(J434, 'Hidden_Data'!M:N, 2, FALSE), "0"))</f>
        <v/>
      </c>
      <c r="N434">
        <f>IF(M434="","", IFERROR(VLOOKUP(M434, 'Hidden_Data'!M:N, 2, FALSE), "0"))</f>
        <v/>
      </c>
      <c r="Q434">
        <f>IF(P434="","", IFERROR(VLOOKUP(P434, 'Hidden_Data'!M:N, 2, FALSE), "0"))</f>
        <v/>
      </c>
      <c r="T434">
        <f>IF(A434="","", SUM(IF(F434="Yes", 0, IF(E434="", 0, IFERROR(VALUE(MID(E434, SEARCH("(",E434)+1, 1)),0))), IF(I434="Yes", 0, IF(H434="", 0, IFERROR(VALUE(MID(H434, SEARCH("(",H434)+1, 1)),0))), IF(L434="Yes", 0, IF(K434="", 0, IFERROR(VALUE(MID(K434, SEARCH("(",K434)+1, 1)),0))), IF(O434="Yes", 0, IF(N434="", 0, IFERROR(VALUE(MID(N434, SEARCH("(",N434)+1, 1)),0))), IF(R434="Yes", 0, IF(Q434="", 0, IFERROR(VALUE(MID(Q434, SEARCH("(",Q434)+1, 1)),0)))))</f>
        <v/>
      </c>
      <c r="U434">
        <f>IF(A434="","", IF(T434&gt;=5, "Priority 1 (Critical)", IF(T434&gt;=3, "Priority 2 (Major)", IF(T434&gt;=1, "Priority 3 (Minor)", "Pass/Fixed"))))</f>
        <v/>
      </c>
      <c r="V434">
        <f>IF(A434="","", IF(T434&gt;0, "FAIL", "PASS"))</f>
        <v/>
      </c>
    </row>
    <row r="435">
      <c r="A435">
        <f>IF('Equipment Information'!A435="","", 'Equipment Information'!A435)</f>
        <v/>
      </c>
      <c r="B435">
        <f>IF('Equipment Information'!B435="","", 'Equipment Information'!B435)</f>
        <v/>
      </c>
      <c r="C435">
        <f>IF('Equipment Information'!C435="","", 'Equipment Information'!C435)</f>
        <v/>
      </c>
      <c r="E435">
        <f>IF(D435="","", IFERROR(VLOOKUP(D435, 'Hidden_Data'!M:N, 2, FALSE), "0"))</f>
        <v/>
      </c>
      <c r="H435">
        <f>IF(G435="","", IFERROR(VLOOKUP(G435, 'Hidden_Data'!M:N, 2, FALSE), "0"))</f>
        <v/>
      </c>
      <c r="K435">
        <f>IF(J435="","", IFERROR(VLOOKUP(J435, 'Hidden_Data'!M:N, 2, FALSE), "0"))</f>
        <v/>
      </c>
      <c r="N435">
        <f>IF(M435="","", IFERROR(VLOOKUP(M435, 'Hidden_Data'!M:N, 2, FALSE), "0"))</f>
        <v/>
      </c>
      <c r="Q435">
        <f>IF(P435="","", IFERROR(VLOOKUP(P435, 'Hidden_Data'!M:N, 2, FALSE), "0"))</f>
        <v/>
      </c>
      <c r="T435">
        <f>IF(A435="","", SUM(IF(F435="Yes", 0, IF(E435="", 0, IFERROR(VALUE(MID(E435, SEARCH("(",E435)+1, 1)),0))), IF(I435="Yes", 0, IF(H435="", 0, IFERROR(VALUE(MID(H435, SEARCH("(",H435)+1, 1)),0))), IF(L435="Yes", 0, IF(K435="", 0, IFERROR(VALUE(MID(K435, SEARCH("(",K435)+1, 1)),0))), IF(O435="Yes", 0, IF(N435="", 0, IFERROR(VALUE(MID(N435, SEARCH("(",N435)+1, 1)),0))), IF(R435="Yes", 0, IF(Q435="", 0, IFERROR(VALUE(MID(Q435, SEARCH("(",Q435)+1, 1)),0)))))</f>
        <v/>
      </c>
      <c r="U435">
        <f>IF(A435="","", IF(T435&gt;=5, "Priority 1 (Critical)", IF(T435&gt;=3, "Priority 2 (Major)", IF(T435&gt;=1, "Priority 3 (Minor)", "Pass/Fixed"))))</f>
        <v/>
      </c>
      <c r="V435">
        <f>IF(A435="","", IF(T435&gt;0, "FAIL", "PASS"))</f>
        <v/>
      </c>
    </row>
    <row r="436">
      <c r="A436">
        <f>IF('Equipment Information'!A436="","", 'Equipment Information'!A436)</f>
        <v/>
      </c>
      <c r="B436">
        <f>IF('Equipment Information'!B436="","", 'Equipment Information'!B436)</f>
        <v/>
      </c>
      <c r="C436">
        <f>IF('Equipment Information'!C436="","", 'Equipment Information'!C436)</f>
        <v/>
      </c>
      <c r="E436">
        <f>IF(D436="","", IFERROR(VLOOKUP(D436, 'Hidden_Data'!M:N, 2, FALSE), "0"))</f>
        <v/>
      </c>
      <c r="H436">
        <f>IF(G436="","", IFERROR(VLOOKUP(G436, 'Hidden_Data'!M:N, 2, FALSE), "0"))</f>
        <v/>
      </c>
      <c r="K436">
        <f>IF(J436="","", IFERROR(VLOOKUP(J436, 'Hidden_Data'!M:N, 2, FALSE), "0"))</f>
        <v/>
      </c>
      <c r="N436">
        <f>IF(M436="","", IFERROR(VLOOKUP(M436, 'Hidden_Data'!M:N, 2, FALSE), "0"))</f>
        <v/>
      </c>
      <c r="Q436">
        <f>IF(P436="","", IFERROR(VLOOKUP(P436, 'Hidden_Data'!M:N, 2, FALSE), "0"))</f>
        <v/>
      </c>
      <c r="T436">
        <f>IF(A436="","", SUM(IF(F436="Yes", 0, IF(E436="", 0, IFERROR(VALUE(MID(E436, SEARCH("(",E436)+1, 1)),0))), IF(I436="Yes", 0, IF(H436="", 0, IFERROR(VALUE(MID(H436, SEARCH("(",H436)+1, 1)),0))), IF(L436="Yes", 0, IF(K436="", 0, IFERROR(VALUE(MID(K436, SEARCH("(",K436)+1, 1)),0))), IF(O436="Yes", 0, IF(N436="", 0, IFERROR(VALUE(MID(N436, SEARCH("(",N436)+1, 1)),0))), IF(R436="Yes", 0, IF(Q436="", 0, IFERROR(VALUE(MID(Q436, SEARCH("(",Q436)+1, 1)),0)))))</f>
        <v/>
      </c>
      <c r="U436">
        <f>IF(A436="","", IF(T436&gt;=5, "Priority 1 (Critical)", IF(T436&gt;=3, "Priority 2 (Major)", IF(T436&gt;=1, "Priority 3 (Minor)", "Pass/Fixed"))))</f>
        <v/>
      </c>
      <c r="V436">
        <f>IF(A436="","", IF(T436&gt;0, "FAIL", "PASS"))</f>
        <v/>
      </c>
    </row>
    <row r="437">
      <c r="A437">
        <f>IF('Equipment Information'!A437="","", 'Equipment Information'!A437)</f>
        <v/>
      </c>
      <c r="B437">
        <f>IF('Equipment Information'!B437="","", 'Equipment Information'!B437)</f>
        <v/>
      </c>
      <c r="C437">
        <f>IF('Equipment Information'!C437="","", 'Equipment Information'!C437)</f>
        <v/>
      </c>
      <c r="E437">
        <f>IF(D437="","", IFERROR(VLOOKUP(D437, 'Hidden_Data'!M:N, 2, FALSE), "0"))</f>
        <v/>
      </c>
      <c r="H437">
        <f>IF(G437="","", IFERROR(VLOOKUP(G437, 'Hidden_Data'!M:N, 2, FALSE), "0"))</f>
        <v/>
      </c>
      <c r="K437">
        <f>IF(J437="","", IFERROR(VLOOKUP(J437, 'Hidden_Data'!M:N, 2, FALSE), "0"))</f>
        <v/>
      </c>
      <c r="N437">
        <f>IF(M437="","", IFERROR(VLOOKUP(M437, 'Hidden_Data'!M:N, 2, FALSE), "0"))</f>
        <v/>
      </c>
      <c r="Q437">
        <f>IF(P437="","", IFERROR(VLOOKUP(P437, 'Hidden_Data'!M:N, 2, FALSE), "0"))</f>
        <v/>
      </c>
      <c r="T437">
        <f>IF(A437="","", SUM(IF(F437="Yes", 0, IF(E437="", 0, IFERROR(VALUE(MID(E437, SEARCH("(",E437)+1, 1)),0))), IF(I437="Yes", 0, IF(H437="", 0, IFERROR(VALUE(MID(H437, SEARCH("(",H437)+1, 1)),0))), IF(L437="Yes", 0, IF(K437="", 0, IFERROR(VALUE(MID(K437, SEARCH("(",K437)+1, 1)),0))), IF(O437="Yes", 0, IF(N437="", 0, IFERROR(VALUE(MID(N437, SEARCH("(",N437)+1, 1)),0))), IF(R437="Yes", 0, IF(Q437="", 0, IFERROR(VALUE(MID(Q437, SEARCH("(",Q437)+1, 1)),0)))))</f>
        <v/>
      </c>
      <c r="U437">
        <f>IF(A437="","", IF(T437&gt;=5, "Priority 1 (Critical)", IF(T437&gt;=3, "Priority 2 (Major)", IF(T437&gt;=1, "Priority 3 (Minor)", "Pass/Fixed"))))</f>
        <v/>
      </c>
      <c r="V437">
        <f>IF(A437="","", IF(T437&gt;0, "FAIL", "PASS"))</f>
        <v/>
      </c>
    </row>
    <row r="438">
      <c r="A438">
        <f>IF('Equipment Information'!A438="","", 'Equipment Information'!A438)</f>
        <v/>
      </c>
      <c r="B438">
        <f>IF('Equipment Information'!B438="","", 'Equipment Information'!B438)</f>
        <v/>
      </c>
      <c r="C438">
        <f>IF('Equipment Information'!C438="","", 'Equipment Information'!C438)</f>
        <v/>
      </c>
      <c r="E438">
        <f>IF(D438="","", IFERROR(VLOOKUP(D438, 'Hidden_Data'!M:N, 2, FALSE), "0"))</f>
        <v/>
      </c>
      <c r="H438">
        <f>IF(G438="","", IFERROR(VLOOKUP(G438, 'Hidden_Data'!M:N, 2, FALSE), "0"))</f>
        <v/>
      </c>
      <c r="K438">
        <f>IF(J438="","", IFERROR(VLOOKUP(J438, 'Hidden_Data'!M:N, 2, FALSE), "0"))</f>
        <v/>
      </c>
      <c r="N438">
        <f>IF(M438="","", IFERROR(VLOOKUP(M438, 'Hidden_Data'!M:N, 2, FALSE), "0"))</f>
        <v/>
      </c>
      <c r="Q438">
        <f>IF(P438="","", IFERROR(VLOOKUP(P438, 'Hidden_Data'!M:N, 2, FALSE), "0"))</f>
        <v/>
      </c>
      <c r="T438">
        <f>IF(A438="","", SUM(IF(F438="Yes", 0, IF(E438="", 0, IFERROR(VALUE(MID(E438, SEARCH("(",E438)+1, 1)),0))), IF(I438="Yes", 0, IF(H438="", 0, IFERROR(VALUE(MID(H438, SEARCH("(",H438)+1, 1)),0))), IF(L438="Yes", 0, IF(K438="", 0, IFERROR(VALUE(MID(K438, SEARCH("(",K438)+1, 1)),0))), IF(O438="Yes", 0, IF(N438="", 0, IFERROR(VALUE(MID(N438, SEARCH("(",N438)+1, 1)),0))), IF(R438="Yes", 0, IF(Q438="", 0, IFERROR(VALUE(MID(Q438, SEARCH("(",Q438)+1, 1)),0)))))</f>
        <v/>
      </c>
      <c r="U438">
        <f>IF(A438="","", IF(T438&gt;=5, "Priority 1 (Critical)", IF(T438&gt;=3, "Priority 2 (Major)", IF(T438&gt;=1, "Priority 3 (Minor)", "Pass/Fixed"))))</f>
        <v/>
      </c>
      <c r="V438">
        <f>IF(A438="","", IF(T438&gt;0, "FAIL", "PASS"))</f>
        <v/>
      </c>
    </row>
    <row r="439">
      <c r="A439">
        <f>IF('Equipment Information'!A439="","", 'Equipment Information'!A439)</f>
        <v/>
      </c>
      <c r="B439">
        <f>IF('Equipment Information'!B439="","", 'Equipment Information'!B439)</f>
        <v/>
      </c>
      <c r="C439">
        <f>IF('Equipment Information'!C439="","", 'Equipment Information'!C439)</f>
        <v/>
      </c>
      <c r="E439">
        <f>IF(D439="","", IFERROR(VLOOKUP(D439, 'Hidden_Data'!M:N, 2, FALSE), "0"))</f>
        <v/>
      </c>
      <c r="H439">
        <f>IF(G439="","", IFERROR(VLOOKUP(G439, 'Hidden_Data'!M:N, 2, FALSE), "0"))</f>
        <v/>
      </c>
      <c r="K439">
        <f>IF(J439="","", IFERROR(VLOOKUP(J439, 'Hidden_Data'!M:N, 2, FALSE), "0"))</f>
        <v/>
      </c>
      <c r="N439">
        <f>IF(M439="","", IFERROR(VLOOKUP(M439, 'Hidden_Data'!M:N, 2, FALSE), "0"))</f>
        <v/>
      </c>
      <c r="Q439">
        <f>IF(P439="","", IFERROR(VLOOKUP(P439, 'Hidden_Data'!M:N, 2, FALSE), "0"))</f>
        <v/>
      </c>
      <c r="T439">
        <f>IF(A439="","", SUM(IF(F439="Yes", 0, IF(E439="", 0, IFERROR(VALUE(MID(E439, SEARCH("(",E439)+1, 1)),0))), IF(I439="Yes", 0, IF(H439="", 0, IFERROR(VALUE(MID(H439, SEARCH("(",H439)+1, 1)),0))), IF(L439="Yes", 0, IF(K439="", 0, IFERROR(VALUE(MID(K439, SEARCH("(",K439)+1, 1)),0))), IF(O439="Yes", 0, IF(N439="", 0, IFERROR(VALUE(MID(N439, SEARCH("(",N439)+1, 1)),0))), IF(R439="Yes", 0, IF(Q439="", 0, IFERROR(VALUE(MID(Q439, SEARCH("(",Q439)+1, 1)),0)))))</f>
        <v/>
      </c>
      <c r="U439">
        <f>IF(A439="","", IF(T439&gt;=5, "Priority 1 (Critical)", IF(T439&gt;=3, "Priority 2 (Major)", IF(T439&gt;=1, "Priority 3 (Minor)", "Pass/Fixed"))))</f>
        <v/>
      </c>
      <c r="V439">
        <f>IF(A439="","", IF(T439&gt;0, "FAIL", "PASS"))</f>
        <v/>
      </c>
    </row>
    <row r="440">
      <c r="A440">
        <f>IF('Equipment Information'!A440="","", 'Equipment Information'!A440)</f>
        <v/>
      </c>
      <c r="B440">
        <f>IF('Equipment Information'!B440="","", 'Equipment Information'!B440)</f>
        <v/>
      </c>
      <c r="C440">
        <f>IF('Equipment Information'!C440="","", 'Equipment Information'!C440)</f>
        <v/>
      </c>
      <c r="E440">
        <f>IF(D440="","", IFERROR(VLOOKUP(D440, 'Hidden_Data'!M:N, 2, FALSE), "0"))</f>
        <v/>
      </c>
      <c r="H440">
        <f>IF(G440="","", IFERROR(VLOOKUP(G440, 'Hidden_Data'!M:N, 2, FALSE), "0"))</f>
        <v/>
      </c>
      <c r="K440">
        <f>IF(J440="","", IFERROR(VLOOKUP(J440, 'Hidden_Data'!M:N, 2, FALSE), "0"))</f>
        <v/>
      </c>
      <c r="N440">
        <f>IF(M440="","", IFERROR(VLOOKUP(M440, 'Hidden_Data'!M:N, 2, FALSE), "0"))</f>
        <v/>
      </c>
      <c r="Q440">
        <f>IF(P440="","", IFERROR(VLOOKUP(P440, 'Hidden_Data'!M:N, 2, FALSE), "0"))</f>
        <v/>
      </c>
      <c r="T440">
        <f>IF(A440="","", SUM(IF(F440="Yes", 0, IF(E440="", 0, IFERROR(VALUE(MID(E440, SEARCH("(",E440)+1, 1)),0))), IF(I440="Yes", 0, IF(H440="", 0, IFERROR(VALUE(MID(H440, SEARCH("(",H440)+1, 1)),0))), IF(L440="Yes", 0, IF(K440="", 0, IFERROR(VALUE(MID(K440, SEARCH("(",K440)+1, 1)),0))), IF(O440="Yes", 0, IF(N440="", 0, IFERROR(VALUE(MID(N440, SEARCH("(",N440)+1, 1)),0))), IF(R440="Yes", 0, IF(Q440="", 0, IFERROR(VALUE(MID(Q440, SEARCH("(",Q440)+1, 1)),0)))))</f>
        <v/>
      </c>
      <c r="U440">
        <f>IF(A440="","", IF(T440&gt;=5, "Priority 1 (Critical)", IF(T440&gt;=3, "Priority 2 (Major)", IF(T440&gt;=1, "Priority 3 (Minor)", "Pass/Fixed"))))</f>
        <v/>
      </c>
      <c r="V440">
        <f>IF(A440="","", IF(T440&gt;0, "FAIL", "PASS"))</f>
        <v/>
      </c>
    </row>
    <row r="441">
      <c r="A441">
        <f>IF('Equipment Information'!A441="","", 'Equipment Information'!A441)</f>
        <v/>
      </c>
      <c r="B441">
        <f>IF('Equipment Information'!B441="","", 'Equipment Information'!B441)</f>
        <v/>
      </c>
      <c r="C441">
        <f>IF('Equipment Information'!C441="","", 'Equipment Information'!C441)</f>
        <v/>
      </c>
      <c r="E441">
        <f>IF(D441="","", IFERROR(VLOOKUP(D441, 'Hidden_Data'!M:N, 2, FALSE), "0"))</f>
        <v/>
      </c>
      <c r="H441">
        <f>IF(G441="","", IFERROR(VLOOKUP(G441, 'Hidden_Data'!M:N, 2, FALSE), "0"))</f>
        <v/>
      </c>
      <c r="K441">
        <f>IF(J441="","", IFERROR(VLOOKUP(J441, 'Hidden_Data'!M:N, 2, FALSE), "0"))</f>
        <v/>
      </c>
      <c r="N441">
        <f>IF(M441="","", IFERROR(VLOOKUP(M441, 'Hidden_Data'!M:N, 2, FALSE), "0"))</f>
        <v/>
      </c>
      <c r="Q441">
        <f>IF(P441="","", IFERROR(VLOOKUP(P441, 'Hidden_Data'!M:N, 2, FALSE), "0"))</f>
        <v/>
      </c>
      <c r="T441">
        <f>IF(A441="","", SUM(IF(F441="Yes", 0, IF(E441="", 0, IFERROR(VALUE(MID(E441, SEARCH("(",E441)+1, 1)),0))), IF(I441="Yes", 0, IF(H441="", 0, IFERROR(VALUE(MID(H441, SEARCH("(",H441)+1, 1)),0))), IF(L441="Yes", 0, IF(K441="", 0, IFERROR(VALUE(MID(K441, SEARCH("(",K441)+1, 1)),0))), IF(O441="Yes", 0, IF(N441="", 0, IFERROR(VALUE(MID(N441, SEARCH("(",N441)+1, 1)),0))), IF(R441="Yes", 0, IF(Q441="", 0, IFERROR(VALUE(MID(Q441, SEARCH("(",Q441)+1, 1)),0)))))</f>
        <v/>
      </c>
      <c r="U441">
        <f>IF(A441="","", IF(T441&gt;=5, "Priority 1 (Critical)", IF(T441&gt;=3, "Priority 2 (Major)", IF(T441&gt;=1, "Priority 3 (Minor)", "Pass/Fixed"))))</f>
        <v/>
      </c>
      <c r="V441">
        <f>IF(A441="","", IF(T441&gt;0, "FAIL", "PASS"))</f>
        <v/>
      </c>
    </row>
    <row r="442">
      <c r="A442">
        <f>IF('Equipment Information'!A442="","", 'Equipment Information'!A442)</f>
        <v/>
      </c>
      <c r="B442">
        <f>IF('Equipment Information'!B442="","", 'Equipment Information'!B442)</f>
        <v/>
      </c>
      <c r="C442">
        <f>IF('Equipment Information'!C442="","", 'Equipment Information'!C442)</f>
        <v/>
      </c>
      <c r="E442">
        <f>IF(D442="","", IFERROR(VLOOKUP(D442, 'Hidden_Data'!M:N, 2, FALSE), "0"))</f>
        <v/>
      </c>
      <c r="H442">
        <f>IF(G442="","", IFERROR(VLOOKUP(G442, 'Hidden_Data'!M:N, 2, FALSE), "0"))</f>
        <v/>
      </c>
      <c r="K442">
        <f>IF(J442="","", IFERROR(VLOOKUP(J442, 'Hidden_Data'!M:N, 2, FALSE), "0"))</f>
        <v/>
      </c>
      <c r="N442">
        <f>IF(M442="","", IFERROR(VLOOKUP(M442, 'Hidden_Data'!M:N, 2, FALSE), "0"))</f>
        <v/>
      </c>
      <c r="Q442">
        <f>IF(P442="","", IFERROR(VLOOKUP(P442, 'Hidden_Data'!M:N, 2, FALSE), "0"))</f>
        <v/>
      </c>
      <c r="T442">
        <f>IF(A442="","", SUM(IF(F442="Yes", 0, IF(E442="", 0, IFERROR(VALUE(MID(E442, SEARCH("(",E442)+1, 1)),0))), IF(I442="Yes", 0, IF(H442="", 0, IFERROR(VALUE(MID(H442, SEARCH("(",H442)+1, 1)),0))), IF(L442="Yes", 0, IF(K442="", 0, IFERROR(VALUE(MID(K442, SEARCH("(",K442)+1, 1)),0))), IF(O442="Yes", 0, IF(N442="", 0, IFERROR(VALUE(MID(N442, SEARCH("(",N442)+1, 1)),0))), IF(R442="Yes", 0, IF(Q442="", 0, IFERROR(VALUE(MID(Q442, SEARCH("(",Q442)+1, 1)),0)))))</f>
        <v/>
      </c>
      <c r="U442">
        <f>IF(A442="","", IF(T442&gt;=5, "Priority 1 (Critical)", IF(T442&gt;=3, "Priority 2 (Major)", IF(T442&gt;=1, "Priority 3 (Minor)", "Pass/Fixed"))))</f>
        <v/>
      </c>
      <c r="V442">
        <f>IF(A442="","", IF(T442&gt;0, "FAIL", "PASS"))</f>
        <v/>
      </c>
    </row>
    <row r="443">
      <c r="A443">
        <f>IF('Equipment Information'!A443="","", 'Equipment Information'!A443)</f>
        <v/>
      </c>
      <c r="B443">
        <f>IF('Equipment Information'!B443="","", 'Equipment Information'!B443)</f>
        <v/>
      </c>
      <c r="C443">
        <f>IF('Equipment Information'!C443="","", 'Equipment Information'!C443)</f>
        <v/>
      </c>
      <c r="E443">
        <f>IF(D443="","", IFERROR(VLOOKUP(D443, 'Hidden_Data'!M:N, 2, FALSE), "0"))</f>
        <v/>
      </c>
      <c r="H443">
        <f>IF(G443="","", IFERROR(VLOOKUP(G443, 'Hidden_Data'!M:N, 2, FALSE), "0"))</f>
        <v/>
      </c>
      <c r="K443">
        <f>IF(J443="","", IFERROR(VLOOKUP(J443, 'Hidden_Data'!M:N, 2, FALSE), "0"))</f>
        <v/>
      </c>
      <c r="N443">
        <f>IF(M443="","", IFERROR(VLOOKUP(M443, 'Hidden_Data'!M:N, 2, FALSE), "0"))</f>
        <v/>
      </c>
      <c r="Q443">
        <f>IF(P443="","", IFERROR(VLOOKUP(P443, 'Hidden_Data'!M:N, 2, FALSE), "0"))</f>
        <v/>
      </c>
      <c r="T443">
        <f>IF(A443="","", SUM(IF(F443="Yes", 0, IF(E443="", 0, IFERROR(VALUE(MID(E443, SEARCH("(",E443)+1, 1)),0))), IF(I443="Yes", 0, IF(H443="", 0, IFERROR(VALUE(MID(H443, SEARCH("(",H443)+1, 1)),0))), IF(L443="Yes", 0, IF(K443="", 0, IFERROR(VALUE(MID(K443, SEARCH("(",K443)+1, 1)),0))), IF(O443="Yes", 0, IF(N443="", 0, IFERROR(VALUE(MID(N443, SEARCH("(",N443)+1, 1)),0))), IF(R443="Yes", 0, IF(Q443="", 0, IFERROR(VALUE(MID(Q443, SEARCH("(",Q443)+1, 1)),0)))))</f>
        <v/>
      </c>
      <c r="U443">
        <f>IF(A443="","", IF(T443&gt;=5, "Priority 1 (Critical)", IF(T443&gt;=3, "Priority 2 (Major)", IF(T443&gt;=1, "Priority 3 (Minor)", "Pass/Fixed"))))</f>
        <v/>
      </c>
      <c r="V443">
        <f>IF(A443="","", IF(T443&gt;0, "FAIL", "PASS"))</f>
        <v/>
      </c>
    </row>
    <row r="444">
      <c r="A444">
        <f>IF('Equipment Information'!A444="","", 'Equipment Information'!A444)</f>
        <v/>
      </c>
      <c r="B444">
        <f>IF('Equipment Information'!B444="","", 'Equipment Information'!B444)</f>
        <v/>
      </c>
      <c r="C444">
        <f>IF('Equipment Information'!C444="","", 'Equipment Information'!C444)</f>
        <v/>
      </c>
      <c r="E444">
        <f>IF(D444="","", IFERROR(VLOOKUP(D444, 'Hidden_Data'!M:N, 2, FALSE), "0"))</f>
        <v/>
      </c>
      <c r="H444">
        <f>IF(G444="","", IFERROR(VLOOKUP(G444, 'Hidden_Data'!M:N, 2, FALSE), "0"))</f>
        <v/>
      </c>
      <c r="K444">
        <f>IF(J444="","", IFERROR(VLOOKUP(J444, 'Hidden_Data'!M:N, 2, FALSE), "0"))</f>
        <v/>
      </c>
      <c r="N444">
        <f>IF(M444="","", IFERROR(VLOOKUP(M444, 'Hidden_Data'!M:N, 2, FALSE), "0"))</f>
        <v/>
      </c>
      <c r="Q444">
        <f>IF(P444="","", IFERROR(VLOOKUP(P444, 'Hidden_Data'!M:N, 2, FALSE), "0"))</f>
        <v/>
      </c>
      <c r="T444">
        <f>IF(A444="","", SUM(IF(F444="Yes", 0, IF(E444="", 0, IFERROR(VALUE(MID(E444, SEARCH("(",E444)+1, 1)),0))), IF(I444="Yes", 0, IF(H444="", 0, IFERROR(VALUE(MID(H444, SEARCH("(",H444)+1, 1)),0))), IF(L444="Yes", 0, IF(K444="", 0, IFERROR(VALUE(MID(K444, SEARCH("(",K444)+1, 1)),0))), IF(O444="Yes", 0, IF(N444="", 0, IFERROR(VALUE(MID(N444, SEARCH("(",N444)+1, 1)),0))), IF(R444="Yes", 0, IF(Q444="", 0, IFERROR(VALUE(MID(Q444, SEARCH("(",Q444)+1, 1)),0)))))</f>
        <v/>
      </c>
      <c r="U444">
        <f>IF(A444="","", IF(T444&gt;=5, "Priority 1 (Critical)", IF(T444&gt;=3, "Priority 2 (Major)", IF(T444&gt;=1, "Priority 3 (Minor)", "Pass/Fixed"))))</f>
        <v/>
      </c>
      <c r="V444">
        <f>IF(A444="","", IF(T444&gt;0, "FAIL", "PASS"))</f>
        <v/>
      </c>
    </row>
    <row r="445">
      <c r="A445">
        <f>IF('Equipment Information'!A445="","", 'Equipment Information'!A445)</f>
        <v/>
      </c>
      <c r="B445">
        <f>IF('Equipment Information'!B445="","", 'Equipment Information'!B445)</f>
        <v/>
      </c>
      <c r="C445">
        <f>IF('Equipment Information'!C445="","", 'Equipment Information'!C445)</f>
        <v/>
      </c>
      <c r="E445">
        <f>IF(D445="","", IFERROR(VLOOKUP(D445, 'Hidden_Data'!M:N, 2, FALSE), "0"))</f>
        <v/>
      </c>
      <c r="H445">
        <f>IF(G445="","", IFERROR(VLOOKUP(G445, 'Hidden_Data'!M:N, 2, FALSE), "0"))</f>
        <v/>
      </c>
      <c r="K445">
        <f>IF(J445="","", IFERROR(VLOOKUP(J445, 'Hidden_Data'!M:N, 2, FALSE), "0"))</f>
        <v/>
      </c>
      <c r="N445">
        <f>IF(M445="","", IFERROR(VLOOKUP(M445, 'Hidden_Data'!M:N, 2, FALSE), "0"))</f>
        <v/>
      </c>
      <c r="Q445">
        <f>IF(P445="","", IFERROR(VLOOKUP(P445, 'Hidden_Data'!M:N, 2, FALSE), "0"))</f>
        <v/>
      </c>
      <c r="T445">
        <f>IF(A445="","", SUM(IF(F445="Yes", 0, IF(E445="", 0, IFERROR(VALUE(MID(E445, SEARCH("(",E445)+1, 1)),0))), IF(I445="Yes", 0, IF(H445="", 0, IFERROR(VALUE(MID(H445, SEARCH("(",H445)+1, 1)),0))), IF(L445="Yes", 0, IF(K445="", 0, IFERROR(VALUE(MID(K445, SEARCH("(",K445)+1, 1)),0))), IF(O445="Yes", 0, IF(N445="", 0, IFERROR(VALUE(MID(N445, SEARCH("(",N445)+1, 1)),0))), IF(R445="Yes", 0, IF(Q445="", 0, IFERROR(VALUE(MID(Q445, SEARCH("(",Q445)+1, 1)),0)))))</f>
        <v/>
      </c>
      <c r="U445">
        <f>IF(A445="","", IF(T445&gt;=5, "Priority 1 (Critical)", IF(T445&gt;=3, "Priority 2 (Major)", IF(T445&gt;=1, "Priority 3 (Minor)", "Pass/Fixed"))))</f>
        <v/>
      </c>
      <c r="V445">
        <f>IF(A445="","", IF(T445&gt;0, "FAIL", "PASS"))</f>
        <v/>
      </c>
    </row>
    <row r="446">
      <c r="A446">
        <f>IF('Equipment Information'!A446="","", 'Equipment Information'!A446)</f>
        <v/>
      </c>
      <c r="B446">
        <f>IF('Equipment Information'!B446="","", 'Equipment Information'!B446)</f>
        <v/>
      </c>
      <c r="C446">
        <f>IF('Equipment Information'!C446="","", 'Equipment Information'!C446)</f>
        <v/>
      </c>
      <c r="E446">
        <f>IF(D446="","", IFERROR(VLOOKUP(D446, 'Hidden_Data'!M:N, 2, FALSE), "0"))</f>
        <v/>
      </c>
      <c r="H446">
        <f>IF(G446="","", IFERROR(VLOOKUP(G446, 'Hidden_Data'!M:N, 2, FALSE), "0"))</f>
        <v/>
      </c>
      <c r="K446">
        <f>IF(J446="","", IFERROR(VLOOKUP(J446, 'Hidden_Data'!M:N, 2, FALSE), "0"))</f>
        <v/>
      </c>
      <c r="N446">
        <f>IF(M446="","", IFERROR(VLOOKUP(M446, 'Hidden_Data'!M:N, 2, FALSE), "0"))</f>
        <v/>
      </c>
      <c r="Q446">
        <f>IF(P446="","", IFERROR(VLOOKUP(P446, 'Hidden_Data'!M:N, 2, FALSE), "0"))</f>
        <v/>
      </c>
      <c r="T446">
        <f>IF(A446="","", SUM(IF(F446="Yes", 0, IF(E446="", 0, IFERROR(VALUE(MID(E446, SEARCH("(",E446)+1, 1)),0))), IF(I446="Yes", 0, IF(H446="", 0, IFERROR(VALUE(MID(H446, SEARCH("(",H446)+1, 1)),0))), IF(L446="Yes", 0, IF(K446="", 0, IFERROR(VALUE(MID(K446, SEARCH("(",K446)+1, 1)),0))), IF(O446="Yes", 0, IF(N446="", 0, IFERROR(VALUE(MID(N446, SEARCH("(",N446)+1, 1)),0))), IF(R446="Yes", 0, IF(Q446="", 0, IFERROR(VALUE(MID(Q446, SEARCH("(",Q446)+1, 1)),0)))))</f>
        <v/>
      </c>
      <c r="U446">
        <f>IF(A446="","", IF(T446&gt;=5, "Priority 1 (Critical)", IF(T446&gt;=3, "Priority 2 (Major)", IF(T446&gt;=1, "Priority 3 (Minor)", "Pass/Fixed"))))</f>
        <v/>
      </c>
      <c r="V446">
        <f>IF(A446="","", IF(T446&gt;0, "FAIL", "PASS"))</f>
        <v/>
      </c>
    </row>
    <row r="447">
      <c r="A447">
        <f>IF('Equipment Information'!A447="","", 'Equipment Information'!A447)</f>
        <v/>
      </c>
      <c r="B447">
        <f>IF('Equipment Information'!B447="","", 'Equipment Information'!B447)</f>
        <v/>
      </c>
      <c r="C447">
        <f>IF('Equipment Information'!C447="","", 'Equipment Information'!C447)</f>
        <v/>
      </c>
      <c r="E447">
        <f>IF(D447="","", IFERROR(VLOOKUP(D447, 'Hidden_Data'!M:N, 2, FALSE), "0"))</f>
        <v/>
      </c>
      <c r="H447">
        <f>IF(G447="","", IFERROR(VLOOKUP(G447, 'Hidden_Data'!M:N, 2, FALSE), "0"))</f>
        <v/>
      </c>
      <c r="K447">
        <f>IF(J447="","", IFERROR(VLOOKUP(J447, 'Hidden_Data'!M:N, 2, FALSE), "0"))</f>
        <v/>
      </c>
      <c r="N447">
        <f>IF(M447="","", IFERROR(VLOOKUP(M447, 'Hidden_Data'!M:N, 2, FALSE), "0"))</f>
        <v/>
      </c>
      <c r="Q447">
        <f>IF(P447="","", IFERROR(VLOOKUP(P447, 'Hidden_Data'!M:N, 2, FALSE), "0"))</f>
        <v/>
      </c>
      <c r="T447">
        <f>IF(A447="","", SUM(IF(F447="Yes", 0, IF(E447="", 0, IFERROR(VALUE(MID(E447, SEARCH("(",E447)+1, 1)),0))), IF(I447="Yes", 0, IF(H447="", 0, IFERROR(VALUE(MID(H447, SEARCH("(",H447)+1, 1)),0))), IF(L447="Yes", 0, IF(K447="", 0, IFERROR(VALUE(MID(K447, SEARCH("(",K447)+1, 1)),0))), IF(O447="Yes", 0, IF(N447="", 0, IFERROR(VALUE(MID(N447, SEARCH("(",N447)+1, 1)),0))), IF(R447="Yes", 0, IF(Q447="", 0, IFERROR(VALUE(MID(Q447, SEARCH("(",Q447)+1, 1)),0)))))</f>
        <v/>
      </c>
      <c r="U447">
        <f>IF(A447="","", IF(T447&gt;=5, "Priority 1 (Critical)", IF(T447&gt;=3, "Priority 2 (Major)", IF(T447&gt;=1, "Priority 3 (Minor)", "Pass/Fixed"))))</f>
        <v/>
      </c>
      <c r="V447">
        <f>IF(A447="","", IF(T447&gt;0, "FAIL", "PASS"))</f>
        <v/>
      </c>
    </row>
    <row r="448">
      <c r="A448">
        <f>IF('Equipment Information'!A448="","", 'Equipment Information'!A448)</f>
        <v/>
      </c>
      <c r="B448">
        <f>IF('Equipment Information'!B448="","", 'Equipment Information'!B448)</f>
        <v/>
      </c>
      <c r="C448">
        <f>IF('Equipment Information'!C448="","", 'Equipment Information'!C448)</f>
        <v/>
      </c>
      <c r="E448">
        <f>IF(D448="","", IFERROR(VLOOKUP(D448, 'Hidden_Data'!M:N, 2, FALSE), "0"))</f>
        <v/>
      </c>
      <c r="H448">
        <f>IF(G448="","", IFERROR(VLOOKUP(G448, 'Hidden_Data'!M:N, 2, FALSE), "0"))</f>
        <v/>
      </c>
      <c r="K448">
        <f>IF(J448="","", IFERROR(VLOOKUP(J448, 'Hidden_Data'!M:N, 2, FALSE), "0"))</f>
        <v/>
      </c>
      <c r="N448">
        <f>IF(M448="","", IFERROR(VLOOKUP(M448, 'Hidden_Data'!M:N, 2, FALSE), "0"))</f>
        <v/>
      </c>
      <c r="Q448">
        <f>IF(P448="","", IFERROR(VLOOKUP(P448, 'Hidden_Data'!M:N, 2, FALSE), "0"))</f>
        <v/>
      </c>
      <c r="T448">
        <f>IF(A448="","", SUM(IF(F448="Yes", 0, IF(E448="", 0, IFERROR(VALUE(MID(E448, SEARCH("(",E448)+1, 1)),0))), IF(I448="Yes", 0, IF(H448="", 0, IFERROR(VALUE(MID(H448, SEARCH("(",H448)+1, 1)),0))), IF(L448="Yes", 0, IF(K448="", 0, IFERROR(VALUE(MID(K448, SEARCH("(",K448)+1, 1)),0))), IF(O448="Yes", 0, IF(N448="", 0, IFERROR(VALUE(MID(N448, SEARCH("(",N448)+1, 1)),0))), IF(R448="Yes", 0, IF(Q448="", 0, IFERROR(VALUE(MID(Q448, SEARCH("(",Q448)+1, 1)),0)))))</f>
        <v/>
      </c>
      <c r="U448">
        <f>IF(A448="","", IF(T448&gt;=5, "Priority 1 (Critical)", IF(T448&gt;=3, "Priority 2 (Major)", IF(T448&gt;=1, "Priority 3 (Minor)", "Pass/Fixed"))))</f>
        <v/>
      </c>
      <c r="V448">
        <f>IF(A448="","", IF(T448&gt;0, "FAIL", "PASS"))</f>
        <v/>
      </c>
    </row>
    <row r="449">
      <c r="A449">
        <f>IF('Equipment Information'!A449="","", 'Equipment Information'!A449)</f>
        <v/>
      </c>
      <c r="B449">
        <f>IF('Equipment Information'!B449="","", 'Equipment Information'!B449)</f>
        <v/>
      </c>
      <c r="C449">
        <f>IF('Equipment Information'!C449="","", 'Equipment Information'!C449)</f>
        <v/>
      </c>
      <c r="E449">
        <f>IF(D449="","", IFERROR(VLOOKUP(D449, 'Hidden_Data'!M:N, 2, FALSE), "0"))</f>
        <v/>
      </c>
      <c r="H449">
        <f>IF(G449="","", IFERROR(VLOOKUP(G449, 'Hidden_Data'!M:N, 2, FALSE), "0"))</f>
        <v/>
      </c>
      <c r="K449">
        <f>IF(J449="","", IFERROR(VLOOKUP(J449, 'Hidden_Data'!M:N, 2, FALSE), "0"))</f>
        <v/>
      </c>
      <c r="N449">
        <f>IF(M449="","", IFERROR(VLOOKUP(M449, 'Hidden_Data'!M:N, 2, FALSE), "0"))</f>
        <v/>
      </c>
      <c r="Q449">
        <f>IF(P449="","", IFERROR(VLOOKUP(P449, 'Hidden_Data'!M:N, 2, FALSE), "0"))</f>
        <v/>
      </c>
      <c r="T449">
        <f>IF(A449="","", SUM(IF(F449="Yes", 0, IF(E449="", 0, IFERROR(VALUE(MID(E449, SEARCH("(",E449)+1, 1)),0))), IF(I449="Yes", 0, IF(H449="", 0, IFERROR(VALUE(MID(H449, SEARCH("(",H449)+1, 1)),0))), IF(L449="Yes", 0, IF(K449="", 0, IFERROR(VALUE(MID(K449, SEARCH("(",K449)+1, 1)),0))), IF(O449="Yes", 0, IF(N449="", 0, IFERROR(VALUE(MID(N449, SEARCH("(",N449)+1, 1)),0))), IF(R449="Yes", 0, IF(Q449="", 0, IFERROR(VALUE(MID(Q449, SEARCH("(",Q449)+1, 1)),0)))))</f>
        <v/>
      </c>
      <c r="U449">
        <f>IF(A449="","", IF(T449&gt;=5, "Priority 1 (Critical)", IF(T449&gt;=3, "Priority 2 (Major)", IF(T449&gt;=1, "Priority 3 (Minor)", "Pass/Fixed"))))</f>
        <v/>
      </c>
      <c r="V449">
        <f>IF(A449="","", IF(T449&gt;0, "FAIL", "PASS"))</f>
        <v/>
      </c>
    </row>
    <row r="450">
      <c r="A450">
        <f>IF('Equipment Information'!A450="","", 'Equipment Information'!A450)</f>
        <v/>
      </c>
      <c r="B450">
        <f>IF('Equipment Information'!B450="","", 'Equipment Information'!B450)</f>
        <v/>
      </c>
      <c r="C450">
        <f>IF('Equipment Information'!C450="","", 'Equipment Information'!C450)</f>
        <v/>
      </c>
      <c r="E450">
        <f>IF(D450="","", IFERROR(VLOOKUP(D450, 'Hidden_Data'!M:N, 2, FALSE), "0"))</f>
        <v/>
      </c>
      <c r="H450">
        <f>IF(G450="","", IFERROR(VLOOKUP(G450, 'Hidden_Data'!M:N, 2, FALSE), "0"))</f>
        <v/>
      </c>
      <c r="K450">
        <f>IF(J450="","", IFERROR(VLOOKUP(J450, 'Hidden_Data'!M:N, 2, FALSE), "0"))</f>
        <v/>
      </c>
      <c r="N450">
        <f>IF(M450="","", IFERROR(VLOOKUP(M450, 'Hidden_Data'!M:N, 2, FALSE), "0"))</f>
        <v/>
      </c>
      <c r="Q450">
        <f>IF(P450="","", IFERROR(VLOOKUP(P450, 'Hidden_Data'!M:N, 2, FALSE), "0"))</f>
        <v/>
      </c>
      <c r="T450">
        <f>IF(A450="","", SUM(IF(F450="Yes", 0, IF(E450="", 0, IFERROR(VALUE(MID(E450, SEARCH("(",E450)+1, 1)),0))), IF(I450="Yes", 0, IF(H450="", 0, IFERROR(VALUE(MID(H450, SEARCH("(",H450)+1, 1)),0))), IF(L450="Yes", 0, IF(K450="", 0, IFERROR(VALUE(MID(K450, SEARCH("(",K450)+1, 1)),0))), IF(O450="Yes", 0, IF(N450="", 0, IFERROR(VALUE(MID(N450, SEARCH("(",N450)+1, 1)),0))), IF(R450="Yes", 0, IF(Q450="", 0, IFERROR(VALUE(MID(Q450, SEARCH("(",Q450)+1, 1)),0)))))</f>
        <v/>
      </c>
      <c r="U450">
        <f>IF(A450="","", IF(T450&gt;=5, "Priority 1 (Critical)", IF(T450&gt;=3, "Priority 2 (Major)", IF(T450&gt;=1, "Priority 3 (Minor)", "Pass/Fixed"))))</f>
        <v/>
      </c>
      <c r="V450">
        <f>IF(A450="","", IF(T450&gt;0, "FAIL", "PASS"))</f>
        <v/>
      </c>
    </row>
    <row r="451">
      <c r="A451">
        <f>IF('Equipment Information'!A451="","", 'Equipment Information'!A451)</f>
        <v/>
      </c>
      <c r="B451">
        <f>IF('Equipment Information'!B451="","", 'Equipment Information'!B451)</f>
        <v/>
      </c>
      <c r="C451">
        <f>IF('Equipment Information'!C451="","", 'Equipment Information'!C451)</f>
        <v/>
      </c>
      <c r="E451">
        <f>IF(D451="","", IFERROR(VLOOKUP(D451, 'Hidden_Data'!M:N, 2, FALSE), "0"))</f>
        <v/>
      </c>
      <c r="H451">
        <f>IF(G451="","", IFERROR(VLOOKUP(G451, 'Hidden_Data'!M:N, 2, FALSE), "0"))</f>
        <v/>
      </c>
      <c r="K451">
        <f>IF(J451="","", IFERROR(VLOOKUP(J451, 'Hidden_Data'!M:N, 2, FALSE), "0"))</f>
        <v/>
      </c>
      <c r="N451">
        <f>IF(M451="","", IFERROR(VLOOKUP(M451, 'Hidden_Data'!M:N, 2, FALSE), "0"))</f>
        <v/>
      </c>
      <c r="Q451">
        <f>IF(P451="","", IFERROR(VLOOKUP(P451, 'Hidden_Data'!M:N, 2, FALSE), "0"))</f>
        <v/>
      </c>
      <c r="T451">
        <f>IF(A451="","", SUM(IF(F451="Yes", 0, IF(E451="", 0, IFERROR(VALUE(MID(E451, SEARCH("(",E451)+1, 1)),0))), IF(I451="Yes", 0, IF(H451="", 0, IFERROR(VALUE(MID(H451, SEARCH("(",H451)+1, 1)),0))), IF(L451="Yes", 0, IF(K451="", 0, IFERROR(VALUE(MID(K451, SEARCH("(",K451)+1, 1)),0))), IF(O451="Yes", 0, IF(N451="", 0, IFERROR(VALUE(MID(N451, SEARCH("(",N451)+1, 1)),0))), IF(R451="Yes", 0, IF(Q451="", 0, IFERROR(VALUE(MID(Q451, SEARCH("(",Q451)+1, 1)),0)))))</f>
        <v/>
      </c>
      <c r="U451">
        <f>IF(A451="","", IF(T451&gt;=5, "Priority 1 (Critical)", IF(T451&gt;=3, "Priority 2 (Major)", IF(T451&gt;=1, "Priority 3 (Minor)", "Pass/Fixed"))))</f>
        <v/>
      </c>
      <c r="V451">
        <f>IF(A451="","", IF(T451&gt;0, "FAIL", "PASS"))</f>
        <v/>
      </c>
    </row>
    <row r="452">
      <c r="A452">
        <f>IF('Equipment Information'!A452="","", 'Equipment Information'!A452)</f>
        <v/>
      </c>
      <c r="B452">
        <f>IF('Equipment Information'!B452="","", 'Equipment Information'!B452)</f>
        <v/>
      </c>
      <c r="C452">
        <f>IF('Equipment Information'!C452="","", 'Equipment Information'!C452)</f>
        <v/>
      </c>
      <c r="E452">
        <f>IF(D452="","", IFERROR(VLOOKUP(D452, 'Hidden_Data'!M:N, 2, FALSE), "0"))</f>
        <v/>
      </c>
      <c r="H452">
        <f>IF(G452="","", IFERROR(VLOOKUP(G452, 'Hidden_Data'!M:N, 2, FALSE), "0"))</f>
        <v/>
      </c>
      <c r="K452">
        <f>IF(J452="","", IFERROR(VLOOKUP(J452, 'Hidden_Data'!M:N, 2, FALSE), "0"))</f>
        <v/>
      </c>
      <c r="N452">
        <f>IF(M452="","", IFERROR(VLOOKUP(M452, 'Hidden_Data'!M:N, 2, FALSE), "0"))</f>
        <v/>
      </c>
      <c r="Q452">
        <f>IF(P452="","", IFERROR(VLOOKUP(P452, 'Hidden_Data'!M:N, 2, FALSE), "0"))</f>
        <v/>
      </c>
      <c r="T452">
        <f>IF(A452="","", SUM(IF(F452="Yes", 0, IF(E452="", 0, IFERROR(VALUE(MID(E452, SEARCH("(",E452)+1, 1)),0))), IF(I452="Yes", 0, IF(H452="", 0, IFERROR(VALUE(MID(H452, SEARCH("(",H452)+1, 1)),0))), IF(L452="Yes", 0, IF(K452="", 0, IFERROR(VALUE(MID(K452, SEARCH("(",K452)+1, 1)),0))), IF(O452="Yes", 0, IF(N452="", 0, IFERROR(VALUE(MID(N452, SEARCH("(",N452)+1, 1)),0))), IF(R452="Yes", 0, IF(Q452="", 0, IFERROR(VALUE(MID(Q452, SEARCH("(",Q452)+1, 1)),0)))))</f>
        <v/>
      </c>
      <c r="U452">
        <f>IF(A452="","", IF(T452&gt;=5, "Priority 1 (Critical)", IF(T452&gt;=3, "Priority 2 (Major)", IF(T452&gt;=1, "Priority 3 (Minor)", "Pass/Fixed"))))</f>
        <v/>
      </c>
      <c r="V452">
        <f>IF(A452="","", IF(T452&gt;0, "FAIL", "PASS"))</f>
        <v/>
      </c>
    </row>
    <row r="453">
      <c r="A453">
        <f>IF('Equipment Information'!A453="","", 'Equipment Information'!A453)</f>
        <v/>
      </c>
      <c r="B453">
        <f>IF('Equipment Information'!B453="","", 'Equipment Information'!B453)</f>
        <v/>
      </c>
      <c r="C453">
        <f>IF('Equipment Information'!C453="","", 'Equipment Information'!C453)</f>
        <v/>
      </c>
      <c r="E453">
        <f>IF(D453="","", IFERROR(VLOOKUP(D453, 'Hidden_Data'!M:N, 2, FALSE), "0"))</f>
        <v/>
      </c>
      <c r="H453">
        <f>IF(G453="","", IFERROR(VLOOKUP(G453, 'Hidden_Data'!M:N, 2, FALSE), "0"))</f>
        <v/>
      </c>
      <c r="K453">
        <f>IF(J453="","", IFERROR(VLOOKUP(J453, 'Hidden_Data'!M:N, 2, FALSE), "0"))</f>
        <v/>
      </c>
      <c r="N453">
        <f>IF(M453="","", IFERROR(VLOOKUP(M453, 'Hidden_Data'!M:N, 2, FALSE), "0"))</f>
        <v/>
      </c>
      <c r="Q453">
        <f>IF(P453="","", IFERROR(VLOOKUP(P453, 'Hidden_Data'!M:N, 2, FALSE), "0"))</f>
        <v/>
      </c>
      <c r="T453">
        <f>IF(A453="","", SUM(IF(F453="Yes", 0, IF(E453="", 0, IFERROR(VALUE(MID(E453, SEARCH("(",E453)+1, 1)),0))), IF(I453="Yes", 0, IF(H453="", 0, IFERROR(VALUE(MID(H453, SEARCH("(",H453)+1, 1)),0))), IF(L453="Yes", 0, IF(K453="", 0, IFERROR(VALUE(MID(K453, SEARCH("(",K453)+1, 1)),0))), IF(O453="Yes", 0, IF(N453="", 0, IFERROR(VALUE(MID(N453, SEARCH("(",N453)+1, 1)),0))), IF(R453="Yes", 0, IF(Q453="", 0, IFERROR(VALUE(MID(Q453, SEARCH("(",Q453)+1, 1)),0)))))</f>
        <v/>
      </c>
      <c r="U453">
        <f>IF(A453="","", IF(T453&gt;=5, "Priority 1 (Critical)", IF(T453&gt;=3, "Priority 2 (Major)", IF(T453&gt;=1, "Priority 3 (Minor)", "Pass/Fixed"))))</f>
        <v/>
      </c>
      <c r="V453">
        <f>IF(A453="","", IF(T453&gt;0, "FAIL", "PASS"))</f>
        <v/>
      </c>
    </row>
    <row r="454">
      <c r="A454">
        <f>IF('Equipment Information'!A454="","", 'Equipment Information'!A454)</f>
        <v/>
      </c>
      <c r="B454">
        <f>IF('Equipment Information'!B454="","", 'Equipment Information'!B454)</f>
        <v/>
      </c>
      <c r="C454">
        <f>IF('Equipment Information'!C454="","", 'Equipment Information'!C454)</f>
        <v/>
      </c>
      <c r="E454">
        <f>IF(D454="","", IFERROR(VLOOKUP(D454, 'Hidden_Data'!M:N, 2, FALSE), "0"))</f>
        <v/>
      </c>
      <c r="H454">
        <f>IF(G454="","", IFERROR(VLOOKUP(G454, 'Hidden_Data'!M:N, 2, FALSE), "0"))</f>
        <v/>
      </c>
      <c r="K454">
        <f>IF(J454="","", IFERROR(VLOOKUP(J454, 'Hidden_Data'!M:N, 2, FALSE), "0"))</f>
        <v/>
      </c>
      <c r="N454">
        <f>IF(M454="","", IFERROR(VLOOKUP(M454, 'Hidden_Data'!M:N, 2, FALSE), "0"))</f>
        <v/>
      </c>
      <c r="Q454">
        <f>IF(P454="","", IFERROR(VLOOKUP(P454, 'Hidden_Data'!M:N, 2, FALSE), "0"))</f>
        <v/>
      </c>
      <c r="T454">
        <f>IF(A454="","", SUM(IF(F454="Yes", 0, IF(E454="", 0, IFERROR(VALUE(MID(E454, SEARCH("(",E454)+1, 1)),0))), IF(I454="Yes", 0, IF(H454="", 0, IFERROR(VALUE(MID(H454, SEARCH("(",H454)+1, 1)),0))), IF(L454="Yes", 0, IF(K454="", 0, IFERROR(VALUE(MID(K454, SEARCH("(",K454)+1, 1)),0))), IF(O454="Yes", 0, IF(N454="", 0, IFERROR(VALUE(MID(N454, SEARCH("(",N454)+1, 1)),0))), IF(R454="Yes", 0, IF(Q454="", 0, IFERROR(VALUE(MID(Q454, SEARCH("(",Q454)+1, 1)),0)))))</f>
        <v/>
      </c>
      <c r="U454">
        <f>IF(A454="","", IF(T454&gt;=5, "Priority 1 (Critical)", IF(T454&gt;=3, "Priority 2 (Major)", IF(T454&gt;=1, "Priority 3 (Minor)", "Pass/Fixed"))))</f>
        <v/>
      </c>
      <c r="V454">
        <f>IF(A454="","", IF(T454&gt;0, "FAIL", "PASS"))</f>
        <v/>
      </c>
    </row>
    <row r="455">
      <c r="A455">
        <f>IF('Equipment Information'!A455="","", 'Equipment Information'!A455)</f>
        <v/>
      </c>
      <c r="B455">
        <f>IF('Equipment Information'!B455="","", 'Equipment Information'!B455)</f>
        <v/>
      </c>
      <c r="C455">
        <f>IF('Equipment Information'!C455="","", 'Equipment Information'!C455)</f>
        <v/>
      </c>
      <c r="E455">
        <f>IF(D455="","", IFERROR(VLOOKUP(D455, 'Hidden_Data'!M:N, 2, FALSE), "0"))</f>
        <v/>
      </c>
      <c r="H455">
        <f>IF(G455="","", IFERROR(VLOOKUP(G455, 'Hidden_Data'!M:N, 2, FALSE), "0"))</f>
        <v/>
      </c>
      <c r="K455">
        <f>IF(J455="","", IFERROR(VLOOKUP(J455, 'Hidden_Data'!M:N, 2, FALSE), "0"))</f>
        <v/>
      </c>
      <c r="N455">
        <f>IF(M455="","", IFERROR(VLOOKUP(M455, 'Hidden_Data'!M:N, 2, FALSE), "0"))</f>
        <v/>
      </c>
      <c r="Q455">
        <f>IF(P455="","", IFERROR(VLOOKUP(P455, 'Hidden_Data'!M:N, 2, FALSE), "0"))</f>
        <v/>
      </c>
      <c r="T455">
        <f>IF(A455="","", SUM(IF(F455="Yes", 0, IF(E455="", 0, IFERROR(VALUE(MID(E455, SEARCH("(",E455)+1, 1)),0))), IF(I455="Yes", 0, IF(H455="", 0, IFERROR(VALUE(MID(H455, SEARCH("(",H455)+1, 1)),0))), IF(L455="Yes", 0, IF(K455="", 0, IFERROR(VALUE(MID(K455, SEARCH("(",K455)+1, 1)),0))), IF(O455="Yes", 0, IF(N455="", 0, IFERROR(VALUE(MID(N455, SEARCH("(",N455)+1, 1)),0))), IF(R455="Yes", 0, IF(Q455="", 0, IFERROR(VALUE(MID(Q455, SEARCH("(",Q455)+1, 1)),0)))))</f>
        <v/>
      </c>
      <c r="U455">
        <f>IF(A455="","", IF(T455&gt;=5, "Priority 1 (Critical)", IF(T455&gt;=3, "Priority 2 (Major)", IF(T455&gt;=1, "Priority 3 (Minor)", "Pass/Fixed"))))</f>
        <v/>
      </c>
      <c r="V455">
        <f>IF(A455="","", IF(T455&gt;0, "FAIL", "PASS"))</f>
        <v/>
      </c>
    </row>
    <row r="456">
      <c r="A456">
        <f>IF('Equipment Information'!A456="","", 'Equipment Information'!A456)</f>
        <v/>
      </c>
      <c r="B456">
        <f>IF('Equipment Information'!B456="","", 'Equipment Information'!B456)</f>
        <v/>
      </c>
      <c r="C456">
        <f>IF('Equipment Information'!C456="","", 'Equipment Information'!C456)</f>
        <v/>
      </c>
      <c r="E456">
        <f>IF(D456="","", IFERROR(VLOOKUP(D456, 'Hidden_Data'!M:N, 2, FALSE), "0"))</f>
        <v/>
      </c>
      <c r="H456">
        <f>IF(G456="","", IFERROR(VLOOKUP(G456, 'Hidden_Data'!M:N, 2, FALSE), "0"))</f>
        <v/>
      </c>
      <c r="K456">
        <f>IF(J456="","", IFERROR(VLOOKUP(J456, 'Hidden_Data'!M:N, 2, FALSE), "0"))</f>
        <v/>
      </c>
      <c r="N456">
        <f>IF(M456="","", IFERROR(VLOOKUP(M456, 'Hidden_Data'!M:N, 2, FALSE), "0"))</f>
        <v/>
      </c>
      <c r="Q456">
        <f>IF(P456="","", IFERROR(VLOOKUP(P456, 'Hidden_Data'!M:N, 2, FALSE), "0"))</f>
        <v/>
      </c>
      <c r="T456">
        <f>IF(A456="","", SUM(IF(F456="Yes", 0, IF(E456="", 0, IFERROR(VALUE(MID(E456, SEARCH("(",E456)+1, 1)),0))), IF(I456="Yes", 0, IF(H456="", 0, IFERROR(VALUE(MID(H456, SEARCH("(",H456)+1, 1)),0))), IF(L456="Yes", 0, IF(K456="", 0, IFERROR(VALUE(MID(K456, SEARCH("(",K456)+1, 1)),0))), IF(O456="Yes", 0, IF(N456="", 0, IFERROR(VALUE(MID(N456, SEARCH("(",N456)+1, 1)),0))), IF(R456="Yes", 0, IF(Q456="", 0, IFERROR(VALUE(MID(Q456, SEARCH("(",Q456)+1, 1)),0)))))</f>
        <v/>
      </c>
      <c r="U456">
        <f>IF(A456="","", IF(T456&gt;=5, "Priority 1 (Critical)", IF(T456&gt;=3, "Priority 2 (Major)", IF(T456&gt;=1, "Priority 3 (Minor)", "Pass/Fixed"))))</f>
        <v/>
      </c>
      <c r="V456">
        <f>IF(A456="","", IF(T456&gt;0, "FAIL", "PASS"))</f>
        <v/>
      </c>
    </row>
    <row r="457">
      <c r="A457">
        <f>IF('Equipment Information'!A457="","", 'Equipment Information'!A457)</f>
        <v/>
      </c>
      <c r="B457">
        <f>IF('Equipment Information'!B457="","", 'Equipment Information'!B457)</f>
        <v/>
      </c>
      <c r="C457">
        <f>IF('Equipment Information'!C457="","", 'Equipment Information'!C457)</f>
        <v/>
      </c>
      <c r="E457">
        <f>IF(D457="","", IFERROR(VLOOKUP(D457, 'Hidden_Data'!M:N, 2, FALSE), "0"))</f>
        <v/>
      </c>
      <c r="H457">
        <f>IF(G457="","", IFERROR(VLOOKUP(G457, 'Hidden_Data'!M:N, 2, FALSE), "0"))</f>
        <v/>
      </c>
      <c r="K457">
        <f>IF(J457="","", IFERROR(VLOOKUP(J457, 'Hidden_Data'!M:N, 2, FALSE), "0"))</f>
        <v/>
      </c>
      <c r="N457">
        <f>IF(M457="","", IFERROR(VLOOKUP(M457, 'Hidden_Data'!M:N, 2, FALSE), "0"))</f>
        <v/>
      </c>
      <c r="Q457">
        <f>IF(P457="","", IFERROR(VLOOKUP(P457, 'Hidden_Data'!M:N, 2, FALSE), "0"))</f>
        <v/>
      </c>
      <c r="T457">
        <f>IF(A457="","", SUM(IF(F457="Yes", 0, IF(E457="", 0, IFERROR(VALUE(MID(E457, SEARCH("(",E457)+1, 1)),0))), IF(I457="Yes", 0, IF(H457="", 0, IFERROR(VALUE(MID(H457, SEARCH("(",H457)+1, 1)),0))), IF(L457="Yes", 0, IF(K457="", 0, IFERROR(VALUE(MID(K457, SEARCH("(",K457)+1, 1)),0))), IF(O457="Yes", 0, IF(N457="", 0, IFERROR(VALUE(MID(N457, SEARCH("(",N457)+1, 1)),0))), IF(R457="Yes", 0, IF(Q457="", 0, IFERROR(VALUE(MID(Q457, SEARCH("(",Q457)+1, 1)),0)))))</f>
        <v/>
      </c>
      <c r="U457">
        <f>IF(A457="","", IF(T457&gt;=5, "Priority 1 (Critical)", IF(T457&gt;=3, "Priority 2 (Major)", IF(T457&gt;=1, "Priority 3 (Minor)", "Pass/Fixed"))))</f>
        <v/>
      </c>
      <c r="V457">
        <f>IF(A457="","", IF(T457&gt;0, "FAIL", "PASS"))</f>
        <v/>
      </c>
    </row>
    <row r="458">
      <c r="A458">
        <f>IF('Equipment Information'!A458="","", 'Equipment Information'!A458)</f>
        <v/>
      </c>
      <c r="B458">
        <f>IF('Equipment Information'!B458="","", 'Equipment Information'!B458)</f>
        <v/>
      </c>
      <c r="C458">
        <f>IF('Equipment Information'!C458="","", 'Equipment Information'!C458)</f>
        <v/>
      </c>
      <c r="E458">
        <f>IF(D458="","", IFERROR(VLOOKUP(D458, 'Hidden_Data'!M:N, 2, FALSE), "0"))</f>
        <v/>
      </c>
      <c r="H458">
        <f>IF(G458="","", IFERROR(VLOOKUP(G458, 'Hidden_Data'!M:N, 2, FALSE), "0"))</f>
        <v/>
      </c>
      <c r="K458">
        <f>IF(J458="","", IFERROR(VLOOKUP(J458, 'Hidden_Data'!M:N, 2, FALSE), "0"))</f>
        <v/>
      </c>
      <c r="N458">
        <f>IF(M458="","", IFERROR(VLOOKUP(M458, 'Hidden_Data'!M:N, 2, FALSE), "0"))</f>
        <v/>
      </c>
      <c r="Q458">
        <f>IF(P458="","", IFERROR(VLOOKUP(P458, 'Hidden_Data'!M:N, 2, FALSE), "0"))</f>
        <v/>
      </c>
      <c r="T458">
        <f>IF(A458="","", SUM(IF(F458="Yes", 0, IF(E458="", 0, IFERROR(VALUE(MID(E458, SEARCH("(",E458)+1, 1)),0))), IF(I458="Yes", 0, IF(H458="", 0, IFERROR(VALUE(MID(H458, SEARCH("(",H458)+1, 1)),0))), IF(L458="Yes", 0, IF(K458="", 0, IFERROR(VALUE(MID(K458, SEARCH("(",K458)+1, 1)),0))), IF(O458="Yes", 0, IF(N458="", 0, IFERROR(VALUE(MID(N458, SEARCH("(",N458)+1, 1)),0))), IF(R458="Yes", 0, IF(Q458="", 0, IFERROR(VALUE(MID(Q458, SEARCH("(",Q458)+1, 1)),0)))))</f>
        <v/>
      </c>
      <c r="U458">
        <f>IF(A458="","", IF(T458&gt;=5, "Priority 1 (Critical)", IF(T458&gt;=3, "Priority 2 (Major)", IF(T458&gt;=1, "Priority 3 (Minor)", "Pass/Fixed"))))</f>
        <v/>
      </c>
      <c r="V458">
        <f>IF(A458="","", IF(T458&gt;0, "FAIL", "PASS"))</f>
        <v/>
      </c>
    </row>
    <row r="459">
      <c r="A459">
        <f>IF('Equipment Information'!A459="","", 'Equipment Information'!A459)</f>
        <v/>
      </c>
      <c r="B459">
        <f>IF('Equipment Information'!B459="","", 'Equipment Information'!B459)</f>
        <v/>
      </c>
      <c r="C459">
        <f>IF('Equipment Information'!C459="","", 'Equipment Information'!C459)</f>
        <v/>
      </c>
      <c r="E459">
        <f>IF(D459="","", IFERROR(VLOOKUP(D459, 'Hidden_Data'!M:N, 2, FALSE), "0"))</f>
        <v/>
      </c>
      <c r="H459">
        <f>IF(G459="","", IFERROR(VLOOKUP(G459, 'Hidden_Data'!M:N, 2, FALSE), "0"))</f>
        <v/>
      </c>
      <c r="K459">
        <f>IF(J459="","", IFERROR(VLOOKUP(J459, 'Hidden_Data'!M:N, 2, FALSE), "0"))</f>
        <v/>
      </c>
      <c r="N459">
        <f>IF(M459="","", IFERROR(VLOOKUP(M459, 'Hidden_Data'!M:N, 2, FALSE), "0"))</f>
        <v/>
      </c>
      <c r="Q459">
        <f>IF(P459="","", IFERROR(VLOOKUP(P459, 'Hidden_Data'!M:N, 2, FALSE), "0"))</f>
        <v/>
      </c>
      <c r="T459">
        <f>IF(A459="","", SUM(IF(F459="Yes", 0, IF(E459="", 0, IFERROR(VALUE(MID(E459, SEARCH("(",E459)+1, 1)),0))), IF(I459="Yes", 0, IF(H459="", 0, IFERROR(VALUE(MID(H459, SEARCH("(",H459)+1, 1)),0))), IF(L459="Yes", 0, IF(K459="", 0, IFERROR(VALUE(MID(K459, SEARCH("(",K459)+1, 1)),0))), IF(O459="Yes", 0, IF(N459="", 0, IFERROR(VALUE(MID(N459, SEARCH("(",N459)+1, 1)),0))), IF(R459="Yes", 0, IF(Q459="", 0, IFERROR(VALUE(MID(Q459, SEARCH("(",Q459)+1, 1)),0)))))</f>
        <v/>
      </c>
      <c r="U459">
        <f>IF(A459="","", IF(T459&gt;=5, "Priority 1 (Critical)", IF(T459&gt;=3, "Priority 2 (Major)", IF(T459&gt;=1, "Priority 3 (Minor)", "Pass/Fixed"))))</f>
        <v/>
      </c>
      <c r="V459">
        <f>IF(A459="","", IF(T459&gt;0, "FAIL", "PASS"))</f>
        <v/>
      </c>
    </row>
    <row r="460">
      <c r="A460">
        <f>IF('Equipment Information'!A460="","", 'Equipment Information'!A460)</f>
        <v/>
      </c>
      <c r="B460">
        <f>IF('Equipment Information'!B460="","", 'Equipment Information'!B460)</f>
        <v/>
      </c>
      <c r="C460">
        <f>IF('Equipment Information'!C460="","", 'Equipment Information'!C460)</f>
        <v/>
      </c>
      <c r="E460">
        <f>IF(D460="","", IFERROR(VLOOKUP(D460, 'Hidden_Data'!M:N, 2, FALSE), "0"))</f>
        <v/>
      </c>
      <c r="H460">
        <f>IF(G460="","", IFERROR(VLOOKUP(G460, 'Hidden_Data'!M:N, 2, FALSE), "0"))</f>
        <v/>
      </c>
      <c r="K460">
        <f>IF(J460="","", IFERROR(VLOOKUP(J460, 'Hidden_Data'!M:N, 2, FALSE), "0"))</f>
        <v/>
      </c>
      <c r="N460">
        <f>IF(M460="","", IFERROR(VLOOKUP(M460, 'Hidden_Data'!M:N, 2, FALSE), "0"))</f>
        <v/>
      </c>
      <c r="Q460">
        <f>IF(P460="","", IFERROR(VLOOKUP(P460, 'Hidden_Data'!M:N, 2, FALSE), "0"))</f>
        <v/>
      </c>
      <c r="T460">
        <f>IF(A460="","", SUM(IF(F460="Yes", 0, IF(E460="", 0, IFERROR(VALUE(MID(E460, SEARCH("(",E460)+1, 1)),0))), IF(I460="Yes", 0, IF(H460="", 0, IFERROR(VALUE(MID(H460, SEARCH("(",H460)+1, 1)),0))), IF(L460="Yes", 0, IF(K460="", 0, IFERROR(VALUE(MID(K460, SEARCH("(",K460)+1, 1)),0))), IF(O460="Yes", 0, IF(N460="", 0, IFERROR(VALUE(MID(N460, SEARCH("(",N460)+1, 1)),0))), IF(R460="Yes", 0, IF(Q460="", 0, IFERROR(VALUE(MID(Q460, SEARCH("(",Q460)+1, 1)),0)))))</f>
        <v/>
      </c>
      <c r="U460">
        <f>IF(A460="","", IF(T460&gt;=5, "Priority 1 (Critical)", IF(T460&gt;=3, "Priority 2 (Major)", IF(T460&gt;=1, "Priority 3 (Minor)", "Pass/Fixed"))))</f>
        <v/>
      </c>
      <c r="V460">
        <f>IF(A460="","", IF(T460&gt;0, "FAIL", "PASS"))</f>
        <v/>
      </c>
    </row>
    <row r="461">
      <c r="A461">
        <f>IF('Equipment Information'!A461="","", 'Equipment Information'!A461)</f>
        <v/>
      </c>
      <c r="B461">
        <f>IF('Equipment Information'!B461="","", 'Equipment Information'!B461)</f>
        <v/>
      </c>
      <c r="C461">
        <f>IF('Equipment Information'!C461="","", 'Equipment Information'!C461)</f>
        <v/>
      </c>
      <c r="E461">
        <f>IF(D461="","", IFERROR(VLOOKUP(D461, 'Hidden_Data'!M:N, 2, FALSE), "0"))</f>
        <v/>
      </c>
      <c r="H461">
        <f>IF(G461="","", IFERROR(VLOOKUP(G461, 'Hidden_Data'!M:N, 2, FALSE), "0"))</f>
        <v/>
      </c>
      <c r="K461">
        <f>IF(J461="","", IFERROR(VLOOKUP(J461, 'Hidden_Data'!M:N, 2, FALSE), "0"))</f>
        <v/>
      </c>
      <c r="N461">
        <f>IF(M461="","", IFERROR(VLOOKUP(M461, 'Hidden_Data'!M:N, 2, FALSE), "0"))</f>
        <v/>
      </c>
      <c r="Q461">
        <f>IF(P461="","", IFERROR(VLOOKUP(P461, 'Hidden_Data'!M:N, 2, FALSE), "0"))</f>
        <v/>
      </c>
      <c r="T461">
        <f>IF(A461="","", SUM(IF(F461="Yes", 0, IF(E461="", 0, IFERROR(VALUE(MID(E461, SEARCH("(",E461)+1, 1)),0))), IF(I461="Yes", 0, IF(H461="", 0, IFERROR(VALUE(MID(H461, SEARCH("(",H461)+1, 1)),0))), IF(L461="Yes", 0, IF(K461="", 0, IFERROR(VALUE(MID(K461, SEARCH("(",K461)+1, 1)),0))), IF(O461="Yes", 0, IF(N461="", 0, IFERROR(VALUE(MID(N461, SEARCH("(",N461)+1, 1)),0))), IF(R461="Yes", 0, IF(Q461="", 0, IFERROR(VALUE(MID(Q461, SEARCH("(",Q461)+1, 1)),0)))))</f>
        <v/>
      </c>
      <c r="U461">
        <f>IF(A461="","", IF(T461&gt;=5, "Priority 1 (Critical)", IF(T461&gt;=3, "Priority 2 (Major)", IF(T461&gt;=1, "Priority 3 (Minor)", "Pass/Fixed"))))</f>
        <v/>
      </c>
      <c r="V461">
        <f>IF(A461="","", IF(T461&gt;0, "FAIL", "PASS"))</f>
        <v/>
      </c>
    </row>
    <row r="462">
      <c r="A462">
        <f>IF('Equipment Information'!A462="","", 'Equipment Information'!A462)</f>
        <v/>
      </c>
      <c r="B462">
        <f>IF('Equipment Information'!B462="","", 'Equipment Information'!B462)</f>
        <v/>
      </c>
      <c r="C462">
        <f>IF('Equipment Information'!C462="","", 'Equipment Information'!C462)</f>
        <v/>
      </c>
      <c r="E462">
        <f>IF(D462="","", IFERROR(VLOOKUP(D462, 'Hidden_Data'!M:N, 2, FALSE), "0"))</f>
        <v/>
      </c>
      <c r="H462">
        <f>IF(G462="","", IFERROR(VLOOKUP(G462, 'Hidden_Data'!M:N, 2, FALSE), "0"))</f>
        <v/>
      </c>
      <c r="K462">
        <f>IF(J462="","", IFERROR(VLOOKUP(J462, 'Hidden_Data'!M:N, 2, FALSE), "0"))</f>
        <v/>
      </c>
      <c r="N462">
        <f>IF(M462="","", IFERROR(VLOOKUP(M462, 'Hidden_Data'!M:N, 2, FALSE), "0"))</f>
        <v/>
      </c>
      <c r="Q462">
        <f>IF(P462="","", IFERROR(VLOOKUP(P462, 'Hidden_Data'!M:N, 2, FALSE), "0"))</f>
        <v/>
      </c>
      <c r="T462">
        <f>IF(A462="","", SUM(IF(F462="Yes", 0, IF(E462="", 0, IFERROR(VALUE(MID(E462, SEARCH("(",E462)+1, 1)),0))), IF(I462="Yes", 0, IF(H462="", 0, IFERROR(VALUE(MID(H462, SEARCH("(",H462)+1, 1)),0))), IF(L462="Yes", 0, IF(K462="", 0, IFERROR(VALUE(MID(K462, SEARCH("(",K462)+1, 1)),0))), IF(O462="Yes", 0, IF(N462="", 0, IFERROR(VALUE(MID(N462, SEARCH("(",N462)+1, 1)),0))), IF(R462="Yes", 0, IF(Q462="", 0, IFERROR(VALUE(MID(Q462, SEARCH("(",Q462)+1, 1)),0)))))</f>
        <v/>
      </c>
      <c r="U462">
        <f>IF(A462="","", IF(T462&gt;=5, "Priority 1 (Critical)", IF(T462&gt;=3, "Priority 2 (Major)", IF(T462&gt;=1, "Priority 3 (Minor)", "Pass/Fixed"))))</f>
        <v/>
      </c>
      <c r="V462">
        <f>IF(A462="","", IF(T462&gt;0, "FAIL", "PASS"))</f>
        <v/>
      </c>
    </row>
    <row r="463">
      <c r="A463">
        <f>IF('Equipment Information'!A463="","", 'Equipment Information'!A463)</f>
        <v/>
      </c>
      <c r="B463">
        <f>IF('Equipment Information'!B463="","", 'Equipment Information'!B463)</f>
        <v/>
      </c>
      <c r="C463">
        <f>IF('Equipment Information'!C463="","", 'Equipment Information'!C463)</f>
        <v/>
      </c>
      <c r="E463">
        <f>IF(D463="","", IFERROR(VLOOKUP(D463, 'Hidden_Data'!M:N, 2, FALSE), "0"))</f>
        <v/>
      </c>
      <c r="H463">
        <f>IF(G463="","", IFERROR(VLOOKUP(G463, 'Hidden_Data'!M:N, 2, FALSE), "0"))</f>
        <v/>
      </c>
      <c r="K463">
        <f>IF(J463="","", IFERROR(VLOOKUP(J463, 'Hidden_Data'!M:N, 2, FALSE), "0"))</f>
        <v/>
      </c>
      <c r="N463">
        <f>IF(M463="","", IFERROR(VLOOKUP(M463, 'Hidden_Data'!M:N, 2, FALSE), "0"))</f>
        <v/>
      </c>
      <c r="Q463">
        <f>IF(P463="","", IFERROR(VLOOKUP(P463, 'Hidden_Data'!M:N, 2, FALSE), "0"))</f>
        <v/>
      </c>
      <c r="T463">
        <f>IF(A463="","", SUM(IF(F463="Yes", 0, IF(E463="", 0, IFERROR(VALUE(MID(E463, SEARCH("(",E463)+1, 1)),0))), IF(I463="Yes", 0, IF(H463="", 0, IFERROR(VALUE(MID(H463, SEARCH("(",H463)+1, 1)),0))), IF(L463="Yes", 0, IF(K463="", 0, IFERROR(VALUE(MID(K463, SEARCH("(",K463)+1, 1)),0))), IF(O463="Yes", 0, IF(N463="", 0, IFERROR(VALUE(MID(N463, SEARCH("(",N463)+1, 1)),0))), IF(R463="Yes", 0, IF(Q463="", 0, IFERROR(VALUE(MID(Q463, SEARCH("(",Q463)+1, 1)),0)))))</f>
        <v/>
      </c>
      <c r="U463">
        <f>IF(A463="","", IF(T463&gt;=5, "Priority 1 (Critical)", IF(T463&gt;=3, "Priority 2 (Major)", IF(T463&gt;=1, "Priority 3 (Minor)", "Pass/Fixed"))))</f>
        <v/>
      </c>
      <c r="V463">
        <f>IF(A463="","", IF(T463&gt;0, "FAIL", "PASS"))</f>
        <v/>
      </c>
    </row>
    <row r="464">
      <c r="A464">
        <f>IF('Equipment Information'!A464="","", 'Equipment Information'!A464)</f>
        <v/>
      </c>
      <c r="B464">
        <f>IF('Equipment Information'!B464="","", 'Equipment Information'!B464)</f>
        <v/>
      </c>
      <c r="C464">
        <f>IF('Equipment Information'!C464="","", 'Equipment Information'!C464)</f>
        <v/>
      </c>
      <c r="E464">
        <f>IF(D464="","", IFERROR(VLOOKUP(D464, 'Hidden_Data'!M:N, 2, FALSE), "0"))</f>
        <v/>
      </c>
      <c r="H464">
        <f>IF(G464="","", IFERROR(VLOOKUP(G464, 'Hidden_Data'!M:N, 2, FALSE), "0"))</f>
        <v/>
      </c>
      <c r="K464">
        <f>IF(J464="","", IFERROR(VLOOKUP(J464, 'Hidden_Data'!M:N, 2, FALSE), "0"))</f>
        <v/>
      </c>
      <c r="N464">
        <f>IF(M464="","", IFERROR(VLOOKUP(M464, 'Hidden_Data'!M:N, 2, FALSE), "0"))</f>
        <v/>
      </c>
      <c r="Q464">
        <f>IF(P464="","", IFERROR(VLOOKUP(P464, 'Hidden_Data'!M:N, 2, FALSE), "0"))</f>
        <v/>
      </c>
      <c r="T464">
        <f>IF(A464="","", SUM(IF(F464="Yes", 0, IF(E464="", 0, IFERROR(VALUE(MID(E464, SEARCH("(",E464)+1, 1)),0))), IF(I464="Yes", 0, IF(H464="", 0, IFERROR(VALUE(MID(H464, SEARCH("(",H464)+1, 1)),0))), IF(L464="Yes", 0, IF(K464="", 0, IFERROR(VALUE(MID(K464, SEARCH("(",K464)+1, 1)),0))), IF(O464="Yes", 0, IF(N464="", 0, IFERROR(VALUE(MID(N464, SEARCH("(",N464)+1, 1)),0))), IF(R464="Yes", 0, IF(Q464="", 0, IFERROR(VALUE(MID(Q464, SEARCH("(",Q464)+1, 1)),0)))))</f>
        <v/>
      </c>
      <c r="U464">
        <f>IF(A464="","", IF(T464&gt;=5, "Priority 1 (Critical)", IF(T464&gt;=3, "Priority 2 (Major)", IF(T464&gt;=1, "Priority 3 (Minor)", "Pass/Fixed"))))</f>
        <v/>
      </c>
      <c r="V464">
        <f>IF(A464="","", IF(T464&gt;0, "FAIL", "PASS"))</f>
        <v/>
      </c>
    </row>
    <row r="465">
      <c r="A465">
        <f>IF('Equipment Information'!A465="","", 'Equipment Information'!A465)</f>
        <v/>
      </c>
      <c r="B465">
        <f>IF('Equipment Information'!B465="","", 'Equipment Information'!B465)</f>
        <v/>
      </c>
      <c r="C465">
        <f>IF('Equipment Information'!C465="","", 'Equipment Information'!C465)</f>
        <v/>
      </c>
      <c r="E465">
        <f>IF(D465="","", IFERROR(VLOOKUP(D465, 'Hidden_Data'!M:N, 2, FALSE), "0"))</f>
        <v/>
      </c>
      <c r="H465">
        <f>IF(G465="","", IFERROR(VLOOKUP(G465, 'Hidden_Data'!M:N, 2, FALSE), "0"))</f>
        <v/>
      </c>
      <c r="K465">
        <f>IF(J465="","", IFERROR(VLOOKUP(J465, 'Hidden_Data'!M:N, 2, FALSE), "0"))</f>
        <v/>
      </c>
      <c r="N465">
        <f>IF(M465="","", IFERROR(VLOOKUP(M465, 'Hidden_Data'!M:N, 2, FALSE), "0"))</f>
        <v/>
      </c>
      <c r="Q465">
        <f>IF(P465="","", IFERROR(VLOOKUP(P465, 'Hidden_Data'!M:N, 2, FALSE), "0"))</f>
        <v/>
      </c>
      <c r="T465">
        <f>IF(A465="","", SUM(IF(F465="Yes", 0, IF(E465="", 0, IFERROR(VALUE(MID(E465, SEARCH("(",E465)+1, 1)),0))), IF(I465="Yes", 0, IF(H465="", 0, IFERROR(VALUE(MID(H465, SEARCH("(",H465)+1, 1)),0))), IF(L465="Yes", 0, IF(K465="", 0, IFERROR(VALUE(MID(K465, SEARCH("(",K465)+1, 1)),0))), IF(O465="Yes", 0, IF(N465="", 0, IFERROR(VALUE(MID(N465, SEARCH("(",N465)+1, 1)),0))), IF(R465="Yes", 0, IF(Q465="", 0, IFERROR(VALUE(MID(Q465, SEARCH("(",Q465)+1, 1)),0)))))</f>
        <v/>
      </c>
      <c r="U465">
        <f>IF(A465="","", IF(T465&gt;=5, "Priority 1 (Critical)", IF(T465&gt;=3, "Priority 2 (Major)", IF(T465&gt;=1, "Priority 3 (Minor)", "Pass/Fixed"))))</f>
        <v/>
      </c>
      <c r="V465">
        <f>IF(A465="","", IF(T465&gt;0, "FAIL", "PASS"))</f>
        <v/>
      </c>
    </row>
    <row r="466">
      <c r="A466">
        <f>IF('Equipment Information'!A466="","", 'Equipment Information'!A466)</f>
        <v/>
      </c>
      <c r="B466">
        <f>IF('Equipment Information'!B466="","", 'Equipment Information'!B466)</f>
        <v/>
      </c>
      <c r="C466">
        <f>IF('Equipment Information'!C466="","", 'Equipment Information'!C466)</f>
        <v/>
      </c>
      <c r="E466">
        <f>IF(D466="","", IFERROR(VLOOKUP(D466, 'Hidden_Data'!M:N, 2, FALSE), "0"))</f>
        <v/>
      </c>
      <c r="H466">
        <f>IF(G466="","", IFERROR(VLOOKUP(G466, 'Hidden_Data'!M:N, 2, FALSE), "0"))</f>
        <v/>
      </c>
      <c r="K466">
        <f>IF(J466="","", IFERROR(VLOOKUP(J466, 'Hidden_Data'!M:N, 2, FALSE), "0"))</f>
        <v/>
      </c>
      <c r="N466">
        <f>IF(M466="","", IFERROR(VLOOKUP(M466, 'Hidden_Data'!M:N, 2, FALSE), "0"))</f>
        <v/>
      </c>
      <c r="Q466">
        <f>IF(P466="","", IFERROR(VLOOKUP(P466, 'Hidden_Data'!M:N, 2, FALSE), "0"))</f>
        <v/>
      </c>
      <c r="T466">
        <f>IF(A466="","", SUM(IF(F466="Yes", 0, IF(E466="", 0, IFERROR(VALUE(MID(E466, SEARCH("(",E466)+1, 1)),0))), IF(I466="Yes", 0, IF(H466="", 0, IFERROR(VALUE(MID(H466, SEARCH("(",H466)+1, 1)),0))), IF(L466="Yes", 0, IF(K466="", 0, IFERROR(VALUE(MID(K466, SEARCH("(",K466)+1, 1)),0))), IF(O466="Yes", 0, IF(N466="", 0, IFERROR(VALUE(MID(N466, SEARCH("(",N466)+1, 1)),0))), IF(R466="Yes", 0, IF(Q466="", 0, IFERROR(VALUE(MID(Q466, SEARCH("(",Q466)+1, 1)),0)))))</f>
        <v/>
      </c>
      <c r="U466">
        <f>IF(A466="","", IF(T466&gt;=5, "Priority 1 (Critical)", IF(T466&gt;=3, "Priority 2 (Major)", IF(T466&gt;=1, "Priority 3 (Minor)", "Pass/Fixed"))))</f>
        <v/>
      </c>
      <c r="V466">
        <f>IF(A466="","", IF(T466&gt;0, "FAIL", "PASS"))</f>
        <v/>
      </c>
    </row>
    <row r="467">
      <c r="A467">
        <f>IF('Equipment Information'!A467="","", 'Equipment Information'!A467)</f>
        <v/>
      </c>
      <c r="B467">
        <f>IF('Equipment Information'!B467="","", 'Equipment Information'!B467)</f>
        <v/>
      </c>
      <c r="C467">
        <f>IF('Equipment Information'!C467="","", 'Equipment Information'!C467)</f>
        <v/>
      </c>
      <c r="E467">
        <f>IF(D467="","", IFERROR(VLOOKUP(D467, 'Hidden_Data'!M:N, 2, FALSE), "0"))</f>
        <v/>
      </c>
      <c r="H467">
        <f>IF(G467="","", IFERROR(VLOOKUP(G467, 'Hidden_Data'!M:N, 2, FALSE), "0"))</f>
        <v/>
      </c>
      <c r="K467">
        <f>IF(J467="","", IFERROR(VLOOKUP(J467, 'Hidden_Data'!M:N, 2, FALSE), "0"))</f>
        <v/>
      </c>
      <c r="N467">
        <f>IF(M467="","", IFERROR(VLOOKUP(M467, 'Hidden_Data'!M:N, 2, FALSE), "0"))</f>
        <v/>
      </c>
      <c r="Q467">
        <f>IF(P467="","", IFERROR(VLOOKUP(P467, 'Hidden_Data'!M:N, 2, FALSE), "0"))</f>
        <v/>
      </c>
      <c r="T467">
        <f>IF(A467="","", SUM(IF(F467="Yes", 0, IF(E467="", 0, IFERROR(VALUE(MID(E467, SEARCH("(",E467)+1, 1)),0))), IF(I467="Yes", 0, IF(H467="", 0, IFERROR(VALUE(MID(H467, SEARCH("(",H467)+1, 1)),0))), IF(L467="Yes", 0, IF(K467="", 0, IFERROR(VALUE(MID(K467, SEARCH("(",K467)+1, 1)),0))), IF(O467="Yes", 0, IF(N467="", 0, IFERROR(VALUE(MID(N467, SEARCH("(",N467)+1, 1)),0))), IF(R467="Yes", 0, IF(Q467="", 0, IFERROR(VALUE(MID(Q467, SEARCH("(",Q467)+1, 1)),0)))))</f>
        <v/>
      </c>
      <c r="U467">
        <f>IF(A467="","", IF(T467&gt;=5, "Priority 1 (Critical)", IF(T467&gt;=3, "Priority 2 (Major)", IF(T467&gt;=1, "Priority 3 (Minor)", "Pass/Fixed"))))</f>
        <v/>
      </c>
      <c r="V467">
        <f>IF(A467="","", IF(T467&gt;0, "FAIL", "PASS"))</f>
        <v/>
      </c>
    </row>
    <row r="468">
      <c r="A468">
        <f>IF('Equipment Information'!A468="","", 'Equipment Information'!A468)</f>
        <v/>
      </c>
      <c r="B468">
        <f>IF('Equipment Information'!B468="","", 'Equipment Information'!B468)</f>
        <v/>
      </c>
      <c r="C468">
        <f>IF('Equipment Information'!C468="","", 'Equipment Information'!C468)</f>
        <v/>
      </c>
      <c r="E468">
        <f>IF(D468="","", IFERROR(VLOOKUP(D468, 'Hidden_Data'!M:N, 2, FALSE), "0"))</f>
        <v/>
      </c>
      <c r="H468">
        <f>IF(G468="","", IFERROR(VLOOKUP(G468, 'Hidden_Data'!M:N, 2, FALSE), "0"))</f>
        <v/>
      </c>
      <c r="K468">
        <f>IF(J468="","", IFERROR(VLOOKUP(J468, 'Hidden_Data'!M:N, 2, FALSE), "0"))</f>
        <v/>
      </c>
      <c r="N468">
        <f>IF(M468="","", IFERROR(VLOOKUP(M468, 'Hidden_Data'!M:N, 2, FALSE), "0"))</f>
        <v/>
      </c>
      <c r="Q468">
        <f>IF(P468="","", IFERROR(VLOOKUP(P468, 'Hidden_Data'!M:N, 2, FALSE), "0"))</f>
        <v/>
      </c>
      <c r="T468">
        <f>IF(A468="","", SUM(IF(F468="Yes", 0, IF(E468="", 0, IFERROR(VALUE(MID(E468, SEARCH("(",E468)+1, 1)),0))), IF(I468="Yes", 0, IF(H468="", 0, IFERROR(VALUE(MID(H468, SEARCH("(",H468)+1, 1)),0))), IF(L468="Yes", 0, IF(K468="", 0, IFERROR(VALUE(MID(K468, SEARCH("(",K468)+1, 1)),0))), IF(O468="Yes", 0, IF(N468="", 0, IFERROR(VALUE(MID(N468, SEARCH("(",N468)+1, 1)),0))), IF(R468="Yes", 0, IF(Q468="", 0, IFERROR(VALUE(MID(Q468, SEARCH("(",Q468)+1, 1)),0)))))</f>
        <v/>
      </c>
      <c r="U468">
        <f>IF(A468="","", IF(T468&gt;=5, "Priority 1 (Critical)", IF(T468&gt;=3, "Priority 2 (Major)", IF(T468&gt;=1, "Priority 3 (Minor)", "Pass/Fixed"))))</f>
        <v/>
      </c>
      <c r="V468">
        <f>IF(A468="","", IF(T468&gt;0, "FAIL", "PASS"))</f>
        <v/>
      </c>
    </row>
    <row r="469">
      <c r="A469">
        <f>IF('Equipment Information'!A469="","", 'Equipment Information'!A469)</f>
        <v/>
      </c>
      <c r="B469">
        <f>IF('Equipment Information'!B469="","", 'Equipment Information'!B469)</f>
        <v/>
      </c>
      <c r="C469">
        <f>IF('Equipment Information'!C469="","", 'Equipment Information'!C469)</f>
        <v/>
      </c>
      <c r="E469">
        <f>IF(D469="","", IFERROR(VLOOKUP(D469, 'Hidden_Data'!M:N, 2, FALSE), "0"))</f>
        <v/>
      </c>
      <c r="H469">
        <f>IF(G469="","", IFERROR(VLOOKUP(G469, 'Hidden_Data'!M:N, 2, FALSE), "0"))</f>
        <v/>
      </c>
      <c r="K469">
        <f>IF(J469="","", IFERROR(VLOOKUP(J469, 'Hidden_Data'!M:N, 2, FALSE), "0"))</f>
        <v/>
      </c>
      <c r="N469">
        <f>IF(M469="","", IFERROR(VLOOKUP(M469, 'Hidden_Data'!M:N, 2, FALSE), "0"))</f>
        <v/>
      </c>
      <c r="Q469">
        <f>IF(P469="","", IFERROR(VLOOKUP(P469, 'Hidden_Data'!M:N, 2, FALSE), "0"))</f>
        <v/>
      </c>
      <c r="T469">
        <f>IF(A469="","", SUM(IF(F469="Yes", 0, IF(E469="", 0, IFERROR(VALUE(MID(E469, SEARCH("(",E469)+1, 1)),0))), IF(I469="Yes", 0, IF(H469="", 0, IFERROR(VALUE(MID(H469, SEARCH("(",H469)+1, 1)),0))), IF(L469="Yes", 0, IF(K469="", 0, IFERROR(VALUE(MID(K469, SEARCH("(",K469)+1, 1)),0))), IF(O469="Yes", 0, IF(N469="", 0, IFERROR(VALUE(MID(N469, SEARCH("(",N469)+1, 1)),0))), IF(R469="Yes", 0, IF(Q469="", 0, IFERROR(VALUE(MID(Q469, SEARCH("(",Q469)+1, 1)),0)))))</f>
        <v/>
      </c>
      <c r="U469">
        <f>IF(A469="","", IF(T469&gt;=5, "Priority 1 (Critical)", IF(T469&gt;=3, "Priority 2 (Major)", IF(T469&gt;=1, "Priority 3 (Minor)", "Pass/Fixed"))))</f>
        <v/>
      </c>
      <c r="V469">
        <f>IF(A469="","", IF(T469&gt;0, "FAIL", "PASS"))</f>
        <v/>
      </c>
    </row>
    <row r="470">
      <c r="A470">
        <f>IF('Equipment Information'!A470="","", 'Equipment Information'!A470)</f>
        <v/>
      </c>
      <c r="B470">
        <f>IF('Equipment Information'!B470="","", 'Equipment Information'!B470)</f>
        <v/>
      </c>
      <c r="C470">
        <f>IF('Equipment Information'!C470="","", 'Equipment Information'!C470)</f>
        <v/>
      </c>
      <c r="E470">
        <f>IF(D470="","", IFERROR(VLOOKUP(D470, 'Hidden_Data'!M:N, 2, FALSE), "0"))</f>
        <v/>
      </c>
      <c r="H470">
        <f>IF(G470="","", IFERROR(VLOOKUP(G470, 'Hidden_Data'!M:N, 2, FALSE), "0"))</f>
        <v/>
      </c>
      <c r="K470">
        <f>IF(J470="","", IFERROR(VLOOKUP(J470, 'Hidden_Data'!M:N, 2, FALSE), "0"))</f>
        <v/>
      </c>
      <c r="N470">
        <f>IF(M470="","", IFERROR(VLOOKUP(M470, 'Hidden_Data'!M:N, 2, FALSE), "0"))</f>
        <v/>
      </c>
      <c r="Q470">
        <f>IF(P470="","", IFERROR(VLOOKUP(P470, 'Hidden_Data'!M:N, 2, FALSE), "0"))</f>
        <v/>
      </c>
      <c r="T470">
        <f>IF(A470="","", SUM(IF(F470="Yes", 0, IF(E470="", 0, IFERROR(VALUE(MID(E470, SEARCH("(",E470)+1, 1)),0))), IF(I470="Yes", 0, IF(H470="", 0, IFERROR(VALUE(MID(H470, SEARCH("(",H470)+1, 1)),0))), IF(L470="Yes", 0, IF(K470="", 0, IFERROR(VALUE(MID(K470, SEARCH("(",K470)+1, 1)),0))), IF(O470="Yes", 0, IF(N470="", 0, IFERROR(VALUE(MID(N470, SEARCH("(",N470)+1, 1)),0))), IF(R470="Yes", 0, IF(Q470="", 0, IFERROR(VALUE(MID(Q470, SEARCH("(",Q470)+1, 1)),0)))))</f>
        <v/>
      </c>
      <c r="U470">
        <f>IF(A470="","", IF(T470&gt;=5, "Priority 1 (Critical)", IF(T470&gt;=3, "Priority 2 (Major)", IF(T470&gt;=1, "Priority 3 (Minor)", "Pass/Fixed"))))</f>
        <v/>
      </c>
      <c r="V470">
        <f>IF(A470="","", IF(T470&gt;0, "FAIL", "PASS"))</f>
        <v/>
      </c>
    </row>
    <row r="471">
      <c r="A471">
        <f>IF('Equipment Information'!A471="","", 'Equipment Information'!A471)</f>
        <v/>
      </c>
      <c r="B471">
        <f>IF('Equipment Information'!B471="","", 'Equipment Information'!B471)</f>
        <v/>
      </c>
      <c r="C471">
        <f>IF('Equipment Information'!C471="","", 'Equipment Information'!C471)</f>
        <v/>
      </c>
      <c r="E471">
        <f>IF(D471="","", IFERROR(VLOOKUP(D471, 'Hidden_Data'!M:N, 2, FALSE), "0"))</f>
        <v/>
      </c>
      <c r="H471">
        <f>IF(G471="","", IFERROR(VLOOKUP(G471, 'Hidden_Data'!M:N, 2, FALSE), "0"))</f>
        <v/>
      </c>
      <c r="K471">
        <f>IF(J471="","", IFERROR(VLOOKUP(J471, 'Hidden_Data'!M:N, 2, FALSE), "0"))</f>
        <v/>
      </c>
      <c r="N471">
        <f>IF(M471="","", IFERROR(VLOOKUP(M471, 'Hidden_Data'!M:N, 2, FALSE), "0"))</f>
        <v/>
      </c>
      <c r="Q471">
        <f>IF(P471="","", IFERROR(VLOOKUP(P471, 'Hidden_Data'!M:N, 2, FALSE), "0"))</f>
        <v/>
      </c>
      <c r="T471">
        <f>IF(A471="","", SUM(IF(F471="Yes", 0, IF(E471="", 0, IFERROR(VALUE(MID(E471, SEARCH("(",E471)+1, 1)),0))), IF(I471="Yes", 0, IF(H471="", 0, IFERROR(VALUE(MID(H471, SEARCH("(",H471)+1, 1)),0))), IF(L471="Yes", 0, IF(K471="", 0, IFERROR(VALUE(MID(K471, SEARCH("(",K471)+1, 1)),0))), IF(O471="Yes", 0, IF(N471="", 0, IFERROR(VALUE(MID(N471, SEARCH("(",N471)+1, 1)),0))), IF(R471="Yes", 0, IF(Q471="", 0, IFERROR(VALUE(MID(Q471, SEARCH("(",Q471)+1, 1)),0)))))</f>
        <v/>
      </c>
      <c r="U471">
        <f>IF(A471="","", IF(T471&gt;=5, "Priority 1 (Critical)", IF(T471&gt;=3, "Priority 2 (Major)", IF(T471&gt;=1, "Priority 3 (Minor)", "Pass/Fixed"))))</f>
        <v/>
      </c>
      <c r="V471">
        <f>IF(A471="","", IF(T471&gt;0, "FAIL", "PASS"))</f>
        <v/>
      </c>
    </row>
    <row r="472">
      <c r="A472">
        <f>IF('Equipment Information'!A472="","", 'Equipment Information'!A472)</f>
        <v/>
      </c>
      <c r="B472">
        <f>IF('Equipment Information'!B472="","", 'Equipment Information'!B472)</f>
        <v/>
      </c>
      <c r="C472">
        <f>IF('Equipment Information'!C472="","", 'Equipment Information'!C472)</f>
        <v/>
      </c>
      <c r="E472">
        <f>IF(D472="","", IFERROR(VLOOKUP(D472, 'Hidden_Data'!M:N, 2, FALSE), "0"))</f>
        <v/>
      </c>
      <c r="H472">
        <f>IF(G472="","", IFERROR(VLOOKUP(G472, 'Hidden_Data'!M:N, 2, FALSE), "0"))</f>
        <v/>
      </c>
      <c r="K472">
        <f>IF(J472="","", IFERROR(VLOOKUP(J472, 'Hidden_Data'!M:N, 2, FALSE), "0"))</f>
        <v/>
      </c>
      <c r="N472">
        <f>IF(M472="","", IFERROR(VLOOKUP(M472, 'Hidden_Data'!M:N, 2, FALSE), "0"))</f>
        <v/>
      </c>
      <c r="Q472">
        <f>IF(P472="","", IFERROR(VLOOKUP(P472, 'Hidden_Data'!M:N, 2, FALSE), "0"))</f>
        <v/>
      </c>
      <c r="T472">
        <f>IF(A472="","", SUM(IF(F472="Yes", 0, IF(E472="", 0, IFERROR(VALUE(MID(E472, SEARCH("(",E472)+1, 1)),0))), IF(I472="Yes", 0, IF(H472="", 0, IFERROR(VALUE(MID(H472, SEARCH("(",H472)+1, 1)),0))), IF(L472="Yes", 0, IF(K472="", 0, IFERROR(VALUE(MID(K472, SEARCH("(",K472)+1, 1)),0))), IF(O472="Yes", 0, IF(N472="", 0, IFERROR(VALUE(MID(N472, SEARCH("(",N472)+1, 1)),0))), IF(R472="Yes", 0, IF(Q472="", 0, IFERROR(VALUE(MID(Q472, SEARCH("(",Q472)+1, 1)),0)))))</f>
        <v/>
      </c>
      <c r="U472">
        <f>IF(A472="","", IF(T472&gt;=5, "Priority 1 (Critical)", IF(T472&gt;=3, "Priority 2 (Major)", IF(T472&gt;=1, "Priority 3 (Minor)", "Pass/Fixed"))))</f>
        <v/>
      </c>
      <c r="V472">
        <f>IF(A472="","", IF(T472&gt;0, "FAIL", "PASS"))</f>
        <v/>
      </c>
    </row>
    <row r="473">
      <c r="A473">
        <f>IF('Equipment Information'!A473="","", 'Equipment Information'!A473)</f>
        <v/>
      </c>
      <c r="B473">
        <f>IF('Equipment Information'!B473="","", 'Equipment Information'!B473)</f>
        <v/>
      </c>
      <c r="C473">
        <f>IF('Equipment Information'!C473="","", 'Equipment Information'!C473)</f>
        <v/>
      </c>
      <c r="E473">
        <f>IF(D473="","", IFERROR(VLOOKUP(D473, 'Hidden_Data'!M:N, 2, FALSE), "0"))</f>
        <v/>
      </c>
      <c r="H473">
        <f>IF(G473="","", IFERROR(VLOOKUP(G473, 'Hidden_Data'!M:N, 2, FALSE), "0"))</f>
        <v/>
      </c>
      <c r="K473">
        <f>IF(J473="","", IFERROR(VLOOKUP(J473, 'Hidden_Data'!M:N, 2, FALSE), "0"))</f>
        <v/>
      </c>
      <c r="N473">
        <f>IF(M473="","", IFERROR(VLOOKUP(M473, 'Hidden_Data'!M:N, 2, FALSE), "0"))</f>
        <v/>
      </c>
      <c r="Q473">
        <f>IF(P473="","", IFERROR(VLOOKUP(P473, 'Hidden_Data'!M:N, 2, FALSE), "0"))</f>
        <v/>
      </c>
      <c r="T473">
        <f>IF(A473="","", SUM(IF(F473="Yes", 0, IF(E473="", 0, IFERROR(VALUE(MID(E473, SEARCH("(",E473)+1, 1)),0))), IF(I473="Yes", 0, IF(H473="", 0, IFERROR(VALUE(MID(H473, SEARCH("(",H473)+1, 1)),0))), IF(L473="Yes", 0, IF(K473="", 0, IFERROR(VALUE(MID(K473, SEARCH("(",K473)+1, 1)),0))), IF(O473="Yes", 0, IF(N473="", 0, IFERROR(VALUE(MID(N473, SEARCH("(",N473)+1, 1)),0))), IF(R473="Yes", 0, IF(Q473="", 0, IFERROR(VALUE(MID(Q473, SEARCH("(",Q473)+1, 1)),0)))))</f>
        <v/>
      </c>
      <c r="U473">
        <f>IF(A473="","", IF(T473&gt;=5, "Priority 1 (Critical)", IF(T473&gt;=3, "Priority 2 (Major)", IF(T473&gt;=1, "Priority 3 (Minor)", "Pass/Fixed"))))</f>
        <v/>
      </c>
      <c r="V473">
        <f>IF(A473="","", IF(T473&gt;0, "FAIL", "PASS"))</f>
        <v/>
      </c>
    </row>
    <row r="474">
      <c r="A474">
        <f>IF('Equipment Information'!A474="","", 'Equipment Information'!A474)</f>
        <v/>
      </c>
      <c r="B474">
        <f>IF('Equipment Information'!B474="","", 'Equipment Information'!B474)</f>
        <v/>
      </c>
      <c r="C474">
        <f>IF('Equipment Information'!C474="","", 'Equipment Information'!C474)</f>
        <v/>
      </c>
      <c r="E474">
        <f>IF(D474="","", IFERROR(VLOOKUP(D474, 'Hidden_Data'!M:N, 2, FALSE), "0"))</f>
        <v/>
      </c>
      <c r="H474">
        <f>IF(G474="","", IFERROR(VLOOKUP(G474, 'Hidden_Data'!M:N, 2, FALSE), "0"))</f>
        <v/>
      </c>
      <c r="K474">
        <f>IF(J474="","", IFERROR(VLOOKUP(J474, 'Hidden_Data'!M:N, 2, FALSE), "0"))</f>
        <v/>
      </c>
      <c r="N474">
        <f>IF(M474="","", IFERROR(VLOOKUP(M474, 'Hidden_Data'!M:N, 2, FALSE), "0"))</f>
        <v/>
      </c>
      <c r="Q474">
        <f>IF(P474="","", IFERROR(VLOOKUP(P474, 'Hidden_Data'!M:N, 2, FALSE), "0"))</f>
        <v/>
      </c>
      <c r="T474">
        <f>IF(A474="","", SUM(IF(F474="Yes", 0, IF(E474="", 0, IFERROR(VALUE(MID(E474, SEARCH("(",E474)+1, 1)),0))), IF(I474="Yes", 0, IF(H474="", 0, IFERROR(VALUE(MID(H474, SEARCH("(",H474)+1, 1)),0))), IF(L474="Yes", 0, IF(K474="", 0, IFERROR(VALUE(MID(K474, SEARCH("(",K474)+1, 1)),0))), IF(O474="Yes", 0, IF(N474="", 0, IFERROR(VALUE(MID(N474, SEARCH("(",N474)+1, 1)),0))), IF(R474="Yes", 0, IF(Q474="", 0, IFERROR(VALUE(MID(Q474, SEARCH("(",Q474)+1, 1)),0)))))</f>
        <v/>
      </c>
      <c r="U474">
        <f>IF(A474="","", IF(T474&gt;=5, "Priority 1 (Critical)", IF(T474&gt;=3, "Priority 2 (Major)", IF(T474&gt;=1, "Priority 3 (Minor)", "Pass/Fixed"))))</f>
        <v/>
      </c>
      <c r="V474">
        <f>IF(A474="","", IF(T474&gt;0, "FAIL", "PASS"))</f>
        <v/>
      </c>
    </row>
    <row r="475">
      <c r="A475">
        <f>IF('Equipment Information'!A475="","", 'Equipment Information'!A475)</f>
        <v/>
      </c>
      <c r="B475">
        <f>IF('Equipment Information'!B475="","", 'Equipment Information'!B475)</f>
        <v/>
      </c>
      <c r="C475">
        <f>IF('Equipment Information'!C475="","", 'Equipment Information'!C475)</f>
        <v/>
      </c>
      <c r="E475">
        <f>IF(D475="","", IFERROR(VLOOKUP(D475, 'Hidden_Data'!M:N, 2, FALSE), "0"))</f>
        <v/>
      </c>
      <c r="H475">
        <f>IF(G475="","", IFERROR(VLOOKUP(G475, 'Hidden_Data'!M:N, 2, FALSE), "0"))</f>
        <v/>
      </c>
      <c r="K475">
        <f>IF(J475="","", IFERROR(VLOOKUP(J475, 'Hidden_Data'!M:N, 2, FALSE), "0"))</f>
        <v/>
      </c>
      <c r="N475">
        <f>IF(M475="","", IFERROR(VLOOKUP(M475, 'Hidden_Data'!M:N, 2, FALSE), "0"))</f>
        <v/>
      </c>
      <c r="Q475">
        <f>IF(P475="","", IFERROR(VLOOKUP(P475, 'Hidden_Data'!M:N, 2, FALSE), "0"))</f>
        <v/>
      </c>
      <c r="T475">
        <f>IF(A475="","", SUM(IF(F475="Yes", 0, IF(E475="", 0, IFERROR(VALUE(MID(E475, SEARCH("(",E475)+1, 1)),0))), IF(I475="Yes", 0, IF(H475="", 0, IFERROR(VALUE(MID(H475, SEARCH("(",H475)+1, 1)),0))), IF(L475="Yes", 0, IF(K475="", 0, IFERROR(VALUE(MID(K475, SEARCH("(",K475)+1, 1)),0))), IF(O475="Yes", 0, IF(N475="", 0, IFERROR(VALUE(MID(N475, SEARCH("(",N475)+1, 1)),0))), IF(R475="Yes", 0, IF(Q475="", 0, IFERROR(VALUE(MID(Q475, SEARCH("(",Q475)+1, 1)),0)))))</f>
        <v/>
      </c>
      <c r="U475">
        <f>IF(A475="","", IF(T475&gt;=5, "Priority 1 (Critical)", IF(T475&gt;=3, "Priority 2 (Major)", IF(T475&gt;=1, "Priority 3 (Minor)", "Pass/Fixed"))))</f>
        <v/>
      </c>
      <c r="V475">
        <f>IF(A475="","", IF(T475&gt;0, "FAIL", "PASS"))</f>
        <v/>
      </c>
    </row>
    <row r="476">
      <c r="A476">
        <f>IF('Equipment Information'!A476="","", 'Equipment Information'!A476)</f>
        <v/>
      </c>
      <c r="B476">
        <f>IF('Equipment Information'!B476="","", 'Equipment Information'!B476)</f>
        <v/>
      </c>
      <c r="C476">
        <f>IF('Equipment Information'!C476="","", 'Equipment Information'!C476)</f>
        <v/>
      </c>
      <c r="E476">
        <f>IF(D476="","", IFERROR(VLOOKUP(D476, 'Hidden_Data'!M:N, 2, FALSE), "0"))</f>
        <v/>
      </c>
      <c r="H476">
        <f>IF(G476="","", IFERROR(VLOOKUP(G476, 'Hidden_Data'!M:N, 2, FALSE), "0"))</f>
        <v/>
      </c>
      <c r="K476">
        <f>IF(J476="","", IFERROR(VLOOKUP(J476, 'Hidden_Data'!M:N, 2, FALSE), "0"))</f>
        <v/>
      </c>
      <c r="N476">
        <f>IF(M476="","", IFERROR(VLOOKUP(M476, 'Hidden_Data'!M:N, 2, FALSE), "0"))</f>
        <v/>
      </c>
      <c r="Q476">
        <f>IF(P476="","", IFERROR(VLOOKUP(P476, 'Hidden_Data'!M:N, 2, FALSE), "0"))</f>
        <v/>
      </c>
      <c r="T476">
        <f>IF(A476="","", SUM(IF(F476="Yes", 0, IF(E476="", 0, IFERROR(VALUE(MID(E476, SEARCH("(",E476)+1, 1)),0))), IF(I476="Yes", 0, IF(H476="", 0, IFERROR(VALUE(MID(H476, SEARCH("(",H476)+1, 1)),0))), IF(L476="Yes", 0, IF(K476="", 0, IFERROR(VALUE(MID(K476, SEARCH("(",K476)+1, 1)),0))), IF(O476="Yes", 0, IF(N476="", 0, IFERROR(VALUE(MID(N476, SEARCH("(",N476)+1, 1)),0))), IF(R476="Yes", 0, IF(Q476="", 0, IFERROR(VALUE(MID(Q476, SEARCH("(",Q476)+1, 1)),0)))))</f>
        <v/>
      </c>
      <c r="U476">
        <f>IF(A476="","", IF(T476&gt;=5, "Priority 1 (Critical)", IF(T476&gt;=3, "Priority 2 (Major)", IF(T476&gt;=1, "Priority 3 (Minor)", "Pass/Fixed"))))</f>
        <v/>
      </c>
      <c r="V476">
        <f>IF(A476="","", IF(T476&gt;0, "FAIL", "PASS"))</f>
        <v/>
      </c>
    </row>
    <row r="477">
      <c r="A477">
        <f>IF('Equipment Information'!A477="","", 'Equipment Information'!A477)</f>
        <v/>
      </c>
      <c r="B477">
        <f>IF('Equipment Information'!B477="","", 'Equipment Information'!B477)</f>
        <v/>
      </c>
      <c r="C477">
        <f>IF('Equipment Information'!C477="","", 'Equipment Information'!C477)</f>
        <v/>
      </c>
      <c r="E477">
        <f>IF(D477="","", IFERROR(VLOOKUP(D477, 'Hidden_Data'!M:N, 2, FALSE), "0"))</f>
        <v/>
      </c>
      <c r="H477">
        <f>IF(G477="","", IFERROR(VLOOKUP(G477, 'Hidden_Data'!M:N, 2, FALSE), "0"))</f>
        <v/>
      </c>
      <c r="K477">
        <f>IF(J477="","", IFERROR(VLOOKUP(J477, 'Hidden_Data'!M:N, 2, FALSE), "0"))</f>
        <v/>
      </c>
      <c r="N477">
        <f>IF(M477="","", IFERROR(VLOOKUP(M477, 'Hidden_Data'!M:N, 2, FALSE), "0"))</f>
        <v/>
      </c>
      <c r="Q477">
        <f>IF(P477="","", IFERROR(VLOOKUP(P477, 'Hidden_Data'!M:N, 2, FALSE), "0"))</f>
        <v/>
      </c>
      <c r="T477">
        <f>IF(A477="","", SUM(IF(F477="Yes", 0, IF(E477="", 0, IFERROR(VALUE(MID(E477, SEARCH("(",E477)+1, 1)),0))), IF(I477="Yes", 0, IF(H477="", 0, IFERROR(VALUE(MID(H477, SEARCH("(",H477)+1, 1)),0))), IF(L477="Yes", 0, IF(K477="", 0, IFERROR(VALUE(MID(K477, SEARCH("(",K477)+1, 1)),0))), IF(O477="Yes", 0, IF(N477="", 0, IFERROR(VALUE(MID(N477, SEARCH("(",N477)+1, 1)),0))), IF(R477="Yes", 0, IF(Q477="", 0, IFERROR(VALUE(MID(Q477, SEARCH("(",Q477)+1, 1)),0)))))</f>
        <v/>
      </c>
      <c r="U477">
        <f>IF(A477="","", IF(T477&gt;=5, "Priority 1 (Critical)", IF(T477&gt;=3, "Priority 2 (Major)", IF(T477&gt;=1, "Priority 3 (Minor)", "Pass/Fixed"))))</f>
        <v/>
      </c>
      <c r="V477">
        <f>IF(A477="","", IF(T477&gt;0, "FAIL", "PASS"))</f>
        <v/>
      </c>
    </row>
    <row r="478">
      <c r="A478">
        <f>IF('Equipment Information'!A478="","", 'Equipment Information'!A478)</f>
        <v/>
      </c>
      <c r="B478">
        <f>IF('Equipment Information'!B478="","", 'Equipment Information'!B478)</f>
        <v/>
      </c>
      <c r="C478">
        <f>IF('Equipment Information'!C478="","", 'Equipment Information'!C478)</f>
        <v/>
      </c>
      <c r="E478">
        <f>IF(D478="","", IFERROR(VLOOKUP(D478, 'Hidden_Data'!M:N, 2, FALSE), "0"))</f>
        <v/>
      </c>
      <c r="H478">
        <f>IF(G478="","", IFERROR(VLOOKUP(G478, 'Hidden_Data'!M:N, 2, FALSE), "0"))</f>
        <v/>
      </c>
      <c r="K478">
        <f>IF(J478="","", IFERROR(VLOOKUP(J478, 'Hidden_Data'!M:N, 2, FALSE), "0"))</f>
        <v/>
      </c>
      <c r="N478">
        <f>IF(M478="","", IFERROR(VLOOKUP(M478, 'Hidden_Data'!M:N, 2, FALSE), "0"))</f>
        <v/>
      </c>
      <c r="Q478">
        <f>IF(P478="","", IFERROR(VLOOKUP(P478, 'Hidden_Data'!M:N, 2, FALSE), "0"))</f>
        <v/>
      </c>
      <c r="T478">
        <f>IF(A478="","", SUM(IF(F478="Yes", 0, IF(E478="", 0, IFERROR(VALUE(MID(E478, SEARCH("(",E478)+1, 1)),0))), IF(I478="Yes", 0, IF(H478="", 0, IFERROR(VALUE(MID(H478, SEARCH("(",H478)+1, 1)),0))), IF(L478="Yes", 0, IF(K478="", 0, IFERROR(VALUE(MID(K478, SEARCH("(",K478)+1, 1)),0))), IF(O478="Yes", 0, IF(N478="", 0, IFERROR(VALUE(MID(N478, SEARCH("(",N478)+1, 1)),0))), IF(R478="Yes", 0, IF(Q478="", 0, IFERROR(VALUE(MID(Q478, SEARCH("(",Q478)+1, 1)),0)))))</f>
        <v/>
      </c>
      <c r="U478">
        <f>IF(A478="","", IF(T478&gt;=5, "Priority 1 (Critical)", IF(T478&gt;=3, "Priority 2 (Major)", IF(T478&gt;=1, "Priority 3 (Minor)", "Pass/Fixed"))))</f>
        <v/>
      </c>
      <c r="V478">
        <f>IF(A478="","", IF(T478&gt;0, "FAIL", "PASS"))</f>
        <v/>
      </c>
    </row>
    <row r="479">
      <c r="A479">
        <f>IF('Equipment Information'!A479="","", 'Equipment Information'!A479)</f>
        <v/>
      </c>
      <c r="B479">
        <f>IF('Equipment Information'!B479="","", 'Equipment Information'!B479)</f>
        <v/>
      </c>
      <c r="C479">
        <f>IF('Equipment Information'!C479="","", 'Equipment Information'!C479)</f>
        <v/>
      </c>
      <c r="E479">
        <f>IF(D479="","", IFERROR(VLOOKUP(D479, 'Hidden_Data'!M:N, 2, FALSE), "0"))</f>
        <v/>
      </c>
      <c r="H479">
        <f>IF(G479="","", IFERROR(VLOOKUP(G479, 'Hidden_Data'!M:N, 2, FALSE), "0"))</f>
        <v/>
      </c>
      <c r="K479">
        <f>IF(J479="","", IFERROR(VLOOKUP(J479, 'Hidden_Data'!M:N, 2, FALSE), "0"))</f>
        <v/>
      </c>
      <c r="N479">
        <f>IF(M479="","", IFERROR(VLOOKUP(M479, 'Hidden_Data'!M:N, 2, FALSE), "0"))</f>
        <v/>
      </c>
      <c r="Q479">
        <f>IF(P479="","", IFERROR(VLOOKUP(P479, 'Hidden_Data'!M:N, 2, FALSE), "0"))</f>
        <v/>
      </c>
      <c r="T479">
        <f>IF(A479="","", SUM(IF(F479="Yes", 0, IF(E479="", 0, IFERROR(VALUE(MID(E479, SEARCH("(",E479)+1, 1)),0))), IF(I479="Yes", 0, IF(H479="", 0, IFERROR(VALUE(MID(H479, SEARCH("(",H479)+1, 1)),0))), IF(L479="Yes", 0, IF(K479="", 0, IFERROR(VALUE(MID(K479, SEARCH("(",K479)+1, 1)),0))), IF(O479="Yes", 0, IF(N479="", 0, IFERROR(VALUE(MID(N479, SEARCH("(",N479)+1, 1)),0))), IF(R479="Yes", 0, IF(Q479="", 0, IFERROR(VALUE(MID(Q479, SEARCH("(",Q479)+1, 1)),0)))))</f>
        <v/>
      </c>
      <c r="U479">
        <f>IF(A479="","", IF(T479&gt;=5, "Priority 1 (Critical)", IF(T479&gt;=3, "Priority 2 (Major)", IF(T479&gt;=1, "Priority 3 (Minor)", "Pass/Fixed"))))</f>
        <v/>
      </c>
      <c r="V479">
        <f>IF(A479="","", IF(T479&gt;0, "FAIL", "PASS"))</f>
        <v/>
      </c>
    </row>
    <row r="480">
      <c r="A480">
        <f>IF('Equipment Information'!A480="","", 'Equipment Information'!A480)</f>
        <v/>
      </c>
      <c r="B480">
        <f>IF('Equipment Information'!B480="","", 'Equipment Information'!B480)</f>
        <v/>
      </c>
      <c r="C480">
        <f>IF('Equipment Information'!C480="","", 'Equipment Information'!C480)</f>
        <v/>
      </c>
      <c r="E480">
        <f>IF(D480="","", IFERROR(VLOOKUP(D480, 'Hidden_Data'!M:N, 2, FALSE), "0"))</f>
        <v/>
      </c>
      <c r="H480">
        <f>IF(G480="","", IFERROR(VLOOKUP(G480, 'Hidden_Data'!M:N, 2, FALSE), "0"))</f>
        <v/>
      </c>
      <c r="K480">
        <f>IF(J480="","", IFERROR(VLOOKUP(J480, 'Hidden_Data'!M:N, 2, FALSE), "0"))</f>
        <v/>
      </c>
      <c r="N480">
        <f>IF(M480="","", IFERROR(VLOOKUP(M480, 'Hidden_Data'!M:N, 2, FALSE), "0"))</f>
        <v/>
      </c>
      <c r="Q480">
        <f>IF(P480="","", IFERROR(VLOOKUP(P480, 'Hidden_Data'!M:N, 2, FALSE), "0"))</f>
        <v/>
      </c>
      <c r="T480">
        <f>IF(A480="","", SUM(IF(F480="Yes", 0, IF(E480="", 0, IFERROR(VALUE(MID(E480, SEARCH("(",E480)+1, 1)),0))), IF(I480="Yes", 0, IF(H480="", 0, IFERROR(VALUE(MID(H480, SEARCH("(",H480)+1, 1)),0))), IF(L480="Yes", 0, IF(K480="", 0, IFERROR(VALUE(MID(K480, SEARCH("(",K480)+1, 1)),0))), IF(O480="Yes", 0, IF(N480="", 0, IFERROR(VALUE(MID(N480, SEARCH("(",N480)+1, 1)),0))), IF(R480="Yes", 0, IF(Q480="", 0, IFERROR(VALUE(MID(Q480, SEARCH("(",Q480)+1, 1)),0)))))</f>
        <v/>
      </c>
      <c r="U480">
        <f>IF(A480="","", IF(T480&gt;=5, "Priority 1 (Critical)", IF(T480&gt;=3, "Priority 2 (Major)", IF(T480&gt;=1, "Priority 3 (Minor)", "Pass/Fixed"))))</f>
        <v/>
      </c>
      <c r="V480">
        <f>IF(A480="","", IF(T480&gt;0, "FAIL", "PASS"))</f>
        <v/>
      </c>
    </row>
    <row r="481">
      <c r="A481">
        <f>IF('Equipment Information'!A481="","", 'Equipment Information'!A481)</f>
        <v/>
      </c>
      <c r="B481">
        <f>IF('Equipment Information'!B481="","", 'Equipment Information'!B481)</f>
        <v/>
      </c>
      <c r="C481">
        <f>IF('Equipment Information'!C481="","", 'Equipment Information'!C481)</f>
        <v/>
      </c>
      <c r="E481">
        <f>IF(D481="","", IFERROR(VLOOKUP(D481, 'Hidden_Data'!M:N, 2, FALSE), "0"))</f>
        <v/>
      </c>
      <c r="H481">
        <f>IF(G481="","", IFERROR(VLOOKUP(G481, 'Hidden_Data'!M:N, 2, FALSE), "0"))</f>
        <v/>
      </c>
      <c r="K481">
        <f>IF(J481="","", IFERROR(VLOOKUP(J481, 'Hidden_Data'!M:N, 2, FALSE), "0"))</f>
        <v/>
      </c>
      <c r="N481">
        <f>IF(M481="","", IFERROR(VLOOKUP(M481, 'Hidden_Data'!M:N, 2, FALSE), "0"))</f>
        <v/>
      </c>
      <c r="Q481">
        <f>IF(P481="","", IFERROR(VLOOKUP(P481, 'Hidden_Data'!M:N, 2, FALSE), "0"))</f>
        <v/>
      </c>
      <c r="T481">
        <f>IF(A481="","", SUM(IF(F481="Yes", 0, IF(E481="", 0, IFERROR(VALUE(MID(E481, SEARCH("(",E481)+1, 1)),0))), IF(I481="Yes", 0, IF(H481="", 0, IFERROR(VALUE(MID(H481, SEARCH("(",H481)+1, 1)),0))), IF(L481="Yes", 0, IF(K481="", 0, IFERROR(VALUE(MID(K481, SEARCH("(",K481)+1, 1)),0))), IF(O481="Yes", 0, IF(N481="", 0, IFERROR(VALUE(MID(N481, SEARCH("(",N481)+1, 1)),0))), IF(R481="Yes", 0, IF(Q481="", 0, IFERROR(VALUE(MID(Q481, SEARCH("(",Q481)+1, 1)),0)))))</f>
        <v/>
      </c>
      <c r="U481">
        <f>IF(A481="","", IF(T481&gt;=5, "Priority 1 (Critical)", IF(T481&gt;=3, "Priority 2 (Major)", IF(T481&gt;=1, "Priority 3 (Minor)", "Pass/Fixed"))))</f>
        <v/>
      </c>
      <c r="V481">
        <f>IF(A481="","", IF(T481&gt;0, "FAIL", "PASS"))</f>
        <v/>
      </c>
    </row>
    <row r="482">
      <c r="A482">
        <f>IF('Equipment Information'!A482="","", 'Equipment Information'!A482)</f>
        <v/>
      </c>
      <c r="B482">
        <f>IF('Equipment Information'!B482="","", 'Equipment Information'!B482)</f>
        <v/>
      </c>
      <c r="C482">
        <f>IF('Equipment Information'!C482="","", 'Equipment Information'!C482)</f>
        <v/>
      </c>
      <c r="E482">
        <f>IF(D482="","", IFERROR(VLOOKUP(D482, 'Hidden_Data'!M:N, 2, FALSE), "0"))</f>
        <v/>
      </c>
      <c r="H482">
        <f>IF(G482="","", IFERROR(VLOOKUP(G482, 'Hidden_Data'!M:N, 2, FALSE), "0"))</f>
        <v/>
      </c>
      <c r="K482">
        <f>IF(J482="","", IFERROR(VLOOKUP(J482, 'Hidden_Data'!M:N, 2, FALSE), "0"))</f>
        <v/>
      </c>
      <c r="N482">
        <f>IF(M482="","", IFERROR(VLOOKUP(M482, 'Hidden_Data'!M:N, 2, FALSE), "0"))</f>
        <v/>
      </c>
      <c r="Q482">
        <f>IF(P482="","", IFERROR(VLOOKUP(P482, 'Hidden_Data'!M:N, 2, FALSE), "0"))</f>
        <v/>
      </c>
      <c r="T482">
        <f>IF(A482="","", SUM(IF(F482="Yes", 0, IF(E482="", 0, IFERROR(VALUE(MID(E482, SEARCH("(",E482)+1, 1)),0))), IF(I482="Yes", 0, IF(H482="", 0, IFERROR(VALUE(MID(H482, SEARCH("(",H482)+1, 1)),0))), IF(L482="Yes", 0, IF(K482="", 0, IFERROR(VALUE(MID(K482, SEARCH("(",K482)+1, 1)),0))), IF(O482="Yes", 0, IF(N482="", 0, IFERROR(VALUE(MID(N482, SEARCH("(",N482)+1, 1)),0))), IF(R482="Yes", 0, IF(Q482="", 0, IFERROR(VALUE(MID(Q482, SEARCH("(",Q482)+1, 1)),0)))))</f>
        <v/>
      </c>
      <c r="U482">
        <f>IF(A482="","", IF(T482&gt;=5, "Priority 1 (Critical)", IF(T482&gt;=3, "Priority 2 (Major)", IF(T482&gt;=1, "Priority 3 (Minor)", "Pass/Fixed"))))</f>
        <v/>
      </c>
      <c r="V482">
        <f>IF(A482="","", IF(T482&gt;0, "FAIL", "PASS"))</f>
        <v/>
      </c>
    </row>
    <row r="483">
      <c r="A483">
        <f>IF('Equipment Information'!A483="","", 'Equipment Information'!A483)</f>
        <v/>
      </c>
      <c r="B483">
        <f>IF('Equipment Information'!B483="","", 'Equipment Information'!B483)</f>
        <v/>
      </c>
      <c r="C483">
        <f>IF('Equipment Information'!C483="","", 'Equipment Information'!C483)</f>
        <v/>
      </c>
      <c r="E483">
        <f>IF(D483="","", IFERROR(VLOOKUP(D483, 'Hidden_Data'!M:N, 2, FALSE), "0"))</f>
        <v/>
      </c>
      <c r="H483">
        <f>IF(G483="","", IFERROR(VLOOKUP(G483, 'Hidden_Data'!M:N, 2, FALSE), "0"))</f>
        <v/>
      </c>
      <c r="K483">
        <f>IF(J483="","", IFERROR(VLOOKUP(J483, 'Hidden_Data'!M:N, 2, FALSE), "0"))</f>
        <v/>
      </c>
      <c r="N483">
        <f>IF(M483="","", IFERROR(VLOOKUP(M483, 'Hidden_Data'!M:N, 2, FALSE), "0"))</f>
        <v/>
      </c>
      <c r="Q483">
        <f>IF(P483="","", IFERROR(VLOOKUP(P483, 'Hidden_Data'!M:N, 2, FALSE), "0"))</f>
        <v/>
      </c>
      <c r="T483">
        <f>IF(A483="","", SUM(IF(F483="Yes", 0, IF(E483="", 0, IFERROR(VALUE(MID(E483, SEARCH("(",E483)+1, 1)),0))), IF(I483="Yes", 0, IF(H483="", 0, IFERROR(VALUE(MID(H483, SEARCH("(",H483)+1, 1)),0))), IF(L483="Yes", 0, IF(K483="", 0, IFERROR(VALUE(MID(K483, SEARCH("(",K483)+1, 1)),0))), IF(O483="Yes", 0, IF(N483="", 0, IFERROR(VALUE(MID(N483, SEARCH("(",N483)+1, 1)),0))), IF(R483="Yes", 0, IF(Q483="", 0, IFERROR(VALUE(MID(Q483, SEARCH("(",Q483)+1, 1)),0)))))</f>
        <v/>
      </c>
      <c r="U483">
        <f>IF(A483="","", IF(T483&gt;=5, "Priority 1 (Critical)", IF(T483&gt;=3, "Priority 2 (Major)", IF(T483&gt;=1, "Priority 3 (Minor)", "Pass/Fixed"))))</f>
        <v/>
      </c>
      <c r="V483">
        <f>IF(A483="","", IF(T483&gt;0, "FAIL", "PASS"))</f>
        <v/>
      </c>
    </row>
    <row r="484">
      <c r="A484">
        <f>IF('Equipment Information'!A484="","", 'Equipment Information'!A484)</f>
        <v/>
      </c>
      <c r="B484">
        <f>IF('Equipment Information'!B484="","", 'Equipment Information'!B484)</f>
        <v/>
      </c>
      <c r="C484">
        <f>IF('Equipment Information'!C484="","", 'Equipment Information'!C484)</f>
        <v/>
      </c>
      <c r="E484">
        <f>IF(D484="","", IFERROR(VLOOKUP(D484, 'Hidden_Data'!M:N, 2, FALSE), "0"))</f>
        <v/>
      </c>
      <c r="H484">
        <f>IF(G484="","", IFERROR(VLOOKUP(G484, 'Hidden_Data'!M:N, 2, FALSE), "0"))</f>
        <v/>
      </c>
      <c r="K484">
        <f>IF(J484="","", IFERROR(VLOOKUP(J484, 'Hidden_Data'!M:N, 2, FALSE), "0"))</f>
        <v/>
      </c>
      <c r="N484">
        <f>IF(M484="","", IFERROR(VLOOKUP(M484, 'Hidden_Data'!M:N, 2, FALSE), "0"))</f>
        <v/>
      </c>
      <c r="Q484">
        <f>IF(P484="","", IFERROR(VLOOKUP(P484, 'Hidden_Data'!M:N, 2, FALSE), "0"))</f>
        <v/>
      </c>
      <c r="T484">
        <f>IF(A484="","", SUM(IF(F484="Yes", 0, IF(E484="", 0, IFERROR(VALUE(MID(E484, SEARCH("(",E484)+1, 1)),0))), IF(I484="Yes", 0, IF(H484="", 0, IFERROR(VALUE(MID(H484, SEARCH("(",H484)+1, 1)),0))), IF(L484="Yes", 0, IF(K484="", 0, IFERROR(VALUE(MID(K484, SEARCH("(",K484)+1, 1)),0))), IF(O484="Yes", 0, IF(N484="", 0, IFERROR(VALUE(MID(N484, SEARCH("(",N484)+1, 1)),0))), IF(R484="Yes", 0, IF(Q484="", 0, IFERROR(VALUE(MID(Q484, SEARCH("(",Q484)+1, 1)),0)))))</f>
        <v/>
      </c>
      <c r="U484">
        <f>IF(A484="","", IF(T484&gt;=5, "Priority 1 (Critical)", IF(T484&gt;=3, "Priority 2 (Major)", IF(T484&gt;=1, "Priority 3 (Minor)", "Pass/Fixed"))))</f>
        <v/>
      </c>
      <c r="V484">
        <f>IF(A484="","", IF(T484&gt;0, "FAIL", "PASS"))</f>
        <v/>
      </c>
    </row>
    <row r="485">
      <c r="A485">
        <f>IF('Equipment Information'!A485="","", 'Equipment Information'!A485)</f>
        <v/>
      </c>
      <c r="B485">
        <f>IF('Equipment Information'!B485="","", 'Equipment Information'!B485)</f>
        <v/>
      </c>
      <c r="C485">
        <f>IF('Equipment Information'!C485="","", 'Equipment Information'!C485)</f>
        <v/>
      </c>
      <c r="E485">
        <f>IF(D485="","", IFERROR(VLOOKUP(D485, 'Hidden_Data'!M:N, 2, FALSE), "0"))</f>
        <v/>
      </c>
      <c r="H485">
        <f>IF(G485="","", IFERROR(VLOOKUP(G485, 'Hidden_Data'!M:N, 2, FALSE), "0"))</f>
        <v/>
      </c>
      <c r="K485">
        <f>IF(J485="","", IFERROR(VLOOKUP(J485, 'Hidden_Data'!M:N, 2, FALSE), "0"))</f>
        <v/>
      </c>
      <c r="N485">
        <f>IF(M485="","", IFERROR(VLOOKUP(M485, 'Hidden_Data'!M:N, 2, FALSE), "0"))</f>
        <v/>
      </c>
      <c r="Q485">
        <f>IF(P485="","", IFERROR(VLOOKUP(P485, 'Hidden_Data'!M:N, 2, FALSE), "0"))</f>
        <v/>
      </c>
      <c r="T485">
        <f>IF(A485="","", SUM(IF(F485="Yes", 0, IF(E485="", 0, IFERROR(VALUE(MID(E485, SEARCH("(",E485)+1, 1)),0))), IF(I485="Yes", 0, IF(H485="", 0, IFERROR(VALUE(MID(H485, SEARCH("(",H485)+1, 1)),0))), IF(L485="Yes", 0, IF(K485="", 0, IFERROR(VALUE(MID(K485, SEARCH("(",K485)+1, 1)),0))), IF(O485="Yes", 0, IF(N485="", 0, IFERROR(VALUE(MID(N485, SEARCH("(",N485)+1, 1)),0))), IF(R485="Yes", 0, IF(Q485="", 0, IFERROR(VALUE(MID(Q485, SEARCH("(",Q485)+1, 1)),0)))))</f>
        <v/>
      </c>
      <c r="U485">
        <f>IF(A485="","", IF(T485&gt;=5, "Priority 1 (Critical)", IF(T485&gt;=3, "Priority 2 (Major)", IF(T485&gt;=1, "Priority 3 (Minor)", "Pass/Fixed"))))</f>
        <v/>
      </c>
      <c r="V485">
        <f>IF(A485="","", IF(T485&gt;0, "FAIL", "PASS"))</f>
        <v/>
      </c>
    </row>
    <row r="486">
      <c r="A486">
        <f>IF('Equipment Information'!A486="","", 'Equipment Information'!A486)</f>
        <v/>
      </c>
      <c r="B486">
        <f>IF('Equipment Information'!B486="","", 'Equipment Information'!B486)</f>
        <v/>
      </c>
      <c r="C486">
        <f>IF('Equipment Information'!C486="","", 'Equipment Information'!C486)</f>
        <v/>
      </c>
      <c r="E486">
        <f>IF(D486="","", IFERROR(VLOOKUP(D486, 'Hidden_Data'!M:N, 2, FALSE), "0"))</f>
        <v/>
      </c>
      <c r="H486">
        <f>IF(G486="","", IFERROR(VLOOKUP(G486, 'Hidden_Data'!M:N, 2, FALSE), "0"))</f>
        <v/>
      </c>
      <c r="K486">
        <f>IF(J486="","", IFERROR(VLOOKUP(J486, 'Hidden_Data'!M:N, 2, FALSE), "0"))</f>
        <v/>
      </c>
      <c r="N486">
        <f>IF(M486="","", IFERROR(VLOOKUP(M486, 'Hidden_Data'!M:N, 2, FALSE), "0"))</f>
        <v/>
      </c>
      <c r="Q486">
        <f>IF(P486="","", IFERROR(VLOOKUP(P486, 'Hidden_Data'!M:N, 2, FALSE), "0"))</f>
        <v/>
      </c>
      <c r="T486">
        <f>IF(A486="","", SUM(IF(F486="Yes", 0, IF(E486="", 0, IFERROR(VALUE(MID(E486, SEARCH("(",E486)+1, 1)),0))), IF(I486="Yes", 0, IF(H486="", 0, IFERROR(VALUE(MID(H486, SEARCH("(",H486)+1, 1)),0))), IF(L486="Yes", 0, IF(K486="", 0, IFERROR(VALUE(MID(K486, SEARCH("(",K486)+1, 1)),0))), IF(O486="Yes", 0, IF(N486="", 0, IFERROR(VALUE(MID(N486, SEARCH("(",N486)+1, 1)),0))), IF(R486="Yes", 0, IF(Q486="", 0, IFERROR(VALUE(MID(Q486, SEARCH("(",Q486)+1, 1)),0)))))</f>
        <v/>
      </c>
      <c r="U486">
        <f>IF(A486="","", IF(T486&gt;=5, "Priority 1 (Critical)", IF(T486&gt;=3, "Priority 2 (Major)", IF(T486&gt;=1, "Priority 3 (Minor)", "Pass/Fixed"))))</f>
        <v/>
      </c>
      <c r="V486">
        <f>IF(A486="","", IF(T486&gt;0, "FAIL", "PASS"))</f>
        <v/>
      </c>
    </row>
    <row r="487">
      <c r="A487">
        <f>IF('Equipment Information'!A487="","", 'Equipment Information'!A487)</f>
        <v/>
      </c>
      <c r="B487">
        <f>IF('Equipment Information'!B487="","", 'Equipment Information'!B487)</f>
        <v/>
      </c>
      <c r="C487">
        <f>IF('Equipment Information'!C487="","", 'Equipment Information'!C487)</f>
        <v/>
      </c>
      <c r="E487">
        <f>IF(D487="","", IFERROR(VLOOKUP(D487, 'Hidden_Data'!M:N, 2, FALSE), "0"))</f>
        <v/>
      </c>
      <c r="H487">
        <f>IF(G487="","", IFERROR(VLOOKUP(G487, 'Hidden_Data'!M:N, 2, FALSE), "0"))</f>
        <v/>
      </c>
      <c r="K487">
        <f>IF(J487="","", IFERROR(VLOOKUP(J487, 'Hidden_Data'!M:N, 2, FALSE), "0"))</f>
        <v/>
      </c>
      <c r="N487">
        <f>IF(M487="","", IFERROR(VLOOKUP(M487, 'Hidden_Data'!M:N, 2, FALSE), "0"))</f>
        <v/>
      </c>
      <c r="Q487">
        <f>IF(P487="","", IFERROR(VLOOKUP(P487, 'Hidden_Data'!M:N, 2, FALSE), "0"))</f>
        <v/>
      </c>
      <c r="T487">
        <f>IF(A487="","", SUM(IF(F487="Yes", 0, IF(E487="", 0, IFERROR(VALUE(MID(E487, SEARCH("(",E487)+1, 1)),0))), IF(I487="Yes", 0, IF(H487="", 0, IFERROR(VALUE(MID(H487, SEARCH("(",H487)+1, 1)),0))), IF(L487="Yes", 0, IF(K487="", 0, IFERROR(VALUE(MID(K487, SEARCH("(",K487)+1, 1)),0))), IF(O487="Yes", 0, IF(N487="", 0, IFERROR(VALUE(MID(N487, SEARCH("(",N487)+1, 1)),0))), IF(R487="Yes", 0, IF(Q487="", 0, IFERROR(VALUE(MID(Q487, SEARCH("(",Q487)+1, 1)),0)))))</f>
        <v/>
      </c>
      <c r="U487">
        <f>IF(A487="","", IF(T487&gt;=5, "Priority 1 (Critical)", IF(T487&gt;=3, "Priority 2 (Major)", IF(T487&gt;=1, "Priority 3 (Minor)", "Pass/Fixed"))))</f>
        <v/>
      </c>
      <c r="V487">
        <f>IF(A487="","", IF(T487&gt;0, "FAIL", "PASS"))</f>
        <v/>
      </c>
    </row>
    <row r="488">
      <c r="A488">
        <f>IF('Equipment Information'!A488="","", 'Equipment Information'!A488)</f>
        <v/>
      </c>
      <c r="B488">
        <f>IF('Equipment Information'!B488="","", 'Equipment Information'!B488)</f>
        <v/>
      </c>
      <c r="C488">
        <f>IF('Equipment Information'!C488="","", 'Equipment Information'!C488)</f>
        <v/>
      </c>
      <c r="E488">
        <f>IF(D488="","", IFERROR(VLOOKUP(D488, 'Hidden_Data'!M:N, 2, FALSE), "0"))</f>
        <v/>
      </c>
      <c r="H488">
        <f>IF(G488="","", IFERROR(VLOOKUP(G488, 'Hidden_Data'!M:N, 2, FALSE), "0"))</f>
        <v/>
      </c>
      <c r="K488">
        <f>IF(J488="","", IFERROR(VLOOKUP(J488, 'Hidden_Data'!M:N, 2, FALSE), "0"))</f>
        <v/>
      </c>
      <c r="N488">
        <f>IF(M488="","", IFERROR(VLOOKUP(M488, 'Hidden_Data'!M:N, 2, FALSE), "0"))</f>
        <v/>
      </c>
      <c r="Q488">
        <f>IF(P488="","", IFERROR(VLOOKUP(P488, 'Hidden_Data'!M:N, 2, FALSE), "0"))</f>
        <v/>
      </c>
      <c r="T488">
        <f>IF(A488="","", SUM(IF(F488="Yes", 0, IF(E488="", 0, IFERROR(VALUE(MID(E488, SEARCH("(",E488)+1, 1)),0))), IF(I488="Yes", 0, IF(H488="", 0, IFERROR(VALUE(MID(H488, SEARCH("(",H488)+1, 1)),0))), IF(L488="Yes", 0, IF(K488="", 0, IFERROR(VALUE(MID(K488, SEARCH("(",K488)+1, 1)),0))), IF(O488="Yes", 0, IF(N488="", 0, IFERROR(VALUE(MID(N488, SEARCH("(",N488)+1, 1)),0))), IF(R488="Yes", 0, IF(Q488="", 0, IFERROR(VALUE(MID(Q488, SEARCH("(",Q488)+1, 1)),0)))))</f>
        <v/>
      </c>
      <c r="U488">
        <f>IF(A488="","", IF(T488&gt;=5, "Priority 1 (Critical)", IF(T488&gt;=3, "Priority 2 (Major)", IF(T488&gt;=1, "Priority 3 (Minor)", "Pass/Fixed"))))</f>
        <v/>
      </c>
      <c r="V488">
        <f>IF(A488="","", IF(T488&gt;0, "FAIL", "PASS"))</f>
        <v/>
      </c>
    </row>
    <row r="489">
      <c r="A489">
        <f>IF('Equipment Information'!A489="","", 'Equipment Information'!A489)</f>
        <v/>
      </c>
      <c r="B489">
        <f>IF('Equipment Information'!B489="","", 'Equipment Information'!B489)</f>
        <v/>
      </c>
      <c r="C489">
        <f>IF('Equipment Information'!C489="","", 'Equipment Information'!C489)</f>
        <v/>
      </c>
      <c r="E489">
        <f>IF(D489="","", IFERROR(VLOOKUP(D489, 'Hidden_Data'!M:N, 2, FALSE), "0"))</f>
        <v/>
      </c>
      <c r="H489">
        <f>IF(G489="","", IFERROR(VLOOKUP(G489, 'Hidden_Data'!M:N, 2, FALSE), "0"))</f>
        <v/>
      </c>
      <c r="K489">
        <f>IF(J489="","", IFERROR(VLOOKUP(J489, 'Hidden_Data'!M:N, 2, FALSE), "0"))</f>
        <v/>
      </c>
      <c r="N489">
        <f>IF(M489="","", IFERROR(VLOOKUP(M489, 'Hidden_Data'!M:N, 2, FALSE), "0"))</f>
        <v/>
      </c>
      <c r="Q489">
        <f>IF(P489="","", IFERROR(VLOOKUP(P489, 'Hidden_Data'!M:N, 2, FALSE), "0"))</f>
        <v/>
      </c>
      <c r="T489">
        <f>IF(A489="","", SUM(IF(F489="Yes", 0, IF(E489="", 0, IFERROR(VALUE(MID(E489, SEARCH("(",E489)+1, 1)),0))), IF(I489="Yes", 0, IF(H489="", 0, IFERROR(VALUE(MID(H489, SEARCH("(",H489)+1, 1)),0))), IF(L489="Yes", 0, IF(K489="", 0, IFERROR(VALUE(MID(K489, SEARCH("(",K489)+1, 1)),0))), IF(O489="Yes", 0, IF(N489="", 0, IFERROR(VALUE(MID(N489, SEARCH("(",N489)+1, 1)),0))), IF(R489="Yes", 0, IF(Q489="", 0, IFERROR(VALUE(MID(Q489, SEARCH("(",Q489)+1, 1)),0)))))</f>
        <v/>
      </c>
      <c r="U489">
        <f>IF(A489="","", IF(T489&gt;=5, "Priority 1 (Critical)", IF(T489&gt;=3, "Priority 2 (Major)", IF(T489&gt;=1, "Priority 3 (Minor)", "Pass/Fixed"))))</f>
        <v/>
      </c>
      <c r="V489">
        <f>IF(A489="","", IF(T489&gt;0, "FAIL", "PASS"))</f>
        <v/>
      </c>
    </row>
    <row r="490">
      <c r="A490">
        <f>IF('Equipment Information'!A490="","", 'Equipment Information'!A490)</f>
        <v/>
      </c>
      <c r="B490">
        <f>IF('Equipment Information'!B490="","", 'Equipment Information'!B490)</f>
        <v/>
      </c>
      <c r="C490">
        <f>IF('Equipment Information'!C490="","", 'Equipment Information'!C490)</f>
        <v/>
      </c>
      <c r="E490">
        <f>IF(D490="","", IFERROR(VLOOKUP(D490, 'Hidden_Data'!M:N, 2, FALSE), "0"))</f>
        <v/>
      </c>
      <c r="H490">
        <f>IF(G490="","", IFERROR(VLOOKUP(G490, 'Hidden_Data'!M:N, 2, FALSE), "0"))</f>
        <v/>
      </c>
      <c r="K490">
        <f>IF(J490="","", IFERROR(VLOOKUP(J490, 'Hidden_Data'!M:N, 2, FALSE), "0"))</f>
        <v/>
      </c>
      <c r="N490">
        <f>IF(M490="","", IFERROR(VLOOKUP(M490, 'Hidden_Data'!M:N, 2, FALSE), "0"))</f>
        <v/>
      </c>
      <c r="Q490">
        <f>IF(P490="","", IFERROR(VLOOKUP(P490, 'Hidden_Data'!M:N, 2, FALSE), "0"))</f>
        <v/>
      </c>
      <c r="T490">
        <f>IF(A490="","", SUM(IF(F490="Yes", 0, IF(E490="", 0, IFERROR(VALUE(MID(E490, SEARCH("(",E490)+1, 1)),0))), IF(I490="Yes", 0, IF(H490="", 0, IFERROR(VALUE(MID(H490, SEARCH("(",H490)+1, 1)),0))), IF(L490="Yes", 0, IF(K490="", 0, IFERROR(VALUE(MID(K490, SEARCH("(",K490)+1, 1)),0))), IF(O490="Yes", 0, IF(N490="", 0, IFERROR(VALUE(MID(N490, SEARCH("(",N490)+1, 1)),0))), IF(R490="Yes", 0, IF(Q490="", 0, IFERROR(VALUE(MID(Q490, SEARCH("(",Q490)+1, 1)),0)))))</f>
        <v/>
      </c>
      <c r="U490">
        <f>IF(A490="","", IF(T490&gt;=5, "Priority 1 (Critical)", IF(T490&gt;=3, "Priority 2 (Major)", IF(T490&gt;=1, "Priority 3 (Minor)", "Pass/Fixed"))))</f>
        <v/>
      </c>
      <c r="V490">
        <f>IF(A490="","", IF(T490&gt;0, "FAIL", "PASS"))</f>
        <v/>
      </c>
    </row>
    <row r="491">
      <c r="A491">
        <f>IF('Equipment Information'!A491="","", 'Equipment Information'!A491)</f>
        <v/>
      </c>
      <c r="B491">
        <f>IF('Equipment Information'!B491="","", 'Equipment Information'!B491)</f>
        <v/>
      </c>
      <c r="C491">
        <f>IF('Equipment Information'!C491="","", 'Equipment Information'!C491)</f>
        <v/>
      </c>
      <c r="E491">
        <f>IF(D491="","", IFERROR(VLOOKUP(D491, 'Hidden_Data'!M:N, 2, FALSE), "0"))</f>
        <v/>
      </c>
      <c r="H491">
        <f>IF(G491="","", IFERROR(VLOOKUP(G491, 'Hidden_Data'!M:N, 2, FALSE), "0"))</f>
        <v/>
      </c>
      <c r="K491">
        <f>IF(J491="","", IFERROR(VLOOKUP(J491, 'Hidden_Data'!M:N, 2, FALSE), "0"))</f>
        <v/>
      </c>
      <c r="N491">
        <f>IF(M491="","", IFERROR(VLOOKUP(M491, 'Hidden_Data'!M:N, 2, FALSE), "0"))</f>
        <v/>
      </c>
      <c r="Q491">
        <f>IF(P491="","", IFERROR(VLOOKUP(P491, 'Hidden_Data'!M:N, 2, FALSE), "0"))</f>
        <v/>
      </c>
      <c r="T491">
        <f>IF(A491="","", SUM(IF(F491="Yes", 0, IF(E491="", 0, IFERROR(VALUE(MID(E491, SEARCH("(",E491)+1, 1)),0))), IF(I491="Yes", 0, IF(H491="", 0, IFERROR(VALUE(MID(H491, SEARCH("(",H491)+1, 1)),0))), IF(L491="Yes", 0, IF(K491="", 0, IFERROR(VALUE(MID(K491, SEARCH("(",K491)+1, 1)),0))), IF(O491="Yes", 0, IF(N491="", 0, IFERROR(VALUE(MID(N491, SEARCH("(",N491)+1, 1)),0))), IF(R491="Yes", 0, IF(Q491="", 0, IFERROR(VALUE(MID(Q491, SEARCH("(",Q491)+1, 1)),0)))))</f>
        <v/>
      </c>
      <c r="U491">
        <f>IF(A491="","", IF(T491&gt;=5, "Priority 1 (Critical)", IF(T491&gt;=3, "Priority 2 (Major)", IF(T491&gt;=1, "Priority 3 (Minor)", "Pass/Fixed"))))</f>
        <v/>
      </c>
      <c r="V491">
        <f>IF(A491="","", IF(T491&gt;0, "FAIL", "PASS"))</f>
        <v/>
      </c>
    </row>
    <row r="492">
      <c r="A492">
        <f>IF('Equipment Information'!A492="","", 'Equipment Information'!A492)</f>
        <v/>
      </c>
      <c r="B492">
        <f>IF('Equipment Information'!B492="","", 'Equipment Information'!B492)</f>
        <v/>
      </c>
      <c r="C492">
        <f>IF('Equipment Information'!C492="","", 'Equipment Information'!C492)</f>
        <v/>
      </c>
      <c r="E492">
        <f>IF(D492="","", IFERROR(VLOOKUP(D492, 'Hidden_Data'!M:N, 2, FALSE), "0"))</f>
        <v/>
      </c>
      <c r="H492">
        <f>IF(G492="","", IFERROR(VLOOKUP(G492, 'Hidden_Data'!M:N, 2, FALSE), "0"))</f>
        <v/>
      </c>
      <c r="K492">
        <f>IF(J492="","", IFERROR(VLOOKUP(J492, 'Hidden_Data'!M:N, 2, FALSE), "0"))</f>
        <v/>
      </c>
      <c r="N492">
        <f>IF(M492="","", IFERROR(VLOOKUP(M492, 'Hidden_Data'!M:N, 2, FALSE), "0"))</f>
        <v/>
      </c>
      <c r="Q492">
        <f>IF(P492="","", IFERROR(VLOOKUP(P492, 'Hidden_Data'!M:N, 2, FALSE), "0"))</f>
        <v/>
      </c>
      <c r="T492">
        <f>IF(A492="","", SUM(IF(F492="Yes", 0, IF(E492="", 0, IFERROR(VALUE(MID(E492, SEARCH("(",E492)+1, 1)),0))), IF(I492="Yes", 0, IF(H492="", 0, IFERROR(VALUE(MID(H492, SEARCH("(",H492)+1, 1)),0))), IF(L492="Yes", 0, IF(K492="", 0, IFERROR(VALUE(MID(K492, SEARCH("(",K492)+1, 1)),0))), IF(O492="Yes", 0, IF(N492="", 0, IFERROR(VALUE(MID(N492, SEARCH("(",N492)+1, 1)),0))), IF(R492="Yes", 0, IF(Q492="", 0, IFERROR(VALUE(MID(Q492, SEARCH("(",Q492)+1, 1)),0)))))</f>
        <v/>
      </c>
      <c r="U492">
        <f>IF(A492="","", IF(T492&gt;=5, "Priority 1 (Critical)", IF(T492&gt;=3, "Priority 2 (Major)", IF(T492&gt;=1, "Priority 3 (Minor)", "Pass/Fixed"))))</f>
        <v/>
      </c>
      <c r="V492">
        <f>IF(A492="","", IF(T492&gt;0, "FAIL", "PASS"))</f>
        <v/>
      </c>
    </row>
    <row r="493">
      <c r="A493">
        <f>IF('Equipment Information'!A493="","", 'Equipment Information'!A493)</f>
        <v/>
      </c>
      <c r="B493">
        <f>IF('Equipment Information'!B493="","", 'Equipment Information'!B493)</f>
        <v/>
      </c>
      <c r="C493">
        <f>IF('Equipment Information'!C493="","", 'Equipment Information'!C493)</f>
        <v/>
      </c>
      <c r="E493">
        <f>IF(D493="","", IFERROR(VLOOKUP(D493, 'Hidden_Data'!M:N, 2, FALSE), "0"))</f>
        <v/>
      </c>
      <c r="H493">
        <f>IF(G493="","", IFERROR(VLOOKUP(G493, 'Hidden_Data'!M:N, 2, FALSE), "0"))</f>
        <v/>
      </c>
      <c r="K493">
        <f>IF(J493="","", IFERROR(VLOOKUP(J493, 'Hidden_Data'!M:N, 2, FALSE), "0"))</f>
        <v/>
      </c>
      <c r="N493">
        <f>IF(M493="","", IFERROR(VLOOKUP(M493, 'Hidden_Data'!M:N, 2, FALSE), "0"))</f>
        <v/>
      </c>
      <c r="Q493">
        <f>IF(P493="","", IFERROR(VLOOKUP(P493, 'Hidden_Data'!M:N, 2, FALSE), "0"))</f>
        <v/>
      </c>
      <c r="T493">
        <f>IF(A493="","", SUM(IF(F493="Yes", 0, IF(E493="", 0, IFERROR(VALUE(MID(E493, SEARCH("(",E493)+1, 1)),0))), IF(I493="Yes", 0, IF(H493="", 0, IFERROR(VALUE(MID(H493, SEARCH("(",H493)+1, 1)),0))), IF(L493="Yes", 0, IF(K493="", 0, IFERROR(VALUE(MID(K493, SEARCH("(",K493)+1, 1)),0))), IF(O493="Yes", 0, IF(N493="", 0, IFERROR(VALUE(MID(N493, SEARCH("(",N493)+1, 1)),0))), IF(R493="Yes", 0, IF(Q493="", 0, IFERROR(VALUE(MID(Q493, SEARCH("(",Q493)+1, 1)),0)))))</f>
        <v/>
      </c>
      <c r="U493">
        <f>IF(A493="","", IF(T493&gt;=5, "Priority 1 (Critical)", IF(T493&gt;=3, "Priority 2 (Major)", IF(T493&gt;=1, "Priority 3 (Minor)", "Pass/Fixed"))))</f>
        <v/>
      </c>
      <c r="V493">
        <f>IF(A493="","", IF(T493&gt;0, "FAIL", "PASS"))</f>
        <v/>
      </c>
    </row>
    <row r="494">
      <c r="A494">
        <f>IF('Equipment Information'!A494="","", 'Equipment Information'!A494)</f>
        <v/>
      </c>
      <c r="B494">
        <f>IF('Equipment Information'!B494="","", 'Equipment Information'!B494)</f>
        <v/>
      </c>
      <c r="C494">
        <f>IF('Equipment Information'!C494="","", 'Equipment Information'!C494)</f>
        <v/>
      </c>
      <c r="E494">
        <f>IF(D494="","", IFERROR(VLOOKUP(D494, 'Hidden_Data'!M:N, 2, FALSE), "0"))</f>
        <v/>
      </c>
      <c r="H494">
        <f>IF(G494="","", IFERROR(VLOOKUP(G494, 'Hidden_Data'!M:N, 2, FALSE), "0"))</f>
        <v/>
      </c>
      <c r="K494">
        <f>IF(J494="","", IFERROR(VLOOKUP(J494, 'Hidden_Data'!M:N, 2, FALSE), "0"))</f>
        <v/>
      </c>
      <c r="N494">
        <f>IF(M494="","", IFERROR(VLOOKUP(M494, 'Hidden_Data'!M:N, 2, FALSE), "0"))</f>
        <v/>
      </c>
      <c r="Q494">
        <f>IF(P494="","", IFERROR(VLOOKUP(P494, 'Hidden_Data'!M:N, 2, FALSE), "0"))</f>
        <v/>
      </c>
      <c r="T494">
        <f>IF(A494="","", SUM(IF(F494="Yes", 0, IF(E494="", 0, IFERROR(VALUE(MID(E494, SEARCH("(",E494)+1, 1)),0))), IF(I494="Yes", 0, IF(H494="", 0, IFERROR(VALUE(MID(H494, SEARCH("(",H494)+1, 1)),0))), IF(L494="Yes", 0, IF(K494="", 0, IFERROR(VALUE(MID(K494, SEARCH("(",K494)+1, 1)),0))), IF(O494="Yes", 0, IF(N494="", 0, IFERROR(VALUE(MID(N494, SEARCH("(",N494)+1, 1)),0))), IF(R494="Yes", 0, IF(Q494="", 0, IFERROR(VALUE(MID(Q494, SEARCH("(",Q494)+1, 1)),0)))))</f>
        <v/>
      </c>
      <c r="U494">
        <f>IF(A494="","", IF(T494&gt;=5, "Priority 1 (Critical)", IF(T494&gt;=3, "Priority 2 (Major)", IF(T494&gt;=1, "Priority 3 (Minor)", "Pass/Fixed"))))</f>
        <v/>
      </c>
      <c r="V494">
        <f>IF(A494="","", IF(T494&gt;0, "FAIL", "PASS"))</f>
        <v/>
      </c>
    </row>
    <row r="495">
      <c r="A495">
        <f>IF('Equipment Information'!A495="","", 'Equipment Information'!A495)</f>
        <v/>
      </c>
      <c r="B495">
        <f>IF('Equipment Information'!B495="","", 'Equipment Information'!B495)</f>
        <v/>
      </c>
      <c r="C495">
        <f>IF('Equipment Information'!C495="","", 'Equipment Information'!C495)</f>
        <v/>
      </c>
      <c r="E495">
        <f>IF(D495="","", IFERROR(VLOOKUP(D495, 'Hidden_Data'!M:N, 2, FALSE), "0"))</f>
        <v/>
      </c>
      <c r="H495">
        <f>IF(G495="","", IFERROR(VLOOKUP(G495, 'Hidden_Data'!M:N, 2, FALSE), "0"))</f>
        <v/>
      </c>
      <c r="K495">
        <f>IF(J495="","", IFERROR(VLOOKUP(J495, 'Hidden_Data'!M:N, 2, FALSE), "0"))</f>
        <v/>
      </c>
      <c r="N495">
        <f>IF(M495="","", IFERROR(VLOOKUP(M495, 'Hidden_Data'!M:N, 2, FALSE), "0"))</f>
        <v/>
      </c>
      <c r="Q495">
        <f>IF(P495="","", IFERROR(VLOOKUP(P495, 'Hidden_Data'!M:N, 2, FALSE), "0"))</f>
        <v/>
      </c>
      <c r="T495">
        <f>IF(A495="","", SUM(IF(F495="Yes", 0, IF(E495="", 0, IFERROR(VALUE(MID(E495, SEARCH("(",E495)+1, 1)),0))), IF(I495="Yes", 0, IF(H495="", 0, IFERROR(VALUE(MID(H495, SEARCH("(",H495)+1, 1)),0))), IF(L495="Yes", 0, IF(K495="", 0, IFERROR(VALUE(MID(K495, SEARCH("(",K495)+1, 1)),0))), IF(O495="Yes", 0, IF(N495="", 0, IFERROR(VALUE(MID(N495, SEARCH("(",N495)+1, 1)),0))), IF(R495="Yes", 0, IF(Q495="", 0, IFERROR(VALUE(MID(Q495, SEARCH("(",Q495)+1, 1)),0)))))</f>
        <v/>
      </c>
      <c r="U495">
        <f>IF(A495="","", IF(T495&gt;=5, "Priority 1 (Critical)", IF(T495&gt;=3, "Priority 2 (Major)", IF(T495&gt;=1, "Priority 3 (Minor)", "Pass/Fixed"))))</f>
        <v/>
      </c>
      <c r="V495">
        <f>IF(A495="","", IF(T495&gt;0, "FAIL", "PASS"))</f>
        <v/>
      </c>
    </row>
    <row r="496">
      <c r="A496">
        <f>IF('Equipment Information'!A496="","", 'Equipment Information'!A496)</f>
        <v/>
      </c>
      <c r="B496">
        <f>IF('Equipment Information'!B496="","", 'Equipment Information'!B496)</f>
        <v/>
      </c>
      <c r="C496">
        <f>IF('Equipment Information'!C496="","", 'Equipment Information'!C496)</f>
        <v/>
      </c>
      <c r="E496">
        <f>IF(D496="","", IFERROR(VLOOKUP(D496, 'Hidden_Data'!M:N, 2, FALSE), "0"))</f>
        <v/>
      </c>
      <c r="H496">
        <f>IF(G496="","", IFERROR(VLOOKUP(G496, 'Hidden_Data'!M:N, 2, FALSE), "0"))</f>
        <v/>
      </c>
      <c r="K496">
        <f>IF(J496="","", IFERROR(VLOOKUP(J496, 'Hidden_Data'!M:N, 2, FALSE), "0"))</f>
        <v/>
      </c>
      <c r="N496">
        <f>IF(M496="","", IFERROR(VLOOKUP(M496, 'Hidden_Data'!M:N, 2, FALSE), "0"))</f>
        <v/>
      </c>
      <c r="Q496">
        <f>IF(P496="","", IFERROR(VLOOKUP(P496, 'Hidden_Data'!M:N, 2, FALSE), "0"))</f>
        <v/>
      </c>
      <c r="T496">
        <f>IF(A496="","", SUM(IF(F496="Yes", 0, IF(E496="", 0, IFERROR(VALUE(MID(E496, SEARCH("(",E496)+1, 1)),0))), IF(I496="Yes", 0, IF(H496="", 0, IFERROR(VALUE(MID(H496, SEARCH("(",H496)+1, 1)),0))), IF(L496="Yes", 0, IF(K496="", 0, IFERROR(VALUE(MID(K496, SEARCH("(",K496)+1, 1)),0))), IF(O496="Yes", 0, IF(N496="", 0, IFERROR(VALUE(MID(N496, SEARCH("(",N496)+1, 1)),0))), IF(R496="Yes", 0, IF(Q496="", 0, IFERROR(VALUE(MID(Q496, SEARCH("(",Q496)+1, 1)),0)))))</f>
        <v/>
      </c>
      <c r="U496">
        <f>IF(A496="","", IF(T496&gt;=5, "Priority 1 (Critical)", IF(T496&gt;=3, "Priority 2 (Major)", IF(T496&gt;=1, "Priority 3 (Minor)", "Pass/Fixed"))))</f>
        <v/>
      </c>
      <c r="V496">
        <f>IF(A496="","", IF(T496&gt;0, "FAIL", "PASS"))</f>
        <v/>
      </c>
    </row>
    <row r="497">
      <c r="A497">
        <f>IF('Equipment Information'!A497="","", 'Equipment Information'!A497)</f>
        <v/>
      </c>
      <c r="B497">
        <f>IF('Equipment Information'!B497="","", 'Equipment Information'!B497)</f>
        <v/>
      </c>
      <c r="C497">
        <f>IF('Equipment Information'!C497="","", 'Equipment Information'!C497)</f>
        <v/>
      </c>
      <c r="E497">
        <f>IF(D497="","", IFERROR(VLOOKUP(D497, 'Hidden_Data'!M:N, 2, FALSE), "0"))</f>
        <v/>
      </c>
      <c r="H497">
        <f>IF(G497="","", IFERROR(VLOOKUP(G497, 'Hidden_Data'!M:N, 2, FALSE), "0"))</f>
        <v/>
      </c>
      <c r="K497">
        <f>IF(J497="","", IFERROR(VLOOKUP(J497, 'Hidden_Data'!M:N, 2, FALSE), "0"))</f>
        <v/>
      </c>
      <c r="N497">
        <f>IF(M497="","", IFERROR(VLOOKUP(M497, 'Hidden_Data'!M:N, 2, FALSE), "0"))</f>
        <v/>
      </c>
      <c r="Q497">
        <f>IF(P497="","", IFERROR(VLOOKUP(P497, 'Hidden_Data'!M:N, 2, FALSE), "0"))</f>
        <v/>
      </c>
      <c r="T497">
        <f>IF(A497="","", SUM(IF(F497="Yes", 0, IF(E497="", 0, IFERROR(VALUE(MID(E497, SEARCH("(",E497)+1, 1)),0))), IF(I497="Yes", 0, IF(H497="", 0, IFERROR(VALUE(MID(H497, SEARCH("(",H497)+1, 1)),0))), IF(L497="Yes", 0, IF(K497="", 0, IFERROR(VALUE(MID(K497, SEARCH("(",K497)+1, 1)),0))), IF(O497="Yes", 0, IF(N497="", 0, IFERROR(VALUE(MID(N497, SEARCH("(",N497)+1, 1)),0))), IF(R497="Yes", 0, IF(Q497="", 0, IFERROR(VALUE(MID(Q497, SEARCH("(",Q497)+1, 1)),0)))))</f>
        <v/>
      </c>
      <c r="U497">
        <f>IF(A497="","", IF(T497&gt;=5, "Priority 1 (Critical)", IF(T497&gt;=3, "Priority 2 (Major)", IF(T497&gt;=1, "Priority 3 (Minor)", "Pass/Fixed"))))</f>
        <v/>
      </c>
      <c r="V497">
        <f>IF(A497="","", IF(T497&gt;0, "FAIL", "PASS"))</f>
        <v/>
      </c>
    </row>
    <row r="498">
      <c r="A498">
        <f>IF('Equipment Information'!A498="","", 'Equipment Information'!A498)</f>
        <v/>
      </c>
      <c r="B498">
        <f>IF('Equipment Information'!B498="","", 'Equipment Information'!B498)</f>
        <v/>
      </c>
      <c r="C498">
        <f>IF('Equipment Information'!C498="","", 'Equipment Information'!C498)</f>
        <v/>
      </c>
      <c r="E498">
        <f>IF(D498="","", IFERROR(VLOOKUP(D498, 'Hidden_Data'!M:N, 2, FALSE), "0"))</f>
        <v/>
      </c>
      <c r="H498">
        <f>IF(G498="","", IFERROR(VLOOKUP(G498, 'Hidden_Data'!M:N, 2, FALSE), "0"))</f>
        <v/>
      </c>
      <c r="K498">
        <f>IF(J498="","", IFERROR(VLOOKUP(J498, 'Hidden_Data'!M:N, 2, FALSE), "0"))</f>
        <v/>
      </c>
      <c r="N498">
        <f>IF(M498="","", IFERROR(VLOOKUP(M498, 'Hidden_Data'!M:N, 2, FALSE), "0"))</f>
        <v/>
      </c>
      <c r="Q498">
        <f>IF(P498="","", IFERROR(VLOOKUP(P498, 'Hidden_Data'!M:N, 2, FALSE), "0"))</f>
        <v/>
      </c>
      <c r="T498">
        <f>IF(A498="","", SUM(IF(F498="Yes", 0, IF(E498="", 0, IFERROR(VALUE(MID(E498, SEARCH("(",E498)+1, 1)),0))), IF(I498="Yes", 0, IF(H498="", 0, IFERROR(VALUE(MID(H498, SEARCH("(",H498)+1, 1)),0))), IF(L498="Yes", 0, IF(K498="", 0, IFERROR(VALUE(MID(K498, SEARCH("(",K498)+1, 1)),0))), IF(O498="Yes", 0, IF(N498="", 0, IFERROR(VALUE(MID(N498, SEARCH("(",N498)+1, 1)),0))), IF(R498="Yes", 0, IF(Q498="", 0, IFERROR(VALUE(MID(Q498, SEARCH("(",Q498)+1, 1)),0)))))</f>
        <v/>
      </c>
      <c r="U498">
        <f>IF(A498="","", IF(T498&gt;=5, "Priority 1 (Critical)", IF(T498&gt;=3, "Priority 2 (Major)", IF(T498&gt;=1, "Priority 3 (Minor)", "Pass/Fixed"))))</f>
        <v/>
      </c>
      <c r="V498">
        <f>IF(A498="","", IF(T498&gt;0, "FAIL", "PASS"))</f>
        <v/>
      </c>
    </row>
    <row r="499">
      <c r="A499">
        <f>IF('Equipment Information'!A499="","", 'Equipment Information'!A499)</f>
        <v/>
      </c>
      <c r="B499">
        <f>IF('Equipment Information'!B499="","", 'Equipment Information'!B499)</f>
        <v/>
      </c>
      <c r="C499">
        <f>IF('Equipment Information'!C499="","", 'Equipment Information'!C499)</f>
        <v/>
      </c>
      <c r="E499">
        <f>IF(D499="","", IFERROR(VLOOKUP(D499, 'Hidden_Data'!M:N, 2, FALSE), "0"))</f>
        <v/>
      </c>
      <c r="H499">
        <f>IF(G499="","", IFERROR(VLOOKUP(G499, 'Hidden_Data'!M:N, 2, FALSE), "0"))</f>
        <v/>
      </c>
      <c r="K499">
        <f>IF(J499="","", IFERROR(VLOOKUP(J499, 'Hidden_Data'!M:N, 2, FALSE), "0"))</f>
        <v/>
      </c>
      <c r="N499">
        <f>IF(M499="","", IFERROR(VLOOKUP(M499, 'Hidden_Data'!M:N, 2, FALSE), "0"))</f>
        <v/>
      </c>
      <c r="Q499">
        <f>IF(P499="","", IFERROR(VLOOKUP(P499, 'Hidden_Data'!M:N, 2, FALSE), "0"))</f>
        <v/>
      </c>
      <c r="T499">
        <f>IF(A499="","", SUM(IF(F499="Yes", 0, IF(E499="", 0, IFERROR(VALUE(MID(E499, SEARCH("(",E499)+1, 1)),0))), IF(I499="Yes", 0, IF(H499="", 0, IFERROR(VALUE(MID(H499, SEARCH("(",H499)+1, 1)),0))), IF(L499="Yes", 0, IF(K499="", 0, IFERROR(VALUE(MID(K499, SEARCH("(",K499)+1, 1)),0))), IF(O499="Yes", 0, IF(N499="", 0, IFERROR(VALUE(MID(N499, SEARCH("(",N499)+1, 1)),0))), IF(R499="Yes", 0, IF(Q499="", 0, IFERROR(VALUE(MID(Q499, SEARCH("(",Q499)+1, 1)),0)))))</f>
        <v/>
      </c>
      <c r="U499">
        <f>IF(A499="","", IF(T499&gt;=5, "Priority 1 (Critical)", IF(T499&gt;=3, "Priority 2 (Major)", IF(T499&gt;=1, "Priority 3 (Minor)", "Pass/Fixed"))))</f>
        <v/>
      </c>
      <c r="V499">
        <f>IF(A499="","", IF(T499&gt;0, "FAIL", "PASS"))</f>
        <v/>
      </c>
    </row>
  </sheetData>
  <dataValidations count="2">
    <dataValidation sqref="D2:D500 G2:G500 J2:J500 M2:M500 P2:P500" showDropDown="0" showInputMessage="0" showErrorMessage="0" allowBlank="1" type="list">
      <formula1>List_NEC</formula1>
    </dataValidation>
    <dataValidation sqref="F2:F500 I2:I500 L2:L500 O2:O500 R2:R500" showDropDown="0" showInputMessage="0" showErrorMessage="0" allowBlank="1" type="list">
      <formula1>List_YN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Loc</t>
        </is>
      </c>
      <c r="D1" s="1" t="inlineStr">
        <is>
          <t>Phase (Point)</t>
        </is>
      </c>
      <c r="E1" s="1" t="inlineStr">
        <is>
          <t>Component</t>
        </is>
      </c>
      <c r="F1" s="1" t="inlineStr">
        <is>
          <t>Result</t>
        </is>
      </c>
      <c r="G1" s="1" t="inlineStr">
        <is>
          <t>Notes</t>
        </is>
      </c>
    </row>
    <row r="2">
      <c r="A2">
        <f>IF('Equipment Information'!A2="","", 'Equipment Information'!A2)</f>
        <v/>
      </c>
      <c r="B2">
        <f>IF('Equipment Information'!B2="","", 'Equipment Information'!B2)</f>
        <v/>
      </c>
      <c r="C2">
        <f>IF('Equipment Information'!C2="","", 'Equipment Information'!C2)</f>
        <v/>
      </c>
      <c r="F2">
        <f>IF(A2="","","N/A")</f>
        <v/>
      </c>
    </row>
    <row r="3">
      <c r="A3">
        <f>IF('Equipment Information'!A3="","", 'Equipment Information'!A3)</f>
        <v/>
      </c>
      <c r="B3">
        <f>IF('Equipment Information'!B3="","", 'Equipment Information'!B3)</f>
        <v/>
      </c>
      <c r="C3">
        <f>IF('Equipment Information'!C3="","", 'Equipment Information'!C3)</f>
        <v/>
      </c>
      <c r="F3">
        <f>IF(A3="","","N/A")</f>
        <v/>
      </c>
    </row>
    <row r="4">
      <c r="A4">
        <f>IF('Equipment Information'!A4="","", 'Equipment Information'!A4)</f>
        <v/>
      </c>
      <c r="B4">
        <f>IF('Equipment Information'!B4="","", 'Equipment Information'!B4)</f>
        <v/>
      </c>
      <c r="C4">
        <f>IF('Equipment Information'!C4="","", 'Equipment Information'!C4)</f>
        <v/>
      </c>
      <c r="F4">
        <f>IF(A4="","","N/A")</f>
        <v/>
      </c>
    </row>
    <row r="5">
      <c r="A5">
        <f>IF('Equipment Information'!A5="","", 'Equipment Information'!A5)</f>
        <v/>
      </c>
      <c r="B5">
        <f>IF('Equipment Information'!B5="","", 'Equipment Information'!B5)</f>
        <v/>
      </c>
      <c r="C5">
        <f>IF('Equipment Information'!C5="","", 'Equipment Information'!C5)</f>
        <v/>
      </c>
      <c r="F5">
        <f>IF(A5="","","N/A")</f>
        <v/>
      </c>
    </row>
    <row r="6">
      <c r="A6">
        <f>IF('Equipment Information'!A6="","", 'Equipment Information'!A6)</f>
        <v/>
      </c>
      <c r="B6">
        <f>IF('Equipment Information'!B6="","", 'Equipment Information'!B6)</f>
        <v/>
      </c>
      <c r="C6">
        <f>IF('Equipment Information'!C6="","", 'Equipment Information'!C6)</f>
        <v/>
      </c>
      <c r="F6">
        <f>IF(A6="","","N/A")</f>
        <v/>
      </c>
    </row>
    <row r="7">
      <c r="A7">
        <f>IF('Equipment Information'!A7="","", 'Equipment Information'!A7)</f>
        <v/>
      </c>
      <c r="B7">
        <f>IF('Equipment Information'!B7="","", 'Equipment Information'!B7)</f>
        <v/>
      </c>
      <c r="C7">
        <f>IF('Equipment Information'!C7="","", 'Equipment Information'!C7)</f>
        <v/>
      </c>
      <c r="F7">
        <f>IF(A7="","","N/A")</f>
        <v/>
      </c>
    </row>
    <row r="8">
      <c r="A8">
        <f>IF('Equipment Information'!A8="","", 'Equipment Information'!A8)</f>
        <v/>
      </c>
      <c r="B8">
        <f>IF('Equipment Information'!B8="","", 'Equipment Information'!B8)</f>
        <v/>
      </c>
      <c r="C8">
        <f>IF('Equipment Information'!C8="","", 'Equipment Information'!C8)</f>
        <v/>
      </c>
      <c r="F8">
        <f>IF(A8="","","N/A")</f>
        <v/>
      </c>
    </row>
    <row r="9">
      <c r="A9">
        <f>IF('Equipment Information'!A9="","", 'Equipment Information'!A9)</f>
        <v/>
      </c>
      <c r="B9">
        <f>IF('Equipment Information'!B9="","", 'Equipment Information'!B9)</f>
        <v/>
      </c>
      <c r="C9">
        <f>IF('Equipment Information'!C9="","", 'Equipment Information'!C9)</f>
        <v/>
      </c>
      <c r="F9">
        <f>IF(A9="","","N/A")</f>
        <v/>
      </c>
    </row>
    <row r="10">
      <c r="A10">
        <f>IF('Equipment Information'!A10="","", 'Equipment Information'!A10)</f>
        <v/>
      </c>
      <c r="B10">
        <f>IF('Equipment Information'!B10="","", 'Equipment Information'!B10)</f>
        <v/>
      </c>
      <c r="C10">
        <f>IF('Equipment Information'!C10="","", 'Equipment Information'!C10)</f>
        <v/>
      </c>
      <c r="F10">
        <f>IF(A10="","","N/A")</f>
        <v/>
      </c>
    </row>
    <row r="11">
      <c r="A11">
        <f>IF('Equipment Information'!A11="","", 'Equipment Information'!A11)</f>
        <v/>
      </c>
      <c r="B11">
        <f>IF('Equipment Information'!B11="","", 'Equipment Information'!B11)</f>
        <v/>
      </c>
      <c r="C11">
        <f>IF('Equipment Information'!C11="","", 'Equipment Information'!C11)</f>
        <v/>
      </c>
      <c r="F11">
        <f>IF(A11="","","N/A")</f>
        <v/>
      </c>
    </row>
    <row r="12">
      <c r="A12">
        <f>IF('Equipment Information'!A12="","", 'Equipment Information'!A12)</f>
        <v/>
      </c>
      <c r="B12">
        <f>IF('Equipment Information'!B12="","", 'Equipment Information'!B12)</f>
        <v/>
      </c>
      <c r="C12">
        <f>IF('Equipment Information'!C12="","", 'Equipment Information'!C12)</f>
        <v/>
      </c>
      <c r="F12">
        <f>IF(A12="","","N/A")</f>
        <v/>
      </c>
    </row>
    <row r="13">
      <c r="A13">
        <f>IF('Equipment Information'!A13="","", 'Equipment Information'!A13)</f>
        <v/>
      </c>
      <c r="B13">
        <f>IF('Equipment Information'!B13="","", 'Equipment Information'!B13)</f>
        <v/>
      </c>
      <c r="C13">
        <f>IF('Equipment Information'!C13="","", 'Equipment Information'!C13)</f>
        <v/>
      </c>
      <c r="F13">
        <f>IF(A13="","","N/A")</f>
        <v/>
      </c>
    </row>
    <row r="14">
      <c r="A14">
        <f>IF('Equipment Information'!A14="","", 'Equipment Information'!A14)</f>
        <v/>
      </c>
      <c r="B14">
        <f>IF('Equipment Information'!B14="","", 'Equipment Information'!B14)</f>
        <v/>
      </c>
      <c r="C14">
        <f>IF('Equipment Information'!C14="","", 'Equipment Information'!C14)</f>
        <v/>
      </c>
      <c r="F14">
        <f>IF(A14="","","N/A")</f>
        <v/>
      </c>
    </row>
    <row r="15">
      <c r="A15">
        <f>IF('Equipment Information'!A15="","", 'Equipment Information'!A15)</f>
        <v/>
      </c>
      <c r="B15">
        <f>IF('Equipment Information'!B15="","", 'Equipment Information'!B15)</f>
        <v/>
      </c>
      <c r="C15">
        <f>IF('Equipment Information'!C15="","", 'Equipment Information'!C15)</f>
        <v/>
      </c>
      <c r="F15">
        <f>IF(A15="","","N/A")</f>
        <v/>
      </c>
    </row>
    <row r="16">
      <c r="A16">
        <f>IF('Equipment Information'!A16="","", 'Equipment Information'!A16)</f>
        <v/>
      </c>
      <c r="B16">
        <f>IF('Equipment Information'!B16="","", 'Equipment Information'!B16)</f>
        <v/>
      </c>
      <c r="C16">
        <f>IF('Equipment Information'!C16="","", 'Equipment Information'!C16)</f>
        <v/>
      </c>
      <c r="F16">
        <f>IF(A16="","","N/A")</f>
        <v/>
      </c>
    </row>
    <row r="17">
      <c r="A17">
        <f>IF('Equipment Information'!A17="","", 'Equipment Information'!A17)</f>
        <v/>
      </c>
      <c r="B17">
        <f>IF('Equipment Information'!B17="","", 'Equipment Information'!B17)</f>
        <v/>
      </c>
      <c r="C17">
        <f>IF('Equipment Information'!C17="","", 'Equipment Information'!C17)</f>
        <v/>
      </c>
      <c r="F17">
        <f>IF(A17="","","N/A")</f>
        <v/>
      </c>
    </row>
    <row r="18">
      <c r="A18">
        <f>IF('Equipment Information'!A18="","", 'Equipment Information'!A18)</f>
        <v/>
      </c>
      <c r="B18">
        <f>IF('Equipment Information'!B18="","", 'Equipment Information'!B18)</f>
        <v/>
      </c>
      <c r="C18">
        <f>IF('Equipment Information'!C18="","", 'Equipment Information'!C18)</f>
        <v/>
      </c>
      <c r="F18">
        <f>IF(A18="","","N/A")</f>
        <v/>
      </c>
    </row>
    <row r="19">
      <c r="A19">
        <f>IF('Equipment Information'!A19="","", 'Equipment Information'!A19)</f>
        <v/>
      </c>
      <c r="B19">
        <f>IF('Equipment Information'!B19="","", 'Equipment Information'!B19)</f>
        <v/>
      </c>
      <c r="C19">
        <f>IF('Equipment Information'!C19="","", 'Equipment Information'!C19)</f>
        <v/>
      </c>
      <c r="F19">
        <f>IF(A19="","","N/A")</f>
        <v/>
      </c>
    </row>
    <row r="20">
      <c r="A20">
        <f>IF('Equipment Information'!A20="","", 'Equipment Information'!A20)</f>
        <v/>
      </c>
      <c r="B20">
        <f>IF('Equipment Information'!B20="","", 'Equipment Information'!B20)</f>
        <v/>
      </c>
      <c r="C20">
        <f>IF('Equipment Information'!C20="","", 'Equipment Information'!C20)</f>
        <v/>
      </c>
      <c r="F20">
        <f>IF(A20="","","N/A")</f>
        <v/>
      </c>
    </row>
    <row r="21">
      <c r="A21">
        <f>IF('Equipment Information'!A21="","", 'Equipment Information'!A21)</f>
        <v/>
      </c>
      <c r="B21">
        <f>IF('Equipment Information'!B21="","", 'Equipment Information'!B21)</f>
        <v/>
      </c>
      <c r="C21">
        <f>IF('Equipment Information'!C21="","", 'Equipment Information'!C21)</f>
        <v/>
      </c>
      <c r="F21">
        <f>IF(A21="","","N/A")</f>
        <v/>
      </c>
    </row>
    <row r="22">
      <c r="A22">
        <f>IF('Equipment Information'!A22="","", 'Equipment Information'!A22)</f>
        <v/>
      </c>
      <c r="B22">
        <f>IF('Equipment Information'!B22="","", 'Equipment Information'!B22)</f>
        <v/>
      </c>
      <c r="C22">
        <f>IF('Equipment Information'!C22="","", 'Equipment Information'!C22)</f>
        <v/>
      </c>
      <c r="F22">
        <f>IF(A22="","","N/A")</f>
        <v/>
      </c>
    </row>
    <row r="23">
      <c r="A23">
        <f>IF('Equipment Information'!A23="","", 'Equipment Information'!A23)</f>
        <v/>
      </c>
      <c r="B23">
        <f>IF('Equipment Information'!B23="","", 'Equipment Information'!B23)</f>
        <v/>
      </c>
      <c r="C23">
        <f>IF('Equipment Information'!C23="","", 'Equipment Information'!C23)</f>
        <v/>
      </c>
      <c r="F23">
        <f>IF(A23="","","N/A")</f>
        <v/>
      </c>
    </row>
    <row r="24">
      <c r="A24">
        <f>IF('Equipment Information'!A24="","", 'Equipment Information'!A24)</f>
        <v/>
      </c>
      <c r="B24">
        <f>IF('Equipment Information'!B24="","", 'Equipment Information'!B24)</f>
        <v/>
      </c>
      <c r="C24">
        <f>IF('Equipment Information'!C24="","", 'Equipment Information'!C24)</f>
        <v/>
      </c>
      <c r="F24">
        <f>IF(A24="","","N/A")</f>
        <v/>
      </c>
    </row>
    <row r="25">
      <c r="A25">
        <f>IF('Equipment Information'!A25="","", 'Equipment Information'!A25)</f>
        <v/>
      </c>
      <c r="B25">
        <f>IF('Equipment Information'!B25="","", 'Equipment Information'!B25)</f>
        <v/>
      </c>
      <c r="C25">
        <f>IF('Equipment Information'!C25="","", 'Equipment Information'!C25)</f>
        <v/>
      </c>
      <c r="F25">
        <f>IF(A25="","","N/A")</f>
        <v/>
      </c>
    </row>
    <row r="26">
      <c r="A26">
        <f>IF('Equipment Information'!A26="","", 'Equipment Information'!A26)</f>
        <v/>
      </c>
      <c r="B26">
        <f>IF('Equipment Information'!B26="","", 'Equipment Information'!B26)</f>
        <v/>
      </c>
      <c r="C26">
        <f>IF('Equipment Information'!C26="","", 'Equipment Information'!C26)</f>
        <v/>
      </c>
      <c r="F26">
        <f>IF(A26="","","N/A")</f>
        <v/>
      </c>
    </row>
    <row r="27">
      <c r="A27">
        <f>IF('Equipment Information'!A27="","", 'Equipment Information'!A27)</f>
        <v/>
      </c>
      <c r="B27">
        <f>IF('Equipment Information'!B27="","", 'Equipment Information'!B27)</f>
        <v/>
      </c>
      <c r="C27">
        <f>IF('Equipment Information'!C27="","", 'Equipment Information'!C27)</f>
        <v/>
      </c>
      <c r="F27">
        <f>IF(A27="","","N/A")</f>
        <v/>
      </c>
    </row>
    <row r="28">
      <c r="A28">
        <f>IF('Equipment Information'!A28="","", 'Equipment Information'!A28)</f>
        <v/>
      </c>
      <c r="B28">
        <f>IF('Equipment Information'!B28="","", 'Equipment Information'!B28)</f>
        <v/>
      </c>
      <c r="C28">
        <f>IF('Equipment Information'!C28="","", 'Equipment Information'!C28)</f>
        <v/>
      </c>
      <c r="F28">
        <f>IF(A28="","","N/A")</f>
        <v/>
      </c>
    </row>
    <row r="29">
      <c r="A29">
        <f>IF('Equipment Information'!A29="","", 'Equipment Information'!A29)</f>
        <v/>
      </c>
      <c r="B29">
        <f>IF('Equipment Information'!B29="","", 'Equipment Information'!B29)</f>
        <v/>
      </c>
      <c r="C29">
        <f>IF('Equipment Information'!C29="","", 'Equipment Information'!C29)</f>
        <v/>
      </c>
      <c r="F29">
        <f>IF(A29="","","N/A")</f>
        <v/>
      </c>
    </row>
    <row r="30">
      <c r="A30">
        <f>IF('Equipment Information'!A30="","", 'Equipment Information'!A30)</f>
        <v/>
      </c>
      <c r="B30">
        <f>IF('Equipment Information'!B30="","", 'Equipment Information'!B30)</f>
        <v/>
      </c>
      <c r="C30">
        <f>IF('Equipment Information'!C30="","", 'Equipment Information'!C30)</f>
        <v/>
      </c>
      <c r="F30">
        <f>IF(A30="","","N/A")</f>
        <v/>
      </c>
    </row>
    <row r="31">
      <c r="A31">
        <f>IF('Equipment Information'!A31="","", 'Equipment Information'!A31)</f>
        <v/>
      </c>
      <c r="B31">
        <f>IF('Equipment Information'!B31="","", 'Equipment Information'!B31)</f>
        <v/>
      </c>
      <c r="C31">
        <f>IF('Equipment Information'!C31="","", 'Equipment Information'!C31)</f>
        <v/>
      </c>
      <c r="F31">
        <f>IF(A31="","","N/A")</f>
        <v/>
      </c>
    </row>
    <row r="32">
      <c r="A32">
        <f>IF('Equipment Information'!A32="","", 'Equipment Information'!A32)</f>
        <v/>
      </c>
      <c r="B32">
        <f>IF('Equipment Information'!B32="","", 'Equipment Information'!B32)</f>
        <v/>
      </c>
      <c r="C32">
        <f>IF('Equipment Information'!C32="","", 'Equipment Information'!C32)</f>
        <v/>
      </c>
      <c r="F32">
        <f>IF(A32="","","N/A")</f>
        <v/>
      </c>
    </row>
    <row r="33">
      <c r="A33">
        <f>IF('Equipment Information'!A33="","", 'Equipment Information'!A33)</f>
        <v/>
      </c>
      <c r="B33">
        <f>IF('Equipment Information'!B33="","", 'Equipment Information'!B33)</f>
        <v/>
      </c>
      <c r="C33">
        <f>IF('Equipment Information'!C33="","", 'Equipment Information'!C33)</f>
        <v/>
      </c>
      <c r="F33">
        <f>IF(A33="","","N/A")</f>
        <v/>
      </c>
    </row>
    <row r="34">
      <c r="A34">
        <f>IF('Equipment Information'!A34="","", 'Equipment Information'!A34)</f>
        <v/>
      </c>
      <c r="B34">
        <f>IF('Equipment Information'!B34="","", 'Equipment Information'!B34)</f>
        <v/>
      </c>
      <c r="C34">
        <f>IF('Equipment Information'!C34="","", 'Equipment Information'!C34)</f>
        <v/>
      </c>
      <c r="F34">
        <f>IF(A34="","","N/A")</f>
        <v/>
      </c>
    </row>
    <row r="35">
      <c r="A35">
        <f>IF('Equipment Information'!A35="","", 'Equipment Information'!A35)</f>
        <v/>
      </c>
      <c r="B35">
        <f>IF('Equipment Information'!B35="","", 'Equipment Information'!B35)</f>
        <v/>
      </c>
      <c r="C35">
        <f>IF('Equipment Information'!C35="","", 'Equipment Information'!C35)</f>
        <v/>
      </c>
      <c r="F35">
        <f>IF(A35="","","N/A")</f>
        <v/>
      </c>
    </row>
    <row r="36">
      <c r="A36">
        <f>IF('Equipment Information'!A36="","", 'Equipment Information'!A36)</f>
        <v/>
      </c>
      <c r="B36">
        <f>IF('Equipment Information'!B36="","", 'Equipment Information'!B36)</f>
        <v/>
      </c>
      <c r="C36">
        <f>IF('Equipment Information'!C36="","", 'Equipment Information'!C36)</f>
        <v/>
      </c>
      <c r="F36">
        <f>IF(A36="","","N/A")</f>
        <v/>
      </c>
    </row>
    <row r="37">
      <c r="A37">
        <f>IF('Equipment Information'!A37="","", 'Equipment Information'!A37)</f>
        <v/>
      </c>
      <c r="B37">
        <f>IF('Equipment Information'!B37="","", 'Equipment Information'!B37)</f>
        <v/>
      </c>
      <c r="C37">
        <f>IF('Equipment Information'!C37="","", 'Equipment Information'!C37)</f>
        <v/>
      </c>
      <c r="F37">
        <f>IF(A37="","","N/A")</f>
        <v/>
      </c>
    </row>
    <row r="38">
      <c r="A38">
        <f>IF('Equipment Information'!A38="","", 'Equipment Information'!A38)</f>
        <v/>
      </c>
      <c r="B38">
        <f>IF('Equipment Information'!B38="","", 'Equipment Information'!B38)</f>
        <v/>
      </c>
      <c r="C38">
        <f>IF('Equipment Information'!C38="","", 'Equipment Information'!C38)</f>
        <v/>
      </c>
      <c r="F38">
        <f>IF(A38="","","N/A")</f>
        <v/>
      </c>
    </row>
    <row r="39">
      <c r="A39">
        <f>IF('Equipment Information'!A39="","", 'Equipment Information'!A39)</f>
        <v/>
      </c>
      <c r="B39">
        <f>IF('Equipment Information'!B39="","", 'Equipment Information'!B39)</f>
        <v/>
      </c>
      <c r="C39">
        <f>IF('Equipment Information'!C39="","", 'Equipment Information'!C39)</f>
        <v/>
      </c>
      <c r="F39">
        <f>IF(A39="","","N/A")</f>
        <v/>
      </c>
    </row>
    <row r="40">
      <c r="A40">
        <f>IF('Equipment Information'!A40="","", 'Equipment Information'!A40)</f>
        <v/>
      </c>
      <c r="B40">
        <f>IF('Equipment Information'!B40="","", 'Equipment Information'!B40)</f>
        <v/>
      </c>
      <c r="C40">
        <f>IF('Equipment Information'!C40="","", 'Equipment Information'!C40)</f>
        <v/>
      </c>
      <c r="F40">
        <f>IF(A40="","","N/A")</f>
        <v/>
      </c>
    </row>
    <row r="41">
      <c r="A41">
        <f>IF('Equipment Information'!A41="","", 'Equipment Information'!A41)</f>
        <v/>
      </c>
      <c r="B41">
        <f>IF('Equipment Information'!B41="","", 'Equipment Information'!B41)</f>
        <v/>
      </c>
      <c r="C41">
        <f>IF('Equipment Information'!C41="","", 'Equipment Information'!C41)</f>
        <v/>
      </c>
      <c r="F41">
        <f>IF(A41="","","N/A")</f>
        <v/>
      </c>
    </row>
    <row r="42">
      <c r="A42">
        <f>IF('Equipment Information'!A42="","", 'Equipment Information'!A42)</f>
        <v/>
      </c>
      <c r="B42">
        <f>IF('Equipment Information'!B42="","", 'Equipment Information'!B42)</f>
        <v/>
      </c>
      <c r="C42">
        <f>IF('Equipment Information'!C42="","", 'Equipment Information'!C42)</f>
        <v/>
      </c>
      <c r="F42">
        <f>IF(A42="","","N/A")</f>
        <v/>
      </c>
    </row>
    <row r="43">
      <c r="A43">
        <f>IF('Equipment Information'!A43="","", 'Equipment Information'!A43)</f>
        <v/>
      </c>
      <c r="B43">
        <f>IF('Equipment Information'!B43="","", 'Equipment Information'!B43)</f>
        <v/>
      </c>
      <c r="C43">
        <f>IF('Equipment Information'!C43="","", 'Equipment Information'!C43)</f>
        <v/>
      </c>
      <c r="F43">
        <f>IF(A43="","","N/A")</f>
        <v/>
      </c>
    </row>
    <row r="44">
      <c r="A44">
        <f>IF('Equipment Information'!A44="","", 'Equipment Information'!A44)</f>
        <v/>
      </c>
      <c r="B44">
        <f>IF('Equipment Information'!B44="","", 'Equipment Information'!B44)</f>
        <v/>
      </c>
      <c r="C44">
        <f>IF('Equipment Information'!C44="","", 'Equipment Information'!C44)</f>
        <v/>
      </c>
      <c r="F44">
        <f>IF(A44="","","N/A")</f>
        <v/>
      </c>
    </row>
    <row r="45">
      <c r="A45">
        <f>IF('Equipment Information'!A45="","", 'Equipment Information'!A45)</f>
        <v/>
      </c>
      <c r="B45">
        <f>IF('Equipment Information'!B45="","", 'Equipment Information'!B45)</f>
        <v/>
      </c>
      <c r="C45">
        <f>IF('Equipment Information'!C45="","", 'Equipment Information'!C45)</f>
        <v/>
      </c>
      <c r="F45">
        <f>IF(A45="","","N/A")</f>
        <v/>
      </c>
    </row>
    <row r="46">
      <c r="A46">
        <f>IF('Equipment Information'!A46="","", 'Equipment Information'!A46)</f>
        <v/>
      </c>
      <c r="B46">
        <f>IF('Equipment Information'!B46="","", 'Equipment Information'!B46)</f>
        <v/>
      </c>
      <c r="C46">
        <f>IF('Equipment Information'!C46="","", 'Equipment Information'!C46)</f>
        <v/>
      </c>
      <c r="F46">
        <f>IF(A46="","","N/A")</f>
        <v/>
      </c>
    </row>
    <row r="47">
      <c r="A47">
        <f>IF('Equipment Information'!A47="","", 'Equipment Information'!A47)</f>
        <v/>
      </c>
      <c r="B47">
        <f>IF('Equipment Information'!B47="","", 'Equipment Information'!B47)</f>
        <v/>
      </c>
      <c r="C47">
        <f>IF('Equipment Information'!C47="","", 'Equipment Information'!C47)</f>
        <v/>
      </c>
      <c r="F47">
        <f>IF(A47="","","N/A")</f>
        <v/>
      </c>
    </row>
    <row r="48">
      <c r="A48">
        <f>IF('Equipment Information'!A48="","", 'Equipment Information'!A48)</f>
        <v/>
      </c>
      <c r="B48">
        <f>IF('Equipment Information'!B48="","", 'Equipment Information'!B48)</f>
        <v/>
      </c>
      <c r="C48">
        <f>IF('Equipment Information'!C48="","", 'Equipment Information'!C48)</f>
        <v/>
      </c>
      <c r="F48">
        <f>IF(A48="","","N/A")</f>
        <v/>
      </c>
    </row>
    <row r="49">
      <c r="A49">
        <f>IF('Equipment Information'!A49="","", 'Equipment Information'!A49)</f>
        <v/>
      </c>
      <c r="B49">
        <f>IF('Equipment Information'!B49="","", 'Equipment Information'!B49)</f>
        <v/>
      </c>
      <c r="C49">
        <f>IF('Equipment Information'!C49="","", 'Equipment Information'!C49)</f>
        <v/>
      </c>
      <c r="F49">
        <f>IF(A49="","","N/A")</f>
        <v/>
      </c>
    </row>
    <row r="50">
      <c r="A50">
        <f>IF('Equipment Information'!A50="","", 'Equipment Information'!A50)</f>
        <v/>
      </c>
      <c r="B50">
        <f>IF('Equipment Information'!B50="","", 'Equipment Information'!B50)</f>
        <v/>
      </c>
      <c r="C50">
        <f>IF('Equipment Information'!C50="","", 'Equipment Information'!C50)</f>
        <v/>
      </c>
      <c r="F50">
        <f>IF(A50="","","N/A")</f>
        <v/>
      </c>
    </row>
    <row r="51">
      <c r="A51">
        <f>IF('Equipment Information'!A51="","", 'Equipment Information'!A51)</f>
        <v/>
      </c>
      <c r="B51">
        <f>IF('Equipment Information'!B51="","", 'Equipment Information'!B51)</f>
        <v/>
      </c>
      <c r="C51">
        <f>IF('Equipment Information'!C51="","", 'Equipment Information'!C51)</f>
        <v/>
      </c>
      <c r="F51">
        <f>IF(A51="","","N/A")</f>
        <v/>
      </c>
    </row>
    <row r="52">
      <c r="A52">
        <f>IF('Equipment Information'!A52="","", 'Equipment Information'!A52)</f>
        <v/>
      </c>
      <c r="B52">
        <f>IF('Equipment Information'!B52="","", 'Equipment Information'!B52)</f>
        <v/>
      </c>
      <c r="C52">
        <f>IF('Equipment Information'!C52="","", 'Equipment Information'!C52)</f>
        <v/>
      </c>
      <c r="F52">
        <f>IF(A52="","","N/A")</f>
        <v/>
      </c>
    </row>
    <row r="53">
      <c r="A53">
        <f>IF('Equipment Information'!A53="","", 'Equipment Information'!A53)</f>
        <v/>
      </c>
      <c r="B53">
        <f>IF('Equipment Information'!B53="","", 'Equipment Information'!B53)</f>
        <v/>
      </c>
      <c r="C53">
        <f>IF('Equipment Information'!C53="","", 'Equipment Information'!C53)</f>
        <v/>
      </c>
      <c r="F53">
        <f>IF(A53="","","N/A")</f>
        <v/>
      </c>
    </row>
    <row r="54">
      <c r="A54">
        <f>IF('Equipment Information'!A54="","", 'Equipment Information'!A54)</f>
        <v/>
      </c>
      <c r="B54">
        <f>IF('Equipment Information'!B54="","", 'Equipment Information'!B54)</f>
        <v/>
      </c>
      <c r="C54">
        <f>IF('Equipment Information'!C54="","", 'Equipment Information'!C54)</f>
        <v/>
      </c>
      <c r="F54">
        <f>IF(A54="","","N/A")</f>
        <v/>
      </c>
    </row>
    <row r="55">
      <c r="A55">
        <f>IF('Equipment Information'!A55="","", 'Equipment Information'!A55)</f>
        <v/>
      </c>
      <c r="B55">
        <f>IF('Equipment Information'!B55="","", 'Equipment Information'!B55)</f>
        <v/>
      </c>
      <c r="C55">
        <f>IF('Equipment Information'!C55="","", 'Equipment Information'!C55)</f>
        <v/>
      </c>
      <c r="F55">
        <f>IF(A55="","","N/A")</f>
        <v/>
      </c>
    </row>
    <row r="56">
      <c r="A56">
        <f>IF('Equipment Information'!A56="","", 'Equipment Information'!A56)</f>
        <v/>
      </c>
      <c r="B56">
        <f>IF('Equipment Information'!B56="","", 'Equipment Information'!B56)</f>
        <v/>
      </c>
      <c r="C56">
        <f>IF('Equipment Information'!C56="","", 'Equipment Information'!C56)</f>
        <v/>
      </c>
      <c r="F56">
        <f>IF(A56="","","N/A")</f>
        <v/>
      </c>
    </row>
    <row r="57">
      <c r="A57">
        <f>IF('Equipment Information'!A57="","", 'Equipment Information'!A57)</f>
        <v/>
      </c>
      <c r="B57">
        <f>IF('Equipment Information'!B57="","", 'Equipment Information'!B57)</f>
        <v/>
      </c>
      <c r="C57">
        <f>IF('Equipment Information'!C57="","", 'Equipment Information'!C57)</f>
        <v/>
      </c>
      <c r="F57">
        <f>IF(A57="","","N/A")</f>
        <v/>
      </c>
    </row>
    <row r="58">
      <c r="A58">
        <f>IF('Equipment Information'!A58="","", 'Equipment Information'!A58)</f>
        <v/>
      </c>
      <c r="B58">
        <f>IF('Equipment Information'!B58="","", 'Equipment Information'!B58)</f>
        <v/>
      </c>
      <c r="C58">
        <f>IF('Equipment Information'!C58="","", 'Equipment Information'!C58)</f>
        <v/>
      </c>
      <c r="F58">
        <f>IF(A58="","","N/A")</f>
        <v/>
      </c>
    </row>
    <row r="59">
      <c r="A59">
        <f>IF('Equipment Information'!A59="","", 'Equipment Information'!A59)</f>
        <v/>
      </c>
      <c r="B59">
        <f>IF('Equipment Information'!B59="","", 'Equipment Information'!B59)</f>
        <v/>
      </c>
      <c r="C59">
        <f>IF('Equipment Information'!C59="","", 'Equipment Information'!C59)</f>
        <v/>
      </c>
      <c r="F59">
        <f>IF(A59="","","N/A")</f>
        <v/>
      </c>
    </row>
    <row r="60">
      <c r="A60">
        <f>IF('Equipment Information'!A60="","", 'Equipment Information'!A60)</f>
        <v/>
      </c>
      <c r="B60">
        <f>IF('Equipment Information'!B60="","", 'Equipment Information'!B60)</f>
        <v/>
      </c>
      <c r="C60">
        <f>IF('Equipment Information'!C60="","", 'Equipment Information'!C60)</f>
        <v/>
      </c>
      <c r="F60">
        <f>IF(A60="","","N/A")</f>
        <v/>
      </c>
    </row>
    <row r="61">
      <c r="A61">
        <f>IF('Equipment Information'!A61="","", 'Equipment Information'!A61)</f>
        <v/>
      </c>
      <c r="B61">
        <f>IF('Equipment Information'!B61="","", 'Equipment Information'!B61)</f>
        <v/>
      </c>
      <c r="C61">
        <f>IF('Equipment Information'!C61="","", 'Equipment Information'!C61)</f>
        <v/>
      </c>
      <c r="F61">
        <f>IF(A61="","","N/A")</f>
        <v/>
      </c>
    </row>
    <row r="62">
      <c r="A62">
        <f>IF('Equipment Information'!A62="","", 'Equipment Information'!A62)</f>
        <v/>
      </c>
      <c r="B62">
        <f>IF('Equipment Information'!B62="","", 'Equipment Information'!B62)</f>
        <v/>
      </c>
      <c r="C62">
        <f>IF('Equipment Information'!C62="","", 'Equipment Information'!C62)</f>
        <v/>
      </c>
      <c r="F62">
        <f>IF(A62="","","N/A")</f>
        <v/>
      </c>
    </row>
    <row r="63">
      <c r="A63">
        <f>IF('Equipment Information'!A63="","", 'Equipment Information'!A63)</f>
        <v/>
      </c>
      <c r="B63">
        <f>IF('Equipment Information'!B63="","", 'Equipment Information'!B63)</f>
        <v/>
      </c>
      <c r="C63">
        <f>IF('Equipment Information'!C63="","", 'Equipment Information'!C63)</f>
        <v/>
      </c>
      <c r="F63">
        <f>IF(A63="","","N/A")</f>
        <v/>
      </c>
    </row>
    <row r="64">
      <c r="A64">
        <f>IF('Equipment Information'!A64="","", 'Equipment Information'!A64)</f>
        <v/>
      </c>
      <c r="B64">
        <f>IF('Equipment Information'!B64="","", 'Equipment Information'!B64)</f>
        <v/>
      </c>
      <c r="C64">
        <f>IF('Equipment Information'!C64="","", 'Equipment Information'!C64)</f>
        <v/>
      </c>
      <c r="F64">
        <f>IF(A64="","","N/A")</f>
        <v/>
      </c>
    </row>
    <row r="65">
      <c r="A65">
        <f>IF('Equipment Information'!A65="","", 'Equipment Information'!A65)</f>
        <v/>
      </c>
      <c r="B65">
        <f>IF('Equipment Information'!B65="","", 'Equipment Information'!B65)</f>
        <v/>
      </c>
      <c r="C65">
        <f>IF('Equipment Information'!C65="","", 'Equipment Information'!C65)</f>
        <v/>
      </c>
      <c r="F65">
        <f>IF(A65="","","N/A")</f>
        <v/>
      </c>
    </row>
    <row r="66">
      <c r="A66">
        <f>IF('Equipment Information'!A66="","", 'Equipment Information'!A66)</f>
        <v/>
      </c>
      <c r="B66">
        <f>IF('Equipment Information'!B66="","", 'Equipment Information'!B66)</f>
        <v/>
      </c>
      <c r="C66">
        <f>IF('Equipment Information'!C66="","", 'Equipment Information'!C66)</f>
        <v/>
      </c>
      <c r="F66">
        <f>IF(A66="","","N/A")</f>
        <v/>
      </c>
    </row>
    <row r="67">
      <c r="A67">
        <f>IF('Equipment Information'!A67="","", 'Equipment Information'!A67)</f>
        <v/>
      </c>
      <c r="B67">
        <f>IF('Equipment Information'!B67="","", 'Equipment Information'!B67)</f>
        <v/>
      </c>
      <c r="C67">
        <f>IF('Equipment Information'!C67="","", 'Equipment Information'!C67)</f>
        <v/>
      </c>
      <c r="F67">
        <f>IF(A67="","","N/A")</f>
        <v/>
      </c>
    </row>
    <row r="68">
      <c r="A68">
        <f>IF('Equipment Information'!A68="","", 'Equipment Information'!A68)</f>
        <v/>
      </c>
      <c r="B68">
        <f>IF('Equipment Information'!B68="","", 'Equipment Information'!B68)</f>
        <v/>
      </c>
      <c r="C68">
        <f>IF('Equipment Information'!C68="","", 'Equipment Information'!C68)</f>
        <v/>
      </c>
      <c r="F68">
        <f>IF(A68="","","N/A")</f>
        <v/>
      </c>
    </row>
    <row r="69">
      <c r="A69">
        <f>IF('Equipment Information'!A69="","", 'Equipment Information'!A69)</f>
        <v/>
      </c>
      <c r="B69">
        <f>IF('Equipment Information'!B69="","", 'Equipment Information'!B69)</f>
        <v/>
      </c>
      <c r="C69">
        <f>IF('Equipment Information'!C69="","", 'Equipment Information'!C69)</f>
        <v/>
      </c>
      <c r="F69">
        <f>IF(A69="","","N/A")</f>
        <v/>
      </c>
    </row>
    <row r="70">
      <c r="A70">
        <f>IF('Equipment Information'!A70="","", 'Equipment Information'!A70)</f>
        <v/>
      </c>
      <c r="B70">
        <f>IF('Equipment Information'!B70="","", 'Equipment Information'!B70)</f>
        <v/>
      </c>
      <c r="C70">
        <f>IF('Equipment Information'!C70="","", 'Equipment Information'!C70)</f>
        <v/>
      </c>
      <c r="F70">
        <f>IF(A70="","","N/A")</f>
        <v/>
      </c>
    </row>
    <row r="71">
      <c r="A71">
        <f>IF('Equipment Information'!A71="","", 'Equipment Information'!A71)</f>
        <v/>
      </c>
      <c r="B71">
        <f>IF('Equipment Information'!B71="","", 'Equipment Information'!B71)</f>
        <v/>
      </c>
      <c r="C71">
        <f>IF('Equipment Information'!C71="","", 'Equipment Information'!C71)</f>
        <v/>
      </c>
      <c r="F71">
        <f>IF(A71="","","N/A")</f>
        <v/>
      </c>
    </row>
    <row r="72">
      <c r="A72">
        <f>IF('Equipment Information'!A72="","", 'Equipment Information'!A72)</f>
        <v/>
      </c>
      <c r="B72">
        <f>IF('Equipment Information'!B72="","", 'Equipment Information'!B72)</f>
        <v/>
      </c>
      <c r="C72">
        <f>IF('Equipment Information'!C72="","", 'Equipment Information'!C72)</f>
        <v/>
      </c>
      <c r="F72">
        <f>IF(A72="","","N/A")</f>
        <v/>
      </c>
    </row>
    <row r="73">
      <c r="A73">
        <f>IF('Equipment Information'!A73="","", 'Equipment Information'!A73)</f>
        <v/>
      </c>
      <c r="B73">
        <f>IF('Equipment Information'!B73="","", 'Equipment Information'!B73)</f>
        <v/>
      </c>
      <c r="C73">
        <f>IF('Equipment Information'!C73="","", 'Equipment Information'!C73)</f>
        <v/>
      </c>
      <c r="F73">
        <f>IF(A73="","","N/A")</f>
        <v/>
      </c>
    </row>
    <row r="74">
      <c r="A74">
        <f>IF('Equipment Information'!A74="","", 'Equipment Information'!A74)</f>
        <v/>
      </c>
      <c r="B74">
        <f>IF('Equipment Information'!B74="","", 'Equipment Information'!B74)</f>
        <v/>
      </c>
      <c r="C74">
        <f>IF('Equipment Information'!C74="","", 'Equipment Information'!C74)</f>
        <v/>
      </c>
      <c r="F74">
        <f>IF(A74="","","N/A")</f>
        <v/>
      </c>
    </row>
    <row r="75">
      <c r="A75">
        <f>IF('Equipment Information'!A75="","", 'Equipment Information'!A75)</f>
        <v/>
      </c>
      <c r="B75">
        <f>IF('Equipment Information'!B75="","", 'Equipment Information'!B75)</f>
        <v/>
      </c>
      <c r="C75">
        <f>IF('Equipment Information'!C75="","", 'Equipment Information'!C75)</f>
        <v/>
      </c>
      <c r="F75">
        <f>IF(A75="","","N/A")</f>
        <v/>
      </c>
    </row>
    <row r="76">
      <c r="A76">
        <f>IF('Equipment Information'!A76="","", 'Equipment Information'!A76)</f>
        <v/>
      </c>
      <c r="B76">
        <f>IF('Equipment Information'!B76="","", 'Equipment Information'!B76)</f>
        <v/>
      </c>
      <c r="C76">
        <f>IF('Equipment Information'!C76="","", 'Equipment Information'!C76)</f>
        <v/>
      </c>
      <c r="F76">
        <f>IF(A76="","","N/A")</f>
        <v/>
      </c>
    </row>
    <row r="77">
      <c r="A77">
        <f>IF('Equipment Information'!A77="","", 'Equipment Information'!A77)</f>
        <v/>
      </c>
      <c r="B77">
        <f>IF('Equipment Information'!B77="","", 'Equipment Information'!B77)</f>
        <v/>
      </c>
      <c r="C77">
        <f>IF('Equipment Information'!C77="","", 'Equipment Information'!C77)</f>
        <v/>
      </c>
      <c r="F77">
        <f>IF(A77="","","N/A")</f>
        <v/>
      </c>
    </row>
    <row r="78">
      <c r="A78">
        <f>IF('Equipment Information'!A78="","", 'Equipment Information'!A78)</f>
        <v/>
      </c>
      <c r="B78">
        <f>IF('Equipment Information'!B78="","", 'Equipment Information'!B78)</f>
        <v/>
      </c>
      <c r="C78">
        <f>IF('Equipment Information'!C78="","", 'Equipment Information'!C78)</f>
        <v/>
      </c>
      <c r="F78">
        <f>IF(A78="","","N/A")</f>
        <v/>
      </c>
    </row>
    <row r="79">
      <c r="A79">
        <f>IF('Equipment Information'!A79="","", 'Equipment Information'!A79)</f>
        <v/>
      </c>
      <c r="B79">
        <f>IF('Equipment Information'!B79="","", 'Equipment Information'!B79)</f>
        <v/>
      </c>
      <c r="C79">
        <f>IF('Equipment Information'!C79="","", 'Equipment Information'!C79)</f>
        <v/>
      </c>
      <c r="F79">
        <f>IF(A79="","","N/A")</f>
        <v/>
      </c>
    </row>
    <row r="80">
      <c r="A80">
        <f>IF('Equipment Information'!A80="","", 'Equipment Information'!A80)</f>
        <v/>
      </c>
      <c r="B80">
        <f>IF('Equipment Information'!B80="","", 'Equipment Information'!B80)</f>
        <v/>
      </c>
      <c r="C80">
        <f>IF('Equipment Information'!C80="","", 'Equipment Information'!C80)</f>
        <v/>
      </c>
      <c r="F80">
        <f>IF(A80="","","N/A")</f>
        <v/>
      </c>
    </row>
    <row r="81">
      <c r="A81">
        <f>IF('Equipment Information'!A81="","", 'Equipment Information'!A81)</f>
        <v/>
      </c>
      <c r="B81">
        <f>IF('Equipment Information'!B81="","", 'Equipment Information'!B81)</f>
        <v/>
      </c>
      <c r="C81">
        <f>IF('Equipment Information'!C81="","", 'Equipment Information'!C81)</f>
        <v/>
      </c>
      <c r="F81">
        <f>IF(A81="","","N/A")</f>
        <v/>
      </c>
    </row>
    <row r="82">
      <c r="A82">
        <f>IF('Equipment Information'!A82="","", 'Equipment Information'!A82)</f>
        <v/>
      </c>
      <c r="B82">
        <f>IF('Equipment Information'!B82="","", 'Equipment Information'!B82)</f>
        <v/>
      </c>
      <c r="C82">
        <f>IF('Equipment Information'!C82="","", 'Equipment Information'!C82)</f>
        <v/>
      </c>
      <c r="F82">
        <f>IF(A82="","","N/A")</f>
        <v/>
      </c>
    </row>
    <row r="83">
      <c r="A83">
        <f>IF('Equipment Information'!A83="","", 'Equipment Information'!A83)</f>
        <v/>
      </c>
      <c r="B83">
        <f>IF('Equipment Information'!B83="","", 'Equipment Information'!B83)</f>
        <v/>
      </c>
      <c r="C83">
        <f>IF('Equipment Information'!C83="","", 'Equipment Information'!C83)</f>
        <v/>
      </c>
      <c r="F83">
        <f>IF(A83="","","N/A")</f>
        <v/>
      </c>
    </row>
    <row r="84">
      <c r="A84">
        <f>IF('Equipment Information'!A84="","", 'Equipment Information'!A84)</f>
        <v/>
      </c>
      <c r="B84">
        <f>IF('Equipment Information'!B84="","", 'Equipment Information'!B84)</f>
        <v/>
      </c>
      <c r="C84">
        <f>IF('Equipment Information'!C84="","", 'Equipment Information'!C84)</f>
        <v/>
      </c>
      <c r="F84">
        <f>IF(A84="","","N/A")</f>
        <v/>
      </c>
    </row>
    <row r="85">
      <c r="A85">
        <f>IF('Equipment Information'!A85="","", 'Equipment Information'!A85)</f>
        <v/>
      </c>
      <c r="B85">
        <f>IF('Equipment Information'!B85="","", 'Equipment Information'!B85)</f>
        <v/>
      </c>
      <c r="C85">
        <f>IF('Equipment Information'!C85="","", 'Equipment Information'!C85)</f>
        <v/>
      </c>
      <c r="F85">
        <f>IF(A85="","","N/A")</f>
        <v/>
      </c>
    </row>
    <row r="86">
      <c r="A86">
        <f>IF('Equipment Information'!A86="","", 'Equipment Information'!A86)</f>
        <v/>
      </c>
      <c r="B86">
        <f>IF('Equipment Information'!B86="","", 'Equipment Information'!B86)</f>
        <v/>
      </c>
      <c r="C86">
        <f>IF('Equipment Information'!C86="","", 'Equipment Information'!C86)</f>
        <v/>
      </c>
      <c r="F86">
        <f>IF(A86="","","N/A")</f>
        <v/>
      </c>
    </row>
    <row r="87">
      <c r="A87">
        <f>IF('Equipment Information'!A87="","", 'Equipment Information'!A87)</f>
        <v/>
      </c>
      <c r="B87">
        <f>IF('Equipment Information'!B87="","", 'Equipment Information'!B87)</f>
        <v/>
      </c>
      <c r="C87">
        <f>IF('Equipment Information'!C87="","", 'Equipment Information'!C87)</f>
        <v/>
      </c>
      <c r="F87">
        <f>IF(A87="","","N/A")</f>
        <v/>
      </c>
    </row>
    <row r="88">
      <c r="A88">
        <f>IF('Equipment Information'!A88="","", 'Equipment Information'!A88)</f>
        <v/>
      </c>
      <c r="B88">
        <f>IF('Equipment Information'!B88="","", 'Equipment Information'!B88)</f>
        <v/>
      </c>
      <c r="C88">
        <f>IF('Equipment Information'!C88="","", 'Equipment Information'!C88)</f>
        <v/>
      </c>
      <c r="F88">
        <f>IF(A88="","","N/A")</f>
        <v/>
      </c>
    </row>
    <row r="89">
      <c r="A89">
        <f>IF('Equipment Information'!A89="","", 'Equipment Information'!A89)</f>
        <v/>
      </c>
      <c r="B89">
        <f>IF('Equipment Information'!B89="","", 'Equipment Information'!B89)</f>
        <v/>
      </c>
      <c r="C89">
        <f>IF('Equipment Information'!C89="","", 'Equipment Information'!C89)</f>
        <v/>
      </c>
      <c r="F89">
        <f>IF(A89="","","N/A")</f>
        <v/>
      </c>
    </row>
    <row r="90">
      <c r="A90">
        <f>IF('Equipment Information'!A90="","", 'Equipment Information'!A90)</f>
        <v/>
      </c>
      <c r="B90">
        <f>IF('Equipment Information'!B90="","", 'Equipment Information'!B90)</f>
        <v/>
      </c>
      <c r="C90">
        <f>IF('Equipment Information'!C90="","", 'Equipment Information'!C90)</f>
        <v/>
      </c>
      <c r="F90">
        <f>IF(A90="","","N/A")</f>
        <v/>
      </c>
    </row>
    <row r="91">
      <c r="A91">
        <f>IF('Equipment Information'!A91="","", 'Equipment Information'!A91)</f>
        <v/>
      </c>
      <c r="B91">
        <f>IF('Equipment Information'!B91="","", 'Equipment Information'!B91)</f>
        <v/>
      </c>
      <c r="C91">
        <f>IF('Equipment Information'!C91="","", 'Equipment Information'!C91)</f>
        <v/>
      </c>
      <c r="F91">
        <f>IF(A91="","","N/A")</f>
        <v/>
      </c>
    </row>
    <row r="92">
      <c r="A92">
        <f>IF('Equipment Information'!A92="","", 'Equipment Information'!A92)</f>
        <v/>
      </c>
      <c r="B92">
        <f>IF('Equipment Information'!B92="","", 'Equipment Information'!B92)</f>
        <v/>
      </c>
      <c r="C92">
        <f>IF('Equipment Information'!C92="","", 'Equipment Information'!C92)</f>
        <v/>
      </c>
      <c r="F92">
        <f>IF(A92="","","N/A")</f>
        <v/>
      </c>
    </row>
    <row r="93">
      <c r="A93">
        <f>IF('Equipment Information'!A93="","", 'Equipment Information'!A93)</f>
        <v/>
      </c>
      <c r="B93">
        <f>IF('Equipment Information'!B93="","", 'Equipment Information'!B93)</f>
        <v/>
      </c>
      <c r="C93">
        <f>IF('Equipment Information'!C93="","", 'Equipment Information'!C93)</f>
        <v/>
      </c>
      <c r="F93">
        <f>IF(A93="","","N/A")</f>
        <v/>
      </c>
    </row>
    <row r="94">
      <c r="A94">
        <f>IF('Equipment Information'!A94="","", 'Equipment Information'!A94)</f>
        <v/>
      </c>
      <c r="B94">
        <f>IF('Equipment Information'!B94="","", 'Equipment Information'!B94)</f>
        <v/>
      </c>
      <c r="C94">
        <f>IF('Equipment Information'!C94="","", 'Equipment Information'!C94)</f>
        <v/>
      </c>
      <c r="F94">
        <f>IF(A94="","","N/A")</f>
        <v/>
      </c>
    </row>
    <row r="95">
      <c r="A95">
        <f>IF('Equipment Information'!A95="","", 'Equipment Information'!A95)</f>
        <v/>
      </c>
      <c r="B95">
        <f>IF('Equipment Information'!B95="","", 'Equipment Information'!B95)</f>
        <v/>
      </c>
      <c r="C95">
        <f>IF('Equipment Information'!C95="","", 'Equipment Information'!C95)</f>
        <v/>
      </c>
      <c r="F95">
        <f>IF(A95="","","N/A")</f>
        <v/>
      </c>
    </row>
    <row r="96">
      <c r="A96">
        <f>IF('Equipment Information'!A96="","", 'Equipment Information'!A96)</f>
        <v/>
      </c>
      <c r="B96">
        <f>IF('Equipment Information'!B96="","", 'Equipment Information'!B96)</f>
        <v/>
      </c>
      <c r="C96">
        <f>IF('Equipment Information'!C96="","", 'Equipment Information'!C96)</f>
        <v/>
      </c>
      <c r="F96">
        <f>IF(A96="","","N/A")</f>
        <v/>
      </c>
    </row>
    <row r="97">
      <c r="A97">
        <f>IF('Equipment Information'!A97="","", 'Equipment Information'!A97)</f>
        <v/>
      </c>
      <c r="B97">
        <f>IF('Equipment Information'!B97="","", 'Equipment Information'!B97)</f>
        <v/>
      </c>
      <c r="C97">
        <f>IF('Equipment Information'!C97="","", 'Equipment Information'!C97)</f>
        <v/>
      </c>
      <c r="F97">
        <f>IF(A97="","","N/A")</f>
        <v/>
      </c>
    </row>
    <row r="98">
      <c r="A98">
        <f>IF('Equipment Information'!A98="","", 'Equipment Information'!A98)</f>
        <v/>
      </c>
      <c r="B98">
        <f>IF('Equipment Information'!B98="","", 'Equipment Information'!B98)</f>
        <v/>
      </c>
      <c r="C98">
        <f>IF('Equipment Information'!C98="","", 'Equipment Information'!C98)</f>
        <v/>
      </c>
      <c r="F98">
        <f>IF(A98="","","N/A")</f>
        <v/>
      </c>
    </row>
    <row r="99">
      <c r="A99">
        <f>IF('Equipment Information'!A99="","", 'Equipment Information'!A99)</f>
        <v/>
      </c>
      <c r="B99">
        <f>IF('Equipment Information'!B99="","", 'Equipment Information'!B99)</f>
        <v/>
      </c>
      <c r="C99">
        <f>IF('Equipment Information'!C99="","", 'Equipment Information'!C99)</f>
        <v/>
      </c>
      <c r="F99">
        <f>IF(A99="","","N/A")</f>
        <v/>
      </c>
    </row>
    <row r="100">
      <c r="A100">
        <f>IF('Equipment Information'!A100="","", 'Equipment Information'!A100)</f>
        <v/>
      </c>
      <c r="B100">
        <f>IF('Equipment Information'!B100="","", 'Equipment Information'!B100)</f>
        <v/>
      </c>
      <c r="C100">
        <f>IF('Equipment Information'!C100="","", 'Equipment Information'!C100)</f>
        <v/>
      </c>
      <c r="F100">
        <f>IF(A100="","","N/A")</f>
        <v/>
      </c>
    </row>
    <row r="101">
      <c r="A101">
        <f>IF('Equipment Information'!A101="","", 'Equipment Information'!A101)</f>
        <v/>
      </c>
      <c r="B101">
        <f>IF('Equipment Information'!B101="","", 'Equipment Information'!B101)</f>
        <v/>
      </c>
      <c r="C101">
        <f>IF('Equipment Information'!C101="","", 'Equipment Information'!C101)</f>
        <v/>
      </c>
      <c r="F101">
        <f>IF(A101="","","N/A")</f>
        <v/>
      </c>
    </row>
    <row r="102">
      <c r="A102">
        <f>IF('Equipment Information'!A102="","", 'Equipment Information'!A102)</f>
        <v/>
      </c>
      <c r="B102">
        <f>IF('Equipment Information'!B102="","", 'Equipment Information'!B102)</f>
        <v/>
      </c>
      <c r="C102">
        <f>IF('Equipment Information'!C102="","", 'Equipment Information'!C102)</f>
        <v/>
      </c>
      <c r="F102">
        <f>IF(A102="","","N/A")</f>
        <v/>
      </c>
    </row>
    <row r="103">
      <c r="A103">
        <f>IF('Equipment Information'!A103="","", 'Equipment Information'!A103)</f>
        <v/>
      </c>
      <c r="B103">
        <f>IF('Equipment Information'!B103="","", 'Equipment Information'!B103)</f>
        <v/>
      </c>
      <c r="C103">
        <f>IF('Equipment Information'!C103="","", 'Equipment Information'!C103)</f>
        <v/>
      </c>
      <c r="F103">
        <f>IF(A103="","","N/A")</f>
        <v/>
      </c>
    </row>
    <row r="104">
      <c r="A104">
        <f>IF('Equipment Information'!A104="","", 'Equipment Information'!A104)</f>
        <v/>
      </c>
      <c r="B104">
        <f>IF('Equipment Information'!B104="","", 'Equipment Information'!B104)</f>
        <v/>
      </c>
      <c r="C104">
        <f>IF('Equipment Information'!C104="","", 'Equipment Information'!C104)</f>
        <v/>
      </c>
      <c r="F104">
        <f>IF(A104="","","N/A")</f>
        <v/>
      </c>
    </row>
    <row r="105">
      <c r="A105">
        <f>IF('Equipment Information'!A105="","", 'Equipment Information'!A105)</f>
        <v/>
      </c>
      <c r="B105">
        <f>IF('Equipment Information'!B105="","", 'Equipment Information'!B105)</f>
        <v/>
      </c>
      <c r="C105">
        <f>IF('Equipment Information'!C105="","", 'Equipment Information'!C105)</f>
        <v/>
      </c>
      <c r="F105">
        <f>IF(A105="","","N/A")</f>
        <v/>
      </c>
    </row>
    <row r="106">
      <c r="A106">
        <f>IF('Equipment Information'!A106="","", 'Equipment Information'!A106)</f>
        <v/>
      </c>
      <c r="B106">
        <f>IF('Equipment Information'!B106="","", 'Equipment Information'!B106)</f>
        <v/>
      </c>
      <c r="C106">
        <f>IF('Equipment Information'!C106="","", 'Equipment Information'!C106)</f>
        <v/>
      </c>
      <c r="F106">
        <f>IF(A106="","","N/A")</f>
        <v/>
      </c>
    </row>
    <row r="107">
      <c r="A107">
        <f>IF('Equipment Information'!A107="","", 'Equipment Information'!A107)</f>
        <v/>
      </c>
      <c r="B107">
        <f>IF('Equipment Information'!B107="","", 'Equipment Information'!B107)</f>
        <v/>
      </c>
      <c r="C107">
        <f>IF('Equipment Information'!C107="","", 'Equipment Information'!C107)</f>
        <v/>
      </c>
      <c r="F107">
        <f>IF(A107="","","N/A")</f>
        <v/>
      </c>
    </row>
    <row r="108">
      <c r="A108">
        <f>IF('Equipment Information'!A108="","", 'Equipment Information'!A108)</f>
        <v/>
      </c>
      <c r="B108">
        <f>IF('Equipment Information'!B108="","", 'Equipment Information'!B108)</f>
        <v/>
      </c>
      <c r="C108">
        <f>IF('Equipment Information'!C108="","", 'Equipment Information'!C108)</f>
        <v/>
      </c>
      <c r="F108">
        <f>IF(A108="","","N/A")</f>
        <v/>
      </c>
    </row>
    <row r="109">
      <c r="A109">
        <f>IF('Equipment Information'!A109="","", 'Equipment Information'!A109)</f>
        <v/>
      </c>
      <c r="B109">
        <f>IF('Equipment Information'!B109="","", 'Equipment Information'!B109)</f>
        <v/>
      </c>
      <c r="C109">
        <f>IF('Equipment Information'!C109="","", 'Equipment Information'!C109)</f>
        <v/>
      </c>
      <c r="F109">
        <f>IF(A109="","","N/A")</f>
        <v/>
      </c>
    </row>
    <row r="110">
      <c r="A110">
        <f>IF('Equipment Information'!A110="","", 'Equipment Information'!A110)</f>
        <v/>
      </c>
      <c r="B110">
        <f>IF('Equipment Information'!B110="","", 'Equipment Information'!B110)</f>
        <v/>
      </c>
      <c r="C110">
        <f>IF('Equipment Information'!C110="","", 'Equipment Information'!C110)</f>
        <v/>
      </c>
      <c r="F110">
        <f>IF(A110="","","N/A")</f>
        <v/>
      </c>
    </row>
    <row r="111">
      <c r="A111">
        <f>IF('Equipment Information'!A111="","", 'Equipment Information'!A111)</f>
        <v/>
      </c>
      <c r="B111">
        <f>IF('Equipment Information'!B111="","", 'Equipment Information'!B111)</f>
        <v/>
      </c>
      <c r="C111">
        <f>IF('Equipment Information'!C111="","", 'Equipment Information'!C111)</f>
        <v/>
      </c>
      <c r="F111">
        <f>IF(A111="","","N/A")</f>
        <v/>
      </c>
    </row>
    <row r="112">
      <c r="A112">
        <f>IF('Equipment Information'!A112="","", 'Equipment Information'!A112)</f>
        <v/>
      </c>
      <c r="B112">
        <f>IF('Equipment Information'!B112="","", 'Equipment Information'!B112)</f>
        <v/>
      </c>
      <c r="C112">
        <f>IF('Equipment Information'!C112="","", 'Equipment Information'!C112)</f>
        <v/>
      </c>
      <c r="F112">
        <f>IF(A112="","","N/A")</f>
        <v/>
      </c>
    </row>
    <row r="113">
      <c r="A113">
        <f>IF('Equipment Information'!A113="","", 'Equipment Information'!A113)</f>
        <v/>
      </c>
      <c r="B113">
        <f>IF('Equipment Information'!B113="","", 'Equipment Information'!B113)</f>
        <v/>
      </c>
      <c r="C113">
        <f>IF('Equipment Information'!C113="","", 'Equipment Information'!C113)</f>
        <v/>
      </c>
      <c r="F113">
        <f>IF(A113="","","N/A")</f>
        <v/>
      </c>
    </row>
    <row r="114">
      <c r="A114">
        <f>IF('Equipment Information'!A114="","", 'Equipment Information'!A114)</f>
        <v/>
      </c>
      <c r="B114">
        <f>IF('Equipment Information'!B114="","", 'Equipment Information'!B114)</f>
        <v/>
      </c>
      <c r="C114">
        <f>IF('Equipment Information'!C114="","", 'Equipment Information'!C114)</f>
        <v/>
      </c>
      <c r="F114">
        <f>IF(A114="","","N/A")</f>
        <v/>
      </c>
    </row>
    <row r="115">
      <c r="A115">
        <f>IF('Equipment Information'!A115="","", 'Equipment Information'!A115)</f>
        <v/>
      </c>
      <c r="B115">
        <f>IF('Equipment Information'!B115="","", 'Equipment Information'!B115)</f>
        <v/>
      </c>
      <c r="C115">
        <f>IF('Equipment Information'!C115="","", 'Equipment Information'!C115)</f>
        <v/>
      </c>
      <c r="F115">
        <f>IF(A115="","","N/A")</f>
        <v/>
      </c>
    </row>
    <row r="116">
      <c r="A116">
        <f>IF('Equipment Information'!A116="","", 'Equipment Information'!A116)</f>
        <v/>
      </c>
      <c r="B116">
        <f>IF('Equipment Information'!B116="","", 'Equipment Information'!B116)</f>
        <v/>
      </c>
      <c r="C116">
        <f>IF('Equipment Information'!C116="","", 'Equipment Information'!C116)</f>
        <v/>
      </c>
      <c r="F116">
        <f>IF(A116="","","N/A")</f>
        <v/>
      </c>
    </row>
    <row r="117">
      <c r="A117">
        <f>IF('Equipment Information'!A117="","", 'Equipment Information'!A117)</f>
        <v/>
      </c>
      <c r="B117">
        <f>IF('Equipment Information'!B117="","", 'Equipment Information'!B117)</f>
        <v/>
      </c>
      <c r="C117">
        <f>IF('Equipment Information'!C117="","", 'Equipment Information'!C117)</f>
        <v/>
      </c>
      <c r="F117">
        <f>IF(A117="","","N/A")</f>
        <v/>
      </c>
    </row>
    <row r="118">
      <c r="A118">
        <f>IF('Equipment Information'!A118="","", 'Equipment Information'!A118)</f>
        <v/>
      </c>
      <c r="B118">
        <f>IF('Equipment Information'!B118="","", 'Equipment Information'!B118)</f>
        <v/>
      </c>
      <c r="C118">
        <f>IF('Equipment Information'!C118="","", 'Equipment Information'!C118)</f>
        <v/>
      </c>
      <c r="F118">
        <f>IF(A118="","","N/A")</f>
        <v/>
      </c>
    </row>
    <row r="119">
      <c r="A119">
        <f>IF('Equipment Information'!A119="","", 'Equipment Information'!A119)</f>
        <v/>
      </c>
      <c r="B119">
        <f>IF('Equipment Information'!B119="","", 'Equipment Information'!B119)</f>
        <v/>
      </c>
      <c r="C119">
        <f>IF('Equipment Information'!C119="","", 'Equipment Information'!C119)</f>
        <v/>
      </c>
      <c r="F119">
        <f>IF(A119="","","N/A")</f>
        <v/>
      </c>
    </row>
    <row r="120">
      <c r="A120">
        <f>IF('Equipment Information'!A120="","", 'Equipment Information'!A120)</f>
        <v/>
      </c>
      <c r="B120">
        <f>IF('Equipment Information'!B120="","", 'Equipment Information'!B120)</f>
        <v/>
      </c>
      <c r="C120">
        <f>IF('Equipment Information'!C120="","", 'Equipment Information'!C120)</f>
        <v/>
      </c>
      <c r="F120">
        <f>IF(A120="","","N/A")</f>
        <v/>
      </c>
    </row>
    <row r="121">
      <c r="A121">
        <f>IF('Equipment Information'!A121="","", 'Equipment Information'!A121)</f>
        <v/>
      </c>
      <c r="B121">
        <f>IF('Equipment Information'!B121="","", 'Equipment Information'!B121)</f>
        <v/>
      </c>
      <c r="C121">
        <f>IF('Equipment Information'!C121="","", 'Equipment Information'!C121)</f>
        <v/>
      </c>
      <c r="F121">
        <f>IF(A121="","","N/A")</f>
        <v/>
      </c>
    </row>
    <row r="122">
      <c r="A122">
        <f>IF('Equipment Information'!A122="","", 'Equipment Information'!A122)</f>
        <v/>
      </c>
      <c r="B122">
        <f>IF('Equipment Information'!B122="","", 'Equipment Information'!B122)</f>
        <v/>
      </c>
      <c r="C122">
        <f>IF('Equipment Information'!C122="","", 'Equipment Information'!C122)</f>
        <v/>
      </c>
      <c r="F122">
        <f>IF(A122="","","N/A")</f>
        <v/>
      </c>
    </row>
    <row r="123">
      <c r="A123">
        <f>IF('Equipment Information'!A123="","", 'Equipment Information'!A123)</f>
        <v/>
      </c>
      <c r="B123">
        <f>IF('Equipment Information'!B123="","", 'Equipment Information'!B123)</f>
        <v/>
      </c>
      <c r="C123">
        <f>IF('Equipment Information'!C123="","", 'Equipment Information'!C123)</f>
        <v/>
      </c>
      <c r="F123">
        <f>IF(A123="","","N/A")</f>
        <v/>
      </c>
    </row>
    <row r="124">
      <c r="A124">
        <f>IF('Equipment Information'!A124="","", 'Equipment Information'!A124)</f>
        <v/>
      </c>
      <c r="B124">
        <f>IF('Equipment Information'!B124="","", 'Equipment Information'!B124)</f>
        <v/>
      </c>
      <c r="C124">
        <f>IF('Equipment Information'!C124="","", 'Equipment Information'!C124)</f>
        <v/>
      </c>
      <c r="F124">
        <f>IF(A124="","","N/A")</f>
        <v/>
      </c>
    </row>
    <row r="125">
      <c r="A125">
        <f>IF('Equipment Information'!A125="","", 'Equipment Information'!A125)</f>
        <v/>
      </c>
      <c r="B125">
        <f>IF('Equipment Information'!B125="","", 'Equipment Information'!B125)</f>
        <v/>
      </c>
      <c r="C125">
        <f>IF('Equipment Information'!C125="","", 'Equipment Information'!C125)</f>
        <v/>
      </c>
      <c r="F125">
        <f>IF(A125="","","N/A")</f>
        <v/>
      </c>
    </row>
    <row r="126">
      <c r="A126">
        <f>IF('Equipment Information'!A126="","", 'Equipment Information'!A126)</f>
        <v/>
      </c>
      <c r="B126">
        <f>IF('Equipment Information'!B126="","", 'Equipment Information'!B126)</f>
        <v/>
      </c>
      <c r="C126">
        <f>IF('Equipment Information'!C126="","", 'Equipment Information'!C126)</f>
        <v/>
      </c>
      <c r="F126">
        <f>IF(A126="","","N/A")</f>
        <v/>
      </c>
    </row>
    <row r="127">
      <c r="A127">
        <f>IF('Equipment Information'!A127="","", 'Equipment Information'!A127)</f>
        <v/>
      </c>
      <c r="B127">
        <f>IF('Equipment Information'!B127="","", 'Equipment Information'!B127)</f>
        <v/>
      </c>
      <c r="C127">
        <f>IF('Equipment Information'!C127="","", 'Equipment Information'!C127)</f>
        <v/>
      </c>
      <c r="F127">
        <f>IF(A127="","","N/A")</f>
        <v/>
      </c>
    </row>
    <row r="128">
      <c r="A128">
        <f>IF('Equipment Information'!A128="","", 'Equipment Information'!A128)</f>
        <v/>
      </c>
      <c r="B128">
        <f>IF('Equipment Information'!B128="","", 'Equipment Information'!B128)</f>
        <v/>
      </c>
      <c r="C128">
        <f>IF('Equipment Information'!C128="","", 'Equipment Information'!C128)</f>
        <v/>
      </c>
      <c r="F128">
        <f>IF(A128="","","N/A")</f>
        <v/>
      </c>
    </row>
    <row r="129">
      <c r="A129">
        <f>IF('Equipment Information'!A129="","", 'Equipment Information'!A129)</f>
        <v/>
      </c>
      <c r="B129">
        <f>IF('Equipment Information'!B129="","", 'Equipment Information'!B129)</f>
        <v/>
      </c>
      <c r="C129">
        <f>IF('Equipment Information'!C129="","", 'Equipment Information'!C129)</f>
        <v/>
      </c>
      <c r="F129">
        <f>IF(A129="","","N/A")</f>
        <v/>
      </c>
    </row>
    <row r="130">
      <c r="A130">
        <f>IF('Equipment Information'!A130="","", 'Equipment Information'!A130)</f>
        <v/>
      </c>
      <c r="B130">
        <f>IF('Equipment Information'!B130="","", 'Equipment Information'!B130)</f>
        <v/>
      </c>
      <c r="C130">
        <f>IF('Equipment Information'!C130="","", 'Equipment Information'!C130)</f>
        <v/>
      </c>
      <c r="F130">
        <f>IF(A130="","","N/A")</f>
        <v/>
      </c>
    </row>
    <row r="131">
      <c r="A131">
        <f>IF('Equipment Information'!A131="","", 'Equipment Information'!A131)</f>
        <v/>
      </c>
      <c r="B131">
        <f>IF('Equipment Information'!B131="","", 'Equipment Information'!B131)</f>
        <v/>
      </c>
      <c r="C131">
        <f>IF('Equipment Information'!C131="","", 'Equipment Information'!C131)</f>
        <v/>
      </c>
      <c r="F131">
        <f>IF(A131="","","N/A")</f>
        <v/>
      </c>
    </row>
    <row r="132">
      <c r="A132">
        <f>IF('Equipment Information'!A132="","", 'Equipment Information'!A132)</f>
        <v/>
      </c>
      <c r="B132">
        <f>IF('Equipment Information'!B132="","", 'Equipment Information'!B132)</f>
        <v/>
      </c>
      <c r="C132">
        <f>IF('Equipment Information'!C132="","", 'Equipment Information'!C132)</f>
        <v/>
      </c>
      <c r="F132">
        <f>IF(A132="","","N/A")</f>
        <v/>
      </c>
    </row>
    <row r="133">
      <c r="A133">
        <f>IF('Equipment Information'!A133="","", 'Equipment Information'!A133)</f>
        <v/>
      </c>
      <c r="B133">
        <f>IF('Equipment Information'!B133="","", 'Equipment Information'!B133)</f>
        <v/>
      </c>
      <c r="C133">
        <f>IF('Equipment Information'!C133="","", 'Equipment Information'!C133)</f>
        <v/>
      </c>
      <c r="F133">
        <f>IF(A133="","","N/A")</f>
        <v/>
      </c>
    </row>
    <row r="134">
      <c r="A134">
        <f>IF('Equipment Information'!A134="","", 'Equipment Information'!A134)</f>
        <v/>
      </c>
      <c r="B134">
        <f>IF('Equipment Information'!B134="","", 'Equipment Information'!B134)</f>
        <v/>
      </c>
      <c r="C134">
        <f>IF('Equipment Information'!C134="","", 'Equipment Information'!C134)</f>
        <v/>
      </c>
      <c r="F134">
        <f>IF(A134="","","N/A")</f>
        <v/>
      </c>
    </row>
    <row r="135">
      <c r="A135">
        <f>IF('Equipment Information'!A135="","", 'Equipment Information'!A135)</f>
        <v/>
      </c>
      <c r="B135">
        <f>IF('Equipment Information'!B135="","", 'Equipment Information'!B135)</f>
        <v/>
      </c>
      <c r="C135">
        <f>IF('Equipment Information'!C135="","", 'Equipment Information'!C135)</f>
        <v/>
      </c>
      <c r="F135">
        <f>IF(A135="","","N/A")</f>
        <v/>
      </c>
    </row>
    <row r="136">
      <c r="A136">
        <f>IF('Equipment Information'!A136="","", 'Equipment Information'!A136)</f>
        <v/>
      </c>
      <c r="B136">
        <f>IF('Equipment Information'!B136="","", 'Equipment Information'!B136)</f>
        <v/>
      </c>
      <c r="C136">
        <f>IF('Equipment Information'!C136="","", 'Equipment Information'!C136)</f>
        <v/>
      </c>
      <c r="F136">
        <f>IF(A136="","","N/A")</f>
        <v/>
      </c>
    </row>
    <row r="137">
      <c r="A137">
        <f>IF('Equipment Information'!A137="","", 'Equipment Information'!A137)</f>
        <v/>
      </c>
      <c r="B137">
        <f>IF('Equipment Information'!B137="","", 'Equipment Information'!B137)</f>
        <v/>
      </c>
      <c r="C137">
        <f>IF('Equipment Information'!C137="","", 'Equipment Information'!C137)</f>
        <v/>
      </c>
      <c r="F137">
        <f>IF(A137="","","N/A")</f>
        <v/>
      </c>
    </row>
    <row r="138">
      <c r="A138">
        <f>IF('Equipment Information'!A138="","", 'Equipment Information'!A138)</f>
        <v/>
      </c>
      <c r="B138">
        <f>IF('Equipment Information'!B138="","", 'Equipment Information'!B138)</f>
        <v/>
      </c>
      <c r="C138">
        <f>IF('Equipment Information'!C138="","", 'Equipment Information'!C138)</f>
        <v/>
      </c>
      <c r="F138">
        <f>IF(A138="","","N/A")</f>
        <v/>
      </c>
    </row>
    <row r="139">
      <c r="A139">
        <f>IF('Equipment Information'!A139="","", 'Equipment Information'!A139)</f>
        <v/>
      </c>
      <c r="B139">
        <f>IF('Equipment Information'!B139="","", 'Equipment Information'!B139)</f>
        <v/>
      </c>
      <c r="C139">
        <f>IF('Equipment Information'!C139="","", 'Equipment Information'!C139)</f>
        <v/>
      </c>
      <c r="F139">
        <f>IF(A139="","","N/A")</f>
        <v/>
      </c>
    </row>
    <row r="140">
      <c r="A140">
        <f>IF('Equipment Information'!A140="","", 'Equipment Information'!A140)</f>
        <v/>
      </c>
      <c r="B140">
        <f>IF('Equipment Information'!B140="","", 'Equipment Information'!B140)</f>
        <v/>
      </c>
      <c r="C140">
        <f>IF('Equipment Information'!C140="","", 'Equipment Information'!C140)</f>
        <v/>
      </c>
      <c r="F140">
        <f>IF(A140="","","N/A")</f>
        <v/>
      </c>
    </row>
    <row r="141">
      <c r="A141">
        <f>IF('Equipment Information'!A141="","", 'Equipment Information'!A141)</f>
        <v/>
      </c>
      <c r="B141">
        <f>IF('Equipment Information'!B141="","", 'Equipment Information'!B141)</f>
        <v/>
      </c>
      <c r="C141">
        <f>IF('Equipment Information'!C141="","", 'Equipment Information'!C141)</f>
        <v/>
      </c>
      <c r="F141">
        <f>IF(A141="","","N/A")</f>
        <v/>
      </c>
    </row>
    <row r="142">
      <c r="A142">
        <f>IF('Equipment Information'!A142="","", 'Equipment Information'!A142)</f>
        <v/>
      </c>
      <c r="B142">
        <f>IF('Equipment Information'!B142="","", 'Equipment Information'!B142)</f>
        <v/>
      </c>
      <c r="C142">
        <f>IF('Equipment Information'!C142="","", 'Equipment Information'!C142)</f>
        <v/>
      </c>
      <c r="F142">
        <f>IF(A142="","","N/A")</f>
        <v/>
      </c>
    </row>
    <row r="143">
      <c r="A143">
        <f>IF('Equipment Information'!A143="","", 'Equipment Information'!A143)</f>
        <v/>
      </c>
      <c r="B143">
        <f>IF('Equipment Information'!B143="","", 'Equipment Information'!B143)</f>
        <v/>
      </c>
      <c r="C143">
        <f>IF('Equipment Information'!C143="","", 'Equipment Information'!C143)</f>
        <v/>
      </c>
      <c r="F143">
        <f>IF(A143="","","N/A")</f>
        <v/>
      </c>
    </row>
    <row r="144">
      <c r="A144">
        <f>IF('Equipment Information'!A144="","", 'Equipment Information'!A144)</f>
        <v/>
      </c>
      <c r="B144">
        <f>IF('Equipment Information'!B144="","", 'Equipment Information'!B144)</f>
        <v/>
      </c>
      <c r="C144">
        <f>IF('Equipment Information'!C144="","", 'Equipment Information'!C144)</f>
        <v/>
      </c>
      <c r="F144">
        <f>IF(A144="","","N/A")</f>
        <v/>
      </c>
    </row>
    <row r="145">
      <c r="A145">
        <f>IF('Equipment Information'!A145="","", 'Equipment Information'!A145)</f>
        <v/>
      </c>
      <c r="B145">
        <f>IF('Equipment Information'!B145="","", 'Equipment Information'!B145)</f>
        <v/>
      </c>
      <c r="C145">
        <f>IF('Equipment Information'!C145="","", 'Equipment Information'!C145)</f>
        <v/>
      </c>
      <c r="F145">
        <f>IF(A145="","","N/A")</f>
        <v/>
      </c>
    </row>
    <row r="146">
      <c r="A146">
        <f>IF('Equipment Information'!A146="","", 'Equipment Information'!A146)</f>
        <v/>
      </c>
      <c r="B146">
        <f>IF('Equipment Information'!B146="","", 'Equipment Information'!B146)</f>
        <v/>
      </c>
      <c r="C146">
        <f>IF('Equipment Information'!C146="","", 'Equipment Information'!C146)</f>
        <v/>
      </c>
      <c r="F146">
        <f>IF(A146="","","N/A")</f>
        <v/>
      </c>
    </row>
    <row r="147">
      <c r="A147">
        <f>IF('Equipment Information'!A147="","", 'Equipment Information'!A147)</f>
        <v/>
      </c>
      <c r="B147">
        <f>IF('Equipment Information'!B147="","", 'Equipment Information'!B147)</f>
        <v/>
      </c>
      <c r="C147">
        <f>IF('Equipment Information'!C147="","", 'Equipment Information'!C147)</f>
        <v/>
      </c>
      <c r="F147">
        <f>IF(A147="","","N/A")</f>
        <v/>
      </c>
    </row>
    <row r="148">
      <c r="A148">
        <f>IF('Equipment Information'!A148="","", 'Equipment Information'!A148)</f>
        <v/>
      </c>
      <c r="B148">
        <f>IF('Equipment Information'!B148="","", 'Equipment Information'!B148)</f>
        <v/>
      </c>
      <c r="C148">
        <f>IF('Equipment Information'!C148="","", 'Equipment Information'!C148)</f>
        <v/>
      </c>
      <c r="F148">
        <f>IF(A148="","","N/A")</f>
        <v/>
      </c>
    </row>
    <row r="149">
      <c r="A149">
        <f>IF('Equipment Information'!A149="","", 'Equipment Information'!A149)</f>
        <v/>
      </c>
      <c r="B149">
        <f>IF('Equipment Information'!B149="","", 'Equipment Information'!B149)</f>
        <v/>
      </c>
      <c r="C149">
        <f>IF('Equipment Information'!C149="","", 'Equipment Information'!C149)</f>
        <v/>
      </c>
      <c r="F149">
        <f>IF(A149="","","N/A")</f>
        <v/>
      </c>
    </row>
    <row r="150">
      <c r="A150">
        <f>IF('Equipment Information'!A150="","", 'Equipment Information'!A150)</f>
        <v/>
      </c>
      <c r="B150">
        <f>IF('Equipment Information'!B150="","", 'Equipment Information'!B150)</f>
        <v/>
      </c>
      <c r="C150">
        <f>IF('Equipment Information'!C150="","", 'Equipment Information'!C150)</f>
        <v/>
      </c>
      <c r="F150">
        <f>IF(A150="","","N/A")</f>
        <v/>
      </c>
    </row>
    <row r="151">
      <c r="A151">
        <f>IF('Equipment Information'!A151="","", 'Equipment Information'!A151)</f>
        <v/>
      </c>
      <c r="B151">
        <f>IF('Equipment Information'!B151="","", 'Equipment Information'!B151)</f>
        <v/>
      </c>
      <c r="C151">
        <f>IF('Equipment Information'!C151="","", 'Equipment Information'!C151)</f>
        <v/>
      </c>
      <c r="F151">
        <f>IF(A151="","","N/A")</f>
        <v/>
      </c>
    </row>
    <row r="152">
      <c r="A152">
        <f>IF('Equipment Information'!A152="","", 'Equipment Information'!A152)</f>
        <v/>
      </c>
      <c r="B152">
        <f>IF('Equipment Information'!B152="","", 'Equipment Information'!B152)</f>
        <v/>
      </c>
      <c r="C152">
        <f>IF('Equipment Information'!C152="","", 'Equipment Information'!C152)</f>
        <v/>
      </c>
      <c r="F152">
        <f>IF(A152="","","N/A")</f>
        <v/>
      </c>
    </row>
    <row r="153">
      <c r="A153">
        <f>IF('Equipment Information'!A153="","", 'Equipment Information'!A153)</f>
        <v/>
      </c>
      <c r="B153">
        <f>IF('Equipment Information'!B153="","", 'Equipment Information'!B153)</f>
        <v/>
      </c>
      <c r="C153">
        <f>IF('Equipment Information'!C153="","", 'Equipment Information'!C153)</f>
        <v/>
      </c>
      <c r="F153">
        <f>IF(A153="","","N/A")</f>
        <v/>
      </c>
    </row>
    <row r="154">
      <c r="A154">
        <f>IF('Equipment Information'!A154="","", 'Equipment Information'!A154)</f>
        <v/>
      </c>
      <c r="B154">
        <f>IF('Equipment Information'!B154="","", 'Equipment Information'!B154)</f>
        <v/>
      </c>
      <c r="C154">
        <f>IF('Equipment Information'!C154="","", 'Equipment Information'!C154)</f>
        <v/>
      </c>
      <c r="F154">
        <f>IF(A154="","","N/A")</f>
        <v/>
      </c>
    </row>
    <row r="155">
      <c r="A155">
        <f>IF('Equipment Information'!A155="","", 'Equipment Information'!A155)</f>
        <v/>
      </c>
      <c r="B155">
        <f>IF('Equipment Information'!B155="","", 'Equipment Information'!B155)</f>
        <v/>
      </c>
      <c r="C155">
        <f>IF('Equipment Information'!C155="","", 'Equipment Information'!C155)</f>
        <v/>
      </c>
      <c r="F155">
        <f>IF(A155="","","N/A")</f>
        <v/>
      </c>
    </row>
    <row r="156">
      <c r="A156">
        <f>IF('Equipment Information'!A156="","", 'Equipment Information'!A156)</f>
        <v/>
      </c>
      <c r="B156">
        <f>IF('Equipment Information'!B156="","", 'Equipment Information'!B156)</f>
        <v/>
      </c>
      <c r="C156">
        <f>IF('Equipment Information'!C156="","", 'Equipment Information'!C156)</f>
        <v/>
      </c>
      <c r="F156">
        <f>IF(A156="","","N/A")</f>
        <v/>
      </c>
    </row>
    <row r="157">
      <c r="A157">
        <f>IF('Equipment Information'!A157="","", 'Equipment Information'!A157)</f>
        <v/>
      </c>
      <c r="B157">
        <f>IF('Equipment Information'!B157="","", 'Equipment Information'!B157)</f>
        <v/>
      </c>
      <c r="C157">
        <f>IF('Equipment Information'!C157="","", 'Equipment Information'!C157)</f>
        <v/>
      </c>
      <c r="F157">
        <f>IF(A157="","","N/A")</f>
        <v/>
      </c>
    </row>
    <row r="158">
      <c r="A158">
        <f>IF('Equipment Information'!A158="","", 'Equipment Information'!A158)</f>
        <v/>
      </c>
      <c r="B158">
        <f>IF('Equipment Information'!B158="","", 'Equipment Information'!B158)</f>
        <v/>
      </c>
      <c r="C158">
        <f>IF('Equipment Information'!C158="","", 'Equipment Information'!C158)</f>
        <v/>
      </c>
      <c r="F158">
        <f>IF(A158="","","N/A")</f>
        <v/>
      </c>
    </row>
    <row r="159">
      <c r="A159">
        <f>IF('Equipment Information'!A159="","", 'Equipment Information'!A159)</f>
        <v/>
      </c>
      <c r="B159">
        <f>IF('Equipment Information'!B159="","", 'Equipment Information'!B159)</f>
        <v/>
      </c>
      <c r="C159">
        <f>IF('Equipment Information'!C159="","", 'Equipment Information'!C159)</f>
        <v/>
      </c>
      <c r="F159">
        <f>IF(A159="","","N/A")</f>
        <v/>
      </c>
    </row>
    <row r="160">
      <c r="A160">
        <f>IF('Equipment Information'!A160="","", 'Equipment Information'!A160)</f>
        <v/>
      </c>
      <c r="B160">
        <f>IF('Equipment Information'!B160="","", 'Equipment Information'!B160)</f>
        <v/>
      </c>
      <c r="C160">
        <f>IF('Equipment Information'!C160="","", 'Equipment Information'!C160)</f>
        <v/>
      </c>
      <c r="F160">
        <f>IF(A160="","","N/A")</f>
        <v/>
      </c>
    </row>
    <row r="161">
      <c r="A161">
        <f>IF('Equipment Information'!A161="","", 'Equipment Information'!A161)</f>
        <v/>
      </c>
      <c r="B161">
        <f>IF('Equipment Information'!B161="","", 'Equipment Information'!B161)</f>
        <v/>
      </c>
      <c r="C161">
        <f>IF('Equipment Information'!C161="","", 'Equipment Information'!C161)</f>
        <v/>
      </c>
      <c r="F161">
        <f>IF(A161="","","N/A")</f>
        <v/>
      </c>
    </row>
    <row r="162">
      <c r="A162">
        <f>IF('Equipment Information'!A162="","", 'Equipment Information'!A162)</f>
        <v/>
      </c>
      <c r="B162">
        <f>IF('Equipment Information'!B162="","", 'Equipment Information'!B162)</f>
        <v/>
      </c>
      <c r="C162">
        <f>IF('Equipment Information'!C162="","", 'Equipment Information'!C162)</f>
        <v/>
      </c>
      <c r="F162">
        <f>IF(A162="","","N/A")</f>
        <v/>
      </c>
    </row>
    <row r="163">
      <c r="A163">
        <f>IF('Equipment Information'!A163="","", 'Equipment Information'!A163)</f>
        <v/>
      </c>
      <c r="B163">
        <f>IF('Equipment Information'!B163="","", 'Equipment Information'!B163)</f>
        <v/>
      </c>
      <c r="C163">
        <f>IF('Equipment Information'!C163="","", 'Equipment Information'!C163)</f>
        <v/>
      </c>
      <c r="F163">
        <f>IF(A163="","","N/A")</f>
        <v/>
      </c>
    </row>
    <row r="164">
      <c r="A164">
        <f>IF('Equipment Information'!A164="","", 'Equipment Information'!A164)</f>
        <v/>
      </c>
      <c r="B164">
        <f>IF('Equipment Information'!B164="","", 'Equipment Information'!B164)</f>
        <v/>
      </c>
      <c r="C164">
        <f>IF('Equipment Information'!C164="","", 'Equipment Information'!C164)</f>
        <v/>
      </c>
      <c r="F164">
        <f>IF(A164="","","N/A")</f>
        <v/>
      </c>
    </row>
    <row r="165">
      <c r="A165">
        <f>IF('Equipment Information'!A165="","", 'Equipment Information'!A165)</f>
        <v/>
      </c>
      <c r="B165">
        <f>IF('Equipment Information'!B165="","", 'Equipment Information'!B165)</f>
        <v/>
      </c>
      <c r="C165">
        <f>IF('Equipment Information'!C165="","", 'Equipment Information'!C165)</f>
        <v/>
      </c>
      <c r="F165">
        <f>IF(A165="","","N/A")</f>
        <v/>
      </c>
    </row>
    <row r="166">
      <c r="A166">
        <f>IF('Equipment Information'!A166="","", 'Equipment Information'!A166)</f>
        <v/>
      </c>
      <c r="B166">
        <f>IF('Equipment Information'!B166="","", 'Equipment Information'!B166)</f>
        <v/>
      </c>
      <c r="C166">
        <f>IF('Equipment Information'!C166="","", 'Equipment Information'!C166)</f>
        <v/>
      </c>
      <c r="F166">
        <f>IF(A166="","","N/A")</f>
        <v/>
      </c>
    </row>
    <row r="167">
      <c r="A167">
        <f>IF('Equipment Information'!A167="","", 'Equipment Information'!A167)</f>
        <v/>
      </c>
      <c r="B167">
        <f>IF('Equipment Information'!B167="","", 'Equipment Information'!B167)</f>
        <v/>
      </c>
      <c r="C167">
        <f>IF('Equipment Information'!C167="","", 'Equipment Information'!C167)</f>
        <v/>
      </c>
      <c r="F167">
        <f>IF(A167="","","N/A")</f>
        <v/>
      </c>
    </row>
    <row r="168">
      <c r="A168">
        <f>IF('Equipment Information'!A168="","", 'Equipment Information'!A168)</f>
        <v/>
      </c>
      <c r="B168">
        <f>IF('Equipment Information'!B168="","", 'Equipment Information'!B168)</f>
        <v/>
      </c>
      <c r="C168">
        <f>IF('Equipment Information'!C168="","", 'Equipment Information'!C168)</f>
        <v/>
      </c>
      <c r="F168">
        <f>IF(A168="","","N/A")</f>
        <v/>
      </c>
    </row>
    <row r="169">
      <c r="A169">
        <f>IF('Equipment Information'!A169="","", 'Equipment Information'!A169)</f>
        <v/>
      </c>
      <c r="B169">
        <f>IF('Equipment Information'!B169="","", 'Equipment Information'!B169)</f>
        <v/>
      </c>
      <c r="C169">
        <f>IF('Equipment Information'!C169="","", 'Equipment Information'!C169)</f>
        <v/>
      </c>
      <c r="F169">
        <f>IF(A169="","","N/A")</f>
        <v/>
      </c>
    </row>
    <row r="170">
      <c r="A170">
        <f>IF('Equipment Information'!A170="","", 'Equipment Information'!A170)</f>
        <v/>
      </c>
      <c r="B170">
        <f>IF('Equipment Information'!B170="","", 'Equipment Information'!B170)</f>
        <v/>
      </c>
      <c r="C170">
        <f>IF('Equipment Information'!C170="","", 'Equipment Information'!C170)</f>
        <v/>
      </c>
      <c r="F170">
        <f>IF(A170="","","N/A")</f>
        <v/>
      </c>
    </row>
    <row r="171">
      <c r="A171">
        <f>IF('Equipment Information'!A171="","", 'Equipment Information'!A171)</f>
        <v/>
      </c>
      <c r="B171">
        <f>IF('Equipment Information'!B171="","", 'Equipment Information'!B171)</f>
        <v/>
      </c>
      <c r="C171">
        <f>IF('Equipment Information'!C171="","", 'Equipment Information'!C171)</f>
        <v/>
      </c>
      <c r="F171">
        <f>IF(A171="","","N/A")</f>
        <v/>
      </c>
    </row>
    <row r="172">
      <c r="A172">
        <f>IF('Equipment Information'!A172="","", 'Equipment Information'!A172)</f>
        <v/>
      </c>
      <c r="B172">
        <f>IF('Equipment Information'!B172="","", 'Equipment Information'!B172)</f>
        <v/>
      </c>
      <c r="C172">
        <f>IF('Equipment Information'!C172="","", 'Equipment Information'!C172)</f>
        <v/>
      </c>
      <c r="F172">
        <f>IF(A172="","","N/A")</f>
        <v/>
      </c>
    </row>
    <row r="173">
      <c r="A173">
        <f>IF('Equipment Information'!A173="","", 'Equipment Information'!A173)</f>
        <v/>
      </c>
      <c r="B173">
        <f>IF('Equipment Information'!B173="","", 'Equipment Information'!B173)</f>
        <v/>
      </c>
      <c r="C173">
        <f>IF('Equipment Information'!C173="","", 'Equipment Information'!C173)</f>
        <v/>
      </c>
      <c r="F173">
        <f>IF(A173="","","N/A")</f>
        <v/>
      </c>
    </row>
    <row r="174">
      <c r="A174">
        <f>IF('Equipment Information'!A174="","", 'Equipment Information'!A174)</f>
        <v/>
      </c>
      <c r="B174">
        <f>IF('Equipment Information'!B174="","", 'Equipment Information'!B174)</f>
        <v/>
      </c>
      <c r="C174">
        <f>IF('Equipment Information'!C174="","", 'Equipment Information'!C174)</f>
        <v/>
      </c>
      <c r="F174">
        <f>IF(A174="","","N/A")</f>
        <v/>
      </c>
    </row>
    <row r="175">
      <c r="A175">
        <f>IF('Equipment Information'!A175="","", 'Equipment Information'!A175)</f>
        <v/>
      </c>
      <c r="B175">
        <f>IF('Equipment Information'!B175="","", 'Equipment Information'!B175)</f>
        <v/>
      </c>
      <c r="C175">
        <f>IF('Equipment Information'!C175="","", 'Equipment Information'!C175)</f>
        <v/>
      </c>
      <c r="F175">
        <f>IF(A175="","","N/A")</f>
        <v/>
      </c>
    </row>
    <row r="176">
      <c r="A176">
        <f>IF('Equipment Information'!A176="","", 'Equipment Information'!A176)</f>
        <v/>
      </c>
      <c r="B176">
        <f>IF('Equipment Information'!B176="","", 'Equipment Information'!B176)</f>
        <v/>
      </c>
      <c r="C176">
        <f>IF('Equipment Information'!C176="","", 'Equipment Information'!C176)</f>
        <v/>
      </c>
      <c r="F176">
        <f>IF(A176="","","N/A")</f>
        <v/>
      </c>
    </row>
    <row r="177">
      <c r="A177">
        <f>IF('Equipment Information'!A177="","", 'Equipment Information'!A177)</f>
        <v/>
      </c>
      <c r="B177">
        <f>IF('Equipment Information'!B177="","", 'Equipment Information'!B177)</f>
        <v/>
      </c>
      <c r="C177">
        <f>IF('Equipment Information'!C177="","", 'Equipment Information'!C177)</f>
        <v/>
      </c>
      <c r="F177">
        <f>IF(A177="","","N/A")</f>
        <v/>
      </c>
    </row>
    <row r="178">
      <c r="A178">
        <f>IF('Equipment Information'!A178="","", 'Equipment Information'!A178)</f>
        <v/>
      </c>
      <c r="B178">
        <f>IF('Equipment Information'!B178="","", 'Equipment Information'!B178)</f>
        <v/>
      </c>
      <c r="C178">
        <f>IF('Equipment Information'!C178="","", 'Equipment Information'!C178)</f>
        <v/>
      </c>
      <c r="F178">
        <f>IF(A178="","","N/A")</f>
        <v/>
      </c>
    </row>
    <row r="179">
      <c r="A179">
        <f>IF('Equipment Information'!A179="","", 'Equipment Information'!A179)</f>
        <v/>
      </c>
      <c r="B179">
        <f>IF('Equipment Information'!B179="","", 'Equipment Information'!B179)</f>
        <v/>
      </c>
      <c r="C179">
        <f>IF('Equipment Information'!C179="","", 'Equipment Information'!C179)</f>
        <v/>
      </c>
      <c r="F179">
        <f>IF(A179="","","N/A")</f>
        <v/>
      </c>
    </row>
    <row r="180">
      <c r="A180">
        <f>IF('Equipment Information'!A180="","", 'Equipment Information'!A180)</f>
        <v/>
      </c>
      <c r="B180">
        <f>IF('Equipment Information'!B180="","", 'Equipment Information'!B180)</f>
        <v/>
      </c>
      <c r="C180">
        <f>IF('Equipment Information'!C180="","", 'Equipment Information'!C180)</f>
        <v/>
      </c>
      <c r="F180">
        <f>IF(A180="","","N/A")</f>
        <v/>
      </c>
    </row>
    <row r="181">
      <c r="A181">
        <f>IF('Equipment Information'!A181="","", 'Equipment Information'!A181)</f>
        <v/>
      </c>
      <c r="B181">
        <f>IF('Equipment Information'!B181="","", 'Equipment Information'!B181)</f>
        <v/>
      </c>
      <c r="C181">
        <f>IF('Equipment Information'!C181="","", 'Equipment Information'!C181)</f>
        <v/>
      </c>
      <c r="F181">
        <f>IF(A181="","","N/A")</f>
        <v/>
      </c>
    </row>
    <row r="182">
      <c r="A182">
        <f>IF('Equipment Information'!A182="","", 'Equipment Information'!A182)</f>
        <v/>
      </c>
      <c r="B182">
        <f>IF('Equipment Information'!B182="","", 'Equipment Information'!B182)</f>
        <v/>
      </c>
      <c r="C182">
        <f>IF('Equipment Information'!C182="","", 'Equipment Information'!C182)</f>
        <v/>
      </c>
      <c r="F182">
        <f>IF(A182="","","N/A")</f>
        <v/>
      </c>
    </row>
    <row r="183">
      <c r="A183">
        <f>IF('Equipment Information'!A183="","", 'Equipment Information'!A183)</f>
        <v/>
      </c>
      <c r="B183">
        <f>IF('Equipment Information'!B183="","", 'Equipment Information'!B183)</f>
        <v/>
      </c>
      <c r="C183">
        <f>IF('Equipment Information'!C183="","", 'Equipment Information'!C183)</f>
        <v/>
      </c>
      <c r="F183">
        <f>IF(A183="","","N/A")</f>
        <v/>
      </c>
    </row>
    <row r="184">
      <c r="A184">
        <f>IF('Equipment Information'!A184="","", 'Equipment Information'!A184)</f>
        <v/>
      </c>
      <c r="B184">
        <f>IF('Equipment Information'!B184="","", 'Equipment Information'!B184)</f>
        <v/>
      </c>
      <c r="C184">
        <f>IF('Equipment Information'!C184="","", 'Equipment Information'!C184)</f>
        <v/>
      </c>
      <c r="F184">
        <f>IF(A184="","","N/A")</f>
        <v/>
      </c>
    </row>
    <row r="185">
      <c r="A185">
        <f>IF('Equipment Information'!A185="","", 'Equipment Information'!A185)</f>
        <v/>
      </c>
      <c r="B185">
        <f>IF('Equipment Information'!B185="","", 'Equipment Information'!B185)</f>
        <v/>
      </c>
      <c r="C185">
        <f>IF('Equipment Information'!C185="","", 'Equipment Information'!C185)</f>
        <v/>
      </c>
      <c r="F185">
        <f>IF(A185="","","N/A")</f>
        <v/>
      </c>
    </row>
    <row r="186">
      <c r="A186">
        <f>IF('Equipment Information'!A186="","", 'Equipment Information'!A186)</f>
        <v/>
      </c>
      <c r="B186">
        <f>IF('Equipment Information'!B186="","", 'Equipment Information'!B186)</f>
        <v/>
      </c>
      <c r="C186">
        <f>IF('Equipment Information'!C186="","", 'Equipment Information'!C186)</f>
        <v/>
      </c>
      <c r="F186">
        <f>IF(A186="","","N/A")</f>
        <v/>
      </c>
    </row>
    <row r="187">
      <c r="A187">
        <f>IF('Equipment Information'!A187="","", 'Equipment Information'!A187)</f>
        <v/>
      </c>
      <c r="B187">
        <f>IF('Equipment Information'!B187="","", 'Equipment Information'!B187)</f>
        <v/>
      </c>
      <c r="C187">
        <f>IF('Equipment Information'!C187="","", 'Equipment Information'!C187)</f>
        <v/>
      </c>
      <c r="F187">
        <f>IF(A187="","","N/A")</f>
        <v/>
      </c>
    </row>
    <row r="188">
      <c r="A188">
        <f>IF('Equipment Information'!A188="","", 'Equipment Information'!A188)</f>
        <v/>
      </c>
      <c r="B188">
        <f>IF('Equipment Information'!B188="","", 'Equipment Information'!B188)</f>
        <v/>
      </c>
      <c r="C188">
        <f>IF('Equipment Information'!C188="","", 'Equipment Information'!C188)</f>
        <v/>
      </c>
      <c r="F188">
        <f>IF(A188="","","N/A")</f>
        <v/>
      </c>
    </row>
    <row r="189">
      <c r="A189">
        <f>IF('Equipment Information'!A189="","", 'Equipment Information'!A189)</f>
        <v/>
      </c>
      <c r="B189">
        <f>IF('Equipment Information'!B189="","", 'Equipment Information'!B189)</f>
        <v/>
      </c>
      <c r="C189">
        <f>IF('Equipment Information'!C189="","", 'Equipment Information'!C189)</f>
        <v/>
      </c>
      <c r="F189">
        <f>IF(A189="","","N/A")</f>
        <v/>
      </c>
    </row>
    <row r="190">
      <c r="A190">
        <f>IF('Equipment Information'!A190="","", 'Equipment Information'!A190)</f>
        <v/>
      </c>
      <c r="B190">
        <f>IF('Equipment Information'!B190="","", 'Equipment Information'!B190)</f>
        <v/>
      </c>
      <c r="C190">
        <f>IF('Equipment Information'!C190="","", 'Equipment Information'!C190)</f>
        <v/>
      </c>
      <c r="F190">
        <f>IF(A190="","","N/A")</f>
        <v/>
      </c>
    </row>
    <row r="191">
      <c r="A191">
        <f>IF('Equipment Information'!A191="","", 'Equipment Information'!A191)</f>
        <v/>
      </c>
      <c r="B191">
        <f>IF('Equipment Information'!B191="","", 'Equipment Information'!B191)</f>
        <v/>
      </c>
      <c r="C191">
        <f>IF('Equipment Information'!C191="","", 'Equipment Information'!C191)</f>
        <v/>
      </c>
      <c r="F191">
        <f>IF(A191="","","N/A")</f>
        <v/>
      </c>
    </row>
    <row r="192">
      <c r="A192">
        <f>IF('Equipment Information'!A192="","", 'Equipment Information'!A192)</f>
        <v/>
      </c>
      <c r="B192">
        <f>IF('Equipment Information'!B192="","", 'Equipment Information'!B192)</f>
        <v/>
      </c>
      <c r="C192">
        <f>IF('Equipment Information'!C192="","", 'Equipment Information'!C192)</f>
        <v/>
      </c>
      <c r="F192">
        <f>IF(A192="","","N/A")</f>
        <v/>
      </c>
    </row>
    <row r="193">
      <c r="A193">
        <f>IF('Equipment Information'!A193="","", 'Equipment Information'!A193)</f>
        <v/>
      </c>
      <c r="B193">
        <f>IF('Equipment Information'!B193="","", 'Equipment Information'!B193)</f>
        <v/>
      </c>
      <c r="C193">
        <f>IF('Equipment Information'!C193="","", 'Equipment Information'!C193)</f>
        <v/>
      </c>
      <c r="F193">
        <f>IF(A193="","","N/A")</f>
        <v/>
      </c>
    </row>
    <row r="194">
      <c r="A194">
        <f>IF('Equipment Information'!A194="","", 'Equipment Information'!A194)</f>
        <v/>
      </c>
      <c r="B194">
        <f>IF('Equipment Information'!B194="","", 'Equipment Information'!B194)</f>
        <v/>
      </c>
      <c r="C194">
        <f>IF('Equipment Information'!C194="","", 'Equipment Information'!C194)</f>
        <v/>
      </c>
      <c r="F194">
        <f>IF(A194="","","N/A")</f>
        <v/>
      </c>
    </row>
    <row r="195">
      <c r="A195">
        <f>IF('Equipment Information'!A195="","", 'Equipment Information'!A195)</f>
        <v/>
      </c>
      <c r="B195">
        <f>IF('Equipment Information'!B195="","", 'Equipment Information'!B195)</f>
        <v/>
      </c>
      <c r="C195">
        <f>IF('Equipment Information'!C195="","", 'Equipment Information'!C195)</f>
        <v/>
      </c>
      <c r="F195">
        <f>IF(A195="","","N/A")</f>
        <v/>
      </c>
    </row>
    <row r="196">
      <c r="A196">
        <f>IF('Equipment Information'!A196="","", 'Equipment Information'!A196)</f>
        <v/>
      </c>
      <c r="B196">
        <f>IF('Equipment Information'!B196="","", 'Equipment Information'!B196)</f>
        <v/>
      </c>
      <c r="C196">
        <f>IF('Equipment Information'!C196="","", 'Equipment Information'!C196)</f>
        <v/>
      </c>
      <c r="F196">
        <f>IF(A196="","","N/A")</f>
        <v/>
      </c>
    </row>
    <row r="197">
      <c r="A197">
        <f>IF('Equipment Information'!A197="","", 'Equipment Information'!A197)</f>
        <v/>
      </c>
      <c r="B197">
        <f>IF('Equipment Information'!B197="","", 'Equipment Information'!B197)</f>
        <v/>
      </c>
      <c r="C197">
        <f>IF('Equipment Information'!C197="","", 'Equipment Information'!C197)</f>
        <v/>
      </c>
      <c r="F197">
        <f>IF(A197="","","N/A")</f>
        <v/>
      </c>
    </row>
    <row r="198">
      <c r="A198">
        <f>IF('Equipment Information'!A198="","", 'Equipment Information'!A198)</f>
        <v/>
      </c>
      <c r="B198">
        <f>IF('Equipment Information'!B198="","", 'Equipment Information'!B198)</f>
        <v/>
      </c>
      <c r="C198">
        <f>IF('Equipment Information'!C198="","", 'Equipment Information'!C198)</f>
        <v/>
      </c>
      <c r="F198">
        <f>IF(A198="","","N/A")</f>
        <v/>
      </c>
    </row>
    <row r="199">
      <c r="A199">
        <f>IF('Equipment Information'!A199="","", 'Equipment Information'!A199)</f>
        <v/>
      </c>
      <c r="B199">
        <f>IF('Equipment Information'!B199="","", 'Equipment Information'!B199)</f>
        <v/>
      </c>
      <c r="C199">
        <f>IF('Equipment Information'!C199="","", 'Equipment Information'!C199)</f>
        <v/>
      </c>
      <c r="F199">
        <f>IF(A199="","","N/A")</f>
        <v/>
      </c>
    </row>
    <row r="200">
      <c r="A200">
        <f>IF('Equipment Information'!A200="","", 'Equipment Information'!A200)</f>
        <v/>
      </c>
      <c r="B200">
        <f>IF('Equipment Information'!B200="","", 'Equipment Information'!B200)</f>
        <v/>
      </c>
      <c r="C200">
        <f>IF('Equipment Information'!C200="","", 'Equipment Information'!C200)</f>
        <v/>
      </c>
      <c r="F200">
        <f>IF(A200="","","N/A")</f>
        <v/>
      </c>
    </row>
    <row r="201">
      <c r="A201">
        <f>IF('Equipment Information'!A201="","", 'Equipment Information'!A201)</f>
        <v/>
      </c>
      <c r="B201">
        <f>IF('Equipment Information'!B201="","", 'Equipment Information'!B201)</f>
        <v/>
      </c>
      <c r="C201">
        <f>IF('Equipment Information'!C201="","", 'Equipment Information'!C201)</f>
        <v/>
      </c>
      <c r="F201">
        <f>IF(A201="","","N/A")</f>
        <v/>
      </c>
    </row>
    <row r="202">
      <c r="A202">
        <f>IF('Equipment Information'!A202="","", 'Equipment Information'!A202)</f>
        <v/>
      </c>
      <c r="B202">
        <f>IF('Equipment Information'!B202="","", 'Equipment Information'!B202)</f>
        <v/>
      </c>
      <c r="C202">
        <f>IF('Equipment Information'!C202="","", 'Equipment Information'!C202)</f>
        <v/>
      </c>
      <c r="F202">
        <f>IF(A202="","","N/A")</f>
        <v/>
      </c>
    </row>
    <row r="203">
      <c r="A203">
        <f>IF('Equipment Information'!A203="","", 'Equipment Information'!A203)</f>
        <v/>
      </c>
      <c r="B203">
        <f>IF('Equipment Information'!B203="","", 'Equipment Information'!B203)</f>
        <v/>
      </c>
      <c r="C203">
        <f>IF('Equipment Information'!C203="","", 'Equipment Information'!C203)</f>
        <v/>
      </c>
      <c r="F203">
        <f>IF(A203="","","N/A")</f>
        <v/>
      </c>
    </row>
    <row r="204">
      <c r="A204">
        <f>IF('Equipment Information'!A204="","", 'Equipment Information'!A204)</f>
        <v/>
      </c>
      <c r="B204">
        <f>IF('Equipment Information'!B204="","", 'Equipment Information'!B204)</f>
        <v/>
      </c>
      <c r="C204">
        <f>IF('Equipment Information'!C204="","", 'Equipment Information'!C204)</f>
        <v/>
      </c>
      <c r="F204">
        <f>IF(A204="","","N/A")</f>
        <v/>
      </c>
    </row>
    <row r="205">
      <c r="A205">
        <f>IF('Equipment Information'!A205="","", 'Equipment Information'!A205)</f>
        <v/>
      </c>
      <c r="B205">
        <f>IF('Equipment Information'!B205="","", 'Equipment Information'!B205)</f>
        <v/>
      </c>
      <c r="C205">
        <f>IF('Equipment Information'!C205="","", 'Equipment Information'!C205)</f>
        <v/>
      </c>
      <c r="F205">
        <f>IF(A205="","","N/A")</f>
        <v/>
      </c>
    </row>
    <row r="206">
      <c r="A206">
        <f>IF('Equipment Information'!A206="","", 'Equipment Information'!A206)</f>
        <v/>
      </c>
      <c r="B206">
        <f>IF('Equipment Information'!B206="","", 'Equipment Information'!B206)</f>
        <v/>
      </c>
      <c r="C206">
        <f>IF('Equipment Information'!C206="","", 'Equipment Information'!C206)</f>
        <v/>
      </c>
      <c r="F206">
        <f>IF(A206="","","N/A")</f>
        <v/>
      </c>
    </row>
    <row r="207">
      <c r="A207">
        <f>IF('Equipment Information'!A207="","", 'Equipment Information'!A207)</f>
        <v/>
      </c>
      <c r="B207">
        <f>IF('Equipment Information'!B207="","", 'Equipment Information'!B207)</f>
        <v/>
      </c>
      <c r="C207">
        <f>IF('Equipment Information'!C207="","", 'Equipment Information'!C207)</f>
        <v/>
      </c>
      <c r="F207">
        <f>IF(A207="","","N/A")</f>
        <v/>
      </c>
    </row>
    <row r="208">
      <c r="A208">
        <f>IF('Equipment Information'!A208="","", 'Equipment Information'!A208)</f>
        <v/>
      </c>
      <c r="B208">
        <f>IF('Equipment Information'!B208="","", 'Equipment Information'!B208)</f>
        <v/>
      </c>
      <c r="C208">
        <f>IF('Equipment Information'!C208="","", 'Equipment Information'!C208)</f>
        <v/>
      </c>
      <c r="F208">
        <f>IF(A208="","","N/A")</f>
        <v/>
      </c>
    </row>
    <row r="209">
      <c r="A209">
        <f>IF('Equipment Information'!A209="","", 'Equipment Information'!A209)</f>
        <v/>
      </c>
      <c r="B209">
        <f>IF('Equipment Information'!B209="","", 'Equipment Information'!B209)</f>
        <v/>
      </c>
      <c r="C209">
        <f>IF('Equipment Information'!C209="","", 'Equipment Information'!C209)</f>
        <v/>
      </c>
      <c r="F209">
        <f>IF(A209="","","N/A")</f>
        <v/>
      </c>
    </row>
    <row r="210">
      <c r="A210">
        <f>IF('Equipment Information'!A210="","", 'Equipment Information'!A210)</f>
        <v/>
      </c>
      <c r="B210">
        <f>IF('Equipment Information'!B210="","", 'Equipment Information'!B210)</f>
        <v/>
      </c>
      <c r="C210">
        <f>IF('Equipment Information'!C210="","", 'Equipment Information'!C210)</f>
        <v/>
      </c>
      <c r="F210">
        <f>IF(A210="","","N/A")</f>
        <v/>
      </c>
    </row>
    <row r="211">
      <c r="A211">
        <f>IF('Equipment Information'!A211="","", 'Equipment Information'!A211)</f>
        <v/>
      </c>
      <c r="B211">
        <f>IF('Equipment Information'!B211="","", 'Equipment Information'!B211)</f>
        <v/>
      </c>
      <c r="C211">
        <f>IF('Equipment Information'!C211="","", 'Equipment Information'!C211)</f>
        <v/>
      </c>
      <c r="F211">
        <f>IF(A211="","","N/A")</f>
        <v/>
      </c>
    </row>
    <row r="212">
      <c r="A212">
        <f>IF('Equipment Information'!A212="","", 'Equipment Information'!A212)</f>
        <v/>
      </c>
      <c r="B212">
        <f>IF('Equipment Information'!B212="","", 'Equipment Information'!B212)</f>
        <v/>
      </c>
      <c r="C212">
        <f>IF('Equipment Information'!C212="","", 'Equipment Information'!C212)</f>
        <v/>
      </c>
      <c r="F212">
        <f>IF(A212="","","N/A")</f>
        <v/>
      </c>
    </row>
    <row r="213">
      <c r="A213">
        <f>IF('Equipment Information'!A213="","", 'Equipment Information'!A213)</f>
        <v/>
      </c>
      <c r="B213">
        <f>IF('Equipment Information'!B213="","", 'Equipment Information'!B213)</f>
        <v/>
      </c>
      <c r="C213">
        <f>IF('Equipment Information'!C213="","", 'Equipment Information'!C213)</f>
        <v/>
      </c>
      <c r="F213">
        <f>IF(A213="","","N/A")</f>
        <v/>
      </c>
    </row>
    <row r="214">
      <c r="A214">
        <f>IF('Equipment Information'!A214="","", 'Equipment Information'!A214)</f>
        <v/>
      </c>
      <c r="B214">
        <f>IF('Equipment Information'!B214="","", 'Equipment Information'!B214)</f>
        <v/>
      </c>
      <c r="C214">
        <f>IF('Equipment Information'!C214="","", 'Equipment Information'!C214)</f>
        <v/>
      </c>
      <c r="F214">
        <f>IF(A214="","","N/A")</f>
        <v/>
      </c>
    </row>
    <row r="215">
      <c r="A215">
        <f>IF('Equipment Information'!A215="","", 'Equipment Information'!A215)</f>
        <v/>
      </c>
      <c r="B215">
        <f>IF('Equipment Information'!B215="","", 'Equipment Information'!B215)</f>
        <v/>
      </c>
      <c r="C215">
        <f>IF('Equipment Information'!C215="","", 'Equipment Information'!C215)</f>
        <v/>
      </c>
      <c r="F215">
        <f>IF(A215="","","N/A")</f>
        <v/>
      </c>
    </row>
    <row r="216">
      <c r="A216">
        <f>IF('Equipment Information'!A216="","", 'Equipment Information'!A216)</f>
        <v/>
      </c>
      <c r="B216">
        <f>IF('Equipment Information'!B216="","", 'Equipment Information'!B216)</f>
        <v/>
      </c>
      <c r="C216">
        <f>IF('Equipment Information'!C216="","", 'Equipment Information'!C216)</f>
        <v/>
      </c>
      <c r="F216">
        <f>IF(A216="","","N/A")</f>
        <v/>
      </c>
    </row>
    <row r="217">
      <c r="A217">
        <f>IF('Equipment Information'!A217="","", 'Equipment Information'!A217)</f>
        <v/>
      </c>
      <c r="B217">
        <f>IF('Equipment Information'!B217="","", 'Equipment Information'!B217)</f>
        <v/>
      </c>
      <c r="C217">
        <f>IF('Equipment Information'!C217="","", 'Equipment Information'!C217)</f>
        <v/>
      </c>
      <c r="F217">
        <f>IF(A217="","","N/A")</f>
        <v/>
      </c>
    </row>
    <row r="218">
      <c r="A218">
        <f>IF('Equipment Information'!A218="","", 'Equipment Information'!A218)</f>
        <v/>
      </c>
      <c r="B218">
        <f>IF('Equipment Information'!B218="","", 'Equipment Information'!B218)</f>
        <v/>
      </c>
      <c r="C218">
        <f>IF('Equipment Information'!C218="","", 'Equipment Information'!C218)</f>
        <v/>
      </c>
      <c r="F218">
        <f>IF(A218="","","N/A")</f>
        <v/>
      </c>
    </row>
    <row r="219">
      <c r="A219">
        <f>IF('Equipment Information'!A219="","", 'Equipment Information'!A219)</f>
        <v/>
      </c>
      <c r="B219">
        <f>IF('Equipment Information'!B219="","", 'Equipment Information'!B219)</f>
        <v/>
      </c>
      <c r="C219">
        <f>IF('Equipment Information'!C219="","", 'Equipment Information'!C219)</f>
        <v/>
      </c>
      <c r="F219">
        <f>IF(A219="","","N/A")</f>
        <v/>
      </c>
    </row>
    <row r="220">
      <c r="A220">
        <f>IF('Equipment Information'!A220="","", 'Equipment Information'!A220)</f>
        <v/>
      </c>
      <c r="B220">
        <f>IF('Equipment Information'!B220="","", 'Equipment Information'!B220)</f>
        <v/>
      </c>
      <c r="C220">
        <f>IF('Equipment Information'!C220="","", 'Equipment Information'!C220)</f>
        <v/>
      </c>
      <c r="F220">
        <f>IF(A220="","","N/A")</f>
        <v/>
      </c>
    </row>
    <row r="221">
      <c r="A221">
        <f>IF('Equipment Information'!A221="","", 'Equipment Information'!A221)</f>
        <v/>
      </c>
      <c r="B221">
        <f>IF('Equipment Information'!B221="","", 'Equipment Information'!B221)</f>
        <v/>
      </c>
      <c r="C221">
        <f>IF('Equipment Information'!C221="","", 'Equipment Information'!C221)</f>
        <v/>
      </c>
      <c r="F221">
        <f>IF(A221="","","N/A")</f>
        <v/>
      </c>
    </row>
    <row r="222">
      <c r="A222">
        <f>IF('Equipment Information'!A222="","", 'Equipment Information'!A222)</f>
        <v/>
      </c>
      <c r="B222">
        <f>IF('Equipment Information'!B222="","", 'Equipment Information'!B222)</f>
        <v/>
      </c>
      <c r="C222">
        <f>IF('Equipment Information'!C222="","", 'Equipment Information'!C222)</f>
        <v/>
      </c>
      <c r="F222">
        <f>IF(A222="","","N/A")</f>
        <v/>
      </c>
    </row>
    <row r="223">
      <c r="A223">
        <f>IF('Equipment Information'!A223="","", 'Equipment Information'!A223)</f>
        <v/>
      </c>
      <c r="B223">
        <f>IF('Equipment Information'!B223="","", 'Equipment Information'!B223)</f>
        <v/>
      </c>
      <c r="C223">
        <f>IF('Equipment Information'!C223="","", 'Equipment Information'!C223)</f>
        <v/>
      </c>
      <c r="F223">
        <f>IF(A223="","","N/A")</f>
        <v/>
      </c>
    </row>
    <row r="224">
      <c r="A224">
        <f>IF('Equipment Information'!A224="","", 'Equipment Information'!A224)</f>
        <v/>
      </c>
      <c r="B224">
        <f>IF('Equipment Information'!B224="","", 'Equipment Information'!B224)</f>
        <v/>
      </c>
      <c r="C224">
        <f>IF('Equipment Information'!C224="","", 'Equipment Information'!C224)</f>
        <v/>
      </c>
      <c r="F224">
        <f>IF(A224="","","N/A")</f>
        <v/>
      </c>
    </row>
    <row r="225">
      <c r="A225">
        <f>IF('Equipment Information'!A225="","", 'Equipment Information'!A225)</f>
        <v/>
      </c>
      <c r="B225">
        <f>IF('Equipment Information'!B225="","", 'Equipment Information'!B225)</f>
        <v/>
      </c>
      <c r="C225">
        <f>IF('Equipment Information'!C225="","", 'Equipment Information'!C225)</f>
        <v/>
      </c>
      <c r="F225">
        <f>IF(A225="","","N/A")</f>
        <v/>
      </c>
    </row>
    <row r="226">
      <c r="A226">
        <f>IF('Equipment Information'!A226="","", 'Equipment Information'!A226)</f>
        <v/>
      </c>
      <c r="B226">
        <f>IF('Equipment Information'!B226="","", 'Equipment Information'!B226)</f>
        <v/>
      </c>
      <c r="C226">
        <f>IF('Equipment Information'!C226="","", 'Equipment Information'!C226)</f>
        <v/>
      </c>
      <c r="F226">
        <f>IF(A226="","","N/A")</f>
        <v/>
      </c>
    </row>
    <row r="227">
      <c r="A227">
        <f>IF('Equipment Information'!A227="","", 'Equipment Information'!A227)</f>
        <v/>
      </c>
      <c r="B227">
        <f>IF('Equipment Information'!B227="","", 'Equipment Information'!B227)</f>
        <v/>
      </c>
      <c r="C227">
        <f>IF('Equipment Information'!C227="","", 'Equipment Information'!C227)</f>
        <v/>
      </c>
      <c r="F227">
        <f>IF(A227="","","N/A")</f>
        <v/>
      </c>
    </row>
    <row r="228">
      <c r="A228">
        <f>IF('Equipment Information'!A228="","", 'Equipment Information'!A228)</f>
        <v/>
      </c>
      <c r="B228">
        <f>IF('Equipment Information'!B228="","", 'Equipment Information'!B228)</f>
        <v/>
      </c>
      <c r="C228">
        <f>IF('Equipment Information'!C228="","", 'Equipment Information'!C228)</f>
        <v/>
      </c>
      <c r="F228">
        <f>IF(A228="","","N/A")</f>
        <v/>
      </c>
    </row>
    <row r="229">
      <c r="A229">
        <f>IF('Equipment Information'!A229="","", 'Equipment Information'!A229)</f>
        <v/>
      </c>
      <c r="B229">
        <f>IF('Equipment Information'!B229="","", 'Equipment Information'!B229)</f>
        <v/>
      </c>
      <c r="C229">
        <f>IF('Equipment Information'!C229="","", 'Equipment Information'!C229)</f>
        <v/>
      </c>
      <c r="F229">
        <f>IF(A229="","","N/A")</f>
        <v/>
      </c>
    </row>
    <row r="230">
      <c r="A230">
        <f>IF('Equipment Information'!A230="","", 'Equipment Information'!A230)</f>
        <v/>
      </c>
      <c r="B230">
        <f>IF('Equipment Information'!B230="","", 'Equipment Information'!B230)</f>
        <v/>
      </c>
      <c r="C230">
        <f>IF('Equipment Information'!C230="","", 'Equipment Information'!C230)</f>
        <v/>
      </c>
      <c r="F230">
        <f>IF(A230="","","N/A")</f>
        <v/>
      </c>
    </row>
    <row r="231">
      <c r="A231">
        <f>IF('Equipment Information'!A231="","", 'Equipment Information'!A231)</f>
        <v/>
      </c>
      <c r="B231">
        <f>IF('Equipment Information'!B231="","", 'Equipment Information'!B231)</f>
        <v/>
      </c>
      <c r="C231">
        <f>IF('Equipment Information'!C231="","", 'Equipment Information'!C231)</f>
        <v/>
      </c>
      <c r="F231">
        <f>IF(A231="","","N/A")</f>
        <v/>
      </c>
    </row>
    <row r="232">
      <c r="A232">
        <f>IF('Equipment Information'!A232="","", 'Equipment Information'!A232)</f>
        <v/>
      </c>
      <c r="B232">
        <f>IF('Equipment Information'!B232="","", 'Equipment Information'!B232)</f>
        <v/>
      </c>
      <c r="C232">
        <f>IF('Equipment Information'!C232="","", 'Equipment Information'!C232)</f>
        <v/>
      </c>
      <c r="F232">
        <f>IF(A232="","","N/A")</f>
        <v/>
      </c>
    </row>
    <row r="233">
      <c r="A233">
        <f>IF('Equipment Information'!A233="","", 'Equipment Information'!A233)</f>
        <v/>
      </c>
      <c r="B233">
        <f>IF('Equipment Information'!B233="","", 'Equipment Information'!B233)</f>
        <v/>
      </c>
      <c r="C233">
        <f>IF('Equipment Information'!C233="","", 'Equipment Information'!C233)</f>
        <v/>
      </c>
      <c r="F233">
        <f>IF(A233="","","N/A")</f>
        <v/>
      </c>
    </row>
    <row r="234">
      <c r="A234">
        <f>IF('Equipment Information'!A234="","", 'Equipment Information'!A234)</f>
        <v/>
      </c>
      <c r="B234">
        <f>IF('Equipment Information'!B234="","", 'Equipment Information'!B234)</f>
        <v/>
      </c>
      <c r="C234">
        <f>IF('Equipment Information'!C234="","", 'Equipment Information'!C234)</f>
        <v/>
      </c>
      <c r="F234">
        <f>IF(A234="","","N/A")</f>
        <v/>
      </c>
    </row>
    <row r="235">
      <c r="A235">
        <f>IF('Equipment Information'!A235="","", 'Equipment Information'!A235)</f>
        <v/>
      </c>
      <c r="B235">
        <f>IF('Equipment Information'!B235="","", 'Equipment Information'!B235)</f>
        <v/>
      </c>
      <c r="C235">
        <f>IF('Equipment Information'!C235="","", 'Equipment Information'!C235)</f>
        <v/>
      </c>
      <c r="F235">
        <f>IF(A235="","","N/A")</f>
        <v/>
      </c>
    </row>
    <row r="236">
      <c r="A236">
        <f>IF('Equipment Information'!A236="","", 'Equipment Information'!A236)</f>
        <v/>
      </c>
      <c r="B236">
        <f>IF('Equipment Information'!B236="","", 'Equipment Information'!B236)</f>
        <v/>
      </c>
      <c r="C236">
        <f>IF('Equipment Information'!C236="","", 'Equipment Information'!C236)</f>
        <v/>
      </c>
      <c r="F236">
        <f>IF(A236="","","N/A")</f>
        <v/>
      </c>
    </row>
    <row r="237">
      <c r="A237">
        <f>IF('Equipment Information'!A237="","", 'Equipment Information'!A237)</f>
        <v/>
      </c>
      <c r="B237">
        <f>IF('Equipment Information'!B237="","", 'Equipment Information'!B237)</f>
        <v/>
      </c>
      <c r="C237">
        <f>IF('Equipment Information'!C237="","", 'Equipment Information'!C237)</f>
        <v/>
      </c>
      <c r="F237">
        <f>IF(A237="","","N/A")</f>
        <v/>
      </c>
    </row>
    <row r="238">
      <c r="A238">
        <f>IF('Equipment Information'!A238="","", 'Equipment Information'!A238)</f>
        <v/>
      </c>
      <c r="B238">
        <f>IF('Equipment Information'!B238="","", 'Equipment Information'!B238)</f>
        <v/>
      </c>
      <c r="C238">
        <f>IF('Equipment Information'!C238="","", 'Equipment Information'!C238)</f>
        <v/>
      </c>
      <c r="F238">
        <f>IF(A238="","","N/A")</f>
        <v/>
      </c>
    </row>
    <row r="239">
      <c r="A239">
        <f>IF('Equipment Information'!A239="","", 'Equipment Information'!A239)</f>
        <v/>
      </c>
      <c r="B239">
        <f>IF('Equipment Information'!B239="","", 'Equipment Information'!B239)</f>
        <v/>
      </c>
      <c r="C239">
        <f>IF('Equipment Information'!C239="","", 'Equipment Information'!C239)</f>
        <v/>
      </c>
      <c r="F239">
        <f>IF(A239="","","N/A")</f>
        <v/>
      </c>
    </row>
    <row r="240">
      <c r="A240">
        <f>IF('Equipment Information'!A240="","", 'Equipment Information'!A240)</f>
        <v/>
      </c>
      <c r="B240">
        <f>IF('Equipment Information'!B240="","", 'Equipment Information'!B240)</f>
        <v/>
      </c>
      <c r="C240">
        <f>IF('Equipment Information'!C240="","", 'Equipment Information'!C240)</f>
        <v/>
      </c>
      <c r="F240">
        <f>IF(A240="","","N/A")</f>
        <v/>
      </c>
    </row>
    <row r="241">
      <c r="A241">
        <f>IF('Equipment Information'!A241="","", 'Equipment Information'!A241)</f>
        <v/>
      </c>
      <c r="B241">
        <f>IF('Equipment Information'!B241="","", 'Equipment Information'!B241)</f>
        <v/>
      </c>
      <c r="C241">
        <f>IF('Equipment Information'!C241="","", 'Equipment Information'!C241)</f>
        <v/>
      </c>
      <c r="F241">
        <f>IF(A241="","","N/A")</f>
        <v/>
      </c>
    </row>
    <row r="242">
      <c r="A242">
        <f>IF('Equipment Information'!A242="","", 'Equipment Information'!A242)</f>
        <v/>
      </c>
      <c r="B242">
        <f>IF('Equipment Information'!B242="","", 'Equipment Information'!B242)</f>
        <v/>
      </c>
      <c r="C242">
        <f>IF('Equipment Information'!C242="","", 'Equipment Information'!C242)</f>
        <v/>
      </c>
      <c r="F242">
        <f>IF(A242="","","N/A")</f>
        <v/>
      </c>
    </row>
    <row r="243">
      <c r="A243">
        <f>IF('Equipment Information'!A243="","", 'Equipment Information'!A243)</f>
        <v/>
      </c>
      <c r="B243">
        <f>IF('Equipment Information'!B243="","", 'Equipment Information'!B243)</f>
        <v/>
      </c>
      <c r="C243">
        <f>IF('Equipment Information'!C243="","", 'Equipment Information'!C243)</f>
        <v/>
      </c>
      <c r="F243">
        <f>IF(A243="","","N/A")</f>
        <v/>
      </c>
    </row>
    <row r="244">
      <c r="A244">
        <f>IF('Equipment Information'!A244="","", 'Equipment Information'!A244)</f>
        <v/>
      </c>
      <c r="B244">
        <f>IF('Equipment Information'!B244="","", 'Equipment Information'!B244)</f>
        <v/>
      </c>
      <c r="C244">
        <f>IF('Equipment Information'!C244="","", 'Equipment Information'!C244)</f>
        <v/>
      </c>
      <c r="F244">
        <f>IF(A244="","","N/A")</f>
        <v/>
      </c>
    </row>
    <row r="245">
      <c r="A245">
        <f>IF('Equipment Information'!A245="","", 'Equipment Information'!A245)</f>
        <v/>
      </c>
      <c r="B245">
        <f>IF('Equipment Information'!B245="","", 'Equipment Information'!B245)</f>
        <v/>
      </c>
      <c r="C245">
        <f>IF('Equipment Information'!C245="","", 'Equipment Information'!C245)</f>
        <v/>
      </c>
      <c r="F245">
        <f>IF(A245="","","N/A")</f>
        <v/>
      </c>
    </row>
    <row r="246">
      <c r="A246">
        <f>IF('Equipment Information'!A246="","", 'Equipment Information'!A246)</f>
        <v/>
      </c>
      <c r="B246">
        <f>IF('Equipment Information'!B246="","", 'Equipment Information'!B246)</f>
        <v/>
      </c>
      <c r="C246">
        <f>IF('Equipment Information'!C246="","", 'Equipment Information'!C246)</f>
        <v/>
      </c>
      <c r="F246">
        <f>IF(A246="","","N/A")</f>
        <v/>
      </c>
    </row>
    <row r="247">
      <c r="A247">
        <f>IF('Equipment Information'!A247="","", 'Equipment Information'!A247)</f>
        <v/>
      </c>
      <c r="B247">
        <f>IF('Equipment Information'!B247="","", 'Equipment Information'!B247)</f>
        <v/>
      </c>
      <c r="C247">
        <f>IF('Equipment Information'!C247="","", 'Equipment Information'!C247)</f>
        <v/>
      </c>
      <c r="F247">
        <f>IF(A247="","","N/A")</f>
        <v/>
      </c>
    </row>
    <row r="248">
      <c r="A248">
        <f>IF('Equipment Information'!A248="","", 'Equipment Information'!A248)</f>
        <v/>
      </c>
      <c r="B248">
        <f>IF('Equipment Information'!B248="","", 'Equipment Information'!B248)</f>
        <v/>
      </c>
      <c r="C248">
        <f>IF('Equipment Information'!C248="","", 'Equipment Information'!C248)</f>
        <v/>
      </c>
      <c r="F248">
        <f>IF(A248="","","N/A")</f>
        <v/>
      </c>
    </row>
    <row r="249">
      <c r="A249">
        <f>IF('Equipment Information'!A249="","", 'Equipment Information'!A249)</f>
        <v/>
      </c>
      <c r="B249">
        <f>IF('Equipment Information'!B249="","", 'Equipment Information'!B249)</f>
        <v/>
      </c>
      <c r="C249">
        <f>IF('Equipment Information'!C249="","", 'Equipment Information'!C249)</f>
        <v/>
      </c>
      <c r="F249">
        <f>IF(A249="","","N/A")</f>
        <v/>
      </c>
    </row>
    <row r="250">
      <c r="A250">
        <f>IF('Equipment Information'!A250="","", 'Equipment Information'!A250)</f>
        <v/>
      </c>
      <c r="B250">
        <f>IF('Equipment Information'!B250="","", 'Equipment Information'!B250)</f>
        <v/>
      </c>
      <c r="C250">
        <f>IF('Equipment Information'!C250="","", 'Equipment Information'!C250)</f>
        <v/>
      </c>
      <c r="F250">
        <f>IF(A250="","","N/A")</f>
        <v/>
      </c>
    </row>
    <row r="251">
      <c r="A251">
        <f>IF('Equipment Information'!A251="","", 'Equipment Information'!A251)</f>
        <v/>
      </c>
      <c r="B251">
        <f>IF('Equipment Information'!B251="","", 'Equipment Information'!B251)</f>
        <v/>
      </c>
      <c r="C251">
        <f>IF('Equipment Information'!C251="","", 'Equipment Information'!C251)</f>
        <v/>
      </c>
      <c r="F251">
        <f>IF(A251="","","N/A")</f>
        <v/>
      </c>
    </row>
    <row r="252">
      <c r="A252">
        <f>IF('Equipment Information'!A252="","", 'Equipment Information'!A252)</f>
        <v/>
      </c>
      <c r="B252">
        <f>IF('Equipment Information'!B252="","", 'Equipment Information'!B252)</f>
        <v/>
      </c>
      <c r="C252">
        <f>IF('Equipment Information'!C252="","", 'Equipment Information'!C252)</f>
        <v/>
      </c>
      <c r="F252">
        <f>IF(A252="","","N/A")</f>
        <v/>
      </c>
    </row>
    <row r="253">
      <c r="A253">
        <f>IF('Equipment Information'!A253="","", 'Equipment Information'!A253)</f>
        <v/>
      </c>
      <c r="B253">
        <f>IF('Equipment Information'!B253="","", 'Equipment Information'!B253)</f>
        <v/>
      </c>
      <c r="C253">
        <f>IF('Equipment Information'!C253="","", 'Equipment Information'!C253)</f>
        <v/>
      </c>
      <c r="F253">
        <f>IF(A253="","","N/A")</f>
        <v/>
      </c>
    </row>
    <row r="254">
      <c r="A254">
        <f>IF('Equipment Information'!A254="","", 'Equipment Information'!A254)</f>
        <v/>
      </c>
      <c r="B254">
        <f>IF('Equipment Information'!B254="","", 'Equipment Information'!B254)</f>
        <v/>
      </c>
      <c r="C254">
        <f>IF('Equipment Information'!C254="","", 'Equipment Information'!C254)</f>
        <v/>
      </c>
      <c r="F254">
        <f>IF(A254="","","N/A")</f>
        <v/>
      </c>
    </row>
    <row r="255">
      <c r="A255">
        <f>IF('Equipment Information'!A255="","", 'Equipment Information'!A255)</f>
        <v/>
      </c>
      <c r="B255">
        <f>IF('Equipment Information'!B255="","", 'Equipment Information'!B255)</f>
        <v/>
      </c>
      <c r="C255">
        <f>IF('Equipment Information'!C255="","", 'Equipment Information'!C255)</f>
        <v/>
      </c>
      <c r="F255">
        <f>IF(A255="","","N/A")</f>
        <v/>
      </c>
    </row>
    <row r="256">
      <c r="A256">
        <f>IF('Equipment Information'!A256="","", 'Equipment Information'!A256)</f>
        <v/>
      </c>
      <c r="B256">
        <f>IF('Equipment Information'!B256="","", 'Equipment Information'!B256)</f>
        <v/>
      </c>
      <c r="C256">
        <f>IF('Equipment Information'!C256="","", 'Equipment Information'!C256)</f>
        <v/>
      </c>
      <c r="F256">
        <f>IF(A256="","","N/A")</f>
        <v/>
      </c>
    </row>
    <row r="257">
      <c r="A257">
        <f>IF('Equipment Information'!A257="","", 'Equipment Information'!A257)</f>
        <v/>
      </c>
      <c r="B257">
        <f>IF('Equipment Information'!B257="","", 'Equipment Information'!B257)</f>
        <v/>
      </c>
      <c r="C257">
        <f>IF('Equipment Information'!C257="","", 'Equipment Information'!C257)</f>
        <v/>
      </c>
      <c r="F257">
        <f>IF(A257="","","N/A")</f>
        <v/>
      </c>
    </row>
    <row r="258">
      <c r="A258">
        <f>IF('Equipment Information'!A258="","", 'Equipment Information'!A258)</f>
        <v/>
      </c>
      <c r="B258">
        <f>IF('Equipment Information'!B258="","", 'Equipment Information'!B258)</f>
        <v/>
      </c>
      <c r="C258">
        <f>IF('Equipment Information'!C258="","", 'Equipment Information'!C258)</f>
        <v/>
      </c>
      <c r="F258">
        <f>IF(A258="","","N/A")</f>
        <v/>
      </c>
    </row>
    <row r="259">
      <c r="A259">
        <f>IF('Equipment Information'!A259="","", 'Equipment Information'!A259)</f>
        <v/>
      </c>
      <c r="B259">
        <f>IF('Equipment Information'!B259="","", 'Equipment Information'!B259)</f>
        <v/>
      </c>
      <c r="C259">
        <f>IF('Equipment Information'!C259="","", 'Equipment Information'!C259)</f>
        <v/>
      </c>
      <c r="F259">
        <f>IF(A259="","","N/A")</f>
        <v/>
      </c>
    </row>
    <row r="260">
      <c r="A260">
        <f>IF('Equipment Information'!A260="","", 'Equipment Information'!A260)</f>
        <v/>
      </c>
      <c r="B260">
        <f>IF('Equipment Information'!B260="","", 'Equipment Information'!B260)</f>
        <v/>
      </c>
      <c r="C260">
        <f>IF('Equipment Information'!C260="","", 'Equipment Information'!C260)</f>
        <v/>
      </c>
      <c r="F260">
        <f>IF(A260="","","N/A")</f>
        <v/>
      </c>
    </row>
    <row r="261">
      <c r="A261">
        <f>IF('Equipment Information'!A261="","", 'Equipment Information'!A261)</f>
        <v/>
      </c>
      <c r="B261">
        <f>IF('Equipment Information'!B261="","", 'Equipment Information'!B261)</f>
        <v/>
      </c>
      <c r="C261">
        <f>IF('Equipment Information'!C261="","", 'Equipment Information'!C261)</f>
        <v/>
      </c>
      <c r="F261">
        <f>IF(A261="","","N/A")</f>
        <v/>
      </c>
    </row>
    <row r="262">
      <c r="A262">
        <f>IF('Equipment Information'!A262="","", 'Equipment Information'!A262)</f>
        <v/>
      </c>
      <c r="B262">
        <f>IF('Equipment Information'!B262="","", 'Equipment Information'!B262)</f>
        <v/>
      </c>
      <c r="C262">
        <f>IF('Equipment Information'!C262="","", 'Equipment Information'!C262)</f>
        <v/>
      </c>
      <c r="F262">
        <f>IF(A262="","","N/A")</f>
        <v/>
      </c>
    </row>
    <row r="263">
      <c r="A263">
        <f>IF('Equipment Information'!A263="","", 'Equipment Information'!A263)</f>
        <v/>
      </c>
      <c r="B263">
        <f>IF('Equipment Information'!B263="","", 'Equipment Information'!B263)</f>
        <v/>
      </c>
      <c r="C263">
        <f>IF('Equipment Information'!C263="","", 'Equipment Information'!C263)</f>
        <v/>
      </c>
      <c r="F263">
        <f>IF(A263="","","N/A")</f>
        <v/>
      </c>
    </row>
    <row r="264">
      <c r="A264">
        <f>IF('Equipment Information'!A264="","", 'Equipment Information'!A264)</f>
        <v/>
      </c>
      <c r="B264">
        <f>IF('Equipment Information'!B264="","", 'Equipment Information'!B264)</f>
        <v/>
      </c>
      <c r="C264">
        <f>IF('Equipment Information'!C264="","", 'Equipment Information'!C264)</f>
        <v/>
      </c>
      <c r="F264">
        <f>IF(A264="","","N/A")</f>
        <v/>
      </c>
    </row>
    <row r="265">
      <c r="A265">
        <f>IF('Equipment Information'!A265="","", 'Equipment Information'!A265)</f>
        <v/>
      </c>
      <c r="B265">
        <f>IF('Equipment Information'!B265="","", 'Equipment Information'!B265)</f>
        <v/>
      </c>
      <c r="C265">
        <f>IF('Equipment Information'!C265="","", 'Equipment Information'!C265)</f>
        <v/>
      </c>
      <c r="F265">
        <f>IF(A265="","","N/A")</f>
        <v/>
      </c>
    </row>
    <row r="266">
      <c r="A266">
        <f>IF('Equipment Information'!A266="","", 'Equipment Information'!A266)</f>
        <v/>
      </c>
      <c r="B266">
        <f>IF('Equipment Information'!B266="","", 'Equipment Information'!B266)</f>
        <v/>
      </c>
      <c r="C266">
        <f>IF('Equipment Information'!C266="","", 'Equipment Information'!C266)</f>
        <v/>
      </c>
      <c r="F266">
        <f>IF(A266="","","N/A")</f>
        <v/>
      </c>
    </row>
    <row r="267">
      <c r="A267">
        <f>IF('Equipment Information'!A267="","", 'Equipment Information'!A267)</f>
        <v/>
      </c>
      <c r="B267">
        <f>IF('Equipment Information'!B267="","", 'Equipment Information'!B267)</f>
        <v/>
      </c>
      <c r="C267">
        <f>IF('Equipment Information'!C267="","", 'Equipment Information'!C267)</f>
        <v/>
      </c>
      <c r="F267">
        <f>IF(A267="","","N/A")</f>
        <v/>
      </c>
    </row>
    <row r="268">
      <c r="A268">
        <f>IF('Equipment Information'!A268="","", 'Equipment Information'!A268)</f>
        <v/>
      </c>
      <c r="B268">
        <f>IF('Equipment Information'!B268="","", 'Equipment Information'!B268)</f>
        <v/>
      </c>
      <c r="C268">
        <f>IF('Equipment Information'!C268="","", 'Equipment Information'!C268)</f>
        <v/>
      </c>
      <c r="F268">
        <f>IF(A268="","","N/A")</f>
        <v/>
      </c>
    </row>
    <row r="269">
      <c r="A269">
        <f>IF('Equipment Information'!A269="","", 'Equipment Information'!A269)</f>
        <v/>
      </c>
      <c r="B269">
        <f>IF('Equipment Information'!B269="","", 'Equipment Information'!B269)</f>
        <v/>
      </c>
      <c r="C269">
        <f>IF('Equipment Information'!C269="","", 'Equipment Information'!C269)</f>
        <v/>
      </c>
      <c r="F269">
        <f>IF(A269="","","N/A")</f>
        <v/>
      </c>
    </row>
    <row r="270">
      <c r="A270">
        <f>IF('Equipment Information'!A270="","", 'Equipment Information'!A270)</f>
        <v/>
      </c>
      <c r="B270">
        <f>IF('Equipment Information'!B270="","", 'Equipment Information'!B270)</f>
        <v/>
      </c>
      <c r="C270">
        <f>IF('Equipment Information'!C270="","", 'Equipment Information'!C270)</f>
        <v/>
      </c>
      <c r="F270">
        <f>IF(A270="","","N/A")</f>
        <v/>
      </c>
    </row>
    <row r="271">
      <c r="A271">
        <f>IF('Equipment Information'!A271="","", 'Equipment Information'!A271)</f>
        <v/>
      </c>
      <c r="B271">
        <f>IF('Equipment Information'!B271="","", 'Equipment Information'!B271)</f>
        <v/>
      </c>
      <c r="C271">
        <f>IF('Equipment Information'!C271="","", 'Equipment Information'!C271)</f>
        <v/>
      </c>
      <c r="F271">
        <f>IF(A271="","","N/A")</f>
        <v/>
      </c>
    </row>
    <row r="272">
      <c r="A272">
        <f>IF('Equipment Information'!A272="","", 'Equipment Information'!A272)</f>
        <v/>
      </c>
      <c r="B272">
        <f>IF('Equipment Information'!B272="","", 'Equipment Information'!B272)</f>
        <v/>
      </c>
      <c r="C272">
        <f>IF('Equipment Information'!C272="","", 'Equipment Information'!C272)</f>
        <v/>
      </c>
      <c r="F272">
        <f>IF(A272="","","N/A")</f>
        <v/>
      </c>
    </row>
    <row r="273">
      <c r="A273">
        <f>IF('Equipment Information'!A273="","", 'Equipment Information'!A273)</f>
        <v/>
      </c>
      <c r="B273">
        <f>IF('Equipment Information'!B273="","", 'Equipment Information'!B273)</f>
        <v/>
      </c>
      <c r="C273">
        <f>IF('Equipment Information'!C273="","", 'Equipment Information'!C273)</f>
        <v/>
      </c>
      <c r="F273">
        <f>IF(A273="","","N/A")</f>
        <v/>
      </c>
    </row>
    <row r="274">
      <c r="A274">
        <f>IF('Equipment Information'!A274="","", 'Equipment Information'!A274)</f>
        <v/>
      </c>
      <c r="B274">
        <f>IF('Equipment Information'!B274="","", 'Equipment Information'!B274)</f>
        <v/>
      </c>
      <c r="C274">
        <f>IF('Equipment Information'!C274="","", 'Equipment Information'!C274)</f>
        <v/>
      </c>
      <c r="F274">
        <f>IF(A274="","","N/A")</f>
        <v/>
      </c>
    </row>
    <row r="275">
      <c r="A275">
        <f>IF('Equipment Information'!A275="","", 'Equipment Information'!A275)</f>
        <v/>
      </c>
      <c r="B275">
        <f>IF('Equipment Information'!B275="","", 'Equipment Information'!B275)</f>
        <v/>
      </c>
      <c r="C275">
        <f>IF('Equipment Information'!C275="","", 'Equipment Information'!C275)</f>
        <v/>
      </c>
      <c r="F275">
        <f>IF(A275="","","N/A")</f>
        <v/>
      </c>
    </row>
    <row r="276">
      <c r="A276">
        <f>IF('Equipment Information'!A276="","", 'Equipment Information'!A276)</f>
        <v/>
      </c>
      <c r="B276">
        <f>IF('Equipment Information'!B276="","", 'Equipment Information'!B276)</f>
        <v/>
      </c>
      <c r="C276">
        <f>IF('Equipment Information'!C276="","", 'Equipment Information'!C276)</f>
        <v/>
      </c>
      <c r="F276">
        <f>IF(A276="","","N/A")</f>
        <v/>
      </c>
    </row>
    <row r="277">
      <c r="A277">
        <f>IF('Equipment Information'!A277="","", 'Equipment Information'!A277)</f>
        <v/>
      </c>
      <c r="B277">
        <f>IF('Equipment Information'!B277="","", 'Equipment Information'!B277)</f>
        <v/>
      </c>
      <c r="C277">
        <f>IF('Equipment Information'!C277="","", 'Equipment Information'!C277)</f>
        <v/>
      </c>
      <c r="F277">
        <f>IF(A277="","","N/A")</f>
        <v/>
      </c>
    </row>
    <row r="278">
      <c r="A278">
        <f>IF('Equipment Information'!A278="","", 'Equipment Information'!A278)</f>
        <v/>
      </c>
      <c r="B278">
        <f>IF('Equipment Information'!B278="","", 'Equipment Information'!B278)</f>
        <v/>
      </c>
      <c r="C278">
        <f>IF('Equipment Information'!C278="","", 'Equipment Information'!C278)</f>
        <v/>
      </c>
      <c r="F278">
        <f>IF(A278="","","N/A")</f>
        <v/>
      </c>
    </row>
    <row r="279">
      <c r="A279">
        <f>IF('Equipment Information'!A279="","", 'Equipment Information'!A279)</f>
        <v/>
      </c>
      <c r="B279">
        <f>IF('Equipment Information'!B279="","", 'Equipment Information'!B279)</f>
        <v/>
      </c>
      <c r="C279">
        <f>IF('Equipment Information'!C279="","", 'Equipment Information'!C279)</f>
        <v/>
      </c>
      <c r="F279">
        <f>IF(A279="","","N/A")</f>
        <v/>
      </c>
    </row>
    <row r="280">
      <c r="A280">
        <f>IF('Equipment Information'!A280="","", 'Equipment Information'!A280)</f>
        <v/>
      </c>
      <c r="B280">
        <f>IF('Equipment Information'!B280="","", 'Equipment Information'!B280)</f>
        <v/>
      </c>
      <c r="C280">
        <f>IF('Equipment Information'!C280="","", 'Equipment Information'!C280)</f>
        <v/>
      </c>
      <c r="F280">
        <f>IF(A280="","","N/A")</f>
        <v/>
      </c>
    </row>
    <row r="281">
      <c r="A281">
        <f>IF('Equipment Information'!A281="","", 'Equipment Information'!A281)</f>
        <v/>
      </c>
      <c r="B281">
        <f>IF('Equipment Information'!B281="","", 'Equipment Information'!B281)</f>
        <v/>
      </c>
      <c r="C281">
        <f>IF('Equipment Information'!C281="","", 'Equipment Information'!C281)</f>
        <v/>
      </c>
      <c r="F281">
        <f>IF(A281="","","N/A")</f>
        <v/>
      </c>
    </row>
    <row r="282">
      <c r="A282">
        <f>IF('Equipment Information'!A282="","", 'Equipment Information'!A282)</f>
        <v/>
      </c>
      <c r="B282">
        <f>IF('Equipment Information'!B282="","", 'Equipment Information'!B282)</f>
        <v/>
      </c>
      <c r="C282">
        <f>IF('Equipment Information'!C282="","", 'Equipment Information'!C282)</f>
        <v/>
      </c>
      <c r="F282">
        <f>IF(A282="","","N/A")</f>
        <v/>
      </c>
    </row>
    <row r="283">
      <c r="A283">
        <f>IF('Equipment Information'!A283="","", 'Equipment Information'!A283)</f>
        <v/>
      </c>
      <c r="B283">
        <f>IF('Equipment Information'!B283="","", 'Equipment Information'!B283)</f>
        <v/>
      </c>
      <c r="C283">
        <f>IF('Equipment Information'!C283="","", 'Equipment Information'!C283)</f>
        <v/>
      </c>
      <c r="F283">
        <f>IF(A283="","","N/A")</f>
        <v/>
      </c>
    </row>
    <row r="284">
      <c r="A284">
        <f>IF('Equipment Information'!A284="","", 'Equipment Information'!A284)</f>
        <v/>
      </c>
      <c r="B284">
        <f>IF('Equipment Information'!B284="","", 'Equipment Information'!B284)</f>
        <v/>
      </c>
      <c r="C284">
        <f>IF('Equipment Information'!C284="","", 'Equipment Information'!C284)</f>
        <v/>
      </c>
      <c r="F284">
        <f>IF(A284="","","N/A")</f>
        <v/>
      </c>
    </row>
    <row r="285">
      <c r="A285">
        <f>IF('Equipment Information'!A285="","", 'Equipment Information'!A285)</f>
        <v/>
      </c>
      <c r="B285">
        <f>IF('Equipment Information'!B285="","", 'Equipment Information'!B285)</f>
        <v/>
      </c>
      <c r="C285">
        <f>IF('Equipment Information'!C285="","", 'Equipment Information'!C285)</f>
        <v/>
      </c>
      <c r="F285">
        <f>IF(A285="","","N/A")</f>
        <v/>
      </c>
    </row>
    <row r="286">
      <c r="A286">
        <f>IF('Equipment Information'!A286="","", 'Equipment Information'!A286)</f>
        <v/>
      </c>
      <c r="B286">
        <f>IF('Equipment Information'!B286="","", 'Equipment Information'!B286)</f>
        <v/>
      </c>
      <c r="C286">
        <f>IF('Equipment Information'!C286="","", 'Equipment Information'!C286)</f>
        <v/>
      </c>
      <c r="F286">
        <f>IF(A286="","","N/A")</f>
        <v/>
      </c>
    </row>
    <row r="287">
      <c r="A287">
        <f>IF('Equipment Information'!A287="","", 'Equipment Information'!A287)</f>
        <v/>
      </c>
      <c r="B287">
        <f>IF('Equipment Information'!B287="","", 'Equipment Information'!B287)</f>
        <v/>
      </c>
      <c r="C287">
        <f>IF('Equipment Information'!C287="","", 'Equipment Information'!C287)</f>
        <v/>
      </c>
      <c r="F287">
        <f>IF(A287="","","N/A")</f>
        <v/>
      </c>
    </row>
    <row r="288">
      <c r="A288">
        <f>IF('Equipment Information'!A288="","", 'Equipment Information'!A288)</f>
        <v/>
      </c>
      <c r="B288">
        <f>IF('Equipment Information'!B288="","", 'Equipment Information'!B288)</f>
        <v/>
      </c>
      <c r="C288">
        <f>IF('Equipment Information'!C288="","", 'Equipment Information'!C288)</f>
        <v/>
      </c>
      <c r="F288">
        <f>IF(A288="","","N/A")</f>
        <v/>
      </c>
    </row>
    <row r="289">
      <c r="A289">
        <f>IF('Equipment Information'!A289="","", 'Equipment Information'!A289)</f>
        <v/>
      </c>
      <c r="B289">
        <f>IF('Equipment Information'!B289="","", 'Equipment Information'!B289)</f>
        <v/>
      </c>
      <c r="C289">
        <f>IF('Equipment Information'!C289="","", 'Equipment Information'!C289)</f>
        <v/>
      </c>
      <c r="F289">
        <f>IF(A289="","","N/A")</f>
        <v/>
      </c>
    </row>
    <row r="290">
      <c r="A290">
        <f>IF('Equipment Information'!A290="","", 'Equipment Information'!A290)</f>
        <v/>
      </c>
      <c r="B290">
        <f>IF('Equipment Information'!B290="","", 'Equipment Information'!B290)</f>
        <v/>
      </c>
      <c r="C290">
        <f>IF('Equipment Information'!C290="","", 'Equipment Information'!C290)</f>
        <v/>
      </c>
      <c r="F290">
        <f>IF(A290="","","N/A")</f>
        <v/>
      </c>
    </row>
    <row r="291">
      <c r="A291">
        <f>IF('Equipment Information'!A291="","", 'Equipment Information'!A291)</f>
        <v/>
      </c>
      <c r="B291">
        <f>IF('Equipment Information'!B291="","", 'Equipment Information'!B291)</f>
        <v/>
      </c>
      <c r="C291">
        <f>IF('Equipment Information'!C291="","", 'Equipment Information'!C291)</f>
        <v/>
      </c>
      <c r="F291">
        <f>IF(A291="","","N/A")</f>
        <v/>
      </c>
    </row>
    <row r="292">
      <c r="A292">
        <f>IF('Equipment Information'!A292="","", 'Equipment Information'!A292)</f>
        <v/>
      </c>
      <c r="B292">
        <f>IF('Equipment Information'!B292="","", 'Equipment Information'!B292)</f>
        <v/>
      </c>
      <c r="C292">
        <f>IF('Equipment Information'!C292="","", 'Equipment Information'!C292)</f>
        <v/>
      </c>
      <c r="F292">
        <f>IF(A292="","","N/A")</f>
        <v/>
      </c>
    </row>
    <row r="293">
      <c r="A293">
        <f>IF('Equipment Information'!A293="","", 'Equipment Information'!A293)</f>
        <v/>
      </c>
      <c r="B293">
        <f>IF('Equipment Information'!B293="","", 'Equipment Information'!B293)</f>
        <v/>
      </c>
      <c r="C293">
        <f>IF('Equipment Information'!C293="","", 'Equipment Information'!C293)</f>
        <v/>
      </c>
      <c r="F293">
        <f>IF(A293="","","N/A")</f>
        <v/>
      </c>
    </row>
    <row r="294">
      <c r="A294">
        <f>IF('Equipment Information'!A294="","", 'Equipment Information'!A294)</f>
        <v/>
      </c>
      <c r="B294">
        <f>IF('Equipment Information'!B294="","", 'Equipment Information'!B294)</f>
        <v/>
      </c>
      <c r="C294">
        <f>IF('Equipment Information'!C294="","", 'Equipment Information'!C294)</f>
        <v/>
      </c>
      <c r="F294">
        <f>IF(A294="","","N/A")</f>
        <v/>
      </c>
    </row>
    <row r="295">
      <c r="A295">
        <f>IF('Equipment Information'!A295="","", 'Equipment Information'!A295)</f>
        <v/>
      </c>
      <c r="B295">
        <f>IF('Equipment Information'!B295="","", 'Equipment Information'!B295)</f>
        <v/>
      </c>
      <c r="C295">
        <f>IF('Equipment Information'!C295="","", 'Equipment Information'!C295)</f>
        <v/>
      </c>
      <c r="F295">
        <f>IF(A295="","","N/A")</f>
        <v/>
      </c>
    </row>
    <row r="296">
      <c r="A296">
        <f>IF('Equipment Information'!A296="","", 'Equipment Information'!A296)</f>
        <v/>
      </c>
      <c r="B296">
        <f>IF('Equipment Information'!B296="","", 'Equipment Information'!B296)</f>
        <v/>
      </c>
      <c r="C296">
        <f>IF('Equipment Information'!C296="","", 'Equipment Information'!C296)</f>
        <v/>
      </c>
      <c r="F296">
        <f>IF(A296="","","N/A")</f>
        <v/>
      </c>
    </row>
    <row r="297">
      <c r="A297">
        <f>IF('Equipment Information'!A297="","", 'Equipment Information'!A297)</f>
        <v/>
      </c>
      <c r="B297">
        <f>IF('Equipment Information'!B297="","", 'Equipment Information'!B297)</f>
        <v/>
      </c>
      <c r="C297">
        <f>IF('Equipment Information'!C297="","", 'Equipment Information'!C297)</f>
        <v/>
      </c>
      <c r="F297">
        <f>IF(A297="","","N/A")</f>
        <v/>
      </c>
    </row>
    <row r="298">
      <c r="A298">
        <f>IF('Equipment Information'!A298="","", 'Equipment Information'!A298)</f>
        <v/>
      </c>
      <c r="B298">
        <f>IF('Equipment Information'!B298="","", 'Equipment Information'!B298)</f>
        <v/>
      </c>
      <c r="C298">
        <f>IF('Equipment Information'!C298="","", 'Equipment Information'!C298)</f>
        <v/>
      </c>
      <c r="F298">
        <f>IF(A298="","","N/A")</f>
        <v/>
      </c>
    </row>
    <row r="299">
      <c r="A299">
        <f>IF('Equipment Information'!A299="","", 'Equipment Information'!A299)</f>
        <v/>
      </c>
      <c r="B299">
        <f>IF('Equipment Information'!B299="","", 'Equipment Information'!B299)</f>
        <v/>
      </c>
      <c r="C299">
        <f>IF('Equipment Information'!C299="","", 'Equipment Information'!C299)</f>
        <v/>
      </c>
      <c r="F299">
        <f>IF(A299="","","N/A")</f>
        <v/>
      </c>
    </row>
    <row r="300">
      <c r="A300">
        <f>IF('Equipment Information'!A300="","", 'Equipment Information'!A300)</f>
        <v/>
      </c>
      <c r="B300">
        <f>IF('Equipment Information'!B300="","", 'Equipment Information'!B300)</f>
        <v/>
      </c>
      <c r="C300">
        <f>IF('Equipment Information'!C300="","", 'Equipment Information'!C300)</f>
        <v/>
      </c>
      <c r="F300">
        <f>IF(A300="","","N/A")</f>
        <v/>
      </c>
    </row>
    <row r="301">
      <c r="A301">
        <f>IF('Equipment Information'!A301="","", 'Equipment Information'!A301)</f>
        <v/>
      </c>
      <c r="B301">
        <f>IF('Equipment Information'!B301="","", 'Equipment Information'!B301)</f>
        <v/>
      </c>
      <c r="C301">
        <f>IF('Equipment Information'!C301="","", 'Equipment Information'!C301)</f>
        <v/>
      </c>
      <c r="F301">
        <f>IF(A301="","","N/A")</f>
        <v/>
      </c>
    </row>
    <row r="302">
      <c r="A302">
        <f>IF('Equipment Information'!A302="","", 'Equipment Information'!A302)</f>
        <v/>
      </c>
      <c r="B302">
        <f>IF('Equipment Information'!B302="","", 'Equipment Information'!B302)</f>
        <v/>
      </c>
      <c r="C302">
        <f>IF('Equipment Information'!C302="","", 'Equipment Information'!C302)</f>
        <v/>
      </c>
      <c r="F302">
        <f>IF(A302="","","N/A")</f>
        <v/>
      </c>
    </row>
    <row r="303">
      <c r="A303">
        <f>IF('Equipment Information'!A303="","", 'Equipment Information'!A303)</f>
        <v/>
      </c>
      <c r="B303">
        <f>IF('Equipment Information'!B303="","", 'Equipment Information'!B303)</f>
        <v/>
      </c>
      <c r="C303">
        <f>IF('Equipment Information'!C303="","", 'Equipment Information'!C303)</f>
        <v/>
      </c>
      <c r="F303">
        <f>IF(A303="","","N/A")</f>
        <v/>
      </c>
    </row>
    <row r="304">
      <c r="A304">
        <f>IF('Equipment Information'!A304="","", 'Equipment Information'!A304)</f>
        <v/>
      </c>
      <c r="B304">
        <f>IF('Equipment Information'!B304="","", 'Equipment Information'!B304)</f>
        <v/>
      </c>
      <c r="C304">
        <f>IF('Equipment Information'!C304="","", 'Equipment Information'!C304)</f>
        <v/>
      </c>
      <c r="F304">
        <f>IF(A304="","","N/A")</f>
        <v/>
      </c>
    </row>
    <row r="305">
      <c r="A305">
        <f>IF('Equipment Information'!A305="","", 'Equipment Information'!A305)</f>
        <v/>
      </c>
      <c r="B305">
        <f>IF('Equipment Information'!B305="","", 'Equipment Information'!B305)</f>
        <v/>
      </c>
      <c r="C305">
        <f>IF('Equipment Information'!C305="","", 'Equipment Information'!C305)</f>
        <v/>
      </c>
      <c r="F305">
        <f>IF(A305="","","N/A")</f>
        <v/>
      </c>
    </row>
    <row r="306">
      <c r="A306">
        <f>IF('Equipment Information'!A306="","", 'Equipment Information'!A306)</f>
        <v/>
      </c>
      <c r="B306">
        <f>IF('Equipment Information'!B306="","", 'Equipment Information'!B306)</f>
        <v/>
      </c>
      <c r="C306">
        <f>IF('Equipment Information'!C306="","", 'Equipment Information'!C306)</f>
        <v/>
      </c>
      <c r="F306">
        <f>IF(A306="","","N/A")</f>
        <v/>
      </c>
    </row>
    <row r="307">
      <c r="A307">
        <f>IF('Equipment Information'!A307="","", 'Equipment Information'!A307)</f>
        <v/>
      </c>
      <c r="B307">
        <f>IF('Equipment Information'!B307="","", 'Equipment Information'!B307)</f>
        <v/>
      </c>
      <c r="C307">
        <f>IF('Equipment Information'!C307="","", 'Equipment Information'!C307)</f>
        <v/>
      </c>
      <c r="F307">
        <f>IF(A307="","","N/A")</f>
        <v/>
      </c>
    </row>
    <row r="308">
      <c r="A308">
        <f>IF('Equipment Information'!A308="","", 'Equipment Information'!A308)</f>
        <v/>
      </c>
      <c r="B308">
        <f>IF('Equipment Information'!B308="","", 'Equipment Information'!B308)</f>
        <v/>
      </c>
      <c r="C308">
        <f>IF('Equipment Information'!C308="","", 'Equipment Information'!C308)</f>
        <v/>
      </c>
      <c r="F308">
        <f>IF(A308="","","N/A")</f>
        <v/>
      </c>
    </row>
    <row r="309">
      <c r="A309">
        <f>IF('Equipment Information'!A309="","", 'Equipment Information'!A309)</f>
        <v/>
      </c>
      <c r="B309">
        <f>IF('Equipment Information'!B309="","", 'Equipment Information'!B309)</f>
        <v/>
      </c>
      <c r="C309">
        <f>IF('Equipment Information'!C309="","", 'Equipment Information'!C309)</f>
        <v/>
      </c>
      <c r="F309">
        <f>IF(A309="","","N/A")</f>
        <v/>
      </c>
    </row>
    <row r="310">
      <c r="A310">
        <f>IF('Equipment Information'!A310="","", 'Equipment Information'!A310)</f>
        <v/>
      </c>
      <c r="B310">
        <f>IF('Equipment Information'!B310="","", 'Equipment Information'!B310)</f>
        <v/>
      </c>
      <c r="C310">
        <f>IF('Equipment Information'!C310="","", 'Equipment Information'!C310)</f>
        <v/>
      </c>
      <c r="F310">
        <f>IF(A310="","","N/A")</f>
        <v/>
      </c>
    </row>
    <row r="311">
      <c r="A311">
        <f>IF('Equipment Information'!A311="","", 'Equipment Information'!A311)</f>
        <v/>
      </c>
      <c r="B311">
        <f>IF('Equipment Information'!B311="","", 'Equipment Information'!B311)</f>
        <v/>
      </c>
      <c r="C311">
        <f>IF('Equipment Information'!C311="","", 'Equipment Information'!C311)</f>
        <v/>
      </c>
      <c r="F311">
        <f>IF(A311="","","N/A")</f>
        <v/>
      </c>
    </row>
    <row r="312">
      <c r="A312">
        <f>IF('Equipment Information'!A312="","", 'Equipment Information'!A312)</f>
        <v/>
      </c>
      <c r="B312">
        <f>IF('Equipment Information'!B312="","", 'Equipment Information'!B312)</f>
        <v/>
      </c>
      <c r="C312">
        <f>IF('Equipment Information'!C312="","", 'Equipment Information'!C312)</f>
        <v/>
      </c>
      <c r="F312">
        <f>IF(A312="","","N/A")</f>
        <v/>
      </c>
    </row>
    <row r="313">
      <c r="A313">
        <f>IF('Equipment Information'!A313="","", 'Equipment Information'!A313)</f>
        <v/>
      </c>
      <c r="B313">
        <f>IF('Equipment Information'!B313="","", 'Equipment Information'!B313)</f>
        <v/>
      </c>
      <c r="C313">
        <f>IF('Equipment Information'!C313="","", 'Equipment Information'!C313)</f>
        <v/>
      </c>
      <c r="F313">
        <f>IF(A313="","","N/A")</f>
        <v/>
      </c>
    </row>
    <row r="314">
      <c r="A314">
        <f>IF('Equipment Information'!A314="","", 'Equipment Information'!A314)</f>
        <v/>
      </c>
      <c r="B314">
        <f>IF('Equipment Information'!B314="","", 'Equipment Information'!B314)</f>
        <v/>
      </c>
      <c r="C314">
        <f>IF('Equipment Information'!C314="","", 'Equipment Information'!C314)</f>
        <v/>
      </c>
      <c r="F314">
        <f>IF(A314="","","N/A")</f>
        <v/>
      </c>
    </row>
    <row r="315">
      <c r="A315">
        <f>IF('Equipment Information'!A315="","", 'Equipment Information'!A315)</f>
        <v/>
      </c>
      <c r="B315">
        <f>IF('Equipment Information'!B315="","", 'Equipment Information'!B315)</f>
        <v/>
      </c>
      <c r="C315">
        <f>IF('Equipment Information'!C315="","", 'Equipment Information'!C315)</f>
        <v/>
      </c>
      <c r="F315">
        <f>IF(A315="","","N/A")</f>
        <v/>
      </c>
    </row>
    <row r="316">
      <c r="A316">
        <f>IF('Equipment Information'!A316="","", 'Equipment Information'!A316)</f>
        <v/>
      </c>
      <c r="B316">
        <f>IF('Equipment Information'!B316="","", 'Equipment Information'!B316)</f>
        <v/>
      </c>
      <c r="C316">
        <f>IF('Equipment Information'!C316="","", 'Equipment Information'!C316)</f>
        <v/>
      </c>
      <c r="F316">
        <f>IF(A316="","","N/A")</f>
        <v/>
      </c>
    </row>
    <row r="317">
      <c r="A317">
        <f>IF('Equipment Information'!A317="","", 'Equipment Information'!A317)</f>
        <v/>
      </c>
      <c r="B317">
        <f>IF('Equipment Information'!B317="","", 'Equipment Information'!B317)</f>
        <v/>
      </c>
      <c r="C317">
        <f>IF('Equipment Information'!C317="","", 'Equipment Information'!C317)</f>
        <v/>
      </c>
      <c r="F317">
        <f>IF(A317="","","N/A")</f>
        <v/>
      </c>
    </row>
    <row r="318">
      <c r="A318">
        <f>IF('Equipment Information'!A318="","", 'Equipment Information'!A318)</f>
        <v/>
      </c>
      <c r="B318">
        <f>IF('Equipment Information'!B318="","", 'Equipment Information'!B318)</f>
        <v/>
      </c>
      <c r="C318">
        <f>IF('Equipment Information'!C318="","", 'Equipment Information'!C318)</f>
        <v/>
      </c>
      <c r="F318">
        <f>IF(A318="","","N/A")</f>
        <v/>
      </c>
    </row>
    <row r="319">
      <c r="A319">
        <f>IF('Equipment Information'!A319="","", 'Equipment Information'!A319)</f>
        <v/>
      </c>
      <c r="B319">
        <f>IF('Equipment Information'!B319="","", 'Equipment Information'!B319)</f>
        <v/>
      </c>
      <c r="C319">
        <f>IF('Equipment Information'!C319="","", 'Equipment Information'!C319)</f>
        <v/>
      </c>
      <c r="F319">
        <f>IF(A319="","","N/A")</f>
        <v/>
      </c>
    </row>
    <row r="320">
      <c r="A320">
        <f>IF('Equipment Information'!A320="","", 'Equipment Information'!A320)</f>
        <v/>
      </c>
      <c r="B320">
        <f>IF('Equipment Information'!B320="","", 'Equipment Information'!B320)</f>
        <v/>
      </c>
      <c r="C320">
        <f>IF('Equipment Information'!C320="","", 'Equipment Information'!C320)</f>
        <v/>
      </c>
      <c r="F320">
        <f>IF(A320="","","N/A")</f>
        <v/>
      </c>
    </row>
    <row r="321">
      <c r="A321">
        <f>IF('Equipment Information'!A321="","", 'Equipment Information'!A321)</f>
        <v/>
      </c>
      <c r="B321">
        <f>IF('Equipment Information'!B321="","", 'Equipment Information'!B321)</f>
        <v/>
      </c>
      <c r="C321">
        <f>IF('Equipment Information'!C321="","", 'Equipment Information'!C321)</f>
        <v/>
      </c>
      <c r="F321">
        <f>IF(A321="","","N/A")</f>
        <v/>
      </c>
    </row>
    <row r="322">
      <c r="A322">
        <f>IF('Equipment Information'!A322="","", 'Equipment Information'!A322)</f>
        <v/>
      </c>
      <c r="B322">
        <f>IF('Equipment Information'!B322="","", 'Equipment Information'!B322)</f>
        <v/>
      </c>
      <c r="C322">
        <f>IF('Equipment Information'!C322="","", 'Equipment Information'!C322)</f>
        <v/>
      </c>
      <c r="F322">
        <f>IF(A322="","","N/A")</f>
        <v/>
      </c>
    </row>
    <row r="323">
      <c r="A323">
        <f>IF('Equipment Information'!A323="","", 'Equipment Information'!A323)</f>
        <v/>
      </c>
      <c r="B323">
        <f>IF('Equipment Information'!B323="","", 'Equipment Information'!B323)</f>
        <v/>
      </c>
      <c r="C323">
        <f>IF('Equipment Information'!C323="","", 'Equipment Information'!C323)</f>
        <v/>
      </c>
      <c r="F323">
        <f>IF(A323="","","N/A")</f>
        <v/>
      </c>
    </row>
    <row r="324">
      <c r="A324">
        <f>IF('Equipment Information'!A324="","", 'Equipment Information'!A324)</f>
        <v/>
      </c>
      <c r="B324">
        <f>IF('Equipment Information'!B324="","", 'Equipment Information'!B324)</f>
        <v/>
      </c>
      <c r="C324">
        <f>IF('Equipment Information'!C324="","", 'Equipment Information'!C324)</f>
        <v/>
      </c>
      <c r="F324">
        <f>IF(A324="","","N/A")</f>
        <v/>
      </c>
    </row>
    <row r="325">
      <c r="A325">
        <f>IF('Equipment Information'!A325="","", 'Equipment Information'!A325)</f>
        <v/>
      </c>
      <c r="B325">
        <f>IF('Equipment Information'!B325="","", 'Equipment Information'!B325)</f>
        <v/>
      </c>
      <c r="C325">
        <f>IF('Equipment Information'!C325="","", 'Equipment Information'!C325)</f>
        <v/>
      </c>
      <c r="F325">
        <f>IF(A325="","","N/A")</f>
        <v/>
      </c>
    </row>
    <row r="326">
      <c r="A326">
        <f>IF('Equipment Information'!A326="","", 'Equipment Information'!A326)</f>
        <v/>
      </c>
      <c r="B326">
        <f>IF('Equipment Information'!B326="","", 'Equipment Information'!B326)</f>
        <v/>
      </c>
      <c r="C326">
        <f>IF('Equipment Information'!C326="","", 'Equipment Information'!C326)</f>
        <v/>
      </c>
      <c r="F326">
        <f>IF(A326="","","N/A")</f>
        <v/>
      </c>
    </row>
    <row r="327">
      <c r="A327">
        <f>IF('Equipment Information'!A327="","", 'Equipment Information'!A327)</f>
        <v/>
      </c>
      <c r="B327">
        <f>IF('Equipment Information'!B327="","", 'Equipment Information'!B327)</f>
        <v/>
      </c>
      <c r="C327">
        <f>IF('Equipment Information'!C327="","", 'Equipment Information'!C327)</f>
        <v/>
      </c>
      <c r="F327">
        <f>IF(A327="","","N/A")</f>
        <v/>
      </c>
    </row>
    <row r="328">
      <c r="A328">
        <f>IF('Equipment Information'!A328="","", 'Equipment Information'!A328)</f>
        <v/>
      </c>
      <c r="B328">
        <f>IF('Equipment Information'!B328="","", 'Equipment Information'!B328)</f>
        <v/>
      </c>
      <c r="C328">
        <f>IF('Equipment Information'!C328="","", 'Equipment Information'!C328)</f>
        <v/>
      </c>
      <c r="F328">
        <f>IF(A328="","","N/A")</f>
        <v/>
      </c>
    </row>
    <row r="329">
      <c r="A329">
        <f>IF('Equipment Information'!A329="","", 'Equipment Information'!A329)</f>
        <v/>
      </c>
      <c r="B329">
        <f>IF('Equipment Information'!B329="","", 'Equipment Information'!B329)</f>
        <v/>
      </c>
      <c r="C329">
        <f>IF('Equipment Information'!C329="","", 'Equipment Information'!C329)</f>
        <v/>
      </c>
      <c r="F329">
        <f>IF(A329="","","N/A")</f>
        <v/>
      </c>
    </row>
    <row r="330">
      <c r="A330">
        <f>IF('Equipment Information'!A330="","", 'Equipment Information'!A330)</f>
        <v/>
      </c>
      <c r="B330">
        <f>IF('Equipment Information'!B330="","", 'Equipment Information'!B330)</f>
        <v/>
      </c>
      <c r="C330">
        <f>IF('Equipment Information'!C330="","", 'Equipment Information'!C330)</f>
        <v/>
      </c>
      <c r="F330">
        <f>IF(A330="","","N/A")</f>
        <v/>
      </c>
    </row>
    <row r="331">
      <c r="A331">
        <f>IF('Equipment Information'!A331="","", 'Equipment Information'!A331)</f>
        <v/>
      </c>
      <c r="B331">
        <f>IF('Equipment Information'!B331="","", 'Equipment Information'!B331)</f>
        <v/>
      </c>
      <c r="C331">
        <f>IF('Equipment Information'!C331="","", 'Equipment Information'!C331)</f>
        <v/>
      </c>
      <c r="F331">
        <f>IF(A331="","","N/A")</f>
        <v/>
      </c>
    </row>
    <row r="332">
      <c r="A332">
        <f>IF('Equipment Information'!A332="","", 'Equipment Information'!A332)</f>
        <v/>
      </c>
      <c r="B332">
        <f>IF('Equipment Information'!B332="","", 'Equipment Information'!B332)</f>
        <v/>
      </c>
      <c r="C332">
        <f>IF('Equipment Information'!C332="","", 'Equipment Information'!C332)</f>
        <v/>
      </c>
      <c r="F332">
        <f>IF(A332="","","N/A")</f>
        <v/>
      </c>
    </row>
    <row r="333">
      <c r="A333">
        <f>IF('Equipment Information'!A333="","", 'Equipment Information'!A333)</f>
        <v/>
      </c>
      <c r="B333">
        <f>IF('Equipment Information'!B333="","", 'Equipment Information'!B333)</f>
        <v/>
      </c>
      <c r="C333">
        <f>IF('Equipment Information'!C333="","", 'Equipment Information'!C333)</f>
        <v/>
      </c>
      <c r="F333">
        <f>IF(A333="","","N/A")</f>
        <v/>
      </c>
    </row>
    <row r="334">
      <c r="A334">
        <f>IF('Equipment Information'!A334="","", 'Equipment Information'!A334)</f>
        <v/>
      </c>
      <c r="B334">
        <f>IF('Equipment Information'!B334="","", 'Equipment Information'!B334)</f>
        <v/>
      </c>
      <c r="C334">
        <f>IF('Equipment Information'!C334="","", 'Equipment Information'!C334)</f>
        <v/>
      </c>
      <c r="F334">
        <f>IF(A334="","","N/A")</f>
        <v/>
      </c>
    </row>
    <row r="335">
      <c r="A335">
        <f>IF('Equipment Information'!A335="","", 'Equipment Information'!A335)</f>
        <v/>
      </c>
      <c r="B335">
        <f>IF('Equipment Information'!B335="","", 'Equipment Information'!B335)</f>
        <v/>
      </c>
      <c r="C335">
        <f>IF('Equipment Information'!C335="","", 'Equipment Information'!C335)</f>
        <v/>
      </c>
      <c r="F335">
        <f>IF(A335="","","N/A")</f>
        <v/>
      </c>
    </row>
    <row r="336">
      <c r="A336">
        <f>IF('Equipment Information'!A336="","", 'Equipment Information'!A336)</f>
        <v/>
      </c>
      <c r="B336">
        <f>IF('Equipment Information'!B336="","", 'Equipment Information'!B336)</f>
        <v/>
      </c>
      <c r="C336">
        <f>IF('Equipment Information'!C336="","", 'Equipment Information'!C336)</f>
        <v/>
      </c>
      <c r="F336">
        <f>IF(A336="","","N/A")</f>
        <v/>
      </c>
    </row>
    <row r="337">
      <c r="A337">
        <f>IF('Equipment Information'!A337="","", 'Equipment Information'!A337)</f>
        <v/>
      </c>
      <c r="B337">
        <f>IF('Equipment Information'!B337="","", 'Equipment Information'!B337)</f>
        <v/>
      </c>
      <c r="C337">
        <f>IF('Equipment Information'!C337="","", 'Equipment Information'!C337)</f>
        <v/>
      </c>
      <c r="F337">
        <f>IF(A337="","","N/A")</f>
        <v/>
      </c>
    </row>
    <row r="338">
      <c r="A338">
        <f>IF('Equipment Information'!A338="","", 'Equipment Information'!A338)</f>
        <v/>
      </c>
      <c r="B338">
        <f>IF('Equipment Information'!B338="","", 'Equipment Information'!B338)</f>
        <v/>
      </c>
      <c r="C338">
        <f>IF('Equipment Information'!C338="","", 'Equipment Information'!C338)</f>
        <v/>
      </c>
      <c r="F338">
        <f>IF(A338="","","N/A")</f>
        <v/>
      </c>
    </row>
    <row r="339">
      <c r="A339">
        <f>IF('Equipment Information'!A339="","", 'Equipment Information'!A339)</f>
        <v/>
      </c>
      <c r="B339">
        <f>IF('Equipment Information'!B339="","", 'Equipment Information'!B339)</f>
        <v/>
      </c>
      <c r="C339">
        <f>IF('Equipment Information'!C339="","", 'Equipment Information'!C339)</f>
        <v/>
      </c>
      <c r="F339">
        <f>IF(A339="","","N/A")</f>
        <v/>
      </c>
    </row>
    <row r="340">
      <c r="A340">
        <f>IF('Equipment Information'!A340="","", 'Equipment Information'!A340)</f>
        <v/>
      </c>
      <c r="B340">
        <f>IF('Equipment Information'!B340="","", 'Equipment Information'!B340)</f>
        <v/>
      </c>
      <c r="C340">
        <f>IF('Equipment Information'!C340="","", 'Equipment Information'!C340)</f>
        <v/>
      </c>
      <c r="F340">
        <f>IF(A340="","","N/A")</f>
        <v/>
      </c>
    </row>
    <row r="341">
      <c r="A341">
        <f>IF('Equipment Information'!A341="","", 'Equipment Information'!A341)</f>
        <v/>
      </c>
      <c r="B341">
        <f>IF('Equipment Information'!B341="","", 'Equipment Information'!B341)</f>
        <v/>
      </c>
      <c r="C341">
        <f>IF('Equipment Information'!C341="","", 'Equipment Information'!C341)</f>
        <v/>
      </c>
      <c r="F341">
        <f>IF(A341="","","N/A")</f>
        <v/>
      </c>
    </row>
    <row r="342">
      <c r="A342">
        <f>IF('Equipment Information'!A342="","", 'Equipment Information'!A342)</f>
        <v/>
      </c>
      <c r="B342">
        <f>IF('Equipment Information'!B342="","", 'Equipment Information'!B342)</f>
        <v/>
      </c>
      <c r="C342">
        <f>IF('Equipment Information'!C342="","", 'Equipment Information'!C342)</f>
        <v/>
      </c>
      <c r="F342">
        <f>IF(A342="","","N/A")</f>
        <v/>
      </c>
    </row>
    <row r="343">
      <c r="A343">
        <f>IF('Equipment Information'!A343="","", 'Equipment Information'!A343)</f>
        <v/>
      </c>
      <c r="B343">
        <f>IF('Equipment Information'!B343="","", 'Equipment Information'!B343)</f>
        <v/>
      </c>
      <c r="C343">
        <f>IF('Equipment Information'!C343="","", 'Equipment Information'!C343)</f>
        <v/>
      </c>
      <c r="F343">
        <f>IF(A343="","","N/A")</f>
        <v/>
      </c>
    </row>
    <row r="344">
      <c r="A344">
        <f>IF('Equipment Information'!A344="","", 'Equipment Information'!A344)</f>
        <v/>
      </c>
      <c r="B344">
        <f>IF('Equipment Information'!B344="","", 'Equipment Information'!B344)</f>
        <v/>
      </c>
      <c r="C344">
        <f>IF('Equipment Information'!C344="","", 'Equipment Information'!C344)</f>
        <v/>
      </c>
      <c r="F344">
        <f>IF(A344="","","N/A")</f>
        <v/>
      </c>
    </row>
    <row r="345">
      <c r="A345">
        <f>IF('Equipment Information'!A345="","", 'Equipment Information'!A345)</f>
        <v/>
      </c>
      <c r="B345">
        <f>IF('Equipment Information'!B345="","", 'Equipment Information'!B345)</f>
        <v/>
      </c>
      <c r="C345">
        <f>IF('Equipment Information'!C345="","", 'Equipment Information'!C345)</f>
        <v/>
      </c>
      <c r="F345">
        <f>IF(A345="","","N/A")</f>
        <v/>
      </c>
    </row>
    <row r="346">
      <c r="A346">
        <f>IF('Equipment Information'!A346="","", 'Equipment Information'!A346)</f>
        <v/>
      </c>
      <c r="B346">
        <f>IF('Equipment Information'!B346="","", 'Equipment Information'!B346)</f>
        <v/>
      </c>
      <c r="C346">
        <f>IF('Equipment Information'!C346="","", 'Equipment Information'!C346)</f>
        <v/>
      </c>
      <c r="F346">
        <f>IF(A346="","","N/A")</f>
        <v/>
      </c>
    </row>
    <row r="347">
      <c r="A347">
        <f>IF('Equipment Information'!A347="","", 'Equipment Information'!A347)</f>
        <v/>
      </c>
      <c r="B347">
        <f>IF('Equipment Information'!B347="","", 'Equipment Information'!B347)</f>
        <v/>
      </c>
      <c r="C347">
        <f>IF('Equipment Information'!C347="","", 'Equipment Information'!C347)</f>
        <v/>
      </c>
      <c r="F347">
        <f>IF(A347="","","N/A")</f>
        <v/>
      </c>
    </row>
    <row r="348">
      <c r="A348">
        <f>IF('Equipment Information'!A348="","", 'Equipment Information'!A348)</f>
        <v/>
      </c>
      <c r="B348">
        <f>IF('Equipment Information'!B348="","", 'Equipment Information'!B348)</f>
        <v/>
      </c>
      <c r="C348">
        <f>IF('Equipment Information'!C348="","", 'Equipment Information'!C348)</f>
        <v/>
      </c>
      <c r="F348">
        <f>IF(A348="","","N/A")</f>
        <v/>
      </c>
    </row>
    <row r="349">
      <c r="A349">
        <f>IF('Equipment Information'!A349="","", 'Equipment Information'!A349)</f>
        <v/>
      </c>
      <c r="B349">
        <f>IF('Equipment Information'!B349="","", 'Equipment Information'!B349)</f>
        <v/>
      </c>
      <c r="C349">
        <f>IF('Equipment Information'!C349="","", 'Equipment Information'!C349)</f>
        <v/>
      </c>
      <c r="F349">
        <f>IF(A349="","","N/A")</f>
        <v/>
      </c>
    </row>
    <row r="350">
      <c r="A350">
        <f>IF('Equipment Information'!A350="","", 'Equipment Information'!A350)</f>
        <v/>
      </c>
      <c r="B350">
        <f>IF('Equipment Information'!B350="","", 'Equipment Information'!B350)</f>
        <v/>
      </c>
      <c r="C350">
        <f>IF('Equipment Information'!C350="","", 'Equipment Information'!C350)</f>
        <v/>
      </c>
      <c r="F350">
        <f>IF(A350="","","N/A")</f>
        <v/>
      </c>
    </row>
    <row r="351">
      <c r="A351">
        <f>IF('Equipment Information'!A351="","", 'Equipment Information'!A351)</f>
        <v/>
      </c>
      <c r="B351">
        <f>IF('Equipment Information'!B351="","", 'Equipment Information'!B351)</f>
        <v/>
      </c>
      <c r="C351">
        <f>IF('Equipment Information'!C351="","", 'Equipment Information'!C351)</f>
        <v/>
      </c>
      <c r="F351">
        <f>IF(A351="","","N/A")</f>
        <v/>
      </c>
    </row>
    <row r="352">
      <c r="A352">
        <f>IF('Equipment Information'!A352="","", 'Equipment Information'!A352)</f>
        <v/>
      </c>
      <c r="B352">
        <f>IF('Equipment Information'!B352="","", 'Equipment Information'!B352)</f>
        <v/>
      </c>
      <c r="C352">
        <f>IF('Equipment Information'!C352="","", 'Equipment Information'!C352)</f>
        <v/>
      </c>
      <c r="F352">
        <f>IF(A352="","","N/A")</f>
        <v/>
      </c>
    </row>
    <row r="353">
      <c r="A353">
        <f>IF('Equipment Information'!A353="","", 'Equipment Information'!A353)</f>
        <v/>
      </c>
      <c r="B353">
        <f>IF('Equipment Information'!B353="","", 'Equipment Information'!B353)</f>
        <v/>
      </c>
      <c r="C353">
        <f>IF('Equipment Information'!C353="","", 'Equipment Information'!C353)</f>
        <v/>
      </c>
      <c r="F353">
        <f>IF(A353="","","N/A")</f>
        <v/>
      </c>
    </row>
    <row r="354">
      <c r="A354">
        <f>IF('Equipment Information'!A354="","", 'Equipment Information'!A354)</f>
        <v/>
      </c>
      <c r="B354">
        <f>IF('Equipment Information'!B354="","", 'Equipment Information'!B354)</f>
        <v/>
      </c>
      <c r="C354">
        <f>IF('Equipment Information'!C354="","", 'Equipment Information'!C354)</f>
        <v/>
      </c>
      <c r="F354">
        <f>IF(A354="","","N/A")</f>
        <v/>
      </c>
    </row>
    <row r="355">
      <c r="A355">
        <f>IF('Equipment Information'!A355="","", 'Equipment Information'!A355)</f>
        <v/>
      </c>
      <c r="B355">
        <f>IF('Equipment Information'!B355="","", 'Equipment Information'!B355)</f>
        <v/>
      </c>
      <c r="C355">
        <f>IF('Equipment Information'!C355="","", 'Equipment Information'!C355)</f>
        <v/>
      </c>
      <c r="F355">
        <f>IF(A355="","","N/A")</f>
        <v/>
      </c>
    </row>
    <row r="356">
      <c r="A356">
        <f>IF('Equipment Information'!A356="","", 'Equipment Information'!A356)</f>
        <v/>
      </c>
      <c r="B356">
        <f>IF('Equipment Information'!B356="","", 'Equipment Information'!B356)</f>
        <v/>
      </c>
      <c r="C356">
        <f>IF('Equipment Information'!C356="","", 'Equipment Information'!C356)</f>
        <v/>
      </c>
      <c r="F356">
        <f>IF(A356="","","N/A")</f>
        <v/>
      </c>
    </row>
    <row r="357">
      <c r="A357">
        <f>IF('Equipment Information'!A357="","", 'Equipment Information'!A357)</f>
        <v/>
      </c>
      <c r="B357">
        <f>IF('Equipment Information'!B357="","", 'Equipment Information'!B357)</f>
        <v/>
      </c>
      <c r="C357">
        <f>IF('Equipment Information'!C357="","", 'Equipment Information'!C357)</f>
        <v/>
      </c>
      <c r="F357">
        <f>IF(A357="","","N/A")</f>
        <v/>
      </c>
    </row>
    <row r="358">
      <c r="A358">
        <f>IF('Equipment Information'!A358="","", 'Equipment Information'!A358)</f>
        <v/>
      </c>
      <c r="B358">
        <f>IF('Equipment Information'!B358="","", 'Equipment Information'!B358)</f>
        <v/>
      </c>
      <c r="C358">
        <f>IF('Equipment Information'!C358="","", 'Equipment Information'!C358)</f>
        <v/>
      </c>
      <c r="F358">
        <f>IF(A358="","","N/A")</f>
        <v/>
      </c>
    </row>
    <row r="359">
      <c r="A359">
        <f>IF('Equipment Information'!A359="","", 'Equipment Information'!A359)</f>
        <v/>
      </c>
      <c r="B359">
        <f>IF('Equipment Information'!B359="","", 'Equipment Information'!B359)</f>
        <v/>
      </c>
      <c r="C359">
        <f>IF('Equipment Information'!C359="","", 'Equipment Information'!C359)</f>
        <v/>
      </c>
      <c r="F359">
        <f>IF(A359="","","N/A")</f>
        <v/>
      </c>
    </row>
    <row r="360">
      <c r="A360">
        <f>IF('Equipment Information'!A360="","", 'Equipment Information'!A360)</f>
        <v/>
      </c>
      <c r="B360">
        <f>IF('Equipment Information'!B360="","", 'Equipment Information'!B360)</f>
        <v/>
      </c>
      <c r="C360">
        <f>IF('Equipment Information'!C360="","", 'Equipment Information'!C360)</f>
        <v/>
      </c>
      <c r="F360">
        <f>IF(A360="","","N/A")</f>
        <v/>
      </c>
    </row>
    <row r="361">
      <c r="A361">
        <f>IF('Equipment Information'!A361="","", 'Equipment Information'!A361)</f>
        <v/>
      </c>
      <c r="B361">
        <f>IF('Equipment Information'!B361="","", 'Equipment Information'!B361)</f>
        <v/>
      </c>
      <c r="C361">
        <f>IF('Equipment Information'!C361="","", 'Equipment Information'!C361)</f>
        <v/>
      </c>
      <c r="F361">
        <f>IF(A361="","","N/A")</f>
        <v/>
      </c>
    </row>
    <row r="362">
      <c r="A362">
        <f>IF('Equipment Information'!A362="","", 'Equipment Information'!A362)</f>
        <v/>
      </c>
      <c r="B362">
        <f>IF('Equipment Information'!B362="","", 'Equipment Information'!B362)</f>
        <v/>
      </c>
      <c r="C362">
        <f>IF('Equipment Information'!C362="","", 'Equipment Information'!C362)</f>
        <v/>
      </c>
      <c r="F362">
        <f>IF(A362="","","N/A")</f>
        <v/>
      </c>
    </row>
    <row r="363">
      <c r="A363">
        <f>IF('Equipment Information'!A363="","", 'Equipment Information'!A363)</f>
        <v/>
      </c>
      <c r="B363">
        <f>IF('Equipment Information'!B363="","", 'Equipment Information'!B363)</f>
        <v/>
      </c>
      <c r="C363">
        <f>IF('Equipment Information'!C363="","", 'Equipment Information'!C363)</f>
        <v/>
      </c>
      <c r="F363">
        <f>IF(A363="","","N/A")</f>
        <v/>
      </c>
    </row>
    <row r="364">
      <c r="A364">
        <f>IF('Equipment Information'!A364="","", 'Equipment Information'!A364)</f>
        <v/>
      </c>
      <c r="B364">
        <f>IF('Equipment Information'!B364="","", 'Equipment Information'!B364)</f>
        <v/>
      </c>
      <c r="C364">
        <f>IF('Equipment Information'!C364="","", 'Equipment Information'!C364)</f>
        <v/>
      </c>
      <c r="F364">
        <f>IF(A364="","","N/A")</f>
        <v/>
      </c>
    </row>
    <row r="365">
      <c r="A365">
        <f>IF('Equipment Information'!A365="","", 'Equipment Information'!A365)</f>
        <v/>
      </c>
      <c r="B365">
        <f>IF('Equipment Information'!B365="","", 'Equipment Information'!B365)</f>
        <v/>
      </c>
      <c r="C365">
        <f>IF('Equipment Information'!C365="","", 'Equipment Information'!C365)</f>
        <v/>
      </c>
      <c r="F365">
        <f>IF(A365="","","N/A")</f>
        <v/>
      </c>
    </row>
    <row r="366">
      <c r="A366">
        <f>IF('Equipment Information'!A366="","", 'Equipment Information'!A366)</f>
        <v/>
      </c>
      <c r="B366">
        <f>IF('Equipment Information'!B366="","", 'Equipment Information'!B366)</f>
        <v/>
      </c>
      <c r="C366">
        <f>IF('Equipment Information'!C366="","", 'Equipment Information'!C366)</f>
        <v/>
      </c>
      <c r="F366">
        <f>IF(A366="","","N/A")</f>
        <v/>
      </c>
    </row>
    <row r="367">
      <c r="A367">
        <f>IF('Equipment Information'!A367="","", 'Equipment Information'!A367)</f>
        <v/>
      </c>
      <c r="B367">
        <f>IF('Equipment Information'!B367="","", 'Equipment Information'!B367)</f>
        <v/>
      </c>
      <c r="C367">
        <f>IF('Equipment Information'!C367="","", 'Equipment Information'!C367)</f>
        <v/>
      </c>
      <c r="F367">
        <f>IF(A367="","","N/A")</f>
        <v/>
      </c>
    </row>
    <row r="368">
      <c r="A368">
        <f>IF('Equipment Information'!A368="","", 'Equipment Information'!A368)</f>
        <v/>
      </c>
      <c r="B368">
        <f>IF('Equipment Information'!B368="","", 'Equipment Information'!B368)</f>
        <v/>
      </c>
      <c r="C368">
        <f>IF('Equipment Information'!C368="","", 'Equipment Information'!C368)</f>
        <v/>
      </c>
      <c r="F368">
        <f>IF(A368="","","N/A")</f>
        <v/>
      </c>
    </row>
    <row r="369">
      <c r="A369">
        <f>IF('Equipment Information'!A369="","", 'Equipment Information'!A369)</f>
        <v/>
      </c>
      <c r="B369">
        <f>IF('Equipment Information'!B369="","", 'Equipment Information'!B369)</f>
        <v/>
      </c>
      <c r="C369">
        <f>IF('Equipment Information'!C369="","", 'Equipment Information'!C369)</f>
        <v/>
      </c>
      <c r="F369">
        <f>IF(A369="","","N/A")</f>
        <v/>
      </c>
    </row>
    <row r="370">
      <c r="A370">
        <f>IF('Equipment Information'!A370="","", 'Equipment Information'!A370)</f>
        <v/>
      </c>
      <c r="B370">
        <f>IF('Equipment Information'!B370="","", 'Equipment Information'!B370)</f>
        <v/>
      </c>
      <c r="C370">
        <f>IF('Equipment Information'!C370="","", 'Equipment Information'!C370)</f>
        <v/>
      </c>
      <c r="F370">
        <f>IF(A370="","","N/A")</f>
        <v/>
      </c>
    </row>
    <row r="371">
      <c r="A371">
        <f>IF('Equipment Information'!A371="","", 'Equipment Information'!A371)</f>
        <v/>
      </c>
      <c r="B371">
        <f>IF('Equipment Information'!B371="","", 'Equipment Information'!B371)</f>
        <v/>
      </c>
      <c r="C371">
        <f>IF('Equipment Information'!C371="","", 'Equipment Information'!C371)</f>
        <v/>
      </c>
      <c r="F371">
        <f>IF(A371="","","N/A")</f>
        <v/>
      </c>
    </row>
    <row r="372">
      <c r="A372">
        <f>IF('Equipment Information'!A372="","", 'Equipment Information'!A372)</f>
        <v/>
      </c>
      <c r="B372">
        <f>IF('Equipment Information'!B372="","", 'Equipment Information'!B372)</f>
        <v/>
      </c>
      <c r="C372">
        <f>IF('Equipment Information'!C372="","", 'Equipment Information'!C372)</f>
        <v/>
      </c>
      <c r="F372">
        <f>IF(A372="","","N/A")</f>
        <v/>
      </c>
    </row>
    <row r="373">
      <c r="A373">
        <f>IF('Equipment Information'!A373="","", 'Equipment Information'!A373)</f>
        <v/>
      </c>
      <c r="B373">
        <f>IF('Equipment Information'!B373="","", 'Equipment Information'!B373)</f>
        <v/>
      </c>
      <c r="C373">
        <f>IF('Equipment Information'!C373="","", 'Equipment Information'!C373)</f>
        <v/>
      </c>
      <c r="F373">
        <f>IF(A373="","","N/A")</f>
        <v/>
      </c>
    </row>
    <row r="374">
      <c r="A374">
        <f>IF('Equipment Information'!A374="","", 'Equipment Information'!A374)</f>
        <v/>
      </c>
      <c r="B374">
        <f>IF('Equipment Information'!B374="","", 'Equipment Information'!B374)</f>
        <v/>
      </c>
      <c r="C374">
        <f>IF('Equipment Information'!C374="","", 'Equipment Information'!C374)</f>
        <v/>
      </c>
      <c r="F374">
        <f>IF(A374="","","N/A")</f>
        <v/>
      </c>
    </row>
    <row r="375">
      <c r="A375">
        <f>IF('Equipment Information'!A375="","", 'Equipment Information'!A375)</f>
        <v/>
      </c>
      <c r="B375">
        <f>IF('Equipment Information'!B375="","", 'Equipment Information'!B375)</f>
        <v/>
      </c>
      <c r="C375">
        <f>IF('Equipment Information'!C375="","", 'Equipment Information'!C375)</f>
        <v/>
      </c>
      <c r="F375">
        <f>IF(A375="","","N/A")</f>
        <v/>
      </c>
    </row>
    <row r="376">
      <c r="A376">
        <f>IF('Equipment Information'!A376="","", 'Equipment Information'!A376)</f>
        <v/>
      </c>
      <c r="B376">
        <f>IF('Equipment Information'!B376="","", 'Equipment Information'!B376)</f>
        <v/>
      </c>
      <c r="C376">
        <f>IF('Equipment Information'!C376="","", 'Equipment Information'!C376)</f>
        <v/>
      </c>
      <c r="F376">
        <f>IF(A376="","","N/A")</f>
        <v/>
      </c>
    </row>
    <row r="377">
      <c r="A377">
        <f>IF('Equipment Information'!A377="","", 'Equipment Information'!A377)</f>
        <v/>
      </c>
      <c r="B377">
        <f>IF('Equipment Information'!B377="","", 'Equipment Information'!B377)</f>
        <v/>
      </c>
      <c r="C377">
        <f>IF('Equipment Information'!C377="","", 'Equipment Information'!C377)</f>
        <v/>
      </c>
      <c r="F377">
        <f>IF(A377="","","N/A")</f>
        <v/>
      </c>
    </row>
    <row r="378">
      <c r="A378">
        <f>IF('Equipment Information'!A378="","", 'Equipment Information'!A378)</f>
        <v/>
      </c>
      <c r="B378">
        <f>IF('Equipment Information'!B378="","", 'Equipment Information'!B378)</f>
        <v/>
      </c>
      <c r="C378">
        <f>IF('Equipment Information'!C378="","", 'Equipment Information'!C378)</f>
        <v/>
      </c>
      <c r="F378">
        <f>IF(A378="","","N/A")</f>
        <v/>
      </c>
    </row>
    <row r="379">
      <c r="A379">
        <f>IF('Equipment Information'!A379="","", 'Equipment Information'!A379)</f>
        <v/>
      </c>
      <c r="B379">
        <f>IF('Equipment Information'!B379="","", 'Equipment Information'!B379)</f>
        <v/>
      </c>
      <c r="C379">
        <f>IF('Equipment Information'!C379="","", 'Equipment Information'!C379)</f>
        <v/>
      </c>
      <c r="F379">
        <f>IF(A379="","","N/A")</f>
        <v/>
      </c>
    </row>
    <row r="380">
      <c r="A380">
        <f>IF('Equipment Information'!A380="","", 'Equipment Information'!A380)</f>
        <v/>
      </c>
      <c r="B380">
        <f>IF('Equipment Information'!B380="","", 'Equipment Information'!B380)</f>
        <v/>
      </c>
      <c r="C380">
        <f>IF('Equipment Information'!C380="","", 'Equipment Information'!C380)</f>
        <v/>
      </c>
      <c r="F380">
        <f>IF(A380="","","N/A")</f>
        <v/>
      </c>
    </row>
    <row r="381">
      <c r="A381">
        <f>IF('Equipment Information'!A381="","", 'Equipment Information'!A381)</f>
        <v/>
      </c>
      <c r="B381">
        <f>IF('Equipment Information'!B381="","", 'Equipment Information'!B381)</f>
        <v/>
      </c>
      <c r="C381">
        <f>IF('Equipment Information'!C381="","", 'Equipment Information'!C381)</f>
        <v/>
      </c>
      <c r="F381">
        <f>IF(A381="","","N/A")</f>
        <v/>
      </c>
    </row>
    <row r="382">
      <c r="A382">
        <f>IF('Equipment Information'!A382="","", 'Equipment Information'!A382)</f>
        <v/>
      </c>
      <c r="B382">
        <f>IF('Equipment Information'!B382="","", 'Equipment Information'!B382)</f>
        <v/>
      </c>
      <c r="C382">
        <f>IF('Equipment Information'!C382="","", 'Equipment Information'!C382)</f>
        <v/>
      </c>
      <c r="F382">
        <f>IF(A382="","","N/A")</f>
        <v/>
      </c>
    </row>
    <row r="383">
      <c r="A383">
        <f>IF('Equipment Information'!A383="","", 'Equipment Information'!A383)</f>
        <v/>
      </c>
      <c r="B383">
        <f>IF('Equipment Information'!B383="","", 'Equipment Information'!B383)</f>
        <v/>
      </c>
      <c r="C383">
        <f>IF('Equipment Information'!C383="","", 'Equipment Information'!C383)</f>
        <v/>
      </c>
      <c r="F383">
        <f>IF(A383="","","N/A")</f>
        <v/>
      </c>
    </row>
    <row r="384">
      <c r="A384">
        <f>IF('Equipment Information'!A384="","", 'Equipment Information'!A384)</f>
        <v/>
      </c>
      <c r="B384">
        <f>IF('Equipment Information'!B384="","", 'Equipment Information'!B384)</f>
        <v/>
      </c>
      <c r="C384">
        <f>IF('Equipment Information'!C384="","", 'Equipment Information'!C384)</f>
        <v/>
      </c>
      <c r="F384">
        <f>IF(A384="","","N/A")</f>
        <v/>
      </c>
    </row>
    <row r="385">
      <c r="A385">
        <f>IF('Equipment Information'!A385="","", 'Equipment Information'!A385)</f>
        <v/>
      </c>
      <c r="B385">
        <f>IF('Equipment Information'!B385="","", 'Equipment Information'!B385)</f>
        <v/>
      </c>
      <c r="C385">
        <f>IF('Equipment Information'!C385="","", 'Equipment Information'!C385)</f>
        <v/>
      </c>
      <c r="F385">
        <f>IF(A385="","","N/A")</f>
        <v/>
      </c>
    </row>
    <row r="386">
      <c r="A386">
        <f>IF('Equipment Information'!A386="","", 'Equipment Information'!A386)</f>
        <v/>
      </c>
      <c r="B386">
        <f>IF('Equipment Information'!B386="","", 'Equipment Information'!B386)</f>
        <v/>
      </c>
      <c r="C386">
        <f>IF('Equipment Information'!C386="","", 'Equipment Information'!C386)</f>
        <v/>
      </c>
      <c r="F386">
        <f>IF(A386="","","N/A")</f>
        <v/>
      </c>
    </row>
    <row r="387">
      <c r="A387">
        <f>IF('Equipment Information'!A387="","", 'Equipment Information'!A387)</f>
        <v/>
      </c>
      <c r="B387">
        <f>IF('Equipment Information'!B387="","", 'Equipment Information'!B387)</f>
        <v/>
      </c>
      <c r="C387">
        <f>IF('Equipment Information'!C387="","", 'Equipment Information'!C387)</f>
        <v/>
      </c>
      <c r="F387">
        <f>IF(A387="","","N/A")</f>
        <v/>
      </c>
    </row>
    <row r="388">
      <c r="A388">
        <f>IF('Equipment Information'!A388="","", 'Equipment Information'!A388)</f>
        <v/>
      </c>
      <c r="B388">
        <f>IF('Equipment Information'!B388="","", 'Equipment Information'!B388)</f>
        <v/>
      </c>
      <c r="C388">
        <f>IF('Equipment Information'!C388="","", 'Equipment Information'!C388)</f>
        <v/>
      </c>
      <c r="F388">
        <f>IF(A388="","","N/A")</f>
        <v/>
      </c>
    </row>
    <row r="389">
      <c r="A389">
        <f>IF('Equipment Information'!A389="","", 'Equipment Information'!A389)</f>
        <v/>
      </c>
      <c r="B389">
        <f>IF('Equipment Information'!B389="","", 'Equipment Information'!B389)</f>
        <v/>
      </c>
      <c r="C389">
        <f>IF('Equipment Information'!C389="","", 'Equipment Information'!C389)</f>
        <v/>
      </c>
      <c r="F389">
        <f>IF(A389="","","N/A")</f>
        <v/>
      </c>
    </row>
    <row r="390">
      <c r="A390">
        <f>IF('Equipment Information'!A390="","", 'Equipment Information'!A390)</f>
        <v/>
      </c>
      <c r="B390">
        <f>IF('Equipment Information'!B390="","", 'Equipment Information'!B390)</f>
        <v/>
      </c>
      <c r="C390">
        <f>IF('Equipment Information'!C390="","", 'Equipment Information'!C390)</f>
        <v/>
      </c>
      <c r="F390">
        <f>IF(A390="","","N/A")</f>
        <v/>
      </c>
    </row>
    <row r="391">
      <c r="A391">
        <f>IF('Equipment Information'!A391="","", 'Equipment Information'!A391)</f>
        <v/>
      </c>
      <c r="B391">
        <f>IF('Equipment Information'!B391="","", 'Equipment Information'!B391)</f>
        <v/>
      </c>
      <c r="C391">
        <f>IF('Equipment Information'!C391="","", 'Equipment Information'!C391)</f>
        <v/>
      </c>
      <c r="F391">
        <f>IF(A391="","","N/A")</f>
        <v/>
      </c>
    </row>
    <row r="392">
      <c r="A392">
        <f>IF('Equipment Information'!A392="","", 'Equipment Information'!A392)</f>
        <v/>
      </c>
      <c r="B392">
        <f>IF('Equipment Information'!B392="","", 'Equipment Information'!B392)</f>
        <v/>
      </c>
      <c r="C392">
        <f>IF('Equipment Information'!C392="","", 'Equipment Information'!C392)</f>
        <v/>
      </c>
      <c r="F392">
        <f>IF(A392="","","N/A")</f>
        <v/>
      </c>
    </row>
    <row r="393">
      <c r="A393">
        <f>IF('Equipment Information'!A393="","", 'Equipment Information'!A393)</f>
        <v/>
      </c>
      <c r="B393">
        <f>IF('Equipment Information'!B393="","", 'Equipment Information'!B393)</f>
        <v/>
      </c>
      <c r="C393">
        <f>IF('Equipment Information'!C393="","", 'Equipment Information'!C393)</f>
        <v/>
      </c>
      <c r="F393">
        <f>IF(A393="","","N/A")</f>
        <v/>
      </c>
    </row>
    <row r="394">
      <c r="A394">
        <f>IF('Equipment Information'!A394="","", 'Equipment Information'!A394)</f>
        <v/>
      </c>
      <c r="B394">
        <f>IF('Equipment Information'!B394="","", 'Equipment Information'!B394)</f>
        <v/>
      </c>
      <c r="C394">
        <f>IF('Equipment Information'!C394="","", 'Equipment Information'!C394)</f>
        <v/>
      </c>
      <c r="F394">
        <f>IF(A394="","","N/A")</f>
        <v/>
      </c>
    </row>
    <row r="395">
      <c r="A395">
        <f>IF('Equipment Information'!A395="","", 'Equipment Information'!A395)</f>
        <v/>
      </c>
      <c r="B395">
        <f>IF('Equipment Information'!B395="","", 'Equipment Information'!B395)</f>
        <v/>
      </c>
      <c r="C395">
        <f>IF('Equipment Information'!C395="","", 'Equipment Information'!C395)</f>
        <v/>
      </c>
      <c r="F395">
        <f>IF(A395="","","N/A")</f>
        <v/>
      </c>
    </row>
    <row r="396">
      <c r="A396">
        <f>IF('Equipment Information'!A396="","", 'Equipment Information'!A396)</f>
        <v/>
      </c>
      <c r="B396">
        <f>IF('Equipment Information'!B396="","", 'Equipment Information'!B396)</f>
        <v/>
      </c>
      <c r="C396">
        <f>IF('Equipment Information'!C396="","", 'Equipment Information'!C396)</f>
        <v/>
      </c>
      <c r="F396">
        <f>IF(A396="","","N/A")</f>
        <v/>
      </c>
    </row>
    <row r="397">
      <c r="A397">
        <f>IF('Equipment Information'!A397="","", 'Equipment Information'!A397)</f>
        <v/>
      </c>
      <c r="B397">
        <f>IF('Equipment Information'!B397="","", 'Equipment Information'!B397)</f>
        <v/>
      </c>
      <c r="C397">
        <f>IF('Equipment Information'!C397="","", 'Equipment Information'!C397)</f>
        <v/>
      </c>
      <c r="F397">
        <f>IF(A397="","","N/A")</f>
        <v/>
      </c>
    </row>
    <row r="398">
      <c r="A398">
        <f>IF('Equipment Information'!A398="","", 'Equipment Information'!A398)</f>
        <v/>
      </c>
      <c r="B398">
        <f>IF('Equipment Information'!B398="","", 'Equipment Information'!B398)</f>
        <v/>
      </c>
      <c r="C398">
        <f>IF('Equipment Information'!C398="","", 'Equipment Information'!C398)</f>
        <v/>
      </c>
      <c r="F398">
        <f>IF(A398="","","N/A")</f>
        <v/>
      </c>
    </row>
    <row r="399">
      <c r="A399">
        <f>IF('Equipment Information'!A399="","", 'Equipment Information'!A399)</f>
        <v/>
      </c>
      <c r="B399">
        <f>IF('Equipment Information'!B399="","", 'Equipment Information'!B399)</f>
        <v/>
      </c>
      <c r="C399">
        <f>IF('Equipment Information'!C399="","", 'Equipment Information'!C399)</f>
        <v/>
      </c>
      <c r="F399">
        <f>IF(A399="","","N/A")</f>
        <v/>
      </c>
    </row>
    <row r="400">
      <c r="A400">
        <f>IF('Equipment Information'!A400="","", 'Equipment Information'!A400)</f>
        <v/>
      </c>
      <c r="B400">
        <f>IF('Equipment Information'!B400="","", 'Equipment Information'!B400)</f>
        <v/>
      </c>
      <c r="C400">
        <f>IF('Equipment Information'!C400="","", 'Equipment Information'!C400)</f>
        <v/>
      </c>
      <c r="F400">
        <f>IF(A400="","","N/A")</f>
        <v/>
      </c>
    </row>
    <row r="401">
      <c r="A401">
        <f>IF('Equipment Information'!A401="","", 'Equipment Information'!A401)</f>
        <v/>
      </c>
      <c r="B401">
        <f>IF('Equipment Information'!B401="","", 'Equipment Information'!B401)</f>
        <v/>
      </c>
      <c r="C401">
        <f>IF('Equipment Information'!C401="","", 'Equipment Information'!C401)</f>
        <v/>
      </c>
      <c r="F401">
        <f>IF(A401="","","N/A")</f>
        <v/>
      </c>
    </row>
    <row r="402">
      <c r="A402">
        <f>IF('Equipment Information'!A402="","", 'Equipment Information'!A402)</f>
        <v/>
      </c>
      <c r="B402">
        <f>IF('Equipment Information'!B402="","", 'Equipment Information'!B402)</f>
        <v/>
      </c>
      <c r="C402">
        <f>IF('Equipment Information'!C402="","", 'Equipment Information'!C402)</f>
        <v/>
      </c>
      <c r="F402">
        <f>IF(A402="","","N/A")</f>
        <v/>
      </c>
    </row>
    <row r="403">
      <c r="A403">
        <f>IF('Equipment Information'!A403="","", 'Equipment Information'!A403)</f>
        <v/>
      </c>
      <c r="B403">
        <f>IF('Equipment Information'!B403="","", 'Equipment Information'!B403)</f>
        <v/>
      </c>
      <c r="C403">
        <f>IF('Equipment Information'!C403="","", 'Equipment Information'!C403)</f>
        <v/>
      </c>
      <c r="F403">
        <f>IF(A403="","","N/A")</f>
        <v/>
      </c>
    </row>
    <row r="404">
      <c r="A404">
        <f>IF('Equipment Information'!A404="","", 'Equipment Information'!A404)</f>
        <v/>
      </c>
      <c r="B404">
        <f>IF('Equipment Information'!B404="","", 'Equipment Information'!B404)</f>
        <v/>
      </c>
      <c r="C404">
        <f>IF('Equipment Information'!C404="","", 'Equipment Information'!C404)</f>
        <v/>
      </c>
      <c r="F404">
        <f>IF(A404="","","N/A")</f>
        <v/>
      </c>
    </row>
    <row r="405">
      <c r="A405">
        <f>IF('Equipment Information'!A405="","", 'Equipment Information'!A405)</f>
        <v/>
      </c>
      <c r="B405">
        <f>IF('Equipment Information'!B405="","", 'Equipment Information'!B405)</f>
        <v/>
      </c>
      <c r="C405">
        <f>IF('Equipment Information'!C405="","", 'Equipment Information'!C405)</f>
        <v/>
      </c>
      <c r="F405">
        <f>IF(A405="","","N/A")</f>
        <v/>
      </c>
    </row>
    <row r="406">
      <c r="A406">
        <f>IF('Equipment Information'!A406="","", 'Equipment Information'!A406)</f>
        <v/>
      </c>
      <c r="B406">
        <f>IF('Equipment Information'!B406="","", 'Equipment Information'!B406)</f>
        <v/>
      </c>
      <c r="C406">
        <f>IF('Equipment Information'!C406="","", 'Equipment Information'!C406)</f>
        <v/>
      </c>
      <c r="F406">
        <f>IF(A406="","","N/A")</f>
        <v/>
      </c>
    </row>
    <row r="407">
      <c r="A407">
        <f>IF('Equipment Information'!A407="","", 'Equipment Information'!A407)</f>
        <v/>
      </c>
      <c r="B407">
        <f>IF('Equipment Information'!B407="","", 'Equipment Information'!B407)</f>
        <v/>
      </c>
      <c r="C407">
        <f>IF('Equipment Information'!C407="","", 'Equipment Information'!C407)</f>
        <v/>
      </c>
      <c r="F407">
        <f>IF(A407="","","N/A")</f>
        <v/>
      </c>
    </row>
    <row r="408">
      <c r="A408">
        <f>IF('Equipment Information'!A408="","", 'Equipment Information'!A408)</f>
        <v/>
      </c>
      <c r="B408">
        <f>IF('Equipment Information'!B408="","", 'Equipment Information'!B408)</f>
        <v/>
      </c>
      <c r="C408">
        <f>IF('Equipment Information'!C408="","", 'Equipment Information'!C408)</f>
        <v/>
      </c>
      <c r="F408">
        <f>IF(A408="","","N/A")</f>
        <v/>
      </c>
    </row>
    <row r="409">
      <c r="A409">
        <f>IF('Equipment Information'!A409="","", 'Equipment Information'!A409)</f>
        <v/>
      </c>
      <c r="B409">
        <f>IF('Equipment Information'!B409="","", 'Equipment Information'!B409)</f>
        <v/>
      </c>
      <c r="C409">
        <f>IF('Equipment Information'!C409="","", 'Equipment Information'!C409)</f>
        <v/>
      </c>
      <c r="F409">
        <f>IF(A409="","","N/A")</f>
        <v/>
      </c>
    </row>
    <row r="410">
      <c r="A410">
        <f>IF('Equipment Information'!A410="","", 'Equipment Information'!A410)</f>
        <v/>
      </c>
      <c r="B410">
        <f>IF('Equipment Information'!B410="","", 'Equipment Information'!B410)</f>
        <v/>
      </c>
      <c r="C410">
        <f>IF('Equipment Information'!C410="","", 'Equipment Information'!C410)</f>
        <v/>
      </c>
      <c r="F410">
        <f>IF(A410="","","N/A")</f>
        <v/>
      </c>
    </row>
    <row r="411">
      <c r="A411">
        <f>IF('Equipment Information'!A411="","", 'Equipment Information'!A411)</f>
        <v/>
      </c>
      <c r="B411">
        <f>IF('Equipment Information'!B411="","", 'Equipment Information'!B411)</f>
        <v/>
      </c>
      <c r="C411">
        <f>IF('Equipment Information'!C411="","", 'Equipment Information'!C411)</f>
        <v/>
      </c>
      <c r="F411">
        <f>IF(A411="","","N/A")</f>
        <v/>
      </c>
    </row>
    <row r="412">
      <c r="A412">
        <f>IF('Equipment Information'!A412="","", 'Equipment Information'!A412)</f>
        <v/>
      </c>
      <c r="B412">
        <f>IF('Equipment Information'!B412="","", 'Equipment Information'!B412)</f>
        <v/>
      </c>
      <c r="C412">
        <f>IF('Equipment Information'!C412="","", 'Equipment Information'!C412)</f>
        <v/>
      </c>
      <c r="F412">
        <f>IF(A412="","","N/A")</f>
        <v/>
      </c>
    </row>
    <row r="413">
      <c r="A413">
        <f>IF('Equipment Information'!A413="","", 'Equipment Information'!A413)</f>
        <v/>
      </c>
      <c r="B413">
        <f>IF('Equipment Information'!B413="","", 'Equipment Information'!B413)</f>
        <v/>
      </c>
      <c r="C413">
        <f>IF('Equipment Information'!C413="","", 'Equipment Information'!C413)</f>
        <v/>
      </c>
      <c r="F413">
        <f>IF(A413="","","N/A")</f>
        <v/>
      </c>
    </row>
    <row r="414">
      <c r="A414">
        <f>IF('Equipment Information'!A414="","", 'Equipment Information'!A414)</f>
        <v/>
      </c>
      <c r="B414">
        <f>IF('Equipment Information'!B414="","", 'Equipment Information'!B414)</f>
        <v/>
      </c>
      <c r="C414">
        <f>IF('Equipment Information'!C414="","", 'Equipment Information'!C414)</f>
        <v/>
      </c>
      <c r="F414">
        <f>IF(A414="","","N/A")</f>
        <v/>
      </c>
    </row>
    <row r="415">
      <c r="A415">
        <f>IF('Equipment Information'!A415="","", 'Equipment Information'!A415)</f>
        <v/>
      </c>
      <c r="B415">
        <f>IF('Equipment Information'!B415="","", 'Equipment Information'!B415)</f>
        <v/>
      </c>
      <c r="C415">
        <f>IF('Equipment Information'!C415="","", 'Equipment Information'!C415)</f>
        <v/>
      </c>
      <c r="F415">
        <f>IF(A415="","","N/A")</f>
        <v/>
      </c>
    </row>
    <row r="416">
      <c r="A416">
        <f>IF('Equipment Information'!A416="","", 'Equipment Information'!A416)</f>
        <v/>
      </c>
      <c r="B416">
        <f>IF('Equipment Information'!B416="","", 'Equipment Information'!B416)</f>
        <v/>
      </c>
      <c r="C416">
        <f>IF('Equipment Information'!C416="","", 'Equipment Information'!C416)</f>
        <v/>
      </c>
      <c r="F416">
        <f>IF(A416="","","N/A")</f>
        <v/>
      </c>
    </row>
    <row r="417">
      <c r="A417">
        <f>IF('Equipment Information'!A417="","", 'Equipment Information'!A417)</f>
        <v/>
      </c>
      <c r="B417">
        <f>IF('Equipment Information'!B417="","", 'Equipment Information'!B417)</f>
        <v/>
      </c>
      <c r="C417">
        <f>IF('Equipment Information'!C417="","", 'Equipment Information'!C417)</f>
        <v/>
      </c>
      <c r="F417">
        <f>IF(A417="","","N/A")</f>
        <v/>
      </c>
    </row>
    <row r="418">
      <c r="A418">
        <f>IF('Equipment Information'!A418="","", 'Equipment Information'!A418)</f>
        <v/>
      </c>
      <c r="B418">
        <f>IF('Equipment Information'!B418="","", 'Equipment Information'!B418)</f>
        <v/>
      </c>
      <c r="C418">
        <f>IF('Equipment Information'!C418="","", 'Equipment Information'!C418)</f>
        <v/>
      </c>
      <c r="F418">
        <f>IF(A418="","","N/A")</f>
        <v/>
      </c>
    </row>
    <row r="419">
      <c r="A419">
        <f>IF('Equipment Information'!A419="","", 'Equipment Information'!A419)</f>
        <v/>
      </c>
      <c r="B419">
        <f>IF('Equipment Information'!B419="","", 'Equipment Information'!B419)</f>
        <v/>
      </c>
      <c r="C419">
        <f>IF('Equipment Information'!C419="","", 'Equipment Information'!C419)</f>
        <v/>
      </c>
      <c r="F419">
        <f>IF(A419="","","N/A")</f>
        <v/>
      </c>
    </row>
    <row r="420">
      <c r="A420">
        <f>IF('Equipment Information'!A420="","", 'Equipment Information'!A420)</f>
        <v/>
      </c>
      <c r="B420">
        <f>IF('Equipment Information'!B420="","", 'Equipment Information'!B420)</f>
        <v/>
      </c>
      <c r="C420">
        <f>IF('Equipment Information'!C420="","", 'Equipment Information'!C420)</f>
        <v/>
      </c>
      <c r="F420">
        <f>IF(A420="","","N/A")</f>
        <v/>
      </c>
    </row>
    <row r="421">
      <c r="A421">
        <f>IF('Equipment Information'!A421="","", 'Equipment Information'!A421)</f>
        <v/>
      </c>
      <c r="B421">
        <f>IF('Equipment Information'!B421="","", 'Equipment Information'!B421)</f>
        <v/>
      </c>
      <c r="C421">
        <f>IF('Equipment Information'!C421="","", 'Equipment Information'!C421)</f>
        <v/>
      </c>
      <c r="F421">
        <f>IF(A421="","","N/A")</f>
        <v/>
      </c>
    </row>
    <row r="422">
      <c r="A422">
        <f>IF('Equipment Information'!A422="","", 'Equipment Information'!A422)</f>
        <v/>
      </c>
      <c r="B422">
        <f>IF('Equipment Information'!B422="","", 'Equipment Information'!B422)</f>
        <v/>
      </c>
      <c r="C422">
        <f>IF('Equipment Information'!C422="","", 'Equipment Information'!C422)</f>
        <v/>
      </c>
      <c r="F422">
        <f>IF(A422="","","N/A")</f>
        <v/>
      </c>
    </row>
    <row r="423">
      <c r="A423">
        <f>IF('Equipment Information'!A423="","", 'Equipment Information'!A423)</f>
        <v/>
      </c>
      <c r="B423">
        <f>IF('Equipment Information'!B423="","", 'Equipment Information'!B423)</f>
        <v/>
      </c>
      <c r="C423">
        <f>IF('Equipment Information'!C423="","", 'Equipment Information'!C423)</f>
        <v/>
      </c>
      <c r="F423">
        <f>IF(A423="","","N/A")</f>
        <v/>
      </c>
    </row>
    <row r="424">
      <c r="A424">
        <f>IF('Equipment Information'!A424="","", 'Equipment Information'!A424)</f>
        <v/>
      </c>
      <c r="B424">
        <f>IF('Equipment Information'!B424="","", 'Equipment Information'!B424)</f>
        <v/>
      </c>
      <c r="C424">
        <f>IF('Equipment Information'!C424="","", 'Equipment Information'!C424)</f>
        <v/>
      </c>
      <c r="F424">
        <f>IF(A424="","","N/A")</f>
        <v/>
      </c>
    </row>
    <row r="425">
      <c r="A425">
        <f>IF('Equipment Information'!A425="","", 'Equipment Information'!A425)</f>
        <v/>
      </c>
      <c r="B425">
        <f>IF('Equipment Information'!B425="","", 'Equipment Information'!B425)</f>
        <v/>
      </c>
      <c r="C425">
        <f>IF('Equipment Information'!C425="","", 'Equipment Information'!C425)</f>
        <v/>
      </c>
      <c r="F425">
        <f>IF(A425="","","N/A")</f>
        <v/>
      </c>
    </row>
    <row r="426">
      <c r="A426">
        <f>IF('Equipment Information'!A426="","", 'Equipment Information'!A426)</f>
        <v/>
      </c>
      <c r="B426">
        <f>IF('Equipment Information'!B426="","", 'Equipment Information'!B426)</f>
        <v/>
      </c>
      <c r="C426">
        <f>IF('Equipment Information'!C426="","", 'Equipment Information'!C426)</f>
        <v/>
      </c>
      <c r="F426">
        <f>IF(A426="","","N/A")</f>
        <v/>
      </c>
    </row>
    <row r="427">
      <c r="A427">
        <f>IF('Equipment Information'!A427="","", 'Equipment Information'!A427)</f>
        <v/>
      </c>
      <c r="B427">
        <f>IF('Equipment Information'!B427="","", 'Equipment Information'!B427)</f>
        <v/>
      </c>
      <c r="C427">
        <f>IF('Equipment Information'!C427="","", 'Equipment Information'!C427)</f>
        <v/>
      </c>
      <c r="F427">
        <f>IF(A427="","","N/A")</f>
        <v/>
      </c>
    </row>
    <row r="428">
      <c r="A428">
        <f>IF('Equipment Information'!A428="","", 'Equipment Information'!A428)</f>
        <v/>
      </c>
      <c r="B428">
        <f>IF('Equipment Information'!B428="","", 'Equipment Information'!B428)</f>
        <v/>
      </c>
      <c r="C428">
        <f>IF('Equipment Information'!C428="","", 'Equipment Information'!C428)</f>
        <v/>
      </c>
      <c r="F428">
        <f>IF(A428="","","N/A")</f>
        <v/>
      </c>
    </row>
    <row r="429">
      <c r="A429">
        <f>IF('Equipment Information'!A429="","", 'Equipment Information'!A429)</f>
        <v/>
      </c>
      <c r="B429">
        <f>IF('Equipment Information'!B429="","", 'Equipment Information'!B429)</f>
        <v/>
      </c>
      <c r="C429">
        <f>IF('Equipment Information'!C429="","", 'Equipment Information'!C429)</f>
        <v/>
      </c>
      <c r="F429">
        <f>IF(A429="","","N/A")</f>
        <v/>
      </c>
    </row>
    <row r="430">
      <c r="A430">
        <f>IF('Equipment Information'!A430="","", 'Equipment Information'!A430)</f>
        <v/>
      </c>
      <c r="B430">
        <f>IF('Equipment Information'!B430="","", 'Equipment Information'!B430)</f>
        <v/>
      </c>
      <c r="C430">
        <f>IF('Equipment Information'!C430="","", 'Equipment Information'!C430)</f>
        <v/>
      </c>
      <c r="F430">
        <f>IF(A430="","","N/A")</f>
        <v/>
      </c>
    </row>
    <row r="431">
      <c r="A431">
        <f>IF('Equipment Information'!A431="","", 'Equipment Information'!A431)</f>
        <v/>
      </c>
      <c r="B431">
        <f>IF('Equipment Information'!B431="","", 'Equipment Information'!B431)</f>
        <v/>
      </c>
      <c r="C431">
        <f>IF('Equipment Information'!C431="","", 'Equipment Information'!C431)</f>
        <v/>
      </c>
      <c r="F431">
        <f>IF(A431="","","N/A")</f>
        <v/>
      </c>
    </row>
    <row r="432">
      <c r="A432">
        <f>IF('Equipment Information'!A432="","", 'Equipment Information'!A432)</f>
        <v/>
      </c>
      <c r="B432">
        <f>IF('Equipment Information'!B432="","", 'Equipment Information'!B432)</f>
        <v/>
      </c>
      <c r="C432">
        <f>IF('Equipment Information'!C432="","", 'Equipment Information'!C432)</f>
        <v/>
      </c>
      <c r="F432">
        <f>IF(A432="","","N/A")</f>
        <v/>
      </c>
    </row>
    <row r="433">
      <c r="A433">
        <f>IF('Equipment Information'!A433="","", 'Equipment Information'!A433)</f>
        <v/>
      </c>
      <c r="B433">
        <f>IF('Equipment Information'!B433="","", 'Equipment Information'!B433)</f>
        <v/>
      </c>
      <c r="C433">
        <f>IF('Equipment Information'!C433="","", 'Equipment Information'!C433)</f>
        <v/>
      </c>
      <c r="F433">
        <f>IF(A433="","","N/A")</f>
        <v/>
      </c>
    </row>
    <row r="434">
      <c r="A434">
        <f>IF('Equipment Information'!A434="","", 'Equipment Information'!A434)</f>
        <v/>
      </c>
      <c r="B434">
        <f>IF('Equipment Information'!B434="","", 'Equipment Information'!B434)</f>
        <v/>
      </c>
      <c r="C434">
        <f>IF('Equipment Information'!C434="","", 'Equipment Information'!C434)</f>
        <v/>
      </c>
      <c r="F434">
        <f>IF(A434="","","N/A")</f>
        <v/>
      </c>
    </row>
    <row r="435">
      <c r="A435">
        <f>IF('Equipment Information'!A435="","", 'Equipment Information'!A435)</f>
        <v/>
      </c>
      <c r="B435">
        <f>IF('Equipment Information'!B435="","", 'Equipment Information'!B435)</f>
        <v/>
      </c>
      <c r="C435">
        <f>IF('Equipment Information'!C435="","", 'Equipment Information'!C435)</f>
        <v/>
      </c>
      <c r="F435">
        <f>IF(A435="","","N/A")</f>
        <v/>
      </c>
    </row>
    <row r="436">
      <c r="A436">
        <f>IF('Equipment Information'!A436="","", 'Equipment Information'!A436)</f>
        <v/>
      </c>
      <c r="B436">
        <f>IF('Equipment Information'!B436="","", 'Equipment Information'!B436)</f>
        <v/>
      </c>
      <c r="C436">
        <f>IF('Equipment Information'!C436="","", 'Equipment Information'!C436)</f>
        <v/>
      </c>
      <c r="F436">
        <f>IF(A436="","","N/A")</f>
        <v/>
      </c>
    </row>
    <row r="437">
      <c r="A437">
        <f>IF('Equipment Information'!A437="","", 'Equipment Information'!A437)</f>
        <v/>
      </c>
      <c r="B437">
        <f>IF('Equipment Information'!B437="","", 'Equipment Information'!B437)</f>
        <v/>
      </c>
      <c r="C437">
        <f>IF('Equipment Information'!C437="","", 'Equipment Information'!C437)</f>
        <v/>
      </c>
      <c r="F437">
        <f>IF(A437="","","N/A")</f>
        <v/>
      </c>
    </row>
    <row r="438">
      <c r="A438">
        <f>IF('Equipment Information'!A438="","", 'Equipment Information'!A438)</f>
        <v/>
      </c>
      <c r="B438">
        <f>IF('Equipment Information'!B438="","", 'Equipment Information'!B438)</f>
        <v/>
      </c>
      <c r="C438">
        <f>IF('Equipment Information'!C438="","", 'Equipment Information'!C438)</f>
        <v/>
      </c>
      <c r="F438">
        <f>IF(A438="","","N/A")</f>
        <v/>
      </c>
    </row>
    <row r="439">
      <c r="A439">
        <f>IF('Equipment Information'!A439="","", 'Equipment Information'!A439)</f>
        <v/>
      </c>
      <c r="B439">
        <f>IF('Equipment Information'!B439="","", 'Equipment Information'!B439)</f>
        <v/>
      </c>
      <c r="C439">
        <f>IF('Equipment Information'!C439="","", 'Equipment Information'!C439)</f>
        <v/>
      </c>
      <c r="F439">
        <f>IF(A439="","","N/A")</f>
        <v/>
      </c>
    </row>
    <row r="440">
      <c r="A440">
        <f>IF('Equipment Information'!A440="","", 'Equipment Information'!A440)</f>
        <v/>
      </c>
      <c r="B440">
        <f>IF('Equipment Information'!B440="","", 'Equipment Information'!B440)</f>
        <v/>
      </c>
      <c r="C440">
        <f>IF('Equipment Information'!C440="","", 'Equipment Information'!C440)</f>
        <v/>
      </c>
      <c r="F440">
        <f>IF(A440="","","N/A")</f>
        <v/>
      </c>
    </row>
    <row r="441">
      <c r="A441">
        <f>IF('Equipment Information'!A441="","", 'Equipment Information'!A441)</f>
        <v/>
      </c>
      <c r="B441">
        <f>IF('Equipment Information'!B441="","", 'Equipment Information'!B441)</f>
        <v/>
      </c>
      <c r="C441">
        <f>IF('Equipment Information'!C441="","", 'Equipment Information'!C441)</f>
        <v/>
      </c>
      <c r="F441">
        <f>IF(A441="","","N/A")</f>
        <v/>
      </c>
    </row>
    <row r="442">
      <c r="A442">
        <f>IF('Equipment Information'!A442="","", 'Equipment Information'!A442)</f>
        <v/>
      </c>
      <c r="B442">
        <f>IF('Equipment Information'!B442="","", 'Equipment Information'!B442)</f>
        <v/>
      </c>
      <c r="C442">
        <f>IF('Equipment Information'!C442="","", 'Equipment Information'!C442)</f>
        <v/>
      </c>
      <c r="F442">
        <f>IF(A442="","","N/A")</f>
        <v/>
      </c>
    </row>
    <row r="443">
      <c r="A443">
        <f>IF('Equipment Information'!A443="","", 'Equipment Information'!A443)</f>
        <v/>
      </c>
      <c r="B443">
        <f>IF('Equipment Information'!B443="","", 'Equipment Information'!B443)</f>
        <v/>
      </c>
      <c r="C443">
        <f>IF('Equipment Information'!C443="","", 'Equipment Information'!C443)</f>
        <v/>
      </c>
      <c r="F443">
        <f>IF(A443="","","N/A")</f>
        <v/>
      </c>
    </row>
    <row r="444">
      <c r="A444">
        <f>IF('Equipment Information'!A444="","", 'Equipment Information'!A444)</f>
        <v/>
      </c>
      <c r="B444">
        <f>IF('Equipment Information'!B444="","", 'Equipment Information'!B444)</f>
        <v/>
      </c>
      <c r="C444">
        <f>IF('Equipment Information'!C444="","", 'Equipment Information'!C444)</f>
        <v/>
      </c>
      <c r="F444">
        <f>IF(A444="","","N/A")</f>
        <v/>
      </c>
    </row>
    <row r="445">
      <c r="A445">
        <f>IF('Equipment Information'!A445="","", 'Equipment Information'!A445)</f>
        <v/>
      </c>
      <c r="B445">
        <f>IF('Equipment Information'!B445="","", 'Equipment Information'!B445)</f>
        <v/>
      </c>
      <c r="C445">
        <f>IF('Equipment Information'!C445="","", 'Equipment Information'!C445)</f>
        <v/>
      </c>
      <c r="F445">
        <f>IF(A445="","","N/A")</f>
        <v/>
      </c>
    </row>
    <row r="446">
      <c r="A446">
        <f>IF('Equipment Information'!A446="","", 'Equipment Information'!A446)</f>
        <v/>
      </c>
      <c r="B446">
        <f>IF('Equipment Information'!B446="","", 'Equipment Information'!B446)</f>
        <v/>
      </c>
      <c r="C446">
        <f>IF('Equipment Information'!C446="","", 'Equipment Information'!C446)</f>
        <v/>
      </c>
      <c r="F446">
        <f>IF(A446="","","N/A")</f>
        <v/>
      </c>
    </row>
    <row r="447">
      <c r="A447">
        <f>IF('Equipment Information'!A447="","", 'Equipment Information'!A447)</f>
        <v/>
      </c>
      <c r="B447">
        <f>IF('Equipment Information'!B447="","", 'Equipment Information'!B447)</f>
        <v/>
      </c>
      <c r="C447">
        <f>IF('Equipment Information'!C447="","", 'Equipment Information'!C447)</f>
        <v/>
      </c>
      <c r="F447">
        <f>IF(A447="","","N/A")</f>
        <v/>
      </c>
    </row>
    <row r="448">
      <c r="A448">
        <f>IF('Equipment Information'!A448="","", 'Equipment Information'!A448)</f>
        <v/>
      </c>
      <c r="B448">
        <f>IF('Equipment Information'!B448="","", 'Equipment Information'!B448)</f>
        <v/>
      </c>
      <c r="C448">
        <f>IF('Equipment Information'!C448="","", 'Equipment Information'!C448)</f>
        <v/>
      </c>
      <c r="F448">
        <f>IF(A448="","","N/A")</f>
        <v/>
      </c>
    </row>
    <row r="449">
      <c r="A449">
        <f>IF('Equipment Information'!A449="","", 'Equipment Information'!A449)</f>
        <v/>
      </c>
      <c r="B449">
        <f>IF('Equipment Information'!B449="","", 'Equipment Information'!B449)</f>
        <v/>
      </c>
      <c r="C449">
        <f>IF('Equipment Information'!C449="","", 'Equipment Information'!C449)</f>
        <v/>
      </c>
      <c r="F449">
        <f>IF(A449="","","N/A")</f>
        <v/>
      </c>
    </row>
    <row r="450">
      <c r="A450">
        <f>IF('Equipment Information'!A450="","", 'Equipment Information'!A450)</f>
        <v/>
      </c>
      <c r="B450">
        <f>IF('Equipment Information'!B450="","", 'Equipment Information'!B450)</f>
        <v/>
      </c>
      <c r="C450">
        <f>IF('Equipment Information'!C450="","", 'Equipment Information'!C450)</f>
        <v/>
      </c>
      <c r="F450">
        <f>IF(A450="","","N/A")</f>
        <v/>
      </c>
    </row>
    <row r="451">
      <c r="A451">
        <f>IF('Equipment Information'!A451="","", 'Equipment Information'!A451)</f>
        <v/>
      </c>
      <c r="B451">
        <f>IF('Equipment Information'!B451="","", 'Equipment Information'!B451)</f>
        <v/>
      </c>
      <c r="C451">
        <f>IF('Equipment Information'!C451="","", 'Equipment Information'!C451)</f>
        <v/>
      </c>
      <c r="F451">
        <f>IF(A451="","","N/A")</f>
        <v/>
      </c>
    </row>
    <row r="452">
      <c r="A452">
        <f>IF('Equipment Information'!A452="","", 'Equipment Information'!A452)</f>
        <v/>
      </c>
      <c r="B452">
        <f>IF('Equipment Information'!B452="","", 'Equipment Information'!B452)</f>
        <v/>
      </c>
      <c r="C452">
        <f>IF('Equipment Information'!C452="","", 'Equipment Information'!C452)</f>
        <v/>
      </c>
      <c r="F452">
        <f>IF(A452="","","N/A")</f>
        <v/>
      </c>
    </row>
    <row r="453">
      <c r="A453">
        <f>IF('Equipment Information'!A453="","", 'Equipment Information'!A453)</f>
        <v/>
      </c>
      <c r="B453">
        <f>IF('Equipment Information'!B453="","", 'Equipment Information'!B453)</f>
        <v/>
      </c>
      <c r="C453">
        <f>IF('Equipment Information'!C453="","", 'Equipment Information'!C453)</f>
        <v/>
      </c>
      <c r="F453">
        <f>IF(A453="","","N/A")</f>
        <v/>
      </c>
    </row>
    <row r="454">
      <c r="A454">
        <f>IF('Equipment Information'!A454="","", 'Equipment Information'!A454)</f>
        <v/>
      </c>
      <c r="B454">
        <f>IF('Equipment Information'!B454="","", 'Equipment Information'!B454)</f>
        <v/>
      </c>
      <c r="C454">
        <f>IF('Equipment Information'!C454="","", 'Equipment Information'!C454)</f>
        <v/>
      </c>
      <c r="F454">
        <f>IF(A454="","","N/A")</f>
        <v/>
      </c>
    </row>
    <row r="455">
      <c r="A455">
        <f>IF('Equipment Information'!A455="","", 'Equipment Information'!A455)</f>
        <v/>
      </c>
      <c r="B455">
        <f>IF('Equipment Information'!B455="","", 'Equipment Information'!B455)</f>
        <v/>
      </c>
      <c r="C455">
        <f>IF('Equipment Information'!C455="","", 'Equipment Information'!C455)</f>
        <v/>
      </c>
      <c r="F455">
        <f>IF(A455="","","N/A")</f>
        <v/>
      </c>
    </row>
    <row r="456">
      <c r="A456">
        <f>IF('Equipment Information'!A456="","", 'Equipment Information'!A456)</f>
        <v/>
      </c>
      <c r="B456">
        <f>IF('Equipment Information'!B456="","", 'Equipment Information'!B456)</f>
        <v/>
      </c>
      <c r="C456">
        <f>IF('Equipment Information'!C456="","", 'Equipment Information'!C456)</f>
        <v/>
      </c>
      <c r="F456">
        <f>IF(A456="","","N/A")</f>
        <v/>
      </c>
    </row>
    <row r="457">
      <c r="A457">
        <f>IF('Equipment Information'!A457="","", 'Equipment Information'!A457)</f>
        <v/>
      </c>
      <c r="B457">
        <f>IF('Equipment Information'!B457="","", 'Equipment Information'!B457)</f>
        <v/>
      </c>
      <c r="C457">
        <f>IF('Equipment Information'!C457="","", 'Equipment Information'!C457)</f>
        <v/>
      </c>
      <c r="F457">
        <f>IF(A457="","","N/A")</f>
        <v/>
      </c>
    </row>
    <row r="458">
      <c r="A458">
        <f>IF('Equipment Information'!A458="","", 'Equipment Information'!A458)</f>
        <v/>
      </c>
      <c r="B458">
        <f>IF('Equipment Information'!B458="","", 'Equipment Information'!B458)</f>
        <v/>
      </c>
      <c r="C458">
        <f>IF('Equipment Information'!C458="","", 'Equipment Information'!C458)</f>
        <v/>
      </c>
      <c r="F458">
        <f>IF(A458="","","N/A")</f>
        <v/>
      </c>
    </row>
    <row r="459">
      <c r="A459">
        <f>IF('Equipment Information'!A459="","", 'Equipment Information'!A459)</f>
        <v/>
      </c>
      <c r="B459">
        <f>IF('Equipment Information'!B459="","", 'Equipment Information'!B459)</f>
        <v/>
      </c>
      <c r="C459">
        <f>IF('Equipment Information'!C459="","", 'Equipment Information'!C459)</f>
        <v/>
      </c>
      <c r="F459">
        <f>IF(A459="","","N/A")</f>
        <v/>
      </c>
    </row>
    <row r="460">
      <c r="A460">
        <f>IF('Equipment Information'!A460="","", 'Equipment Information'!A460)</f>
        <v/>
      </c>
      <c r="B460">
        <f>IF('Equipment Information'!B460="","", 'Equipment Information'!B460)</f>
        <v/>
      </c>
      <c r="C460">
        <f>IF('Equipment Information'!C460="","", 'Equipment Information'!C460)</f>
        <v/>
      </c>
      <c r="F460">
        <f>IF(A460="","","N/A")</f>
        <v/>
      </c>
    </row>
    <row r="461">
      <c r="A461">
        <f>IF('Equipment Information'!A461="","", 'Equipment Information'!A461)</f>
        <v/>
      </c>
      <c r="B461">
        <f>IF('Equipment Information'!B461="","", 'Equipment Information'!B461)</f>
        <v/>
      </c>
      <c r="C461">
        <f>IF('Equipment Information'!C461="","", 'Equipment Information'!C461)</f>
        <v/>
      </c>
      <c r="F461">
        <f>IF(A461="","","N/A")</f>
        <v/>
      </c>
    </row>
    <row r="462">
      <c r="A462">
        <f>IF('Equipment Information'!A462="","", 'Equipment Information'!A462)</f>
        <v/>
      </c>
      <c r="B462">
        <f>IF('Equipment Information'!B462="","", 'Equipment Information'!B462)</f>
        <v/>
      </c>
      <c r="C462">
        <f>IF('Equipment Information'!C462="","", 'Equipment Information'!C462)</f>
        <v/>
      </c>
      <c r="F462">
        <f>IF(A462="","","N/A")</f>
        <v/>
      </c>
    </row>
    <row r="463">
      <c r="A463">
        <f>IF('Equipment Information'!A463="","", 'Equipment Information'!A463)</f>
        <v/>
      </c>
      <c r="B463">
        <f>IF('Equipment Information'!B463="","", 'Equipment Information'!B463)</f>
        <v/>
      </c>
      <c r="C463">
        <f>IF('Equipment Information'!C463="","", 'Equipment Information'!C463)</f>
        <v/>
      </c>
      <c r="F463">
        <f>IF(A463="","","N/A")</f>
        <v/>
      </c>
    </row>
    <row r="464">
      <c r="A464">
        <f>IF('Equipment Information'!A464="","", 'Equipment Information'!A464)</f>
        <v/>
      </c>
      <c r="B464">
        <f>IF('Equipment Information'!B464="","", 'Equipment Information'!B464)</f>
        <v/>
      </c>
      <c r="C464">
        <f>IF('Equipment Information'!C464="","", 'Equipment Information'!C464)</f>
        <v/>
      </c>
      <c r="F464">
        <f>IF(A464="","","N/A")</f>
        <v/>
      </c>
    </row>
    <row r="465">
      <c r="A465">
        <f>IF('Equipment Information'!A465="","", 'Equipment Information'!A465)</f>
        <v/>
      </c>
      <c r="B465">
        <f>IF('Equipment Information'!B465="","", 'Equipment Information'!B465)</f>
        <v/>
      </c>
      <c r="C465">
        <f>IF('Equipment Information'!C465="","", 'Equipment Information'!C465)</f>
        <v/>
      </c>
      <c r="F465">
        <f>IF(A465="","","N/A")</f>
        <v/>
      </c>
    </row>
    <row r="466">
      <c r="A466">
        <f>IF('Equipment Information'!A466="","", 'Equipment Information'!A466)</f>
        <v/>
      </c>
      <c r="B466">
        <f>IF('Equipment Information'!B466="","", 'Equipment Information'!B466)</f>
        <v/>
      </c>
      <c r="C466">
        <f>IF('Equipment Information'!C466="","", 'Equipment Information'!C466)</f>
        <v/>
      </c>
      <c r="F466">
        <f>IF(A466="","","N/A")</f>
        <v/>
      </c>
    </row>
    <row r="467">
      <c r="A467">
        <f>IF('Equipment Information'!A467="","", 'Equipment Information'!A467)</f>
        <v/>
      </c>
      <c r="B467">
        <f>IF('Equipment Information'!B467="","", 'Equipment Information'!B467)</f>
        <v/>
      </c>
      <c r="C467">
        <f>IF('Equipment Information'!C467="","", 'Equipment Information'!C467)</f>
        <v/>
      </c>
      <c r="F467">
        <f>IF(A467="","","N/A")</f>
        <v/>
      </c>
    </row>
    <row r="468">
      <c r="A468">
        <f>IF('Equipment Information'!A468="","", 'Equipment Information'!A468)</f>
        <v/>
      </c>
      <c r="B468">
        <f>IF('Equipment Information'!B468="","", 'Equipment Information'!B468)</f>
        <v/>
      </c>
      <c r="C468">
        <f>IF('Equipment Information'!C468="","", 'Equipment Information'!C468)</f>
        <v/>
      </c>
      <c r="F468">
        <f>IF(A468="","","N/A")</f>
        <v/>
      </c>
    </row>
    <row r="469">
      <c r="A469">
        <f>IF('Equipment Information'!A469="","", 'Equipment Information'!A469)</f>
        <v/>
      </c>
      <c r="B469">
        <f>IF('Equipment Information'!B469="","", 'Equipment Information'!B469)</f>
        <v/>
      </c>
      <c r="C469">
        <f>IF('Equipment Information'!C469="","", 'Equipment Information'!C469)</f>
        <v/>
      </c>
      <c r="F469">
        <f>IF(A469="","","N/A")</f>
        <v/>
      </c>
    </row>
    <row r="470">
      <c r="A470">
        <f>IF('Equipment Information'!A470="","", 'Equipment Information'!A470)</f>
        <v/>
      </c>
      <c r="B470">
        <f>IF('Equipment Information'!B470="","", 'Equipment Information'!B470)</f>
        <v/>
      </c>
      <c r="C470">
        <f>IF('Equipment Information'!C470="","", 'Equipment Information'!C470)</f>
        <v/>
      </c>
      <c r="F470">
        <f>IF(A470="","","N/A")</f>
        <v/>
      </c>
    </row>
    <row r="471">
      <c r="A471">
        <f>IF('Equipment Information'!A471="","", 'Equipment Information'!A471)</f>
        <v/>
      </c>
      <c r="B471">
        <f>IF('Equipment Information'!B471="","", 'Equipment Information'!B471)</f>
        <v/>
      </c>
      <c r="C471">
        <f>IF('Equipment Information'!C471="","", 'Equipment Information'!C471)</f>
        <v/>
      </c>
      <c r="F471">
        <f>IF(A471="","","N/A")</f>
        <v/>
      </c>
    </row>
    <row r="472">
      <c r="A472">
        <f>IF('Equipment Information'!A472="","", 'Equipment Information'!A472)</f>
        <v/>
      </c>
      <c r="B472">
        <f>IF('Equipment Information'!B472="","", 'Equipment Information'!B472)</f>
        <v/>
      </c>
      <c r="C472">
        <f>IF('Equipment Information'!C472="","", 'Equipment Information'!C472)</f>
        <v/>
      </c>
      <c r="F472">
        <f>IF(A472="","","N/A")</f>
        <v/>
      </c>
    </row>
    <row r="473">
      <c r="A473">
        <f>IF('Equipment Information'!A473="","", 'Equipment Information'!A473)</f>
        <v/>
      </c>
      <c r="B473">
        <f>IF('Equipment Information'!B473="","", 'Equipment Information'!B473)</f>
        <v/>
      </c>
      <c r="C473">
        <f>IF('Equipment Information'!C473="","", 'Equipment Information'!C473)</f>
        <v/>
      </c>
      <c r="F473">
        <f>IF(A473="","","N/A")</f>
        <v/>
      </c>
    </row>
    <row r="474">
      <c r="A474">
        <f>IF('Equipment Information'!A474="","", 'Equipment Information'!A474)</f>
        <v/>
      </c>
      <c r="B474">
        <f>IF('Equipment Information'!B474="","", 'Equipment Information'!B474)</f>
        <v/>
      </c>
      <c r="C474">
        <f>IF('Equipment Information'!C474="","", 'Equipment Information'!C474)</f>
        <v/>
      </c>
      <c r="F474">
        <f>IF(A474="","","N/A")</f>
        <v/>
      </c>
    </row>
    <row r="475">
      <c r="A475">
        <f>IF('Equipment Information'!A475="","", 'Equipment Information'!A475)</f>
        <v/>
      </c>
      <c r="B475">
        <f>IF('Equipment Information'!B475="","", 'Equipment Information'!B475)</f>
        <v/>
      </c>
      <c r="C475">
        <f>IF('Equipment Information'!C475="","", 'Equipment Information'!C475)</f>
        <v/>
      </c>
      <c r="F475">
        <f>IF(A475="","","N/A")</f>
        <v/>
      </c>
    </row>
    <row r="476">
      <c r="A476">
        <f>IF('Equipment Information'!A476="","", 'Equipment Information'!A476)</f>
        <v/>
      </c>
      <c r="B476">
        <f>IF('Equipment Information'!B476="","", 'Equipment Information'!B476)</f>
        <v/>
      </c>
      <c r="C476">
        <f>IF('Equipment Information'!C476="","", 'Equipment Information'!C476)</f>
        <v/>
      </c>
      <c r="F476">
        <f>IF(A476="","","N/A")</f>
        <v/>
      </c>
    </row>
    <row r="477">
      <c r="A477">
        <f>IF('Equipment Information'!A477="","", 'Equipment Information'!A477)</f>
        <v/>
      </c>
      <c r="B477">
        <f>IF('Equipment Information'!B477="","", 'Equipment Information'!B477)</f>
        <v/>
      </c>
      <c r="C477">
        <f>IF('Equipment Information'!C477="","", 'Equipment Information'!C477)</f>
        <v/>
      </c>
      <c r="F477">
        <f>IF(A477="","","N/A")</f>
        <v/>
      </c>
    </row>
    <row r="478">
      <c r="A478">
        <f>IF('Equipment Information'!A478="","", 'Equipment Information'!A478)</f>
        <v/>
      </c>
      <c r="B478">
        <f>IF('Equipment Information'!B478="","", 'Equipment Information'!B478)</f>
        <v/>
      </c>
      <c r="C478">
        <f>IF('Equipment Information'!C478="","", 'Equipment Information'!C478)</f>
        <v/>
      </c>
      <c r="F478">
        <f>IF(A478="","","N/A")</f>
        <v/>
      </c>
    </row>
    <row r="479">
      <c r="A479">
        <f>IF('Equipment Information'!A479="","", 'Equipment Information'!A479)</f>
        <v/>
      </c>
      <c r="B479">
        <f>IF('Equipment Information'!B479="","", 'Equipment Information'!B479)</f>
        <v/>
      </c>
      <c r="C479">
        <f>IF('Equipment Information'!C479="","", 'Equipment Information'!C479)</f>
        <v/>
      </c>
      <c r="F479">
        <f>IF(A479="","","N/A")</f>
        <v/>
      </c>
    </row>
    <row r="480">
      <c r="A480">
        <f>IF('Equipment Information'!A480="","", 'Equipment Information'!A480)</f>
        <v/>
      </c>
      <c r="B480">
        <f>IF('Equipment Information'!B480="","", 'Equipment Information'!B480)</f>
        <v/>
      </c>
      <c r="C480">
        <f>IF('Equipment Information'!C480="","", 'Equipment Information'!C480)</f>
        <v/>
      </c>
      <c r="F480">
        <f>IF(A480="","","N/A")</f>
        <v/>
      </c>
    </row>
    <row r="481">
      <c r="A481">
        <f>IF('Equipment Information'!A481="","", 'Equipment Information'!A481)</f>
        <v/>
      </c>
      <c r="B481">
        <f>IF('Equipment Information'!B481="","", 'Equipment Information'!B481)</f>
        <v/>
      </c>
      <c r="C481">
        <f>IF('Equipment Information'!C481="","", 'Equipment Information'!C481)</f>
        <v/>
      </c>
      <c r="F481">
        <f>IF(A481="","","N/A")</f>
        <v/>
      </c>
    </row>
    <row r="482">
      <c r="A482">
        <f>IF('Equipment Information'!A482="","", 'Equipment Information'!A482)</f>
        <v/>
      </c>
      <c r="B482">
        <f>IF('Equipment Information'!B482="","", 'Equipment Information'!B482)</f>
        <v/>
      </c>
      <c r="C482">
        <f>IF('Equipment Information'!C482="","", 'Equipment Information'!C482)</f>
        <v/>
      </c>
      <c r="F482">
        <f>IF(A482="","","N/A")</f>
        <v/>
      </c>
    </row>
    <row r="483">
      <c r="A483">
        <f>IF('Equipment Information'!A483="","", 'Equipment Information'!A483)</f>
        <v/>
      </c>
      <c r="B483">
        <f>IF('Equipment Information'!B483="","", 'Equipment Information'!B483)</f>
        <v/>
      </c>
      <c r="C483">
        <f>IF('Equipment Information'!C483="","", 'Equipment Information'!C483)</f>
        <v/>
      </c>
      <c r="F483">
        <f>IF(A483="","","N/A")</f>
        <v/>
      </c>
    </row>
    <row r="484">
      <c r="A484">
        <f>IF('Equipment Information'!A484="","", 'Equipment Information'!A484)</f>
        <v/>
      </c>
      <c r="B484">
        <f>IF('Equipment Information'!B484="","", 'Equipment Information'!B484)</f>
        <v/>
      </c>
      <c r="C484">
        <f>IF('Equipment Information'!C484="","", 'Equipment Information'!C484)</f>
        <v/>
      </c>
      <c r="F484">
        <f>IF(A484="","","N/A")</f>
        <v/>
      </c>
    </row>
    <row r="485">
      <c r="A485">
        <f>IF('Equipment Information'!A485="","", 'Equipment Information'!A485)</f>
        <v/>
      </c>
      <c r="B485">
        <f>IF('Equipment Information'!B485="","", 'Equipment Information'!B485)</f>
        <v/>
      </c>
      <c r="C485">
        <f>IF('Equipment Information'!C485="","", 'Equipment Information'!C485)</f>
        <v/>
      </c>
      <c r="F485">
        <f>IF(A485="","","N/A")</f>
        <v/>
      </c>
    </row>
    <row r="486">
      <c r="A486">
        <f>IF('Equipment Information'!A486="","", 'Equipment Information'!A486)</f>
        <v/>
      </c>
      <c r="B486">
        <f>IF('Equipment Information'!B486="","", 'Equipment Information'!B486)</f>
        <v/>
      </c>
      <c r="C486">
        <f>IF('Equipment Information'!C486="","", 'Equipment Information'!C486)</f>
        <v/>
      </c>
      <c r="F486">
        <f>IF(A486="","","N/A")</f>
        <v/>
      </c>
    </row>
    <row r="487">
      <c r="A487">
        <f>IF('Equipment Information'!A487="","", 'Equipment Information'!A487)</f>
        <v/>
      </c>
      <c r="B487">
        <f>IF('Equipment Information'!B487="","", 'Equipment Information'!B487)</f>
        <v/>
      </c>
      <c r="C487">
        <f>IF('Equipment Information'!C487="","", 'Equipment Information'!C487)</f>
        <v/>
      </c>
      <c r="F487">
        <f>IF(A487="","","N/A")</f>
        <v/>
      </c>
    </row>
    <row r="488">
      <c r="A488">
        <f>IF('Equipment Information'!A488="","", 'Equipment Information'!A488)</f>
        <v/>
      </c>
      <c r="B488">
        <f>IF('Equipment Information'!B488="","", 'Equipment Information'!B488)</f>
        <v/>
      </c>
      <c r="C488">
        <f>IF('Equipment Information'!C488="","", 'Equipment Information'!C488)</f>
        <v/>
      </c>
      <c r="F488">
        <f>IF(A488="","","N/A")</f>
        <v/>
      </c>
    </row>
    <row r="489">
      <c r="A489">
        <f>IF('Equipment Information'!A489="","", 'Equipment Information'!A489)</f>
        <v/>
      </c>
      <c r="B489">
        <f>IF('Equipment Information'!B489="","", 'Equipment Information'!B489)</f>
        <v/>
      </c>
      <c r="C489">
        <f>IF('Equipment Information'!C489="","", 'Equipment Information'!C489)</f>
        <v/>
      </c>
      <c r="F489">
        <f>IF(A489="","","N/A")</f>
        <v/>
      </c>
    </row>
    <row r="490">
      <c r="A490">
        <f>IF('Equipment Information'!A490="","", 'Equipment Information'!A490)</f>
        <v/>
      </c>
      <c r="B490">
        <f>IF('Equipment Information'!B490="","", 'Equipment Information'!B490)</f>
        <v/>
      </c>
      <c r="C490">
        <f>IF('Equipment Information'!C490="","", 'Equipment Information'!C490)</f>
        <v/>
      </c>
      <c r="F490">
        <f>IF(A490="","","N/A")</f>
        <v/>
      </c>
    </row>
    <row r="491">
      <c r="A491">
        <f>IF('Equipment Information'!A491="","", 'Equipment Information'!A491)</f>
        <v/>
      </c>
      <c r="B491">
        <f>IF('Equipment Information'!B491="","", 'Equipment Information'!B491)</f>
        <v/>
      </c>
      <c r="C491">
        <f>IF('Equipment Information'!C491="","", 'Equipment Information'!C491)</f>
        <v/>
      </c>
      <c r="F491">
        <f>IF(A491="","","N/A")</f>
        <v/>
      </c>
    </row>
    <row r="492">
      <c r="A492">
        <f>IF('Equipment Information'!A492="","", 'Equipment Information'!A492)</f>
        <v/>
      </c>
      <c r="B492">
        <f>IF('Equipment Information'!B492="","", 'Equipment Information'!B492)</f>
        <v/>
      </c>
      <c r="C492">
        <f>IF('Equipment Information'!C492="","", 'Equipment Information'!C492)</f>
        <v/>
      </c>
      <c r="F492">
        <f>IF(A492="","","N/A")</f>
        <v/>
      </c>
    </row>
    <row r="493">
      <c r="A493">
        <f>IF('Equipment Information'!A493="","", 'Equipment Information'!A493)</f>
        <v/>
      </c>
      <c r="B493">
        <f>IF('Equipment Information'!B493="","", 'Equipment Information'!B493)</f>
        <v/>
      </c>
      <c r="C493">
        <f>IF('Equipment Information'!C493="","", 'Equipment Information'!C493)</f>
        <v/>
      </c>
      <c r="F493">
        <f>IF(A493="","","N/A")</f>
        <v/>
      </c>
    </row>
    <row r="494">
      <c r="A494">
        <f>IF('Equipment Information'!A494="","", 'Equipment Information'!A494)</f>
        <v/>
      </c>
      <c r="B494">
        <f>IF('Equipment Information'!B494="","", 'Equipment Information'!B494)</f>
        <v/>
      </c>
      <c r="C494">
        <f>IF('Equipment Information'!C494="","", 'Equipment Information'!C494)</f>
        <v/>
      </c>
      <c r="F494">
        <f>IF(A494="","","N/A")</f>
        <v/>
      </c>
    </row>
    <row r="495">
      <c r="A495">
        <f>IF('Equipment Information'!A495="","", 'Equipment Information'!A495)</f>
        <v/>
      </c>
      <c r="B495">
        <f>IF('Equipment Information'!B495="","", 'Equipment Information'!B495)</f>
        <v/>
      </c>
      <c r="C495">
        <f>IF('Equipment Information'!C495="","", 'Equipment Information'!C495)</f>
        <v/>
      </c>
      <c r="F495">
        <f>IF(A495="","","N/A")</f>
        <v/>
      </c>
    </row>
    <row r="496">
      <c r="A496">
        <f>IF('Equipment Information'!A496="","", 'Equipment Information'!A496)</f>
        <v/>
      </c>
      <c r="B496">
        <f>IF('Equipment Information'!B496="","", 'Equipment Information'!B496)</f>
        <v/>
      </c>
      <c r="C496">
        <f>IF('Equipment Information'!C496="","", 'Equipment Information'!C496)</f>
        <v/>
      </c>
      <c r="F496">
        <f>IF(A496="","","N/A")</f>
        <v/>
      </c>
    </row>
    <row r="497">
      <c r="A497">
        <f>IF('Equipment Information'!A497="","", 'Equipment Information'!A497)</f>
        <v/>
      </c>
      <c r="B497">
        <f>IF('Equipment Information'!B497="","", 'Equipment Information'!B497)</f>
        <v/>
      </c>
      <c r="C497">
        <f>IF('Equipment Information'!C497="","", 'Equipment Information'!C497)</f>
        <v/>
      </c>
      <c r="F497">
        <f>IF(A497="","","N/A")</f>
        <v/>
      </c>
    </row>
    <row r="498">
      <c r="A498">
        <f>IF('Equipment Information'!A498="","", 'Equipment Information'!A498)</f>
        <v/>
      </c>
      <c r="B498">
        <f>IF('Equipment Information'!B498="","", 'Equipment Information'!B498)</f>
        <v/>
      </c>
      <c r="C498">
        <f>IF('Equipment Information'!C498="","", 'Equipment Information'!C498)</f>
        <v/>
      </c>
      <c r="F498">
        <f>IF(A498="","","N/A")</f>
        <v/>
      </c>
    </row>
    <row r="499">
      <c r="A499">
        <f>IF('Equipment Information'!A499="","", 'Equipment Information'!A499)</f>
        <v/>
      </c>
      <c r="B499">
        <f>IF('Equipment Information'!B499="","", 'Equipment Information'!B499)</f>
        <v/>
      </c>
      <c r="C499">
        <f>IF('Equipment Information'!C499="","", 'Equipment Information'!C499)</f>
        <v/>
      </c>
      <c r="F499">
        <f>IF(A499="","","N/A")</f>
        <v/>
      </c>
    </row>
  </sheetData>
  <dataValidations count="3">
    <dataValidation sqref="D2:D500" showDropDown="0" showInputMessage="0" showErrorMessage="0" allowBlank="1" type="list">
      <formula1>List_IR_Phase</formula1>
    </dataValidation>
    <dataValidation sqref="E2:E500" showDropDown="0" showInputMessage="0" showErrorMessage="0" allowBlank="1" type="list">
      <formula1>List_Comp</formula1>
    </dataValidation>
    <dataValidation sqref="F2:F500" showDropDown="0" showInputMessage="0" showErrorMessage="0" allowBlank="1" type="list">
      <formula1>List_PF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Loc</t>
        </is>
      </c>
      <c r="D1" s="1" t="inlineStr">
        <is>
          <t>Component</t>
        </is>
      </c>
      <c r="E1" s="1" t="inlineStr">
        <is>
          <t>Failure Mode</t>
        </is>
      </c>
      <c r="F1" s="1" t="inlineStr">
        <is>
          <t>dB Level</t>
        </is>
      </c>
      <c r="G1" s="1" t="inlineStr">
        <is>
          <t>Result</t>
        </is>
      </c>
      <c r="H1" s="1" t="inlineStr">
        <is>
          <t>Notes</t>
        </is>
      </c>
    </row>
    <row r="2">
      <c r="A2">
        <f>IF('Equipment Information'!A2="","", 'Equipment Information'!A2)</f>
        <v/>
      </c>
      <c r="B2">
        <f>IF('Equipment Information'!B2="","", 'Equipment Information'!B2)</f>
        <v/>
      </c>
      <c r="C2">
        <f>IF('Equipment Information'!C2="","", 'Equipment Information'!C2)</f>
        <v/>
      </c>
      <c r="G2">
        <f>IF(A2="","","N/A")</f>
        <v/>
      </c>
    </row>
    <row r="3">
      <c r="A3">
        <f>IF('Equipment Information'!A3="","", 'Equipment Information'!A3)</f>
        <v/>
      </c>
      <c r="B3">
        <f>IF('Equipment Information'!B3="","", 'Equipment Information'!B3)</f>
        <v/>
      </c>
      <c r="C3">
        <f>IF('Equipment Information'!C3="","", 'Equipment Information'!C3)</f>
        <v/>
      </c>
      <c r="G3">
        <f>IF(A3="","","N/A")</f>
        <v/>
      </c>
    </row>
    <row r="4">
      <c r="A4">
        <f>IF('Equipment Information'!A4="","", 'Equipment Information'!A4)</f>
        <v/>
      </c>
      <c r="B4">
        <f>IF('Equipment Information'!B4="","", 'Equipment Information'!B4)</f>
        <v/>
      </c>
      <c r="C4">
        <f>IF('Equipment Information'!C4="","", 'Equipment Information'!C4)</f>
        <v/>
      </c>
      <c r="G4">
        <f>IF(A4="","","N/A")</f>
        <v/>
      </c>
    </row>
    <row r="5">
      <c r="A5">
        <f>IF('Equipment Information'!A5="","", 'Equipment Information'!A5)</f>
        <v/>
      </c>
      <c r="B5">
        <f>IF('Equipment Information'!B5="","", 'Equipment Information'!B5)</f>
        <v/>
      </c>
      <c r="C5">
        <f>IF('Equipment Information'!C5="","", 'Equipment Information'!C5)</f>
        <v/>
      </c>
      <c r="G5">
        <f>IF(A5="","","N/A")</f>
        <v/>
      </c>
    </row>
    <row r="6">
      <c r="A6">
        <f>IF('Equipment Information'!A6="","", 'Equipment Information'!A6)</f>
        <v/>
      </c>
      <c r="B6">
        <f>IF('Equipment Information'!B6="","", 'Equipment Information'!B6)</f>
        <v/>
      </c>
      <c r="C6">
        <f>IF('Equipment Information'!C6="","", 'Equipment Information'!C6)</f>
        <v/>
      </c>
      <c r="G6">
        <f>IF(A6="","","N/A")</f>
        <v/>
      </c>
    </row>
    <row r="7">
      <c r="A7">
        <f>IF('Equipment Information'!A7="","", 'Equipment Information'!A7)</f>
        <v/>
      </c>
      <c r="B7">
        <f>IF('Equipment Information'!B7="","", 'Equipment Information'!B7)</f>
        <v/>
      </c>
      <c r="C7">
        <f>IF('Equipment Information'!C7="","", 'Equipment Information'!C7)</f>
        <v/>
      </c>
      <c r="G7">
        <f>IF(A7="","","N/A")</f>
        <v/>
      </c>
    </row>
    <row r="8">
      <c r="A8">
        <f>IF('Equipment Information'!A8="","", 'Equipment Information'!A8)</f>
        <v/>
      </c>
      <c r="B8">
        <f>IF('Equipment Information'!B8="","", 'Equipment Information'!B8)</f>
        <v/>
      </c>
      <c r="C8">
        <f>IF('Equipment Information'!C8="","", 'Equipment Information'!C8)</f>
        <v/>
      </c>
      <c r="G8">
        <f>IF(A8="","","N/A")</f>
        <v/>
      </c>
    </row>
    <row r="9">
      <c r="A9">
        <f>IF('Equipment Information'!A9="","", 'Equipment Information'!A9)</f>
        <v/>
      </c>
      <c r="B9">
        <f>IF('Equipment Information'!B9="","", 'Equipment Information'!B9)</f>
        <v/>
      </c>
      <c r="C9">
        <f>IF('Equipment Information'!C9="","", 'Equipment Information'!C9)</f>
        <v/>
      </c>
      <c r="G9">
        <f>IF(A9="","","N/A")</f>
        <v/>
      </c>
    </row>
    <row r="10">
      <c r="A10">
        <f>IF('Equipment Information'!A10="","", 'Equipment Information'!A10)</f>
        <v/>
      </c>
      <c r="B10">
        <f>IF('Equipment Information'!B10="","", 'Equipment Information'!B10)</f>
        <v/>
      </c>
      <c r="C10">
        <f>IF('Equipment Information'!C10="","", 'Equipment Information'!C10)</f>
        <v/>
      </c>
      <c r="G10">
        <f>IF(A10="","","N/A")</f>
        <v/>
      </c>
    </row>
    <row r="11">
      <c r="A11">
        <f>IF('Equipment Information'!A11="","", 'Equipment Information'!A11)</f>
        <v/>
      </c>
      <c r="B11">
        <f>IF('Equipment Information'!B11="","", 'Equipment Information'!B11)</f>
        <v/>
      </c>
      <c r="C11">
        <f>IF('Equipment Information'!C11="","", 'Equipment Information'!C11)</f>
        <v/>
      </c>
      <c r="G11">
        <f>IF(A11="","","N/A")</f>
        <v/>
      </c>
    </row>
    <row r="12">
      <c r="A12">
        <f>IF('Equipment Information'!A12="","", 'Equipment Information'!A12)</f>
        <v/>
      </c>
      <c r="B12">
        <f>IF('Equipment Information'!B12="","", 'Equipment Information'!B12)</f>
        <v/>
      </c>
      <c r="C12">
        <f>IF('Equipment Information'!C12="","", 'Equipment Information'!C12)</f>
        <v/>
      </c>
      <c r="G12">
        <f>IF(A12="","","N/A")</f>
        <v/>
      </c>
    </row>
    <row r="13">
      <c r="A13">
        <f>IF('Equipment Information'!A13="","", 'Equipment Information'!A13)</f>
        <v/>
      </c>
      <c r="B13">
        <f>IF('Equipment Information'!B13="","", 'Equipment Information'!B13)</f>
        <v/>
      </c>
      <c r="C13">
        <f>IF('Equipment Information'!C13="","", 'Equipment Information'!C13)</f>
        <v/>
      </c>
      <c r="G13">
        <f>IF(A13="","","N/A")</f>
        <v/>
      </c>
    </row>
    <row r="14">
      <c r="A14">
        <f>IF('Equipment Information'!A14="","", 'Equipment Information'!A14)</f>
        <v/>
      </c>
      <c r="B14">
        <f>IF('Equipment Information'!B14="","", 'Equipment Information'!B14)</f>
        <v/>
      </c>
      <c r="C14">
        <f>IF('Equipment Information'!C14="","", 'Equipment Information'!C14)</f>
        <v/>
      </c>
      <c r="G14">
        <f>IF(A14="","","N/A")</f>
        <v/>
      </c>
    </row>
    <row r="15">
      <c r="A15">
        <f>IF('Equipment Information'!A15="","", 'Equipment Information'!A15)</f>
        <v/>
      </c>
      <c r="B15">
        <f>IF('Equipment Information'!B15="","", 'Equipment Information'!B15)</f>
        <v/>
      </c>
      <c r="C15">
        <f>IF('Equipment Information'!C15="","", 'Equipment Information'!C15)</f>
        <v/>
      </c>
      <c r="G15">
        <f>IF(A15="","","N/A")</f>
        <v/>
      </c>
    </row>
    <row r="16">
      <c r="A16">
        <f>IF('Equipment Information'!A16="","", 'Equipment Information'!A16)</f>
        <v/>
      </c>
      <c r="B16">
        <f>IF('Equipment Information'!B16="","", 'Equipment Information'!B16)</f>
        <v/>
      </c>
      <c r="C16">
        <f>IF('Equipment Information'!C16="","", 'Equipment Information'!C16)</f>
        <v/>
      </c>
      <c r="G16">
        <f>IF(A16="","","N/A")</f>
        <v/>
      </c>
    </row>
    <row r="17">
      <c r="A17">
        <f>IF('Equipment Information'!A17="","", 'Equipment Information'!A17)</f>
        <v/>
      </c>
      <c r="B17">
        <f>IF('Equipment Information'!B17="","", 'Equipment Information'!B17)</f>
        <v/>
      </c>
      <c r="C17">
        <f>IF('Equipment Information'!C17="","", 'Equipment Information'!C17)</f>
        <v/>
      </c>
      <c r="G17">
        <f>IF(A17="","","N/A")</f>
        <v/>
      </c>
    </row>
    <row r="18">
      <c r="A18">
        <f>IF('Equipment Information'!A18="","", 'Equipment Information'!A18)</f>
        <v/>
      </c>
      <c r="B18">
        <f>IF('Equipment Information'!B18="","", 'Equipment Information'!B18)</f>
        <v/>
      </c>
      <c r="C18">
        <f>IF('Equipment Information'!C18="","", 'Equipment Information'!C18)</f>
        <v/>
      </c>
      <c r="G18">
        <f>IF(A18="","","N/A")</f>
        <v/>
      </c>
    </row>
    <row r="19">
      <c r="A19">
        <f>IF('Equipment Information'!A19="","", 'Equipment Information'!A19)</f>
        <v/>
      </c>
      <c r="B19">
        <f>IF('Equipment Information'!B19="","", 'Equipment Information'!B19)</f>
        <v/>
      </c>
      <c r="C19">
        <f>IF('Equipment Information'!C19="","", 'Equipment Information'!C19)</f>
        <v/>
      </c>
      <c r="G19">
        <f>IF(A19="","","N/A")</f>
        <v/>
      </c>
    </row>
    <row r="20">
      <c r="A20">
        <f>IF('Equipment Information'!A20="","", 'Equipment Information'!A20)</f>
        <v/>
      </c>
      <c r="B20">
        <f>IF('Equipment Information'!B20="","", 'Equipment Information'!B20)</f>
        <v/>
      </c>
      <c r="C20">
        <f>IF('Equipment Information'!C20="","", 'Equipment Information'!C20)</f>
        <v/>
      </c>
      <c r="G20">
        <f>IF(A20="","","N/A")</f>
        <v/>
      </c>
    </row>
    <row r="21">
      <c r="A21">
        <f>IF('Equipment Information'!A21="","", 'Equipment Information'!A21)</f>
        <v/>
      </c>
      <c r="B21">
        <f>IF('Equipment Information'!B21="","", 'Equipment Information'!B21)</f>
        <v/>
      </c>
      <c r="C21">
        <f>IF('Equipment Information'!C21="","", 'Equipment Information'!C21)</f>
        <v/>
      </c>
      <c r="G21">
        <f>IF(A21="","","N/A")</f>
        <v/>
      </c>
    </row>
    <row r="22">
      <c r="A22">
        <f>IF('Equipment Information'!A22="","", 'Equipment Information'!A22)</f>
        <v/>
      </c>
      <c r="B22">
        <f>IF('Equipment Information'!B22="","", 'Equipment Information'!B22)</f>
        <v/>
      </c>
      <c r="C22">
        <f>IF('Equipment Information'!C22="","", 'Equipment Information'!C22)</f>
        <v/>
      </c>
      <c r="G22">
        <f>IF(A22="","","N/A")</f>
        <v/>
      </c>
    </row>
    <row r="23">
      <c r="A23">
        <f>IF('Equipment Information'!A23="","", 'Equipment Information'!A23)</f>
        <v/>
      </c>
      <c r="B23">
        <f>IF('Equipment Information'!B23="","", 'Equipment Information'!B23)</f>
        <v/>
      </c>
      <c r="C23">
        <f>IF('Equipment Information'!C23="","", 'Equipment Information'!C23)</f>
        <v/>
      </c>
      <c r="G23">
        <f>IF(A23="","","N/A")</f>
        <v/>
      </c>
    </row>
    <row r="24">
      <c r="A24">
        <f>IF('Equipment Information'!A24="","", 'Equipment Information'!A24)</f>
        <v/>
      </c>
      <c r="B24">
        <f>IF('Equipment Information'!B24="","", 'Equipment Information'!B24)</f>
        <v/>
      </c>
      <c r="C24">
        <f>IF('Equipment Information'!C24="","", 'Equipment Information'!C24)</f>
        <v/>
      </c>
      <c r="G24">
        <f>IF(A24="","","N/A")</f>
        <v/>
      </c>
    </row>
    <row r="25">
      <c r="A25">
        <f>IF('Equipment Information'!A25="","", 'Equipment Information'!A25)</f>
        <v/>
      </c>
      <c r="B25">
        <f>IF('Equipment Information'!B25="","", 'Equipment Information'!B25)</f>
        <v/>
      </c>
      <c r="C25">
        <f>IF('Equipment Information'!C25="","", 'Equipment Information'!C25)</f>
        <v/>
      </c>
      <c r="G25">
        <f>IF(A25="","","N/A")</f>
        <v/>
      </c>
    </row>
    <row r="26">
      <c r="A26">
        <f>IF('Equipment Information'!A26="","", 'Equipment Information'!A26)</f>
        <v/>
      </c>
      <c r="B26">
        <f>IF('Equipment Information'!B26="","", 'Equipment Information'!B26)</f>
        <v/>
      </c>
      <c r="C26">
        <f>IF('Equipment Information'!C26="","", 'Equipment Information'!C26)</f>
        <v/>
      </c>
      <c r="G26">
        <f>IF(A26="","","N/A")</f>
        <v/>
      </c>
    </row>
    <row r="27">
      <c r="A27">
        <f>IF('Equipment Information'!A27="","", 'Equipment Information'!A27)</f>
        <v/>
      </c>
      <c r="B27">
        <f>IF('Equipment Information'!B27="","", 'Equipment Information'!B27)</f>
        <v/>
      </c>
      <c r="C27">
        <f>IF('Equipment Information'!C27="","", 'Equipment Information'!C27)</f>
        <v/>
      </c>
      <c r="G27">
        <f>IF(A27="","","N/A")</f>
        <v/>
      </c>
    </row>
    <row r="28">
      <c r="A28">
        <f>IF('Equipment Information'!A28="","", 'Equipment Information'!A28)</f>
        <v/>
      </c>
      <c r="B28">
        <f>IF('Equipment Information'!B28="","", 'Equipment Information'!B28)</f>
        <v/>
      </c>
      <c r="C28">
        <f>IF('Equipment Information'!C28="","", 'Equipment Information'!C28)</f>
        <v/>
      </c>
      <c r="G28">
        <f>IF(A28="","","N/A")</f>
        <v/>
      </c>
    </row>
    <row r="29">
      <c r="A29">
        <f>IF('Equipment Information'!A29="","", 'Equipment Information'!A29)</f>
        <v/>
      </c>
      <c r="B29">
        <f>IF('Equipment Information'!B29="","", 'Equipment Information'!B29)</f>
        <v/>
      </c>
      <c r="C29">
        <f>IF('Equipment Information'!C29="","", 'Equipment Information'!C29)</f>
        <v/>
      </c>
      <c r="G29">
        <f>IF(A29="","","N/A")</f>
        <v/>
      </c>
    </row>
    <row r="30">
      <c r="A30">
        <f>IF('Equipment Information'!A30="","", 'Equipment Information'!A30)</f>
        <v/>
      </c>
      <c r="B30">
        <f>IF('Equipment Information'!B30="","", 'Equipment Information'!B30)</f>
        <v/>
      </c>
      <c r="C30">
        <f>IF('Equipment Information'!C30="","", 'Equipment Information'!C30)</f>
        <v/>
      </c>
      <c r="G30">
        <f>IF(A30="","","N/A")</f>
        <v/>
      </c>
    </row>
    <row r="31">
      <c r="A31">
        <f>IF('Equipment Information'!A31="","", 'Equipment Information'!A31)</f>
        <v/>
      </c>
      <c r="B31">
        <f>IF('Equipment Information'!B31="","", 'Equipment Information'!B31)</f>
        <v/>
      </c>
      <c r="C31">
        <f>IF('Equipment Information'!C31="","", 'Equipment Information'!C31)</f>
        <v/>
      </c>
      <c r="G31">
        <f>IF(A31="","","N/A")</f>
        <v/>
      </c>
    </row>
    <row r="32">
      <c r="A32">
        <f>IF('Equipment Information'!A32="","", 'Equipment Information'!A32)</f>
        <v/>
      </c>
      <c r="B32">
        <f>IF('Equipment Information'!B32="","", 'Equipment Information'!B32)</f>
        <v/>
      </c>
      <c r="C32">
        <f>IF('Equipment Information'!C32="","", 'Equipment Information'!C32)</f>
        <v/>
      </c>
      <c r="G32">
        <f>IF(A32="","","N/A")</f>
        <v/>
      </c>
    </row>
    <row r="33">
      <c r="A33">
        <f>IF('Equipment Information'!A33="","", 'Equipment Information'!A33)</f>
        <v/>
      </c>
      <c r="B33">
        <f>IF('Equipment Information'!B33="","", 'Equipment Information'!B33)</f>
        <v/>
      </c>
      <c r="C33">
        <f>IF('Equipment Information'!C33="","", 'Equipment Information'!C33)</f>
        <v/>
      </c>
      <c r="G33">
        <f>IF(A33="","","N/A")</f>
        <v/>
      </c>
    </row>
    <row r="34">
      <c r="A34">
        <f>IF('Equipment Information'!A34="","", 'Equipment Information'!A34)</f>
        <v/>
      </c>
      <c r="B34">
        <f>IF('Equipment Information'!B34="","", 'Equipment Information'!B34)</f>
        <v/>
      </c>
      <c r="C34">
        <f>IF('Equipment Information'!C34="","", 'Equipment Information'!C34)</f>
        <v/>
      </c>
      <c r="G34">
        <f>IF(A34="","","N/A")</f>
        <v/>
      </c>
    </row>
    <row r="35">
      <c r="A35">
        <f>IF('Equipment Information'!A35="","", 'Equipment Information'!A35)</f>
        <v/>
      </c>
      <c r="B35">
        <f>IF('Equipment Information'!B35="","", 'Equipment Information'!B35)</f>
        <v/>
      </c>
      <c r="C35">
        <f>IF('Equipment Information'!C35="","", 'Equipment Information'!C35)</f>
        <v/>
      </c>
      <c r="G35">
        <f>IF(A35="","","N/A")</f>
        <v/>
      </c>
    </row>
    <row r="36">
      <c r="A36">
        <f>IF('Equipment Information'!A36="","", 'Equipment Information'!A36)</f>
        <v/>
      </c>
      <c r="B36">
        <f>IF('Equipment Information'!B36="","", 'Equipment Information'!B36)</f>
        <v/>
      </c>
      <c r="C36">
        <f>IF('Equipment Information'!C36="","", 'Equipment Information'!C36)</f>
        <v/>
      </c>
      <c r="G36">
        <f>IF(A36="","","N/A")</f>
        <v/>
      </c>
    </row>
    <row r="37">
      <c r="A37">
        <f>IF('Equipment Information'!A37="","", 'Equipment Information'!A37)</f>
        <v/>
      </c>
      <c r="B37">
        <f>IF('Equipment Information'!B37="","", 'Equipment Information'!B37)</f>
        <v/>
      </c>
      <c r="C37">
        <f>IF('Equipment Information'!C37="","", 'Equipment Information'!C37)</f>
        <v/>
      </c>
      <c r="G37">
        <f>IF(A37="","","N/A")</f>
        <v/>
      </c>
    </row>
    <row r="38">
      <c r="A38">
        <f>IF('Equipment Information'!A38="","", 'Equipment Information'!A38)</f>
        <v/>
      </c>
      <c r="B38">
        <f>IF('Equipment Information'!B38="","", 'Equipment Information'!B38)</f>
        <v/>
      </c>
      <c r="C38">
        <f>IF('Equipment Information'!C38="","", 'Equipment Information'!C38)</f>
        <v/>
      </c>
      <c r="G38">
        <f>IF(A38="","","N/A")</f>
        <v/>
      </c>
    </row>
    <row r="39">
      <c r="A39">
        <f>IF('Equipment Information'!A39="","", 'Equipment Information'!A39)</f>
        <v/>
      </c>
      <c r="B39">
        <f>IF('Equipment Information'!B39="","", 'Equipment Information'!B39)</f>
        <v/>
      </c>
      <c r="C39">
        <f>IF('Equipment Information'!C39="","", 'Equipment Information'!C39)</f>
        <v/>
      </c>
      <c r="G39">
        <f>IF(A39="","","N/A")</f>
        <v/>
      </c>
    </row>
    <row r="40">
      <c r="A40">
        <f>IF('Equipment Information'!A40="","", 'Equipment Information'!A40)</f>
        <v/>
      </c>
      <c r="B40">
        <f>IF('Equipment Information'!B40="","", 'Equipment Information'!B40)</f>
        <v/>
      </c>
      <c r="C40">
        <f>IF('Equipment Information'!C40="","", 'Equipment Information'!C40)</f>
        <v/>
      </c>
      <c r="G40">
        <f>IF(A40="","","N/A")</f>
        <v/>
      </c>
    </row>
    <row r="41">
      <c r="A41">
        <f>IF('Equipment Information'!A41="","", 'Equipment Information'!A41)</f>
        <v/>
      </c>
      <c r="B41">
        <f>IF('Equipment Information'!B41="","", 'Equipment Information'!B41)</f>
        <v/>
      </c>
      <c r="C41">
        <f>IF('Equipment Information'!C41="","", 'Equipment Information'!C41)</f>
        <v/>
      </c>
      <c r="G41">
        <f>IF(A41="","","N/A")</f>
        <v/>
      </c>
    </row>
    <row r="42">
      <c r="A42">
        <f>IF('Equipment Information'!A42="","", 'Equipment Information'!A42)</f>
        <v/>
      </c>
      <c r="B42">
        <f>IF('Equipment Information'!B42="","", 'Equipment Information'!B42)</f>
        <v/>
      </c>
      <c r="C42">
        <f>IF('Equipment Information'!C42="","", 'Equipment Information'!C42)</f>
        <v/>
      </c>
      <c r="G42">
        <f>IF(A42="","","N/A")</f>
        <v/>
      </c>
    </row>
    <row r="43">
      <c r="A43">
        <f>IF('Equipment Information'!A43="","", 'Equipment Information'!A43)</f>
        <v/>
      </c>
      <c r="B43">
        <f>IF('Equipment Information'!B43="","", 'Equipment Information'!B43)</f>
        <v/>
      </c>
      <c r="C43">
        <f>IF('Equipment Information'!C43="","", 'Equipment Information'!C43)</f>
        <v/>
      </c>
      <c r="G43">
        <f>IF(A43="","","N/A")</f>
        <v/>
      </c>
    </row>
    <row r="44">
      <c r="A44">
        <f>IF('Equipment Information'!A44="","", 'Equipment Information'!A44)</f>
        <v/>
      </c>
      <c r="B44">
        <f>IF('Equipment Information'!B44="","", 'Equipment Information'!B44)</f>
        <v/>
      </c>
      <c r="C44">
        <f>IF('Equipment Information'!C44="","", 'Equipment Information'!C44)</f>
        <v/>
      </c>
      <c r="G44">
        <f>IF(A44="","","N/A")</f>
        <v/>
      </c>
    </row>
    <row r="45">
      <c r="A45">
        <f>IF('Equipment Information'!A45="","", 'Equipment Information'!A45)</f>
        <v/>
      </c>
      <c r="B45">
        <f>IF('Equipment Information'!B45="","", 'Equipment Information'!B45)</f>
        <v/>
      </c>
      <c r="C45">
        <f>IF('Equipment Information'!C45="","", 'Equipment Information'!C45)</f>
        <v/>
      </c>
      <c r="G45">
        <f>IF(A45="","","N/A")</f>
        <v/>
      </c>
    </row>
    <row r="46">
      <c r="A46">
        <f>IF('Equipment Information'!A46="","", 'Equipment Information'!A46)</f>
        <v/>
      </c>
      <c r="B46">
        <f>IF('Equipment Information'!B46="","", 'Equipment Information'!B46)</f>
        <v/>
      </c>
      <c r="C46">
        <f>IF('Equipment Information'!C46="","", 'Equipment Information'!C46)</f>
        <v/>
      </c>
      <c r="G46">
        <f>IF(A46="","","N/A")</f>
        <v/>
      </c>
    </row>
    <row r="47">
      <c r="A47">
        <f>IF('Equipment Information'!A47="","", 'Equipment Information'!A47)</f>
        <v/>
      </c>
      <c r="B47">
        <f>IF('Equipment Information'!B47="","", 'Equipment Information'!B47)</f>
        <v/>
      </c>
      <c r="C47">
        <f>IF('Equipment Information'!C47="","", 'Equipment Information'!C47)</f>
        <v/>
      </c>
      <c r="G47">
        <f>IF(A47="","","N/A")</f>
        <v/>
      </c>
    </row>
    <row r="48">
      <c r="A48">
        <f>IF('Equipment Information'!A48="","", 'Equipment Information'!A48)</f>
        <v/>
      </c>
      <c r="B48">
        <f>IF('Equipment Information'!B48="","", 'Equipment Information'!B48)</f>
        <v/>
      </c>
      <c r="C48">
        <f>IF('Equipment Information'!C48="","", 'Equipment Information'!C48)</f>
        <v/>
      </c>
      <c r="G48">
        <f>IF(A48="","","N/A")</f>
        <v/>
      </c>
    </row>
    <row r="49">
      <c r="A49">
        <f>IF('Equipment Information'!A49="","", 'Equipment Information'!A49)</f>
        <v/>
      </c>
      <c r="B49">
        <f>IF('Equipment Information'!B49="","", 'Equipment Information'!B49)</f>
        <v/>
      </c>
      <c r="C49">
        <f>IF('Equipment Information'!C49="","", 'Equipment Information'!C49)</f>
        <v/>
      </c>
      <c r="G49">
        <f>IF(A49="","","N/A")</f>
        <v/>
      </c>
    </row>
    <row r="50">
      <c r="A50">
        <f>IF('Equipment Information'!A50="","", 'Equipment Information'!A50)</f>
        <v/>
      </c>
      <c r="B50">
        <f>IF('Equipment Information'!B50="","", 'Equipment Information'!B50)</f>
        <v/>
      </c>
      <c r="C50">
        <f>IF('Equipment Information'!C50="","", 'Equipment Information'!C50)</f>
        <v/>
      </c>
      <c r="G50">
        <f>IF(A50="","","N/A")</f>
        <v/>
      </c>
    </row>
    <row r="51">
      <c r="A51">
        <f>IF('Equipment Information'!A51="","", 'Equipment Information'!A51)</f>
        <v/>
      </c>
      <c r="B51">
        <f>IF('Equipment Information'!B51="","", 'Equipment Information'!B51)</f>
        <v/>
      </c>
      <c r="C51">
        <f>IF('Equipment Information'!C51="","", 'Equipment Information'!C51)</f>
        <v/>
      </c>
      <c r="G51">
        <f>IF(A51="","","N/A")</f>
        <v/>
      </c>
    </row>
    <row r="52">
      <c r="A52">
        <f>IF('Equipment Information'!A52="","", 'Equipment Information'!A52)</f>
        <v/>
      </c>
      <c r="B52">
        <f>IF('Equipment Information'!B52="","", 'Equipment Information'!B52)</f>
        <v/>
      </c>
      <c r="C52">
        <f>IF('Equipment Information'!C52="","", 'Equipment Information'!C52)</f>
        <v/>
      </c>
      <c r="G52">
        <f>IF(A52="","","N/A")</f>
        <v/>
      </c>
    </row>
    <row r="53">
      <c r="A53">
        <f>IF('Equipment Information'!A53="","", 'Equipment Information'!A53)</f>
        <v/>
      </c>
      <c r="B53">
        <f>IF('Equipment Information'!B53="","", 'Equipment Information'!B53)</f>
        <v/>
      </c>
      <c r="C53">
        <f>IF('Equipment Information'!C53="","", 'Equipment Information'!C53)</f>
        <v/>
      </c>
      <c r="G53">
        <f>IF(A53="","","N/A")</f>
        <v/>
      </c>
    </row>
    <row r="54">
      <c r="A54">
        <f>IF('Equipment Information'!A54="","", 'Equipment Information'!A54)</f>
        <v/>
      </c>
      <c r="B54">
        <f>IF('Equipment Information'!B54="","", 'Equipment Information'!B54)</f>
        <v/>
      </c>
      <c r="C54">
        <f>IF('Equipment Information'!C54="","", 'Equipment Information'!C54)</f>
        <v/>
      </c>
      <c r="G54">
        <f>IF(A54="","","N/A")</f>
        <v/>
      </c>
    </row>
    <row r="55">
      <c r="A55">
        <f>IF('Equipment Information'!A55="","", 'Equipment Information'!A55)</f>
        <v/>
      </c>
      <c r="B55">
        <f>IF('Equipment Information'!B55="","", 'Equipment Information'!B55)</f>
        <v/>
      </c>
      <c r="C55">
        <f>IF('Equipment Information'!C55="","", 'Equipment Information'!C55)</f>
        <v/>
      </c>
      <c r="G55">
        <f>IF(A55="","","N/A")</f>
        <v/>
      </c>
    </row>
    <row r="56">
      <c r="A56">
        <f>IF('Equipment Information'!A56="","", 'Equipment Information'!A56)</f>
        <v/>
      </c>
      <c r="B56">
        <f>IF('Equipment Information'!B56="","", 'Equipment Information'!B56)</f>
        <v/>
      </c>
      <c r="C56">
        <f>IF('Equipment Information'!C56="","", 'Equipment Information'!C56)</f>
        <v/>
      </c>
      <c r="G56">
        <f>IF(A56="","","N/A")</f>
        <v/>
      </c>
    </row>
    <row r="57">
      <c r="A57">
        <f>IF('Equipment Information'!A57="","", 'Equipment Information'!A57)</f>
        <v/>
      </c>
      <c r="B57">
        <f>IF('Equipment Information'!B57="","", 'Equipment Information'!B57)</f>
        <v/>
      </c>
      <c r="C57">
        <f>IF('Equipment Information'!C57="","", 'Equipment Information'!C57)</f>
        <v/>
      </c>
      <c r="G57">
        <f>IF(A57="","","N/A")</f>
        <v/>
      </c>
    </row>
    <row r="58">
      <c r="A58">
        <f>IF('Equipment Information'!A58="","", 'Equipment Information'!A58)</f>
        <v/>
      </c>
      <c r="B58">
        <f>IF('Equipment Information'!B58="","", 'Equipment Information'!B58)</f>
        <v/>
      </c>
      <c r="C58">
        <f>IF('Equipment Information'!C58="","", 'Equipment Information'!C58)</f>
        <v/>
      </c>
      <c r="G58">
        <f>IF(A58="","","N/A")</f>
        <v/>
      </c>
    </row>
    <row r="59">
      <c r="A59">
        <f>IF('Equipment Information'!A59="","", 'Equipment Information'!A59)</f>
        <v/>
      </c>
      <c r="B59">
        <f>IF('Equipment Information'!B59="","", 'Equipment Information'!B59)</f>
        <v/>
      </c>
      <c r="C59">
        <f>IF('Equipment Information'!C59="","", 'Equipment Information'!C59)</f>
        <v/>
      </c>
      <c r="G59">
        <f>IF(A59="","","N/A")</f>
        <v/>
      </c>
    </row>
    <row r="60">
      <c r="A60">
        <f>IF('Equipment Information'!A60="","", 'Equipment Information'!A60)</f>
        <v/>
      </c>
      <c r="B60">
        <f>IF('Equipment Information'!B60="","", 'Equipment Information'!B60)</f>
        <v/>
      </c>
      <c r="C60">
        <f>IF('Equipment Information'!C60="","", 'Equipment Information'!C60)</f>
        <v/>
      </c>
      <c r="G60">
        <f>IF(A60="","","N/A")</f>
        <v/>
      </c>
    </row>
    <row r="61">
      <c r="A61">
        <f>IF('Equipment Information'!A61="","", 'Equipment Information'!A61)</f>
        <v/>
      </c>
      <c r="B61">
        <f>IF('Equipment Information'!B61="","", 'Equipment Information'!B61)</f>
        <v/>
      </c>
      <c r="C61">
        <f>IF('Equipment Information'!C61="","", 'Equipment Information'!C61)</f>
        <v/>
      </c>
      <c r="G61">
        <f>IF(A61="","","N/A")</f>
        <v/>
      </c>
    </row>
    <row r="62">
      <c r="A62">
        <f>IF('Equipment Information'!A62="","", 'Equipment Information'!A62)</f>
        <v/>
      </c>
      <c r="B62">
        <f>IF('Equipment Information'!B62="","", 'Equipment Information'!B62)</f>
        <v/>
      </c>
      <c r="C62">
        <f>IF('Equipment Information'!C62="","", 'Equipment Information'!C62)</f>
        <v/>
      </c>
      <c r="G62">
        <f>IF(A62="","","N/A")</f>
        <v/>
      </c>
    </row>
    <row r="63">
      <c r="A63">
        <f>IF('Equipment Information'!A63="","", 'Equipment Information'!A63)</f>
        <v/>
      </c>
      <c r="B63">
        <f>IF('Equipment Information'!B63="","", 'Equipment Information'!B63)</f>
        <v/>
      </c>
      <c r="C63">
        <f>IF('Equipment Information'!C63="","", 'Equipment Information'!C63)</f>
        <v/>
      </c>
      <c r="G63">
        <f>IF(A63="","","N/A")</f>
        <v/>
      </c>
    </row>
    <row r="64">
      <c r="A64">
        <f>IF('Equipment Information'!A64="","", 'Equipment Information'!A64)</f>
        <v/>
      </c>
      <c r="B64">
        <f>IF('Equipment Information'!B64="","", 'Equipment Information'!B64)</f>
        <v/>
      </c>
      <c r="C64">
        <f>IF('Equipment Information'!C64="","", 'Equipment Information'!C64)</f>
        <v/>
      </c>
      <c r="G64">
        <f>IF(A64="","","N/A")</f>
        <v/>
      </c>
    </row>
    <row r="65">
      <c r="A65">
        <f>IF('Equipment Information'!A65="","", 'Equipment Information'!A65)</f>
        <v/>
      </c>
      <c r="B65">
        <f>IF('Equipment Information'!B65="","", 'Equipment Information'!B65)</f>
        <v/>
      </c>
      <c r="C65">
        <f>IF('Equipment Information'!C65="","", 'Equipment Information'!C65)</f>
        <v/>
      </c>
      <c r="G65">
        <f>IF(A65="","","N/A")</f>
        <v/>
      </c>
    </row>
    <row r="66">
      <c r="A66">
        <f>IF('Equipment Information'!A66="","", 'Equipment Information'!A66)</f>
        <v/>
      </c>
      <c r="B66">
        <f>IF('Equipment Information'!B66="","", 'Equipment Information'!B66)</f>
        <v/>
      </c>
      <c r="C66">
        <f>IF('Equipment Information'!C66="","", 'Equipment Information'!C66)</f>
        <v/>
      </c>
      <c r="G66">
        <f>IF(A66="","","N/A")</f>
        <v/>
      </c>
    </row>
    <row r="67">
      <c r="A67">
        <f>IF('Equipment Information'!A67="","", 'Equipment Information'!A67)</f>
        <v/>
      </c>
      <c r="B67">
        <f>IF('Equipment Information'!B67="","", 'Equipment Information'!B67)</f>
        <v/>
      </c>
      <c r="C67">
        <f>IF('Equipment Information'!C67="","", 'Equipment Information'!C67)</f>
        <v/>
      </c>
      <c r="G67">
        <f>IF(A67="","","N/A")</f>
        <v/>
      </c>
    </row>
    <row r="68">
      <c r="A68">
        <f>IF('Equipment Information'!A68="","", 'Equipment Information'!A68)</f>
        <v/>
      </c>
      <c r="B68">
        <f>IF('Equipment Information'!B68="","", 'Equipment Information'!B68)</f>
        <v/>
      </c>
      <c r="C68">
        <f>IF('Equipment Information'!C68="","", 'Equipment Information'!C68)</f>
        <v/>
      </c>
      <c r="G68">
        <f>IF(A68="","","N/A")</f>
        <v/>
      </c>
    </row>
    <row r="69">
      <c r="A69">
        <f>IF('Equipment Information'!A69="","", 'Equipment Information'!A69)</f>
        <v/>
      </c>
      <c r="B69">
        <f>IF('Equipment Information'!B69="","", 'Equipment Information'!B69)</f>
        <v/>
      </c>
      <c r="C69">
        <f>IF('Equipment Information'!C69="","", 'Equipment Information'!C69)</f>
        <v/>
      </c>
      <c r="G69">
        <f>IF(A69="","","N/A")</f>
        <v/>
      </c>
    </row>
    <row r="70">
      <c r="A70">
        <f>IF('Equipment Information'!A70="","", 'Equipment Information'!A70)</f>
        <v/>
      </c>
      <c r="B70">
        <f>IF('Equipment Information'!B70="","", 'Equipment Information'!B70)</f>
        <v/>
      </c>
      <c r="C70">
        <f>IF('Equipment Information'!C70="","", 'Equipment Information'!C70)</f>
        <v/>
      </c>
      <c r="G70">
        <f>IF(A70="","","N/A")</f>
        <v/>
      </c>
    </row>
    <row r="71">
      <c r="A71">
        <f>IF('Equipment Information'!A71="","", 'Equipment Information'!A71)</f>
        <v/>
      </c>
      <c r="B71">
        <f>IF('Equipment Information'!B71="","", 'Equipment Information'!B71)</f>
        <v/>
      </c>
      <c r="C71">
        <f>IF('Equipment Information'!C71="","", 'Equipment Information'!C71)</f>
        <v/>
      </c>
      <c r="G71">
        <f>IF(A71="","","N/A")</f>
        <v/>
      </c>
    </row>
    <row r="72">
      <c r="A72">
        <f>IF('Equipment Information'!A72="","", 'Equipment Information'!A72)</f>
        <v/>
      </c>
      <c r="B72">
        <f>IF('Equipment Information'!B72="","", 'Equipment Information'!B72)</f>
        <v/>
      </c>
      <c r="C72">
        <f>IF('Equipment Information'!C72="","", 'Equipment Information'!C72)</f>
        <v/>
      </c>
      <c r="G72">
        <f>IF(A72="","","N/A")</f>
        <v/>
      </c>
    </row>
    <row r="73">
      <c r="A73">
        <f>IF('Equipment Information'!A73="","", 'Equipment Information'!A73)</f>
        <v/>
      </c>
      <c r="B73">
        <f>IF('Equipment Information'!B73="","", 'Equipment Information'!B73)</f>
        <v/>
      </c>
      <c r="C73">
        <f>IF('Equipment Information'!C73="","", 'Equipment Information'!C73)</f>
        <v/>
      </c>
      <c r="G73">
        <f>IF(A73="","","N/A")</f>
        <v/>
      </c>
    </row>
    <row r="74">
      <c r="A74">
        <f>IF('Equipment Information'!A74="","", 'Equipment Information'!A74)</f>
        <v/>
      </c>
      <c r="B74">
        <f>IF('Equipment Information'!B74="","", 'Equipment Information'!B74)</f>
        <v/>
      </c>
      <c r="C74">
        <f>IF('Equipment Information'!C74="","", 'Equipment Information'!C74)</f>
        <v/>
      </c>
      <c r="G74">
        <f>IF(A74="","","N/A")</f>
        <v/>
      </c>
    </row>
    <row r="75">
      <c r="A75">
        <f>IF('Equipment Information'!A75="","", 'Equipment Information'!A75)</f>
        <v/>
      </c>
      <c r="B75">
        <f>IF('Equipment Information'!B75="","", 'Equipment Information'!B75)</f>
        <v/>
      </c>
      <c r="C75">
        <f>IF('Equipment Information'!C75="","", 'Equipment Information'!C75)</f>
        <v/>
      </c>
      <c r="G75">
        <f>IF(A75="","","N/A")</f>
        <v/>
      </c>
    </row>
    <row r="76">
      <c r="A76">
        <f>IF('Equipment Information'!A76="","", 'Equipment Information'!A76)</f>
        <v/>
      </c>
      <c r="B76">
        <f>IF('Equipment Information'!B76="","", 'Equipment Information'!B76)</f>
        <v/>
      </c>
      <c r="C76">
        <f>IF('Equipment Information'!C76="","", 'Equipment Information'!C76)</f>
        <v/>
      </c>
      <c r="G76">
        <f>IF(A76="","","N/A")</f>
        <v/>
      </c>
    </row>
    <row r="77">
      <c r="A77">
        <f>IF('Equipment Information'!A77="","", 'Equipment Information'!A77)</f>
        <v/>
      </c>
      <c r="B77">
        <f>IF('Equipment Information'!B77="","", 'Equipment Information'!B77)</f>
        <v/>
      </c>
      <c r="C77">
        <f>IF('Equipment Information'!C77="","", 'Equipment Information'!C77)</f>
        <v/>
      </c>
      <c r="G77">
        <f>IF(A77="","","N/A")</f>
        <v/>
      </c>
    </row>
    <row r="78">
      <c r="A78">
        <f>IF('Equipment Information'!A78="","", 'Equipment Information'!A78)</f>
        <v/>
      </c>
      <c r="B78">
        <f>IF('Equipment Information'!B78="","", 'Equipment Information'!B78)</f>
        <v/>
      </c>
      <c r="C78">
        <f>IF('Equipment Information'!C78="","", 'Equipment Information'!C78)</f>
        <v/>
      </c>
      <c r="G78">
        <f>IF(A78="","","N/A")</f>
        <v/>
      </c>
    </row>
    <row r="79">
      <c r="A79">
        <f>IF('Equipment Information'!A79="","", 'Equipment Information'!A79)</f>
        <v/>
      </c>
      <c r="B79">
        <f>IF('Equipment Information'!B79="","", 'Equipment Information'!B79)</f>
        <v/>
      </c>
      <c r="C79">
        <f>IF('Equipment Information'!C79="","", 'Equipment Information'!C79)</f>
        <v/>
      </c>
      <c r="G79">
        <f>IF(A79="","","N/A")</f>
        <v/>
      </c>
    </row>
    <row r="80">
      <c r="A80">
        <f>IF('Equipment Information'!A80="","", 'Equipment Information'!A80)</f>
        <v/>
      </c>
      <c r="B80">
        <f>IF('Equipment Information'!B80="","", 'Equipment Information'!B80)</f>
        <v/>
      </c>
      <c r="C80">
        <f>IF('Equipment Information'!C80="","", 'Equipment Information'!C80)</f>
        <v/>
      </c>
      <c r="G80">
        <f>IF(A80="","","N/A")</f>
        <v/>
      </c>
    </row>
    <row r="81">
      <c r="A81">
        <f>IF('Equipment Information'!A81="","", 'Equipment Information'!A81)</f>
        <v/>
      </c>
      <c r="B81">
        <f>IF('Equipment Information'!B81="","", 'Equipment Information'!B81)</f>
        <v/>
      </c>
      <c r="C81">
        <f>IF('Equipment Information'!C81="","", 'Equipment Information'!C81)</f>
        <v/>
      </c>
      <c r="G81">
        <f>IF(A81="","","N/A")</f>
        <v/>
      </c>
    </row>
    <row r="82">
      <c r="A82">
        <f>IF('Equipment Information'!A82="","", 'Equipment Information'!A82)</f>
        <v/>
      </c>
      <c r="B82">
        <f>IF('Equipment Information'!B82="","", 'Equipment Information'!B82)</f>
        <v/>
      </c>
      <c r="C82">
        <f>IF('Equipment Information'!C82="","", 'Equipment Information'!C82)</f>
        <v/>
      </c>
      <c r="G82">
        <f>IF(A82="","","N/A")</f>
        <v/>
      </c>
    </row>
    <row r="83">
      <c r="A83">
        <f>IF('Equipment Information'!A83="","", 'Equipment Information'!A83)</f>
        <v/>
      </c>
      <c r="B83">
        <f>IF('Equipment Information'!B83="","", 'Equipment Information'!B83)</f>
        <v/>
      </c>
      <c r="C83">
        <f>IF('Equipment Information'!C83="","", 'Equipment Information'!C83)</f>
        <v/>
      </c>
      <c r="G83">
        <f>IF(A83="","","N/A")</f>
        <v/>
      </c>
    </row>
    <row r="84">
      <c r="A84">
        <f>IF('Equipment Information'!A84="","", 'Equipment Information'!A84)</f>
        <v/>
      </c>
      <c r="B84">
        <f>IF('Equipment Information'!B84="","", 'Equipment Information'!B84)</f>
        <v/>
      </c>
      <c r="C84">
        <f>IF('Equipment Information'!C84="","", 'Equipment Information'!C84)</f>
        <v/>
      </c>
      <c r="G84">
        <f>IF(A84="","","N/A")</f>
        <v/>
      </c>
    </row>
    <row r="85">
      <c r="A85">
        <f>IF('Equipment Information'!A85="","", 'Equipment Information'!A85)</f>
        <v/>
      </c>
      <c r="B85">
        <f>IF('Equipment Information'!B85="","", 'Equipment Information'!B85)</f>
        <v/>
      </c>
      <c r="C85">
        <f>IF('Equipment Information'!C85="","", 'Equipment Information'!C85)</f>
        <v/>
      </c>
      <c r="G85">
        <f>IF(A85="","","N/A")</f>
        <v/>
      </c>
    </row>
    <row r="86">
      <c r="A86">
        <f>IF('Equipment Information'!A86="","", 'Equipment Information'!A86)</f>
        <v/>
      </c>
      <c r="B86">
        <f>IF('Equipment Information'!B86="","", 'Equipment Information'!B86)</f>
        <v/>
      </c>
      <c r="C86">
        <f>IF('Equipment Information'!C86="","", 'Equipment Information'!C86)</f>
        <v/>
      </c>
      <c r="G86">
        <f>IF(A86="","","N/A")</f>
        <v/>
      </c>
    </row>
    <row r="87">
      <c r="A87">
        <f>IF('Equipment Information'!A87="","", 'Equipment Information'!A87)</f>
        <v/>
      </c>
      <c r="B87">
        <f>IF('Equipment Information'!B87="","", 'Equipment Information'!B87)</f>
        <v/>
      </c>
      <c r="C87">
        <f>IF('Equipment Information'!C87="","", 'Equipment Information'!C87)</f>
        <v/>
      </c>
      <c r="G87">
        <f>IF(A87="","","N/A")</f>
        <v/>
      </c>
    </row>
    <row r="88">
      <c r="A88">
        <f>IF('Equipment Information'!A88="","", 'Equipment Information'!A88)</f>
        <v/>
      </c>
      <c r="B88">
        <f>IF('Equipment Information'!B88="","", 'Equipment Information'!B88)</f>
        <v/>
      </c>
      <c r="C88">
        <f>IF('Equipment Information'!C88="","", 'Equipment Information'!C88)</f>
        <v/>
      </c>
      <c r="G88">
        <f>IF(A88="","","N/A")</f>
        <v/>
      </c>
    </row>
    <row r="89">
      <c r="A89">
        <f>IF('Equipment Information'!A89="","", 'Equipment Information'!A89)</f>
        <v/>
      </c>
      <c r="B89">
        <f>IF('Equipment Information'!B89="","", 'Equipment Information'!B89)</f>
        <v/>
      </c>
      <c r="C89">
        <f>IF('Equipment Information'!C89="","", 'Equipment Information'!C89)</f>
        <v/>
      </c>
      <c r="G89">
        <f>IF(A89="","","N/A")</f>
        <v/>
      </c>
    </row>
    <row r="90">
      <c r="A90">
        <f>IF('Equipment Information'!A90="","", 'Equipment Information'!A90)</f>
        <v/>
      </c>
      <c r="B90">
        <f>IF('Equipment Information'!B90="","", 'Equipment Information'!B90)</f>
        <v/>
      </c>
      <c r="C90">
        <f>IF('Equipment Information'!C90="","", 'Equipment Information'!C90)</f>
        <v/>
      </c>
      <c r="G90">
        <f>IF(A90="","","N/A")</f>
        <v/>
      </c>
    </row>
    <row r="91">
      <c r="A91">
        <f>IF('Equipment Information'!A91="","", 'Equipment Information'!A91)</f>
        <v/>
      </c>
      <c r="B91">
        <f>IF('Equipment Information'!B91="","", 'Equipment Information'!B91)</f>
        <v/>
      </c>
      <c r="C91">
        <f>IF('Equipment Information'!C91="","", 'Equipment Information'!C91)</f>
        <v/>
      </c>
      <c r="G91">
        <f>IF(A91="","","N/A")</f>
        <v/>
      </c>
    </row>
    <row r="92">
      <c r="A92">
        <f>IF('Equipment Information'!A92="","", 'Equipment Information'!A92)</f>
        <v/>
      </c>
      <c r="B92">
        <f>IF('Equipment Information'!B92="","", 'Equipment Information'!B92)</f>
        <v/>
      </c>
      <c r="C92">
        <f>IF('Equipment Information'!C92="","", 'Equipment Information'!C92)</f>
        <v/>
      </c>
      <c r="G92">
        <f>IF(A92="","","N/A")</f>
        <v/>
      </c>
    </row>
    <row r="93">
      <c r="A93">
        <f>IF('Equipment Information'!A93="","", 'Equipment Information'!A93)</f>
        <v/>
      </c>
      <c r="B93">
        <f>IF('Equipment Information'!B93="","", 'Equipment Information'!B93)</f>
        <v/>
      </c>
      <c r="C93">
        <f>IF('Equipment Information'!C93="","", 'Equipment Information'!C93)</f>
        <v/>
      </c>
      <c r="G93">
        <f>IF(A93="","","N/A")</f>
        <v/>
      </c>
    </row>
    <row r="94">
      <c r="A94">
        <f>IF('Equipment Information'!A94="","", 'Equipment Information'!A94)</f>
        <v/>
      </c>
      <c r="B94">
        <f>IF('Equipment Information'!B94="","", 'Equipment Information'!B94)</f>
        <v/>
      </c>
      <c r="C94">
        <f>IF('Equipment Information'!C94="","", 'Equipment Information'!C94)</f>
        <v/>
      </c>
      <c r="G94">
        <f>IF(A94="","","N/A")</f>
        <v/>
      </c>
    </row>
    <row r="95">
      <c r="A95">
        <f>IF('Equipment Information'!A95="","", 'Equipment Information'!A95)</f>
        <v/>
      </c>
      <c r="B95">
        <f>IF('Equipment Information'!B95="","", 'Equipment Information'!B95)</f>
        <v/>
      </c>
      <c r="C95">
        <f>IF('Equipment Information'!C95="","", 'Equipment Information'!C95)</f>
        <v/>
      </c>
      <c r="G95">
        <f>IF(A95="","","N/A")</f>
        <v/>
      </c>
    </row>
    <row r="96">
      <c r="A96">
        <f>IF('Equipment Information'!A96="","", 'Equipment Information'!A96)</f>
        <v/>
      </c>
      <c r="B96">
        <f>IF('Equipment Information'!B96="","", 'Equipment Information'!B96)</f>
        <v/>
      </c>
      <c r="C96">
        <f>IF('Equipment Information'!C96="","", 'Equipment Information'!C96)</f>
        <v/>
      </c>
      <c r="G96">
        <f>IF(A96="","","N/A")</f>
        <v/>
      </c>
    </row>
    <row r="97">
      <c r="A97">
        <f>IF('Equipment Information'!A97="","", 'Equipment Information'!A97)</f>
        <v/>
      </c>
      <c r="B97">
        <f>IF('Equipment Information'!B97="","", 'Equipment Information'!B97)</f>
        <v/>
      </c>
      <c r="C97">
        <f>IF('Equipment Information'!C97="","", 'Equipment Information'!C97)</f>
        <v/>
      </c>
      <c r="G97">
        <f>IF(A97="","","N/A")</f>
        <v/>
      </c>
    </row>
    <row r="98">
      <c r="A98">
        <f>IF('Equipment Information'!A98="","", 'Equipment Information'!A98)</f>
        <v/>
      </c>
      <c r="B98">
        <f>IF('Equipment Information'!B98="","", 'Equipment Information'!B98)</f>
        <v/>
      </c>
      <c r="C98">
        <f>IF('Equipment Information'!C98="","", 'Equipment Information'!C98)</f>
        <v/>
      </c>
      <c r="G98">
        <f>IF(A98="","","N/A")</f>
        <v/>
      </c>
    </row>
    <row r="99">
      <c r="A99">
        <f>IF('Equipment Information'!A99="","", 'Equipment Information'!A99)</f>
        <v/>
      </c>
      <c r="B99">
        <f>IF('Equipment Information'!B99="","", 'Equipment Information'!B99)</f>
        <v/>
      </c>
      <c r="C99">
        <f>IF('Equipment Information'!C99="","", 'Equipment Information'!C99)</f>
        <v/>
      </c>
      <c r="G99">
        <f>IF(A99="","","N/A")</f>
        <v/>
      </c>
    </row>
    <row r="100">
      <c r="A100">
        <f>IF('Equipment Information'!A100="","", 'Equipment Information'!A100)</f>
        <v/>
      </c>
      <c r="B100">
        <f>IF('Equipment Information'!B100="","", 'Equipment Information'!B100)</f>
        <v/>
      </c>
      <c r="C100">
        <f>IF('Equipment Information'!C100="","", 'Equipment Information'!C100)</f>
        <v/>
      </c>
      <c r="G100">
        <f>IF(A100="","","N/A")</f>
        <v/>
      </c>
    </row>
    <row r="101">
      <c r="A101">
        <f>IF('Equipment Information'!A101="","", 'Equipment Information'!A101)</f>
        <v/>
      </c>
      <c r="B101">
        <f>IF('Equipment Information'!B101="","", 'Equipment Information'!B101)</f>
        <v/>
      </c>
      <c r="C101">
        <f>IF('Equipment Information'!C101="","", 'Equipment Information'!C101)</f>
        <v/>
      </c>
      <c r="G101">
        <f>IF(A101="","","N/A")</f>
        <v/>
      </c>
    </row>
    <row r="102">
      <c r="A102">
        <f>IF('Equipment Information'!A102="","", 'Equipment Information'!A102)</f>
        <v/>
      </c>
      <c r="B102">
        <f>IF('Equipment Information'!B102="","", 'Equipment Information'!B102)</f>
        <v/>
      </c>
      <c r="C102">
        <f>IF('Equipment Information'!C102="","", 'Equipment Information'!C102)</f>
        <v/>
      </c>
      <c r="G102">
        <f>IF(A102="","","N/A")</f>
        <v/>
      </c>
    </row>
    <row r="103">
      <c r="A103">
        <f>IF('Equipment Information'!A103="","", 'Equipment Information'!A103)</f>
        <v/>
      </c>
      <c r="B103">
        <f>IF('Equipment Information'!B103="","", 'Equipment Information'!B103)</f>
        <v/>
      </c>
      <c r="C103">
        <f>IF('Equipment Information'!C103="","", 'Equipment Information'!C103)</f>
        <v/>
      </c>
      <c r="G103">
        <f>IF(A103="","","N/A")</f>
        <v/>
      </c>
    </row>
    <row r="104">
      <c r="A104">
        <f>IF('Equipment Information'!A104="","", 'Equipment Information'!A104)</f>
        <v/>
      </c>
      <c r="B104">
        <f>IF('Equipment Information'!B104="","", 'Equipment Information'!B104)</f>
        <v/>
      </c>
      <c r="C104">
        <f>IF('Equipment Information'!C104="","", 'Equipment Information'!C104)</f>
        <v/>
      </c>
      <c r="G104">
        <f>IF(A104="","","N/A")</f>
        <v/>
      </c>
    </row>
    <row r="105">
      <c r="A105">
        <f>IF('Equipment Information'!A105="","", 'Equipment Information'!A105)</f>
        <v/>
      </c>
      <c r="B105">
        <f>IF('Equipment Information'!B105="","", 'Equipment Information'!B105)</f>
        <v/>
      </c>
      <c r="C105">
        <f>IF('Equipment Information'!C105="","", 'Equipment Information'!C105)</f>
        <v/>
      </c>
      <c r="G105">
        <f>IF(A105="","","N/A")</f>
        <v/>
      </c>
    </row>
    <row r="106">
      <c r="A106">
        <f>IF('Equipment Information'!A106="","", 'Equipment Information'!A106)</f>
        <v/>
      </c>
      <c r="B106">
        <f>IF('Equipment Information'!B106="","", 'Equipment Information'!B106)</f>
        <v/>
      </c>
      <c r="C106">
        <f>IF('Equipment Information'!C106="","", 'Equipment Information'!C106)</f>
        <v/>
      </c>
      <c r="G106">
        <f>IF(A106="","","N/A")</f>
        <v/>
      </c>
    </row>
    <row r="107">
      <c r="A107">
        <f>IF('Equipment Information'!A107="","", 'Equipment Information'!A107)</f>
        <v/>
      </c>
      <c r="B107">
        <f>IF('Equipment Information'!B107="","", 'Equipment Information'!B107)</f>
        <v/>
      </c>
      <c r="C107">
        <f>IF('Equipment Information'!C107="","", 'Equipment Information'!C107)</f>
        <v/>
      </c>
      <c r="G107">
        <f>IF(A107="","","N/A")</f>
        <v/>
      </c>
    </row>
    <row r="108">
      <c r="A108">
        <f>IF('Equipment Information'!A108="","", 'Equipment Information'!A108)</f>
        <v/>
      </c>
      <c r="B108">
        <f>IF('Equipment Information'!B108="","", 'Equipment Information'!B108)</f>
        <v/>
      </c>
      <c r="C108">
        <f>IF('Equipment Information'!C108="","", 'Equipment Information'!C108)</f>
        <v/>
      </c>
      <c r="G108">
        <f>IF(A108="","","N/A")</f>
        <v/>
      </c>
    </row>
    <row r="109">
      <c r="A109">
        <f>IF('Equipment Information'!A109="","", 'Equipment Information'!A109)</f>
        <v/>
      </c>
      <c r="B109">
        <f>IF('Equipment Information'!B109="","", 'Equipment Information'!B109)</f>
        <v/>
      </c>
      <c r="C109">
        <f>IF('Equipment Information'!C109="","", 'Equipment Information'!C109)</f>
        <v/>
      </c>
      <c r="G109">
        <f>IF(A109="","","N/A")</f>
        <v/>
      </c>
    </row>
    <row r="110">
      <c r="A110">
        <f>IF('Equipment Information'!A110="","", 'Equipment Information'!A110)</f>
        <v/>
      </c>
      <c r="B110">
        <f>IF('Equipment Information'!B110="","", 'Equipment Information'!B110)</f>
        <v/>
      </c>
      <c r="C110">
        <f>IF('Equipment Information'!C110="","", 'Equipment Information'!C110)</f>
        <v/>
      </c>
      <c r="G110">
        <f>IF(A110="","","N/A")</f>
        <v/>
      </c>
    </row>
    <row r="111">
      <c r="A111">
        <f>IF('Equipment Information'!A111="","", 'Equipment Information'!A111)</f>
        <v/>
      </c>
      <c r="B111">
        <f>IF('Equipment Information'!B111="","", 'Equipment Information'!B111)</f>
        <v/>
      </c>
      <c r="C111">
        <f>IF('Equipment Information'!C111="","", 'Equipment Information'!C111)</f>
        <v/>
      </c>
      <c r="G111">
        <f>IF(A111="","","N/A")</f>
        <v/>
      </c>
    </row>
    <row r="112">
      <c r="A112">
        <f>IF('Equipment Information'!A112="","", 'Equipment Information'!A112)</f>
        <v/>
      </c>
      <c r="B112">
        <f>IF('Equipment Information'!B112="","", 'Equipment Information'!B112)</f>
        <v/>
      </c>
      <c r="C112">
        <f>IF('Equipment Information'!C112="","", 'Equipment Information'!C112)</f>
        <v/>
      </c>
      <c r="G112">
        <f>IF(A112="","","N/A")</f>
        <v/>
      </c>
    </row>
    <row r="113">
      <c r="A113">
        <f>IF('Equipment Information'!A113="","", 'Equipment Information'!A113)</f>
        <v/>
      </c>
      <c r="B113">
        <f>IF('Equipment Information'!B113="","", 'Equipment Information'!B113)</f>
        <v/>
      </c>
      <c r="C113">
        <f>IF('Equipment Information'!C113="","", 'Equipment Information'!C113)</f>
        <v/>
      </c>
      <c r="G113">
        <f>IF(A113="","","N/A")</f>
        <v/>
      </c>
    </row>
    <row r="114">
      <c r="A114">
        <f>IF('Equipment Information'!A114="","", 'Equipment Information'!A114)</f>
        <v/>
      </c>
      <c r="B114">
        <f>IF('Equipment Information'!B114="","", 'Equipment Information'!B114)</f>
        <v/>
      </c>
      <c r="C114">
        <f>IF('Equipment Information'!C114="","", 'Equipment Information'!C114)</f>
        <v/>
      </c>
      <c r="G114">
        <f>IF(A114="","","N/A")</f>
        <v/>
      </c>
    </row>
    <row r="115">
      <c r="A115">
        <f>IF('Equipment Information'!A115="","", 'Equipment Information'!A115)</f>
        <v/>
      </c>
      <c r="B115">
        <f>IF('Equipment Information'!B115="","", 'Equipment Information'!B115)</f>
        <v/>
      </c>
      <c r="C115">
        <f>IF('Equipment Information'!C115="","", 'Equipment Information'!C115)</f>
        <v/>
      </c>
      <c r="G115">
        <f>IF(A115="","","N/A")</f>
        <v/>
      </c>
    </row>
    <row r="116">
      <c r="A116">
        <f>IF('Equipment Information'!A116="","", 'Equipment Information'!A116)</f>
        <v/>
      </c>
      <c r="B116">
        <f>IF('Equipment Information'!B116="","", 'Equipment Information'!B116)</f>
        <v/>
      </c>
      <c r="C116">
        <f>IF('Equipment Information'!C116="","", 'Equipment Information'!C116)</f>
        <v/>
      </c>
      <c r="G116">
        <f>IF(A116="","","N/A")</f>
        <v/>
      </c>
    </row>
    <row r="117">
      <c r="A117">
        <f>IF('Equipment Information'!A117="","", 'Equipment Information'!A117)</f>
        <v/>
      </c>
      <c r="B117">
        <f>IF('Equipment Information'!B117="","", 'Equipment Information'!B117)</f>
        <v/>
      </c>
      <c r="C117">
        <f>IF('Equipment Information'!C117="","", 'Equipment Information'!C117)</f>
        <v/>
      </c>
      <c r="G117">
        <f>IF(A117="","","N/A")</f>
        <v/>
      </c>
    </row>
    <row r="118">
      <c r="A118">
        <f>IF('Equipment Information'!A118="","", 'Equipment Information'!A118)</f>
        <v/>
      </c>
      <c r="B118">
        <f>IF('Equipment Information'!B118="","", 'Equipment Information'!B118)</f>
        <v/>
      </c>
      <c r="C118">
        <f>IF('Equipment Information'!C118="","", 'Equipment Information'!C118)</f>
        <v/>
      </c>
      <c r="G118">
        <f>IF(A118="","","N/A")</f>
        <v/>
      </c>
    </row>
    <row r="119">
      <c r="A119">
        <f>IF('Equipment Information'!A119="","", 'Equipment Information'!A119)</f>
        <v/>
      </c>
      <c r="B119">
        <f>IF('Equipment Information'!B119="","", 'Equipment Information'!B119)</f>
        <v/>
      </c>
      <c r="C119">
        <f>IF('Equipment Information'!C119="","", 'Equipment Information'!C119)</f>
        <v/>
      </c>
      <c r="G119">
        <f>IF(A119="","","N/A")</f>
        <v/>
      </c>
    </row>
    <row r="120">
      <c r="A120">
        <f>IF('Equipment Information'!A120="","", 'Equipment Information'!A120)</f>
        <v/>
      </c>
      <c r="B120">
        <f>IF('Equipment Information'!B120="","", 'Equipment Information'!B120)</f>
        <v/>
      </c>
      <c r="C120">
        <f>IF('Equipment Information'!C120="","", 'Equipment Information'!C120)</f>
        <v/>
      </c>
      <c r="G120">
        <f>IF(A120="","","N/A")</f>
        <v/>
      </c>
    </row>
    <row r="121">
      <c r="A121">
        <f>IF('Equipment Information'!A121="","", 'Equipment Information'!A121)</f>
        <v/>
      </c>
      <c r="B121">
        <f>IF('Equipment Information'!B121="","", 'Equipment Information'!B121)</f>
        <v/>
      </c>
      <c r="C121">
        <f>IF('Equipment Information'!C121="","", 'Equipment Information'!C121)</f>
        <v/>
      </c>
      <c r="G121">
        <f>IF(A121="","","N/A")</f>
        <v/>
      </c>
    </row>
    <row r="122">
      <c r="A122">
        <f>IF('Equipment Information'!A122="","", 'Equipment Information'!A122)</f>
        <v/>
      </c>
      <c r="B122">
        <f>IF('Equipment Information'!B122="","", 'Equipment Information'!B122)</f>
        <v/>
      </c>
      <c r="C122">
        <f>IF('Equipment Information'!C122="","", 'Equipment Information'!C122)</f>
        <v/>
      </c>
      <c r="G122">
        <f>IF(A122="","","N/A")</f>
        <v/>
      </c>
    </row>
    <row r="123">
      <c r="A123">
        <f>IF('Equipment Information'!A123="","", 'Equipment Information'!A123)</f>
        <v/>
      </c>
      <c r="B123">
        <f>IF('Equipment Information'!B123="","", 'Equipment Information'!B123)</f>
        <v/>
      </c>
      <c r="C123">
        <f>IF('Equipment Information'!C123="","", 'Equipment Information'!C123)</f>
        <v/>
      </c>
      <c r="G123">
        <f>IF(A123="","","N/A")</f>
        <v/>
      </c>
    </row>
    <row r="124">
      <c r="A124">
        <f>IF('Equipment Information'!A124="","", 'Equipment Information'!A124)</f>
        <v/>
      </c>
      <c r="B124">
        <f>IF('Equipment Information'!B124="","", 'Equipment Information'!B124)</f>
        <v/>
      </c>
      <c r="C124">
        <f>IF('Equipment Information'!C124="","", 'Equipment Information'!C124)</f>
        <v/>
      </c>
      <c r="G124">
        <f>IF(A124="","","N/A")</f>
        <v/>
      </c>
    </row>
    <row r="125">
      <c r="A125">
        <f>IF('Equipment Information'!A125="","", 'Equipment Information'!A125)</f>
        <v/>
      </c>
      <c r="B125">
        <f>IF('Equipment Information'!B125="","", 'Equipment Information'!B125)</f>
        <v/>
      </c>
      <c r="C125">
        <f>IF('Equipment Information'!C125="","", 'Equipment Information'!C125)</f>
        <v/>
      </c>
      <c r="G125">
        <f>IF(A125="","","N/A")</f>
        <v/>
      </c>
    </row>
    <row r="126">
      <c r="A126">
        <f>IF('Equipment Information'!A126="","", 'Equipment Information'!A126)</f>
        <v/>
      </c>
      <c r="B126">
        <f>IF('Equipment Information'!B126="","", 'Equipment Information'!B126)</f>
        <v/>
      </c>
      <c r="C126">
        <f>IF('Equipment Information'!C126="","", 'Equipment Information'!C126)</f>
        <v/>
      </c>
      <c r="G126">
        <f>IF(A126="","","N/A")</f>
        <v/>
      </c>
    </row>
    <row r="127">
      <c r="A127">
        <f>IF('Equipment Information'!A127="","", 'Equipment Information'!A127)</f>
        <v/>
      </c>
      <c r="B127">
        <f>IF('Equipment Information'!B127="","", 'Equipment Information'!B127)</f>
        <v/>
      </c>
      <c r="C127">
        <f>IF('Equipment Information'!C127="","", 'Equipment Information'!C127)</f>
        <v/>
      </c>
      <c r="G127">
        <f>IF(A127="","","N/A")</f>
        <v/>
      </c>
    </row>
    <row r="128">
      <c r="A128">
        <f>IF('Equipment Information'!A128="","", 'Equipment Information'!A128)</f>
        <v/>
      </c>
      <c r="B128">
        <f>IF('Equipment Information'!B128="","", 'Equipment Information'!B128)</f>
        <v/>
      </c>
      <c r="C128">
        <f>IF('Equipment Information'!C128="","", 'Equipment Information'!C128)</f>
        <v/>
      </c>
      <c r="G128">
        <f>IF(A128="","","N/A")</f>
        <v/>
      </c>
    </row>
    <row r="129">
      <c r="A129">
        <f>IF('Equipment Information'!A129="","", 'Equipment Information'!A129)</f>
        <v/>
      </c>
      <c r="B129">
        <f>IF('Equipment Information'!B129="","", 'Equipment Information'!B129)</f>
        <v/>
      </c>
      <c r="C129">
        <f>IF('Equipment Information'!C129="","", 'Equipment Information'!C129)</f>
        <v/>
      </c>
      <c r="G129">
        <f>IF(A129="","","N/A")</f>
        <v/>
      </c>
    </row>
    <row r="130">
      <c r="A130">
        <f>IF('Equipment Information'!A130="","", 'Equipment Information'!A130)</f>
        <v/>
      </c>
      <c r="B130">
        <f>IF('Equipment Information'!B130="","", 'Equipment Information'!B130)</f>
        <v/>
      </c>
      <c r="C130">
        <f>IF('Equipment Information'!C130="","", 'Equipment Information'!C130)</f>
        <v/>
      </c>
      <c r="G130">
        <f>IF(A130="","","N/A")</f>
        <v/>
      </c>
    </row>
    <row r="131">
      <c r="A131">
        <f>IF('Equipment Information'!A131="","", 'Equipment Information'!A131)</f>
        <v/>
      </c>
      <c r="B131">
        <f>IF('Equipment Information'!B131="","", 'Equipment Information'!B131)</f>
        <v/>
      </c>
      <c r="C131">
        <f>IF('Equipment Information'!C131="","", 'Equipment Information'!C131)</f>
        <v/>
      </c>
      <c r="G131">
        <f>IF(A131="","","N/A")</f>
        <v/>
      </c>
    </row>
    <row r="132">
      <c r="A132">
        <f>IF('Equipment Information'!A132="","", 'Equipment Information'!A132)</f>
        <v/>
      </c>
      <c r="B132">
        <f>IF('Equipment Information'!B132="","", 'Equipment Information'!B132)</f>
        <v/>
      </c>
      <c r="C132">
        <f>IF('Equipment Information'!C132="","", 'Equipment Information'!C132)</f>
        <v/>
      </c>
      <c r="G132">
        <f>IF(A132="","","N/A")</f>
        <v/>
      </c>
    </row>
    <row r="133">
      <c r="A133">
        <f>IF('Equipment Information'!A133="","", 'Equipment Information'!A133)</f>
        <v/>
      </c>
      <c r="B133">
        <f>IF('Equipment Information'!B133="","", 'Equipment Information'!B133)</f>
        <v/>
      </c>
      <c r="C133">
        <f>IF('Equipment Information'!C133="","", 'Equipment Information'!C133)</f>
        <v/>
      </c>
      <c r="G133">
        <f>IF(A133="","","N/A")</f>
        <v/>
      </c>
    </row>
    <row r="134">
      <c r="A134">
        <f>IF('Equipment Information'!A134="","", 'Equipment Information'!A134)</f>
        <v/>
      </c>
      <c r="B134">
        <f>IF('Equipment Information'!B134="","", 'Equipment Information'!B134)</f>
        <v/>
      </c>
      <c r="C134">
        <f>IF('Equipment Information'!C134="","", 'Equipment Information'!C134)</f>
        <v/>
      </c>
      <c r="G134">
        <f>IF(A134="","","N/A")</f>
        <v/>
      </c>
    </row>
    <row r="135">
      <c r="A135">
        <f>IF('Equipment Information'!A135="","", 'Equipment Information'!A135)</f>
        <v/>
      </c>
      <c r="B135">
        <f>IF('Equipment Information'!B135="","", 'Equipment Information'!B135)</f>
        <v/>
      </c>
      <c r="C135">
        <f>IF('Equipment Information'!C135="","", 'Equipment Information'!C135)</f>
        <v/>
      </c>
      <c r="G135">
        <f>IF(A135="","","N/A")</f>
        <v/>
      </c>
    </row>
    <row r="136">
      <c r="A136">
        <f>IF('Equipment Information'!A136="","", 'Equipment Information'!A136)</f>
        <v/>
      </c>
      <c r="B136">
        <f>IF('Equipment Information'!B136="","", 'Equipment Information'!B136)</f>
        <v/>
      </c>
      <c r="C136">
        <f>IF('Equipment Information'!C136="","", 'Equipment Information'!C136)</f>
        <v/>
      </c>
      <c r="G136">
        <f>IF(A136="","","N/A")</f>
        <v/>
      </c>
    </row>
    <row r="137">
      <c r="A137">
        <f>IF('Equipment Information'!A137="","", 'Equipment Information'!A137)</f>
        <v/>
      </c>
      <c r="B137">
        <f>IF('Equipment Information'!B137="","", 'Equipment Information'!B137)</f>
        <v/>
      </c>
      <c r="C137">
        <f>IF('Equipment Information'!C137="","", 'Equipment Information'!C137)</f>
        <v/>
      </c>
      <c r="G137">
        <f>IF(A137="","","N/A")</f>
        <v/>
      </c>
    </row>
    <row r="138">
      <c r="A138">
        <f>IF('Equipment Information'!A138="","", 'Equipment Information'!A138)</f>
        <v/>
      </c>
      <c r="B138">
        <f>IF('Equipment Information'!B138="","", 'Equipment Information'!B138)</f>
        <v/>
      </c>
      <c r="C138">
        <f>IF('Equipment Information'!C138="","", 'Equipment Information'!C138)</f>
        <v/>
      </c>
      <c r="G138">
        <f>IF(A138="","","N/A")</f>
        <v/>
      </c>
    </row>
    <row r="139">
      <c r="A139">
        <f>IF('Equipment Information'!A139="","", 'Equipment Information'!A139)</f>
        <v/>
      </c>
      <c r="B139">
        <f>IF('Equipment Information'!B139="","", 'Equipment Information'!B139)</f>
        <v/>
      </c>
      <c r="C139">
        <f>IF('Equipment Information'!C139="","", 'Equipment Information'!C139)</f>
        <v/>
      </c>
      <c r="G139">
        <f>IF(A139="","","N/A")</f>
        <v/>
      </c>
    </row>
    <row r="140">
      <c r="A140">
        <f>IF('Equipment Information'!A140="","", 'Equipment Information'!A140)</f>
        <v/>
      </c>
      <c r="B140">
        <f>IF('Equipment Information'!B140="","", 'Equipment Information'!B140)</f>
        <v/>
      </c>
      <c r="C140">
        <f>IF('Equipment Information'!C140="","", 'Equipment Information'!C140)</f>
        <v/>
      </c>
      <c r="G140">
        <f>IF(A140="","","N/A")</f>
        <v/>
      </c>
    </row>
    <row r="141">
      <c r="A141">
        <f>IF('Equipment Information'!A141="","", 'Equipment Information'!A141)</f>
        <v/>
      </c>
      <c r="B141">
        <f>IF('Equipment Information'!B141="","", 'Equipment Information'!B141)</f>
        <v/>
      </c>
      <c r="C141">
        <f>IF('Equipment Information'!C141="","", 'Equipment Information'!C141)</f>
        <v/>
      </c>
      <c r="G141">
        <f>IF(A141="","","N/A")</f>
        <v/>
      </c>
    </row>
    <row r="142">
      <c r="A142">
        <f>IF('Equipment Information'!A142="","", 'Equipment Information'!A142)</f>
        <v/>
      </c>
      <c r="B142">
        <f>IF('Equipment Information'!B142="","", 'Equipment Information'!B142)</f>
        <v/>
      </c>
      <c r="C142">
        <f>IF('Equipment Information'!C142="","", 'Equipment Information'!C142)</f>
        <v/>
      </c>
      <c r="G142">
        <f>IF(A142="","","N/A")</f>
        <v/>
      </c>
    </row>
    <row r="143">
      <c r="A143">
        <f>IF('Equipment Information'!A143="","", 'Equipment Information'!A143)</f>
        <v/>
      </c>
      <c r="B143">
        <f>IF('Equipment Information'!B143="","", 'Equipment Information'!B143)</f>
        <v/>
      </c>
      <c r="C143">
        <f>IF('Equipment Information'!C143="","", 'Equipment Information'!C143)</f>
        <v/>
      </c>
      <c r="G143">
        <f>IF(A143="","","N/A")</f>
        <v/>
      </c>
    </row>
    <row r="144">
      <c r="A144">
        <f>IF('Equipment Information'!A144="","", 'Equipment Information'!A144)</f>
        <v/>
      </c>
      <c r="B144">
        <f>IF('Equipment Information'!B144="","", 'Equipment Information'!B144)</f>
        <v/>
      </c>
      <c r="C144">
        <f>IF('Equipment Information'!C144="","", 'Equipment Information'!C144)</f>
        <v/>
      </c>
      <c r="G144">
        <f>IF(A144="","","N/A")</f>
        <v/>
      </c>
    </row>
    <row r="145">
      <c r="A145">
        <f>IF('Equipment Information'!A145="","", 'Equipment Information'!A145)</f>
        <v/>
      </c>
      <c r="B145">
        <f>IF('Equipment Information'!B145="","", 'Equipment Information'!B145)</f>
        <v/>
      </c>
      <c r="C145">
        <f>IF('Equipment Information'!C145="","", 'Equipment Information'!C145)</f>
        <v/>
      </c>
      <c r="G145">
        <f>IF(A145="","","N/A")</f>
        <v/>
      </c>
    </row>
    <row r="146">
      <c r="A146">
        <f>IF('Equipment Information'!A146="","", 'Equipment Information'!A146)</f>
        <v/>
      </c>
      <c r="B146">
        <f>IF('Equipment Information'!B146="","", 'Equipment Information'!B146)</f>
        <v/>
      </c>
      <c r="C146">
        <f>IF('Equipment Information'!C146="","", 'Equipment Information'!C146)</f>
        <v/>
      </c>
      <c r="G146">
        <f>IF(A146="","","N/A")</f>
        <v/>
      </c>
    </row>
    <row r="147">
      <c r="A147">
        <f>IF('Equipment Information'!A147="","", 'Equipment Information'!A147)</f>
        <v/>
      </c>
      <c r="B147">
        <f>IF('Equipment Information'!B147="","", 'Equipment Information'!B147)</f>
        <v/>
      </c>
      <c r="C147">
        <f>IF('Equipment Information'!C147="","", 'Equipment Information'!C147)</f>
        <v/>
      </c>
      <c r="G147">
        <f>IF(A147="","","N/A")</f>
        <v/>
      </c>
    </row>
    <row r="148">
      <c r="A148">
        <f>IF('Equipment Information'!A148="","", 'Equipment Information'!A148)</f>
        <v/>
      </c>
      <c r="B148">
        <f>IF('Equipment Information'!B148="","", 'Equipment Information'!B148)</f>
        <v/>
      </c>
      <c r="C148">
        <f>IF('Equipment Information'!C148="","", 'Equipment Information'!C148)</f>
        <v/>
      </c>
      <c r="G148">
        <f>IF(A148="","","N/A")</f>
        <v/>
      </c>
    </row>
    <row r="149">
      <c r="A149">
        <f>IF('Equipment Information'!A149="","", 'Equipment Information'!A149)</f>
        <v/>
      </c>
      <c r="B149">
        <f>IF('Equipment Information'!B149="","", 'Equipment Information'!B149)</f>
        <v/>
      </c>
      <c r="C149">
        <f>IF('Equipment Information'!C149="","", 'Equipment Information'!C149)</f>
        <v/>
      </c>
      <c r="G149">
        <f>IF(A149="","","N/A")</f>
        <v/>
      </c>
    </row>
    <row r="150">
      <c r="A150">
        <f>IF('Equipment Information'!A150="","", 'Equipment Information'!A150)</f>
        <v/>
      </c>
      <c r="B150">
        <f>IF('Equipment Information'!B150="","", 'Equipment Information'!B150)</f>
        <v/>
      </c>
      <c r="C150">
        <f>IF('Equipment Information'!C150="","", 'Equipment Information'!C150)</f>
        <v/>
      </c>
      <c r="G150">
        <f>IF(A150="","","N/A")</f>
        <v/>
      </c>
    </row>
    <row r="151">
      <c r="A151">
        <f>IF('Equipment Information'!A151="","", 'Equipment Information'!A151)</f>
        <v/>
      </c>
      <c r="B151">
        <f>IF('Equipment Information'!B151="","", 'Equipment Information'!B151)</f>
        <v/>
      </c>
      <c r="C151">
        <f>IF('Equipment Information'!C151="","", 'Equipment Information'!C151)</f>
        <v/>
      </c>
      <c r="G151">
        <f>IF(A151="","","N/A")</f>
        <v/>
      </c>
    </row>
    <row r="152">
      <c r="A152">
        <f>IF('Equipment Information'!A152="","", 'Equipment Information'!A152)</f>
        <v/>
      </c>
      <c r="B152">
        <f>IF('Equipment Information'!B152="","", 'Equipment Information'!B152)</f>
        <v/>
      </c>
      <c r="C152">
        <f>IF('Equipment Information'!C152="","", 'Equipment Information'!C152)</f>
        <v/>
      </c>
      <c r="G152">
        <f>IF(A152="","","N/A")</f>
        <v/>
      </c>
    </row>
    <row r="153">
      <c r="A153">
        <f>IF('Equipment Information'!A153="","", 'Equipment Information'!A153)</f>
        <v/>
      </c>
      <c r="B153">
        <f>IF('Equipment Information'!B153="","", 'Equipment Information'!B153)</f>
        <v/>
      </c>
      <c r="C153">
        <f>IF('Equipment Information'!C153="","", 'Equipment Information'!C153)</f>
        <v/>
      </c>
      <c r="G153">
        <f>IF(A153="","","N/A")</f>
        <v/>
      </c>
    </row>
    <row r="154">
      <c r="A154">
        <f>IF('Equipment Information'!A154="","", 'Equipment Information'!A154)</f>
        <v/>
      </c>
      <c r="B154">
        <f>IF('Equipment Information'!B154="","", 'Equipment Information'!B154)</f>
        <v/>
      </c>
      <c r="C154">
        <f>IF('Equipment Information'!C154="","", 'Equipment Information'!C154)</f>
        <v/>
      </c>
      <c r="G154">
        <f>IF(A154="","","N/A")</f>
        <v/>
      </c>
    </row>
    <row r="155">
      <c r="A155">
        <f>IF('Equipment Information'!A155="","", 'Equipment Information'!A155)</f>
        <v/>
      </c>
      <c r="B155">
        <f>IF('Equipment Information'!B155="","", 'Equipment Information'!B155)</f>
        <v/>
      </c>
      <c r="C155">
        <f>IF('Equipment Information'!C155="","", 'Equipment Information'!C155)</f>
        <v/>
      </c>
      <c r="G155">
        <f>IF(A155="","","N/A")</f>
        <v/>
      </c>
    </row>
    <row r="156">
      <c r="A156">
        <f>IF('Equipment Information'!A156="","", 'Equipment Information'!A156)</f>
        <v/>
      </c>
      <c r="B156">
        <f>IF('Equipment Information'!B156="","", 'Equipment Information'!B156)</f>
        <v/>
      </c>
      <c r="C156">
        <f>IF('Equipment Information'!C156="","", 'Equipment Information'!C156)</f>
        <v/>
      </c>
      <c r="G156">
        <f>IF(A156="","","N/A")</f>
        <v/>
      </c>
    </row>
    <row r="157">
      <c r="A157">
        <f>IF('Equipment Information'!A157="","", 'Equipment Information'!A157)</f>
        <v/>
      </c>
      <c r="B157">
        <f>IF('Equipment Information'!B157="","", 'Equipment Information'!B157)</f>
        <v/>
      </c>
      <c r="C157">
        <f>IF('Equipment Information'!C157="","", 'Equipment Information'!C157)</f>
        <v/>
      </c>
      <c r="G157">
        <f>IF(A157="","","N/A")</f>
        <v/>
      </c>
    </row>
    <row r="158">
      <c r="A158">
        <f>IF('Equipment Information'!A158="","", 'Equipment Information'!A158)</f>
        <v/>
      </c>
      <c r="B158">
        <f>IF('Equipment Information'!B158="","", 'Equipment Information'!B158)</f>
        <v/>
      </c>
      <c r="C158">
        <f>IF('Equipment Information'!C158="","", 'Equipment Information'!C158)</f>
        <v/>
      </c>
      <c r="G158">
        <f>IF(A158="","","N/A")</f>
        <v/>
      </c>
    </row>
    <row r="159">
      <c r="A159">
        <f>IF('Equipment Information'!A159="","", 'Equipment Information'!A159)</f>
        <v/>
      </c>
      <c r="B159">
        <f>IF('Equipment Information'!B159="","", 'Equipment Information'!B159)</f>
        <v/>
      </c>
      <c r="C159">
        <f>IF('Equipment Information'!C159="","", 'Equipment Information'!C159)</f>
        <v/>
      </c>
      <c r="G159">
        <f>IF(A159="","","N/A")</f>
        <v/>
      </c>
    </row>
    <row r="160">
      <c r="A160">
        <f>IF('Equipment Information'!A160="","", 'Equipment Information'!A160)</f>
        <v/>
      </c>
      <c r="B160">
        <f>IF('Equipment Information'!B160="","", 'Equipment Information'!B160)</f>
        <v/>
      </c>
      <c r="C160">
        <f>IF('Equipment Information'!C160="","", 'Equipment Information'!C160)</f>
        <v/>
      </c>
      <c r="G160">
        <f>IF(A160="","","N/A")</f>
        <v/>
      </c>
    </row>
    <row r="161">
      <c r="A161">
        <f>IF('Equipment Information'!A161="","", 'Equipment Information'!A161)</f>
        <v/>
      </c>
      <c r="B161">
        <f>IF('Equipment Information'!B161="","", 'Equipment Information'!B161)</f>
        <v/>
      </c>
      <c r="C161">
        <f>IF('Equipment Information'!C161="","", 'Equipment Information'!C161)</f>
        <v/>
      </c>
      <c r="G161">
        <f>IF(A161="","","N/A")</f>
        <v/>
      </c>
    </row>
    <row r="162">
      <c r="A162">
        <f>IF('Equipment Information'!A162="","", 'Equipment Information'!A162)</f>
        <v/>
      </c>
      <c r="B162">
        <f>IF('Equipment Information'!B162="","", 'Equipment Information'!B162)</f>
        <v/>
      </c>
      <c r="C162">
        <f>IF('Equipment Information'!C162="","", 'Equipment Information'!C162)</f>
        <v/>
      </c>
      <c r="G162">
        <f>IF(A162="","","N/A")</f>
        <v/>
      </c>
    </row>
    <row r="163">
      <c r="A163">
        <f>IF('Equipment Information'!A163="","", 'Equipment Information'!A163)</f>
        <v/>
      </c>
      <c r="B163">
        <f>IF('Equipment Information'!B163="","", 'Equipment Information'!B163)</f>
        <v/>
      </c>
      <c r="C163">
        <f>IF('Equipment Information'!C163="","", 'Equipment Information'!C163)</f>
        <v/>
      </c>
      <c r="G163">
        <f>IF(A163="","","N/A")</f>
        <v/>
      </c>
    </row>
    <row r="164">
      <c r="A164">
        <f>IF('Equipment Information'!A164="","", 'Equipment Information'!A164)</f>
        <v/>
      </c>
      <c r="B164">
        <f>IF('Equipment Information'!B164="","", 'Equipment Information'!B164)</f>
        <v/>
      </c>
      <c r="C164">
        <f>IF('Equipment Information'!C164="","", 'Equipment Information'!C164)</f>
        <v/>
      </c>
      <c r="G164">
        <f>IF(A164="","","N/A")</f>
        <v/>
      </c>
    </row>
    <row r="165">
      <c r="A165">
        <f>IF('Equipment Information'!A165="","", 'Equipment Information'!A165)</f>
        <v/>
      </c>
      <c r="B165">
        <f>IF('Equipment Information'!B165="","", 'Equipment Information'!B165)</f>
        <v/>
      </c>
      <c r="C165">
        <f>IF('Equipment Information'!C165="","", 'Equipment Information'!C165)</f>
        <v/>
      </c>
      <c r="G165">
        <f>IF(A165="","","N/A")</f>
        <v/>
      </c>
    </row>
    <row r="166">
      <c r="A166">
        <f>IF('Equipment Information'!A166="","", 'Equipment Information'!A166)</f>
        <v/>
      </c>
      <c r="B166">
        <f>IF('Equipment Information'!B166="","", 'Equipment Information'!B166)</f>
        <v/>
      </c>
      <c r="C166">
        <f>IF('Equipment Information'!C166="","", 'Equipment Information'!C166)</f>
        <v/>
      </c>
      <c r="G166">
        <f>IF(A166="","","N/A")</f>
        <v/>
      </c>
    </row>
    <row r="167">
      <c r="A167">
        <f>IF('Equipment Information'!A167="","", 'Equipment Information'!A167)</f>
        <v/>
      </c>
      <c r="B167">
        <f>IF('Equipment Information'!B167="","", 'Equipment Information'!B167)</f>
        <v/>
      </c>
      <c r="C167">
        <f>IF('Equipment Information'!C167="","", 'Equipment Information'!C167)</f>
        <v/>
      </c>
      <c r="G167">
        <f>IF(A167="","","N/A")</f>
        <v/>
      </c>
    </row>
    <row r="168">
      <c r="A168">
        <f>IF('Equipment Information'!A168="","", 'Equipment Information'!A168)</f>
        <v/>
      </c>
      <c r="B168">
        <f>IF('Equipment Information'!B168="","", 'Equipment Information'!B168)</f>
        <v/>
      </c>
      <c r="C168">
        <f>IF('Equipment Information'!C168="","", 'Equipment Information'!C168)</f>
        <v/>
      </c>
      <c r="G168">
        <f>IF(A168="","","N/A")</f>
        <v/>
      </c>
    </row>
    <row r="169">
      <c r="A169">
        <f>IF('Equipment Information'!A169="","", 'Equipment Information'!A169)</f>
        <v/>
      </c>
      <c r="B169">
        <f>IF('Equipment Information'!B169="","", 'Equipment Information'!B169)</f>
        <v/>
      </c>
      <c r="C169">
        <f>IF('Equipment Information'!C169="","", 'Equipment Information'!C169)</f>
        <v/>
      </c>
      <c r="G169">
        <f>IF(A169="","","N/A")</f>
        <v/>
      </c>
    </row>
    <row r="170">
      <c r="A170">
        <f>IF('Equipment Information'!A170="","", 'Equipment Information'!A170)</f>
        <v/>
      </c>
      <c r="B170">
        <f>IF('Equipment Information'!B170="","", 'Equipment Information'!B170)</f>
        <v/>
      </c>
      <c r="C170">
        <f>IF('Equipment Information'!C170="","", 'Equipment Information'!C170)</f>
        <v/>
      </c>
      <c r="G170">
        <f>IF(A170="","","N/A")</f>
        <v/>
      </c>
    </row>
    <row r="171">
      <c r="A171">
        <f>IF('Equipment Information'!A171="","", 'Equipment Information'!A171)</f>
        <v/>
      </c>
      <c r="B171">
        <f>IF('Equipment Information'!B171="","", 'Equipment Information'!B171)</f>
        <v/>
      </c>
      <c r="C171">
        <f>IF('Equipment Information'!C171="","", 'Equipment Information'!C171)</f>
        <v/>
      </c>
      <c r="G171">
        <f>IF(A171="","","N/A")</f>
        <v/>
      </c>
    </row>
    <row r="172">
      <c r="A172">
        <f>IF('Equipment Information'!A172="","", 'Equipment Information'!A172)</f>
        <v/>
      </c>
      <c r="B172">
        <f>IF('Equipment Information'!B172="","", 'Equipment Information'!B172)</f>
        <v/>
      </c>
      <c r="C172">
        <f>IF('Equipment Information'!C172="","", 'Equipment Information'!C172)</f>
        <v/>
      </c>
      <c r="G172">
        <f>IF(A172="","","N/A")</f>
        <v/>
      </c>
    </row>
    <row r="173">
      <c r="A173">
        <f>IF('Equipment Information'!A173="","", 'Equipment Information'!A173)</f>
        <v/>
      </c>
      <c r="B173">
        <f>IF('Equipment Information'!B173="","", 'Equipment Information'!B173)</f>
        <v/>
      </c>
      <c r="C173">
        <f>IF('Equipment Information'!C173="","", 'Equipment Information'!C173)</f>
        <v/>
      </c>
      <c r="G173">
        <f>IF(A173="","","N/A")</f>
        <v/>
      </c>
    </row>
    <row r="174">
      <c r="A174">
        <f>IF('Equipment Information'!A174="","", 'Equipment Information'!A174)</f>
        <v/>
      </c>
      <c r="B174">
        <f>IF('Equipment Information'!B174="","", 'Equipment Information'!B174)</f>
        <v/>
      </c>
      <c r="C174">
        <f>IF('Equipment Information'!C174="","", 'Equipment Information'!C174)</f>
        <v/>
      </c>
      <c r="G174">
        <f>IF(A174="","","N/A")</f>
        <v/>
      </c>
    </row>
    <row r="175">
      <c r="A175">
        <f>IF('Equipment Information'!A175="","", 'Equipment Information'!A175)</f>
        <v/>
      </c>
      <c r="B175">
        <f>IF('Equipment Information'!B175="","", 'Equipment Information'!B175)</f>
        <v/>
      </c>
      <c r="C175">
        <f>IF('Equipment Information'!C175="","", 'Equipment Information'!C175)</f>
        <v/>
      </c>
      <c r="G175">
        <f>IF(A175="","","N/A")</f>
        <v/>
      </c>
    </row>
    <row r="176">
      <c r="A176">
        <f>IF('Equipment Information'!A176="","", 'Equipment Information'!A176)</f>
        <v/>
      </c>
      <c r="B176">
        <f>IF('Equipment Information'!B176="","", 'Equipment Information'!B176)</f>
        <v/>
      </c>
      <c r="C176">
        <f>IF('Equipment Information'!C176="","", 'Equipment Information'!C176)</f>
        <v/>
      </c>
      <c r="G176">
        <f>IF(A176="","","N/A")</f>
        <v/>
      </c>
    </row>
    <row r="177">
      <c r="A177">
        <f>IF('Equipment Information'!A177="","", 'Equipment Information'!A177)</f>
        <v/>
      </c>
      <c r="B177">
        <f>IF('Equipment Information'!B177="","", 'Equipment Information'!B177)</f>
        <v/>
      </c>
      <c r="C177">
        <f>IF('Equipment Information'!C177="","", 'Equipment Information'!C177)</f>
        <v/>
      </c>
      <c r="G177">
        <f>IF(A177="","","N/A")</f>
        <v/>
      </c>
    </row>
    <row r="178">
      <c r="A178">
        <f>IF('Equipment Information'!A178="","", 'Equipment Information'!A178)</f>
        <v/>
      </c>
      <c r="B178">
        <f>IF('Equipment Information'!B178="","", 'Equipment Information'!B178)</f>
        <v/>
      </c>
      <c r="C178">
        <f>IF('Equipment Information'!C178="","", 'Equipment Information'!C178)</f>
        <v/>
      </c>
      <c r="G178">
        <f>IF(A178="","","N/A")</f>
        <v/>
      </c>
    </row>
    <row r="179">
      <c r="A179">
        <f>IF('Equipment Information'!A179="","", 'Equipment Information'!A179)</f>
        <v/>
      </c>
      <c r="B179">
        <f>IF('Equipment Information'!B179="","", 'Equipment Information'!B179)</f>
        <v/>
      </c>
      <c r="C179">
        <f>IF('Equipment Information'!C179="","", 'Equipment Information'!C179)</f>
        <v/>
      </c>
      <c r="G179">
        <f>IF(A179="","","N/A")</f>
        <v/>
      </c>
    </row>
    <row r="180">
      <c r="A180">
        <f>IF('Equipment Information'!A180="","", 'Equipment Information'!A180)</f>
        <v/>
      </c>
      <c r="B180">
        <f>IF('Equipment Information'!B180="","", 'Equipment Information'!B180)</f>
        <v/>
      </c>
      <c r="C180">
        <f>IF('Equipment Information'!C180="","", 'Equipment Information'!C180)</f>
        <v/>
      </c>
      <c r="G180">
        <f>IF(A180="","","N/A")</f>
        <v/>
      </c>
    </row>
    <row r="181">
      <c r="A181">
        <f>IF('Equipment Information'!A181="","", 'Equipment Information'!A181)</f>
        <v/>
      </c>
      <c r="B181">
        <f>IF('Equipment Information'!B181="","", 'Equipment Information'!B181)</f>
        <v/>
      </c>
      <c r="C181">
        <f>IF('Equipment Information'!C181="","", 'Equipment Information'!C181)</f>
        <v/>
      </c>
      <c r="G181">
        <f>IF(A181="","","N/A")</f>
        <v/>
      </c>
    </row>
    <row r="182">
      <c r="A182">
        <f>IF('Equipment Information'!A182="","", 'Equipment Information'!A182)</f>
        <v/>
      </c>
      <c r="B182">
        <f>IF('Equipment Information'!B182="","", 'Equipment Information'!B182)</f>
        <v/>
      </c>
      <c r="C182">
        <f>IF('Equipment Information'!C182="","", 'Equipment Information'!C182)</f>
        <v/>
      </c>
      <c r="G182">
        <f>IF(A182="","","N/A")</f>
        <v/>
      </c>
    </row>
    <row r="183">
      <c r="A183">
        <f>IF('Equipment Information'!A183="","", 'Equipment Information'!A183)</f>
        <v/>
      </c>
      <c r="B183">
        <f>IF('Equipment Information'!B183="","", 'Equipment Information'!B183)</f>
        <v/>
      </c>
      <c r="C183">
        <f>IF('Equipment Information'!C183="","", 'Equipment Information'!C183)</f>
        <v/>
      </c>
      <c r="G183">
        <f>IF(A183="","","N/A")</f>
        <v/>
      </c>
    </row>
    <row r="184">
      <c r="A184">
        <f>IF('Equipment Information'!A184="","", 'Equipment Information'!A184)</f>
        <v/>
      </c>
      <c r="B184">
        <f>IF('Equipment Information'!B184="","", 'Equipment Information'!B184)</f>
        <v/>
      </c>
      <c r="C184">
        <f>IF('Equipment Information'!C184="","", 'Equipment Information'!C184)</f>
        <v/>
      </c>
      <c r="G184">
        <f>IF(A184="","","N/A")</f>
        <v/>
      </c>
    </row>
    <row r="185">
      <c r="A185">
        <f>IF('Equipment Information'!A185="","", 'Equipment Information'!A185)</f>
        <v/>
      </c>
      <c r="B185">
        <f>IF('Equipment Information'!B185="","", 'Equipment Information'!B185)</f>
        <v/>
      </c>
      <c r="C185">
        <f>IF('Equipment Information'!C185="","", 'Equipment Information'!C185)</f>
        <v/>
      </c>
      <c r="G185">
        <f>IF(A185="","","N/A")</f>
        <v/>
      </c>
    </row>
    <row r="186">
      <c r="A186">
        <f>IF('Equipment Information'!A186="","", 'Equipment Information'!A186)</f>
        <v/>
      </c>
      <c r="B186">
        <f>IF('Equipment Information'!B186="","", 'Equipment Information'!B186)</f>
        <v/>
      </c>
      <c r="C186">
        <f>IF('Equipment Information'!C186="","", 'Equipment Information'!C186)</f>
        <v/>
      </c>
      <c r="G186">
        <f>IF(A186="","","N/A")</f>
        <v/>
      </c>
    </row>
    <row r="187">
      <c r="A187">
        <f>IF('Equipment Information'!A187="","", 'Equipment Information'!A187)</f>
        <v/>
      </c>
      <c r="B187">
        <f>IF('Equipment Information'!B187="","", 'Equipment Information'!B187)</f>
        <v/>
      </c>
      <c r="C187">
        <f>IF('Equipment Information'!C187="","", 'Equipment Information'!C187)</f>
        <v/>
      </c>
      <c r="G187">
        <f>IF(A187="","","N/A")</f>
        <v/>
      </c>
    </row>
    <row r="188">
      <c r="A188">
        <f>IF('Equipment Information'!A188="","", 'Equipment Information'!A188)</f>
        <v/>
      </c>
      <c r="B188">
        <f>IF('Equipment Information'!B188="","", 'Equipment Information'!B188)</f>
        <v/>
      </c>
      <c r="C188">
        <f>IF('Equipment Information'!C188="","", 'Equipment Information'!C188)</f>
        <v/>
      </c>
      <c r="G188">
        <f>IF(A188="","","N/A")</f>
        <v/>
      </c>
    </row>
    <row r="189">
      <c r="A189">
        <f>IF('Equipment Information'!A189="","", 'Equipment Information'!A189)</f>
        <v/>
      </c>
      <c r="B189">
        <f>IF('Equipment Information'!B189="","", 'Equipment Information'!B189)</f>
        <v/>
      </c>
      <c r="C189">
        <f>IF('Equipment Information'!C189="","", 'Equipment Information'!C189)</f>
        <v/>
      </c>
      <c r="G189">
        <f>IF(A189="","","N/A")</f>
        <v/>
      </c>
    </row>
    <row r="190">
      <c r="A190">
        <f>IF('Equipment Information'!A190="","", 'Equipment Information'!A190)</f>
        <v/>
      </c>
      <c r="B190">
        <f>IF('Equipment Information'!B190="","", 'Equipment Information'!B190)</f>
        <v/>
      </c>
      <c r="C190">
        <f>IF('Equipment Information'!C190="","", 'Equipment Information'!C190)</f>
        <v/>
      </c>
      <c r="G190">
        <f>IF(A190="","","N/A")</f>
        <v/>
      </c>
    </row>
    <row r="191">
      <c r="A191">
        <f>IF('Equipment Information'!A191="","", 'Equipment Information'!A191)</f>
        <v/>
      </c>
      <c r="B191">
        <f>IF('Equipment Information'!B191="","", 'Equipment Information'!B191)</f>
        <v/>
      </c>
      <c r="C191">
        <f>IF('Equipment Information'!C191="","", 'Equipment Information'!C191)</f>
        <v/>
      </c>
      <c r="G191">
        <f>IF(A191="","","N/A")</f>
        <v/>
      </c>
    </row>
    <row r="192">
      <c r="A192">
        <f>IF('Equipment Information'!A192="","", 'Equipment Information'!A192)</f>
        <v/>
      </c>
      <c r="B192">
        <f>IF('Equipment Information'!B192="","", 'Equipment Information'!B192)</f>
        <v/>
      </c>
      <c r="C192">
        <f>IF('Equipment Information'!C192="","", 'Equipment Information'!C192)</f>
        <v/>
      </c>
      <c r="G192">
        <f>IF(A192="","","N/A")</f>
        <v/>
      </c>
    </row>
    <row r="193">
      <c r="A193">
        <f>IF('Equipment Information'!A193="","", 'Equipment Information'!A193)</f>
        <v/>
      </c>
      <c r="B193">
        <f>IF('Equipment Information'!B193="","", 'Equipment Information'!B193)</f>
        <v/>
      </c>
      <c r="C193">
        <f>IF('Equipment Information'!C193="","", 'Equipment Information'!C193)</f>
        <v/>
      </c>
      <c r="G193">
        <f>IF(A193="","","N/A")</f>
        <v/>
      </c>
    </row>
    <row r="194">
      <c r="A194">
        <f>IF('Equipment Information'!A194="","", 'Equipment Information'!A194)</f>
        <v/>
      </c>
      <c r="B194">
        <f>IF('Equipment Information'!B194="","", 'Equipment Information'!B194)</f>
        <v/>
      </c>
      <c r="C194">
        <f>IF('Equipment Information'!C194="","", 'Equipment Information'!C194)</f>
        <v/>
      </c>
      <c r="G194">
        <f>IF(A194="","","N/A")</f>
        <v/>
      </c>
    </row>
    <row r="195">
      <c r="A195">
        <f>IF('Equipment Information'!A195="","", 'Equipment Information'!A195)</f>
        <v/>
      </c>
      <c r="B195">
        <f>IF('Equipment Information'!B195="","", 'Equipment Information'!B195)</f>
        <v/>
      </c>
      <c r="C195">
        <f>IF('Equipment Information'!C195="","", 'Equipment Information'!C195)</f>
        <v/>
      </c>
      <c r="G195">
        <f>IF(A195="","","N/A")</f>
        <v/>
      </c>
    </row>
    <row r="196">
      <c r="A196">
        <f>IF('Equipment Information'!A196="","", 'Equipment Information'!A196)</f>
        <v/>
      </c>
      <c r="B196">
        <f>IF('Equipment Information'!B196="","", 'Equipment Information'!B196)</f>
        <v/>
      </c>
      <c r="C196">
        <f>IF('Equipment Information'!C196="","", 'Equipment Information'!C196)</f>
        <v/>
      </c>
      <c r="G196">
        <f>IF(A196="","","N/A")</f>
        <v/>
      </c>
    </row>
    <row r="197">
      <c r="A197">
        <f>IF('Equipment Information'!A197="","", 'Equipment Information'!A197)</f>
        <v/>
      </c>
      <c r="B197">
        <f>IF('Equipment Information'!B197="","", 'Equipment Information'!B197)</f>
        <v/>
      </c>
      <c r="C197">
        <f>IF('Equipment Information'!C197="","", 'Equipment Information'!C197)</f>
        <v/>
      </c>
      <c r="G197">
        <f>IF(A197="","","N/A")</f>
        <v/>
      </c>
    </row>
    <row r="198">
      <c r="A198">
        <f>IF('Equipment Information'!A198="","", 'Equipment Information'!A198)</f>
        <v/>
      </c>
      <c r="B198">
        <f>IF('Equipment Information'!B198="","", 'Equipment Information'!B198)</f>
        <v/>
      </c>
      <c r="C198">
        <f>IF('Equipment Information'!C198="","", 'Equipment Information'!C198)</f>
        <v/>
      </c>
      <c r="G198">
        <f>IF(A198="","","N/A")</f>
        <v/>
      </c>
    </row>
    <row r="199">
      <c r="A199">
        <f>IF('Equipment Information'!A199="","", 'Equipment Information'!A199)</f>
        <v/>
      </c>
      <c r="B199">
        <f>IF('Equipment Information'!B199="","", 'Equipment Information'!B199)</f>
        <v/>
      </c>
      <c r="C199">
        <f>IF('Equipment Information'!C199="","", 'Equipment Information'!C199)</f>
        <v/>
      </c>
      <c r="G199">
        <f>IF(A199="","","N/A")</f>
        <v/>
      </c>
    </row>
    <row r="200">
      <c r="A200">
        <f>IF('Equipment Information'!A200="","", 'Equipment Information'!A200)</f>
        <v/>
      </c>
      <c r="B200">
        <f>IF('Equipment Information'!B200="","", 'Equipment Information'!B200)</f>
        <v/>
      </c>
      <c r="C200">
        <f>IF('Equipment Information'!C200="","", 'Equipment Information'!C200)</f>
        <v/>
      </c>
      <c r="G200">
        <f>IF(A200="","","N/A")</f>
        <v/>
      </c>
    </row>
    <row r="201">
      <c r="A201">
        <f>IF('Equipment Information'!A201="","", 'Equipment Information'!A201)</f>
        <v/>
      </c>
      <c r="B201">
        <f>IF('Equipment Information'!B201="","", 'Equipment Information'!B201)</f>
        <v/>
      </c>
      <c r="C201">
        <f>IF('Equipment Information'!C201="","", 'Equipment Information'!C201)</f>
        <v/>
      </c>
      <c r="G201">
        <f>IF(A201="","","N/A")</f>
        <v/>
      </c>
    </row>
    <row r="202">
      <c r="A202">
        <f>IF('Equipment Information'!A202="","", 'Equipment Information'!A202)</f>
        <v/>
      </c>
      <c r="B202">
        <f>IF('Equipment Information'!B202="","", 'Equipment Information'!B202)</f>
        <v/>
      </c>
      <c r="C202">
        <f>IF('Equipment Information'!C202="","", 'Equipment Information'!C202)</f>
        <v/>
      </c>
      <c r="G202">
        <f>IF(A202="","","N/A")</f>
        <v/>
      </c>
    </row>
    <row r="203">
      <c r="A203">
        <f>IF('Equipment Information'!A203="","", 'Equipment Information'!A203)</f>
        <v/>
      </c>
      <c r="B203">
        <f>IF('Equipment Information'!B203="","", 'Equipment Information'!B203)</f>
        <v/>
      </c>
      <c r="C203">
        <f>IF('Equipment Information'!C203="","", 'Equipment Information'!C203)</f>
        <v/>
      </c>
      <c r="G203">
        <f>IF(A203="","","N/A")</f>
        <v/>
      </c>
    </row>
    <row r="204">
      <c r="A204">
        <f>IF('Equipment Information'!A204="","", 'Equipment Information'!A204)</f>
        <v/>
      </c>
      <c r="B204">
        <f>IF('Equipment Information'!B204="","", 'Equipment Information'!B204)</f>
        <v/>
      </c>
      <c r="C204">
        <f>IF('Equipment Information'!C204="","", 'Equipment Information'!C204)</f>
        <v/>
      </c>
      <c r="G204">
        <f>IF(A204="","","N/A")</f>
        <v/>
      </c>
    </row>
    <row r="205">
      <c r="A205">
        <f>IF('Equipment Information'!A205="","", 'Equipment Information'!A205)</f>
        <v/>
      </c>
      <c r="B205">
        <f>IF('Equipment Information'!B205="","", 'Equipment Information'!B205)</f>
        <v/>
      </c>
      <c r="C205">
        <f>IF('Equipment Information'!C205="","", 'Equipment Information'!C205)</f>
        <v/>
      </c>
      <c r="G205">
        <f>IF(A205="","","N/A")</f>
        <v/>
      </c>
    </row>
    <row r="206">
      <c r="A206">
        <f>IF('Equipment Information'!A206="","", 'Equipment Information'!A206)</f>
        <v/>
      </c>
      <c r="B206">
        <f>IF('Equipment Information'!B206="","", 'Equipment Information'!B206)</f>
        <v/>
      </c>
      <c r="C206">
        <f>IF('Equipment Information'!C206="","", 'Equipment Information'!C206)</f>
        <v/>
      </c>
      <c r="G206">
        <f>IF(A206="","","N/A")</f>
        <v/>
      </c>
    </row>
    <row r="207">
      <c r="A207">
        <f>IF('Equipment Information'!A207="","", 'Equipment Information'!A207)</f>
        <v/>
      </c>
      <c r="B207">
        <f>IF('Equipment Information'!B207="","", 'Equipment Information'!B207)</f>
        <v/>
      </c>
      <c r="C207">
        <f>IF('Equipment Information'!C207="","", 'Equipment Information'!C207)</f>
        <v/>
      </c>
      <c r="G207">
        <f>IF(A207="","","N/A")</f>
        <v/>
      </c>
    </row>
    <row r="208">
      <c r="A208">
        <f>IF('Equipment Information'!A208="","", 'Equipment Information'!A208)</f>
        <v/>
      </c>
      <c r="B208">
        <f>IF('Equipment Information'!B208="","", 'Equipment Information'!B208)</f>
        <v/>
      </c>
      <c r="C208">
        <f>IF('Equipment Information'!C208="","", 'Equipment Information'!C208)</f>
        <v/>
      </c>
      <c r="G208">
        <f>IF(A208="","","N/A")</f>
        <v/>
      </c>
    </row>
    <row r="209">
      <c r="A209">
        <f>IF('Equipment Information'!A209="","", 'Equipment Information'!A209)</f>
        <v/>
      </c>
      <c r="B209">
        <f>IF('Equipment Information'!B209="","", 'Equipment Information'!B209)</f>
        <v/>
      </c>
      <c r="C209">
        <f>IF('Equipment Information'!C209="","", 'Equipment Information'!C209)</f>
        <v/>
      </c>
      <c r="G209">
        <f>IF(A209="","","N/A")</f>
        <v/>
      </c>
    </row>
    <row r="210">
      <c r="A210">
        <f>IF('Equipment Information'!A210="","", 'Equipment Information'!A210)</f>
        <v/>
      </c>
      <c r="B210">
        <f>IF('Equipment Information'!B210="","", 'Equipment Information'!B210)</f>
        <v/>
      </c>
      <c r="C210">
        <f>IF('Equipment Information'!C210="","", 'Equipment Information'!C210)</f>
        <v/>
      </c>
      <c r="G210">
        <f>IF(A210="","","N/A")</f>
        <v/>
      </c>
    </row>
    <row r="211">
      <c r="A211">
        <f>IF('Equipment Information'!A211="","", 'Equipment Information'!A211)</f>
        <v/>
      </c>
      <c r="B211">
        <f>IF('Equipment Information'!B211="","", 'Equipment Information'!B211)</f>
        <v/>
      </c>
      <c r="C211">
        <f>IF('Equipment Information'!C211="","", 'Equipment Information'!C211)</f>
        <v/>
      </c>
      <c r="G211">
        <f>IF(A211="","","N/A")</f>
        <v/>
      </c>
    </row>
    <row r="212">
      <c r="A212">
        <f>IF('Equipment Information'!A212="","", 'Equipment Information'!A212)</f>
        <v/>
      </c>
      <c r="B212">
        <f>IF('Equipment Information'!B212="","", 'Equipment Information'!B212)</f>
        <v/>
      </c>
      <c r="C212">
        <f>IF('Equipment Information'!C212="","", 'Equipment Information'!C212)</f>
        <v/>
      </c>
      <c r="G212">
        <f>IF(A212="","","N/A")</f>
        <v/>
      </c>
    </row>
    <row r="213">
      <c r="A213">
        <f>IF('Equipment Information'!A213="","", 'Equipment Information'!A213)</f>
        <v/>
      </c>
      <c r="B213">
        <f>IF('Equipment Information'!B213="","", 'Equipment Information'!B213)</f>
        <v/>
      </c>
      <c r="C213">
        <f>IF('Equipment Information'!C213="","", 'Equipment Information'!C213)</f>
        <v/>
      </c>
      <c r="G213">
        <f>IF(A213="","","N/A")</f>
        <v/>
      </c>
    </row>
    <row r="214">
      <c r="A214">
        <f>IF('Equipment Information'!A214="","", 'Equipment Information'!A214)</f>
        <v/>
      </c>
      <c r="B214">
        <f>IF('Equipment Information'!B214="","", 'Equipment Information'!B214)</f>
        <v/>
      </c>
      <c r="C214">
        <f>IF('Equipment Information'!C214="","", 'Equipment Information'!C214)</f>
        <v/>
      </c>
      <c r="G214">
        <f>IF(A214="","","N/A")</f>
        <v/>
      </c>
    </row>
    <row r="215">
      <c r="A215">
        <f>IF('Equipment Information'!A215="","", 'Equipment Information'!A215)</f>
        <v/>
      </c>
      <c r="B215">
        <f>IF('Equipment Information'!B215="","", 'Equipment Information'!B215)</f>
        <v/>
      </c>
      <c r="C215">
        <f>IF('Equipment Information'!C215="","", 'Equipment Information'!C215)</f>
        <v/>
      </c>
      <c r="G215">
        <f>IF(A215="","","N/A")</f>
        <v/>
      </c>
    </row>
    <row r="216">
      <c r="A216">
        <f>IF('Equipment Information'!A216="","", 'Equipment Information'!A216)</f>
        <v/>
      </c>
      <c r="B216">
        <f>IF('Equipment Information'!B216="","", 'Equipment Information'!B216)</f>
        <v/>
      </c>
      <c r="C216">
        <f>IF('Equipment Information'!C216="","", 'Equipment Information'!C216)</f>
        <v/>
      </c>
      <c r="G216">
        <f>IF(A216="","","N/A")</f>
        <v/>
      </c>
    </row>
    <row r="217">
      <c r="A217">
        <f>IF('Equipment Information'!A217="","", 'Equipment Information'!A217)</f>
        <v/>
      </c>
      <c r="B217">
        <f>IF('Equipment Information'!B217="","", 'Equipment Information'!B217)</f>
        <v/>
      </c>
      <c r="C217">
        <f>IF('Equipment Information'!C217="","", 'Equipment Information'!C217)</f>
        <v/>
      </c>
      <c r="G217">
        <f>IF(A217="","","N/A")</f>
        <v/>
      </c>
    </row>
    <row r="218">
      <c r="A218">
        <f>IF('Equipment Information'!A218="","", 'Equipment Information'!A218)</f>
        <v/>
      </c>
      <c r="B218">
        <f>IF('Equipment Information'!B218="","", 'Equipment Information'!B218)</f>
        <v/>
      </c>
      <c r="C218">
        <f>IF('Equipment Information'!C218="","", 'Equipment Information'!C218)</f>
        <v/>
      </c>
      <c r="G218">
        <f>IF(A218="","","N/A")</f>
        <v/>
      </c>
    </row>
    <row r="219">
      <c r="A219">
        <f>IF('Equipment Information'!A219="","", 'Equipment Information'!A219)</f>
        <v/>
      </c>
      <c r="B219">
        <f>IF('Equipment Information'!B219="","", 'Equipment Information'!B219)</f>
        <v/>
      </c>
      <c r="C219">
        <f>IF('Equipment Information'!C219="","", 'Equipment Information'!C219)</f>
        <v/>
      </c>
      <c r="G219">
        <f>IF(A219="","","N/A")</f>
        <v/>
      </c>
    </row>
    <row r="220">
      <c r="A220">
        <f>IF('Equipment Information'!A220="","", 'Equipment Information'!A220)</f>
        <v/>
      </c>
      <c r="B220">
        <f>IF('Equipment Information'!B220="","", 'Equipment Information'!B220)</f>
        <v/>
      </c>
      <c r="C220">
        <f>IF('Equipment Information'!C220="","", 'Equipment Information'!C220)</f>
        <v/>
      </c>
      <c r="G220">
        <f>IF(A220="","","N/A")</f>
        <v/>
      </c>
    </row>
    <row r="221">
      <c r="A221">
        <f>IF('Equipment Information'!A221="","", 'Equipment Information'!A221)</f>
        <v/>
      </c>
      <c r="B221">
        <f>IF('Equipment Information'!B221="","", 'Equipment Information'!B221)</f>
        <v/>
      </c>
      <c r="C221">
        <f>IF('Equipment Information'!C221="","", 'Equipment Information'!C221)</f>
        <v/>
      </c>
      <c r="G221">
        <f>IF(A221="","","N/A")</f>
        <v/>
      </c>
    </row>
    <row r="222">
      <c r="A222">
        <f>IF('Equipment Information'!A222="","", 'Equipment Information'!A222)</f>
        <v/>
      </c>
      <c r="B222">
        <f>IF('Equipment Information'!B222="","", 'Equipment Information'!B222)</f>
        <v/>
      </c>
      <c r="C222">
        <f>IF('Equipment Information'!C222="","", 'Equipment Information'!C222)</f>
        <v/>
      </c>
      <c r="G222">
        <f>IF(A222="","","N/A")</f>
        <v/>
      </c>
    </row>
    <row r="223">
      <c r="A223">
        <f>IF('Equipment Information'!A223="","", 'Equipment Information'!A223)</f>
        <v/>
      </c>
      <c r="B223">
        <f>IF('Equipment Information'!B223="","", 'Equipment Information'!B223)</f>
        <v/>
      </c>
      <c r="C223">
        <f>IF('Equipment Information'!C223="","", 'Equipment Information'!C223)</f>
        <v/>
      </c>
      <c r="G223">
        <f>IF(A223="","","N/A")</f>
        <v/>
      </c>
    </row>
    <row r="224">
      <c r="A224">
        <f>IF('Equipment Information'!A224="","", 'Equipment Information'!A224)</f>
        <v/>
      </c>
      <c r="B224">
        <f>IF('Equipment Information'!B224="","", 'Equipment Information'!B224)</f>
        <v/>
      </c>
      <c r="C224">
        <f>IF('Equipment Information'!C224="","", 'Equipment Information'!C224)</f>
        <v/>
      </c>
      <c r="G224">
        <f>IF(A224="","","N/A")</f>
        <v/>
      </c>
    </row>
    <row r="225">
      <c r="A225">
        <f>IF('Equipment Information'!A225="","", 'Equipment Information'!A225)</f>
        <v/>
      </c>
      <c r="B225">
        <f>IF('Equipment Information'!B225="","", 'Equipment Information'!B225)</f>
        <v/>
      </c>
      <c r="C225">
        <f>IF('Equipment Information'!C225="","", 'Equipment Information'!C225)</f>
        <v/>
      </c>
      <c r="G225">
        <f>IF(A225="","","N/A")</f>
        <v/>
      </c>
    </row>
    <row r="226">
      <c r="A226">
        <f>IF('Equipment Information'!A226="","", 'Equipment Information'!A226)</f>
        <v/>
      </c>
      <c r="B226">
        <f>IF('Equipment Information'!B226="","", 'Equipment Information'!B226)</f>
        <v/>
      </c>
      <c r="C226">
        <f>IF('Equipment Information'!C226="","", 'Equipment Information'!C226)</f>
        <v/>
      </c>
      <c r="G226">
        <f>IF(A226="","","N/A")</f>
        <v/>
      </c>
    </row>
    <row r="227">
      <c r="A227">
        <f>IF('Equipment Information'!A227="","", 'Equipment Information'!A227)</f>
        <v/>
      </c>
      <c r="B227">
        <f>IF('Equipment Information'!B227="","", 'Equipment Information'!B227)</f>
        <v/>
      </c>
      <c r="C227">
        <f>IF('Equipment Information'!C227="","", 'Equipment Information'!C227)</f>
        <v/>
      </c>
      <c r="G227">
        <f>IF(A227="","","N/A")</f>
        <v/>
      </c>
    </row>
    <row r="228">
      <c r="A228">
        <f>IF('Equipment Information'!A228="","", 'Equipment Information'!A228)</f>
        <v/>
      </c>
      <c r="B228">
        <f>IF('Equipment Information'!B228="","", 'Equipment Information'!B228)</f>
        <v/>
      </c>
      <c r="C228">
        <f>IF('Equipment Information'!C228="","", 'Equipment Information'!C228)</f>
        <v/>
      </c>
      <c r="G228">
        <f>IF(A228="","","N/A")</f>
        <v/>
      </c>
    </row>
    <row r="229">
      <c r="A229">
        <f>IF('Equipment Information'!A229="","", 'Equipment Information'!A229)</f>
        <v/>
      </c>
      <c r="B229">
        <f>IF('Equipment Information'!B229="","", 'Equipment Information'!B229)</f>
        <v/>
      </c>
      <c r="C229">
        <f>IF('Equipment Information'!C229="","", 'Equipment Information'!C229)</f>
        <v/>
      </c>
      <c r="G229">
        <f>IF(A229="","","N/A")</f>
        <v/>
      </c>
    </row>
    <row r="230">
      <c r="A230">
        <f>IF('Equipment Information'!A230="","", 'Equipment Information'!A230)</f>
        <v/>
      </c>
      <c r="B230">
        <f>IF('Equipment Information'!B230="","", 'Equipment Information'!B230)</f>
        <v/>
      </c>
      <c r="C230">
        <f>IF('Equipment Information'!C230="","", 'Equipment Information'!C230)</f>
        <v/>
      </c>
      <c r="G230">
        <f>IF(A230="","","N/A")</f>
        <v/>
      </c>
    </row>
    <row r="231">
      <c r="A231">
        <f>IF('Equipment Information'!A231="","", 'Equipment Information'!A231)</f>
        <v/>
      </c>
      <c r="B231">
        <f>IF('Equipment Information'!B231="","", 'Equipment Information'!B231)</f>
        <v/>
      </c>
      <c r="C231">
        <f>IF('Equipment Information'!C231="","", 'Equipment Information'!C231)</f>
        <v/>
      </c>
      <c r="G231">
        <f>IF(A231="","","N/A")</f>
        <v/>
      </c>
    </row>
    <row r="232">
      <c r="A232">
        <f>IF('Equipment Information'!A232="","", 'Equipment Information'!A232)</f>
        <v/>
      </c>
      <c r="B232">
        <f>IF('Equipment Information'!B232="","", 'Equipment Information'!B232)</f>
        <v/>
      </c>
      <c r="C232">
        <f>IF('Equipment Information'!C232="","", 'Equipment Information'!C232)</f>
        <v/>
      </c>
      <c r="G232">
        <f>IF(A232="","","N/A")</f>
        <v/>
      </c>
    </row>
    <row r="233">
      <c r="A233">
        <f>IF('Equipment Information'!A233="","", 'Equipment Information'!A233)</f>
        <v/>
      </c>
      <c r="B233">
        <f>IF('Equipment Information'!B233="","", 'Equipment Information'!B233)</f>
        <v/>
      </c>
      <c r="C233">
        <f>IF('Equipment Information'!C233="","", 'Equipment Information'!C233)</f>
        <v/>
      </c>
      <c r="G233">
        <f>IF(A233="","","N/A")</f>
        <v/>
      </c>
    </row>
    <row r="234">
      <c r="A234">
        <f>IF('Equipment Information'!A234="","", 'Equipment Information'!A234)</f>
        <v/>
      </c>
      <c r="B234">
        <f>IF('Equipment Information'!B234="","", 'Equipment Information'!B234)</f>
        <v/>
      </c>
      <c r="C234">
        <f>IF('Equipment Information'!C234="","", 'Equipment Information'!C234)</f>
        <v/>
      </c>
      <c r="G234">
        <f>IF(A234="","","N/A")</f>
        <v/>
      </c>
    </row>
    <row r="235">
      <c r="A235">
        <f>IF('Equipment Information'!A235="","", 'Equipment Information'!A235)</f>
        <v/>
      </c>
      <c r="B235">
        <f>IF('Equipment Information'!B235="","", 'Equipment Information'!B235)</f>
        <v/>
      </c>
      <c r="C235">
        <f>IF('Equipment Information'!C235="","", 'Equipment Information'!C235)</f>
        <v/>
      </c>
      <c r="G235">
        <f>IF(A235="","","N/A")</f>
        <v/>
      </c>
    </row>
    <row r="236">
      <c r="A236">
        <f>IF('Equipment Information'!A236="","", 'Equipment Information'!A236)</f>
        <v/>
      </c>
      <c r="B236">
        <f>IF('Equipment Information'!B236="","", 'Equipment Information'!B236)</f>
        <v/>
      </c>
      <c r="C236">
        <f>IF('Equipment Information'!C236="","", 'Equipment Information'!C236)</f>
        <v/>
      </c>
      <c r="G236">
        <f>IF(A236="","","N/A")</f>
        <v/>
      </c>
    </row>
    <row r="237">
      <c r="A237">
        <f>IF('Equipment Information'!A237="","", 'Equipment Information'!A237)</f>
        <v/>
      </c>
      <c r="B237">
        <f>IF('Equipment Information'!B237="","", 'Equipment Information'!B237)</f>
        <v/>
      </c>
      <c r="C237">
        <f>IF('Equipment Information'!C237="","", 'Equipment Information'!C237)</f>
        <v/>
      </c>
      <c r="G237">
        <f>IF(A237="","","N/A")</f>
        <v/>
      </c>
    </row>
    <row r="238">
      <c r="A238">
        <f>IF('Equipment Information'!A238="","", 'Equipment Information'!A238)</f>
        <v/>
      </c>
      <c r="B238">
        <f>IF('Equipment Information'!B238="","", 'Equipment Information'!B238)</f>
        <v/>
      </c>
      <c r="C238">
        <f>IF('Equipment Information'!C238="","", 'Equipment Information'!C238)</f>
        <v/>
      </c>
      <c r="G238">
        <f>IF(A238="","","N/A")</f>
        <v/>
      </c>
    </row>
    <row r="239">
      <c r="A239">
        <f>IF('Equipment Information'!A239="","", 'Equipment Information'!A239)</f>
        <v/>
      </c>
      <c r="B239">
        <f>IF('Equipment Information'!B239="","", 'Equipment Information'!B239)</f>
        <v/>
      </c>
      <c r="C239">
        <f>IF('Equipment Information'!C239="","", 'Equipment Information'!C239)</f>
        <v/>
      </c>
      <c r="G239">
        <f>IF(A239="","","N/A")</f>
        <v/>
      </c>
    </row>
    <row r="240">
      <c r="A240">
        <f>IF('Equipment Information'!A240="","", 'Equipment Information'!A240)</f>
        <v/>
      </c>
      <c r="B240">
        <f>IF('Equipment Information'!B240="","", 'Equipment Information'!B240)</f>
        <v/>
      </c>
      <c r="C240">
        <f>IF('Equipment Information'!C240="","", 'Equipment Information'!C240)</f>
        <v/>
      </c>
      <c r="G240">
        <f>IF(A240="","","N/A")</f>
        <v/>
      </c>
    </row>
    <row r="241">
      <c r="A241">
        <f>IF('Equipment Information'!A241="","", 'Equipment Information'!A241)</f>
        <v/>
      </c>
      <c r="B241">
        <f>IF('Equipment Information'!B241="","", 'Equipment Information'!B241)</f>
        <v/>
      </c>
      <c r="C241">
        <f>IF('Equipment Information'!C241="","", 'Equipment Information'!C241)</f>
        <v/>
      </c>
      <c r="G241">
        <f>IF(A241="","","N/A")</f>
        <v/>
      </c>
    </row>
    <row r="242">
      <c r="A242">
        <f>IF('Equipment Information'!A242="","", 'Equipment Information'!A242)</f>
        <v/>
      </c>
      <c r="B242">
        <f>IF('Equipment Information'!B242="","", 'Equipment Information'!B242)</f>
        <v/>
      </c>
      <c r="C242">
        <f>IF('Equipment Information'!C242="","", 'Equipment Information'!C242)</f>
        <v/>
      </c>
      <c r="G242">
        <f>IF(A242="","","N/A")</f>
        <v/>
      </c>
    </row>
    <row r="243">
      <c r="A243">
        <f>IF('Equipment Information'!A243="","", 'Equipment Information'!A243)</f>
        <v/>
      </c>
      <c r="B243">
        <f>IF('Equipment Information'!B243="","", 'Equipment Information'!B243)</f>
        <v/>
      </c>
      <c r="C243">
        <f>IF('Equipment Information'!C243="","", 'Equipment Information'!C243)</f>
        <v/>
      </c>
      <c r="G243">
        <f>IF(A243="","","N/A")</f>
        <v/>
      </c>
    </row>
    <row r="244">
      <c r="A244">
        <f>IF('Equipment Information'!A244="","", 'Equipment Information'!A244)</f>
        <v/>
      </c>
      <c r="B244">
        <f>IF('Equipment Information'!B244="","", 'Equipment Information'!B244)</f>
        <v/>
      </c>
      <c r="C244">
        <f>IF('Equipment Information'!C244="","", 'Equipment Information'!C244)</f>
        <v/>
      </c>
      <c r="G244">
        <f>IF(A244="","","N/A")</f>
        <v/>
      </c>
    </row>
    <row r="245">
      <c r="A245">
        <f>IF('Equipment Information'!A245="","", 'Equipment Information'!A245)</f>
        <v/>
      </c>
      <c r="B245">
        <f>IF('Equipment Information'!B245="","", 'Equipment Information'!B245)</f>
        <v/>
      </c>
      <c r="C245">
        <f>IF('Equipment Information'!C245="","", 'Equipment Information'!C245)</f>
        <v/>
      </c>
      <c r="G245">
        <f>IF(A245="","","N/A")</f>
        <v/>
      </c>
    </row>
    <row r="246">
      <c r="A246">
        <f>IF('Equipment Information'!A246="","", 'Equipment Information'!A246)</f>
        <v/>
      </c>
      <c r="B246">
        <f>IF('Equipment Information'!B246="","", 'Equipment Information'!B246)</f>
        <v/>
      </c>
      <c r="C246">
        <f>IF('Equipment Information'!C246="","", 'Equipment Information'!C246)</f>
        <v/>
      </c>
      <c r="G246">
        <f>IF(A246="","","N/A")</f>
        <v/>
      </c>
    </row>
    <row r="247">
      <c r="A247">
        <f>IF('Equipment Information'!A247="","", 'Equipment Information'!A247)</f>
        <v/>
      </c>
      <c r="B247">
        <f>IF('Equipment Information'!B247="","", 'Equipment Information'!B247)</f>
        <v/>
      </c>
      <c r="C247">
        <f>IF('Equipment Information'!C247="","", 'Equipment Information'!C247)</f>
        <v/>
      </c>
      <c r="G247">
        <f>IF(A247="","","N/A")</f>
        <v/>
      </c>
    </row>
    <row r="248">
      <c r="A248">
        <f>IF('Equipment Information'!A248="","", 'Equipment Information'!A248)</f>
        <v/>
      </c>
      <c r="B248">
        <f>IF('Equipment Information'!B248="","", 'Equipment Information'!B248)</f>
        <v/>
      </c>
      <c r="C248">
        <f>IF('Equipment Information'!C248="","", 'Equipment Information'!C248)</f>
        <v/>
      </c>
      <c r="G248">
        <f>IF(A248="","","N/A")</f>
        <v/>
      </c>
    </row>
    <row r="249">
      <c r="A249">
        <f>IF('Equipment Information'!A249="","", 'Equipment Information'!A249)</f>
        <v/>
      </c>
      <c r="B249">
        <f>IF('Equipment Information'!B249="","", 'Equipment Information'!B249)</f>
        <v/>
      </c>
      <c r="C249">
        <f>IF('Equipment Information'!C249="","", 'Equipment Information'!C249)</f>
        <v/>
      </c>
      <c r="G249">
        <f>IF(A249="","","N/A")</f>
        <v/>
      </c>
    </row>
    <row r="250">
      <c r="A250">
        <f>IF('Equipment Information'!A250="","", 'Equipment Information'!A250)</f>
        <v/>
      </c>
      <c r="B250">
        <f>IF('Equipment Information'!B250="","", 'Equipment Information'!B250)</f>
        <v/>
      </c>
      <c r="C250">
        <f>IF('Equipment Information'!C250="","", 'Equipment Information'!C250)</f>
        <v/>
      </c>
      <c r="G250">
        <f>IF(A250="","","N/A")</f>
        <v/>
      </c>
    </row>
    <row r="251">
      <c r="A251">
        <f>IF('Equipment Information'!A251="","", 'Equipment Information'!A251)</f>
        <v/>
      </c>
      <c r="B251">
        <f>IF('Equipment Information'!B251="","", 'Equipment Information'!B251)</f>
        <v/>
      </c>
      <c r="C251">
        <f>IF('Equipment Information'!C251="","", 'Equipment Information'!C251)</f>
        <v/>
      </c>
      <c r="G251">
        <f>IF(A251="","","N/A")</f>
        <v/>
      </c>
    </row>
    <row r="252">
      <c r="A252">
        <f>IF('Equipment Information'!A252="","", 'Equipment Information'!A252)</f>
        <v/>
      </c>
      <c r="B252">
        <f>IF('Equipment Information'!B252="","", 'Equipment Information'!B252)</f>
        <v/>
      </c>
      <c r="C252">
        <f>IF('Equipment Information'!C252="","", 'Equipment Information'!C252)</f>
        <v/>
      </c>
      <c r="G252">
        <f>IF(A252="","","N/A")</f>
        <v/>
      </c>
    </row>
    <row r="253">
      <c r="A253">
        <f>IF('Equipment Information'!A253="","", 'Equipment Information'!A253)</f>
        <v/>
      </c>
      <c r="B253">
        <f>IF('Equipment Information'!B253="","", 'Equipment Information'!B253)</f>
        <v/>
      </c>
      <c r="C253">
        <f>IF('Equipment Information'!C253="","", 'Equipment Information'!C253)</f>
        <v/>
      </c>
      <c r="G253">
        <f>IF(A253="","","N/A")</f>
        <v/>
      </c>
    </row>
    <row r="254">
      <c r="A254">
        <f>IF('Equipment Information'!A254="","", 'Equipment Information'!A254)</f>
        <v/>
      </c>
      <c r="B254">
        <f>IF('Equipment Information'!B254="","", 'Equipment Information'!B254)</f>
        <v/>
      </c>
      <c r="C254">
        <f>IF('Equipment Information'!C254="","", 'Equipment Information'!C254)</f>
        <v/>
      </c>
      <c r="G254">
        <f>IF(A254="","","N/A")</f>
        <v/>
      </c>
    </row>
    <row r="255">
      <c r="A255">
        <f>IF('Equipment Information'!A255="","", 'Equipment Information'!A255)</f>
        <v/>
      </c>
      <c r="B255">
        <f>IF('Equipment Information'!B255="","", 'Equipment Information'!B255)</f>
        <v/>
      </c>
      <c r="C255">
        <f>IF('Equipment Information'!C255="","", 'Equipment Information'!C255)</f>
        <v/>
      </c>
      <c r="G255">
        <f>IF(A255="","","N/A")</f>
        <v/>
      </c>
    </row>
    <row r="256">
      <c r="A256">
        <f>IF('Equipment Information'!A256="","", 'Equipment Information'!A256)</f>
        <v/>
      </c>
      <c r="B256">
        <f>IF('Equipment Information'!B256="","", 'Equipment Information'!B256)</f>
        <v/>
      </c>
      <c r="C256">
        <f>IF('Equipment Information'!C256="","", 'Equipment Information'!C256)</f>
        <v/>
      </c>
      <c r="G256">
        <f>IF(A256="","","N/A")</f>
        <v/>
      </c>
    </row>
    <row r="257">
      <c r="A257">
        <f>IF('Equipment Information'!A257="","", 'Equipment Information'!A257)</f>
        <v/>
      </c>
      <c r="B257">
        <f>IF('Equipment Information'!B257="","", 'Equipment Information'!B257)</f>
        <v/>
      </c>
      <c r="C257">
        <f>IF('Equipment Information'!C257="","", 'Equipment Information'!C257)</f>
        <v/>
      </c>
      <c r="G257">
        <f>IF(A257="","","N/A")</f>
        <v/>
      </c>
    </row>
    <row r="258">
      <c r="A258">
        <f>IF('Equipment Information'!A258="","", 'Equipment Information'!A258)</f>
        <v/>
      </c>
      <c r="B258">
        <f>IF('Equipment Information'!B258="","", 'Equipment Information'!B258)</f>
        <v/>
      </c>
      <c r="C258">
        <f>IF('Equipment Information'!C258="","", 'Equipment Information'!C258)</f>
        <v/>
      </c>
      <c r="G258">
        <f>IF(A258="","","N/A")</f>
        <v/>
      </c>
    </row>
    <row r="259">
      <c r="A259">
        <f>IF('Equipment Information'!A259="","", 'Equipment Information'!A259)</f>
        <v/>
      </c>
      <c r="B259">
        <f>IF('Equipment Information'!B259="","", 'Equipment Information'!B259)</f>
        <v/>
      </c>
      <c r="C259">
        <f>IF('Equipment Information'!C259="","", 'Equipment Information'!C259)</f>
        <v/>
      </c>
      <c r="G259">
        <f>IF(A259="","","N/A")</f>
        <v/>
      </c>
    </row>
    <row r="260">
      <c r="A260">
        <f>IF('Equipment Information'!A260="","", 'Equipment Information'!A260)</f>
        <v/>
      </c>
      <c r="B260">
        <f>IF('Equipment Information'!B260="","", 'Equipment Information'!B260)</f>
        <v/>
      </c>
      <c r="C260">
        <f>IF('Equipment Information'!C260="","", 'Equipment Information'!C260)</f>
        <v/>
      </c>
      <c r="G260">
        <f>IF(A260="","","N/A")</f>
        <v/>
      </c>
    </row>
    <row r="261">
      <c r="A261">
        <f>IF('Equipment Information'!A261="","", 'Equipment Information'!A261)</f>
        <v/>
      </c>
      <c r="B261">
        <f>IF('Equipment Information'!B261="","", 'Equipment Information'!B261)</f>
        <v/>
      </c>
      <c r="C261">
        <f>IF('Equipment Information'!C261="","", 'Equipment Information'!C261)</f>
        <v/>
      </c>
      <c r="G261">
        <f>IF(A261="","","N/A")</f>
        <v/>
      </c>
    </row>
    <row r="262">
      <c r="A262">
        <f>IF('Equipment Information'!A262="","", 'Equipment Information'!A262)</f>
        <v/>
      </c>
      <c r="B262">
        <f>IF('Equipment Information'!B262="","", 'Equipment Information'!B262)</f>
        <v/>
      </c>
      <c r="C262">
        <f>IF('Equipment Information'!C262="","", 'Equipment Information'!C262)</f>
        <v/>
      </c>
      <c r="G262">
        <f>IF(A262="","","N/A")</f>
        <v/>
      </c>
    </row>
    <row r="263">
      <c r="A263">
        <f>IF('Equipment Information'!A263="","", 'Equipment Information'!A263)</f>
        <v/>
      </c>
      <c r="B263">
        <f>IF('Equipment Information'!B263="","", 'Equipment Information'!B263)</f>
        <v/>
      </c>
      <c r="C263">
        <f>IF('Equipment Information'!C263="","", 'Equipment Information'!C263)</f>
        <v/>
      </c>
      <c r="G263">
        <f>IF(A263="","","N/A")</f>
        <v/>
      </c>
    </row>
    <row r="264">
      <c r="A264">
        <f>IF('Equipment Information'!A264="","", 'Equipment Information'!A264)</f>
        <v/>
      </c>
      <c r="B264">
        <f>IF('Equipment Information'!B264="","", 'Equipment Information'!B264)</f>
        <v/>
      </c>
      <c r="C264">
        <f>IF('Equipment Information'!C264="","", 'Equipment Information'!C264)</f>
        <v/>
      </c>
      <c r="G264">
        <f>IF(A264="","","N/A")</f>
        <v/>
      </c>
    </row>
    <row r="265">
      <c r="A265">
        <f>IF('Equipment Information'!A265="","", 'Equipment Information'!A265)</f>
        <v/>
      </c>
      <c r="B265">
        <f>IF('Equipment Information'!B265="","", 'Equipment Information'!B265)</f>
        <v/>
      </c>
      <c r="C265">
        <f>IF('Equipment Information'!C265="","", 'Equipment Information'!C265)</f>
        <v/>
      </c>
      <c r="G265">
        <f>IF(A265="","","N/A")</f>
        <v/>
      </c>
    </row>
    <row r="266">
      <c r="A266">
        <f>IF('Equipment Information'!A266="","", 'Equipment Information'!A266)</f>
        <v/>
      </c>
      <c r="B266">
        <f>IF('Equipment Information'!B266="","", 'Equipment Information'!B266)</f>
        <v/>
      </c>
      <c r="C266">
        <f>IF('Equipment Information'!C266="","", 'Equipment Information'!C266)</f>
        <v/>
      </c>
      <c r="G266">
        <f>IF(A266="","","N/A")</f>
        <v/>
      </c>
    </row>
    <row r="267">
      <c r="A267">
        <f>IF('Equipment Information'!A267="","", 'Equipment Information'!A267)</f>
        <v/>
      </c>
      <c r="B267">
        <f>IF('Equipment Information'!B267="","", 'Equipment Information'!B267)</f>
        <v/>
      </c>
      <c r="C267">
        <f>IF('Equipment Information'!C267="","", 'Equipment Information'!C267)</f>
        <v/>
      </c>
      <c r="G267">
        <f>IF(A267="","","N/A")</f>
        <v/>
      </c>
    </row>
    <row r="268">
      <c r="A268">
        <f>IF('Equipment Information'!A268="","", 'Equipment Information'!A268)</f>
        <v/>
      </c>
      <c r="B268">
        <f>IF('Equipment Information'!B268="","", 'Equipment Information'!B268)</f>
        <v/>
      </c>
      <c r="C268">
        <f>IF('Equipment Information'!C268="","", 'Equipment Information'!C268)</f>
        <v/>
      </c>
      <c r="G268">
        <f>IF(A268="","","N/A")</f>
        <v/>
      </c>
    </row>
    <row r="269">
      <c r="A269">
        <f>IF('Equipment Information'!A269="","", 'Equipment Information'!A269)</f>
        <v/>
      </c>
      <c r="B269">
        <f>IF('Equipment Information'!B269="","", 'Equipment Information'!B269)</f>
        <v/>
      </c>
      <c r="C269">
        <f>IF('Equipment Information'!C269="","", 'Equipment Information'!C269)</f>
        <v/>
      </c>
      <c r="G269">
        <f>IF(A269="","","N/A")</f>
        <v/>
      </c>
    </row>
    <row r="270">
      <c r="A270">
        <f>IF('Equipment Information'!A270="","", 'Equipment Information'!A270)</f>
        <v/>
      </c>
      <c r="B270">
        <f>IF('Equipment Information'!B270="","", 'Equipment Information'!B270)</f>
        <v/>
      </c>
      <c r="C270">
        <f>IF('Equipment Information'!C270="","", 'Equipment Information'!C270)</f>
        <v/>
      </c>
      <c r="G270">
        <f>IF(A270="","","N/A")</f>
        <v/>
      </c>
    </row>
    <row r="271">
      <c r="A271">
        <f>IF('Equipment Information'!A271="","", 'Equipment Information'!A271)</f>
        <v/>
      </c>
      <c r="B271">
        <f>IF('Equipment Information'!B271="","", 'Equipment Information'!B271)</f>
        <v/>
      </c>
      <c r="C271">
        <f>IF('Equipment Information'!C271="","", 'Equipment Information'!C271)</f>
        <v/>
      </c>
      <c r="G271">
        <f>IF(A271="","","N/A")</f>
        <v/>
      </c>
    </row>
    <row r="272">
      <c r="A272">
        <f>IF('Equipment Information'!A272="","", 'Equipment Information'!A272)</f>
        <v/>
      </c>
      <c r="B272">
        <f>IF('Equipment Information'!B272="","", 'Equipment Information'!B272)</f>
        <v/>
      </c>
      <c r="C272">
        <f>IF('Equipment Information'!C272="","", 'Equipment Information'!C272)</f>
        <v/>
      </c>
      <c r="G272">
        <f>IF(A272="","","N/A")</f>
        <v/>
      </c>
    </row>
    <row r="273">
      <c r="A273">
        <f>IF('Equipment Information'!A273="","", 'Equipment Information'!A273)</f>
        <v/>
      </c>
      <c r="B273">
        <f>IF('Equipment Information'!B273="","", 'Equipment Information'!B273)</f>
        <v/>
      </c>
      <c r="C273">
        <f>IF('Equipment Information'!C273="","", 'Equipment Information'!C273)</f>
        <v/>
      </c>
      <c r="G273">
        <f>IF(A273="","","N/A")</f>
        <v/>
      </c>
    </row>
    <row r="274">
      <c r="A274">
        <f>IF('Equipment Information'!A274="","", 'Equipment Information'!A274)</f>
        <v/>
      </c>
      <c r="B274">
        <f>IF('Equipment Information'!B274="","", 'Equipment Information'!B274)</f>
        <v/>
      </c>
      <c r="C274">
        <f>IF('Equipment Information'!C274="","", 'Equipment Information'!C274)</f>
        <v/>
      </c>
      <c r="G274">
        <f>IF(A274="","","N/A")</f>
        <v/>
      </c>
    </row>
    <row r="275">
      <c r="A275">
        <f>IF('Equipment Information'!A275="","", 'Equipment Information'!A275)</f>
        <v/>
      </c>
      <c r="B275">
        <f>IF('Equipment Information'!B275="","", 'Equipment Information'!B275)</f>
        <v/>
      </c>
      <c r="C275">
        <f>IF('Equipment Information'!C275="","", 'Equipment Information'!C275)</f>
        <v/>
      </c>
      <c r="G275">
        <f>IF(A275="","","N/A")</f>
        <v/>
      </c>
    </row>
    <row r="276">
      <c r="A276">
        <f>IF('Equipment Information'!A276="","", 'Equipment Information'!A276)</f>
        <v/>
      </c>
      <c r="B276">
        <f>IF('Equipment Information'!B276="","", 'Equipment Information'!B276)</f>
        <v/>
      </c>
      <c r="C276">
        <f>IF('Equipment Information'!C276="","", 'Equipment Information'!C276)</f>
        <v/>
      </c>
      <c r="G276">
        <f>IF(A276="","","N/A")</f>
        <v/>
      </c>
    </row>
    <row r="277">
      <c r="A277">
        <f>IF('Equipment Information'!A277="","", 'Equipment Information'!A277)</f>
        <v/>
      </c>
      <c r="B277">
        <f>IF('Equipment Information'!B277="","", 'Equipment Information'!B277)</f>
        <v/>
      </c>
      <c r="C277">
        <f>IF('Equipment Information'!C277="","", 'Equipment Information'!C277)</f>
        <v/>
      </c>
      <c r="G277">
        <f>IF(A277="","","N/A")</f>
        <v/>
      </c>
    </row>
    <row r="278">
      <c r="A278">
        <f>IF('Equipment Information'!A278="","", 'Equipment Information'!A278)</f>
        <v/>
      </c>
      <c r="B278">
        <f>IF('Equipment Information'!B278="","", 'Equipment Information'!B278)</f>
        <v/>
      </c>
      <c r="C278">
        <f>IF('Equipment Information'!C278="","", 'Equipment Information'!C278)</f>
        <v/>
      </c>
      <c r="G278">
        <f>IF(A278="","","N/A")</f>
        <v/>
      </c>
    </row>
    <row r="279">
      <c r="A279">
        <f>IF('Equipment Information'!A279="","", 'Equipment Information'!A279)</f>
        <v/>
      </c>
      <c r="B279">
        <f>IF('Equipment Information'!B279="","", 'Equipment Information'!B279)</f>
        <v/>
      </c>
      <c r="C279">
        <f>IF('Equipment Information'!C279="","", 'Equipment Information'!C279)</f>
        <v/>
      </c>
      <c r="G279">
        <f>IF(A279="","","N/A")</f>
        <v/>
      </c>
    </row>
    <row r="280">
      <c r="A280">
        <f>IF('Equipment Information'!A280="","", 'Equipment Information'!A280)</f>
        <v/>
      </c>
      <c r="B280">
        <f>IF('Equipment Information'!B280="","", 'Equipment Information'!B280)</f>
        <v/>
      </c>
      <c r="C280">
        <f>IF('Equipment Information'!C280="","", 'Equipment Information'!C280)</f>
        <v/>
      </c>
      <c r="G280">
        <f>IF(A280="","","N/A")</f>
        <v/>
      </c>
    </row>
    <row r="281">
      <c r="A281">
        <f>IF('Equipment Information'!A281="","", 'Equipment Information'!A281)</f>
        <v/>
      </c>
      <c r="B281">
        <f>IF('Equipment Information'!B281="","", 'Equipment Information'!B281)</f>
        <v/>
      </c>
      <c r="C281">
        <f>IF('Equipment Information'!C281="","", 'Equipment Information'!C281)</f>
        <v/>
      </c>
      <c r="G281">
        <f>IF(A281="","","N/A")</f>
        <v/>
      </c>
    </row>
    <row r="282">
      <c r="A282">
        <f>IF('Equipment Information'!A282="","", 'Equipment Information'!A282)</f>
        <v/>
      </c>
      <c r="B282">
        <f>IF('Equipment Information'!B282="","", 'Equipment Information'!B282)</f>
        <v/>
      </c>
      <c r="C282">
        <f>IF('Equipment Information'!C282="","", 'Equipment Information'!C282)</f>
        <v/>
      </c>
      <c r="G282">
        <f>IF(A282="","","N/A")</f>
        <v/>
      </c>
    </row>
    <row r="283">
      <c r="A283">
        <f>IF('Equipment Information'!A283="","", 'Equipment Information'!A283)</f>
        <v/>
      </c>
      <c r="B283">
        <f>IF('Equipment Information'!B283="","", 'Equipment Information'!B283)</f>
        <v/>
      </c>
      <c r="C283">
        <f>IF('Equipment Information'!C283="","", 'Equipment Information'!C283)</f>
        <v/>
      </c>
      <c r="G283">
        <f>IF(A283="","","N/A")</f>
        <v/>
      </c>
    </row>
    <row r="284">
      <c r="A284">
        <f>IF('Equipment Information'!A284="","", 'Equipment Information'!A284)</f>
        <v/>
      </c>
      <c r="B284">
        <f>IF('Equipment Information'!B284="","", 'Equipment Information'!B284)</f>
        <v/>
      </c>
      <c r="C284">
        <f>IF('Equipment Information'!C284="","", 'Equipment Information'!C284)</f>
        <v/>
      </c>
      <c r="G284">
        <f>IF(A284="","","N/A")</f>
        <v/>
      </c>
    </row>
    <row r="285">
      <c r="A285">
        <f>IF('Equipment Information'!A285="","", 'Equipment Information'!A285)</f>
        <v/>
      </c>
      <c r="B285">
        <f>IF('Equipment Information'!B285="","", 'Equipment Information'!B285)</f>
        <v/>
      </c>
      <c r="C285">
        <f>IF('Equipment Information'!C285="","", 'Equipment Information'!C285)</f>
        <v/>
      </c>
      <c r="G285">
        <f>IF(A285="","","N/A")</f>
        <v/>
      </c>
    </row>
    <row r="286">
      <c r="A286">
        <f>IF('Equipment Information'!A286="","", 'Equipment Information'!A286)</f>
        <v/>
      </c>
      <c r="B286">
        <f>IF('Equipment Information'!B286="","", 'Equipment Information'!B286)</f>
        <v/>
      </c>
      <c r="C286">
        <f>IF('Equipment Information'!C286="","", 'Equipment Information'!C286)</f>
        <v/>
      </c>
      <c r="G286">
        <f>IF(A286="","","N/A")</f>
        <v/>
      </c>
    </row>
    <row r="287">
      <c r="A287">
        <f>IF('Equipment Information'!A287="","", 'Equipment Information'!A287)</f>
        <v/>
      </c>
      <c r="B287">
        <f>IF('Equipment Information'!B287="","", 'Equipment Information'!B287)</f>
        <v/>
      </c>
      <c r="C287">
        <f>IF('Equipment Information'!C287="","", 'Equipment Information'!C287)</f>
        <v/>
      </c>
      <c r="G287">
        <f>IF(A287="","","N/A")</f>
        <v/>
      </c>
    </row>
    <row r="288">
      <c r="A288">
        <f>IF('Equipment Information'!A288="","", 'Equipment Information'!A288)</f>
        <v/>
      </c>
      <c r="B288">
        <f>IF('Equipment Information'!B288="","", 'Equipment Information'!B288)</f>
        <v/>
      </c>
      <c r="C288">
        <f>IF('Equipment Information'!C288="","", 'Equipment Information'!C288)</f>
        <v/>
      </c>
      <c r="G288">
        <f>IF(A288="","","N/A")</f>
        <v/>
      </c>
    </row>
    <row r="289">
      <c r="A289">
        <f>IF('Equipment Information'!A289="","", 'Equipment Information'!A289)</f>
        <v/>
      </c>
      <c r="B289">
        <f>IF('Equipment Information'!B289="","", 'Equipment Information'!B289)</f>
        <v/>
      </c>
      <c r="C289">
        <f>IF('Equipment Information'!C289="","", 'Equipment Information'!C289)</f>
        <v/>
      </c>
      <c r="G289">
        <f>IF(A289="","","N/A")</f>
        <v/>
      </c>
    </row>
    <row r="290">
      <c r="A290">
        <f>IF('Equipment Information'!A290="","", 'Equipment Information'!A290)</f>
        <v/>
      </c>
      <c r="B290">
        <f>IF('Equipment Information'!B290="","", 'Equipment Information'!B290)</f>
        <v/>
      </c>
      <c r="C290">
        <f>IF('Equipment Information'!C290="","", 'Equipment Information'!C290)</f>
        <v/>
      </c>
      <c r="G290">
        <f>IF(A290="","","N/A")</f>
        <v/>
      </c>
    </row>
    <row r="291">
      <c r="A291">
        <f>IF('Equipment Information'!A291="","", 'Equipment Information'!A291)</f>
        <v/>
      </c>
      <c r="B291">
        <f>IF('Equipment Information'!B291="","", 'Equipment Information'!B291)</f>
        <v/>
      </c>
      <c r="C291">
        <f>IF('Equipment Information'!C291="","", 'Equipment Information'!C291)</f>
        <v/>
      </c>
      <c r="G291">
        <f>IF(A291="","","N/A")</f>
        <v/>
      </c>
    </row>
    <row r="292">
      <c r="A292">
        <f>IF('Equipment Information'!A292="","", 'Equipment Information'!A292)</f>
        <v/>
      </c>
      <c r="B292">
        <f>IF('Equipment Information'!B292="","", 'Equipment Information'!B292)</f>
        <v/>
      </c>
      <c r="C292">
        <f>IF('Equipment Information'!C292="","", 'Equipment Information'!C292)</f>
        <v/>
      </c>
      <c r="G292">
        <f>IF(A292="","","N/A")</f>
        <v/>
      </c>
    </row>
    <row r="293">
      <c r="A293">
        <f>IF('Equipment Information'!A293="","", 'Equipment Information'!A293)</f>
        <v/>
      </c>
      <c r="B293">
        <f>IF('Equipment Information'!B293="","", 'Equipment Information'!B293)</f>
        <v/>
      </c>
      <c r="C293">
        <f>IF('Equipment Information'!C293="","", 'Equipment Information'!C293)</f>
        <v/>
      </c>
      <c r="G293">
        <f>IF(A293="","","N/A")</f>
        <v/>
      </c>
    </row>
    <row r="294">
      <c r="A294">
        <f>IF('Equipment Information'!A294="","", 'Equipment Information'!A294)</f>
        <v/>
      </c>
      <c r="B294">
        <f>IF('Equipment Information'!B294="","", 'Equipment Information'!B294)</f>
        <v/>
      </c>
      <c r="C294">
        <f>IF('Equipment Information'!C294="","", 'Equipment Information'!C294)</f>
        <v/>
      </c>
      <c r="G294">
        <f>IF(A294="","","N/A")</f>
        <v/>
      </c>
    </row>
    <row r="295">
      <c r="A295">
        <f>IF('Equipment Information'!A295="","", 'Equipment Information'!A295)</f>
        <v/>
      </c>
      <c r="B295">
        <f>IF('Equipment Information'!B295="","", 'Equipment Information'!B295)</f>
        <v/>
      </c>
      <c r="C295">
        <f>IF('Equipment Information'!C295="","", 'Equipment Information'!C295)</f>
        <v/>
      </c>
      <c r="G295">
        <f>IF(A295="","","N/A")</f>
        <v/>
      </c>
    </row>
    <row r="296">
      <c r="A296">
        <f>IF('Equipment Information'!A296="","", 'Equipment Information'!A296)</f>
        <v/>
      </c>
      <c r="B296">
        <f>IF('Equipment Information'!B296="","", 'Equipment Information'!B296)</f>
        <v/>
      </c>
      <c r="C296">
        <f>IF('Equipment Information'!C296="","", 'Equipment Information'!C296)</f>
        <v/>
      </c>
      <c r="G296">
        <f>IF(A296="","","N/A")</f>
        <v/>
      </c>
    </row>
    <row r="297">
      <c r="A297">
        <f>IF('Equipment Information'!A297="","", 'Equipment Information'!A297)</f>
        <v/>
      </c>
      <c r="B297">
        <f>IF('Equipment Information'!B297="","", 'Equipment Information'!B297)</f>
        <v/>
      </c>
      <c r="C297">
        <f>IF('Equipment Information'!C297="","", 'Equipment Information'!C297)</f>
        <v/>
      </c>
      <c r="G297">
        <f>IF(A297="","","N/A")</f>
        <v/>
      </c>
    </row>
    <row r="298">
      <c r="A298">
        <f>IF('Equipment Information'!A298="","", 'Equipment Information'!A298)</f>
        <v/>
      </c>
      <c r="B298">
        <f>IF('Equipment Information'!B298="","", 'Equipment Information'!B298)</f>
        <v/>
      </c>
      <c r="C298">
        <f>IF('Equipment Information'!C298="","", 'Equipment Information'!C298)</f>
        <v/>
      </c>
      <c r="G298">
        <f>IF(A298="","","N/A")</f>
        <v/>
      </c>
    </row>
    <row r="299">
      <c r="A299">
        <f>IF('Equipment Information'!A299="","", 'Equipment Information'!A299)</f>
        <v/>
      </c>
      <c r="B299">
        <f>IF('Equipment Information'!B299="","", 'Equipment Information'!B299)</f>
        <v/>
      </c>
      <c r="C299">
        <f>IF('Equipment Information'!C299="","", 'Equipment Information'!C299)</f>
        <v/>
      </c>
      <c r="G299">
        <f>IF(A299="","","N/A")</f>
        <v/>
      </c>
    </row>
    <row r="300">
      <c r="A300">
        <f>IF('Equipment Information'!A300="","", 'Equipment Information'!A300)</f>
        <v/>
      </c>
      <c r="B300">
        <f>IF('Equipment Information'!B300="","", 'Equipment Information'!B300)</f>
        <v/>
      </c>
      <c r="C300">
        <f>IF('Equipment Information'!C300="","", 'Equipment Information'!C300)</f>
        <v/>
      </c>
      <c r="G300">
        <f>IF(A300="","","N/A")</f>
        <v/>
      </c>
    </row>
    <row r="301">
      <c r="A301">
        <f>IF('Equipment Information'!A301="","", 'Equipment Information'!A301)</f>
        <v/>
      </c>
      <c r="B301">
        <f>IF('Equipment Information'!B301="","", 'Equipment Information'!B301)</f>
        <v/>
      </c>
      <c r="C301">
        <f>IF('Equipment Information'!C301="","", 'Equipment Information'!C301)</f>
        <v/>
      </c>
      <c r="G301">
        <f>IF(A301="","","N/A")</f>
        <v/>
      </c>
    </row>
    <row r="302">
      <c r="A302">
        <f>IF('Equipment Information'!A302="","", 'Equipment Information'!A302)</f>
        <v/>
      </c>
      <c r="B302">
        <f>IF('Equipment Information'!B302="","", 'Equipment Information'!B302)</f>
        <v/>
      </c>
      <c r="C302">
        <f>IF('Equipment Information'!C302="","", 'Equipment Information'!C302)</f>
        <v/>
      </c>
      <c r="G302">
        <f>IF(A302="","","N/A")</f>
        <v/>
      </c>
    </row>
    <row r="303">
      <c r="A303">
        <f>IF('Equipment Information'!A303="","", 'Equipment Information'!A303)</f>
        <v/>
      </c>
      <c r="B303">
        <f>IF('Equipment Information'!B303="","", 'Equipment Information'!B303)</f>
        <v/>
      </c>
      <c r="C303">
        <f>IF('Equipment Information'!C303="","", 'Equipment Information'!C303)</f>
        <v/>
      </c>
      <c r="G303">
        <f>IF(A303="","","N/A")</f>
        <v/>
      </c>
    </row>
    <row r="304">
      <c r="A304">
        <f>IF('Equipment Information'!A304="","", 'Equipment Information'!A304)</f>
        <v/>
      </c>
      <c r="B304">
        <f>IF('Equipment Information'!B304="","", 'Equipment Information'!B304)</f>
        <v/>
      </c>
      <c r="C304">
        <f>IF('Equipment Information'!C304="","", 'Equipment Information'!C304)</f>
        <v/>
      </c>
      <c r="G304">
        <f>IF(A304="","","N/A")</f>
        <v/>
      </c>
    </row>
    <row r="305">
      <c r="A305">
        <f>IF('Equipment Information'!A305="","", 'Equipment Information'!A305)</f>
        <v/>
      </c>
      <c r="B305">
        <f>IF('Equipment Information'!B305="","", 'Equipment Information'!B305)</f>
        <v/>
      </c>
      <c r="C305">
        <f>IF('Equipment Information'!C305="","", 'Equipment Information'!C305)</f>
        <v/>
      </c>
      <c r="G305">
        <f>IF(A305="","","N/A")</f>
        <v/>
      </c>
    </row>
    <row r="306">
      <c r="A306">
        <f>IF('Equipment Information'!A306="","", 'Equipment Information'!A306)</f>
        <v/>
      </c>
      <c r="B306">
        <f>IF('Equipment Information'!B306="","", 'Equipment Information'!B306)</f>
        <v/>
      </c>
      <c r="C306">
        <f>IF('Equipment Information'!C306="","", 'Equipment Information'!C306)</f>
        <v/>
      </c>
      <c r="G306">
        <f>IF(A306="","","N/A")</f>
        <v/>
      </c>
    </row>
    <row r="307">
      <c r="A307">
        <f>IF('Equipment Information'!A307="","", 'Equipment Information'!A307)</f>
        <v/>
      </c>
      <c r="B307">
        <f>IF('Equipment Information'!B307="","", 'Equipment Information'!B307)</f>
        <v/>
      </c>
      <c r="C307">
        <f>IF('Equipment Information'!C307="","", 'Equipment Information'!C307)</f>
        <v/>
      </c>
      <c r="G307">
        <f>IF(A307="","","N/A")</f>
        <v/>
      </c>
    </row>
    <row r="308">
      <c r="A308">
        <f>IF('Equipment Information'!A308="","", 'Equipment Information'!A308)</f>
        <v/>
      </c>
      <c r="B308">
        <f>IF('Equipment Information'!B308="","", 'Equipment Information'!B308)</f>
        <v/>
      </c>
      <c r="C308">
        <f>IF('Equipment Information'!C308="","", 'Equipment Information'!C308)</f>
        <v/>
      </c>
      <c r="G308">
        <f>IF(A308="","","N/A")</f>
        <v/>
      </c>
    </row>
    <row r="309">
      <c r="A309">
        <f>IF('Equipment Information'!A309="","", 'Equipment Information'!A309)</f>
        <v/>
      </c>
      <c r="B309">
        <f>IF('Equipment Information'!B309="","", 'Equipment Information'!B309)</f>
        <v/>
      </c>
      <c r="C309">
        <f>IF('Equipment Information'!C309="","", 'Equipment Information'!C309)</f>
        <v/>
      </c>
      <c r="G309">
        <f>IF(A309="","","N/A")</f>
        <v/>
      </c>
    </row>
    <row r="310">
      <c r="A310">
        <f>IF('Equipment Information'!A310="","", 'Equipment Information'!A310)</f>
        <v/>
      </c>
      <c r="B310">
        <f>IF('Equipment Information'!B310="","", 'Equipment Information'!B310)</f>
        <v/>
      </c>
      <c r="C310">
        <f>IF('Equipment Information'!C310="","", 'Equipment Information'!C310)</f>
        <v/>
      </c>
      <c r="G310">
        <f>IF(A310="","","N/A")</f>
        <v/>
      </c>
    </row>
    <row r="311">
      <c r="A311">
        <f>IF('Equipment Information'!A311="","", 'Equipment Information'!A311)</f>
        <v/>
      </c>
      <c r="B311">
        <f>IF('Equipment Information'!B311="","", 'Equipment Information'!B311)</f>
        <v/>
      </c>
      <c r="C311">
        <f>IF('Equipment Information'!C311="","", 'Equipment Information'!C311)</f>
        <v/>
      </c>
      <c r="G311">
        <f>IF(A311="","","N/A")</f>
        <v/>
      </c>
    </row>
    <row r="312">
      <c r="A312">
        <f>IF('Equipment Information'!A312="","", 'Equipment Information'!A312)</f>
        <v/>
      </c>
      <c r="B312">
        <f>IF('Equipment Information'!B312="","", 'Equipment Information'!B312)</f>
        <v/>
      </c>
      <c r="C312">
        <f>IF('Equipment Information'!C312="","", 'Equipment Information'!C312)</f>
        <v/>
      </c>
      <c r="G312">
        <f>IF(A312="","","N/A")</f>
        <v/>
      </c>
    </row>
    <row r="313">
      <c r="A313">
        <f>IF('Equipment Information'!A313="","", 'Equipment Information'!A313)</f>
        <v/>
      </c>
      <c r="B313">
        <f>IF('Equipment Information'!B313="","", 'Equipment Information'!B313)</f>
        <v/>
      </c>
      <c r="C313">
        <f>IF('Equipment Information'!C313="","", 'Equipment Information'!C313)</f>
        <v/>
      </c>
      <c r="G313">
        <f>IF(A313="","","N/A")</f>
        <v/>
      </c>
    </row>
    <row r="314">
      <c r="A314">
        <f>IF('Equipment Information'!A314="","", 'Equipment Information'!A314)</f>
        <v/>
      </c>
      <c r="B314">
        <f>IF('Equipment Information'!B314="","", 'Equipment Information'!B314)</f>
        <v/>
      </c>
      <c r="C314">
        <f>IF('Equipment Information'!C314="","", 'Equipment Information'!C314)</f>
        <v/>
      </c>
      <c r="G314">
        <f>IF(A314="","","N/A")</f>
        <v/>
      </c>
    </row>
    <row r="315">
      <c r="A315">
        <f>IF('Equipment Information'!A315="","", 'Equipment Information'!A315)</f>
        <v/>
      </c>
      <c r="B315">
        <f>IF('Equipment Information'!B315="","", 'Equipment Information'!B315)</f>
        <v/>
      </c>
      <c r="C315">
        <f>IF('Equipment Information'!C315="","", 'Equipment Information'!C315)</f>
        <v/>
      </c>
      <c r="G315">
        <f>IF(A315="","","N/A")</f>
        <v/>
      </c>
    </row>
    <row r="316">
      <c r="A316">
        <f>IF('Equipment Information'!A316="","", 'Equipment Information'!A316)</f>
        <v/>
      </c>
      <c r="B316">
        <f>IF('Equipment Information'!B316="","", 'Equipment Information'!B316)</f>
        <v/>
      </c>
      <c r="C316">
        <f>IF('Equipment Information'!C316="","", 'Equipment Information'!C316)</f>
        <v/>
      </c>
      <c r="G316">
        <f>IF(A316="","","N/A")</f>
        <v/>
      </c>
    </row>
    <row r="317">
      <c r="A317">
        <f>IF('Equipment Information'!A317="","", 'Equipment Information'!A317)</f>
        <v/>
      </c>
      <c r="B317">
        <f>IF('Equipment Information'!B317="","", 'Equipment Information'!B317)</f>
        <v/>
      </c>
      <c r="C317">
        <f>IF('Equipment Information'!C317="","", 'Equipment Information'!C317)</f>
        <v/>
      </c>
      <c r="G317">
        <f>IF(A317="","","N/A")</f>
        <v/>
      </c>
    </row>
    <row r="318">
      <c r="A318">
        <f>IF('Equipment Information'!A318="","", 'Equipment Information'!A318)</f>
        <v/>
      </c>
      <c r="B318">
        <f>IF('Equipment Information'!B318="","", 'Equipment Information'!B318)</f>
        <v/>
      </c>
      <c r="C318">
        <f>IF('Equipment Information'!C318="","", 'Equipment Information'!C318)</f>
        <v/>
      </c>
      <c r="G318">
        <f>IF(A318="","","N/A")</f>
        <v/>
      </c>
    </row>
    <row r="319">
      <c r="A319">
        <f>IF('Equipment Information'!A319="","", 'Equipment Information'!A319)</f>
        <v/>
      </c>
      <c r="B319">
        <f>IF('Equipment Information'!B319="","", 'Equipment Information'!B319)</f>
        <v/>
      </c>
      <c r="C319">
        <f>IF('Equipment Information'!C319="","", 'Equipment Information'!C319)</f>
        <v/>
      </c>
      <c r="G319">
        <f>IF(A319="","","N/A")</f>
        <v/>
      </c>
    </row>
    <row r="320">
      <c r="A320">
        <f>IF('Equipment Information'!A320="","", 'Equipment Information'!A320)</f>
        <v/>
      </c>
      <c r="B320">
        <f>IF('Equipment Information'!B320="","", 'Equipment Information'!B320)</f>
        <v/>
      </c>
      <c r="C320">
        <f>IF('Equipment Information'!C320="","", 'Equipment Information'!C320)</f>
        <v/>
      </c>
      <c r="G320">
        <f>IF(A320="","","N/A")</f>
        <v/>
      </c>
    </row>
    <row r="321">
      <c r="A321">
        <f>IF('Equipment Information'!A321="","", 'Equipment Information'!A321)</f>
        <v/>
      </c>
      <c r="B321">
        <f>IF('Equipment Information'!B321="","", 'Equipment Information'!B321)</f>
        <v/>
      </c>
      <c r="C321">
        <f>IF('Equipment Information'!C321="","", 'Equipment Information'!C321)</f>
        <v/>
      </c>
      <c r="G321">
        <f>IF(A321="","","N/A")</f>
        <v/>
      </c>
    </row>
    <row r="322">
      <c r="A322">
        <f>IF('Equipment Information'!A322="","", 'Equipment Information'!A322)</f>
        <v/>
      </c>
      <c r="B322">
        <f>IF('Equipment Information'!B322="","", 'Equipment Information'!B322)</f>
        <v/>
      </c>
      <c r="C322">
        <f>IF('Equipment Information'!C322="","", 'Equipment Information'!C322)</f>
        <v/>
      </c>
      <c r="G322">
        <f>IF(A322="","","N/A")</f>
        <v/>
      </c>
    </row>
    <row r="323">
      <c r="A323">
        <f>IF('Equipment Information'!A323="","", 'Equipment Information'!A323)</f>
        <v/>
      </c>
      <c r="B323">
        <f>IF('Equipment Information'!B323="","", 'Equipment Information'!B323)</f>
        <v/>
      </c>
      <c r="C323">
        <f>IF('Equipment Information'!C323="","", 'Equipment Information'!C323)</f>
        <v/>
      </c>
      <c r="G323">
        <f>IF(A323="","","N/A")</f>
        <v/>
      </c>
    </row>
    <row r="324">
      <c r="A324">
        <f>IF('Equipment Information'!A324="","", 'Equipment Information'!A324)</f>
        <v/>
      </c>
      <c r="B324">
        <f>IF('Equipment Information'!B324="","", 'Equipment Information'!B324)</f>
        <v/>
      </c>
      <c r="C324">
        <f>IF('Equipment Information'!C324="","", 'Equipment Information'!C324)</f>
        <v/>
      </c>
      <c r="G324">
        <f>IF(A324="","","N/A")</f>
        <v/>
      </c>
    </row>
    <row r="325">
      <c r="A325">
        <f>IF('Equipment Information'!A325="","", 'Equipment Information'!A325)</f>
        <v/>
      </c>
      <c r="B325">
        <f>IF('Equipment Information'!B325="","", 'Equipment Information'!B325)</f>
        <v/>
      </c>
      <c r="C325">
        <f>IF('Equipment Information'!C325="","", 'Equipment Information'!C325)</f>
        <v/>
      </c>
      <c r="G325">
        <f>IF(A325="","","N/A")</f>
        <v/>
      </c>
    </row>
    <row r="326">
      <c r="A326">
        <f>IF('Equipment Information'!A326="","", 'Equipment Information'!A326)</f>
        <v/>
      </c>
      <c r="B326">
        <f>IF('Equipment Information'!B326="","", 'Equipment Information'!B326)</f>
        <v/>
      </c>
      <c r="C326">
        <f>IF('Equipment Information'!C326="","", 'Equipment Information'!C326)</f>
        <v/>
      </c>
      <c r="G326">
        <f>IF(A326="","","N/A")</f>
        <v/>
      </c>
    </row>
    <row r="327">
      <c r="A327">
        <f>IF('Equipment Information'!A327="","", 'Equipment Information'!A327)</f>
        <v/>
      </c>
      <c r="B327">
        <f>IF('Equipment Information'!B327="","", 'Equipment Information'!B327)</f>
        <v/>
      </c>
      <c r="C327">
        <f>IF('Equipment Information'!C327="","", 'Equipment Information'!C327)</f>
        <v/>
      </c>
      <c r="G327">
        <f>IF(A327="","","N/A")</f>
        <v/>
      </c>
    </row>
    <row r="328">
      <c r="A328">
        <f>IF('Equipment Information'!A328="","", 'Equipment Information'!A328)</f>
        <v/>
      </c>
      <c r="B328">
        <f>IF('Equipment Information'!B328="","", 'Equipment Information'!B328)</f>
        <v/>
      </c>
      <c r="C328">
        <f>IF('Equipment Information'!C328="","", 'Equipment Information'!C328)</f>
        <v/>
      </c>
      <c r="G328">
        <f>IF(A328="","","N/A")</f>
        <v/>
      </c>
    </row>
    <row r="329">
      <c r="A329">
        <f>IF('Equipment Information'!A329="","", 'Equipment Information'!A329)</f>
        <v/>
      </c>
      <c r="B329">
        <f>IF('Equipment Information'!B329="","", 'Equipment Information'!B329)</f>
        <v/>
      </c>
      <c r="C329">
        <f>IF('Equipment Information'!C329="","", 'Equipment Information'!C329)</f>
        <v/>
      </c>
      <c r="G329">
        <f>IF(A329="","","N/A")</f>
        <v/>
      </c>
    </row>
    <row r="330">
      <c r="A330">
        <f>IF('Equipment Information'!A330="","", 'Equipment Information'!A330)</f>
        <v/>
      </c>
      <c r="B330">
        <f>IF('Equipment Information'!B330="","", 'Equipment Information'!B330)</f>
        <v/>
      </c>
      <c r="C330">
        <f>IF('Equipment Information'!C330="","", 'Equipment Information'!C330)</f>
        <v/>
      </c>
      <c r="G330">
        <f>IF(A330="","","N/A")</f>
        <v/>
      </c>
    </row>
    <row r="331">
      <c r="A331">
        <f>IF('Equipment Information'!A331="","", 'Equipment Information'!A331)</f>
        <v/>
      </c>
      <c r="B331">
        <f>IF('Equipment Information'!B331="","", 'Equipment Information'!B331)</f>
        <v/>
      </c>
      <c r="C331">
        <f>IF('Equipment Information'!C331="","", 'Equipment Information'!C331)</f>
        <v/>
      </c>
      <c r="G331">
        <f>IF(A331="","","N/A")</f>
        <v/>
      </c>
    </row>
    <row r="332">
      <c r="A332">
        <f>IF('Equipment Information'!A332="","", 'Equipment Information'!A332)</f>
        <v/>
      </c>
      <c r="B332">
        <f>IF('Equipment Information'!B332="","", 'Equipment Information'!B332)</f>
        <v/>
      </c>
      <c r="C332">
        <f>IF('Equipment Information'!C332="","", 'Equipment Information'!C332)</f>
        <v/>
      </c>
      <c r="G332">
        <f>IF(A332="","","N/A")</f>
        <v/>
      </c>
    </row>
    <row r="333">
      <c r="A333">
        <f>IF('Equipment Information'!A333="","", 'Equipment Information'!A333)</f>
        <v/>
      </c>
      <c r="B333">
        <f>IF('Equipment Information'!B333="","", 'Equipment Information'!B333)</f>
        <v/>
      </c>
      <c r="C333">
        <f>IF('Equipment Information'!C333="","", 'Equipment Information'!C333)</f>
        <v/>
      </c>
      <c r="G333">
        <f>IF(A333="","","N/A")</f>
        <v/>
      </c>
    </row>
    <row r="334">
      <c r="A334">
        <f>IF('Equipment Information'!A334="","", 'Equipment Information'!A334)</f>
        <v/>
      </c>
      <c r="B334">
        <f>IF('Equipment Information'!B334="","", 'Equipment Information'!B334)</f>
        <v/>
      </c>
      <c r="C334">
        <f>IF('Equipment Information'!C334="","", 'Equipment Information'!C334)</f>
        <v/>
      </c>
      <c r="G334">
        <f>IF(A334="","","N/A")</f>
        <v/>
      </c>
    </row>
    <row r="335">
      <c r="A335">
        <f>IF('Equipment Information'!A335="","", 'Equipment Information'!A335)</f>
        <v/>
      </c>
      <c r="B335">
        <f>IF('Equipment Information'!B335="","", 'Equipment Information'!B335)</f>
        <v/>
      </c>
      <c r="C335">
        <f>IF('Equipment Information'!C335="","", 'Equipment Information'!C335)</f>
        <v/>
      </c>
      <c r="G335">
        <f>IF(A335="","","N/A")</f>
        <v/>
      </c>
    </row>
    <row r="336">
      <c r="A336">
        <f>IF('Equipment Information'!A336="","", 'Equipment Information'!A336)</f>
        <v/>
      </c>
      <c r="B336">
        <f>IF('Equipment Information'!B336="","", 'Equipment Information'!B336)</f>
        <v/>
      </c>
      <c r="C336">
        <f>IF('Equipment Information'!C336="","", 'Equipment Information'!C336)</f>
        <v/>
      </c>
      <c r="G336">
        <f>IF(A336="","","N/A")</f>
        <v/>
      </c>
    </row>
    <row r="337">
      <c r="A337">
        <f>IF('Equipment Information'!A337="","", 'Equipment Information'!A337)</f>
        <v/>
      </c>
      <c r="B337">
        <f>IF('Equipment Information'!B337="","", 'Equipment Information'!B337)</f>
        <v/>
      </c>
      <c r="C337">
        <f>IF('Equipment Information'!C337="","", 'Equipment Information'!C337)</f>
        <v/>
      </c>
      <c r="G337">
        <f>IF(A337="","","N/A")</f>
        <v/>
      </c>
    </row>
    <row r="338">
      <c r="A338">
        <f>IF('Equipment Information'!A338="","", 'Equipment Information'!A338)</f>
        <v/>
      </c>
      <c r="B338">
        <f>IF('Equipment Information'!B338="","", 'Equipment Information'!B338)</f>
        <v/>
      </c>
      <c r="C338">
        <f>IF('Equipment Information'!C338="","", 'Equipment Information'!C338)</f>
        <v/>
      </c>
      <c r="G338">
        <f>IF(A338="","","N/A")</f>
        <v/>
      </c>
    </row>
    <row r="339">
      <c r="A339">
        <f>IF('Equipment Information'!A339="","", 'Equipment Information'!A339)</f>
        <v/>
      </c>
      <c r="B339">
        <f>IF('Equipment Information'!B339="","", 'Equipment Information'!B339)</f>
        <v/>
      </c>
      <c r="C339">
        <f>IF('Equipment Information'!C339="","", 'Equipment Information'!C339)</f>
        <v/>
      </c>
      <c r="G339">
        <f>IF(A339="","","N/A")</f>
        <v/>
      </c>
    </row>
    <row r="340">
      <c r="A340">
        <f>IF('Equipment Information'!A340="","", 'Equipment Information'!A340)</f>
        <v/>
      </c>
      <c r="B340">
        <f>IF('Equipment Information'!B340="","", 'Equipment Information'!B340)</f>
        <v/>
      </c>
      <c r="C340">
        <f>IF('Equipment Information'!C340="","", 'Equipment Information'!C340)</f>
        <v/>
      </c>
      <c r="G340">
        <f>IF(A340="","","N/A")</f>
        <v/>
      </c>
    </row>
    <row r="341">
      <c r="A341">
        <f>IF('Equipment Information'!A341="","", 'Equipment Information'!A341)</f>
        <v/>
      </c>
      <c r="B341">
        <f>IF('Equipment Information'!B341="","", 'Equipment Information'!B341)</f>
        <v/>
      </c>
      <c r="C341">
        <f>IF('Equipment Information'!C341="","", 'Equipment Information'!C341)</f>
        <v/>
      </c>
      <c r="G341">
        <f>IF(A341="","","N/A")</f>
        <v/>
      </c>
    </row>
    <row r="342">
      <c r="A342">
        <f>IF('Equipment Information'!A342="","", 'Equipment Information'!A342)</f>
        <v/>
      </c>
      <c r="B342">
        <f>IF('Equipment Information'!B342="","", 'Equipment Information'!B342)</f>
        <v/>
      </c>
      <c r="C342">
        <f>IF('Equipment Information'!C342="","", 'Equipment Information'!C342)</f>
        <v/>
      </c>
      <c r="G342">
        <f>IF(A342="","","N/A")</f>
        <v/>
      </c>
    </row>
    <row r="343">
      <c r="A343">
        <f>IF('Equipment Information'!A343="","", 'Equipment Information'!A343)</f>
        <v/>
      </c>
      <c r="B343">
        <f>IF('Equipment Information'!B343="","", 'Equipment Information'!B343)</f>
        <v/>
      </c>
      <c r="C343">
        <f>IF('Equipment Information'!C343="","", 'Equipment Information'!C343)</f>
        <v/>
      </c>
      <c r="G343">
        <f>IF(A343="","","N/A")</f>
        <v/>
      </c>
    </row>
    <row r="344">
      <c r="A344">
        <f>IF('Equipment Information'!A344="","", 'Equipment Information'!A344)</f>
        <v/>
      </c>
      <c r="B344">
        <f>IF('Equipment Information'!B344="","", 'Equipment Information'!B344)</f>
        <v/>
      </c>
      <c r="C344">
        <f>IF('Equipment Information'!C344="","", 'Equipment Information'!C344)</f>
        <v/>
      </c>
      <c r="G344">
        <f>IF(A344="","","N/A")</f>
        <v/>
      </c>
    </row>
    <row r="345">
      <c r="A345">
        <f>IF('Equipment Information'!A345="","", 'Equipment Information'!A345)</f>
        <v/>
      </c>
      <c r="B345">
        <f>IF('Equipment Information'!B345="","", 'Equipment Information'!B345)</f>
        <v/>
      </c>
      <c r="C345">
        <f>IF('Equipment Information'!C345="","", 'Equipment Information'!C345)</f>
        <v/>
      </c>
      <c r="G345">
        <f>IF(A345="","","N/A")</f>
        <v/>
      </c>
    </row>
    <row r="346">
      <c r="A346">
        <f>IF('Equipment Information'!A346="","", 'Equipment Information'!A346)</f>
        <v/>
      </c>
      <c r="B346">
        <f>IF('Equipment Information'!B346="","", 'Equipment Information'!B346)</f>
        <v/>
      </c>
      <c r="C346">
        <f>IF('Equipment Information'!C346="","", 'Equipment Information'!C346)</f>
        <v/>
      </c>
      <c r="G346">
        <f>IF(A346="","","N/A")</f>
        <v/>
      </c>
    </row>
    <row r="347">
      <c r="A347">
        <f>IF('Equipment Information'!A347="","", 'Equipment Information'!A347)</f>
        <v/>
      </c>
      <c r="B347">
        <f>IF('Equipment Information'!B347="","", 'Equipment Information'!B347)</f>
        <v/>
      </c>
      <c r="C347">
        <f>IF('Equipment Information'!C347="","", 'Equipment Information'!C347)</f>
        <v/>
      </c>
      <c r="G347">
        <f>IF(A347="","","N/A")</f>
        <v/>
      </c>
    </row>
    <row r="348">
      <c r="A348">
        <f>IF('Equipment Information'!A348="","", 'Equipment Information'!A348)</f>
        <v/>
      </c>
      <c r="B348">
        <f>IF('Equipment Information'!B348="","", 'Equipment Information'!B348)</f>
        <v/>
      </c>
      <c r="C348">
        <f>IF('Equipment Information'!C348="","", 'Equipment Information'!C348)</f>
        <v/>
      </c>
      <c r="G348">
        <f>IF(A348="","","N/A")</f>
        <v/>
      </c>
    </row>
    <row r="349">
      <c r="A349">
        <f>IF('Equipment Information'!A349="","", 'Equipment Information'!A349)</f>
        <v/>
      </c>
      <c r="B349">
        <f>IF('Equipment Information'!B349="","", 'Equipment Information'!B349)</f>
        <v/>
      </c>
      <c r="C349">
        <f>IF('Equipment Information'!C349="","", 'Equipment Information'!C349)</f>
        <v/>
      </c>
      <c r="G349">
        <f>IF(A349="","","N/A")</f>
        <v/>
      </c>
    </row>
    <row r="350">
      <c r="A350">
        <f>IF('Equipment Information'!A350="","", 'Equipment Information'!A350)</f>
        <v/>
      </c>
      <c r="B350">
        <f>IF('Equipment Information'!B350="","", 'Equipment Information'!B350)</f>
        <v/>
      </c>
      <c r="C350">
        <f>IF('Equipment Information'!C350="","", 'Equipment Information'!C350)</f>
        <v/>
      </c>
      <c r="G350">
        <f>IF(A350="","","N/A")</f>
        <v/>
      </c>
    </row>
    <row r="351">
      <c r="A351">
        <f>IF('Equipment Information'!A351="","", 'Equipment Information'!A351)</f>
        <v/>
      </c>
      <c r="B351">
        <f>IF('Equipment Information'!B351="","", 'Equipment Information'!B351)</f>
        <v/>
      </c>
      <c r="C351">
        <f>IF('Equipment Information'!C351="","", 'Equipment Information'!C351)</f>
        <v/>
      </c>
      <c r="G351">
        <f>IF(A351="","","N/A")</f>
        <v/>
      </c>
    </row>
    <row r="352">
      <c r="A352">
        <f>IF('Equipment Information'!A352="","", 'Equipment Information'!A352)</f>
        <v/>
      </c>
      <c r="B352">
        <f>IF('Equipment Information'!B352="","", 'Equipment Information'!B352)</f>
        <v/>
      </c>
      <c r="C352">
        <f>IF('Equipment Information'!C352="","", 'Equipment Information'!C352)</f>
        <v/>
      </c>
      <c r="G352">
        <f>IF(A352="","","N/A")</f>
        <v/>
      </c>
    </row>
    <row r="353">
      <c r="A353">
        <f>IF('Equipment Information'!A353="","", 'Equipment Information'!A353)</f>
        <v/>
      </c>
      <c r="B353">
        <f>IF('Equipment Information'!B353="","", 'Equipment Information'!B353)</f>
        <v/>
      </c>
      <c r="C353">
        <f>IF('Equipment Information'!C353="","", 'Equipment Information'!C353)</f>
        <v/>
      </c>
      <c r="G353">
        <f>IF(A353="","","N/A")</f>
        <v/>
      </c>
    </row>
    <row r="354">
      <c r="A354">
        <f>IF('Equipment Information'!A354="","", 'Equipment Information'!A354)</f>
        <v/>
      </c>
      <c r="B354">
        <f>IF('Equipment Information'!B354="","", 'Equipment Information'!B354)</f>
        <v/>
      </c>
      <c r="C354">
        <f>IF('Equipment Information'!C354="","", 'Equipment Information'!C354)</f>
        <v/>
      </c>
      <c r="G354">
        <f>IF(A354="","","N/A")</f>
        <v/>
      </c>
    </row>
    <row r="355">
      <c r="A355">
        <f>IF('Equipment Information'!A355="","", 'Equipment Information'!A355)</f>
        <v/>
      </c>
      <c r="B355">
        <f>IF('Equipment Information'!B355="","", 'Equipment Information'!B355)</f>
        <v/>
      </c>
      <c r="C355">
        <f>IF('Equipment Information'!C355="","", 'Equipment Information'!C355)</f>
        <v/>
      </c>
      <c r="G355">
        <f>IF(A355="","","N/A")</f>
        <v/>
      </c>
    </row>
    <row r="356">
      <c r="A356">
        <f>IF('Equipment Information'!A356="","", 'Equipment Information'!A356)</f>
        <v/>
      </c>
      <c r="B356">
        <f>IF('Equipment Information'!B356="","", 'Equipment Information'!B356)</f>
        <v/>
      </c>
      <c r="C356">
        <f>IF('Equipment Information'!C356="","", 'Equipment Information'!C356)</f>
        <v/>
      </c>
      <c r="G356">
        <f>IF(A356="","","N/A")</f>
        <v/>
      </c>
    </row>
    <row r="357">
      <c r="A357">
        <f>IF('Equipment Information'!A357="","", 'Equipment Information'!A357)</f>
        <v/>
      </c>
      <c r="B357">
        <f>IF('Equipment Information'!B357="","", 'Equipment Information'!B357)</f>
        <v/>
      </c>
      <c r="C357">
        <f>IF('Equipment Information'!C357="","", 'Equipment Information'!C357)</f>
        <v/>
      </c>
      <c r="G357">
        <f>IF(A357="","","N/A")</f>
        <v/>
      </c>
    </row>
    <row r="358">
      <c r="A358">
        <f>IF('Equipment Information'!A358="","", 'Equipment Information'!A358)</f>
        <v/>
      </c>
      <c r="B358">
        <f>IF('Equipment Information'!B358="","", 'Equipment Information'!B358)</f>
        <v/>
      </c>
      <c r="C358">
        <f>IF('Equipment Information'!C358="","", 'Equipment Information'!C358)</f>
        <v/>
      </c>
      <c r="G358">
        <f>IF(A358="","","N/A")</f>
        <v/>
      </c>
    </row>
    <row r="359">
      <c r="A359">
        <f>IF('Equipment Information'!A359="","", 'Equipment Information'!A359)</f>
        <v/>
      </c>
      <c r="B359">
        <f>IF('Equipment Information'!B359="","", 'Equipment Information'!B359)</f>
        <v/>
      </c>
      <c r="C359">
        <f>IF('Equipment Information'!C359="","", 'Equipment Information'!C359)</f>
        <v/>
      </c>
      <c r="G359">
        <f>IF(A359="","","N/A")</f>
        <v/>
      </c>
    </row>
    <row r="360">
      <c r="A360">
        <f>IF('Equipment Information'!A360="","", 'Equipment Information'!A360)</f>
        <v/>
      </c>
      <c r="B360">
        <f>IF('Equipment Information'!B360="","", 'Equipment Information'!B360)</f>
        <v/>
      </c>
      <c r="C360">
        <f>IF('Equipment Information'!C360="","", 'Equipment Information'!C360)</f>
        <v/>
      </c>
      <c r="G360">
        <f>IF(A360="","","N/A")</f>
        <v/>
      </c>
    </row>
    <row r="361">
      <c r="A361">
        <f>IF('Equipment Information'!A361="","", 'Equipment Information'!A361)</f>
        <v/>
      </c>
      <c r="B361">
        <f>IF('Equipment Information'!B361="","", 'Equipment Information'!B361)</f>
        <v/>
      </c>
      <c r="C361">
        <f>IF('Equipment Information'!C361="","", 'Equipment Information'!C361)</f>
        <v/>
      </c>
      <c r="G361">
        <f>IF(A361="","","N/A")</f>
        <v/>
      </c>
    </row>
    <row r="362">
      <c r="A362">
        <f>IF('Equipment Information'!A362="","", 'Equipment Information'!A362)</f>
        <v/>
      </c>
      <c r="B362">
        <f>IF('Equipment Information'!B362="","", 'Equipment Information'!B362)</f>
        <v/>
      </c>
      <c r="C362">
        <f>IF('Equipment Information'!C362="","", 'Equipment Information'!C362)</f>
        <v/>
      </c>
      <c r="G362">
        <f>IF(A362="","","N/A")</f>
        <v/>
      </c>
    </row>
    <row r="363">
      <c r="A363">
        <f>IF('Equipment Information'!A363="","", 'Equipment Information'!A363)</f>
        <v/>
      </c>
      <c r="B363">
        <f>IF('Equipment Information'!B363="","", 'Equipment Information'!B363)</f>
        <v/>
      </c>
      <c r="C363">
        <f>IF('Equipment Information'!C363="","", 'Equipment Information'!C363)</f>
        <v/>
      </c>
      <c r="G363">
        <f>IF(A363="","","N/A")</f>
        <v/>
      </c>
    </row>
    <row r="364">
      <c r="A364">
        <f>IF('Equipment Information'!A364="","", 'Equipment Information'!A364)</f>
        <v/>
      </c>
      <c r="B364">
        <f>IF('Equipment Information'!B364="","", 'Equipment Information'!B364)</f>
        <v/>
      </c>
      <c r="C364">
        <f>IF('Equipment Information'!C364="","", 'Equipment Information'!C364)</f>
        <v/>
      </c>
      <c r="G364">
        <f>IF(A364="","","N/A")</f>
        <v/>
      </c>
    </row>
    <row r="365">
      <c r="A365">
        <f>IF('Equipment Information'!A365="","", 'Equipment Information'!A365)</f>
        <v/>
      </c>
      <c r="B365">
        <f>IF('Equipment Information'!B365="","", 'Equipment Information'!B365)</f>
        <v/>
      </c>
      <c r="C365">
        <f>IF('Equipment Information'!C365="","", 'Equipment Information'!C365)</f>
        <v/>
      </c>
      <c r="G365">
        <f>IF(A365="","","N/A")</f>
        <v/>
      </c>
    </row>
    <row r="366">
      <c r="A366">
        <f>IF('Equipment Information'!A366="","", 'Equipment Information'!A366)</f>
        <v/>
      </c>
      <c r="B366">
        <f>IF('Equipment Information'!B366="","", 'Equipment Information'!B366)</f>
        <v/>
      </c>
      <c r="C366">
        <f>IF('Equipment Information'!C366="","", 'Equipment Information'!C366)</f>
        <v/>
      </c>
      <c r="G366">
        <f>IF(A366="","","N/A")</f>
        <v/>
      </c>
    </row>
    <row r="367">
      <c r="A367">
        <f>IF('Equipment Information'!A367="","", 'Equipment Information'!A367)</f>
        <v/>
      </c>
      <c r="B367">
        <f>IF('Equipment Information'!B367="","", 'Equipment Information'!B367)</f>
        <v/>
      </c>
      <c r="C367">
        <f>IF('Equipment Information'!C367="","", 'Equipment Information'!C367)</f>
        <v/>
      </c>
      <c r="G367">
        <f>IF(A367="","","N/A")</f>
        <v/>
      </c>
    </row>
    <row r="368">
      <c r="A368">
        <f>IF('Equipment Information'!A368="","", 'Equipment Information'!A368)</f>
        <v/>
      </c>
      <c r="B368">
        <f>IF('Equipment Information'!B368="","", 'Equipment Information'!B368)</f>
        <v/>
      </c>
      <c r="C368">
        <f>IF('Equipment Information'!C368="","", 'Equipment Information'!C368)</f>
        <v/>
      </c>
      <c r="G368">
        <f>IF(A368="","","N/A")</f>
        <v/>
      </c>
    </row>
    <row r="369">
      <c r="A369">
        <f>IF('Equipment Information'!A369="","", 'Equipment Information'!A369)</f>
        <v/>
      </c>
      <c r="B369">
        <f>IF('Equipment Information'!B369="","", 'Equipment Information'!B369)</f>
        <v/>
      </c>
      <c r="C369">
        <f>IF('Equipment Information'!C369="","", 'Equipment Information'!C369)</f>
        <v/>
      </c>
      <c r="G369">
        <f>IF(A369="","","N/A")</f>
        <v/>
      </c>
    </row>
    <row r="370">
      <c r="A370">
        <f>IF('Equipment Information'!A370="","", 'Equipment Information'!A370)</f>
        <v/>
      </c>
      <c r="B370">
        <f>IF('Equipment Information'!B370="","", 'Equipment Information'!B370)</f>
        <v/>
      </c>
      <c r="C370">
        <f>IF('Equipment Information'!C370="","", 'Equipment Information'!C370)</f>
        <v/>
      </c>
      <c r="G370">
        <f>IF(A370="","","N/A")</f>
        <v/>
      </c>
    </row>
    <row r="371">
      <c r="A371">
        <f>IF('Equipment Information'!A371="","", 'Equipment Information'!A371)</f>
        <v/>
      </c>
      <c r="B371">
        <f>IF('Equipment Information'!B371="","", 'Equipment Information'!B371)</f>
        <v/>
      </c>
      <c r="C371">
        <f>IF('Equipment Information'!C371="","", 'Equipment Information'!C371)</f>
        <v/>
      </c>
      <c r="G371">
        <f>IF(A371="","","N/A")</f>
        <v/>
      </c>
    </row>
    <row r="372">
      <c r="A372">
        <f>IF('Equipment Information'!A372="","", 'Equipment Information'!A372)</f>
        <v/>
      </c>
      <c r="B372">
        <f>IF('Equipment Information'!B372="","", 'Equipment Information'!B372)</f>
        <v/>
      </c>
      <c r="C372">
        <f>IF('Equipment Information'!C372="","", 'Equipment Information'!C372)</f>
        <v/>
      </c>
      <c r="G372">
        <f>IF(A372="","","N/A")</f>
        <v/>
      </c>
    </row>
    <row r="373">
      <c r="A373">
        <f>IF('Equipment Information'!A373="","", 'Equipment Information'!A373)</f>
        <v/>
      </c>
      <c r="B373">
        <f>IF('Equipment Information'!B373="","", 'Equipment Information'!B373)</f>
        <v/>
      </c>
      <c r="C373">
        <f>IF('Equipment Information'!C373="","", 'Equipment Information'!C373)</f>
        <v/>
      </c>
      <c r="G373">
        <f>IF(A373="","","N/A")</f>
        <v/>
      </c>
    </row>
    <row r="374">
      <c r="A374">
        <f>IF('Equipment Information'!A374="","", 'Equipment Information'!A374)</f>
        <v/>
      </c>
      <c r="B374">
        <f>IF('Equipment Information'!B374="","", 'Equipment Information'!B374)</f>
        <v/>
      </c>
      <c r="C374">
        <f>IF('Equipment Information'!C374="","", 'Equipment Information'!C374)</f>
        <v/>
      </c>
      <c r="G374">
        <f>IF(A374="","","N/A")</f>
        <v/>
      </c>
    </row>
    <row r="375">
      <c r="A375">
        <f>IF('Equipment Information'!A375="","", 'Equipment Information'!A375)</f>
        <v/>
      </c>
      <c r="B375">
        <f>IF('Equipment Information'!B375="","", 'Equipment Information'!B375)</f>
        <v/>
      </c>
      <c r="C375">
        <f>IF('Equipment Information'!C375="","", 'Equipment Information'!C375)</f>
        <v/>
      </c>
      <c r="G375">
        <f>IF(A375="","","N/A")</f>
        <v/>
      </c>
    </row>
    <row r="376">
      <c r="A376">
        <f>IF('Equipment Information'!A376="","", 'Equipment Information'!A376)</f>
        <v/>
      </c>
      <c r="B376">
        <f>IF('Equipment Information'!B376="","", 'Equipment Information'!B376)</f>
        <v/>
      </c>
      <c r="C376">
        <f>IF('Equipment Information'!C376="","", 'Equipment Information'!C376)</f>
        <v/>
      </c>
      <c r="G376">
        <f>IF(A376="","","N/A")</f>
        <v/>
      </c>
    </row>
    <row r="377">
      <c r="A377">
        <f>IF('Equipment Information'!A377="","", 'Equipment Information'!A377)</f>
        <v/>
      </c>
      <c r="B377">
        <f>IF('Equipment Information'!B377="","", 'Equipment Information'!B377)</f>
        <v/>
      </c>
      <c r="C377">
        <f>IF('Equipment Information'!C377="","", 'Equipment Information'!C377)</f>
        <v/>
      </c>
      <c r="G377">
        <f>IF(A377="","","N/A")</f>
        <v/>
      </c>
    </row>
    <row r="378">
      <c r="A378">
        <f>IF('Equipment Information'!A378="","", 'Equipment Information'!A378)</f>
        <v/>
      </c>
      <c r="B378">
        <f>IF('Equipment Information'!B378="","", 'Equipment Information'!B378)</f>
        <v/>
      </c>
      <c r="C378">
        <f>IF('Equipment Information'!C378="","", 'Equipment Information'!C378)</f>
        <v/>
      </c>
      <c r="G378">
        <f>IF(A378="","","N/A")</f>
        <v/>
      </c>
    </row>
    <row r="379">
      <c r="A379">
        <f>IF('Equipment Information'!A379="","", 'Equipment Information'!A379)</f>
        <v/>
      </c>
      <c r="B379">
        <f>IF('Equipment Information'!B379="","", 'Equipment Information'!B379)</f>
        <v/>
      </c>
      <c r="C379">
        <f>IF('Equipment Information'!C379="","", 'Equipment Information'!C379)</f>
        <v/>
      </c>
      <c r="G379">
        <f>IF(A379="","","N/A")</f>
        <v/>
      </c>
    </row>
    <row r="380">
      <c r="A380">
        <f>IF('Equipment Information'!A380="","", 'Equipment Information'!A380)</f>
        <v/>
      </c>
      <c r="B380">
        <f>IF('Equipment Information'!B380="","", 'Equipment Information'!B380)</f>
        <v/>
      </c>
      <c r="C380">
        <f>IF('Equipment Information'!C380="","", 'Equipment Information'!C380)</f>
        <v/>
      </c>
      <c r="G380">
        <f>IF(A380="","","N/A")</f>
        <v/>
      </c>
    </row>
    <row r="381">
      <c r="A381">
        <f>IF('Equipment Information'!A381="","", 'Equipment Information'!A381)</f>
        <v/>
      </c>
      <c r="B381">
        <f>IF('Equipment Information'!B381="","", 'Equipment Information'!B381)</f>
        <v/>
      </c>
      <c r="C381">
        <f>IF('Equipment Information'!C381="","", 'Equipment Information'!C381)</f>
        <v/>
      </c>
      <c r="G381">
        <f>IF(A381="","","N/A")</f>
        <v/>
      </c>
    </row>
    <row r="382">
      <c r="A382">
        <f>IF('Equipment Information'!A382="","", 'Equipment Information'!A382)</f>
        <v/>
      </c>
      <c r="B382">
        <f>IF('Equipment Information'!B382="","", 'Equipment Information'!B382)</f>
        <v/>
      </c>
      <c r="C382">
        <f>IF('Equipment Information'!C382="","", 'Equipment Information'!C382)</f>
        <v/>
      </c>
      <c r="G382">
        <f>IF(A382="","","N/A")</f>
        <v/>
      </c>
    </row>
    <row r="383">
      <c r="A383">
        <f>IF('Equipment Information'!A383="","", 'Equipment Information'!A383)</f>
        <v/>
      </c>
      <c r="B383">
        <f>IF('Equipment Information'!B383="","", 'Equipment Information'!B383)</f>
        <v/>
      </c>
      <c r="C383">
        <f>IF('Equipment Information'!C383="","", 'Equipment Information'!C383)</f>
        <v/>
      </c>
      <c r="G383">
        <f>IF(A383="","","N/A")</f>
        <v/>
      </c>
    </row>
    <row r="384">
      <c r="A384">
        <f>IF('Equipment Information'!A384="","", 'Equipment Information'!A384)</f>
        <v/>
      </c>
      <c r="B384">
        <f>IF('Equipment Information'!B384="","", 'Equipment Information'!B384)</f>
        <v/>
      </c>
      <c r="C384">
        <f>IF('Equipment Information'!C384="","", 'Equipment Information'!C384)</f>
        <v/>
      </c>
      <c r="G384">
        <f>IF(A384="","","N/A")</f>
        <v/>
      </c>
    </row>
    <row r="385">
      <c r="A385">
        <f>IF('Equipment Information'!A385="","", 'Equipment Information'!A385)</f>
        <v/>
      </c>
      <c r="B385">
        <f>IF('Equipment Information'!B385="","", 'Equipment Information'!B385)</f>
        <v/>
      </c>
      <c r="C385">
        <f>IF('Equipment Information'!C385="","", 'Equipment Information'!C385)</f>
        <v/>
      </c>
      <c r="G385">
        <f>IF(A385="","","N/A")</f>
        <v/>
      </c>
    </row>
    <row r="386">
      <c r="A386">
        <f>IF('Equipment Information'!A386="","", 'Equipment Information'!A386)</f>
        <v/>
      </c>
      <c r="B386">
        <f>IF('Equipment Information'!B386="","", 'Equipment Information'!B386)</f>
        <v/>
      </c>
      <c r="C386">
        <f>IF('Equipment Information'!C386="","", 'Equipment Information'!C386)</f>
        <v/>
      </c>
      <c r="G386">
        <f>IF(A386="","","N/A")</f>
        <v/>
      </c>
    </row>
    <row r="387">
      <c r="A387">
        <f>IF('Equipment Information'!A387="","", 'Equipment Information'!A387)</f>
        <v/>
      </c>
      <c r="B387">
        <f>IF('Equipment Information'!B387="","", 'Equipment Information'!B387)</f>
        <v/>
      </c>
      <c r="C387">
        <f>IF('Equipment Information'!C387="","", 'Equipment Information'!C387)</f>
        <v/>
      </c>
      <c r="G387">
        <f>IF(A387="","","N/A")</f>
        <v/>
      </c>
    </row>
    <row r="388">
      <c r="A388">
        <f>IF('Equipment Information'!A388="","", 'Equipment Information'!A388)</f>
        <v/>
      </c>
      <c r="B388">
        <f>IF('Equipment Information'!B388="","", 'Equipment Information'!B388)</f>
        <v/>
      </c>
      <c r="C388">
        <f>IF('Equipment Information'!C388="","", 'Equipment Information'!C388)</f>
        <v/>
      </c>
      <c r="G388">
        <f>IF(A388="","","N/A")</f>
        <v/>
      </c>
    </row>
    <row r="389">
      <c r="A389">
        <f>IF('Equipment Information'!A389="","", 'Equipment Information'!A389)</f>
        <v/>
      </c>
      <c r="B389">
        <f>IF('Equipment Information'!B389="","", 'Equipment Information'!B389)</f>
        <v/>
      </c>
      <c r="C389">
        <f>IF('Equipment Information'!C389="","", 'Equipment Information'!C389)</f>
        <v/>
      </c>
      <c r="G389">
        <f>IF(A389="","","N/A")</f>
        <v/>
      </c>
    </row>
    <row r="390">
      <c r="A390">
        <f>IF('Equipment Information'!A390="","", 'Equipment Information'!A390)</f>
        <v/>
      </c>
      <c r="B390">
        <f>IF('Equipment Information'!B390="","", 'Equipment Information'!B390)</f>
        <v/>
      </c>
      <c r="C390">
        <f>IF('Equipment Information'!C390="","", 'Equipment Information'!C390)</f>
        <v/>
      </c>
      <c r="G390">
        <f>IF(A390="","","N/A")</f>
        <v/>
      </c>
    </row>
    <row r="391">
      <c r="A391">
        <f>IF('Equipment Information'!A391="","", 'Equipment Information'!A391)</f>
        <v/>
      </c>
      <c r="B391">
        <f>IF('Equipment Information'!B391="","", 'Equipment Information'!B391)</f>
        <v/>
      </c>
      <c r="C391">
        <f>IF('Equipment Information'!C391="","", 'Equipment Information'!C391)</f>
        <v/>
      </c>
      <c r="G391">
        <f>IF(A391="","","N/A")</f>
        <v/>
      </c>
    </row>
    <row r="392">
      <c r="A392">
        <f>IF('Equipment Information'!A392="","", 'Equipment Information'!A392)</f>
        <v/>
      </c>
      <c r="B392">
        <f>IF('Equipment Information'!B392="","", 'Equipment Information'!B392)</f>
        <v/>
      </c>
      <c r="C392">
        <f>IF('Equipment Information'!C392="","", 'Equipment Information'!C392)</f>
        <v/>
      </c>
      <c r="G392">
        <f>IF(A392="","","N/A")</f>
        <v/>
      </c>
    </row>
    <row r="393">
      <c r="A393">
        <f>IF('Equipment Information'!A393="","", 'Equipment Information'!A393)</f>
        <v/>
      </c>
      <c r="B393">
        <f>IF('Equipment Information'!B393="","", 'Equipment Information'!B393)</f>
        <v/>
      </c>
      <c r="C393">
        <f>IF('Equipment Information'!C393="","", 'Equipment Information'!C393)</f>
        <v/>
      </c>
      <c r="G393">
        <f>IF(A393="","","N/A")</f>
        <v/>
      </c>
    </row>
    <row r="394">
      <c r="A394">
        <f>IF('Equipment Information'!A394="","", 'Equipment Information'!A394)</f>
        <v/>
      </c>
      <c r="B394">
        <f>IF('Equipment Information'!B394="","", 'Equipment Information'!B394)</f>
        <v/>
      </c>
      <c r="C394">
        <f>IF('Equipment Information'!C394="","", 'Equipment Information'!C394)</f>
        <v/>
      </c>
      <c r="G394">
        <f>IF(A394="","","N/A")</f>
        <v/>
      </c>
    </row>
    <row r="395">
      <c r="A395">
        <f>IF('Equipment Information'!A395="","", 'Equipment Information'!A395)</f>
        <v/>
      </c>
      <c r="B395">
        <f>IF('Equipment Information'!B395="","", 'Equipment Information'!B395)</f>
        <v/>
      </c>
      <c r="C395">
        <f>IF('Equipment Information'!C395="","", 'Equipment Information'!C395)</f>
        <v/>
      </c>
      <c r="G395">
        <f>IF(A395="","","N/A")</f>
        <v/>
      </c>
    </row>
    <row r="396">
      <c r="A396">
        <f>IF('Equipment Information'!A396="","", 'Equipment Information'!A396)</f>
        <v/>
      </c>
      <c r="B396">
        <f>IF('Equipment Information'!B396="","", 'Equipment Information'!B396)</f>
        <v/>
      </c>
      <c r="C396">
        <f>IF('Equipment Information'!C396="","", 'Equipment Information'!C396)</f>
        <v/>
      </c>
      <c r="G396">
        <f>IF(A396="","","N/A")</f>
        <v/>
      </c>
    </row>
    <row r="397">
      <c r="A397">
        <f>IF('Equipment Information'!A397="","", 'Equipment Information'!A397)</f>
        <v/>
      </c>
      <c r="B397">
        <f>IF('Equipment Information'!B397="","", 'Equipment Information'!B397)</f>
        <v/>
      </c>
      <c r="C397">
        <f>IF('Equipment Information'!C397="","", 'Equipment Information'!C397)</f>
        <v/>
      </c>
      <c r="G397">
        <f>IF(A397="","","N/A")</f>
        <v/>
      </c>
    </row>
    <row r="398">
      <c r="A398">
        <f>IF('Equipment Information'!A398="","", 'Equipment Information'!A398)</f>
        <v/>
      </c>
      <c r="B398">
        <f>IF('Equipment Information'!B398="","", 'Equipment Information'!B398)</f>
        <v/>
      </c>
      <c r="C398">
        <f>IF('Equipment Information'!C398="","", 'Equipment Information'!C398)</f>
        <v/>
      </c>
      <c r="G398">
        <f>IF(A398="","","N/A")</f>
        <v/>
      </c>
    </row>
    <row r="399">
      <c r="A399">
        <f>IF('Equipment Information'!A399="","", 'Equipment Information'!A399)</f>
        <v/>
      </c>
      <c r="B399">
        <f>IF('Equipment Information'!B399="","", 'Equipment Information'!B399)</f>
        <v/>
      </c>
      <c r="C399">
        <f>IF('Equipment Information'!C399="","", 'Equipment Information'!C399)</f>
        <v/>
      </c>
      <c r="G399">
        <f>IF(A399="","","N/A")</f>
        <v/>
      </c>
    </row>
    <row r="400">
      <c r="A400">
        <f>IF('Equipment Information'!A400="","", 'Equipment Information'!A400)</f>
        <v/>
      </c>
      <c r="B400">
        <f>IF('Equipment Information'!B400="","", 'Equipment Information'!B400)</f>
        <v/>
      </c>
      <c r="C400">
        <f>IF('Equipment Information'!C400="","", 'Equipment Information'!C400)</f>
        <v/>
      </c>
      <c r="G400">
        <f>IF(A400="","","N/A")</f>
        <v/>
      </c>
    </row>
    <row r="401">
      <c r="A401">
        <f>IF('Equipment Information'!A401="","", 'Equipment Information'!A401)</f>
        <v/>
      </c>
      <c r="B401">
        <f>IF('Equipment Information'!B401="","", 'Equipment Information'!B401)</f>
        <v/>
      </c>
      <c r="C401">
        <f>IF('Equipment Information'!C401="","", 'Equipment Information'!C401)</f>
        <v/>
      </c>
      <c r="G401">
        <f>IF(A401="","","N/A")</f>
        <v/>
      </c>
    </row>
    <row r="402">
      <c r="A402">
        <f>IF('Equipment Information'!A402="","", 'Equipment Information'!A402)</f>
        <v/>
      </c>
      <c r="B402">
        <f>IF('Equipment Information'!B402="","", 'Equipment Information'!B402)</f>
        <v/>
      </c>
      <c r="C402">
        <f>IF('Equipment Information'!C402="","", 'Equipment Information'!C402)</f>
        <v/>
      </c>
      <c r="G402">
        <f>IF(A402="","","N/A")</f>
        <v/>
      </c>
    </row>
    <row r="403">
      <c r="A403">
        <f>IF('Equipment Information'!A403="","", 'Equipment Information'!A403)</f>
        <v/>
      </c>
      <c r="B403">
        <f>IF('Equipment Information'!B403="","", 'Equipment Information'!B403)</f>
        <v/>
      </c>
      <c r="C403">
        <f>IF('Equipment Information'!C403="","", 'Equipment Information'!C403)</f>
        <v/>
      </c>
      <c r="G403">
        <f>IF(A403="","","N/A")</f>
        <v/>
      </c>
    </row>
    <row r="404">
      <c r="A404">
        <f>IF('Equipment Information'!A404="","", 'Equipment Information'!A404)</f>
        <v/>
      </c>
      <c r="B404">
        <f>IF('Equipment Information'!B404="","", 'Equipment Information'!B404)</f>
        <v/>
      </c>
      <c r="C404">
        <f>IF('Equipment Information'!C404="","", 'Equipment Information'!C404)</f>
        <v/>
      </c>
      <c r="G404">
        <f>IF(A404="","","N/A")</f>
        <v/>
      </c>
    </row>
    <row r="405">
      <c r="A405">
        <f>IF('Equipment Information'!A405="","", 'Equipment Information'!A405)</f>
        <v/>
      </c>
      <c r="B405">
        <f>IF('Equipment Information'!B405="","", 'Equipment Information'!B405)</f>
        <v/>
      </c>
      <c r="C405">
        <f>IF('Equipment Information'!C405="","", 'Equipment Information'!C405)</f>
        <v/>
      </c>
      <c r="G405">
        <f>IF(A405="","","N/A")</f>
        <v/>
      </c>
    </row>
    <row r="406">
      <c r="A406">
        <f>IF('Equipment Information'!A406="","", 'Equipment Information'!A406)</f>
        <v/>
      </c>
      <c r="B406">
        <f>IF('Equipment Information'!B406="","", 'Equipment Information'!B406)</f>
        <v/>
      </c>
      <c r="C406">
        <f>IF('Equipment Information'!C406="","", 'Equipment Information'!C406)</f>
        <v/>
      </c>
      <c r="G406">
        <f>IF(A406="","","N/A")</f>
        <v/>
      </c>
    </row>
    <row r="407">
      <c r="A407">
        <f>IF('Equipment Information'!A407="","", 'Equipment Information'!A407)</f>
        <v/>
      </c>
      <c r="B407">
        <f>IF('Equipment Information'!B407="","", 'Equipment Information'!B407)</f>
        <v/>
      </c>
      <c r="C407">
        <f>IF('Equipment Information'!C407="","", 'Equipment Information'!C407)</f>
        <v/>
      </c>
      <c r="G407">
        <f>IF(A407="","","N/A")</f>
        <v/>
      </c>
    </row>
    <row r="408">
      <c r="A408">
        <f>IF('Equipment Information'!A408="","", 'Equipment Information'!A408)</f>
        <v/>
      </c>
      <c r="B408">
        <f>IF('Equipment Information'!B408="","", 'Equipment Information'!B408)</f>
        <v/>
      </c>
      <c r="C408">
        <f>IF('Equipment Information'!C408="","", 'Equipment Information'!C408)</f>
        <v/>
      </c>
      <c r="G408">
        <f>IF(A408="","","N/A")</f>
        <v/>
      </c>
    </row>
    <row r="409">
      <c r="A409">
        <f>IF('Equipment Information'!A409="","", 'Equipment Information'!A409)</f>
        <v/>
      </c>
      <c r="B409">
        <f>IF('Equipment Information'!B409="","", 'Equipment Information'!B409)</f>
        <v/>
      </c>
      <c r="C409">
        <f>IF('Equipment Information'!C409="","", 'Equipment Information'!C409)</f>
        <v/>
      </c>
      <c r="G409">
        <f>IF(A409="","","N/A")</f>
        <v/>
      </c>
    </row>
    <row r="410">
      <c r="A410">
        <f>IF('Equipment Information'!A410="","", 'Equipment Information'!A410)</f>
        <v/>
      </c>
      <c r="B410">
        <f>IF('Equipment Information'!B410="","", 'Equipment Information'!B410)</f>
        <v/>
      </c>
      <c r="C410">
        <f>IF('Equipment Information'!C410="","", 'Equipment Information'!C410)</f>
        <v/>
      </c>
      <c r="G410">
        <f>IF(A410="","","N/A")</f>
        <v/>
      </c>
    </row>
    <row r="411">
      <c r="A411">
        <f>IF('Equipment Information'!A411="","", 'Equipment Information'!A411)</f>
        <v/>
      </c>
      <c r="B411">
        <f>IF('Equipment Information'!B411="","", 'Equipment Information'!B411)</f>
        <v/>
      </c>
      <c r="C411">
        <f>IF('Equipment Information'!C411="","", 'Equipment Information'!C411)</f>
        <v/>
      </c>
      <c r="G411">
        <f>IF(A411="","","N/A")</f>
        <v/>
      </c>
    </row>
    <row r="412">
      <c r="A412">
        <f>IF('Equipment Information'!A412="","", 'Equipment Information'!A412)</f>
        <v/>
      </c>
      <c r="B412">
        <f>IF('Equipment Information'!B412="","", 'Equipment Information'!B412)</f>
        <v/>
      </c>
      <c r="C412">
        <f>IF('Equipment Information'!C412="","", 'Equipment Information'!C412)</f>
        <v/>
      </c>
      <c r="G412">
        <f>IF(A412="","","N/A")</f>
        <v/>
      </c>
    </row>
    <row r="413">
      <c r="A413">
        <f>IF('Equipment Information'!A413="","", 'Equipment Information'!A413)</f>
        <v/>
      </c>
      <c r="B413">
        <f>IF('Equipment Information'!B413="","", 'Equipment Information'!B413)</f>
        <v/>
      </c>
      <c r="C413">
        <f>IF('Equipment Information'!C413="","", 'Equipment Information'!C413)</f>
        <v/>
      </c>
      <c r="G413">
        <f>IF(A413="","","N/A")</f>
        <v/>
      </c>
    </row>
    <row r="414">
      <c r="A414">
        <f>IF('Equipment Information'!A414="","", 'Equipment Information'!A414)</f>
        <v/>
      </c>
      <c r="B414">
        <f>IF('Equipment Information'!B414="","", 'Equipment Information'!B414)</f>
        <v/>
      </c>
      <c r="C414">
        <f>IF('Equipment Information'!C414="","", 'Equipment Information'!C414)</f>
        <v/>
      </c>
      <c r="G414">
        <f>IF(A414="","","N/A")</f>
        <v/>
      </c>
    </row>
    <row r="415">
      <c r="A415">
        <f>IF('Equipment Information'!A415="","", 'Equipment Information'!A415)</f>
        <v/>
      </c>
      <c r="B415">
        <f>IF('Equipment Information'!B415="","", 'Equipment Information'!B415)</f>
        <v/>
      </c>
      <c r="C415">
        <f>IF('Equipment Information'!C415="","", 'Equipment Information'!C415)</f>
        <v/>
      </c>
      <c r="G415">
        <f>IF(A415="","","N/A")</f>
        <v/>
      </c>
    </row>
    <row r="416">
      <c r="A416">
        <f>IF('Equipment Information'!A416="","", 'Equipment Information'!A416)</f>
        <v/>
      </c>
      <c r="B416">
        <f>IF('Equipment Information'!B416="","", 'Equipment Information'!B416)</f>
        <v/>
      </c>
      <c r="C416">
        <f>IF('Equipment Information'!C416="","", 'Equipment Information'!C416)</f>
        <v/>
      </c>
      <c r="G416">
        <f>IF(A416="","","N/A")</f>
        <v/>
      </c>
    </row>
    <row r="417">
      <c r="A417">
        <f>IF('Equipment Information'!A417="","", 'Equipment Information'!A417)</f>
        <v/>
      </c>
      <c r="B417">
        <f>IF('Equipment Information'!B417="","", 'Equipment Information'!B417)</f>
        <v/>
      </c>
      <c r="C417">
        <f>IF('Equipment Information'!C417="","", 'Equipment Information'!C417)</f>
        <v/>
      </c>
      <c r="G417">
        <f>IF(A417="","","N/A")</f>
        <v/>
      </c>
    </row>
    <row r="418">
      <c r="A418">
        <f>IF('Equipment Information'!A418="","", 'Equipment Information'!A418)</f>
        <v/>
      </c>
      <c r="B418">
        <f>IF('Equipment Information'!B418="","", 'Equipment Information'!B418)</f>
        <v/>
      </c>
      <c r="C418">
        <f>IF('Equipment Information'!C418="","", 'Equipment Information'!C418)</f>
        <v/>
      </c>
      <c r="G418">
        <f>IF(A418="","","N/A")</f>
        <v/>
      </c>
    </row>
    <row r="419">
      <c r="A419">
        <f>IF('Equipment Information'!A419="","", 'Equipment Information'!A419)</f>
        <v/>
      </c>
      <c r="B419">
        <f>IF('Equipment Information'!B419="","", 'Equipment Information'!B419)</f>
        <v/>
      </c>
      <c r="C419">
        <f>IF('Equipment Information'!C419="","", 'Equipment Information'!C419)</f>
        <v/>
      </c>
      <c r="G419">
        <f>IF(A419="","","N/A")</f>
        <v/>
      </c>
    </row>
    <row r="420">
      <c r="A420">
        <f>IF('Equipment Information'!A420="","", 'Equipment Information'!A420)</f>
        <v/>
      </c>
      <c r="B420">
        <f>IF('Equipment Information'!B420="","", 'Equipment Information'!B420)</f>
        <v/>
      </c>
      <c r="C420">
        <f>IF('Equipment Information'!C420="","", 'Equipment Information'!C420)</f>
        <v/>
      </c>
      <c r="G420">
        <f>IF(A420="","","N/A")</f>
        <v/>
      </c>
    </row>
    <row r="421">
      <c r="A421">
        <f>IF('Equipment Information'!A421="","", 'Equipment Information'!A421)</f>
        <v/>
      </c>
      <c r="B421">
        <f>IF('Equipment Information'!B421="","", 'Equipment Information'!B421)</f>
        <v/>
      </c>
      <c r="C421">
        <f>IF('Equipment Information'!C421="","", 'Equipment Information'!C421)</f>
        <v/>
      </c>
      <c r="G421">
        <f>IF(A421="","","N/A")</f>
        <v/>
      </c>
    </row>
    <row r="422">
      <c r="A422">
        <f>IF('Equipment Information'!A422="","", 'Equipment Information'!A422)</f>
        <v/>
      </c>
      <c r="B422">
        <f>IF('Equipment Information'!B422="","", 'Equipment Information'!B422)</f>
        <v/>
      </c>
      <c r="C422">
        <f>IF('Equipment Information'!C422="","", 'Equipment Information'!C422)</f>
        <v/>
      </c>
      <c r="G422">
        <f>IF(A422="","","N/A")</f>
        <v/>
      </c>
    </row>
    <row r="423">
      <c r="A423">
        <f>IF('Equipment Information'!A423="","", 'Equipment Information'!A423)</f>
        <v/>
      </c>
      <c r="B423">
        <f>IF('Equipment Information'!B423="","", 'Equipment Information'!B423)</f>
        <v/>
      </c>
      <c r="C423">
        <f>IF('Equipment Information'!C423="","", 'Equipment Information'!C423)</f>
        <v/>
      </c>
      <c r="G423">
        <f>IF(A423="","","N/A")</f>
        <v/>
      </c>
    </row>
    <row r="424">
      <c r="A424">
        <f>IF('Equipment Information'!A424="","", 'Equipment Information'!A424)</f>
        <v/>
      </c>
      <c r="B424">
        <f>IF('Equipment Information'!B424="","", 'Equipment Information'!B424)</f>
        <v/>
      </c>
      <c r="C424">
        <f>IF('Equipment Information'!C424="","", 'Equipment Information'!C424)</f>
        <v/>
      </c>
      <c r="G424">
        <f>IF(A424="","","N/A")</f>
        <v/>
      </c>
    </row>
    <row r="425">
      <c r="A425">
        <f>IF('Equipment Information'!A425="","", 'Equipment Information'!A425)</f>
        <v/>
      </c>
      <c r="B425">
        <f>IF('Equipment Information'!B425="","", 'Equipment Information'!B425)</f>
        <v/>
      </c>
      <c r="C425">
        <f>IF('Equipment Information'!C425="","", 'Equipment Information'!C425)</f>
        <v/>
      </c>
      <c r="G425">
        <f>IF(A425="","","N/A")</f>
        <v/>
      </c>
    </row>
    <row r="426">
      <c r="A426">
        <f>IF('Equipment Information'!A426="","", 'Equipment Information'!A426)</f>
        <v/>
      </c>
      <c r="B426">
        <f>IF('Equipment Information'!B426="","", 'Equipment Information'!B426)</f>
        <v/>
      </c>
      <c r="C426">
        <f>IF('Equipment Information'!C426="","", 'Equipment Information'!C426)</f>
        <v/>
      </c>
      <c r="G426">
        <f>IF(A426="","","N/A")</f>
        <v/>
      </c>
    </row>
    <row r="427">
      <c r="A427">
        <f>IF('Equipment Information'!A427="","", 'Equipment Information'!A427)</f>
        <v/>
      </c>
      <c r="B427">
        <f>IF('Equipment Information'!B427="","", 'Equipment Information'!B427)</f>
        <v/>
      </c>
      <c r="C427">
        <f>IF('Equipment Information'!C427="","", 'Equipment Information'!C427)</f>
        <v/>
      </c>
      <c r="G427">
        <f>IF(A427="","","N/A")</f>
        <v/>
      </c>
    </row>
    <row r="428">
      <c r="A428">
        <f>IF('Equipment Information'!A428="","", 'Equipment Information'!A428)</f>
        <v/>
      </c>
      <c r="B428">
        <f>IF('Equipment Information'!B428="","", 'Equipment Information'!B428)</f>
        <v/>
      </c>
      <c r="C428">
        <f>IF('Equipment Information'!C428="","", 'Equipment Information'!C428)</f>
        <v/>
      </c>
      <c r="G428">
        <f>IF(A428="","","N/A")</f>
        <v/>
      </c>
    </row>
    <row r="429">
      <c r="A429">
        <f>IF('Equipment Information'!A429="","", 'Equipment Information'!A429)</f>
        <v/>
      </c>
      <c r="B429">
        <f>IF('Equipment Information'!B429="","", 'Equipment Information'!B429)</f>
        <v/>
      </c>
      <c r="C429">
        <f>IF('Equipment Information'!C429="","", 'Equipment Information'!C429)</f>
        <v/>
      </c>
      <c r="G429">
        <f>IF(A429="","","N/A")</f>
        <v/>
      </c>
    </row>
    <row r="430">
      <c r="A430">
        <f>IF('Equipment Information'!A430="","", 'Equipment Information'!A430)</f>
        <v/>
      </c>
      <c r="B430">
        <f>IF('Equipment Information'!B430="","", 'Equipment Information'!B430)</f>
        <v/>
      </c>
      <c r="C430">
        <f>IF('Equipment Information'!C430="","", 'Equipment Information'!C430)</f>
        <v/>
      </c>
      <c r="G430">
        <f>IF(A430="","","N/A")</f>
        <v/>
      </c>
    </row>
    <row r="431">
      <c r="A431">
        <f>IF('Equipment Information'!A431="","", 'Equipment Information'!A431)</f>
        <v/>
      </c>
      <c r="B431">
        <f>IF('Equipment Information'!B431="","", 'Equipment Information'!B431)</f>
        <v/>
      </c>
      <c r="C431">
        <f>IF('Equipment Information'!C431="","", 'Equipment Information'!C431)</f>
        <v/>
      </c>
      <c r="G431">
        <f>IF(A431="","","N/A")</f>
        <v/>
      </c>
    </row>
    <row r="432">
      <c r="A432">
        <f>IF('Equipment Information'!A432="","", 'Equipment Information'!A432)</f>
        <v/>
      </c>
      <c r="B432">
        <f>IF('Equipment Information'!B432="","", 'Equipment Information'!B432)</f>
        <v/>
      </c>
      <c r="C432">
        <f>IF('Equipment Information'!C432="","", 'Equipment Information'!C432)</f>
        <v/>
      </c>
      <c r="G432">
        <f>IF(A432="","","N/A")</f>
        <v/>
      </c>
    </row>
    <row r="433">
      <c r="A433">
        <f>IF('Equipment Information'!A433="","", 'Equipment Information'!A433)</f>
        <v/>
      </c>
      <c r="B433">
        <f>IF('Equipment Information'!B433="","", 'Equipment Information'!B433)</f>
        <v/>
      </c>
      <c r="C433">
        <f>IF('Equipment Information'!C433="","", 'Equipment Information'!C433)</f>
        <v/>
      </c>
      <c r="G433">
        <f>IF(A433="","","N/A")</f>
        <v/>
      </c>
    </row>
    <row r="434">
      <c r="A434">
        <f>IF('Equipment Information'!A434="","", 'Equipment Information'!A434)</f>
        <v/>
      </c>
      <c r="B434">
        <f>IF('Equipment Information'!B434="","", 'Equipment Information'!B434)</f>
        <v/>
      </c>
      <c r="C434">
        <f>IF('Equipment Information'!C434="","", 'Equipment Information'!C434)</f>
        <v/>
      </c>
      <c r="G434">
        <f>IF(A434="","","N/A")</f>
        <v/>
      </c>
    </row>
    <row r="435">
      <c r="A435">
        <f>IF('Equipment Information'!A435="","", 'Equipment Information'!A435)</f>
        <v/>
      </c>
      <c r="B435">
        <f>IF('Equipment Information'!B435="","", 'Equipment Information'!B435)</f>
        <v/>
      </c>
      <c r="C435">
        <f>IF('Equipment Information'!C435="","", 'Equipment Information'!C435)</f>
        <v/>
      </c>
      <c r="G435">
        <f>IF(A435="","","N/A")</f>
        <v/>
      </c>
    </row>
    <row r="436">
      <c r="A436">
        <f>IF('Equipment Information'!A436="","", 'Equipment Information'!A436)</f>
        <v/>
      </c>
      <c r="B436">
        <f>IF('Equipment Information'!B436="","", 'Equipment Information'!B436)</f>
        <v/>
      </c>
      <c r="C436">
        <f>IF('Equipment Information'!C436="","", 'Equipment Information'!C436)</f>
        <v/>
      </c>
      <c r="G436">
        <f>IF(A436="","","N/A")</f>
        <v/>
      </c>
    </row>
    <row r="437">
      <c r="A437">
        <f>IF('Equipment Information'!A437="","", 'Equipment Information'!A437)</f>
        <v/>
      </c>
      <c r="B437">
        <f>IF('Equipment Information'!B437="","", 'Equipment Information'!B437)</f>
        <v/>
      </c>
      <c r="C437">
        <f>IF('Equipment Information'!C437="","", 'Equipment Information'!C437)</f>
        <v/>
      </c>
      <c r="G437">
        <f>IF(A437="","","N/A")</f>
        <v/>
      </c>
    </row>
    <row r="438">
      <c r="A438">
        <f>IF('Equipment Information'!A438="","", 'Equipment Information'!A438)</f>
        <v/>
      </c>
      <c r="B438">
        <f>IF('Equipment Information'!B438="","", 'Equipment Information'!B438)</f>
        <v/>
      </c>
      <c r="C438">
        <f>IF('Equipment Information'!C438="","", 'Equipment Information'!C438)</f>
        <v/>
      </c>
      <c r="G438">
        <f>IF(A438="","","N/A")</f>
        <v/>
      </c>
    </row>
    <row r="439">
      <c r="A439">
        <f>IF('Equipment Information'!A439="","", 'Equipment Information'!A439)</f>
        <v/>
      </c>
      <c r="B439">
        <f>IF('Equipment Information'!B439="","", 'Equipment Information'!B439)</f>
        <v/>
      </c>
      <c r="C439">
        <f>IF('Equipment Information'!C439="","", 'Equipment Information'!C439)</f>
        <v/>
      </c>
      <c r="G439">
        <f>IF(A439="","","N/A")</f>
        <v/>
      </c>
    </row>
    <row r="440">
      <c r="A440">
        <f>IF('Equipment Information'!A440="","", 'Equipment Information'!A440)</f>
        <v/>
      </c>
      <c r="B440">
        <f>IF('Equipment Information'!B440="","", 'Equipment Information'!B440)</f>
        <v/>
      </c>
      <c r="C440">
        <f>IF('Equipment Information'!C440="","", 'Equipment Information'!C440)</f>
        <v/>
      </c>
      <c r="G440">
        <f>IF(A440="","","N/A")</f>
        <v/>
      </c>
    </row>
    <row r="441">
      <c r="A441">
        <f>IF('Equipment Information'!A441="","", 'Equipment Information'!A441)</f>
        <v/>
      </c>
      <c r="B441">
        <f>IF('Equipment Information'!B441="","", 'Equipment Information'!B441)</f>
        <v/>
      </c>
      <c r="C441">
        <f>IF('Equipment Information'!C441="","", 'Equipment Information'!C441)</f>
        <v/>
      </c>
      <c r="G441">
        <f>IF(A441="","","N/A")</f>
        <v/>
      </c>
    </row>
    <row r="442">
      <c r="A442">
        <f>IF('Equipment Information'!A442="","", 'Equipment Information'!A442)</f>
        <v/>
      </c>
      <c r="B442">
        <f>IF('Equipment Information'!B442="","", 'Equipment Information'!B442)</f>
        <v/>
      </c>
      <c r="C442">
        <f>IF('Equipment Information'!C442="","", 'Equipment Information'!C442)</f>
        <v/>
      </c>
      <c r="G442">
        <f>IF(A442="","","N/A")</f>
        <v/>
      </c>
    </row>
    <row r="443">
      <c r="A443">
        <f>IF('Equipment Information'!A443="","", 'Equipment Information'!A443)</f>
        <v/>
      </c>
      <c r="B443">
        <f>IF('Equipment Information'!B443="","", 'Equipment Information'!B443)</f>
        <v/>
      </c>
      <c r="C443">
        <f>IF('Equipment Information'!C443="","", 'Equipment Information'!C443)</f>
        <v/>
      </c>
      <c r="G443">
        <f>IF(A443="","","N/A")</f>
        <v/>
      </c>
    </row>
    <row r="444">
      <c r="A444">
        <f>IF('Equipment Information'!A444="","", 'Equipment Information'!A444)</f>
        <v/>
      </c>
      <c r="B444">
        <f>IF('Equipment Information'!B444="","", 'Equipment Information'!B444)</f>
        <v/>
      </c>
      <c r="C444">
        <f>IF('Equipment Information'!C444="","", 'Equipment Information'!C444)</f>
        <v/>
      </c>
      <c r="G444">
        <f>IF(A444="","","N/A")</f>
        <v/>
      </c>
    </row>
    <row r="445">
      <c r="A445">
        <f>IF('Equipment Information'!A445="","", 'Equipment Information'!A445)</f>
        <v/>
      </c>
      <c r="B445">
        <f>IF('Equipment Information'!B445="","", 'Equipment Information'!B445)</f>
        <v/>
      </c>
      <c r="C445">
        <f>IF('Equipment Information'!C445="","", 'Equipment Information'!C445)</f>
        <v/>
      </c>
      <c r="G445">
        <f>IF(A445="","","N/A")</f>
        <v/>
      </c>
    </row>
    <row r="446">
      <c r="A446">
        <f>IF('Equipment Information'!A446="","", 'Equipment Information'!A446)</f>
        <v/>
      </c>
      <c r="B446">
        <f>IF('Equipment Information'!B446="","", 'Equipment Information'!B446)</f>
        <v/>
      </c>
      <c r="C446">
        <f>IF('Equipment Information'!C446="","", 'Equipment Information'!C446)</f>
        <v/>
      </c>
      <c r="G446">
        <f>IF(A446="","","N/A")</f>
        <v/>
      </c>
    </row>
    <row r="447">
      <c r="A447">
        <f>IF('Equipment Information'!A447="","", 'Equipment Information'!A447)</f>
        <v/>
      </c>
      <c r="B447">
        <f>IF('Equipment Information'!B447="","", 'Equipment Information'!B447)</f>
        <v/>
      </c>
      <c r="C447">
        <f>IF('Equipment Information'!C447="","", 'Equipment Information'!C447)</f>
        <v/>
      </c>
      <c r="G447">
        <f>IF(A447="","","N/A")</f>
        <v/>
      </c>
    </row>
    <row r="448">
      <c r="A448">
        <f>IF('Equipment Information'!A448="","", 'Equipment Information'!A448)</f>
        <v/>
      </c>
      <c r="B448">
        <f>IF('Equipment Information'!B448="","", 'Equipment Information'!B448)</f>
        <v/>
      </c>
      <c r="C448">
        <f>IF('Equipment Information'!C448="","", 'Equipment Information'!C448)</f>
        <v/>
      </c>
      <c r="G448">
        <f>IF(A448="","","N/A")</f>
        <v/>
      </c>
    </row>
    <row r="449">
      <c r="A449">
        <f>IF('Equipment Information'!A449="","", 'Equipment Information'!A449)</f>
        <v/>
      </c>
      <c r="B449">
        <f>IF('Equipment Information'!B449="","", 'Equipment Information'!B449)</f>
        <v/>
      </c>
      <c r="C449">
        <f>IF('Equipment Information'!C449="","", 'Equipment Information'!C449)</f>
        <v/>
      </c>
      <c r="G449">
        <f>IF(A449="","","N/A")</f>
        <v/>
      </c>
    </row>
    <row r="450">
      <c r="A450">
        <f>IF('Equipment Information'!A450="","", 'Equipment Information'!A450)</f>
        <v/>
      </c>
      <c r="B450">
        <f>IF('Equipment Information'!B450="","", 'Equipment Information'!B450)</f>
        <v/>
      </c>
      <c r="C450">
        <f>IF('Equipment Information'!C450="","", 'Equipment Information'!C450)</f>
        <v/>
      </c>
      <c r="G450">
        <f>IF(A450="","","N/A")</f>
        <v/>
      </c>
    </row>
    <row r="451">
      <c r="A451">
        <f>IF('Equipment Information'!A451="","", 'Equipment Information'!A451)</f>
        <v/>
      </c>
      <c r="B451">
        <f>IF('Equipment Information'!B451="","", 'Equipment Information'!B451)</f>
        <v/>
      </c>
      <c r="C451">
        <f>IF('Equipment Information'!C451="","", 'Equipment Information'!C451)</f>
        <v/>
      </c>
      <c r="G451">
        <f>IF(A451="","","N/A")</f>
        <v/>
      </c>
    </row>
    <row r="452">
      <c r="A452">
        <f>IF('Equipment Information'!A452="","", 'Equipment Information'!A452)</f>
        <v/>
      </c>
      <c r="B452">
        <f>IF('Equipment Information'!B452="","", 'Equipment Information'!B452)</f>
        <v/>
      </c>
      <c r="C452">
        <f>IF('Equipment Information'!C452="","", 'Equipment Information'!C452)</f>
        <v/>
      </c>
      <c r="G452">
        <f>IF(A452="","","N/A")</f>
        <v/>
      </c>
    </row>
    <row r="453">
      <c r="A453">
        <f>IF('Equipment Information'!A453="","", 'Equipment Information'!A453)</f>
        <v/>
      </c>
      <c r="B453">
        <f>IF('Equipment Information'!B453="","", 'Equipment Information'!B453)</f>
        <v/>
      </c>
      <c r="C453">
        <f>IF('Equipment Information'!C453="","", 'Equipment Information'!C453)</f>
        <v/>
      </c>
      <c r="G453">
        <f>IF(A453="","","N/A")</f>
        <v/>
      </c>
    </row>
    <row r="454">
      <c r="A454">
        <f>IF('Equipment Information'!A454="","", 'Equipment Information'!A454)</f>
        <v/>
      </c>
      <c r="B454">
        <f>IF('Equipment Information'!B454="","", 'Equipment Information'!B454)</f>
        <v/>
      </c>
      <c r="C454">
        <f>IF('Equipment Information'!C454="","", 'Equipment Information'!C454)</f>
        <v/>
      </c>
      <c r="G454">
        <f>IF(A454="","","N/A")</f>
        <v/>
      </c>
    </row>
    <row r="455">
      <c r="A455">
        <f>IF('Equipment Information'!A455="","", 'Equipment Information'!A455)</f>
        <v/>
      </c>
      <c r="B455">
        <f>IF('Equipment Information'!B455="","", 'Equipment Information'!B455)</f>
        <v/>
      </c>
      <c r="C455">
        <f>IF('Equipment Information'!C455="","", 'Equipment Information'!C455)</f>
        <v/>
      </c>
      <c r="G455">
        <f>IF(A455="","","N/A")</f>
        <v/>
      </c>
    </row>
    <row r="456">
      <c r="A456">
        <f>IF('Equipment Information'!A456="","", 'Equipment Information'!A456)</f>
        <v/>
      </c>
      <c r="B456">
        <f>IF('Equipment Information'!B456="","", 'Equipment Information'!B456)</f>
        <v/>
      </c>
      <c r="C456">
        <f>IF('Equipment Information'!C456="","", 'Equipment Information'!C456)</f>
        <v/>
      </c>
      <c r="G456">
        <f>IF(A456="","","N/A")</f>
        <v/>
      </c>
    </row>
    <row r="457">
      <c r="A457">
        <f>IF('Equipment Information'!A457="","", 'Equipment Information'!A457)</f>
        <v/>
      </c>
      <c r="B457">
        <f>IF('Equipment Information'!B457="","", 'Equipment Information'!B457)</f>
        <v/>
      </c>
      <c r="C457">
        <f>IF('Equipment Information'!C457="","", 'Equipment Information'!C457)</f>
        <v/>
      </c>
      <c r="G457">
        <f>IF(A457="","","N/A")</f>
        <v/>
      </c>
    </row>
    <row r="458">
      <c r="A458">
        <f>IF('Equipment Information'!A458="","", 'Equipment Information'!A458)</f>
        <v/>
      </c>
      <c r="B458">
        <f>IF('Equipment Information'!B458="","", 'Equipment Information'!B458)</f>
        <v/>
      </c>
      <c r="C458">
        <f>IF('Equipment Information'!C458="","", 'Equipment Information'!C458)</f>
        <v/>
      </c>
      <c r="G458">
        <f>IF(A458="","","N/A")</f>
        <v/>
      </c>
    </row>
    <row r="459">
      <c r="A459">
        <f>IF('Equipment Information'!A459="","", 'Equipment Information'!A459)</f>
        <v/>
      </c>
      <c r="B459">
        <f>IF('Equipment Information'!B459="","", 'Equipment Information'!B459)</f>
        <v/>
      </c>
      <c r="C459">
        <f>IF('Equipment Information'!C459="","", 'Equipment Information'!C459)</f>
        <v/>
      </c>
      <c r="G459">
        <f>IF(A459="","","N/A")</f>
        <v/>
      </c>
    </row>
    <row r="460">
      <c r="A460">
        <f>IF('Equipment Information'!A460="","", 'Equipment Information'!A460)</f>
        <v/>
      </c>
      <c r="B460">
        <f>IF('Equipment Information'!B460="","", 'Equipment Information'!B460)</f>
        <v/>
      </c>
      <c r="C460">
        <f>IF('Equipment Information'!C460="","", 'Equipment Information'!C460)</f>
        <v/>
      </c>
      <c r="G460">
        <f>IF(A460="","","N/A")</f>
        <v/>
      </c>
    </row>
    <row r="461">
      <c r="A461">
        <f>IF('Equipment Information'!A461="","", 'Equipment Information'!A461)</f>
        <v/>
      </c>
      <c r="B461">
        <f>IF('Equipment Information'!B461="","", 'Equipment Information'!B461)</f>
        <v/>
      </c>
      <c r="C461">
        <f>IF('Equipment Information'!C461="","", 'Equipment Information'!C461)</f>
        <v/>
      </c>
      <c r="G461">
        <f>IF(A461="","","N/A")</f>
        <v/>
      </c>
    </row>
    <row r="462">
      <c r="A462">
        <f>IF('Equipment Information'!A462="","", 'Equipment Information'!A462)</f>
        <v/>
      </c>
      <c r="B462">
        <f>IF('Equipment Information'!B462="","", 'Equipment Information'!B462)</f>
        <v/>
      </c>
      <c r="C462">
        <f>IF('Equipment Information'!C462="","", 'Equipment Information'!C462)</f>
        <v/>
      </c>
      <c r="G462">
        <f>IF(A462="","","N/A")</f>
        <v/>
      </c>
    </row>
    <row r="463">
      <c r="A463">
        <f>IF('Equipment Information'!A463="","", 'Equipment Information'!A463)</f>
        <v/>
      </c>
      <c r="B463">
        <f>IF('Equipment Information'!B463="","", 'Equipment Information'!B463)</f>
        <v/>
      </c>
      <c r="C463">
        <f>IF('Equipment Information'!C463="","", 'Equipment Information'!C463)</f>
        <v/>
      </c>
      <c r="G463">
        <f>IF(A463="","","N/A")</f>
        <v/>
      </c>
    </row>
    <row r="464">
      <c r="A464">
        <f>IF('Equipment Information'!A464="","", 'Equipment Information'!A464)</f>
        <v/>
      </c>
      <c r="B464">
        <f>IF('Equipment Information'!B464="","", 'Equipment Information'!B464)</f>
        <v/>
      </c>
      <c r="C464">
        <f>IF('Equipment Information'!C464="","", 'Equipment Information'!C464)</f>
        <v/>
      </c>
      <c r="G464">
        <f>IF(A464="","","N/A")</f>
        <v/>
      </c>
    </row>
    <row r="465">
      <c r="A465">
        <f>IF('Equipment Information'!A465="","", 'Equipment Information'!A465)</f>
        <v/>
      </c>
      <c r="B465">
        <f>IF('Equipment Information'!B465="","", 'Equipment Information'!B465)</f>
        <v/>
      </c>
      <c r="C465">
        <f>IF('Equipment Information'!C465="","", 'Equipment Information'!C465)</f>
        <v/>
      </c>
      <c r="G465">
        <f>IF(A465="","","N/A")</f>
        <v/>
      </c>
    </row>
    <row r="466">
      <c r="A466">
        <f>IF('Equipment Information'!A466="","", 'Equipment Information'!A466)</f>
        <v/>
      </c>
      <c r="B466">
        <f>IF('Equipment Information'!B466="","", 'Equipment Information'!B466)</f>
        <v/>
      </c>
      <c r="C466">
        <f>IF('Equipment Information'!C466="","", 'Equipment Information'!C466)</f>
        <v/>
      </c>
      <c r="G466">
        <f>IF(A466="","","N/A")</f>
        <v/>
      </c>
    </row>
    <row r="467">
      <c r="A467">
        <f>IF('Equipment Information'!A467="","", 'Equipment Information'!A467)</f>
        <v/>
      </c>
      <c r="B467">
        <f>IF('Equipment Information'!B467="","", 'Equipment Information'!B467)</f>
        <v/>
      </c>
      <c r="C467">
        <f>IF('Equipment Information'!C467="","", 'Equipment Information'!C467)</f>
        <v/>
      </c>
      <c r="G467">
        <f>IF(A467="","","N/A")</f>
        <v/>
      </c>
    </row>
    <row r="468">
      <c r="A468">
        <f>IF('Equipment Information'!A468="","", 'Equipment Information'!A468)</f>
        <v/>
      </c>
      <c r="B468">
        <f>IF('Equipment Information'!B468="","", 'Equipment Information'!B468)</f>
        <v/>
      </c>
      <c r="C468">
        <f>IF('Equipment Information'!C468="","", 'Equipment Information'!C468)</f>
        <v/>
      </c>
      <c r="G468">
        <f>IF(A468="","","N/A")</f>
        <v/>
      </c>
    </row>
    <row r="469">
      <c r="A469">
        <f>IF('Equipment Information'!A469="","", 'Equipment Information'!A469)</f>
        <v/>
      </c>
      <c r="B469">
        <f>IF('Equipment Information'!B469="","", 'Equipment Information'!B469)</f>
        <v/>
      </c>
      <c r="C469">
        <f>IF('Equipment Information'!C469="","", 'Equipment Information'!C469)</f>
        <v/>
      </c>
      <c r="G469">
        <f>IF(A469="","","N/A")</f>
        <v/>
      </c>
    </row>
    <row r="470">
      <c r="A470">
        <f>IF('Equipment Information'!A470="","", 'Equipment Information'!A470)</f>
        <v/>
      </c>
      <c r="B470">
        <f>IF('Equipment Information'!B470="","", 'Equipment Information'!B470)</f>
        <v/>
      </c>
      <c r="C470">
        <f>IF('Equipment Information'!C470="","", 'Equipment Information'!C470)</f>
        <v/>
      </c>
      <c r="G470">
        <f>IF(A470="","","N/A")</f>
        <v/>
      </c>
    </row>
    <row r="471">
      <c r="A471">
        <f>IF('Equipment Information'!A471="","", 'Equipment Information'!A471)</f>
        <v/>
      </c>
      <c r="B471">
        <f>IF('Equipment Information'!B471="","", 'Equipment Information'!B471)</f>
        <v/>
      </c>
      <c r="C471">
        <f>IF('Equipment Information'!C471="","", 'Equipment Information'!C471)</f>
        <v/>
      </c>
      <c r="G471">
        <f>IF(A471="","","N/A")</f>
        <v/>
      </c>
    </row>
    <row r="472">
      <c r="A472">
        <f>IF('Equipment Information'!A472="","", 'Equipment Information'!A472)</f>
        <v/>
      </c>
      <c r="B472">
        <f>IF('Equipment Information'!B472="","", 'Equipment Information'!B472)</f>
        <v/>
      </c>
      <c r="C472">
        <f>IF('Equipment Information'!C472="","", 'Equipment Information'!C472)</f>
        <v/>
      </c>
      <c r="G472">
        <f>IF(A472="","","N/A")</f>
        <v/>
      </c>
    </row>
    <row r="473">
      <c r="A473">
        <f>IF('Equipment Information'!A473="","", 'Equipment Information'!A473)</f>
        <v/>
      </c>
      <c r="B473">
        <f>IF('Equipment Information'!B473="","", 'Equipment Information'!B473)</f>
        <v/>
      </c>
      <c r="C473">
        <f>IF('Equipment Information'!C473="","", 'Equipment Information'!C473)</f>
        <v/>
      </c>
      <c r="G473">
        <f>IF(A473="","","N/A")</f>
        <v/>
      </c>
    </row>
    <row r="474">
      <c r="A474">
        <f>IF('Equipment Information'!A474="","", 'Equipment Information'!A474)</f>
        <v/>
      </c>
      <c r="B474">
        <f>IF('Equipment Information'!B474="","", 'Equipment Information'!B474)</f>
        <v/>
      </c>
      <c r="C474">
        <f>IF('Equipment Information'!C474="","", 'Equipment Information'!C474)</f>
        <v/>
      </c>
      <c r="G474">
        <f>IF(A474="","","N/A")</f>
        <v/>
      </c>
    </row>
    <row r="475">
      <c r="A475">
        <f>IF('Equipment Information'!A475="","", 'Equipment Information'!A475)</f>
        <v/>
      </c>
      <c r="B475">
        <f>IF('Equipment Information'!B475="","", 'Equipment Information'!B475)</f>
        <v/>
      </c>
      <c r="C475">
        <f>IF('Equipment Information'!C475="","", 'Equipment Information'!C475)</f>
        <v/>
      </c>
      <c r="G475">
        <f>IF(A475="","","N/A")</f>
        <v/>
      </c>
    </row>
    <row r="476">
      <c r="A476">
        <f>IF('Equipment Information'!A476="","", 'Equipment Information'!A476)</f>
        <v/>
      </c>
      <c r="B476">
        <f>IF('Equipment Information'!B476="","", 'Equipment Information'!B476)</f>
        <v/>
      </c>
      <c r="C476">
        <f>IF('Equipment Information'!C476="","", 'Equipment Information'!C476)</f>
        <v/>
      </c>
      <c r="G476">
        <f>IF(A476="","","N/A")</f>
        <v/>
      </c>
    </row>
    <row r="477">
      <c r="A477">
        <f>IF('Equipment Information'!A477="","", 'Equipment Information'!A477)</f>
        <v/>
      </c>
      <c r="B477">
        <f>IF('Equipment Information'!B477="","", 'Equipment Information'!B477)</f>
        <v/>
      </c>
      <c r="C477">
        <f>IF('Equipment Information'!C477="","", 'Equipment Information'!C477)</f>
        <v/>
      </c>
      <c r="G477">
        <f>IF(A477="","","N/A")</f>
        <v/>
      </c>
    </row>
    <row r="478">
      <c r="A478">
        <f>IF('Equipment Information'!A478="","", 'Equipment Information'!A478)</f>
        <v/>
      </c>
      <c r="B478">
        <f>IF('Equipment Information'!B478="","", 'Equipment Information'!B478)</f>
        <v/>
      </c>
      <c r="C478">
        <f>IF('Equipment Information'!C478="","", 'Equipment Information'!C478)</f>
        <v/>
      </c>
      <c r="G478">
        <f>IF(A478="","","N/A")</f>
        <v/>
      </c>
    </row>
    <row r="479">
      <c r="A479">
        <f>IF('Equipment Information'!A479="","", 'Equipment Information'!A479)</f>
        <v/>
      </c>
      <c r="B479">
        <f>IF('Equipment Information'!B479="","", 'Equipment Information'!B479)</f>
        <v/>
      </c>
      <c r="C479">
        <f>IF('Equipment Information'!C479="","", 'Equipment Information'!C479)</f>
        <v/>
      </c>
      <c r="G479">
        <f>IF(A479="","","N/A")</f>
        <v/>
      </c>
    </row>
    <row r="480">
      <c r="A480">
        <f>IF('Equipment Information'!A480="","", 'Equipment Information'!A480)</f>
        <v/>
      </c>
      <c r="B480">
        <f>IF('Equipment Information'!B480="","", 'Equipment Information'!B480)</f>
        <v/>
      </c>
      <c r="C480">
        <f>IF('Equipment Information'!C480="","", 'Equipment Information'!C480)</f>
        <v/>
      </c>
      <c r="G480">
        <f>IF(A480="","","N/A")</f>
        <v/>
      </c>
    </row>
    <row r="481">
      <c r="A481">
        <f>IF('Equipment Information'!A481="","", 'Equipment Information'!A481)</f>
        <v/>
      </c>
      <c r="B481">
        <f>IF('Equipment Information'!B481="","", 'Equipment Information'!B481)</f>
        <v/>
      </c>
      <c r="C481">
        <f>IF('Equipment Information'!C481="","", 'Equipment Information'!C481)</f>
        <v/>
      </c>
      <c r="G481">
        <f>IF(A481="","","N/A")</f>
        <v/>
      </c>
    </row>
    <row r="482">
      <c r="A482">
        <f>IF('Equipment Information'!A482="","", 'Equipment Information'!A482)</f>
        <v/>
      </c>
      <c r="B482">
        <f>IF('Equipment Information'!B482="","", 'Equipment Information'!B482)</f>
        <v/>
      </c>
      <c r="C482">
        <f>IF('Equipment Information'!C482="","", 'Equipment Information'!C482)</f>
        <v/>
      </c>
      <c r="G482">
        <f>IF(A482="","","N/A")</f>
        <v/>
      </c>
    </row>
    <row r="483">
      <c r="A483">
        <f>IF('Equipment Information'!A483="","", 'Equipment Information'!A483)</f>
        <v/>
      </c>
      <c r="B483">
        <f>IF('Equipment Information'!B483="","", 'Equipment Information'!B483)</f>
        <v/>
      </c>
      <c r="C483">
        <f>IF('Equipment Information'!C483="","", 'Equipment Information'!C483)</f>
        <v/>
      </c>
      <c r="G483">
        <f>IF(A483="","","N/A")</f>
        <v/>
      </c>
    </row>
    <row r="484">
      <c r="A484">
        <f>IF('Equipment Information'!A484="","", 'Equipment Information'!A484)</f>
        <v/>
      </c>
      <c r="B484">
        <f>IF('Equipment Information'!B484="","", 'Equipment Information'!B484)</f>
        <v/>
      </c>
      <c r="C484">
        <f>IF('Equipment Information'!C484="","", 'Equipment Information'!C484)</f>
        <v/>
      </c>
      <c r="G484">
        <f>IF(A484="","","N/A")</f>
        <v/>
      </c>
    </row>
    <row r="485">
      <c r="A485">
        <f>IF('Equipment Information'!A485="","", 'Equipment Information'!A485)</f>
        <v/>
      </c>
      <c r="B485">
        <f>IF('Equipment Information'!B485="","", 'Equipment Information'!B485)</f>
        <v/>
      </c>
      <c r="C485">
        <f>IF('Equipment Information'!C485="","", 'Equipment Information'!C485)</f>
        <v/>
      </c>
      <c r="G485">
        <f>IF(A485="","","N/A")</f>
        <v/>
      </c>
    </row>
    <row r="486">
      <c r="A486">
        <f>IF('Equipment Information'!A486="","", 'Equipment Information'!A486)</f>
        <v/>
      </c>
      <c r="B486">
        <f>IF('Equipment Information'!B486="","", 'Equipment Information'!B486)</f>
        <v/>
      </c>
      <c r="C486">
        <f>IF('Equipment Information'!C486="","", 'Equipment Information'!C486)</f>
        <v/>
      </c>
      <c r="G486">
        <f>IF(A486="","","N/A")</f>
        <v/>
      </c>
    </row>
    <row r="487">
      <c r="A487">
        <f>IF('Equipment Information'!A487="","", 'Equipment Information'!A487)</f>
        <v/>
      </c>
      <c r="B487">
        <f>IF('Equipment Information'!B487="","", 'Equipment Information'!B487)</f>
        <v/>
      </c>
      <c r="C487">
        <f>IF('Equipment Information'!C487="","", 'Equipment Information'!C487)</f>
        <v/>
      </c>
      <c r="G487">
        <f>IF(A487="","","N/A")</f>
        <v/>
      </c>
    </row>
    <row r="488">
      <c r="A488">
        <f>IF('Equipment Information'!A488="","", 'Equipment Information'!A488)</f>
        <v/>
      </c>
      <c r="B488">
        <f>IF('Equipment Information'!B488="","", 'Equipment Information'!B488)</f>
        <v/>
      </c>
      <c r="C488">
        <f>IF('Equipment Information'!C488="","", 'Equipment Information'!C488)</f>
        <v/>
      </c>
      <c r="G488">
        <f>IF(A488="","","N/A")</f>
        <v/>
      </c>
    </row>
    <row r="489">
      <c r="A489">
        <f>IF('Equipment Information'!A489="","", 'Equipment Information'!A489)</f>
        <v/>
      </c>
      <c r="B489">
        <f>IF('Equipment Information'!B489="","", 'Equipment Information'!B489)</f>
        <v/>
      </c>
      <c r="C489">
        <f>IF('Equipment Information'!C489="","", 'Equipment Information'!C489)</f>
        <v/>
      </c>
      <c r="G489">
        <f>IF(A489="","","N/A")</f>
        <v/>
      </c>
    </row>
    <row r="490">
      <c r="A490">
        <f>IF('Equipment Information'!A490="","", 'Equipment Information'!A490)</f>
        <v/>
      </c>
      <c r="B490">
        <f>IF('Equipment Information'!B490="","", 'Equipment Information'!B490)</f>
        <v/>
      </c>
      <c r="C490">
        <f>IF('Equipment Information'!C490="","", 'Equipment Information'!C490)</f>
        <v/>
      </c>
      <c r="G490">
        <f>IF(A490="","","N/A")</f>
        <v/>
      </c>
    </row>
    <row r="491">
      <c r="A491">
        <f>IF('Equipment Information'!A491="","", 'Equipment Information'!A491)</f>
        <v/>
      </c>
      <c r="B491">
        <f>IF('Equipment Information'!B491="","", 'Equipment Information'!B491)</f>
        <v/>
      </c>
      <c r="C491">
        <f>IF('Equipment Information'!C491="","", 'Equipment Information'!C491)</f>
        <v/>
      </c>
      <c r="G491">
        <f>IF(A491="","","N/A")</f>
        <v/>
      </c>
    </row>
    <row r="492">
      <c r="A492">
        <f>IF('Equipment Information'!A492="","", 'Equipment Information'!A492)</f>
        <v/>
      </c>
      <c r="B492">
        <f>IF('Equipment Information'!B492="","", 'Equipment Information'!B492)</f>
        <v/>
      </c>
      <c r="C492">
        <f>IF('Equipment Information'!C492="","", 'Equipment Information'!C492)</f>
        <v/>
      </c>
      <c r="G492">
        <f>IF(A492="","","N/A")</f>
        <v/>
      </c>
    </row>
    <row r="493">
      <c r="A493">
        <f>IF('Equipment Information'!A493="","", 'Equipment Information'!A493)</f>
        <v/>
      </c>
      <c r="B493">
        <f>IF('Equipment Information'!B493="","", 'Equipment Information'!B493)</f>
        <v/>
      </c>
      <c r="C493">
        <f>IF('Equipment Information'!C493="","", 'Equipment Information'!C493)</f>
        <v/>
      </c>
      <c r="G493">
        <f>IF(A493="","","N/A")</f>
        <v/>
      </c>
    </row>
    <row r="494">
      <c r="A494">
        <f>IF('Equipment Information'!A494="","", 'Equipment Information'!A494)</f>
        <v/>
      </c>
      <c r="B494">
        <f>IF('Equipment Information'!B494="","", 'Equipment Information'!B494)</f>
        <v/>
      </c>
      <c r="C494">
        <f>IF('Equipment Information'!C494="","", 'Equipment Information'!C494)</f>
        <v/>
      </c>
      <c r="G494">
        <f>IF(A494="","","N/A")</f>
        <v/>
      </c>
    </row>
    <row r="495">
      <c r="A495">
        <f>IF('Equipment Information'!A495="","", 'Equipment Information'!A495)</f>
        <v/>
      </c>
      <c r="B495">
        <f>IF('Equipment Information'!B495="","", 'Equipment Information'!B495)</f>
        <v/>
      </c>
      <c r="C495">
        <f>IF('Equipment Information'!C495="","", 'Equipment Information'!C495)</f>
        <v/>
      </c>
      <c r="G495">
        <f>IF(A495="","","N/A")</f>
        <v/>
      </c>
    </row>
    <row r="496">
      <c r="A496">
        <f>IF('Equipment Information'!A496="","", 'Equipment Information'!A496)</f>
        <v/>
      </c>
      <c r="B496">
        <f>IF('Equipment Information'!B496="","", 'Equipment Information'!B496)</f>
        <v/>
      </c>
      <c r="C496">
        <f>IF('Equipment Information'!C496="","", 'Equipment Information'!C496)</f>
        <v/>
      </c>
      <c r="G496">
        <f>IF(A496="","","N/A")</f>
        <v/>
      </c>
    </row>
    <row r="497">
      <c r="A497">
        <f>IF('Equipment Information'!A497="","", 'Equipment Information'!A497)</f>
        <v/>
      </c>
      <c r="B497">
        <f>IF('Equipment Information'!B497="","", 'Equipment Information'!B497)</f>
        <v/>
      </c>
      <c r="C497">
        <f>IF('Equipment Information'!C497="","", 'Equipment Information'!C497)</f>
        <v/>
      </c>
      <c r="G497">
        <f>IF(A497="","","N/A")</f>
        <v/>
      </c>
    </row>
    <row r="498">
      <c r="A498">
        <f>IF('Equipment Information'!A498="","", 'Equipment Information'!A498)</f>
        <v/>
      </c>
      <c r="B498">
        <f>IF('Equipment Information'!B498="","", 'Equipment Information'!B498)</f>
        <v/>
      </c>
      <c r="C498">
        <f>IF('Equipment Information'!C498="","", 'Equipment Information'!C498)</f>
        <v/>
      </c>
      <c r="G498">
        <f>IF(A498="","","N/A")</f>
        <v/>
      </c>
    </row>
    <row r="499">
      <c r="A499">
        <f>IF('Equipment Information'!A499="","", 'Equipment Information'!A499)</f>
        <v/>
      </c>
      <c r="B499">
        <f>IF('Equipment Information'!B499="","", 'Equipment Information'!B499)</f>
        <v/>
      </c>
      <c r="C499">
        <f>IF('Equipment Information'!C499="","", 'Equipment Information'!C499)</f>
        <v/>
      </c>
      <c r="G499">
        <f>IF(A499="","","N/A")</f>
        <v/>
      </c>
    </row>
  </sheetData>
  <dataValidations count="3">
    <dataValidation sqref="D2:D500" showDropDown="0" showInputMessage="0" showErrorMessage="0" allowBlank="1" type="list">
      <formula1>List_Comp</formula1>
    </dataValidation>
    <dataValidation sqref="E2:E500" showDropDown="0" showInputMessage="0" showErrorMessage="0" allowBlank="1" type="list">
      <formula1>List_US_Mode</formula1>
    </dataValidation>
    <dataValidation sqref="G2:G500" showDropDown="0" showInputMessage="0" showErrorMessage="0" allowBlank="1" type="list">
      <formula1>List_PF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Loc</t>
        </is>
      </c>
      <c r="D1" s="1" t="inlineStr">
        <is>
          <t>Phase</t>
        </is>
      </c>
      <c r="E1" s="1" t="inlineStr">
        <is>
          <t>Wire</t>
        </is>
      </c>
      <c r="F1" s="1" t="inlineStr">
        <is>
          <t>V-AB</t>
        </is>
      </c>
      <c r="G1" s="1" t="inlineStr">
        <is>
          <t>V-BC</t>
        </is>
      </c>
      <c r="H1" s="1" t="inlineStr">
        <is>
          <t>V-CA</t>
        </is>
      </c>
      <c r="I1" s="1" t="inlineStr">
        <is>
          <t>AvgV</t>
        </is>
      </c>
      <c r="J1" s="2" t="inlineStr">
        <is>
          <t>V-Imb%</t>
        </is>
      </c>
      <c r="K1" s="1" t="inlineStr">
        <is>
          <t>A-A</t>
        </is>
      </c>
      <c r="L1" s="1" t="inlineStr">
        <is>
          <t>A-B</t>
        </is>
      </c>
      <c r="M1" s="1" t="inlineStr">
        <is>
          <t>A-C</t>
        </is>
      </c>
      <c r="N1" s="1" t="inlineStr">
        <is>
          <t>AvgA</t>
        </is>
      </c>
      <c r="O1" s="1" t="inlineStr">
        <is>
          <t>Rated Amps</t>
        </is>
      </c>
      <c r="P1" s="1" t="inlineStr">
        <is>
          <t>OCPD</t>
        </is>
      </c>
      <c r="Q1" s="1" t="inlineStr">
        <is>
          <t>Load%</t>
        </is>
      </c>
      <c r="R1" s="2" t="inlineStr">
        <is>
          <t>I-Imb%</t>
        </is>
      </c>
      <c r="S1" s="1" t="inlineStr">
        <is>
          <t>Analysis</t>
        </is>
      </c>
      <c r="T1" s="1" t="inlineStr">
        <is>
          <t>Summary</t>
        </is>
      </c>
    </row>
    <row r="2">
      <c r="A2">
        <f>IF('Equipment Information'!A2="","", 'Equipment Information'!A2)</f>
        <v/>
      </c>
      <c r="B2">
        <f>IF('Equipment Information'!B2="","", 'Equipment Information'!B2)</f>
        <v/>
      </c>
      <c r="C2">
        <f>IF('Equipment Information'!C2="","", 'Equipment Information'!C2)</f>
        <v/>
      </c>
      <c r="I2">
        <f>IF(COUNT(F2:H2)&lt;2,"",AVERAGE(F2:H2))</f>
        <v/>
      </c>
      <c r="J2" s="3">
        <f>IF(I2="","",MAX(ABS(F2-I2),ABS(G2-I2),ABS(H2-I2))/I2)</f>
        <v/>
      </c>
      <c r="N2">
        <f>IF(COUNT(K2:M2)&lt;2,"",AVERAGE(K2:M2))</f>
        <v/>
      </c>
      <c r="R2" s="3">
        <f>IF(N2="","",MAX(ABS(K2-N2),ABS(L2-N2),ABS(M2-N2))/N2)</f>
        <v/>
      </c>
      <c r="S2">
        <f>IF(A2="","",IF(AND(F2="",K2=""),"N/A",IF(AND(J2="",R2=""),"Insufficient Load Data",IF(AND(J2&gt;0.03,R2&gt;0.15),"Voltage &amp; Current Imbalance",IF(J2&gt;0.03,"Voltage Imbalance",IF(R2&gt;0.15,"Current Imbalance","No Imbalances Detected")))))</f>
        <v/>
      </c>
      <c r="T2">
        <f>IF(A2="","",IF(AND(F2="",K2=""),"N/A",IF(OR(J2&gt;0.03,R2&gt;0.15),"Imbalance","Pass")))</f>
        <v/>
      </c>
    </row>
    <row r="3">
      <c r="A3">
        <f>IF('Equipment Information'!A3="","", 'Equipment Information'!A3)</f>
        <v/>
      </c>
      <c r="B3">
        <f>IF('Equipment Information'!B3="","", 'Equipment Information'!B3)</f>
        <v/>
      </c>
      <c r="C3">
        <f>IF('Equipment Information'!C3="","", 'Equipment Information'!C3)</f>
        <v/>
      </c>
      <c r="I3">
        <f>IF(COUNT(F3:H3)&lt;2,"",AVERAGE(F3:H3))</f>
        <v/>
      </c>
      <c r="J3" s="3">
        <f>IF(I3="","",MAX(ABS(F3-I3),ABS(G3-I3),ABS(H3-I3))/I3)</f>
        <v/>
      </c>
      <c r="N3">
        <f>IF(COUNT(K3:M3)&lt;2,"",AVERAGE(K3:M3))</f>
        <v/>
      </c>
      <c r="R3" s="3">
        <f>IF(N3="","",MAX(ABS(K3-N3),ABS(L3-N3),ABS(M3-N3))/N3)</f>
        <v/>
      </c>
      <c r="S3">
        <f>IF(A3="","",IF(AND(F3="",K3=""),"N/A",IF(AND(J3="",R3=""),"Insufficient Load Data",IF(AND(J3&gt;0.03,R3&gt;0.15),"Voltage &amp; Current Imbalance",IF(J3&gt;0.03,"Voltage Imbalance",IF(R3&gt;0.15,"Current Imbalance","No Imbalances Detected")))))</f>
        <v/>
      </c>
      <c r="T3">
        <f>IF(A3="","",IF(AND(F3="",K3=""),"N/A",IF(OR(J3&gt;0.03,R3&gt;0.15),"Imbalance","Pass")))</f>
        <v/>
      </c>
    </row>
    <row r="4">
      <c r="A4">
        <f>IF('Equipment Information'!A4="","", 'Equipment Information'!A4)</f>
        <v/>
      </c>
      <c r="B4">
        <f>IF('Equipment Information'!B4="","", 'Equipment Information'!B4)</f>
        <v/>
      </c>
      <c r="C4">
        <f>IF('Equipment Information'!C4="","", 'Equipment Information'!C4)</f>
        <v/>
      </c>
      <c r="I4">
        <f>IF(COUNT(F4:H4)&lt;2,"",AVERAGE(F4:H4))</f>
        <v/>
      </c>
      <c r="J4" s="3">
        <f>IF(I4="","",MAX(ABS(F4-I4),ABS(G4-I4),ABS(H4-I4))/I4)</f>
        <v/>
      </c>
      <c r="N4">
        <f>IF(COUNT(K4:M4)&lt;2,"",AVERAGE(K4:M4))</f>
        <v/>
      </c>
      <c r="R4" s="3">
        <f>IF(N4="","",MAX(ABS(K4-N4),ABS(L4-N4),ABS(M4-N4))/N4)</f>
        <v/>
      </c>
      <c r="S4">
        <f>IF(A4="","",IF(AND(F4="",K4=""),"N/A",IF(AND(J4="",R4=""),"Insufficient Load Data",IF(AND(J4&gt;0.03,R4&gt;0.15),"Voltage &amp; Current Imbalance",IF(J4&gt;0.03,"Voltage Imbalance",IF(R4&gt;0.15,"Current Imbalance","No Imbalances Detected")))))</f>
        <v/>
      </c>
      <c r="T4">
        <f>IF(A4="","",IF(AND(F4="",K4=""),"N/A",IF(OR(J4&gt;0.03,R4&gt;0.15),"Imbalance","Pass")))</f>
        <v/>
      </c>
    </row>
    <row r="5">
      <c r="A5">
        <f>IF('Equipment Information'!A5="","", 'Equipment Information'!A5)</f>
        <v/>
      </c>
      <c r="B5">
        <f>IF('Equipment Information'!B5="","", 'Equipment Information'!B5)</f>
        <v/>
      </c>
      <c r="C5">
        <f>IF('Equipment Information'!C5="","", 'Equipment Information'!C5)</f>
        <v/>
      </c>
      <c r="I5">
        <f>IF(COUNT(F5:H5)&lt;2,"",AVERAGE(F5:H5))</f>
        <v/>
      </c>
      <c r="J5" s="3">
        <f>IF(I5="","",MAX(ABS(F5-I5),ABS(G5-I5),ABS(H5-I5))/I5)</f>
        <v/>
      </c>
      <c r="N5">
        <f>IF(COUNT(K5:M5)&lt;2,"",AVERAGE(K5:M5))</f>
        <v/>
      </c>
      <c r="R5" s="3">
        <f>IF(N5="","",MAX(ABS(K5-N5),ABS(L5-N5),ABS(M5-N5))/N5)</f>
        <v/>
      </c>
      <c r="S5">
        <f>IF(A5="","",IF(AND(F5="",K5=""),"N/A",IF(AND(J5="",R5=""),"Insufficient Load Data",IF(AND(J5&gt;0.03,R5&gt;0.15),"Voltage &amp; Current Imbalance",IF(J5&gt;0.03,"Voltage Imbalance",IF(R5&gt;0.15,"Current Imbalance","No Imbalances Detected")))))</f>
        <v/>
      </c>
      <c r="T5">
        <f>IF(A5="","",IF(AND(F5="",K5=""),"N/A",IF(OR(J5&gt;0.03,R5&gt;0.15),"Imbalance","Pass")))</f>
        <v/>
      </c>
    </row>
    <row r="6">
      <c r="A6">
        <f>IF('Equipment Information'!A6="","", 'Equipment Information'!A6)</f>
        <v/>
      </c>
      <c r="B6">
        <f>IF('Equipment Information'!B6="","", 'Equipment Information'!B6)</f>
        <v/>
      </c>
      <c r="C6">
        <f>IF('Equipment Information'!C6="","", 'Equipment Information'!C6)</f>
        <v/>
      </c>
      <c r="I6">
        <f>IF(COUNT(F6:H6)&lt;2,"",AVERAGE(F6:H6))</f>
        <v/>
      </c>
      <c r="J6" s="3">
        <f>IF(I6="","",MAX(ABS(F6-I6),ABS(G6-I6),ABS(H6-I6))/I6)</f>
        <v/>
      </c>
      <c r="N6">
        <f>IF(COUNT(K6:M6)&lt;2,"",AVERAGE(K6:M6))</f>
        <v/>
      </c>
      <c r="R6" s="3">
        <f>IF(N6="","",MAX(ABS(K6-N6),ABS(L6-N6),ABS(M6-N6))/N6)</f>
        <v/>
      </c>
      <c r="S6">
        <f>IF(A6="","",IF(AND(F6="",K6=""),"N/A",IF(AND(J6="",R6=""),"Insufficient Load Data",IF(AND(J6&gt;0.03,R6&gt;0.15),"Voltage &amp; Current Imbalance",IF(J6&gt;0.03,"Voltage Imbalance",IF(R6&gt;0.15,"Current Imbalance","No Imbalances Detected")))))</f>
        <v/>
      </c>
      <c r="T6">
        <f>IF(A6="","",IF(AND(F6="",K6=""),"N/A",IF(OR(J6&gt;0.03,R6&gt;0.15),"Imbalance","Pass")))</f>
        <v/>
      </c>
    </row>
    <row r="7">
      <c r="A7">
        <f>IF('Equipment Information'!A7="","", 'Equipment Information'!A7)</f>
        <v/>
      </c>
      <c r="B7">
        <f>IF('Equipment Information'!B7="","", 'Equipment Information'!B7)</f>
        <v/>
      </c>
      <c r="C7">
        <f>IF('Equipment Information'!C7="","", 'Equipment Information'!C7)</f>
        <v/>
      </c>
      <c r="I7">
        <f>IF(COUNT(F7:H7)&lt;2,"",AVERAGE(F7:H7))</f>
        <v/>
      </c>
      <c r="J7" s="3">
        <f>IF(I7="","",MAX(ABS(F7-I7),ABS(G7-I7),ABS(H7-I7))/I7)</f>
        <v/>
      </c>
      <c r="N7">
        <f>IF(COUNT(K7:M7)&lt;2,"",AVERAGE(K7:M7))</f>
        <v/>
      </c>
      <c r="R7" s="3">
        <f>IF(N7="","",MAX(ABS(K7-N7),ABS(L7-N7),ABS(M7-N7))/N7)</f>
        <v/>
      </c>
      <c r="S7">
        <f>IF(A7="","",IF(AND(F7="",K7=""),"N/A",IF(AND(J7="",R7=""),"Insufficient Load Data",IF(AND(J7&gt;0.03,R7&gt;0.15),"Voltage &amp; Current Imbalance",IF(J7&gt;0.03,"Voltage Imbalance",IF(R7&gt;0.15,"Current Imbalance","No Imbalances Detected")))))</f>
        <v/>
      </c>
      <c r="T7">
        <f>IF(A7="","",IF(AND(F7="",K7=""),"N/A",IF(OR(J7&gt;0.03,R7&gt;0.15),"Imbalance","Pass")))</f>
        <v/>
      </c>
    </row>
    <row r="8">
      <c r="A8">
        <f>IF('Equipment Information'!A8="","", 'Equipment Information'!A8)</f>
        <v/>
      </c>
      <c r="B8">
        <f>IF('Equipment Information'!B8="","", 'Equipment Information'!B8)</f>
        <v/>
      </c>
      <c r="C8">
        <f>IF('Equipment Information'!C8="","", 'Equipment Information'!C8)</f>
        <v/>
      </c>
      <c r="I8">
        <f>IF(COUNT(F8:H8)&lt;2,"",AVERAGE(F8:H8))</f>
        <v/>
      </c>
      <c r="J8" s="3">
        <f>IF(I8="","",MAX(ABS(F8-I8),ABS(G8-I8),ABS(H8-I8))/I8)</f>
        <v/>
      </c>
      <c r="N8">
        <f>IF(COUNT(K8:M8)&lt;2,"",AVERAGE(K8:M8))</f>
        <v/>
      </c>
      <c r="R8" s="3">
        <f>IF(N8="","",MAX(ABS(K8-N8),ABS(L8-N8),ABS(M8-N8))/N8)</f>
        <v/>
      </c>
      <c r="S8">
        <f>IF(A8="","",IF(AND(F8="",K8=""),"N/A",IF(AND(J8="",R8=""),"Insufficient Load Data",IF(AND(J8&gt;0.03,R8&gt;0.15),"Voltage &amp; Current Imbalance",IF(J8&gt;0.03,"Voltage Imbalance",IF(R8&gt;0.15,"Current Imbalance","No Imbalances Detected")))))</f>
        <v/>
      </c>
      <c r="T8">
        <f>IF(A8="","",IF(AND(F8="",K8=""),"N/A",IF(OR(J8&gt;0.03,R8&gt;0.15),"Imbalance","Pass")))</f>
        <v/>
      </c>
    </row>
    <row r="9">
      <c r="A9">
        <f>IF('Equipment Information'!A9="","", 'Equipment Information'!A9)</f>
        <v/>
      </c>
      <c r="B9">
        <f>IF('Equipment Information'!B9="","", 'Equipment Information'!B9)</f>
        <v/>
      </c>
      <c r="C9">
        <f>IF('Equipment Information'!C9="","", 'Equipment Information'!C9)</f>
        <v/>
      </c>
      <c r="I9">
        <f>IF(COUNT(F9:H9)&lt;2,"",AVERAGE(F9:H9))</f>
        <v/>
      </c>
      <c r="J9" s="3">
        <f>IF(I9="","",MAX(ABS(F9-I9),ABS(G9-I9),ABS(H9-I9))/I9)</f>
        <v/>
      </c>
      <c r="N9">
        <f>IF(COUNT(K9:M9)&lt;2,"",AVERAGE(K9:M9))</f>
        <v/>
      </c>
      <c r="R9" s="3">
        <f>IF(N9="","",MAX(ABS(K9-N9),ABS(L9-N9),ABS(M9-N9))/N9)</f>
        <v/>
      </c>
      <c r="S9">
        <f>IF(A9="","",IF(AND(F9="",K9=""),"N/A",IF(AND(J9="",R9=""),"Insufficient Load Data",IF(AND(J9&gt;0.03,R9&gt;0.15),"Voltage &amp; Current Imbalance",IF(J9&gt;0.03,"Voltage Imbalance",IF(R9&gt;0.15,"Current Imbalance","No Imbalances Detected")))))</f>
        <v/>
      </c>
      <c r="T9">
        <f>IF(A9="","",IF(AND(F9="",K9=""),"N/A",IF(OR(J9&gt;0.03,R9&gt;0.15),"Imbalance","Pass")))</f>
        <v/>
      </c>
    </row>
    <row r="10">
      <c r="A10">
        <f>IF('Equipment Information'!A10="","", 'Equipment Information'!A10)</f>
        <v/>
      </c>
      <c r="B10">
        <f>IF('Equipment Information'!B10="","", 'Equipment Information'!B10)</f>
        <v/>
      </c>
      <c r="C10">
        <f>IF('Equipment Information'!C10="","", 'Equipment Information'!C10)</f>
        <v/>
      </c>
      <c r="I10">
        <f>IF(COUNT(F10:H10)&lt;2,"",AVERAGE(F10:H10))</f>
        <v/>
      </c>
      <c r="J10" s="3">
        <f>IF(I10="","",MAX(ABS(F10-I10),ABS(G10-I10),ABS(H10-I10))/I10)</f>
        <v/>
      </c>
      <c r="N10">
        <f>IF(COUNT(K10:M10)&lt;2,"",AVERAGE(K10:M10))</f>
        <v/>
      </c>
      <c r="R10" s="3">
        <f>IF(N10="","",MAX(ABS(K10-N10),ABS(L10-N10),ABS(M10-N10))/N10)</f>
        <v/>
      </c>
      <c r="S10">
        <f>IF(A10="","",IF(AND(F10="",K10=""),"N/A",IF(AND(J10="",R10=""),"Insufficient Load Data",IF(AND(J10&gt;0.03,R10&gt;0.15),"Voltage &amp; Current Imbalance",IF(J10&gt;0.03,"Voltage Imbalance",IF(R10&gt;0.15,"Current Imbalance","No Imbalances Detected")))))</f>
        <v/>
      </c>
      <c r="T10">
        <f>IF(A10="","",IF(AND(F10="",K10=""),"N/A",IF(OR(J10&gt;0.03,R10&gt;0.15),"Imbalance","Pass")))</f>
        <v/>
      </c>
    </row>
    <row r="11">
      <c r="A11">
        <f>IF('Equipment Information'!A11="","", 'Equipment Information'!A11)</f>
        <v/>
      </c>
      <c r="B11">
        <f>IF('Equipment Information'!B11="","", 'Equipment Information'!B11)</f>
        <v/>
      </c>
      <c r="C11">
        <f>IF('Equipment Information'!C11="","", 'Equipment Information'!C11)</f>
        <v/>
      </c>
      <c r="I11">
        <f>IF(COUNT(F11:H11)&lt;2,"",AVERAGE(F11:H11))</f>
        <v/>
      </c>
      <c r="J11" s="3">
        <f>IF(I11="","",MAX(ABS(F11-I11),ABS(G11-I11),ABS(H11-I11))/I11)</f>
        <v/>
      </c>
      <c r="N11">
        <f>IF(COUNT(K11:M11)&lt;2,"",AVERAGE(K11:M11))</f>
        <v/>
      </c>
      <c r="R11" s="3">
        <f>IF(N11="","",MAX(ABS(K11-N11),ABS(L11-N11),ABS(M11-N11))/N11)</f>
        <v/>
      </c>
      <c r="S11">
        <f>IF(A11="","",IF(AND(F11="",K11=""),"N/A",IF(AND(J11="",R11=""),"Insufficient Load Data",IF(AND(J11&gt;0.03,R11&gt;0.15),"Voltage &amp; Current Imbalance",IF(J11&gt;0.03,"Voltage Imbalance",IF(R11&gt;0.15,"Current Imbalance","No Imbalances Detected")))))</f>
        <v/>
      </c>
      <c r="T11">
        <f>IF(A11="","",IF(AND(F11="",K11=""),"N/A",IF(OR(J11&gt;0.03,R11&gt;0.15),"Imbalance","Pass")))</f>
        <v/>
      </c>
    </row>
    <row r="12">
      <c r="A12">
        <f>IF('Equipment Information'!A12="","", 'Equipment Information'!A12)</f>
        <v/>
      </c>
      <c r="B12">
        <f>IF('Equipment Information'!B12="","", 'Equipment Information'!B12)</f>
        <v/>
      </c>
      <c r="C12">
        <f>IF('Equipment Information'!C12="","", 'Equipment Information'!C12)</f>
        <v/>
      </c>
      <c r="I12">
        <f>IF(COUNT(F12:H12)&lt;2,"",AVERAGE(F12:H12))</f>
        <v/>
      </c>
      <c r="J12" s="3">
        <f>IF(I12="","",MAX(ABS(F12-I12),ABS(G12-I12),ABS(H12-I12))/I12)</f>
        <v/>
      </c>
      <c r="N12">
        <f>IF(COUNT(K12:M12)&lt;2,"",AVERAGE(K12:M12))</f>
        <v/>
      </c>
      <c r="R12" s="3">
        <f>IF(N12="","",MAX(ABS(K12-N12),ABS(L12-N12),ABS(M12-N12))/N12)</f>
        <v/>
      </c>
      <c r="S12">
        <f>IF(A12="","",IF(AND(F12="",K12=""),"N/A",IF(AND(J12="",R12=""),"Insufficient Load Data",IF(AND(J12&gt;0.03,R12&gt;0.15),"Voltage &amp; Current Imbalance",IF(J12&gt;0.03,"Voltage Imbalance",IF(R12&gt;0.15,"Current Imbalance","No Imbalances Detected")))))</f>
        <v/>
      </c>
      <c r="T12">
        <f>IF(A12="","",IF(AND(F12="",K12=""),"N/A",IF(OR(J12&gt;0.03,R12&gt;0.15),"Imbalance","Pass")))</f>
        <v/>
      </c>
    </row>
    <row r="13">
      <c r="A13">
        <f>IF('Equipment Information'!A13="","", 'Equipment Information'!A13)</f>
        <v/>
      </c>
      <c r="B13">
        <f>IF('Equipment Information'!B13="","", 'Equipment Information'!B13)</f>
        <v/>
      </c>
      <c r="C13">
        <f>IF('Equipment Information'!C13="","", 'Equipment Information'!C13)</f>
        <v/>
      </c>
      <c r="I13">
        <f>IF(COUNT(F13:H13)&lt;2,"",AVERAGE(F13:H13))</f>
        <v/>
      </c>
      <c r="J13" s="3">
        <f>IF(I13="","",MAX(ABS(F13-I13),ABS(G13-I13),ABS(H13-I13))/I13)</f>
        <v/>
      </c>
      <c r="N13">
        <f>IF(COUNT(K13:M13)&lt;2,"",AVERAGE(K13:M13))</f>
        <v/>
      </c>
      <c r="R13" s="3">
        <f>IF(N13="","",MAX(ABS(K13-N13),ABS(L13-N13),ABS(M13-N13))/N13)</f>
        <v/>
      </c>
      <c r="S13">
        <f>IF(A13="","",IF(AND(F13="",K13=""),"N/A",IF(AND(J13="",R13=""),"Insufficient Load Data",IF(AND(J13&gt;0.03,R13&gt;0.15),"Voltage &amp; Current Imbalance",IF(J13&gt;0.03,"Voltage Imbalance",IF(R13&gt;0.15,"Current Imbalance","No Imbalances Detected")))))</f>
        <v/>
      </c>
      <c r="T13">
        <f>IF(A13="","",IF(AND(F13="",K13=""),"N/A",IF(OR(J13&gt;0.03,R13&gt;0.15),"Imbalance","Pass")))</f>
        <v/>
      </c>
    </row>
    <row r="14">
      <c r="A14">
        <f>IF('Equipment Information'!A14="","", 'Equipment Information'!A14)</f>
        <v/>
      </c>
      <c r="B14">
        <f>IF('Equipment Information'!B14="","", 'Equipment Information'!B14)</f>
        <v/>
      </c>
      <c r="C14">
        <f>IF('Equipment Information'!C14="","", 'Equipment Information'!C14)</f>
        <v/>
      </c>
      <c r="I14">
        <f>IF(COUNT(F14:H14)&lt;2,"",AVERAGE(F14:H14))</f>
        <v/>
      </c>
      <c r="J14" s="3">
        <f>IF(I14="","",MAX(ABS(F14-I14),ABS(G14-I14),ABS(H14-I14))/I14)</f>
        <v/>
      </c>
      <c r="N14">
        <f>IF(COUNT(K14:M14)&lt;2,"",AVERAGE(K14:M14))</f>
        <v/>
      </c>
      <c r="R14" s="3">
        <f>IF(N14="","",MAX(ABS(K14-N14),ABS(L14-N14),ABS(M14-N14))/N14)</f>
        <v/>
      </c>
      <c r="S14">
        <f>IF(A14="","",IF(AND(F14="",K14=""),"N/A",IF(AND(J14="",R14=""),"Insufficient Load Data",IF(AND(J14&gt;0.03,R14&gt;0.15),"Voltage &amp; Current Imbalance",IF(J14&gt;0.03,"Voltage Imbalance",IF(R14&gt;0.15,"Current Imbalance","No Imbalances Detected")))))</f>
        <v/>
      </c>
      <c r="T14">
        <f>IF(A14="","",IF(AND(F14="",K14=""),"N/A",IF(OR(J14&gt;0.03,R14&gt;0.15),"Imbalance","Pass")))</f>
        <v/>
      </c>
    </row>
    <row r="15">
      <c r="A15">
        <f>IF('Equipment Information'!A15="","", 'Equipment Information'!A15)</f>
        <v/>
      </c>
      <c r="B15">
        <f>IF('Equipment Information'!B15="","", 'Equipment Information'!B15)</f>
        <v/>
      </c>
      <c r="C15">
        <f>IF('Equipment Information'!C15="","", 'Equipment Information'!C15)</f>
        <v/>
      </c>
      <c r="I15">
        <f>IF(COUNT(F15:H15)&lt;2,"",AVERAGE(F15:H15))</f>
        <v/>
      </c>
      <c r="J15" s="3">
        <f>IF(I15="","",MAX(ABS(F15-I15),ABS(G15-I15),ABS(H15-I15))/I15)</f>
        <v/>
      </c>
      <c r="N15">
        <f>IF(COUNT(K15:M15)&lt;2,"",AVERAGE(K15:M15))</f>
        <v/>
      </c>
      <c r="R15" s="3">
        <f>IF(N15="","",MAX(ABS(K15-N15),ABS(L15-N15),ABS(M15-N15))/N15)</f>
        <v/>
      </c>
      <c r="S15">
        <f>IF(A15="","",IF(AND(F15="",K15=""),"N/A",IF(AND(J15="",R15=""),"Insufficient Load Data",IF(AND(J15&gt;0.03,R15&gt;0.15),"Voltage &amp; Current Imbalance",IF(J15&gt;0.03,"Voltage Imbalance",IF(R15&gt;0.15,"Current Imbalance","No Imbalances Detected")))))</f>
        <v/>
      </c>
      <c r="T15">
        <f>IF(A15="","",IF(AND(F15="",K15=""),"N/A",IF(OR(J15&gt;0.03,R15&gt;0.15),"Imbalance","Pass")))</f>
        <v/>
      </c>
    </row>
    <row r="16">
      <c r="A16">
        <f>IF('Equipment Information'!A16="","", 'Equipment Information'!A16)</f>
        <v/>
      </c>
      <c r="B16">
        <f>IF('Equipment Information'!B16="","", 'Equipment Information'!B16)</f>
        <v/>
      </c>
      <c r="C16">
        <f>IF('Equipment Information'!C16="","", 'Equipment Information'!C16)</f>
        <v/>
      </c>
      <c r="I16">
        <f>IF(COUNT(F16:H16)&lt;2,"",AVERAGE(F16:H16))</f>
        <v/>
      </c>
      <c r="J16" s="3">
        <f>IF(I16="","",MAX(ABS(F16-I16),ABS(G16-I16),ABS(H16-I16))/I16)</f>
        <v/>
      </c>
      <c r="N16">
        <f>IF(COUNT(K16:M16)&lt;2,"",AVERAGE(K16:M16))</f>
        <v/>
      </c>
      <c r="R16" s="3">
        <f>IF(N16="","",MAX(ABS(K16-N16),ABS(L16-N16),ABS(M16-N16))/N16)</f>
        <v/>
      </c>
      <c r="S16">
        <f>IF(A16="","",IF(AND(F16="",K16=""),"N/A",IF(AND(J16="",R16=""),"Insufficient Load Data",IF(AND(J16&gt;0.03,R16&gt;0.15),"Voltage &amp; Current Imbalance",IF(J16&gt;0.03,"Voltage Imbalance",IF(R16&gt;0.15,"Current Imbalance","No Imbalances Detected")))))</f>
        <v/>
      </c>
      <c r="T16">
        <f>IF(A16="","",IF(AND(F16="",K16=""),"N/A",IF(OR(J16&gt;0.03,R16&gt;0.15),"Imbalance","Pass")))</f>
        <v/>
      </c>
    </row>
    <row r="17">
      <c r="A17">
        <f>IF('Equipment Information'!A17="","", 'Equipment Information'!A17)</f>
        <v/>
      </c>
      <c r="B17">
        <f>IF('Equipment Information'!B17="","", 'Equipment Information'!B17)</f>
        <v/>
      </c>
      <c r="C17">
        <f>IF('Equipment Information'!C17="","", 'Equipment Information'!C17)</f>
        <v/>
      </c>
      <c r="I17">
        <f>IF(COUNT(F17:H17)&lt;2,"",AVERAGE(F17:H17))</f>
        <v/>
      </c>
      <c r="J17" s="3">
        <f>IF(I17="","",MAX(ABS(F17-I17),ABS(G17-I17),ABS(H17-I17))/I17)</f>
        <v/>
      </c>
      <c r="N17">
        <f>IF(COUNT(K17:M17)&lt;2,"",AVERAGE(K17:M17))</f>
        <v/>
      </c>
      <c r="R17" s="3">
        <f>IF(N17="","",MAX(ABS(K17-N17),ABS(L17-N17),ABS(M17-N17))/N17)</f>
        <v/>
      </c>
      <c r="S17">
        <f>IF(A17="","",IF(AND(F17="",K17=""),"N/A",IF(AND(J17="",R17=""),"Insufficient Load Data",IF(AND(J17&gt;0.03,R17&gt;0.15),"Voltage &amp; Current Imbalance",IF(J17&gt;0.03,"Voltage Imbalance",IF(R17&gt;0.15,"Current Imbalance","No Imbalances Detected")))))</f>
        <v/>
      </c>
      <c r="T17">
        <f>IF(A17="","",IF(AND(F17="",K17=""),"N/A",IF(OR(J17&gt;0.03,R17&gt;0.15),"Imbalance","Pass")))</f>
        <v/>
      </c>
    </row>
    <row r="18">
      <c r="A18">
        <f>IF('Equipment Information'!A18="","", 'Equipment Information'!A18)</f>
        <v/>
      </c>
      <c r="B18">
        <f>IF('Equipment Information'!B18="","", 'Equipment Information'!B18)</f>
        <v/>
      </c>
      <c r="C18">
        <f>IF('Equipment Information'!C18="","", 'Equipment Information'!C18)</f>
        <v/>
      </c>
      <c r="I18">
        <f>IF(COUNT(F18:H18)&lt;2,"",AVERAGE(F18:H18))</f>
        <v/>
      </c>
      <c r="J18" s="3">
        <f>IF(I18="","",MAX(ABS(F18-I18),ABS(G18-I18),ABS(H18-I18))/I18)</f>
        <v/>
      </c>
      <c r="N18">
        <f>IF(COUNT(K18:M18)&lt;2,"",AVERAGE(K18:M18))</f>
        <v/>
      </c>
      <c r="R18" s="3">
        <f>IF(N18="","",MAX(ABS(K18-N18),ABS(L18-N18),ABS(M18-N18))/N18)</f>
        <v/>
      </c>
      <c r="S18">
        <f>IF(A18="","",IF(AND(F18="",K18=""),"N/A",IF(AND(J18="",R18=""),"Insufficient Load Data",IF(AND(J18&gt;0.03,R18&gt;0.15),"Voltage &amp; Current Imbalance",IF(J18&gt;0.03,"Voltage Imbalance",IF(R18&gt;0.15,"Current Imbalance","No Imbalances Detected")))))</f>
        <v/>
      </c>
      <c r="T18">
        <f>IF(A18="","",IF(AND(F18="",K18=""),"N/A",IF(OR(J18&gt;0.03,R18&gt;0.15),"Imbalance","Pass")))</f>
        <v/>
      </c>
    </row>
    <row r="19">
      <c r="A19">
        <f>IF('Equipment Information'!A19="","", 'Equipment Information'!A19)</f>
        <v/>
      </c>
      <c r="B19">
        <f>IF('Equipment Information'!B19="","", 'Equipment Information'!B19)</f>
        <v/>
      </c>
      <c r="C19">
        <f>IF('Equipment Information'!C19="","", 'Equipment Information'!C19)</f>
        <v/>
      </c>
      <c r="I19">
        <f>IF(COUNT(F19:H19)&lt;2,"",AVERAGE(F19:H19))</f>
        <v/>
      </c>
      <c r="J19" s="3">
        <f>IF(I19="","",MAX(ABS(F19-I19),ABS(G19-I19),ABS(H19-I19))/I19)</f>
        <v/>
      </c>
      <c r="N19">
        <f>IF(COUNT(K19:M19)&lt;2,"",AVERAGE(K19:M19))</f>
        <v/>
      </c>
      <c r="R19" s="3">
        <f>IF(N19="","",MAX(ABS(K19-N19),ABS(L19-N19),ABS(M19-N19))/N19)</f>
        <v/>
      </c>
      <c r="S19">
        <f>IF(A19="","",IF(AND(F19="",K19=""),"N/A",IF(AND(J19="",R19=""),"Insufficient Load Data",IF(AND(J19&gt;0.03,R19&gt;0.15),"Voltage &amp; Current Imbalance",IF(J19&gt;0.03,"Voltage Imbalance",IF(R19&gt;0.15,"Current Imbalance","No Imbalances Detected")))))</f>
        <v/>
      </c>
      <c r="T19">
        <f>IF(A19="","",IF(AND(F19="",K19=""),"N/A",IF(OR(J19&gt;0.03,R19&gt;0.15),"Imbalance","Pass")))</f>
        <v/>
      </c>
    </row>
    <row r="20">
      <c r="A20">
        <f>IF('Equipment Information'!A20="","", 'Equipment Information'!A20)</f>
        <v/>
      </c>
      <c r="B20">
        <f>IF('Equipment Information'!B20="","", 'Equipment Information'!B20)</f>
        <v/>
      </c>
      <c r="C20">
        <f>IF('Equipment Information'!C20="","", 'Equipment Information'!C20)</f>
        <v/>
      </c>
      <c r="I20">
        <f>IF(COUNT(F20:H20)&lt;2,"",AVERAGE(F20:H20))</f>
        <v/>
      </c>
      <c r="J20" s="3">
        <f>IF(I20="","",MAX(ABS(F20-I20),ABS(G20-I20),ABS(H20-I20))/I20)</f>
        <v/>
      </c>
      <c r="N20">
        <f>IF(COUNT(K20:M20)&lt;2,"",AVERAGE(K20:M20))</f>
        <v/>
      </c>
      <c r="R20" s="3">
        <f>IF(N20="","",MAX(ABS(K20-N20),ABS(L20-N20),ABS(M20-N20))/N20)</f>
        <v/>
      </c>
      <c r="S20">
        <f>IF(A20="","",IF(AND(F20="",K20=""),"N/A",IF(AND(J20="",R20=""),"Insufficient Load Data",IF(AND(J20&gt;0.03,R20&gt;0.15),"Voltage &amp; Current Imbalance",IF(J20&gt;0.03,"Voltage Imbalance",IF(R20&gt;0.15,"Current Imbalance","No Imbalances Detected")))))</f>
        <v/>
      </c>
      <c r="T20">
        <f>IF(A20="","",IF(AND(F20="",K20=""),"N/A",IF(OR(J20&gt;0.03,R20&gt;0.15),"Imbalance","Pass")))</f>
        <v/>
      </c>
    </row>
    <row r="21">
      <c r="A21">
        <f>IF('Equipment Information'!A21="","", 'Equipment Information'!A21)</f>
        <v/>
      </c>
      <c r="B21">
        <f>IF('Equipment Information'!B21="","", 'Equipment Information'!B21)</f>
        <v/>
      </c>
      <c r="C21">
        <f>IF('Equipment Information'!C21="","", 'Equipment Information'!C21)</f>
        <v/>
      </c>
      <c r="I21">
        <f>IF(COUNT(F21:H21)&lt;2,"",AVERAGE(F21:H21))</f>
        <v/>
      </c>
      <c r="J21" s="3">
        <f>IF(I21="","",MAX(ABS(F21-I21),ABS(G21-I21),ABS(H21-I21))/I21)</f>
        <v/>
      </c>
      <c r="N21">
        <f>IF(COUNT(K21:M21)&lt;2,"",AVERAGE(K21:M21))</f>
        <v/>
      </c>
      <c r="R21" s="3">
        <f>IF(N21="","",MAX(ABS(K21-N21),ABS(L21-N21),ABS(M21-N21))/N21)</f>
        <v/>
      </c>
      <c r="S21">
        <f>IF(A21="","",IF(AND(F21="",K21=""),"N/A",IF(AND(J21="",R21=""),"Insufficient Load Data",IF(AND(J21&gt;0.03,R21&gt;0.15),"Voltage &amp; Current Imbalance",IF(J21&gt;0.03,"Voltage Imbalance",IF(R21&gt;0.15,"Current Imbalance","No Imbalances Detected")))))</f>
        <v/>
      </c>
      <c r="T21">
        <f>IF(A21="","",IF(AND(F21="",K21=""),"N/A",IF(OR(J21&gt;0.03,R21&gt;0.15),"Imbalance","Pass")))</f>
        <v/>
      </c>
    </row>
    <row r="22">
      <c r="A22">
        <f>IF('Equipment Information'!A22="","", 'Equipment Information'!A22)</f>
        <v/>
      </c>
      <c r="B22">
        <f>IF('Equipment Information'!B22="","", 'Equipment Information'!B22)</f>
        <v/>
      </c>
      <c r="C22">
        <f>IF('Equipment Information'!C22="","", 'Equipment Information'!C22)</f>
        <v/>
      </c>
      <c r="I22">
        <f>IF(COUNT(F22:H22)&lt;2,"",AVERAGE(F22:H22))</f>
        <v/>
      </c>
      <c r="J22" s="3">
        <f>IF(I22="","",MAX(ABS(F22-I22),ABS(G22-I22),ABS(H22-I22))/I22)</f>
        <v/>
      </c>
      <c r="N22">
        <f>IF(COUNT(K22:M22)&lt;2,"",AVERAGE(K22:M22))</f>
        <v/>
      </c>
      <c r="R22" s="3">
        <f>IF(N22="","",MAX(ABS(K22-N22),ABS(L22-N22),ABS(M22-N22))/N22)</f>
        <v/>
      </c>
      <c r="S22">
        <f>IF(A22="","",IF(AND(F22="",K22=""),"N/A",IF(AND(J22="",R22=""),"Insufficient Load Data",IF(AND(J22&gt;0.03,R22&gt;0.15),"Voltage &amp; Current Imbalance",IF(J22&gt;0.03,"Voltage Imbalance",IF(R22&gt;0.15,"Current Imbalance","No Imbalances Detected")))))</f>
        <v/>
      </c>
      <c r="T22">
        <f>IF(A22="","",IF(AND(F22="",K22=""),"N/A",IF(OR(J22&gt;0.03,R22&gt;0.15),"Imbalance","Pass")))</f>
        <v/>
      </c>
    </row>
    <row r="23">
      <c r="A23">
        <f>IF('Equipment Information'!A23="","", 'Equipment Information'!A23)</f>
        <v/>
      </c>
      <c r="B23">
        <f>IF('Equipment Information'!B23="","", 'Equipment Information'!B23)</f>
        <v/>
      </c>
      <c r="C23">
        <f>IF('Equipment Information'!C23="","", 'Equipment Information'!C23)</f>
        <v/>
      </c>
      <c r="I23">
        <f>IF(COUNT(F23:H23)&lt;2,"",AVERAGE(F23:H23))</f>
        <v/>
      </c>
      <c r="J23" s="3">
        <f>IF(I23="","",MAX(ABS(F23-I23),ABS(G23-I23),ABS(H23-I23))/I23)</f>
        <v/>
      </c>
      <c r="N23">
        <f>IF(COUNT(K23:M23)&lt;2,"",AVERAGE(K23:M23))</f>
        <v/>
      </c>
      <c r="R23" s="3">
        <f>IF(N23="","",MAX(ABS(K23-N23),ABS(L23-N23),ABS(M23-N23))/N23)</f>
        <v/>
      </c>
      <c r="S23">
        <f>IF(A23="","",IF(AND(F23="",K23=""),"N/A",IF(AND(J23="",R23=""),"Insufficient Load Data",IF(AND(J23&gt;0.03,R23&gt;0.15),"Voltage &amp; Current Imbalance",IF(J23&gt;0.03,"Voltage Imbalance",IF(R23&gt;0.15,"Current Imbalance","No Imbalances Detected")))))</f>
        <v/>
      </c>
      <c r="T23">
        <f>IF(A23="","",IF(AND(F23="",K23=""),"N/A",IF(OR(J23&gt;0.03,R23&gt;0.15),"Imbalance","Pass")))</f>
        <v/>
      </c>
    </row>
    <row r="24">
      <c r="A24">
        <f>IF('Equipment Information'!A24="","", 'Equipment Information'!A24)</f>
        <v/>
      </c>
      <c r="B24">
        <f>IF('Equipment Information'!B24="","", 'Equipment Information'!B24)</f>
        <v/>
      </c>
      <c r="C24">
        <f>IF('Equipment Information'!C24="","", 'Equipment Information'!C24)</f>
        <v/>
      </c>
      <c r="I24">
        <f>IF(COUNT(F24:H24)&lt;2,"",AVERAGE(F24:H24))</f>
        <v/>
      </c>
      <c r="J24" s="3">
        <f>IF(I24="","",MAX(ABS(F24-I24),ABS(G24-I24),ABS(H24-I24))/I24)</f>
        <v/>
      </c>
      <c r="N24">
        <f>IF(COUNT(K24:M24)&lt;2,"",AVERAGE(K24:M24))</f>
        <v/>
      </c>
      <c r="R24" s="3">
        <f>IF(N24="","",MAX(ABS(K24-N24),ABS(L24-N24),ABS(M24-N24))/N24)</f>
        <v/>
      </c>
      <c r="S24">
        <f>IF(A24="","",IF(AND(F24="",K24=""),"N/A",IF(AND(J24="",R24=""),"Insufficient Load Data",IF(AND(J24&gt;0.03,R24&gt;0.15),"Voltage &amp; Current Imbalance",IF(J24&gt;0.03,"Voltage Imbalance",IF(R24&gt;0.15,"Current Imbalance","No Imbalances Detected")))))</f>
        <v/>
      </c>
      <c r="T24">
        <f>IF(A24="","",IF(AND(F24="",K24=""),"N/A",IF(OR(J24&gt;0.03,R24&gt;0.15),"Imbalance","Pass")))</f>
        <v/>
      </c>
    </row>
    <row r="25">
      <c r="A25">
        <f>IF('Equipment Information'!A25="","", 'Equipment Information'!A25)</f>
        <v/>
      </c>
      <c r="B25">
        <f>IF('Equipment Information'!B25="","", 'Equipment Information'!B25)</f>
        <v/>
      </c>
      <c r="C25">
        <f>IF('Equipment Information'!C25="","", 'Equipment Information'!C25)</f>
        <v/>
      </c>
      <c r="I25">
        <f>IF(COUNT(F25:H25)&lt;2,"",AVERAGE(F25:H25))</f>
        <v/>
      </c>
      <c r="J25" s="3">
        <f>IF(I25="","",MAX(ABS(F25-I25),ABS(G25-I25),ABS(H25-I25))/I25)</f>
        <v/>
      </c>
      <c r="N25">
        <f>IF(COUNT(K25:M25)&lt;2,"",AVERAGE(K25:M25))</f>
        <v/>
      </c>
      <c r="R25" s="3">
        <f>IF(N25="","",MAX(ABS(K25-N25),ABS(L25-N25),ABS(M25-N25))/N25)</f>
        <v/>
      </c>
      <c r="S25">
        <f>IF(A25="","",IF(AND(F25="",K25=""),"N/A",IF(AND(J25="",R25=""),"Insufficient Load Data",IF(AND(J25&gt;0.03,R25&gt;0.15),"Voltage &amp; Current Imbalance",IF(J25&gt;0.03,"Voltage Imbalance",IF(R25&gt;0.15,"Current Imbalance","No Imbalances Detected")))))</f>
        <v/>
      </c>
      <c r="T25">
        <f>IF(A25="","",IF(AND(F25="",K25=""),"N/A",IF(OR(J25&gt;0.03,R25&gt;0.15),"Imbalance","Pass")))</f>
        <v/>
      </c>
    </row>
    <row r="26">
      <c r="A26">
        <f>IF('Equipment Information'!A26="","", 'Equipment Information'!A26)</f>
        <v/>
      </c>
      <c r="B26">
        <f>IF('Equipment Information'!B26="","", 'Equipment Information'!B26)</f>
        <v/>
      </c>
      <c r="C26">
        <f>IF('Equipment Information'!C26="","", 'Equipment Information'!C26)</f>
        <v/>
      </c>
      <c r="I26">
        <f>IF(COUNT(F26:H26)&lt;2,"",AVERAGE(F26:H26))</f>
        <v/>
      </c>
      <c r="J26" s="3">
        <f>IF(I26="","",MAX(ABS(F26-I26),ABS(G26-I26),ABS(H26-I26))/I26)</f>
        <v/>
      </c>
      <c r="N26">
        <f>IF(COUNT(K26:M26)&lt;2,"",AVERAGE(K26:M26))</f>
        <v/>
      </c>
      <c r="R26" s="3">
        <f>IF(N26="","",MAX(ABS(K26-N26),ABS(L26-N26),ABS(M26-N26))/N26)</f>
        <v/>
      </c>
      <c r="S26">
        <f>IF(A26="","",IF(AND(F26="",K26=""),"N/A",IF(AND(J26="",R26=""),"Insufficient Load Data",IF(AND(J26&gt;0.03,R26&gt;0.15),"Voltage &amp; Current Imbalance",IF(J26&gt;0.03,"Voltage Imbalance",IF(R26&gt;0.15,"Current Imbalance","No Imbalances Detected")))))</f>
        <v/>
      </c>
      <c r="T26">
        <f>IF(A26="","",IF(AND(F26="",K26=""),"N/A",IF(OR(J26&gt;0.03,R26&gt;0.15),"Imbalance","Pass")))</f>
        <v/>
      </c>
    </row>
    <row r="27">
      <c r="A27">
        <f>IF('Equipment Information'!A27="","", 'Equipment Information'!A27)</f>
        <v/>
      </c>
      <c r="B27">
        <f>IF('Equipment Information'!B27="","", 'Equipment Information'!B27)</f>
        <v/>
      </c>
      <c r="C27">
        <f>IF('Equipment Information'!C27="","", 'Equipment Information'!C27)</f>
        <v/>
      </c>
      <c r="I27">
        <f>IF(COUNT(F27:H27)&lt;2,"",AVERAGE(F27:H27))</f>
        <v/>
      </c>
      <c r="J27" s="3">
        <f>IF(I27="","",MAX(ABS(F27-I27),ABS(G27-I27),ABS(H27-I27))/I27)</f>
        <v/>
      </c>
      <c r="N27">
        <f>IF(COUNT(K27:M27)&lt;2,"",AVERAGE(K27:M27))</f>
        <v/>
      </c>
      <c r="R27" s="3">
        <f>IF(N27="","",MAX(ABS(K27-N27),ABS(L27-N27),ABS(M27-N27))/N27)</f>
        <v/>
      </c>
      <c r="S27">
        <f>IF(A27="","",IF(AND(F27="",K27=""),"N/A",IF(AND(J27="",R27=""),"Insufficient Load Data",IF(AND(J27&gt;0.03,R27&gt;0.15),"Voltage &amp; Current Imbalance",IF(J27&gt;0.03,"Voltage Imbalance",IF(R27&gt;0.15,"Current Imbalance","No Imbalances Detected")))))</f>
        <v/>
      </c>
      <c r="T27">
        <f>IF(A27="","",IF(AND(F27="",K27=""),"N/A",IF(OR(J27&gt;0.03,R27&gt;0.15),"Imbalance","Pass")))</f>
        <v/>
      </c>
    </row>
    <row r="28">
      <c r="A28">
        <f>IF('Equipment Information'!A28="","", 'Equipment Information'!A28)</f>
        <v/>
      </c>
      <c r="B28">
        <f>IF('Equipment Information'!B28="","", 'Equipment Information'!B28)</f>
        <v/>
      </c>
      <c r="C28">
        <f>IF('Equipment Information'!C28="","", 'Equipment Information'!C28)</f>
        <v/>
      </c>
      <c r="I28">
        <f>IF(COUNT(F28:H28)&lt;2,"",AVERAGE(F28:H28))</f>
        <v/>
      </c>
      <c r="J28" s="3">
        <f>IF(I28="","",MAX(ABS(F28-I28),ABS(G28-I28),ABS(H28-I28))/I28)</f>
        <v/>
      </c>
      <c r="N28">
        <f>IF(COUNT(K28:M28)&lt;2,"",AVERAGE(K28:M28))</f>
        <v/>
      </c>
      <c r="R28" s="3">
        <f>IF(N28="","",MAX(ABS(K28-N28),ABS(L28-N28),ABS(M28-N28))/N28)</f>
        <v/>
      </c>
      <c r="S28">
        <f>IF(A28="","",IF(AND(F28="",K28=""),"N/A",IF(AND(J28="",R28=""),"Insufficient Load Data",IF(AND(J28&gt;0.03,R28&gt;0.15),"Voltage &amp; Current Imbalance",IF(J28&gt;0.03,"Voltage Imbalance",IF(R28&gt;0.15,"Current Imbalance","No Imbalances Detected")))))</f>
        <v/>
      </c>
      <c r="T28">
        <f>IF(A28="","",IF(AND(F28="",K28=""),"N/A",IF(OR(J28&gt;0.03,R28&gt;0.15),"Imbalance","Pass")))</f>
        <v/>
      </c>
    </row>
    <row r="29">
      <c r="A29">
        <f>IF('Equipment Information'!A29="","", 'Equipment Information'!A29)</f>
        <v/>
      </c>
      <c r="B29">
        <f>IF('Equipment Information'!B29="","", 'Equipment Information'!B29)</f>
        <v/>
      </c>
      <c r="C29">
        <f>IF('Equipment Information'!C29="","", 'Equipment Information'!C29)</f>
        <v/>
      </c>
      <c r="I29">
        <f>IF(COUNT(F29:H29)&lt;2,"",AVERAGE(F29:H29))</f>
        <v/>
      </c>
      <c r="J29" s="3">
        <f>IF(I29="","",MAX(ABS(F29-I29),ABS(G29-I29),ABS(H29-I29))/I29)</f>
        <v/>
      </c>
      <c r="N29">
        <f>IF(COUNT(K29:M29)&lt;2,"",AVERAGE(K29:M29))</f>
        <v/>
      </c>
      <c r="R29" s="3">
        <f>IF(N29="","",MAX(ABS(K29-N29),ABS(L29-N29),ABS(M29-N29))/N29)</f>
        <v/>
      </c>
      <c r="S29">
        <f>IF(A29="","",IF(AND(F29="",K29=""),"N/A",IF(AND(J29="",R29=""),"Insufficient Load Data",IF(AND(J29&gt;0.03,R29&gt;0.15),"Voltage &amp; Current Imbalance",IF(J29&gt;0.03,"Voltage Imbalance",IF(R29&gt;0.15,"Current Imbalance","No Imbalances Detected")))))</f>
        <v/>
      </c>
      <c r="T29">
        <f>IF(A29="","",IF(AND(F29="",K29=""),"N/A",IF(OR(J29&gt;0.03,R29&gt;0.15),"Imbalance","Pass")))</f>
        <v/>
      </c>
    </row>
    <row r="30">
      <c r="A30">
        <f>IF('Equipment Information'!A30="","", 'Equipment Information'!A30)</f>
        <v/>
      </c>
      <c r="B30">
        <f>IF('Equipment Information'!B30="","", 'Equipment Information'!B30)</f>
        <v/>
      </c>
      <c r="C30">
        <f>IF('Equipment Information'!C30="","", 'Equipment Information'!C30)</f>
        <v/>
      </c>
      <c r="I30">
        <f>IF(COUNT(F30:H30)&lt;2,"",AVERAGE(F30:H30))</f>
        <v/>
      </c>
      <c r="J30" s="3">
        <f>IF(I30="","",MAX(ABS(F30-I30),ABS(G30-I30),ABS(H30-I30))/I30)</f>
        <v/>
      </c>
      <c r="N30">
        <f>IF(COUNT(K30:M30)&lt;2,"",AVERAGE(K30:M30))</f>
        <v/>
      </c>
      <c r="R30" s="3">
        <f>IF(N30="","",MAX(ABS(K30-N30),ABS(L30-N30),ABS(M30-N30))/N30)</f>
        <v/>
      </c>
      <c r="S30">
        <f>IF(A30="","",IF(AND(F30="",K30=""),"N/A",IF(AND(J30="",R30=""),"Insufficient Load Data",IF(AND(J30&gt;0.03,R30&gt;0.15),"Voltage &amp; Current Imbalance",IF(J30&gt;0.03,"Voltage Imbalance",IF(R30&gt;0.15,"Current Imbalance","No Imbalances Detected")))))</f>
        <v/>
      </c>
      <c r="T30">
        <f>IF(A30="","",IF(AND(F30="",K30=""),"N/A",IF(OR(J30&gt;0.03,R30&gt;0.15),"Imbalance","Pass")))</f>
        <v/>
      </c>
    </row>
    <row r="31">
      <c r="A31">
        <f>IF('Equipment Information'!A31="","", 'Equipment Information'!A31)</f>
        <v/>
      </c>
      <c r="B31">
        <f>IF('Equipment Information'!B31="","", 'Equipment Information'!B31)</f>
        <v/>
      </c>
      <c r="C31">
        <f>IF('Equipment Information'!C31="","", 'Equipment Information'!C31)</f>
        <v/>
      </c>
      <c r="I31">
        <f>IF(COUNT(F31:H31)&lt;2,"",AVERAGE(F31:H31))</f>
        <v/>
      </c>
      <c r="J31" s="3">
        <f>IF(I31="","",MAX(ABS(F31-I31),ABS(G31-I31),ABS(H31-I31))/I31)</f>
        <v/>
      </c>
      <c r="N31">
        <f>IF(COUNT(K31:M31)&lt;2,"",AVERAGE(K31:M31))</f>
        <v/>
      </c>
      <c r="R31" s="3">
        <f>IF(N31="","",MAX(ABS(K31-N31),ABS(L31-N31),ABS(M31-N31))/N31)</f>
        <v/>
      </c>
      <c r="S31">
        <f>IF(A31="","",IF(AND(F31="",K31=""),"N/A",IF(AND(J31="",R31=""),"Insufficient Load Data",IF(AND(J31&gt;0.03,R31&gt;0.15),"Voltage &amp; Current Imbalance",IF(J31&gt;0.03,"Voltage Imbalance",IF(R31&gt;0.15,"Current Imbalance","No Imbalances Detected")))))</f>
        <v/>
      </c>
      <c r="T31">
        <f>IF(A31="","",IF(AND(F31="",K31=""),"N/A",IF(OR(J31&gt;0.03,R31&gt;0.15),"Imbalance","Pass")))</f>
        <v/>
      </c>
    </row>
    <row r="32">
      <c r="A32">
        <f>IF('Equipment Information'!A32="","", 'Equipment Information'!A32)</f>
        <v/>
      </c>
      <c r="B32">
        <f>IF('Equipment Information'!B32="","", 'Equipment Information'!B32)</f>
        <v/>
      </c>
      <c r="C32">
        <f>IF('Equipment Information'!C32="","", 'Equipment Information'!C32)</f>
        <v/>
      </c>
      <c r="I32">
        <f>IF(COUNT(F32:H32)&lt;2,"",AVERAGE(F32:H32))</f>
        <v/>
      </c>
      <c r="J32" s="3">
        <f>IF(I32="","",MAX(ABS(F32-I32),ABS(G32-I32),ABS(H32-I32))/I32)</f>
        <v/>
      </c>
      <c r="N32">
        <f>IF(COUNT(K32:M32)&lt;2,"",AVERAGE(K32:M32))</f>
        <v/>
      </c>
      <c r="R32" s="3">
        <f>IF(N32="","",MAX(ABS(K32-N32),ABS(L32-N32),ABS(M32-N32))/N32)</f>
        <v/>
      </c>
      <c r="S32">
        <f>IF(A32="","",IF(AND(F32="",K32=""),"N/A",IF(AND(J32="",R32=""),"Insufficient Load Data",IF(AND(J32&gt;0.03,R32&gt;0.15),"Voltage &amp; Current Imbalance",IF(J32&gt;0.03,"Voltage Imbalance",IF(R32&gt;0.15,"Current Imbalance","No Imbalances Detected")))))</f>
        <v/>
      </c>
      <c r="T32">
        <f>IF(A32="","",IF(AND(F32="",K32=""),"N/A",IF(OR(J32&gt;0.03,R32&gt;0.15),"Imbalance","Pass")))</f>
        <v/>
      </c>
    </row>
    <row r="33">
      <c r="A33">
        <f>IF('Equipment Information'!A33="","", 'Equipment Information'!A33)</f>
        <v/>
      </c>
      <c r="B33">
        <f>IF('Equipment Information'!B33="","", 'Equipment Information'!B33)</f>
        <v/>
      </c>
      <c r="C33">
        <f>IF('Equipment Information'!C33="","", 'Equipment Information'!C33)</f>
        <v/>
      </c>
      <c r="I33">
        <f>IF(COUNT(F33:H33)&lt;2,"",AVERAGE(F33:H33))</f>
        <v/>
      </c>
      <c r="J33" s="3">
        <f>IF(I33="","",MAX(ABS(F33-I33),ABS(G33-I33),ABS(H33-I33))/I33)</f>
        <v/>
      </c>
      <c r="N33">
        <f>IF(COUNT(K33:M33)&lt;2,"",AVERAGE(K33:M33))</f>
        <v/>
      </c>
      <c r="R33" s="3">
        <f>IF(N33="","",MAX(ABS(K33-N33),ABS(L33-N33),ABS(M33-N33))/N33)</f>
        <v/>
      </c>
      <c r="S33">
        <f>IF(A33="","",IF(AND(F33="",K33=""),"N/A",IF(AND(J33="",R33=""),"Insufficient Load Data",IF(AND(J33&gt;0.03,R33&gt;0.15),"Voltage &amp; Current Imbalance",IF(J33&gt;0.03,"Voltage Imbalance",IF(R33&gt;0.15,"Current Imbalance","No Imbalances Detected")))))</f>
        <v/>
      </c>
      <c r="T33">
        <f>IF(A33="","",IF(AND(F33="",K33=""),"N/A",IF(OR(J33&gt;0.03,R33&gt;0.15),"Imbalance","Pass")))</f>
        <v/>
      </c>
    </row>
    <row r="34">
      <c r="A34">
        <f>IF('Equipment Information'!A34="","", 'Equipment Information'!A34)</f>
        <v/>
      </c>
      <c r="B34">
        <f>IF('Equipment Information'!B34="","", 'Equipment Information'!B34)</f>
        <v/>
      </c>
      <c r="C34">
        <f>IF('Equipment Information'!C34="","", 'Equipment Information'!C34)</f>
        <v/>
      </c>
      <c r="I34">
        <f>IF(COUNT(F34:H34)&lt;2,"",AVERAGE(F34:H34))</f>
        <v/>
      </c>
      <c r="J34" s="3">
        <f>IF(I34="","",MAX(ABS(F34-I34),ABS(G34-I34),ABS(H34-I34))/I34)</f>
        <v/>
      </c>
      <c r="N34">
        <f>IF(COUNT(K34:M34)&lt;2,"",AVERAGE(K34:M34))</f>
        <v/>
      </c>
      <c r="R34" s="3">
        <f>IF(N34="","",MAX(ABS(K34-N34),ABS(L34-N34),ABS(M34-N34))/N34)</f>
        <v/>
      </c>
      <c r="S34">
        <f>IF(A34="","",IF(AND(F34="",K34=""),"N/A",IF(AND(J34="",R34=""),"Insufficient Load Data",IF(AND(J34&gt;0.03,R34&gt;0.15),"Voltage &amp; Current Imbalance",IF(J34&gt;0.03,"Voltage Imbalance",IF(R34&gt;0.15,"Current Imbalance","No Imbalances Detected")))))</f>
        <v/>
      </c>
      <c r="T34">
        <f>IF(A34="","",IF(AND(F34="",K34=""),"N/A",IF(OR(J34&gt;0.03,R34&gt;0.15),"Imbalance","Pass")))</f>
        <v/>
      </c>
    </row>
    <row r="35">
      <c r="A35">
        <f>IF('Equipment Information'!A35="","", 'Equipment Information'!A35)</f>
        <v/>
      </c>
      <c r="B35">
        <f>IF('Equipment Information'!B35="","", 'Equipment Information'!B35)</f>
        <v/>
      </c>
      <c r="C35">
        <f>IF('Equipment Information'!C35="","", 'Equipment Information'!C35)</f>
        <v/>
      </c>
      <c r="I35">
        <f>IF(COUNT(F35:H35)&lt;2,"",AVERAGE(F35:H35))</f>
        <v/>
      </c>
      <c r="J35" s="3">
        <f>IF(I35="","",MAX(ABS(F35-I35),ABS(G35-I35),ABS(H35-I35))/I35)</f>
        <v/>
      </c>
      <c r="N35">
        <f>IF(COUNT(K35:M35)&lt;2,"",AVERAGE(K35:M35))</f>
        <v/>
      </c>
      <c r="R35" s="3">
        <f>IF(N35="","",MAX(ABS(K35-N35),ABS(L35-N35),ABS(M35-N35))/N35)</f>
        <v/>
      </c>
      <c r="S35">
        <f>IF(A35="","",IF(AND(F35="",K35=""),"N/A",IF(AND(J35="",R35=""),"Insufficient Load Data",IF(AND(J35&gt;0.03,R35&gt;0.15),"Voltage &amp; Current Imbalance",IF(J35&gt;0.03,"Voltage Imbalance",IF(R35&gt;0.15,"Current Imbalance","No Imbalances Detected")))))</f>
        <v/>
      </c>
      <c r="T35">
        <f>IF(A35="","",IF(AND(F35="",K35=""),"N/A",IF(OR(J35&gt;0.03,R35&gt;0.15),"Imbalance","Pass")))</f>
        <v/>
      </c>
    </row>
    <row r="36">
      <c r="A36">
        <f>IF('Equipment Information'!A36="","", 'Equipment Information'!A36)</f>
        <v/>
      </c>
      <c r="B36">
        <f>IF('Equipment Information'!B36="","", 'Equipment Information'!B36)</f>
        <v/>
      </c>
      <c r="C36">
        <f>IF('Equipment Information'!C36="","", 'Equipment Information'!C36)</f>
        <v/>
      </c>
      <c r="I36">
        <f>IF(COUNT(F36:H36)&lt;2,"",AVERAGE(F36:H36))</f>
        <v/>
      </c>
      <c r="J36" s="3">
        <f>IF(I36="","",MAX(ABS(F36-I36),ABS(G36-I36),ABS(H36-I36))/I36)</f>
        <v/>
      </c>
      <c r="N36">
        <f>IF(COUNT(K36:M36)&lt;2,"",AVERAGE(K36:M36))</f>
        <v/>
      </c>
      <c r="R36" s="3">
        <f>IF(N36="","",MAX(ABS(K36-N36),ABS(L36-N36),ABS(M36-N36))/N36)</f>
        <v/>
      </c>
      <c r="S36">
        <f>IF(A36="","",IF(AND(F36="",K36=""),"N/A",IF(AND(J36="",R36=""),"Insufficient Load Data",IF(AND(J36&gt;0.03,R36&gt;0.15),"Voltage &amp; Current Imbalance",IF(J36&gt;0.03,"Voltage Imbalance",IF(R36&gt;0.15,"Current Imbalance","No Imbalances Detected")))))</f>
        <v/>
      </c>
      <c r="T36">
        <f>IF(A36="","",IF(AND(F36="",K36=""),"N/A",IF(OR(J36&gt;0.03,R36&gt;0.15),"Imbalance","Pass")))</f>
        <v/>
      </c>
    </row>
    <row r="37">
      <c r="A37">
        <f>IF('Equipment Information'!A37="","", 'Equipment Information'!A37)</f>
        <v/>
      </c>
      <c r="B37">
        <f>IF('Equipment Information'!B37="","", 'Equipment Information'!B37)</f>
        <v/>
      </c>
      <c r="C37">
        <f>IF('Equipment Information'!C37="","", 'Equipment Information'!C37)</f>
        <v/>
      </c>
      <c r="I37">
        <f>IF(COUNT(F37:H37)&lt;2,"",AVERAGE(F37:H37))</f>
        <v/>
      </c>
      <c r="J37" s="3">
        <f>IF(I37="","",MAX(ABS(F37-I37),ABS(G37-I37),ABS(H37-I37))/I37)</f>
        <v/>
      </c>
      <c r="N37">
        <f>IF(COUNT(K37:M37)&lt;2,"",AVERAGE(K37:M37))</f>
        <v/>
      </c>
      <c r="R37" s="3">
        <f>IF(N37="","",MAX(ABS(K37-N37),ABS(L37-N37),ABS(M37-N37))/N37)</f>
        <v/>
      </c>
      <c r="S37">
        <f>IF(A37="","",IF(AND(F37="",K37=""),"N/A",IF(AND(J37="",R37=""),"Insufficient Load Data",IF(AND(J37&gt;0.03,R37&gt;0.15),"Voltage &amp; Current Imbalance",IF(J37&gt;0.03,"Voltage Imbalance",IF(R37&gt;0.15,"Current Imbalance","No Imbalances Detected")))))</f>
        <v/>
      </c>
      <c r="T37">
        <f>IF(A37="","",IF(AND(F37="",K37=""),"N/A",IF(OR(J37&gt;0.03,R37&gt;0.15),"Imbalance","Pass")))</f>
        <v/>
      </c>
    </row>
    <row r="38">
      <c r="A38">
        <f>IF('Equipment Information'!A38="","", 'Equipment Information'!A38)</f>
        <v/>
      </c>
      <c r="B38">
        <f>IF('Equipment Information'!B38="","", 'Equipment Information'!B38)</f>
        <v/>
      </c>
      <c r="C38">
        <f>IF('Equipment Information'!C38="","", 'Equipment Information'!C38)</f>
        <v/>
      </c>
      <c r="I38">
        <f>IF(COUNT(F38:H38)&lt;2,"",AVERAGE(F38:H38))</f>
        <v/>
      </c>
      <c r="J38" s="3">
        <f>IF(I38="","",MAX(ABS(F38-I38),ABS(G38-I38),ABS(H38-I38))/I38)</f>
        <v/>
      </c>
      <c r="N38">
        <f>IF(COUNT(K38:M38)&lt;2,"",AVERAGE(K38:M38))</f>
        <v/>
      </c>
      <c r="R38" s="3">
        <f>IF(N38="","",MAX(ABS(K38-N38),ABS(L38-N38),ABS(M38-N38))/N38)</f>
        <v/>
      </c>
      <c r="S38">
        <f>IF(A38="","",IF(AND(F38="",K38=""),"N/A",IF(AND(J38="",R38=""),"Insufficient Load Data",IF(AND(J38&gt;0.03,R38&gt;0.15),"Voltage &amp; Current Imbalance",IF(J38&gt;0.03,"Voltage Imbalance",IF(R38&gt;0.15,"Current Imbalance","No Imbalances Detected")))))</f>
        <v/>
      </c>
      <c r="T38">
        <f>IF(A38="","",IF(AND(F38="",K38=""),"N/A",IF(OR(J38&gt;0.03,R38&gt;0.15),"Imbalance","Pass")))</f>
        <v/>
      </c>
    </row>
    <row r="39">
      <c r="A39">
        <f>IF('Equipment Information'!A39="","", 'Equipment Information'!A39)</f>
        <v/>
      </c>
      <c r="B39">
        <f>IF('Equipment Information'!B39="","", 'Equipment Information'!B39)</f>
        <v/>
      </c>
      <c r="C39">
        <f>IF('Equipment Information'!C39="","", 'Equipment Information'!C39)</f>
        <v/>
      </c>
      <c r="I39">
        <f>IF(COUNT(F39:H39)&lt;2,"",AVERAGE(F39:H39))</f>
        <v/>
      </c>
      <c r="J39" s="3">
        <f>IF(I39="","",MAX(ABS(F39-I39),ABS(G39-I39),ABS(H39-I39))/I39)</f>
        <v/>
      </c>
      <c r="N39">
        <f>IF(COUNT(K39:M39)&lt;2,"",AVERAGE(K39:M39))</f>
        <v/>
      </c>
      <c r="R39" s="3">
        <f>IF(N39="","",MAX(ABS(K39-N39),ABS(L39-N39),ABS(M39-N39))/N39)</f>
        <v/>
      </c>
      <c r="S39">
        <f>IF(A39="","",IF(AND(F39="",K39=""),"N/A",IF(AND(J39="",R39=""),"Insufficient Load Data",IF(AND(J39&gt;0.03,R39&gt;0.15),"Voltage &amp; Current Imbalance",IF(J39&gt;0.03,"Voltage Imbalance",IF(R39&gt;0.15,"Current Imbalance","No Imbalances Detected")))))</f>
        <v/>
      </c>
      <c r="T39">
        <f>IF(A39="","",IF(AND(F39="",K39=""),"N/A",IF(OR(J39&gt;0.03,R39&gt;0.15),"Imbalance","Pass")))</f>
        <v/>
      </c>
    </row>
    <row r="40">
      <c r="A40">
        <f>IF('Equipment Information'!A40="","", 'Equipment Information'!A40)</f>
        <v/>
      </c>
      <c r="B40">
        <f>IF('Equipment Information'!B40="","", 'Equipment Information'!B40)</f>
        <v/>
      </c>
      <c r="C40">
        <f>IF('Equipment Information'!C40="","", 'Equipment Information'!C40)</f>
        <v/>
      </c>
      <c r="I40">
        <f>IF(COUNT(F40:H40)&lt;2,"",AVERAGE(F40:H40))</f>
        <v/>
      </c>
      <c r="J40" s="3">
        <f>IF(I40="","",MAX(ABS(F40-I40),ABS(G40-I40),ABS(H40-I40))/I40)</f>
        <v/>
      </c>
      <c r="N40">
        <f>IF(COUNT(K40:M40)&lt;2,"",AVERAGE(K40:M40))</f>
        <v/>
      </c>
      <c r="R40" s="3">
        <f>IF(N40="","",MAX(ABS(K40-N40),ABS(L40-N40),ABS(M40-N40))/N40)</f>
        <v/>
      </c>
      <c r="S40">
        <f>IF(A40="","",IF(AND(F40="",K40=""),"N/A",IF(AND(J40="",R40=""),"Insufficient Load Data",IF(AND(J40&gt;0.03,R40&gt;0.15),"Voltage &amp; Current Imbalance",IF(J40&gt;0.03,"Voltage Imbalance",IF(R40&gt;0.15,"Current Imbalance","No Imbalances Detected")))))</f>
        <v/>
      </c>
      <c r="T40">
        <f>IF(A40="","",IF(AND(F40="",K40=""),"N/A",IF(OR(J40&gt;0.03,R40&gt;0.15),"Imbalance","Pass")))</f>
        <v/>
      </c>
    </row>
    <row r="41">
      <c r="A41">
        <f>IF('Equipment Information'!A41="","", 'Equipment Information'!A41)</f>
        <v/>
      </c>
      <c r="B41">
        <f>IF('Equipment Information'!B41="","", 'Equipment Information'!B41)</f>
        <v/>
      </c>
      <c r="C41">
        <f>IF('Equipment Information'!C41="","", 'Equipment Information'!C41)</f>
        <v/>
      </c>
      <c r="I41">
        <f>IF(COUNT(F41:H41)&lt;2,"",AVERAGE(F41:H41))</f>
        <v/>
      </c>
      <c r="J41" s="3">
        <f>IF(I41="","",MAX(ABS(F41-I41),ABS(G41-I41),ABS(H41-I41))/I41)</f>
        <v/>
      </c>
      <c r="N41">
        <f>IF(COUNT(K41:M41)&lt;2,"",AVERAGE(K41:M41))</f>
        <v/>
      </c>
      <c r="R41" s="3">
        <f>IF(N41="","",MAX(ABS(K41-N41),ABS(L41-N41),ABS(M41-N41))/N41)</f>
        <v/>
      </c>
      <c r="S41">
        <f>IF(A41="","",IF(AND(F41="",K41=""),"N/A",IF(AND(J41="",R41=""),"Insufficient Load Data",IF(AND(J41&gt;0.03,R41&gt;0.15),"Voltage &amp; Current Imbalance",IF(J41&gt;0.03,"Voltage Imbalance",IF(R41&gt;0.15,"Current Imbalance","No Imbalances Detected")))))</f>
        <v/>
      </c>
      <c r="T41">
        <f>IF(A41="","",IF(AND(F41="",K41=""),"N/A",IF(OR(J41&gt;0.03,R41&gt;0.15),"Imbalance","Pass")))</f>
        <v/>
      </c>
    </row>
    <row r="42">
      <c r="A42">
        <f>IF('Equipment Information'!A42="","", 'Equipment Information'!A42)</f>
        <v/>
      </c>
      <c r="B42">
        <f>IF('Equipment Information'!B42="","", 'Equipment Information'!B42)</f>
        <v/>
      </c>
      <c r="C42">
        <f>IF('Equipment Information'!C42="","", 'Equipment Information'!C42)</f>
        <v/>
      </c>
      <c r="I42">
        <f>IF(COUNT(F42:H42)&lt;2,"",AVERAGE(F42:H42))</f>
        <v/>
      </c>
      <c r="J42" s="3">
        <f>IF(I42="","",MAX(ABS(F42-I42),ABS(G42-I42),ABS(H42-I42))/I42)</f>
        <v/>
      </c>
      <c r="N42">
        <f>IF(COUNT(K42:M42)&lt;2,"",AVERAGE(K42:M42))</f>
        <v/>
      </c>
      <c r="R42" s="3">
        <f>IF(N42="","",MAX(ABS(K42-N42),ABS(L42-N42),ABS(M42-N42))/N42)</f>
        <v/>
      </c>
      <c r="S42">
        <f>IF(A42="","",IF(AND(F42="",K42=""),"N/A",IF(AND(J42="",R42=""),"Insufficient Load Data",IF(AND(J42&gt;0.03,R42&gt;0.15),"Voltage &amp; Current Imbalance",IF(J42&gt;0.03,"Voltage Imbalance",IF(R42&gt;0.15,"Current Imbalance","No Imbalances Detected")))))</f>
        <v/>
      </c>
      <c r="T42">
        <f>IF(A42="","",IF(AND(F42="",K42=""),"N/A",IF(OR(J42&gt;0.03,R42&gt;0.15),"Imbalance","Pass")))</f>
        <v/>
      </c>
    </row>
    <row r="43">
      <c r="A43">
        <f>IF('Equipment Information'!A43="","", 'Equipment Information'!A43)</f>
        <v/>
      </c>
      <c r="B43">
        <f>IF('Equipment Information'!B43="","", 'Equipment Information'!B43)</f>
        <v/>
      </c>
      <c r="C43">
        <f>IF('Equipment Information'!C43="","", 'Equipment Information'!C43)</f>
        <v/>
      </c>
      <c r="I43">
        <f>IF(COUNT(F43:H43)&lt;2,"",AVERAGE(F43:H43))</f>
        <v/>
      </c>
      <c r="J43" s="3">
        <f>IF(I43="","",MAX(ABS(F43-I43),ABS(G43-I43),ABS(H43-I43))/I43)</f>
        <v/>
      </c>
      <c r="N43">
        <f>IF(COUNT(K43:M43)&lt;2,"",AVERAGE(K43:M43))</f>
        <v/>
      </c>
      <c r="R43" s="3">
        <f>IF(N43="","",MAX(ABS(K43-N43),ABS(L43-N43),ABS(M43-N43))/N43)</f>
        <v/>
      </c>
      <c r="S43">
        <f>IF(A43="","",IF(AND(F43="",K43=""),"N/A",IF(AND(J43="",R43=""),"Insufficient Load Data",IF(AND(J43&gt;0.03,R43&gt;0.15),"Voltage &amp; Current Imbalance",IF(J43&gt;0.03,"Voltage Imbalance",IF(R43&gt;0.15,"Current Imbalance","No Imbalances Detected")))))</f>
        <v/>
      </c>
      <c r="T43">
        <f>IF(A43="","",IF(AND(F43="",K43=""),"N/A",IF(OR(J43&gt;0.03,R43&gt;0.15),"Imbalance","Pass")))</f>
        <v/>
      </c>
    </row>
    <row r="44">
      <c r="A44">
        <f>IF('Equipment Information'!A44="","", 'Equipment Information'!A44)</f>
        <v/>
      </c>
      <c r="B44">
        <f>IF('Equipment Information'!B44="","", 'Equipment Information'!B44)</f>
        <v/>
      </c>
      <c r="C44">
        <f>IF('Equipment Information'!C44="","", 'Equipment Information'!C44)</f>
        <v/>
      </c>
      <c r="I44">
        <f>IF(COUNT(F44:H44)&lt;2,"",AVERAGE(F44:H44))</f>
        <v/>
      </c>
      <c r="J44" s="3">
        <f>IF(I44="","",MAX(ABS(F44-I44),ABS(G44-I44),ABS(H44-I44))/I44)</f>
        <v/>
      </c>
      <c r="N44">
        <f>IF(COUNT(K44:M44)&lt;2,"",AVERAGE(K44:M44))</f>
        <v/>
      </c>
      <c r="R44" s="3">
        <f>IF(N44="","",MAX(ABS(K44-N44),ABS(L44-N44),ABS(M44-N44))/N44)</f>
        <v/>
      </c>
      <c r="S44">
        <f>IF(A44="","",IF(AND(F44="",K44=""),"N/A",IF(AND(J44="",R44=""),"Insufficient Load Data",IF(AND(J44&gt;0.03,R44&gt;0.15),"Voltage &amp; Current Imbalance",IF(J44&gt;0.03,"Voltage Imbalance",IF(R44&gt;0.15,"Current Imbalance","No Imbalances Detected")))))</f>
        <v/>
      </c>
      <c r="T44">
        <f>IF(A44="","",IF(AND(F44="",K44=""),"N/A",IF(OR(J44&gt;0.03,R44&gt;0.15),"Imbalance","Pass")))</f>
        <v/>
      </c>
    </row>
    <row r="45">
      <c r="A45">
        <f>IF('Equipment Information'!A45="","", 'Equipment Information'!A45)</f>
        <v/>
      </c>
      <c r="B45">
        <f>IF('Equipment Information'!B45="","", 'Equipment Information'!B45)</f>
        <v/>
      </c>
      <c r="C45">
        <f>IF('Equipment Information'!C45="","", 'Equipment Information'!C45)</f>
        <v/>
      </c>
      <c r="I45">
        <f>IF(COUNT(F45:H45)&lt;2,"",AVERAGE(F45:H45))</f>
        <v/>
      </c>
      <c r="J45" s="3">
        <f>IF(I45="","",MAX(ABS(F45-I45),ABS(G45-I45),ABS(H45-I45))/I45)</f>
        <v/>
      </c>
      <c r="N45">
        <f>IF(COUNT(K45:M45)&lt;2,"",AVERAGE(K45:M45))</f>
        <v/>
      </c>
      <c r="R45" s="3">
        <f>IF(N45="","",MAX(ABS(K45-N45),ABS(L45-N45),ABS(M45-N45))/N45)</f>
        <v/>
      </c>
      <c r="S45">
        <f>IF(A45="","",IF(AND(F45="",K45=""),"N/A",IF(AND(J45="",R45=""),"Insufficient Load Data",IF(AND(J45&gt;0.03,R45&gt;0.15),"Voltage &amp; Current Imbalance",IF(J45&gt;0.03,"Voltage Imbalance",IF(R45&gt;0.15,"Current Imbalance","No Imbalances Detected")))))</f>
        <v/>
      </c>
      <c r="T45">
        <f>IF(A45="","",IF(AND(F45="",K45=""),"N/A",IF(OR(J45&gt;0.03,R45&gt;0.15),"Imbalance","Pass")))</f>
        <v/>
      </c>
    </row>
    <row r="46">
      <c r="A46">
        <f>IF('Equipment Information'!A46="","", 'Equipment Information'!A46)</f>
        <v/>
      </c>
      <c r="B46">
        <f>IF('Equipment Information'!B46="","", 'Equipment Information'!B46)</f>
        <v/>
      </c>
      <c r="C46">
        <f>IF('Equipment Information'!C46="","", 'Equipment Information'!C46)</f>
        <v/>
      </c>
      <c r="I46">
        <f>IF(COUNT(F46:H46)&lt;2,"",AVERAGE(F46:H46))</f>
        <v/>
      </c>
      <c r="J46" s="3">
        <f>IF(I46="","",MAX(ABS(F46-I46),ABS(G46-I46),ABS(H46-I46))/I46)</f>
        <v/>
      </c>
      <c r="N46">
        <f>IF(COUNT(K46:M46)&lt;2,"",AVERAGE(K46:M46))</f>
        <v/>
      </c>
      <c r="R46" s="3">
        <f>IF(N46="","",MAX(ABS(K46-N46),ABS(L46-N46),ABS(M46-N46))/N46)</f>
        <v/>
      </c>
      <c r="S46">
        <f>IF(A46="","",IF(AND(F46="",K46=""),"N/A",IF(AND(J46="",R46=""),"Insufficient Load Data",IF(AND(J46&gt;0.03,R46&gt;0.15),"Voltage &amp; Current Imbalance",IF(J46&gt;0.03,"Voltage Imbalance",IF(R46&gt;0.15,"Current Imbalance","No Imbalances Detected")))))</f>
        <v/>
      </c>
      <c r="T46">
        <f>IF(A46="","",IF(AND(F46="",K46=""),"N/A",IF(OR(J46&gt;0.03,R46&gt;0.15),"Imbalance","Pass")))</f>
        <v/>
      </c>
    </row>
    <row r="47">
      <c r="A47">
        <f>IF('Equipment Information'!A47="","", 'Equipment Information'!A47)</f>
        <v/>
      </c>
      <c r="B47">
        <f>IF('Equipment Information'!B47="","", 'Equipment Information'!B47)</f>
        <v/>
      </c>
      <c r="C47">
        <f>IF('Equipment Information'!C47="","", 'Equipment Information'!C47)</f>
        <v/>
      </c>
      <c r="I47">
        <f>IF(COUNT(F47:H47)&lt;2,"",AVERAGE(F47:H47))</f>
        <v/>
      </c>
      <c r="J47" s="3">
        <f>IF(I47="","",MAX(ABS(F47-I47),ABS(G47-I47),ABS(H47-I47))/I47)</f>
        <v/>
      </c>
      <c r="N47">
        <f>IF(COUNT(K47:M47)&lt;2,"",AVERAGE(K47:M47))</f>
        <v/>
      </c>
      <c r="R47" s="3">
        <f>IF(N47="","",MAX(ABS(K47-N47),ABS(L47-N47),ABS(M47-N47))/N47)</f>
        <v/>
      </c>
      <c r="S47">
        <f>IF(A47="","",IF(AND(F47="",K47=""),"N/A",IF(AND(J47="",R47=""),"Insufficient Load Data",IF(AND(J47&gt;0.03,R47&gt;0.15),"Voltage &amp; Current Imbalance",IF(J47&gt;0.03,"Voltage Imbalance",IF(R47&gt;0.15,"Current Imbalance","No Imbalances Detected")))))</f>
        <v/>
      </c>
      <c r="T47">
        <f>IF(A47="","",IF(AND(F47="",K47=""),"N/A",IF(OR(J47&gt;0.03,R47&gt;0.15),"Imbalance","Pass")))</f>
        <v/>
      </c>
    </row>
    <row r="48">
      <c r="A48">
        <f>IF('Equipment Information'!A48="","", 'Equipment Information'!A48)</f>
        <v/>
      </c>
      <c r="B48">
        <f>IF('Equipment Information'!B48="","", 'Equipment Information'!B48)</f>
        <v/>
      </c>
      <c r="C48">
        <f>IF('Equipment Information'!C48="","", 'Equipment Information'!C48)</f>
        <v/>
      </c>
      <c r="I48">
        <f>IF(COUNT(F48:H48)&lt;2,"",AVERAGE(F48:H48))</f>
        <v/>
      </c>
      <c r="J48" s="3">
        <f>IF(I48="","",MAX(ABS(F48-I48),ABS(G48-I48),ABS(H48-I48))/I48)</f>
        <v/>
      </c>
      <c r="N48">
        <f>IF(COUNT(K48:M48)&lt;2,"",AVERAGE(K48:M48))</f>
        <v/>
      </c>
      <c r="R48" s="3">
        <f>IF(N48="","",MAX(ABS(K48-N48),ABS(L48-N48),ABS(M48-N48))/N48)</f>
        <v/>
      </c>
      <c r="S48">
        <f>IF(A48="","",IF(AND(F48="",K48=""),"N/A",IF(AND(J48="",R48=""),"Insufficient Load Data",IF(AND(J48&gt;0.03,R48&gt;0.15),"Voltage &amp; Current Imbalance",IF(J48&gt;0.03,"Voltage Imbalance",IF(R48&gt;0.15,"Current Imbalance","No Imbalances Detected")))))</f>
        <v/>
      </c>
      <c r="T48">
        <f>IF(A48="","",IF(AND(F48="",K48=""),"N/A",IF(OR(J48&gt;0.03,R48&gt;0.15),"Imbalance","Pass")))</f>
        <v/>
      </c>
    </row>
    <row r="49">
      <c r="A49">
        <f>IF('Equipment Information'!A49="","", 'Equipment Information'!A49)</f>
        <v/>
      </c>
      <c r="B49">
        <f>IF('Equipment Information'!B49="","", 'Equipment Information'!B49)</f>
        <v/>
      </c>
      <c r="C49">
        <f>IF('Equipment Information'!C49="","", 'Equipment Information'!C49)</f>
        <v/>
      </c>
      <c r="I49">
        <f>IF(COUNT(F49:H49)&lt;2,"",AVERAGE(F49:H49))</f>
        <v/>
      </c>
      <c r="J49" s="3">
        <f>IF(I49="","",MAX(ABS(F49-I49),ABS(G49-I49),ABS(H49-I49))/I49)</f>
        <v/>
      </c>
      <c r="N49">
        <f>IF(COUNT(K49:M49)&lt;2,"",AVERAGE(K49:M49))</f>
        <v/>
      </c>
      <c r="R49" s="3">
        <f>IF(N49="","",MAX(ABS(K49-N49),ABS(L49-N49),ABS(M49-N49))/N49)</f>
        <v/>
      </c>
      <c r="S49">
        <f>IF(A49="","",IF(AND(F49="",K49=""),"N/A",IF(AND(J49="",R49=""),"Insufficient Load Data",IF(AND(J49&gt;0.03,R49&gt;0.15),"Voltage &amp; Current Imbalance",IF(J49&gt;0.03,"Voltage Imbalance",IF(R49&gt;0.15,"Current Imbalance","No Imbalances Detected")))))</f>
        <v/>
      </c>
      <c r="T49">
        <f>IF(A49="","",IF(AND(F49="",K49=""),"N/A",IF(OR(J49&gt;0.03,R49&gt;0.15),"Imbalance","Pass")))</f>
        <v/>
      </c>
    </row>
    <row r="50">
      <c r="A50">
        <f>IF('Equipment Information'!A50="","", 'Equipment Information'!A50)</f>
        <v/>
      </c>
      <c r="B50">
        <f>IF('Equipment Information'!B50="","", 'Equipment Information'!B50)</f>
        <v/>
      </c>
      <c r="C50">
        <f>IF('Equipment Information'!C50="","", 'Equipment Information'!C50)</f>
        <v/>
      </c>
      <c r="I50">
        <f>IF(COUNT(F50:H50)&lt;2,"",AVERAGE(F50:H50))</f>
        <v/>
      </c>
      <c r="J50" s="3">
        <f>IF(I50="","",MAX(ABS(F50-I50),ABS(G50-I50),ABS(H50-I50))/I50)</f>
        <v/>
      </c>
      <c r="N50">
        <f>IF(COUNT(K50:M50)&lt;2,"",AVERAGE(K50:M50))</f>
        <v/>
      </c>
      <c r="R50" s="3">
        <f>IF(N50="","",MAX(ABS(K50-N50),ABS(L50-N50),ABS(M50-N50))/N50)</f>
        <v/>
      </c>
      <c r="S50">
        <f>IF(A50="","",IF(AND(F50="",K50=""),"N/A",IF(AND(J50="",R50=""),"Insufficient Load Data",IF(AND(J50&gt;0.03,R50&gt;0.15),"Voltage &amp; Current Imbalance",IF(J50&gt;0.03,"Voltage Imbalance",IF(R50&gt;0.15,"Current Imbalance","No Imbalances Detected")))))</f>
        <v/>
      </c>
      <c r="T50">
        <f>IF(A50="","",IF(AND(F50="",K50=""),"N/A",IF(OR(J50&gt;0.03,R50&gt;0.15),"Imbalance","Pass")))</f>
        <v/>
      </c>
    </row>
    <row r="51">
      <c r="A51">
        <f>IF('Equipment Information'!A51="","", 'Equipment Information'!A51)</f>
        <v/>
      </c>
      <c r="B51">
        <f>IF('Equipment Information'!B51="","", 'Equipment Information'!B51)</f>
        <v/>
      </c>
      <c r="C51">
        <f>IF('Equipment Information'!C51="","", 'Equipment Information'!C51)</f>
        <v/>
      </c>
      <c r="I51">
        <f>IF(COUNT(F51:H51)&lt;2,"",AVERAGE(F51:H51))</f>
        <v/>
      </c>
      <c r="J51" s="3">
        <f>IF(I51="","",MAX(ABS(F51-I51),ABS(G51-I51),ABS(H51-I51))/I51)</f>
        <v/>
      </c>
      <c r="N51">
        <f>IF(COUNT(K51:M51)&lt;2,"",AVERAGE(K51:M51))</f>
        <v/>
      </c>
      <c r="R51" s="3">
        <f>IF(N51="","",MAX(ABS(K51-N51),ABS(L51-N51),ABS(M51-N51))/N51)</f>
        <v/>
      </c>
      <c r="S51">
        <f>IF(A51="","",IF(AND(F51="",K51=""),"N/A",IF(AND(J51="",R51=""),"Insufficient Load Data",IF(AND(J51&gt;0.03,R51&gt;0.15),"Voltage &amp; Current Imbalance",IF(J51&gt;0.03,"Voltage Imbalance",IF(R51&gt;0.15,"Current Imbalance","No Imbalances Detected")))))</f>
        <v/>
      </c>
      <c r="T51">
        <f>IF(A51="","",IF(AND(F51="",K51=""),"N/A",IF(OR(J51&gt;0.03,R51&gt;0.15),"Imbalance","Pass")))</f>
        <v/>
      </c>
    </row>
    <row r="52">
      <c r="A52">
        <f>IF('Equipment Information'!A52="","", 'Equipment Information'!A52)</f>
        <v/>
      </c>
      <c r="B52">
        <f>IF('Equipment Information'!B52="","", 'Equipment Information'!B52)</f>
        <v/>
      </c>
      <c r="C52">
        <f>IF('Equipment Information'!C52="","", 'Equipment Information'!C52)</f>
        <v/>
      </c>
      <c r="I52">
        <f>IF(COUNT(F52:H52)&lt;2,"",AVERAGE(F52:H52))</f>
        <v/>
      </c>
      <c r="J52" s="3">
        <f>IF(I52="","",MAX(ABS(F52-I52),ABS(G52-I52),ABS(H52-I52))/I52)</f>
        <v/>
      </c>
      <c r="N52">
        <f>IF(COUNT(K52:M52)&lt;2,"",AVERAGE(K52:M52))</f>
        <v/>
      </c>
      <c r="R52" s="3">
        <f>IF(N52="","",MAX(ABS(K52-N52),ABS(L52-N52),ABS(M52-N52))/N52)</f>
        <v/>
      </c>
      <c r="S52">
        <f>IF(A52="","",IF(AND(F52="",K52=""),"N/A",IF(AND(J52="",R52=""),"Insufficient Load Data",IF(AND(J52&gt;0.03,R52&gt;0.15),"Voltage &amp; Current Imbalance",IF(J52&gt;0.03,"Voltage Imbalance",IF(R52&gt;0.15,"Current Imbalance","No Imbalances Detected")))))</f>
        <v/>
      </c>
      <c r="T52">
        <f>IF(A52="","",IF(AND(F52="",K52=""),"N/A",IF(OR(J52&gt;0.03,R52&gt;0.15),"Imbalance","Pass")))</f>
        <v/>
      </c>
    </row>
    <row r="53">
      <c r="A53">
        <f>IF('Equipment Information'!A53="","", 'Equipment Information'!A53)</f>
        <v/>
      </c>
      <c r="B53">
        <f>IF('Equipment Information'!B53="","", 'Equipment Information'!B53)</f>
        <v/>
      </c>
      <c r="C53">
        <f>IF('Equipment Information'!C53="","", 'Equipment Information'!C53)</f>
        <v/>
      </c>
      <c r="I53">
        <f>IF(COUNT(F53:H53)&lt;2,"",AVERAGE(F53:H53))</f>
        <v/>
      </c>
      <c r="J53" s="3">
        <f>IF(I53="","",MAX(ABS(F53-I53),ABS(G53-I53),ABS(H53-I53))/I53)</f>
        <v/>
      </c>
      <c r="N53">
        <f>IF(COUNT(K53:M53)&lt;2,"",AVERAGE(K53:M53))</f>
        <v/>
      </c>
      <c r="R53" s="3">
        <f>IF(N53="","",MAX(ABS(K53-N53),ABS(L53-N53),ABS(M53-N53))/N53)</f>
        <v/>
      </c>
      <c r="S53">
        <f>IF(A53="","",IF(AND(F53="",K53=""),"N/A",IF(AND(J53="",R53=""),"Insufficient Load Data",IF(AND(J53&gt;0.03,R53&gt;0.15),"Voltage &amp; Current Imbalance",IF(J53&gt;0.03,"Voltage Imbalance",IF(R53&gt;0.15,"Current Imbalance","No Imbalances Detected")))))</f>
        <v/>
      </c>
      <c r="T53">
        <f>IF(A53="","",IF(AND(F53="",K53=""),"N/A",IF(OR(J53&gt;0.03,R53&gt;0.15),"Imbalance","Pass")))</f>
        <v/>
      </c>
    </row>
    <row r="54">
      <c r="A54">
        <f>IF('Equipment Information'!A54="","", 'Equipment Information'!A54)</f>
        <v/>
      </c>
      <c r="B54">
        <f>IF('Equipment Information'!B54="","", 'Equipment Information'!B54)</f>
        <v/>
      </c>
      <c r="C54">
        <f>IF('Equipment Information'!C54="","", 'Equipment Information'!C54)</f>
        <v/>
      </c>
      <c r="I54">
        <f>IF(COUNT(F54:H54)&lt;2,"",AVERAGE(F54:H54))</f>
        <v/>
      </c>
      <c r="J54" s="3">
        <f>IF(I54="","",MAX(ABS(F54-I54),ABS(G54-I54),ABS(H54-I54))/I54)</f>
        <v/>
      </c>
      <c r="N54">
        <f>IF(COUNT(K54:M54)&lt;2,"",AVERAGE(K54:M54))</f>
        <v/>
      </c>
      <c r="R54" s="3">
        <f>IF(N54="","",MAX(ABS(K54-N54),ABS(L54-N54),ABS(M54-N54))/N54)</f>
        <v/>
      </c>
      <c r="S54">
        <f>IF(A54="","",IF(AND(F54="",K54=""),"N/A",IF(AND(J54="",R54=""),"Insufficient Load Data",IF(AND(J54&gt;0.03,R54&gt;0.15),"Voltage &amp; Current Imbalance",IF(J54&gt;0.03,"Voltage Imbalance",IF(R54&gt;0.15,"Current Imbalance","No Imbalances Detected")))))</f>
        <v/>
      </c>
      <c r="T54">
        <f>IF(A54="","",IF(AND(F54="",K54=""),"N/A",IF(OR(J54&gt;0.03,R54&gt;0.15),"Imbalance","Pass")))</f>
        <v/>
      </c>
    </row>
    <row r="55">
      <c r="A55">
        <f>IF('Equipment Information'!A55="","", 'Equipment Information'!A55)</f>
        <v/>
      </c>
      <c r="B55">
        <f>IF('Equipment Information'!B55="","", 'Equipment Information'!B55)</f>
        <v/>
      </c>
      <c r="C55">
        <f>IF('Equipment Information'!C55="","", 'Equipment Information'!C55)</f>
        <v/>
      </c>
      <c r="I55">
        <f>IF(COUNT(F55:H55)&lt;2,"",AVERAGE(F55:H55))</f>
        <v/>
      </c>
      <c r="J55" s="3">
        <f>IF(I55="","",MAX(ABS(F55-I55),ABS(G55-I55),ABS(H55-I55))/I55)</f>
        <v/>
      </c>
      <c r="N55">
        <f>IF(COUNT(K55:M55)&lt;2,"",AVERAGE(K55:M55))</f>
        <v/>
      </c>
      <c r="R55" s="3">
        <f>IF(N55="","",MAX(ABS(K55-N55),ABS(L55-N55),ABS(M55-N55))/N55)</f>
        <v/>
      </c>
      <c r="S55">
        <f>IF(A55="","",IF(AND(F55="",K55=""),"N/A",IF(AND(J55="",R55=""),"Insufficient Load Data",IF(AND(J55&gt;0.03,R55&gt;0.15),"Voltage &amp; Current Imbalance",IF(J55&gt;0.03,"Voltage Imbalance",IF(R55&gt;0.15,"Current Imbalance","No Imbalances Detected")))))</f>
        <v/>
      </c>
      <c r="T55">
        <f>IF(A55="","",IF(AND(F55="",K55=""),"N/A",IF(OR(J55&gt;0.03,R55&gt;0.15),"Imbalance","Pass")))</f>
        <v/>
      </c>
    </row>
    <row r="56">
      <c r="A56">
        <f>IF('Equipment Information'!A56="","", 'Equipment Information'!A56)</f>
        <v/>
      </c>
      <c r="B56">
        <f>IF('Equipment Information'!B56="","", 'Equipment Information'!B56)</f>
        <v/>
      </c>
      <c r="C56">
        <f>IF('Equipment Information'!C56="","", 'Equipment Information'!C56)</f>
        <v/>
      </c>
      <c r="I56">
        <f>IF(COUNT(F56:H56)&lt;2,"",AVERAGE(F56:H56))</f>
        <v/>
      </c>
      <c r="J56" s="3">
        <f>IF(I56="","",MAX(ABS(F56-I56),ABS(G56-I56),ABS(H56-I56))/I56)</f>
        <v/>
      </c>
      <c r="N56">
        <f>IF(COUNT(K56:M56)&lt;2,"",AVERAGE(K56:M56))</f>
        <v/>
      </c>
      <c r="R56" s="3">
        <f>IF(N56="","",MAX(ABS(K56-N56),ABS(L56-N56),ABS(M56-N56))/N56)</f>
        <v/>
      </c>
      <c r="S56">
        <f>IF(A56="","",IF(AND(F56="",K56=""),"N/A",IF(AND(J56="",R56=""),"Insufficient Load Data",IF(AND(J56&gt;0.03,R56&gt;0.15),"Voltage &amp; Current Imbalance",IF(J56&gt;0.03,"Voltage Imbalance",IF(R56&gt;0.15,"Current Imbalance","No Imbalances Detected")))))</f>
        <v/>
      </c>
      <c r="T56">
        <f>IF(A56="","",IF(AND(F56="",K56=""),"N/A",IF(OR(J56&gt;0.03,R56&gt;0.15),"Imbalance","Pass")))</f>
        <v/>
      </c>
    </row>
    <row r="57">
      <c r="A57">
        <f>IF('Equipment Information'!A57="","", 'Equipment Information'!A57)</f>
        <v/>
      </c>
      <c r="B57">
        <f>IF('Equipment Information'!B57="","", 'Equipment Information'!B57)</f>
        <v/>
      </c>
      <c r="C57">
        <f>IF('Equipment Information'!C57="","", 'Equipment Information'!C57)</f>
        <v/>
      </c>
      <c r="I57">
        <f>IF(COUNT(F57:H57)&lt;2,"",AVERAGE(F57:H57))</f>
        <v/>
      </c>
      <c r="J57" s="3">
        <f>IF(I57="","",MAX(ABS(F57-I57),ABS(G57-I57),ABS(H57-I57))/I57)</f>
        <v/>
      </c>
      <c r="N57">
        <f>IF(COUNT(K57:M57)&lt;2,"",AVERAGE(K57:M57))</f>
        <v/>
      </c>
      <c r="R57" s="3">
        <f>IF(N57="","",MAX(ABS(K57-N57),ABS(L57-N57),ABS(M57-N57))/N57)</f>
        <v/>
      </c>
      <c r="S57">
        <f>IF(A57="","",IF(AND(F57="",K57=""),"N/A",IF(AND(J57="",R57=""),"Insufficient Load Data",IF(AND(J57&gt;0.03,R57&gt;0.15),"Voltage &amp; Current Imbalance",IF(J57&gt;0.03,"Voltage Imbalance",IF(R57&gt;0.15,"Current Imbalance","No Imbalances Detected")))))</f>
        <v/>
      </c>
      <c r="T57">
        <f>IF(A57="","",IF(AND(F57="",K57=""),"N/A",IF(OR(J57&gt;0.03,R57&gt;0.15),"Imbalance","Pass")))</f>
        <v/>
      </c>
    </row>
    <row r="58">
      <c r="A58">
        <f>IF('Equipment Information'!A58="","", 'Equipment Information'!A58)</f>
        <v/>
      </c>
      <c r="B58">
        <f>IF('Equipment Information'!B58="","", 'Equipment Information'!B58)</f>
        <v/>
      </c>
      <c r="C58">
        <f>IF('Equipment Information'!C58="","", 'Equipment Information'!C58)</f>
        <v/>
      </c>
      <c r="I58">
        <f>IF(COUNT(F58:H58)&lt;2,"",AVERAGE(F58:H58))</f>
        <v/>
      </c>
      <c r="J58" s="3">
        <f>IF(I58="","",MAX(ABS(F58-I58),ABS(G58-I58),ABS(H58-I58))/I58)</f>
        <v/>
      </c>
      <c r="N58">
        <f>IF(COUNT(K58:M58)&lt;2,"",AVERAGE(K58:M58))</f>
        <v/>
      </c>
      <c r="R58" s="3">
        <f>IF(N58="","",MAX(ABS(K58-N58),ABS(L58-N58),ABS(M58-N58))/N58)</f>
        <v/>
      </c>
      <c r="S58">
        <f>IF(A58="","",IF(AND(F58="",K58=""),"N/A",IF(AND(J58="",R58=""),"Insufficient Load Data",IF(AND(J58&gt;0.03,R58&gt;0.15),"Voltage &amp; Current Imbalance",IF(J58&gt;0.03,"Voltage Imbalance",IF(R58&gt;0.15,"Current Imbalance","No Imbalances Detected")))))</f>
        <v/>
      </c>
      <c r="T58">
        <f>IF(A58="","",IF(AND(F58="",K58=""),"N/A",IF(OR(J58&gt;0.03,R58&gt;0.15),"Imbalance","Pass")))</f>
        <v/>
      </c>
    </row>
    <row r="59">
      <c r="A59">
        <f>IF('Equipment Information'!A59="","", 'Equipment Information'!A59)</f>
        <v/>
      </c>
      <c r="B59">
        <f>IF('Equipment Information'!B59="","", 'Equipment Information'!B59)</f>
        <v/>
      </c>
      <c r="C59">
        <f>IF('Equipment Information'!C59="","", 'Equipment Information'!C59)</f>
        <v/>
      </c>
      <c r="I59">
        <f>IF(COUNT(F59:H59)&lt;2,"",AVERAGE(F59:H59))</f>
        <v/>
      </c>
      <c r="J59" s="3">
        <f>IF(I59="","",MAX(ABS(F59-I59),ABS(G59-I59),ABS(H59-I59))/I59)</f>
        <v/>
      </c>
      <c r="N59">
        <f>IF(COUNT(K59:M59)&lt;2,"",AVERAGE(K59:M59))</f>
        <v/>
      </c>
      <c r="R59" s="3">
        <f>IF(N59="","",MAX(ABS(K59-N59),ABS(L59-N59),ABS(M59-N59))/N59)</f>
        <v/>
      </c>
      <c r="S59">
        <f>IF(A59="","",IF(AND(F59="",K59=""),"N/A",IF(AND(J59="",R59=""),"Insufficient Load Data",IF(AND(J59&gt;0.03,R59&gt;0.15),"Voltage &amp; Current Imbalance",IF(J59&gt;0.03,"Voltage Imbalance",IF(R59&gt;0.15,"Current Imbalance","No Imbalances Detected")))))</f>
        <v/>
      </c>
      <c r="T59">
        <f>IF(A59="","",IF(AND(F59="",K59=""),"N/A",IF(OR(J59&gt;0.03,R59&gt;0.15),"Imbalance","Pass")))</f>
        <v/>
      </c>
    </row>
    <row r="60">
      <c r="A60">
        <f>IF('Equipment Information'!A60="","", 'Equipment Information'!A60)</f>
        <v/>
      </c>
      <c r="B60">
        <f>IF('Equipment Information'!B60="","", 'Equipment Information'!B60)</f>
        <v/>
      </c>
      <c r="C60">
        <f>IF('Equipment Information'!C60="","", 'Equipment Information'!C60)</f>
        <v/>
      </c>
      <c r="I60">
        <f>IF(COUNT(F60:H60)&lt;2,"",AVERAGE(F60:H60))</f>
        <v/>
      </c>
      <c r="J60" s="3">
        <f>IF(I60="","",MAX(ABS(F60-I60),ABS(G60-I60),ABS(H60-I60))/I60)</f>
        <v/>
      </c>
      <c r="N60">
        <f>IF(COUNT(K60:M60)&lt;2,"",AVERAGE(K60:M60))</f>
        <v/>
      </c>
      <c r="R60" s="3">
        <f>IF(N60="","",MAX(ABS(K60-N60),ABS(L60-N60),ABS(M60-N60))/N60)</f>
        <v/>
      </c>
      <c r="S60">
        <f>IF(A60="","",IF(AND(F60="",K60=""),"N/A",IF(AND(J60="",R60=""),"Insufficient Load Data",IF(AND(J60&gt;0.03,R60&gt;0.15),"Voltage &amp; Current Imbalance",IF(J60&gt;0.03,"Voltage Imbalance",IF(R60&gt;0.15,"Current Imbalance","No Imbalances Detected")))))</f>
        <v/>
      </c>
      <c r="T60">
        <f>IF(A60="","",IF(AND(F60="",K60=""),"N/A",IF(OR(J60&gt;0.03,R60&gt;0.15),"Imbalance","Pass")))</f>
        <v/>
      </c>
    </row>
    <row r="61">
      <c r="A61">
        <f>IF('Equipment Information'!A61="","", 'Equipment Information'!A61)</f>
        <v/>
      </c>
      <c r="B61">
        <f>IF('Equipment Information'!B61="","", 'Equipment Information'!B61)</f>
        <v/>
      </c>
      <c r="C61">
        <f>IF('Equipment Information'!C61="","", 'Equipment Information'!C61)</f>
        <v/>
      </c>
      <c r="I61">
        <f>IF(COUNT(F61:H61)&lt;2,"",AVERAGE(F61:H61))</f>
        <v/>
      </c>
      <c r="J61" s="3">
        <f>IF(I61="","",MAX(ABS(F61-I61),ABS(G61-I61),ABS(H61-I61))/I61)</f>
        <v/>
      </c>
      <c r="N61">
        <f>IF(COUNT(K61:M61)&lt;2,"",AVERAGE(K61:M61))</f>
        <v/>
      </c>
      <c r="R61" s="3">
        <f>IF(N61="","",MAX(ABS(K61-N61),ABS(L61-N61),ABS(M61-N61))/N61)</f>
        <v/>
      </c>
      <c r="S61">
        <f>IF(A61="","",IF(AND(F61="",K61=""),"N/A",IF(AND(J61="",R61=""),"Insufficient Load Data",IF(AND(J61&gt;0.03,R61&gt;0.15),"Voltage &amp; Current Imbalance",IF(J61&gt;0.03,"Voltage Imbalance",IF(R61&gt;0.15,"Current Imbalance","No Imbalances Detected")))))</f>
        <v/>
      </c>
      <c r="T61">
        <f>IF(A61="","",IF(AND(F61="",K61=""),"N/A",IF(OR(J61&gt;0.03,R61&gt;0.15),"Imbalance","Pass")))</f>
        <v/>
      </c>
    </row>
    <row r="62">
      <c r="A62">
        <f>IF('Equipment Information'!A62="","", 'Equipment Information'!A62)</f>
        <v/>
      </c>
      <c r="B62">
        <f>IF('Equipment Information'!B62="","", 'Equipment Information'!B62)</f>
        <v/>
      </c>
      <c r="C62">
        <f>IF('Equipment Information'!C62="","", 'Equipment Information'!C62)</f>
        <v/>
      </c>
      <c r="I62">
        <f>IF(COUNT(F62:H62)&lt;2,"",AVERAGE(F62:H62))</f>
        <v/>
      </c>
      <c r="J62" s="3">
        <f>IF(I62="","",MAX(ABS(F62-I62),ABS(G62-I62),ABS(H62-I62))/I62)</f>
        <v/>
      </c>
      <c r="N62">
        <f>IF(COUNT(K62:M62)&lt;2,"",AVERAGE(K62:M62))</f>
        <v/>
      </c>
      <c r="R62" s="3">
        <f>IF(N62="","",MAX(ABS(K62-N62),ABS(L62-N62),ABS(M62-N62))/N62)</f>
        <v/>
      </c>
      <c r="S62">
        <f>IF(A62="","",IF(AND(F62="",K62=""),"N/A",IF(AND(J62="",R62=""),"Insufficient Load Data",IF(AND(J62&gt;0.03,R62&gt;0.15),"Voltage &amp; Current Imbalance",IF(J62&gt;0.03,"Voltage Imbalance",IF(R62&gt;0.15,"Current Imbalance","No Imbalances Detected")))))</f>
        <v/>
      </c>
      <c r="T62">
        <f>IF(A62="","",IF(AND(F62="",K62=""),"N/A",IF(OR(J62&gt;0.03,R62&gt;0.15),"Imbalance","Pass")))</f>
        <v/>
      </c>
    </row>
    <row r="63">
      <c r="A63">
        <f>IF('Equipment Information'!A63="","", 'Equipment Information'!A63)</f>
        <v/>
      </c>
      <c r="B63">
        <f>IF('Equipment Information'!B63="","", 'Equipment Information'!B63)</f>
        <v/>
      </c>
      <c r="C63">
        <f>IF('Equipment Information'!C63="","", 'Equipment Information'!C63)</f>
        <v/>
      </c>
      <c r="I63">
        <f>IF(COUNT(F63:H63)&lt;2,"",AVERAGE(F63:H63))</f>
        <v/>
      </c>
      <c r="J63" s="3">
        <f>IF(I63="","",MAX(ABS(F63-I63),ABS(G63-I63),ABS(H63-I63))/I63)</f>
        <v/>
      </c>
      <c r="N63">
        <f>IF(COUNT(K63:M63)&lt;2,"",AVERAGE(K63:M63))</f>
        <v/>
      </c>
      <c r="R63" s="3">
        <f>IF(N63="","",MAX(ABS(K63-N63),ABS(L63-N63),ABS(M63-N63))/N63)</f>
        <v/>
      </c>
      <c r="S63">
        <f>IF(A63="","",IF(AND(F63="",K63=""),"N/A",IF(AND(J63="",R63=""),"Insufficient Load Data",IF(AND(J63&gt;0.03,R63&gt;0.15),"Voltage &amp; Current Imbalance",IF(J63&gt;0.03,"Voltage Imbalance",IF(R63&gt;0.15,"Current Imbalance","No Imbalances Detected")))))</f>
        <v/>
      </c>
      <c r="T63">
        <f>IF(A63="","",IF(AND(F63="",K63=""),"N/A",IF(OR(J63&gt;0.03,R63&gt;0.15),"Imbalance","Pass")))</f>
        <v/>
      </c>
    </row>
    <row r="64">
      <c r="A64">
        <f>IF('Equipment Information'!A64="","", 'Equipment Information'!A64)</f>
        <v/>
      </c>
      <c r="B64">
        <f>IF('Equipment Information'!B64="","", 'Equipment Information'!B64)</f>
        <v/>
      </c>
      <c r="C64">
        <f>IF('Equipment Information'!C64="","", 'Equipment Information'!C64)</f>
        <v/>
      </c>
      <c r="I64">
        <f>IF(COUNT(F64:H64)&lt;2,"",AVERAGE(F64:H64))</f>
        <v/>
      </c>
      <c r="J64" s="3">
        <f>IF(I64="","",MAX(ABS(F64-I64),ABS(G64-I64),ABS(H64-I64))/I64)</f>
        <v/>
      </c>
      <c r="N64">
        <f>IF(COUNT(K64:M64)&lt;2,"",AVERAGE(K64:M64))</f>
        <v/>
      </c>
      <c r="R64" s="3">
        <f>IF(N64="","",MAX(ABS(K64-N64),ABS(L64-N64),ABS(M64-N64))/N64)</f>
        <v/>
      </c>
      <c r="S64">
        <f>IF(A64="","",IF(AND(F64="",K64=""),"N/A",IF(AND(J64="",R64=""),"Insufficient Load Data",IF(AND(J64&gt;0.03,R64&gt;0.15),"Voltage &amp; Current Imbalance",IF(J64&gt;0.03,"Voltage Imbalance",IF(R64&gt;0.15,"Current Imbalance","No Imbalances Detected")))))</f>
        <v/>
      </c>
      <c r="T64">
        <f>IF(A64="","",IF(AND(F64="",K64=""),"N/A",IF(OR(J64&gt;0.03,R64&gt;0.15),"Imbalance","Pass")))</f>
        <v/>
      </c>
    </row>
    <row r="65">
      <c r="A65">
        <f>IF('Equipment Information'!A65="","", 'Equipment Information'!A65)</f>
        <v/>
      </c>
      <c r="B65">
        <f>IF('Equipment Information'!B65="","", 'Equipment Information'!B65)</f>
        <v/>
      </c>
      <c r="C65">
        <f>IF('Equipment Information'!C65="","", 'Equipment Information'!C65)</f>
        <v/>
      </c>
      <c r="I65">
        <f>IF(COUNT(F65:H65)&lt;2,"",AVERAGE(F65:H65))</f>
        <v/>
      </c>
      <c r="J65" s="3">
        <f>IF(I65="","",MAX(ABS(F65-I65),ABS(G65-I65),ABS(H65-I65))/I65)</f>
        <v/>
      </c>
      <c r="N65">
        <f>IF(COUNT(K65:M65)&lt;2,"",AVERAGE(K65:M65))</f>
        <v/>
      </c>
      <c r="R65" s="3">
        <f>IF(N65="","",MAX(ABS(K65-N65),ABS(L65-N65),ABS(M65-N65))/N65)</f>
        <v/>
      </c>
      <c r="S65">
        <f>IF(A65="","",IF(AND(F65="",K65=""),"N/A",IF(AND(J65="",R65=""),"Insufficient Load Data",IF(AND(J65&gt;0.03,R65&gt;0.15),"Voltage &amp; Current Imbalance",IF(J65&gt;0.03,"Voltage Imbalance",IF(R65&gt;0.15,"Current Imbalance","No Imbalances Detected")))))</f>
        <v/>
      </c>
      <c r="T65">
        <f>IF(A65="","",IF(AND(F65="",K65=""),"N/A",IF(OR(J65&gt;0.03,R65&gt;0.15),"Imbalance","Pass")))</f>
        <v/>
      </c>
    </row>
    <row r="66">
      <c r="A66">
        <f>IF('Equipment Information'!A66="","", 'Equipment Information'!A66)</f>
        <v/>
      </c>
      <c r="B66">
        <f>IF('Equipment Information'!B66="","", 'Equipment Information'!B66)</f>
        <v/>
      </c>
      <c r="C66">
        <f>IF('Equipment Information'!C66="","", 'Equipment Information'!C66)</f>
        <v/>
      </c>
      <c r="I66">
        <f>IF(COUNT(F66:H66)&lt;2,"",AVERAGE(F66:H66))</f>
        <v/>
      </c>
      <c r="J66" s="3">
        <f>IF(I66="","",MAX(ABS(F66-I66),ABS(G66-I66),ABS(H66-I66))/I66)</f>
        <v/>
      </c>
      <c r="N66">
        <f>IF(COUNT(K66:M66)&lt;2,"",AVERAGE(K66:M66))</f>
        <v/>
      </c>
      <c r="R66" s="3">
        <f>IF(N66="","",MAX(ABS(K66-N66),ABS(L66-N66),ABS(M66-N66))/N66)</f>
        <v/>
      </c>
      <c r="S66">
        <f>IF(A66="","",IF(AND(F66="",K66=""),"N/A",IF(AND(J66="",R66=""),"Insufficient Load Data",IF(AND(J66&gt;0.03,R66&gt;0.15),"Voltage &amp; Current Imbalance",IF(J66&gt;0.03,"Voltage Imbalance",IF(R66&gt;0.15,"Current Imbalance","No Imbalances Detected")))))</f>
        <v/>
      </c>
      <c r="T66">
        <f>IF(A66="","",IF(AND(F66="",K66=""),"N/A",IF(OR(J66&gt;0.03,R66&gt;0.15),"Imbalance","Pass")))</f>
        <v/>
      </c>
    </row>
    <row r="67">
      <c r="A67">
        <f>IF('Equipment Information'!A67="","", 'Equipment Information'!A67)</f>
        <v/>
      </c>
      <c r="B67">
        <f>IF('Equipment Information'!B67="","", 'Equipment Information'!B67)</f>
        <v/>
      </c>
      <c r="C67">
        <f>IF('Equipment Information'!C67="","", 'Equipment Information'!C67)</f>
        <v/>
      </c>
      <c r="I67">
        <f>IF(COUNT(F67:H67)&lt;2,"",AVERAGE(F67:H67))</f>
        <v/>
      </c>
      <c r="J67" s="3">
        <f>IF(I67="","",MAX(ABS(F67-I67),ABS(G67-I67),ABS(H67-I67))/I67)</f>
        <v/>
      </c>
      <c r="N67">
        <f>IF(COUNT(K67:M67)&lt;2,"",AVERAGE(K67:M67))</f>
        <v/>
      </c>
      <c r="R67" s="3">
        <f>IF(N67="","",MAX(ABS(K67-N67),ABS(L67-N67),ABS(M67-N67))/N67)</f>
        <v/>
      </c>
      <c r="S67">
        <f>IF(A67="","",IF(AND(F67="",K67=""),"N/A",IF(AND(J67="",R67=""),"Insufficient Load Data",IF(AND(J67&gt;0.03,R67&gt;0.15),"Voltage &amp; Current Imbalance",IF(J67&gt;0.03,"Voltage Imbalance",IF(R67&gt;0.15,"Current Imbalance","No Imbalances Detected")))))</f>
        <v/>
      </c>
      <c r="T67">
        <f>IF(A67="","",IF(AND(F67="",K67=""),"N/A",IF(OR(J67&gt;0.03,R67&gt;0.15),"Imbalance","Pass")))</f>
        <v/>
      </c>
    </row>
    <row r="68">
      <c r="A68">
        <f>IF('Equipment Information'!A68="","", 'Equipment Information'!A68)</f>
        <v/>
      </c>
      <c r="B68">
        <f>IF('Equipment Information'!B68="","", 'Equipment Information'!B68)</f>
        <v/>
      </c>
      <c r="C68">
        <f>IF('Equipment Information'!C68="","", 'Equipment Information'!C68)</f>
        <v/>
      </c>
      <c r="I68">
        <f>IF(COUNT(F68:H68)&lt;2,"",AVERAGE(F68:H68))</f>
        <v/>
      </c>
      <c r="J68" s="3">
        <f>IF(I68="","",MAX(ABS(F68-I68),ABS(G68-I68),ABS(H68-I68))/I68)</f>
        <v/>
      </c>
      <c r="N68">
        <f>IF(COUNT(K68:M68)&lt;2,"",AVERAGE(K68:M68))</f>
        <v/>
      </c>
      <c r="R68" s="3">
        <f>IF(N68="","",MAX(ABS(K68-N68),ABS(L68-N68),ABS(M68-N68))/N68)</f>
        <v/>
      </c>
      <c r="S68">
        <f>IF(A68="","",IF(AND(F68="",K68=""),"N/A",IF(AND(J68="",R68=""),"Insufficient Load Data",IF(AND(J68&gt;0.03,R68&gt;0.15),"Voltage &amp; Current Imbalance",IF(J68&gt;0.03,"Voltage Imbalance",IF(R68&gt;0.15,"Current Imbalance","No Imbalances Detected")))))</f>
        <v/>
      </c>
      <c r="T68">
        <f>IF(A68="","",IF(AND(F68="",K68=""),"N/A",IF(OR(J68&gt;0.03,R68&gt;0.15),"Imbalance","Pass")))</f>
        <v/>
      </c>
    </row>
    <row r="69">
      <c r="A69">
        <f>IF('Equipment Information'!A69="","", 'Equipment Information'!A69)</f>
        <v/>
      </c>
      <c r="B69">
        <f>IF('Equipment Information'!B69="","", 'Equipment Information'!B69)</f>
        <v/>
      </c>
      <c r="C69">
        <f>IF('Equipment Information'!C69="","", 'Equipment Information'!C69)</f>
        <v/>
      </c>
      <c r="I69">
        <f>IF(COUNT(F69:H69)&lt;2,"",AVERAGE(F69:H69))</f>
        <v/>
      </c>
      <c r="J69" s="3">
        <f>IF(I69="","",MAX(ABS(F69-I69),ABS(G69-I69),ABS(H69-I69))/I69)</f>
        <v/>
      </c>
      <c r="N69">
        <f>IF(COUNT(K69:M69)&lt;2,"",AVERAGE(K69:M69))</f>
        <v/>
      </c>
      <c r="R69" s="3">
        <f>IF(N69="","",MAX(ABS(K69-N69),ABS(L69-N69),ABS(M69-N69))/N69)</f>
        <v/>
      </c>
      <c r="S69">
        <f>IF(A69="","",IF(AND(F69="",K69=""),"N/A",IF(AND(J69="",R69=""),"Insufficient Load Data",IF(AND(J69&gt;0.03,R69&gt;0.15),"Voltage &amp; Current Imbalance",IF(J69&gt;0.03,"Voltage Imbalance",IF(R69&gt;0.15,"Current Imbalance","No Imbalances Detected")))))</f>
        <v/>
      </c>
      <c r="T69">
        <f>IF(A69="","",IF(AND(F69="",K69=""),"N/A",IF(OR(J69&gt;0.03,R69&gt;0.15),"Imbalance","Pass")))</f>
        <v/>
      </c>
    </row>
    <row r="70">
      <c r="A70">
        <f>IF('Equipment Information'!A70="","", 'Equipment Information'!A70)</f>
        <v/>
      </c>
      <c r="B70">
        <f>IF('Equipment Information'!B70="","", 'Equipment Information'!B70)</f>
        <v/>
      </c>
      <c r="C70">
        <f>IF('Equipment Information'!C70="","", 'Equipment Information'!C70)</f>
        <v/>
      </c>
      <c r="I70">
        <f>IF(COUNT(F70:H70)&lt;2,"",AVERAGE(F70:H70))</f>
        <v/>
      </c>
      <c r="J70" s="3">
        <f>IF(I70="","",MAX(ABS(F70-I70),ABS(G70-I70),ABS(H70-I70))/I70)</f>
        <v/>
      </c>
      <c r="N70">
        <f>IF(COUNT(K70:M70)&lt;2,"",AVERAGE(K70:M70))</f>
        <v/>
      </c>
      <c r="R70" s="3">
        <f>IF(N70="","",MAX(ABS(K70-N70),ABS(L70-N70),ABS(M70-N70))/N70)</f>
        <v/>
      </c>
      <c r="S70">
        <f>IF(A70="","",IF(AND(F70="",K70=""),"N/A",IF(AND(J70="",R70=""),"Insufficient Load Data",IF(AND(J70&gt;0.03,R70&gt;0.15),"Voltage &amp; Current Imbalance",IF(J70&gt;0.03,"Voltage Imbalance",IF(R70&gt;0.15,"Current Imbalance","No Imbalances Detected")))))</f>
        <v/>
      </c>
      <c r="T70">
        <f>IF(A70="","",IF(AND(F70="",K70=""),"N/A",IF(OR(J70&gt;0.03,R70&gt;0.15),"Imbalance","Pass")))</f>
        <v/>
      </c>
    </row>
    <row r="71">
      <c r="A71">
        <f>IF('Equipment Information'!A71="","", 'Equipment Information'!A71)</f>
        <v/>
      </c>
      <c r="B71">
        <f>IF('Equipment Information'!B71="","", 'Equipment Information'!B71)</f>
        <v/>
      </c>
      <c r="C71">
        <f>IF('Equipment Information'!C71="","", 'Equipment Information'!C71)</f>
        <v/>
      </c>
      <c r="I71">
        <f>IF(COUNT(F71:H71)&lt;2,"",AVERAGE(F71:H71))</f>
        <v/>
      </c>
      <c r="J71" s="3">
        <f>IF(I71="","",MAX(ABS(F71-I71),ABS(G71-I71),ABS(H71-I71))/I71)</f>
        <v/>
      </c>
      <c r="N71">
        <f>IF(COUNT(K71:M71)&lt;2,"",AVERAGE(K71:M71))</f>
        <v/>
      </c>
      <c r="R71" s="3">
        <f>IF(N71="","",MAX(ABS(K71-N71),ABS(L71-N71),ABS(M71-N71))/N71)</f>
        <v/>
      </c>
      <c r="S71">
        <f>IF(A71="","",IF(AND(F71="",K71=""),"N/A",IF(AND(J71="",R71=""),"Insufficient Load Data",IF(AND(J71&gt;0.03,R71&gt;0.15),"Voltage &amp; Current Imbalance",IF(J71&gt;0.03,"Voltage Imbalance",IF(R71&gt;0.15,"Current Imbalance","No Imbalances Detected")))))</f>
        <v/>
      </c>
      <c r="T71">
        <f>IF(A71="","",IF(AND(F71="",K71=""),"N/A",IF(OR(J71&gt;0.03,R71&gt;0.15),"Imbalance","Pass")))</f>
        <v/>
      </c>
    </row>
    <row r="72">
      <c r="A72">
        <f>IF('Equipment Information'!A72="","", 'Equipment Information'!A72)</f>
        <v/>
      </c>
      <c r="B72">
        <f>IF('Equipment Information'!B72="","", 'Equipment Information'!B72)</f>
        <v/>
      </c>
      <c r="C72">
        <f>IF('Equipment Information'!C72="","", 'Equipment Information'!C72)</f>
        <v/>
      </c>
      <c r="I72">
        <f>IF(COUNT(F72:H72)&lt;2,"",AVERAGE(F72:H72))</f>
        <v/>
      </c>
      <c r="J72" s="3">
        <f>IF(I72="","",MAX(ABS(F72-I72),ABS(G72-I72),ABS(H72-I72))/I72)</f>
        <v/>
      </c>
      <c r="N72">
        <f>IF(COUNT(K72:M72)&lt;2,"",AVERAGE(K72:M72))</f>
        <v/>
      </c>
      <c r="R72" s="3">
        <f>IF(N72="","",MAX(ABS(K72-N72),ABS(L72-N72),ABS(M72-N72))/N72)</f>
        <v/>
      </c>
      <c r="S72">
        <f>IF(A72="","",IF(AND(F72="",K72=""),"N/A",IF(AND(J72="",R72=""),"Insufficient Load Data",IF(AND(J72&gt;0.03,R72&gt;0.15),"Voltage &amp; Current Imbalance",IF(J72&gt;0.03,"Voltage Imbalance",IF(R72&gt;0.15,"Current Imbalance","No Imbalances Detected")))))</f>
        <v/>
      </c>
      <c r="T72">
        <f>IF(A72="","",IF(AND(F72="",K72=""),"N/A",IF(OR(J72&gt;0.03,R72&gt;0.15),"Imbalance","Pass")))</f>
        <v/>
      </c>
    </row>
    <row r="73">
      <c r="A73">
        <f>IF('Equipment Information'!A73="","", 'Equipment Information'!A73)</f>
        <v/>
      </c>
      <c r="B73">
        <f>IF('Equipment Information'!B73="","", 'Equipment Information'!B73)</f>
        <v/>
      </c>
      <c r="C73">
        <f>IF('Equipment Information'!C73="","", 'Equipment Information'!C73)</f>
        <v/>
      </c>
      <c r="I73">
        <f>IF(COUNT(F73:H73)&lt;2,"",AVERAGE(F73:H73))</f>
        <v/>
      </c>
      <c r="J73" s="3">
        <f>IF(I73="","",MAX(ABS(F73-I73),ABS(G73-I73),ABS(H73-I73))/I73)</f>
        <v/>
      </c>
      <c r="N73">
        <f>IF(COUNT(K73:M73)&lt;2,"",AVERAGE(K73:M73))</f>
        <v/>
      </c>
      <c r="R73" s="3">
        <f>IF(N73="","",MAX(ABS(K73-N73),ABS(L73-N73),ABS(M73-N73))/N73)</f>
        <v/>
      </c>
      <c r="S73">
        <f>IF(A73="","",IF(AND(F73="",K73=""),"N/A",IF(AND(J73="",R73=""),"Insufficient Load Data",IF(AND(J73&gt;0.03,R73&gt;0.15),"Voltage &amp; Current Imbalance",IF(J73&gt;0.03,"Voltage Imbalance",IF(R73&gt;0.15,"Current Imbalance","No Imbalances Detected")))))</f>
        <v/>
      </c>
      <c r="T73">
        <f>IF(A73="","",IF(AND(F73="",K73=""),"N/A",IF(OR(J73&gt;0.03,R73&gt;0.15),"Imbalance","Pass")))</f>
        <v/>
      </c>
    </row>
    <row r="74">
      <c r="A74">
        <f>IF('Equipment Information'!A74="","", 'Equipment Information'!A74)</f>
        <v/>
      </c>
      <c r="B74">
        <f>IF('Equipment Information'!B74="","", 'Equipment Information'!B74)</f>
        <v/>
      </c>
      <c r="C74">
        <f>IF('Equipment Information'!C74="","", 'Equipment Information'!C74)</f>
        <v/>
      </c>
      <c r="I74">
        <f>IF(COUNT(F74:H74)&lt;2,"",AVERAGE(F74:H74))</f>
        <v/>
      </c>
      <c r="J74" s="3">
        <f>IF(I74="","",MAX(ABS(F74-I74),ABS(G74-I74),ABS(H74-I74))/I74)</f>
        <v/>
      </c>
      <c r="N74">
        <f>IF(COUNT(K74:M74)&lt;2,"",AVERAGE(K74:M74))</f>
        <v/>
      </c>
      <c r="R74" s="3">
        <f>IF(N74="","",MAX(ABS(K74-N74),ABS(L74-N74),ABS(M74-N74))/N74)</f>
        <v/>
      </c>
      <c r="S74">
        <f>IF(A74="","",IF(AND(F74="",K74=""),"N/A",IF(AND(J74="",R74=""),"Insufficient Load Data",IF(AND(J74&gt;0.03,R74&gt;0.15),"Voltage &amp; Current Imbalance",IF(J74&gt;0.03,"Voltage Imbalance",IF(R74&gt;0.15,"Current Imbalance","No Imbalances Detected")))))</f>
        <v/>
      </c>
      <c r="T74">
        <f>IF(A74="","",IF(AND(F74="",K74=""),"N/A",IF(OR(J74&gt;0.03,R74&gt;0.15),"Imbalance","Pass")))</f>
        <v/>
      </c>
    </row>
    <row r="75">
      <c r="A75">
        <f>IF('Equipment Information'!A75="","", 'Equipment Information'!A75)</f>
        <v/>
      </c>
      <c r="B75">
        <f>IF('Equipment Information'!B75="","", 'Equipment Information'!B75)</f>
        <v/>
      </c>
      <c r="C75">
        <f>IF('Equipment Information'!C75="","", 'Equipment Information'!C75)</f>
        <v/>
      </c>
      <c r="I75">
        <f>IF(COUNT(F75:H75)&lt;2,"",AVERAGE(F75:H75))</f>
        <v/>
      </c>
      <c r="J75" s="3">
        <f>IF(I75="","",MAX(ABS(F75-I75),ABS(G75-I75),ABS(H75-I75))/I75)</f>
        <v/>
      </c>
      <c r="N75">
        <f>IF(COUNT(K75:M75)&lt;2,"",AVERAGE(K75:M75))</f>
        <v/>
      </c>
      <c r="R75" s="3">
        <f>IF(N75="","",MAX(ABS(K75-N75),ABS(L75-N75),ABS(M75-N75))/N75)</f>
        <v/>
      </c>
      <c r="S75">
        <f>IF(A75="","",IF(AND(F75="",K75=""),"N/A",IF(AND(J75="",R75=""),"Insufficient Load Data",IF(AND(J75&gt;0.03,R75&gt;0.15),"Voltage &amp; Current Imbalance",IF(J75&gt;0.03,"Voltage Imbalance",IF(R75&gt;0.15,"Current Imbalance","No Imbalances Detected")))))</f>
        <v/>
      </c>
      <c r="T75">
        <f>IF(A75="","",IF(AND(F75="",K75=""),"N/A",IF(OR(J75&gt;0.03,R75&gt;0.15),"Imbalance","Pass")))</f>
        <v/>
      </c>
    </row>
    <row r="76">
      <c r="A76">
        <f>IF('Equipment Information'!A76="","", 'Equipment Information'!A76)</f>
        <v/>
      </c>
      <c r="B76">
        <f>IF('Equipment Information'!B76="","", 'Equipment Information'!B76)</f>
        <v/>
      </c>
      <c r="C76">
        <f>IF('Equipment Information'!C76="","", 'Equipment Information'!C76)</f>
        <v/>
      </c>
      <c r="I76">
        <f>IF(COUNT(F76:H76)&lt;2,"",AVERAGE(F76:H76))</f>
        <v/>
      </c>
      <c r="J76" s="3">
        <f>IF(I76="","",MAX(ABS(F76-I76),ABS(G76-I76),ABS(H76-I76))/I76)</f>
        <v/>
      </c>
      <c r="N76">
        <f>IF(COUNT(K76:M76)&lt;2,"",AVERAGE(K76:M76))</f>
        <v/>
      </c>
      <c r="R76" s="3">
        <f>IF(N76="","",MAX(ABS(K76-N76),ABS(L76-N76),ABS(M76-N76))/N76)</f>
        <v/>
      </c>
      <c r="S76">
        <f>IF(A76="","",IF(AND(F76="",K76=""),"N/A",IF(AND(J76="",R76=""),"Insufficient Load Data",IF(AND(J76&gt;0.03,R76&gt;0.15),"Voltage &amp; Current Imbalance",IF(J76&gt;0.03,"Voltage Imbalance",IF(R76&gt;0.15,"Current Imbalance","No Imbalances Detected")))))</f>
        <v/>
      </c>
      <c r="T76">
        <f>IF(A76="","",IF(AND(F76="",K76=""),"N/A",IF(OR(J76&gt;0.03,R76&gt;0.15),"Imbalance","Pass")))</f>
        <v/>
      </c>
    </row>
    <row r="77">
      <c r="A77">
        <f>IF('Equipment Information'!A77="","", 'Equipment Information'!A77)</f>
        <v/>
      </c>
      <c r="B77">
        <f>IF('Equipment Information'!B77="","", 'Equipment Information'!B77)</f>
        <v/>
      </c>
      <c r="C77">
        <f>IF('Equipment Information'!C77="","", 'Equipment Information'!C77)</f>
        <v/>
      </c>
      <c r="I77">
        <f>IF(COUNT(F77:H77)&lt;2,"",AVERAGE(F77:H77))</f>
        <v/>
      </c>
      <c r="J77" s="3">
        <f>IF(I77="","",MAX(ABS(F77-I77),ABS(G77-I77),ABS(H77-I77))/I77)</f>
        <v/>
      </c>
      <c r="N77">
        <f>IF(COUNT(K77:M77)&lt;2,"",AVERAGE(K77:M77))</f>
        <v/>
      </c>
      <c r="R77" s="3">
        <f>IF(N77="","",MAX(ABS(K77-N77),ABS(L77-N77),ABS(M77-N77))/N77)</f>
        <v/>
      </c>
      <c r="S77">
        <f>IF(A77="","",IF(AND(F77="",K77=""),"N/A",IF(AND(J77="",R77=""),"Insufficient Load Data",IF(AND(J77&gt;0.03,R77&gt;0.15),"Voltage &amp; Current Imbalance",IF(J77&gt;0.03,"Voltage Imbalance",IF(R77&gt;0.15,"Current Imbalance","No Imbalances Detected")))))</f>
        <v/>
      </c>
      <c r="T77">
        <f>IF(A77="","",IF(AND(F77="",K77=""),"N/A",IF(OR(J77&gt;0.03,R77&gt;0.15),"Imbalance","Pass")))</f>
        <v/>
      </c>
    </row>
    <row r="78">
      <c r="A78">
        <f>IF('Equipment Information'!A78="","", 'Equipment Information'!A78)</f>
        <v/>
      </c>
      <c r="B78">
        <f>IF('Equipment Information'!B78="","", 'Equipment Information'!B78)</f>
        <v/>
      </c>
      <c r="C78">
        <f>IF('Equipment Information'!C78="","", 'Equipment Information'!C78)</f>
        <v/>
      </c>
      <c r="I78">
        <f>IF(COUNT(F78:H78)&lt;2,"",AVERAGE(F78:H78))</f>
        <v/>
      </c>
      <c r="J78" s="3">
        <f>IF(I78="","",MAX(ABS(F78-I78),ABS(G78-I78),ABS(H78-I78))/I78)</f>
        <v/>
      </c>
      <c r="N78">
        <f>IF(COUNT(K78:M78)&lt;2,"",AVERAGE(K78:M78))</f>
        <v/>
      </c>
      <c r="R78" s="3">
        <f>IF(N78="","",MAX(ABS(K78-N78),ABS(L78-N78),ABS(M78-N78))/N78)</f>
        <v/>
      </c>
      <c r="S78">
        <f>IF(A78="","",IF(AND(F78="",K78=""),"N/A",IF(AND(J78="",R78=""),"Insufficient Load Data",IF(AND(J78&gt;0.03,R78&gt;0.15),"Voltage &amp; Current Imbalance",IF(J78&gt;0.03,"Voltage Imbalance",IF(R78&gt;0.15,"Current Imbalance","No Imbalances Detected")))))</f>
        <v/>
      </c>
      <c r="T78">
        <f>IF(A78="","",IF(AND(F78="",K78=""),"N/A",IF(OR(J78&gt;0.03,R78&gt;0.15),"Imbalance","Pass")))</f>
        <v/>
      </c>
    </row>
    <row r="79">
      <c r="A79">
        <f>IF('Equipment Information'!A79="","", 'Equipment Information'!A79)</f>
        <v/>
      </c>
      <c r="B79">
        <f>IF('Equipment Information'!B79="","", 'Equipment Information'!B79)</f>
        <v/>
      </c>
      <c r="C79">
        <f>IF('Equipment Information'!C79="","", 'Equipment Information'!C79)</f>
        <v/>
      </c>
      <c r="I79">
        <f>IF(COUNT(F79:H79)&lt;2,"",AVERAGE(F79:H79))</f>
        <v/>
      </c>
      <c r="J79" s="3">
        <f>IF(I79="","",MAX(ABS(F79-I79),ABS(G79-I79),ABS(H79-I79))/I79)</f>
        <v/>
      </c>
      <c r="N79">
        <f>IF(COUNT(K79:M79)&lt;2,"",AVERAGE(K79:M79))</f>
        <v/>
      </c>
      <c r="R79" s="3">
        <f>IF(N79="","",MAX(ABS(K79-N79),ABS(L79-N79),ABS(M79-N79))/N79)</f>
        <v/>
      </c>
      <c r="S79">
        <f>IF(A79="","",IF(AND(F79="",K79=""),"N/A",IF(AND(J79="",R79=""),"Insufficient Load Data",IF(AND(J79&gt;0.03,R79&gt;0.15),"Voltage &amp; Current Imbalance",IF(J79&gt;0.03,"Voltage Imbalance",IF(R79&gt;0.15,"Current Imbalance","No Imbalances Detected")))))</f>
        <v/>
      </c>
      <c r="T79">
        <f>IF(A79="","",IF(AND(F79="",K79=""),"N/A",IF(OR(J79&gt;0.03,R79&gt;0.15),"Imbalance","Pass")))</f>
        <v/>
      </c>
    </row>
    <row r="80">
      <c r="A80">
        <f>IF('Equipment Information'!A80="","", 'Equipment Information'!A80)</f>
        <v/>
      </c>
      <c r="B80">
        <f>IF('Equipment Information'!B80="","", 'Equipment Information'!B80)</f>
        <v/>
      </c>
      <c r="C80">
        <f>IF('Equipment Information'!C80="","", 'Equipment Information'!C80)</f>
        <v/>
      </c>
      <c r="I80">
        <f>IF(COUNT(F80:H80)&lt;2,"",AVERAGE(F80:H80))</f>
        <v/>
      </c>
      <c r="J80" s="3">
        <f>IF(I80="","",MAX(ABS(F80-I80),ABS(G80-I80),ABS(H80-I80))/I80)</f>
        <v/>
      </c>
      <c r="N80">
        <f>IF(COUNT(K80:M80)&lt;2,"",AVERAGE(K80:M80))</f>
        <v/>
      </c>
      <c r="R80" s="3">
        <f>IF(N80="","",MAX(ABS(K80-N80),ABS(L80-N80),ABS(M80-N80))/N80)</f>
        <v/>
      </c>
      <c r="S80">
        <f>IF(A80="","",IF(AND(F80="",K80=""),"N/A",IF(AND(J80="",R80=""),"Insufficient Load Data",IF(AND(J80&gt;0.03,R80&gt;0.15),"Voltage &amp; Current Imbalance",IF(J80&gt;0.03,"Voltage Imbalance",IF(R80&gt;0.15,"Current Imbalance","No Imbalances Detected")))))</f>
        <v/>
      </c>
      <c r="T80">
        <f>IF(A80="","",IF(AND(F80="",K80=""),"N/A",IF(OR(J80&gt;0.03,R80&gt;0.15),"Imbalance","Pass")))</f>
        <v/>
      </c>
    </row>
    <row r="81">
      <c r="A81">
        <f>IF('Equipment Information'!A81="","", 'Equipment Information'!A81)</f>
        <v/>
      </c>
      <c r="B81">
        <f>IF('Equipment Information'!B81="","", 'Equipment Information'!B81)</f>
        <v/>
      </c>
      <c r="C81">
        <f>IF('Equipment Information'!C81="","", 'Equipment Information'!C81)</f>
        <v/>
      </c>
      <c r="I81">
        <f>IF(COUNT(F81:H81)&lt;2,"",AVERAGE(F81:H81))</f>
        <v/>
      </c>
      <c r="J81" s="3">
        <f>IF(I81="","",MAX(ABS(F81-I81),ABS(G81-I81),ABS(H81-I81))/I81)</f>
        <v/>
      </c>
      <c r="N81">
        <f>IF(COUNT(K81:M81)&lt;2,"",AVERAGE(K81:M81))</f>
        <v/>
      </c>
      <c r="R81" s="3">
        <f>IF(N81="","",MAX(ABS(K81-N81),ABS(L81-N81),ABS(M81-N81))/N81)</f>
        <v/>
      </c>
      <c r="S81">
        <f>IF(A81="","",IF(AND(F81="",K81=""),"N/A",IF(AND(J81="",R81=""),"Insufficient Load Data",IF(AND(J81&gt;0.03,R81&gt;0.15),"Voltage &amp; Current Imbalance",IF(J81&gt;0.03,"Voltage Imbalance",IF(R81&gt;0.15,"Current Imbalance","No Imbalances Detected")))))</f>
        <v/>
      </c>
      <c r="T81">
        <f>IF(A81="","",IF(AND(F81="",K81=""),"N/A",IF(OR(J81&gt;0.03,R81&gt;0.15),"Imbalance","Pass")))</f>
        <v/>
      </c>
    </row>
    <row r="82">
      <c r="A82">
        <f>IF('Equipment Information'!A82="","", 'Equipment Information'!A82)</f>
        <v/>
      </c>
      <c r="B82">
        <f>IF('Equipment Information'!B82="","", 'Equipment Information'!B82)</f>
        <v/>
      </c>
      <c r="C82">
        <f>IF('Equipment Information'!C82="","", 'Equipment Information'!C82)</f>
        <v/>
      </c>
      <c r="I82">
        <f>IF(COUNT(F82:H82)&lt;2,"",AVERAGE(F82:H82))</f>
        <v/>
      </c>
      <c r="J82" s="3">
        <f>IF(I82="","",MAX(ABS(F82-I82),ABS(G82-I82),ABS(H82-I82))/I82)</f>
        <v/>
      </c>
      <c r="N82">
        <f>IF(COUNT(K82:M82)&lt;2,"",AVERAGE(K82:M82))</f>
        <v/>
      </c>
      <c r="R82" s="3">
        <f>IF(N82="","",MAX(ABS(K82-N82),ABS(L82-N82),ABS(M82-N82))/N82)</f>
        <v/>
      </c>
      <c r="S82">
        <f>IF(A82="","",IF(AND(F82="",K82=""),"N/A",IF(AND(J82="",R82=""),"Insufficient Load Data",IF(AND(J82&gt;0.03,R82&gt;0.15),"Voltage &amp; Current Imbalance",IF(J82&gt;0.03,"Voltage Imbalance",IF(R82&gt;0.15,"Current Imbalance","No Imbalances Detected")))))</f>
        <v/>
      </c>
      <c r="T82">
        <f>IF(A82="","",IF(AND(F82="",K82=""),"N/A",IF(OR(J82&gt;0.03,R82&gt;0.15),"Imbalance","Pass")))</f>
        <v/>
      </c>
    </row>
    <row r="83">
      <c r="A83">
        <f>IF('Equipment Information'!A83="","", 'Equipment Information'!A83)</f>
        <v/>
      </c>
      <c r="B83">
        <f>IF('Equipment Information'!B83="","", 'Equipment Information'!B83)</f>
        <v/>
      </c>
      <c r="C83">
        <f>IF('Equipment Information'!C83="","", 'Equipment Information'!C83)</f>
        <v/>
      </c>
      <c r="I83">
        <f>IF(COUNT(F83:H83)&lt;2,"",AVERAGE(F83:H83))</f>
        <v/>
      </c>
      <c r="J83" s="3">
        <f>IF(I83="","",MAX(ABS(F83-I83),ABS(G83-I83),ABS(H83-I83))/I83)</f>
        <v/>
      </c>
      <c r="N83">
        <f>IF(COUNT(K83:M83)&lt;2,"",AVERAGE(K83:M83))</f>
        <v/>
      </c>
      <c r="R83" s="3">
        <f>IF(N83="","",MAX(ABS(K83-N83),ABS(L83-N83),ABS(M83-N83))/N83)</f>
        <v/>
      </c>
      <c r="S83">
        <f>IF(A83="","",IF(AND(F83="",K83=""),"N/A",IF(AND(J83="",R83=""),"Insufficient Load Data",IF(AND(J83&gt;0.03,R83&gt;0.15),"Voltage &amp; Current Imbalance",IF(J83&gt;0.03,"Voltage Imbalance",IF(R83&gt;0.15,"Current Imbalance","No Imbalances Detected")))))</f>
        <v/>
      </c>
      <c r="T83">
        <f>IF(A83="","",IF(AND(F83="",K83=""),"N/A",IF(OR(J83&gt;0.03,R83&gt;0.15),"Imbalance","Pass")))</f>
        <v/>
      </c>
    </row>
    <row r="84">
      <c r="A84">
        <f>IF('Equipment Information'!A84="","", 'Equipment Information'!A84)</f>
        <v/>
      </c>
      <c r="B84">
        <f>IF('Equipment Information'!B84="","", 'Equipment Information'!B84)</f>
        <v/>
      </c>
      <c r="C84">
        <f>IF('Equipment Information'!C84="","", 'Equipment Information'!C84)</f>
        <v/>
      </c>
      <c r="I84">
        <f>IF(COUNT(F84:H84)&lt;2,"",AVERAGE(F84:H84))</f>
        <v/>
      </c>
      <c r="J84" s="3">
        <f>IF(I84="","",MAX(ABS(F84-I84),ABS(G84-I84),ABS(H84-I84))/I84)</f>
        <v/>
      </c>
      <c r="N84">
        <f>IF(COUNT(K84:M84)&lt;2,"",AVERAGE(K84:M84))</f>
        <v/>
      </c>
      <c r="R84" s="3">
        <f>IF(N84="","",MAX(ABS(K84-N84),ABS(L84-N84),ABS(M84-N84))/N84)</f>
        <v/>
      </c>
      <c r="S84">
        <f>IF(A84="","",IF(AND(F84="",K84=""),"N/A",IF(AND(J84="",R84=""),"Insufficient Load Data",IF(AND(J84&gt;0.03,R84&gt;0.15),"Voltage &amp; Current Imbalance",IF(J84&gt;0.03,"Voltage Imbalance",IF(R84&gt;0.15,"Current Imbalance","No Imbalances Detected")))))</f>
        <v/>
      </c>
      <c r="T84">
        <f>IF(A84="","",IF(AND(F84="",K84=""),"N/A",IF(OR(J84&gt;0.03,R84&gt;0.15),"Imbalance","Pass")))</f>
        <v/>
      </c>
    </row>
    <row r="85">
      <c r="A85">
        <f>IF('Equipment Information'!A85="","", 'Equipment Information'!A85)</f>
        <v/>
      </c>
      <c r="B85">
        <f>IF('Equipment Information'!B85="","", 'Equipment Information'!B85)</f>
        <v/>
      </c>
      <c r="C85">
        <f>IF('Equipment Information'!C85="","", 'Equipment Information'!C85)</f>
        <v/>
      </c>
      <c r="I85">
        <f>IF(COUNT(F85:H85)&lt;2,"",AVERAGE(F85:H85))</f>
        <v/>
      </c>
      <c r="J85" s="3">
        <f>IF(I85="","",MAX(ABS(F85-I85),ABS(G85-I85),ABS(H85-I85))/I85)</f>
        <v/>
      </c>
      <c r="N85">
        <f>IF(COUNT(K85:M85)&lt;2,"",AVERAGE(K85:M85))</f>
        <v/>
      </c>
      <c r="R85" s="3">
        <f>IF(N85="","",MAX(ABS(K85-N85),ABS(L85-N85),ABS(M85-N85))/N85)</f>
        <v/>
      </c>
      <c r="S85">
        <f>IF(A85="","",IF(AND(F85="",K85=""),"N/A",IF(AND(J85="",R85=""),"Insufficient Load Data",IF(AND(J85&gt;0.03,R85&gt;0.15),"Voltage &amp; Current Imbalance",IF(J85&gt;0.03,"Voltage Imbalance",IF(R85&gt;0.15,"Current Imbalance","No Imbalances Detected")))))</f>
        <v/>
      </c>
      <c r="T85">
        <f>IF(A85="","",IF(AND(F85="",K85=""),"N/A",IF(OR(J85&gt;0.03,R85&gt;0.15),"Imbalance","Pass")))</f>
        <v/>
      </c>
    </row>
    <row r="86">
      <c r="A86">
        <f>IF('Equipment Information'!A86="","", 'Equipment Information'!A86)</f>
        <v/>
      </c>
      <c r="B86">
        <f>IF('Equipment Information'!B86="","", 'Equipment Information'!B86)</f>
        <v/>
      </c>
      <c r="C86">
        <f>IF('Equipment Information'!C86="","", 'Equipment Information'!C86)</f>
        <v/>
      </c>
      <c r="I86">
        <f>IF(COUNT(F86:H86)&lt;2,"",AVERAGE(F86:H86))</f>
        <v/>
      </c>
      <c r="J86" s="3">
        <f>IF(I86="","",MAX(ABS(F86-I86),ABS(G86-I86),ABS(H86-I86))/I86)</f>
        <v/>
      </c>
      <c r="N86">
        <f>IF(COUNT(K86:M86)&lt;2,"",AVERAGE(K86:M86))</f>
        <v/>
      </c>
      <c r="R86" s="3">
        <f>IF(N86="","",MAX(ABS(K86-N86),ABS(L86-N86),ABS(M86-N86))/N86)</f>
        <v/>
      </c>
      <c r="S86">
        <f>IF(A86="","",IF(AND(F86="",K86=""),"N/A",IF(AND(J86="",R86=""),"Insufficient Load Data",IF(AND(J86&gt;0.03,R86&gt;0.15),"Voltage &amp; Current Imbalance",IF(J86&gt;0.03,"Voltage Imbalance",IF(R86&gt;0.15,"Current Imbalance","No Imbalances Detected")))))</f>
        <v/>
      </c>
      <c r="T86">
        <f>IF(A86="","",IF(AND(F86="",K86=""),"N/A",IF(OR(J86&gt;0.03,R86&gt;0.15),"Imbalance","Pass")))</f>
        <v/>
      </c>
    </row>
    <row r="87">
      <c r="A87">
        <f>IF('Equipment Information'!A87="","", 'Equipment Information'!A87)</f>
        <v/>
      </c>
      <c r="B87">
        <f>IF('Equipment Information'!B87="","", 'Equipment Information'!B87)</f>
        <v/>
      </c>
      <c r="C87">
        <f>IF('Equipment Information'!C87="","", 'Equipment Information'!C87)</f>
        <v/>
      </c>
      <c r="I87">
        <f>IF(COUNT(F87:H87)&lt;2,"",AVERAGE(F87:H87))</f>
        <v/>
      </c>
      <c r="J87" s="3">
        <f>IF(I87="","",MAX(ABS(F87-I87),ABS(G87-I87),ABS(H87-I87))/I87)</f>
        <v/>
      </c>
      <c r="N87">
        <f>IF(COUNT(K87:M87)&lt;2,"",AVERAGE(K87:M87))</f>
        <v/>
      </c>
      <c r="R87" s="3">
        <f>IF(N87="","",MAX(ABS(K87-N87),ABS(L87-N87),ABS(M87-N87))/N87)</f>
        <v/>
      </c>
      <c r="S87">
        <f>IF(A87="","",IF(AND(F87="",K87=""),"N/A",IF(AND(J87="",R87=""),"Insufficient Load Data",IF(AND(J87&gt;0.03,R87&gt;0.15),"Voltage &amp; Current Imbalance",IF(J87&gt;0.03,"Voltage Imbalance",IF(R87&gt;0.15,"Current Imbalance","No Imbalances Detected")))))</f>
        <v/>
      </c>
      <c r="T87">
        <f>IF(A87="","",IF(AND(F87="",K87=""),"N/A",IF(OR(J87&gt;0.03,R87&gt;0.15),"Imbalance","Pass")))</f>
        <v/>
      </c>
    </row>
    <row r="88">
      <c r="A88">
        <f>IF('Equipment Information'!A88="","", 'Equipment Information'!A88)</f>
        <v/>
      </c>
      <c r="B88">
        <f>IF('Equipment Information'!B88="","", 'Equipment Information'!B88)</f>
        <v/>
      </c>
      <c r="C88">
        <f>IF('Equipment Information'!C88="","", 'Equipment Information'!C88)</f>
        <v/>
      </c>
      <c r="I88">
        <f>IF(COUNT(F88:H88)&lt;2,"",AVERAGE(F88:H88))</f>
        <v/>
      </c>
      <c r="J88" s="3">
        <f>IF(I88="","",MAX(ABS(F88-I88),ABS(G88-I88),ABS(H88-I88))/I88)</f>
        <v/>
      </c>
      <c r="N88">
        <f>IF(COUNT(K88:M88)&lt;2,"",AVERAGE(K88:M88))</f>
        <v/>
      </c>
      <c r="R88" s="3">
        <f>IF(N88="","",MAX(ABS(K88-N88),ABS(L88-N88),ABS(M88-N88))/N88)</f>
        <v/>
      </c>
      <c r="S88">
        <f>IF(A88="","",IF(AND(F88="",K88=""),"N/A",IF(AND(J88="",R88=""),"Insufficient Load Data",IF(AND(J88&gt;0.03,R88&gt;0.15),"Voltage &amp; Current Imbalance",IF(J88&gt;0.03,"Voltage Imbalance",IF(R88&gt;0.15,"Current Imbalance","No Imbalances Detected")))))</f>
        <v/>
      </c>
      <c r="T88">
        <f>IF(A88="","",IF(AND(F88="",K88=""),"N/A",IF(OR(J88&gt;0.03,R88&gt;0.15),"Imbalance","Pass")))</f>
        <v/>
      </c>
    </row>
    <row r="89">
      <c r="A89">
        <f>IF('Equipment Information'!A89="","", 'Equipment Information'!A89)</f>
        <v/>
      </c>
      <c r="B89">
        <f>IF('Equipment Information'!B89="","", 'Equipment Information'!B89)</f>
        <v/>
      </c>
      <c r="C89">
        <f>IF('Equipment Information'!C89="","", 'Equipment Information'!C89)</f>
        <v/>
      </c>
      <c r="I89">
        <f>IF(COUNT(F89:H89)&lt;2,"",AVERAGE(F89:H89))</f>
        <v/>
      </c>
      <c r="J89" s="3">
        <f>IF(I89="","",MAX(ABS(F89-I89),ABS(G89-I89),ABS(H89-I89))/I89)</f>
        <v/>
      </c>
      <c r="N89">
        <f>IF(COUNT(K89:M89)&lt;2,"",AVERAGE(K89:M89))</f>
        <v/>
      </c>
      <c r="R89" s="3">
        <f>IF(N89="","",MAX(ABS(K89-N89),ABS(L89-N89),ABS(M89-N89))/N89)</f>
        <v/>
      </c>
      <c r="S89">
        <f>IF(A89="","",IF(AND(F89="",K89=""),"N/A",IF(AND(J89="",R89=""),"Insufficient Load Data",IF(AND(J89&gt;0.03,R89&gt;0.15),"Voltage &amp; Current Imbalance",IF(J89&gt;0.03,"Voltage Imbalance",IF(R89&gt;0.15,"Current Imbalance","No Imbalances Detected")))))</f>
        <v/>
      </c>
      <c r="T89">
        <f>IF(A89="","",IF(AND(F89="",K89=""),"N/A",IF(OR(J89&gt;0.03,R89&gt;0.15),"Imbalance","Pass")))</f>
        <v/>
      </c>
    </row>
    <row r="90">
      <c r="A90">
        <f>IF('Equipment Information'!A90="","", 'Equipment Information'!A90)</f>
        <v/>
      </c>
      <c r="B90">
        <f>IF('Equipment Information'!B90="","", 'Equipment Information'!B90)</f>
        <v/>
      </c>
      <c r="C90">
        <f>IF('Equipment Information'!C90="","", 'Equipment Information'!C90)</f>
        <v/>
      </c>
      <c r="I90">
        <f>IF(COUNT(F90:H90)&lt;2,"",AVERAGE(F90:H90))</f>
        <v/>
      </c>
      <c r="J90" s="3">
        <f>IF(I90="","",MAX(ABS(F90-I90),ABS(G90-I90),ABS(H90-I90))/I90)</f>
        <v/>
      </c>
      <c r="N90">
        <f>IF(COUNT(K90:M90)&lt;2,"",AVERAGE(K90:M90))</f>
        <v/>
      </c>
      <c r="R90" s="3">
        <f>IF(N90="","",MAX(ABS(K90-N90),ABS(L90-N90),ABS(M90-N90))/N90)</f>
        <v/>
      </c>
      <c r="S90">
        <f>IF(A90="","",IF(AND(F90="",K90=""),"N/A",IF(AND(J90="",R90=""),"Insufficient Load Data",IF(AND(J90&gt;0.03,R90&gt;0.15),"Voltage &amp; Current Imbalance",IF(J90&gt;0.03,"Voltage Imbalance",IF(R90&gt;0.15,"Current Imbalance","No Imbalances Detected")))))</f>
        <v/>
      </c>
      <c r="T90">
        <f>IF(A90="","",IF(AND(F90="",K90=""),"N/A",IF(OR(J90&gt;0.03,R90&gt;0.15),"Imbalance","Pass")))</f>
        <v/>
      </c>
    </row>
    <row r="91">
      <c r="A91">
        <f>IF('Equipment Information'!A91="","", 'Equipment Information'!A91)</f>
        <v/>
      </c>
      <c r="B91">
        <f>IF('Equipment Information'!B91="","", 'Equipment Information'!B91)</f>
        <v/>
      </c>
      <c r="C91">
        <f>IF('Equipment Information'!C91="","", 'Equipment Information'!C91)</f>
        <v/>
      </c>
      <c r="I91">
        <f>IF(COUNT(F91:H91)&lt;2,"",AVERAGE(F91:H91))</f>
        <v/>
      </c>
      <c r="J91" s="3">
        <f>IF(I91="","",MAX(ABS(F91-I91),ABS(G91-I91),ABS(H91-I91))/I91)</f>
        <v/>
      </c>
      <c r="N91">
        <f>IF(COUNT(K91:M91)&lt;2,"",AVERAGE(K91:M91))</f>
        <v/>
      </c>
      <c r="R91" s="3">
        <f>IF(N91="","",MAX(ABS(K91-N91),ABS(L91-N91),ABS(M91-N91))/N91)</f>
        <v/>
      </c>
      <c r="S91">
        <f>IF(A91="","",IF(AND(F91="",K91=""),"N/A",IF(AND(J91="",R91=""),"Insufficient Load Data",IF(AND(J91&gt;0.03,R91&gt;0.15),"Voltage &amp; Current Imbalance",IF(J91&gt;0.03,"Voltage Imbalance",IF(R91&gt;0.15,"Current Imbalance","No Imbalances Detected")))))</f>
        <v/>
      </c>
      <c r="T91">
        <f>IF(A91="","",IF(AND(F91="",K91=""),"N/A",IF(OR(J91&gt;0.03,R91&gt;0.15),"Imbalance","Pass")))</f>
        <v/>
      </c>
    </row>
    <row r="92">
      <c r="A92">
        <f>IF('Equipment Information'!A92="","", 'Equipment Information'!A92)</f>
        <v/>
      </c>
      <c r="B92">
        <f>IF('Equipment Information'!B92="","", 'Equipment Information'!B92)</f>
        <v/>
      </c>
      <c r="C92">
        <f>IF('Equipment Information'!C92="","", 'Equipment Information'!C92)</f>
        <v/>
      </c>
      <c r="I92">
        <f>IF(COUNT(F92:H92)&lt;2,"",AVERAGE(F92:H92))</f>
        <v/>
      </c>
      <c r="J92" s="3">
        <f>IF(I92="","",MAX(ABS(F92-I92),ABS(G92-I92),ABS(H92-I92))/I92)</f>
        <v/>
      </c>
      <c r="N92">
        <f>IF(COUNT(K92:M92)&lt;2,"",AVERAGE(K92:M92))</f>
        <v/>
      </c>
      <c r="R92" s="3">
        <f>IF(N92="","",MAX(ABS(K92-N92),ABS(L92-N92),ABS(M92-N92))/N92)</f>
        <v/>
      </c>
      <c r="S92">
        <f>IF(A92="","",IF(AND(F92="",K92=""),"N/A",IF(AND(J92="",R92=""),"Insufficient Load Data",IF(AND(J92&gt;0.03,R92&gt;0.15),"Voltage &amp; Current Imbalance",IF(J92&gt;0.03,"Voltage Imbalance",IF(R92&gt;0.15,"Current Imbalance","No Imbalances Detected")))))</f>
        <v/>
      </c>
      <c r="T92">
        <f>IF(A92="","",IF(AND(F92="",K92=""),"N/A",IF(OR(J92&gt;0.03,R92&gt;0.15),"Imbalance","Pass")))</f>
        <v/>
      </c>
    </row>
    <row r="93">
      <c r="A93">
        <f>IF('Equipment Information'!A93="","", 'Equipment Information'!A93)</f>
        <v/>
      </c>
      <c r="B93">
        <f>IF('Equipment Information'!B93="","", 'Equipment Information'!B93)</f>
        <v/>
      </c>
      <c r="C93">
        <f>IF('Equipment Information'!C93="","", 'Equipment Information'!C93)</f>
        <v/>
      </c>
      <c r="I93">
        <f>IF(COUNT(F93:H93)&lt;2,"",AVERAGE(F93:H93))</f>
        <v/>
      </c>
      <c r="J93" s="3">
        <f>IF(I93="","",MAX(ABS(F93-I93),ABS(G93-I93),ABS(H93-I93))/I93)</f>
        <v/>
      </c>
      <c r="N93">
        <f>IF(COUNT(K93:M93)&lt;2,"",AVERAGE(K93:M93))</f>
        <v/>
      </c>
      <c r="R93" s="3">
        <f>IF(N93="","",MAX(ABS(K93-N93),ABS(L93-N93),ABS(M93-N93))/N93)</f>
        <v/>
      </c>
      <c r="S93">
        <f>IF(A93="","",IF(AND(F93="",K93=""),"N/A",IF(AND(J93="",R93=""),"Insufficient Load Data",IF(AND(J93&gt;0.03,R93&gt;0.15),"Voltage &amp; Current Imbalance",IF(J93&gt;0.03,"Voltage Imbalance",IF(R93&gt;0.15,"Current Imbalance","No Imbalances Detected")))))</f>
        <v/>
      </c>
      <c r="T93">
        <f>IF(A93="","",IF(AND(F93="",K93=""),"N/A",IF(OR(J93&gt;0.03,R93&gt;0.15),"Imbalance","Pass")))</f>
        <v/>
      </c>
    </row>
    <row r="94">
      <c r="A94">
        <f>IF('Equipment Information'!A94="","", 'Equipment Information'!A94)</f>
        <v/>
      </c>
      <c r="B94">
        <f>IF('Equipment Information'!B94="","", 'Equipment Information'!B94)</f>
        <v/>
      </c>
      <c r="C94">
        <f>IF('Equipment Information'!C94="","", 'Equipment Information'!C94)</f>
        <v/>
      </c>
      <c r="I94">
        <f>IF(COUNT(F94:H94)&lt;2,"",AVERAGE(F94:H94))</f>
        <v/>
      </c>
      <c r="J94" s="3">
        <f>IF(I94="","",MAX(ABS(F94-I94),ABS(G94-I94),ABS(H94-I94))/I94)</f>
        <v/>
      </c>
      <c r="N94">
        <f>IF(COUNT(K94:M94)&lt;2,"",AVERAGE(K94:M94))</f>
        <v/>
      </c>
      <c r="R94" s="3">
        <f>IF(N94="","",MAX(ABS(K94-N94),ABS(L94-N94),ABS(M94-N94))/N94)</f>
        <v/>
      </c>
      <c r="S94">
        <f>IF(A94="","",IF(AND(F94="",K94=""),"N/A",IF(AND(J94="",R94=""),"Insufficient Load Data",IF(AND(J94&gt;0.03,R94&gt;0.15),"Voltage &amp; Current Imbalance",IF(J94&gt;0.03,"Voltage Imbalance",IF(R94&gt;0.15,"Current Imbalance","No Imbalances Detected")))))</f>
        <v/>
      </c>
      <c r="T94">
        <f>IF(A94="","",IF(AND(F94="",K94=""),"N/A",IF(OR(J94&gt;0.03,R94&gt;0.15),"Imbalance","Pass")))</f>
        <v/>
      </c>
    </row>
    <row r="95">
      <c r="A95">
        <f>IF('Equipment Information'!A95="","", 'Equipment Information'!A95)</f>
        <v/>
      </c>
      <c r="B95">
        <f>IF('Equipment Information'!B95="","", 'Equipment Information'!B95)</f>
        <v/>
      </c>
      <c r="C95">
        <f>IF('Equipment Information'!C95="","", 'Equipment Information'!C95)</f>
        <v/>
      </c>
      <c r="I95">
        <f>IF(COUNT(F95:H95)&lt;2,"",AVERAGE(F95:H95))</f>
        <v/>
      </c>
      <c r="J95" s="3">
        <f>IF(I95="","",MAX(ABS(F95-I95),ABS(G95-I95),ABS(H95-I95))/I95)</f>
        <v/>
      </c>
      <c r="N95">
        <f>IF(COUNT(K95:M95)&lt;2,"",AVERAGE(K95:M95))</f>
        <v/>
      </c>
      <c r="R95" s="3">
        <f>IF(N95="","",MAX(ABS(K95-N95),ABS(L95-N95),ABS(M95-N95))/N95)</f>
        <v/>
      </c>
      <c r="S95">
        <f>IF(A95="","",IF(AND(F95="",K95=""),"N/A",IF(AND(J95="",R95=""),"Insufficient Load Data",IF(AND(J95&gt;0.03,R95&gt;0.15),"Voltage &amp; Current Imbalance",IF(J95&gt;0.03,"Voltage Imbalance",IF(R95&gt;0.15,"Current Imbalance","No Imbalances Detected")))))</f>
        <v/>
      </c>
      <c r="T95">
        <f>IF(A95="","",IF(AND(F95="",K95=""),"N/A",IF(OR(J95&gt;0.03,R95&gt;0.15),"Imbalance","Pass")))</f>
        <v/>
      </c>
    </row>
    <row r="96">
      <c r="A96">
        <f>IF('Equipment Information'!A96="","", 'Equipment Information'!A96)</f>
        <v/>
      </c>
      <c r="B96">
        <f>IF('Equipment Information'!B96="","", 'Equipment Information'!B96)</f>
        <v/>
      </c>
      <c r="C96">
        <f>IF('Equipment Information'!C96="","", 'Equipment Information'!C96)</f>
        <v/>
      </c>
      <c r="I96">
        <f>IF(COUNT(F96:H96)&lt;2,"",AVERAGE(F96:H96))</f>
        <v/>
      </c>
      <c r="J96" s="3">
        <f>IF(I96="","",MAX(ABS(F96-I96),ABS(G96-I96),ABS(H96-I96))/I96)</f>
        <v/>
      </c>
      <c r="N96">
        <f>IF(COUNT(K96:M96)&lt;2,"",AVERAGE(K96:M96))</f>
        <v/>
      </c>
      <c r="R96" s="3">
        <f>IF(N96="","",MAX(ABS(K96-N96),ABS(L96-N96),ABS(M96-N96))/N96)</f>
        <v/>
      </c>
      <c r="S96">
        <f>IF(A96="","",IF(AND(F96="",K96=""),"N/A",IF(AND(J96="",R96=""),"Insufficient Load Data",IF(AND(J96&gt;0.03,R96&gt;0.15),"Voltage &amp; Current Imbalance",IF(J96&gt;0.03,"Voltage Imbalance",IF(R96&gt;0.15,"Current Imbalance","No Imbalances Detected")))))</f>
        <v/>
      </c>
      <c r="T96">
        <f>IF(A96="","",IF(AND(F96="",K96=""),"N/A",IF(OR(J96&gt;0.03,R96&gt;0.15),"Imbalance","Pass")))</f>
        <v/>
      </c>
    </row>
    <row r="97">
      <c r="A97">
        <f>IF('Equipment Information'!A97="","", 'Equipment Information'!A97)</f>
        <v/>
      </c>
      <c r="B97">
        <f>IF('Equipment Information'!B97="","", 'Equipment Information'!B97)</f>
        <v/>
      </c>
      <c r="C97">
        <f>IF('Equipment Information'!C97="","", 'Equipment Information'!C97)</f>
        <v/>
      </c>
      <c r="I97">
        <f>IF(COUNT(F97:H97)&lt;2,"",AVERAGE(F97:H97))</f>
        <v/>
      </c>
      <c r="J97" s="3">
        <f>IF(I97="","",MAX(ABS(F97-I97),ABS(G97-I97),ABS(H97-I97))/I97)</f>
        <v/>
      </c>
      <c r="N97">
        <f>IF(COUNT(K97:M97)&lt;2,"",AVERAGE(K97:M97))</f>
        <v/>
      </c>
      <c r="R97" s="3">
        <f>IF(N97="","",MAX(ABS(K97-N97),ABS(L97-N97),ABS(M97-N97))/N97)</f>
        <v/>
      </c>
      <c r="S97">
        <f>IF(A97="","",IF(AND(F97="",K97=""),"N/A",IF(AND(J97="",R97=""),"Insufficient Load Data",IF(AND(J97&gt;0.03,R97&gt;0.15),"Voltage &amp; Current Imbalance",IF(J97&gt;0.03,"Voltage Imbalance",IF(R97&gt;0.15,"Current Imbalance","No Imbalances Detected")))))</f>
        <v/>
      </c>
      <c r="T97">
        <f>IF(A97="","",IF(AND(F97="",K97=""),"N/A",IF(OR(J97&gt;0.03,R97&gt;0.15),"Imbalance","Pass")))</f>
        <v/>
      </c>
    </row>
    <row r="98">
      <c r="A98">
        <f>IF('Equipment Information'!A98="","", 'Equipment Information'!A98)</f>
        <v/>
      </c>
      <c r="B98">
        <f>IF('Equipment Information'!B98="","", 'Equipment Information'!B98)</f>
        <v/>
      </c>
      <c r="C98">
        <f>IF('Equipment Information'!C98="","", 'Equipment Information'!C98)</f>
        <v/>
      </c>
      <c r="I98">
        <f>IF(COUNT(F98:H98)&lt;2,"",AVERAGE(F98:H98))</f>
        <v/>
      </c>
      <c r="J98" s="3">
        <f>IF(I98="","",MAX(ABS(F98-I98),ABS(G98-I98),ABS(H98-I98))/I98)</f>
        <v/>
      </c>
      <c r="N98">
        <f>IF(COUNT(K98:M98)&lt;2,"",AVERAGE(K98:M98))</f>
        <v/>
      </c>
      <c r="R98" s="3">
        <f>IF(N98="","",MAX(ABS(K98-N98),ABS(L98-N98),ABS(M98-N98))/N98)</f>
        <v/>
      </c>
      <c r="S98">
        <f>IF(A98="","",IF(AND(F98="",K98=""),"N/A",IF(AND(J98="",R98=""),"Insufficient Load Data",IF(AND(J98&gt;0.03,R98&gt;0.15),"Voltage &amp; Current Imbalance",IF(J98&gt;0.03,"Voltage Imbalance",IF(R98&gt;0.15,"Current Imbalance","No Imbalances Detected")))))</f>
        <v/>
      </c>
      <c r="T98">
        <f>IF(A98="","",IF(AND(F98="",K98=""),"N/A",IF(OR(J98&gt;0.03,R98&gt;0.15),"Imbalance","Pass")))</f>
        <v/>
      </c>
    </row>
    <row r="99">
      <c r="A99">
        <f>IF('Equipment Information'!A99="","", 'Equipment Information'!A99)</f>
        <v/>
      </c>
      <c r="B99">
        <f>IF('Equipment Information'!B99="","", 'Equipment Information'!B99)</f>
        <v/>
      </c>
      <c r="C99">
        <f>IF('Equipment Information'!C99="","", 'Equipment Information'!C99)</f>
        <v/>
      </c>
      <c r="I99">
        <f>IF(COUNT(F99:H99)&lt;2,"",AVERAGE(F99:H99))</f>
        <v/>
      </c>
      <c r="J99" s="3">
        <f>IF(I99="","",MAX(ABS(F99-I99),ABS(G99-I99),ABS(H99-I99))/I99)</f>
        <v/>
      </c>
      <c r="N99">
        <f>IF(COUNT(K99:M99)&lt;2,"",AVERAGE(K99:M99))</f>
        <v/>
      </c>
      <c r="R99" s="3">
        <f>IF(N99="","",MAX(ABS(K99-N99),ABS(L99-N99),ABS(M99-N99))/N99)</f>
        <v/>
      </c>
      <c r="S99">
        <f>IF(A99="","",IF(AND(F99="",K99=""),"N/A",IF(AND(J99="",R99=""),"Insufficient Load Data",IF(AND(J99&gt;0.03,R99&gt;0.15),"Voltage &amp; Current Imbalance",IF(J99&gt;0.03,"Voltage Imbalance",IF(R99&gt;0.15,"Current Imbalance","No Imbalances Detected")))))</f>
        <v/>
      </c>
      <c r="T99">
        <f>IF(A99="","",IF(AND(F99="",K99=""),"N/A",IF(OR(J99&gt;0.03,R99&gt;0.15),"Imbalance","Pass")))</f>
        <v/>
      </c>
    </row>
    <row r="100">
      <c r="A100">
        <f>IF('Equipment Information'!A100="","", 'Equipment Information'!A100)</f>
        <v/>
      </c>
      <c r="B100">
        <f>IF('Equipment Information'!B100="","", 'Equipment Information'!B100)</f>
        <v/>
      </c>
      <c r="C100">
        <f>IF('Equipment Information'!C100="","", 'Equipment Information'!C100)</f>
        <v/>
      </c>
      <c r="I100">
        <f>IF(COUNT(F100:H100)&lt;2,"",AVERAGE(F100:H100))</f>
        <v/>
      </c>
      <c r="J100" s="3">
        <f>IF(I100="","",MAX(ABS(F100-I100),ABS(G100-I100),ABS(H100-I100))/I100)</f>
        <v/>
      </c>
      <c r="N100">
        <f>IF(COUNT(K100:M100)&lt;2,"",AVERAGE(K100:M100))</f>
        <v/>
      </c>
      <c r="R100" s="3">
        <f>IF(N100="","",MAX(ABS(K100-N100),ABS(L100-N100),ABS(M100-N100))/N100)</f>
        <v/>
      </c>
      <c r="S100">
        <f>IF(A100="","",IF(AND(F100="",K100=""),"N/A",IF(AND(J100="",R100=""),"Insufficient Load Data",IF(AND(J100&gt;0.03,R100&gt;0.15),"Voltage &amp; Current Imbalance",IF(J100&gt;0.03,"Voltage Imbalance",IF(R100&gt;0.15,"Current Imbalance","No Imbalances Detected")))))</f>
        <v/>
      </c>
      <c r="T100">
        <f>IF(A100="","",IF(AND(F100="",K100=""),"N/A",IF(OR(J100&gt;0.03,R100&gt;0.15),"Imbalance","Pass")))</f>
        <v/>
      </c>
    </row>
    <row r="101">
      <c r="A101">
        <f>IF('Equipment Information'!A101="","", 'Equipment Information'!A101)</f>
        <v/>
      </c>
      <c r="B101">
        <f>IF('Equipment Information'!B101="","", 'Equipment Information'!B101)</f>
        <v/>
      </c>
      <c r="C101">
        <f>IF('Equipment Information'!C101="","", 'Equipment Information'!C101)</f>
        <v/>
      </c>
      <c r="I101">
        <f>IF(COUNT(F101:H101)&lt;2,"",AVERAGE(F101:H101))</f>
        <v/>
      </c>
      <c r="J101" s="3">
        <f>IF(I101="","",MAX(ABS(F101-I101),ABS(G101-I101),ABS(H101-I101))/I101)</f>
        <v/>
      </c>
      <c r="N101">
        <f>IF(COUNT(K101:M101)&lt;2,"",AVERAGE(K101:M101))</f>
        <v/>
      </c>
      <c r="R101" s="3">
        <f>IF(N101="","",MAX(ABS(K101-N101),ABS(L101-N101),ABS(M101-N101))/N101)</f>
        <v/>
      </c>
      <c r="S101">
        <f>IF(A101="","",IF(AND(F101="",K101=""),"N/A",IF(AND(J101="",R101=""),"Insufficient Load Data",IF(AND(J101&gt;0.03,R101&gt;0.15),"Voltage &amp; Current Imbalance",IF(J101&gt;0.03,"Voltage Imbalance",IF(R101&gt;0.15,"Current Imbalance","No Imbalances Detected")))))</f>
        <v/>
      </c>
      <c r="T101">
        <f>IF(A101="","",IF(AND(F101="",K101=""),"N/A",IF(OR(J101&gt;0.03,R101&gt;0.15),"Imbalance","Pass")))</f>
        <v/>
      </c>
    </row>
    <row r="102">
      <c r="A102">
        <f>IF('Equipment Information'!A102="","", 'Equipment Information'!A102)</f>
        <v/>
      </c>
      <c r="B102">
        <f>IF('Equipment Information'!B102="","", 'Equipment Information'!B102)</f>
        <v/>
      </c>
      <c r="C102">
        <f>IF('Equipment Information'!C102="","", 'Equipment Information'!C102)</f>
        <v/>
      </c>
      <c r="I102">
        <f>IF(COUNT(F102:H102)&lt;2,"",AVERAGE(F102:H102))</f>
        <v/>
      </c>
      <c r="J102" s="3">
        <f>IF(I102="","",MAX(ABS(F102-I102),ABS(G102-I102),ABS(H102-I102))/I102)</f>
        <v/>
      </c>
      <c r="N102">
        <f>IF(COUNT(K102:M102)&lt;2,"",AVERAGE(K102:M102))</f>
        <v/>
      </c>
      <c r="R102" s="3">
        <f>IF(N102="","",MAX(ABS(K102-N102),ABS(L102-N102),ABS(M102-N102))/N102)</f>
        <v/>
      </c>
      <c r="S102">
        <f>IF(A102="","",IF(AND(F102="",K102=""),"N/A",IF(AND(J102="",R102=""),"Insufficient Load Data",IF(AND(J102&gt;0.03,R102&gt;0.15),"Voltage &amp; Current Imbalance",IF(J102&gt;0.03,"Voltage Imbalance",IF(R102&gt;0.15,"Current Imbalance","No Imbalances Detected")))))</f>
        <v/>
      </c>
      <c r="T102">
        <f>IF(A102="","",IF(AND(F102="",K102=""),"N/A",IF(OR(J102&gt;0.03,R102&gt;0.15),"Imbalance","Pass")))</f>
        <v/>
      </c>
    </row>
    <row r="103">
      <c r="A103">
        <f>IF('Equipment Information'!A103="","", 'Equipment Information'!A103)</f>
        <v/>
      </c>
      <c r="B103">
        <f>IF('Equipment Information'!B103="","", 'Equipment Information'!B103)</f>
        <v/>
      </c>
      <c r="C103">
        <f>IF('Equipment Information'!C103="","", 'Equipment Information'!C103)</f>
        <v/>
      </c>
      <c r="I103">
        <f>IF(COUNT(F103:H103)&lt;2,"",AVERAGE(F103:H103))</f>
        <v/>
      </c>
      <c r="J103" s="3">
        <f>IF(I103="","",MAX(ABS(F103-I103),ABS(G103-I103),ABS(H103-I103))/I103)</f>
        <v/>
      </c>
      <c r="N103">
        <f>IF(COUNT(K103:M103)&lt;2,"",AVERAGE(K103:M103))</f>
        <v/>
      </c>
      <c r="R103" s="3">
        <f>IF(N103="","",MAX(ABS(K103-N103),ABS(L103-N103),ABS(M103-N103))/N103)</f>
        <v/>
      </c>
      <c r="S103">
        <f>IF(A103="","",IF(AND(F103="",K103=""),"N/A",IF(AND(J103="",R103=""),"Insufficient Load Data",IF(AND(J103&gt;0.03,R103&gt;0.15),"Voltage &amp; Current Imbalance",IF(J103&gt;0.03,"Voltage Imbalance",IF(R103&gt;0.15,"Current Imbalance","No Imbalances Detected")))))</f>
        <v/>
      </c>
      <c r="T103">
        <f>IF(A103="","",IF(AND(F103="",K103=""),"N/A",IF(OR(J103&gt;0.03,R103&gt;0.15),"Imbalance","Pass")))</f>
        <v/>
      </c>
    </row>
    <row r="104">
      <c r="A104">
        <f>IF('Equipment Information'!A104="","", 'Equipment Information'!A104)</f>
        <v/>
      </c>
      <c r="B104">
        <f>IF('Equipment Information'!B104="","", 'Equipment Information'!B104)</f>
        <v/>
      </c>
      <c r="C104">
        <f>IF('Equipment Information'!C104="","", 'Equipment Information'!C104)</f>
        <v/>
      </c>
      <c r="I104">
        <f>IF(COUNT(F104:H104)&lt;2,"",AVERAGE(F104:H104))</f>
        <v/>
      </c>
      <c r="J104" s="3">
        <f>IF(I104="","",MAX(ABS(F104-I104),ABS(G104-I104),ABS(H104-I104))/I104)</f>
        <v/>
      </c>
      <c r="N104">
        <f>IF(COUNT(K104:M104)&lt;2,"",AVERAGE(K104:M104))</f>
        <v/>
      </c>
      <c r="R104" s="3">
        <f>IF(N104="","",MAX(ABS(K104-N104),ABS(L104-N104),ABS(M104-N104))/N104)</f>
        <v/>
      </c>
      <c r="S104">
        <f>IF(A104="","",IF(AND(F104="",K104=""),"N/A",IF(AND(J104="",R104=""),"Insufficient Load Data",IF(AND(J104&gt;0.03,R104&gt;0.15),"Voltage &amp; Current Imbalance",IF(J104&gt;0.03,"Voltage Imbalance",IF(R104&gt;0.15,"Current Imbalance","No Imbalances Detected")))))</f>
        <v/>
      </c>
      <c r="T104">
        <f>IF(A104="","",IF(AND(F104="",K104=""),"N/A",IF(OR(J104&gt;0.03,R104&gt;0.15),"Imbalance","Pass")))</f>
        <v/>
      </c>
    </row>
    <row r="105">
      <c r="A105">
        <f>IF('Equipment Information'!A105="","", 'Equipment Information'!A105)</f>
        <v/>
      </c>
      <c r="B105">
        <f>IF('Equipment Information'!B105="","", 'Equipment Information'!B105)</f>
        <v/>
      </c>
      <c r="C105">
        <f>IF('Equipment Information'!C105="","", 'Equipment Information'!C105)</f>
        <v/>
      </c>
      <c r="I105">
        <f>IF(COUNT(F105:H105)&lt;2,"",AVERAGE(F105:H105))</f>
        <v/>
      </c>
      <c r="J105" s="3">
        <f>IF(I105="","",MAX(ABS(F105-I105),ABS(G105-I105),ABS(H105-I105))/I105)</f>
        <v/>
      </c>
      <c r="N105">
        <f>IF(COUNT(K105:M105)&lt;2,"",AVERAGE(K105:M105))</f>
        <v/>
      </c>
      <c r="R105" s="3">
        <f>IF(N105="","",MAX(ABS(K105-N105),ABS(L105-N105),ABS(M105-N105))/N105)</f>
        <v/>
      </c>
      <c r="S105">
        <f>IF(A105="","",IF(AND(F105="",K105=""),"N/A",IF(AND(J105="",R105=""),"Insufficient Load Data",IF(AND(J105&gt;0.03,R105&gt;0.15),"Voltage &amp; Current Imbalance",IF(J105&gt;0.03,"Voltage Imbalance",IF(R105&gt;0.15,"Current Imbalance","No Imbalances Detected")))))</f>
        <v/>
      </c>
      <c r="T105">
        <f>IF(A105="","",IF(AND(F105="",K105=""),"N/A",IF(OR(J105&gt;0.03,R105&gt;0.15),"Imbalance","Pass")))</f>
        <v/>
      </c>
    </row>
    <row r="106">
      <c r="A106">
        <f>IF('Equipment Information'!A106="","", 'Equipment Information'!A106)</f>
        <v/>
      </c>
      <c r="B106">
        <f>IF('Equipment Information'!B106="","", 'Equipment Information'!B106)</f>
        <v/>
      </c>
      <c r="C106">
        <f>IF('Equipment Information'!C106="","", 'Equipment Information'!C106)</f>
        <v/>
      </c>
      <c r="I106">
        <f>IF(COUNT(F106:H106)&lt;2,"",AVERAGE(F106:H106))</f>
        <v/>
      </c>
      <c r="J106" s="3">
        <f>IF(I106="","",MAX(ABS(F106-I106),ABS(G106-I106),ABS(H106-I106))/I106)</f>
        <v/>
      </c>
      <c r="N106">
        <f>IF(COUNT(K106:M106)&lt;2,"",AVERAGE(K106:M106))</f>
        <v/>
      </c>
      <c r="R106" s="3">
        <f>IF(N106="","",MAX(ABS(K106-N106),ABS(L106-N106),ABS(M106-N106))/N106)</f>
        <v/>
      </c>
      <c r="S106">
        <f>IF(A106="","",IF(AND(F106="",K106=""),"N/A",IF(AND(J106="",R106=""),"Insufficient Load Data",IF(AND(J106&gt;0.03,R106&gt;0.15),"Voltage &amp; Current Imbalance",IF(J106&gt;0.03,"Voltage Imbalance",IF(R106&gt;0.15,"Current Imbalance","No Imbalances Detected")))))</f>
        <v/>
      </c>
      <c r="T106">
        <f>IF(A106="","",IF(AND(F106="",K106=""),"N/A",IF(OR(J106&gt;0.03,R106&gt;0.15),"Imbalance","Pass")))</f>
        <v/>
      </c>
    </row>
    <row r="107">
      <c r="A107">
        <f>IF('Equipment Information'!A107="","", 'Equipment Information'!A107)</f>
        <v/>
      </c>
      <c r="B107">
        <f>IF('Equipment Information'!B107="","", 'Equipment Information'!B107)</f>
        <v/>
      </c>
      <c r="C107">
        <f>IF('Equipment Information'!C107="","", 'Equipment Information'!C107)</f>
        <v/>
      </c>
      <c r="I107">
        <f>IF(COUNT(F107:H107)&lt;2,"",AVERAGE(F107:H107))</f>
        <v/>
      </c>
      <c r="J107" s="3">
        <f>IF(I107="","",MAX(ABS(F107-I107),ABS(G107-I107),ABS(H107-I107))/I107)</f>
        <v/>
      </c>
      <c r="N107">
        <f>IF(COUNT(K107:M107)&lt;2,"",AVERAGE(K107:M107))</f>
        <v/>
      </c>
      <c r="R107" s="3">
        <f>IF(N107="","",MAX(ABS(K107-N107),ABS(L107-N107),ABS(M107-N107))/N107)</f>
        <v/>
      </c>
      <c r="S107">
        <f>IF(A107="","",IF(AND(F107="",K107=""),"N/A",IF(AND(J107="",R107=""),"Insufficient Load Data",IF(AND(J107&gt;0.03,R107&gt;0.15),"Voltage &amp; Current Imbalance",IF(J107&gt;0.03,"Voltage Imbalance",IF(R107&gt;0.15,"Current Imbalance","No Imbalances Detected")))))</f>
        <v/>
      </c>
      <c r="T107">
        <f>IF(A107="","",IF(AND(F107="",K107=""),"N/A",IF(OR(J107&gt;0.03,R107&gt;0.15),"Imbalance","Pass")))</f>
        <v/>
      </c>
    </row>
    <row r="108">
      <c r="A108">
        <f>IF('Equipment Information'!A108="","", 'Equipment Information'!A108)</f>
        <v/>
      </c>
      <c r="B108">
        <f>IF('Equipment Information'!B108="","", 'Equipment Information'!B108)</f>
        <v/>
      </c>
      <c r="C108">
        <f>IF('Equipment Information'!C108="","", 'Equipment Information'!C108)</f>
        <v/>
      </c>
      <c r="I108">
        <f>IF(COUNT(F108:H108)&lt;2,"",AVERAGE(F108:H108))</f>
        <v/>
      </c>
      <c r="J108" s="3">
        <f>IF(I108="","",MAX(ABS(F108-I108),ABS(G108-I108),ABS(H108-I108))/I108)</f>
        <v/>
      </c>
      <c r="N108">
        <f>IF(COUNT(K108:M108)&lt;2,"",AVERAGE(K108:M108))</f>
        <v/>
      </c>
      <c r="R108" s="3">
        <f>IF(N108="","",MAX(ABS(K108-N108),ABS(L108-N108),ABS(M108-N108))/N108)</f>
        <v/>
      </c>
      <c r="S108">
        <f>IF(A108="","",IF(AND(F108="",K108=""),"N/A",IF(AND(J108="",R108=""),"Insufficient Load Data",IF(AND(J108&gt;0.03,R108&gt;0.15),"Voltage &amp; Current Imbalance",IF(J108&gt;0.03,"Voltage Imbalance",IF(R108&gt;0.15,"Current Imbalance","No Imbalances Detected")))))</f>
        <v/>
      </c>
      <c r="T108">
        <f>IF(A108="","",IF(AND(F108="",K108=""),"N/A",IF(OR(J108&gt;0.03,R108&gt;0.15),"Imbalance","Pass")))</f>
        <v/>
      </c>
    </row>
    <row r="109">
      <c r="A109">
        <f>IF('Equipment Information'!A109="","", 'Equipment Information'!A109)</f>
        <v/>
      </c>
      <c r="B109">
        <f>IF('Equipment Information'!B109="","", 'Equipment Information'!B109)</f>
        <v/>
      </c>
      <c r="C109">
        <f>IF('Equipment Information'!C109="","", 'Equipment Information'!C109)</f>
        <v/>
      </c>
      <c r="I109">
        <f>IF(COUNT(F109:H109)&lt;2,"",AVERAGE(F109:H109))</f>
        <v/>
      </c>
      <c r="J109" s="3">
        <f>IF(I109="","",MAX(ABS(F109-I109),ABS(G109-I109),ABS(H109-I109))/I109)</f>
        <v/>
      </c>
      <c r="N109">
        <f>IF(COUNT(K109:M109)&lt;2,"",AVERAGE(K109:M109))</f>
        <v/>
      </c>
      <c r="R109" s="3">
        <f>IF(N109="","",MAX(ABS(K109-N109),ABS(L109-N109),ABS(M109-N109))/N109)</f>
        <v/>
      </c>
      <c r="S109">
        <f>IF(A109="","",IF(AND(F109="",K109=""),"N/A",IF(AND(J109="",R109=""),"Insufficient Load Data",IF(AND(J109&gt;0.03,R109&gt;0.15),"Voltage &amp; Current Imbalance",IF(J109&gt;0.03,"Voltage Imbalance",IF(R109&gt;0.15,"Current Imbalance","No Imbalances Detected")))))</f>
        <v/>
      </c>
      <c r="T109">
        <f>IF(A109="","",IF(AND(F109="",K109=""),"N/A",IF(OR(J109&gt;0.03,R109&gt;0.15),"Imbalance","Pass")))</f>
        <v/>
      </c>
    </row>
    <row r="110">
      <c r="A110">
        <f>IF('Equipment Information'!A110="","", 'Equipment Information'!A110)</f>
        <v/>
      </c>
      <c r="B110">
        <f>IF('Equipment Information'!B110="","", 'Equipment Information'!B110)</f>
        <v/>
      </c>
      <c r="C110">
        <f>IF('Equipment Information'!C110="","", 'Equipment Information'!C110)</f>
        <v/>
      </c>
      <c r="I110">
        <f>IF(COUNT(F110:H110)&lt;2,"",AVERAGE(F110:H110))</f>
        <v/>
      </c>
      <c r="J110" s="3">
        <f>IF(I110="","",MAX(ABS(F110-I110),ABS(G110-I110),ABS(H110-I110))/I110)</f>
        <v/>
      </c>
      <c r="N110">
        <f>IF(COUNT(K110:M110)&lt;2,"",AVERAGE(K110:M110))</f>
        <v/>
      </c>
      <c r="R110" s="3">
        <f>IF(N110="","",MAX(ABS(K110-N110),ABS(L110-N110),ABS(M110-N110))/N110)</f>
        <v/>
      </c>
      <c r="S110">
        <f>IF(A110="","",IF(AND(F110="",K110=""),"N/A",IF(AND(J110="",R110=""),"Insufficient Load Data",IF(AND(J110&gt;0.03,R110&gt;0.15),"Voltage &amp; Current Imbalance",IF(J110&gt;0.03,"Voltage Imbalance",IF(R110&gt;0.15,"Current Imbalance","No Imbalances Detected")))))</f>
        <v/>
      </c>
      <c r="T110">
        <f>IF(A110="","",IF(AND(F110="",K110=""),"N/A",IF(OR(J110&gt;0.03,R110&gt;0.15),"Imbalance","Pass")))</f>
        <v/>
      </c>
    </row>
    <row r="111">
      <c r="A111">
        <f>IF('Equipment Information'!A111="","", 'Equipment Information'!A111)</f>
        <v/>
      </c>
      <c r="B111">
        <f>IF('Equipment Information'!B111="","", 'Equipment Information'!B111)</f>
        <v/>
      </c>
      <c r="C111">
        <f>IF('Equipment Information'!C111="","", 'Equipment Information'!C111)</f>
        <v/>
      </c>
      <c r="I111">
        <f>IF(COUNT(F111:H111)&lt;2,"",AVERAGE(F111:H111))</f>
        <v/>
      </c>
      <c r="J111" s="3">
        <f>IF(I111="","",MAX(ABS(F111-I111),ABS(G111-I111),ABS(H111-I111))/I111)</f>
        <v/>
      </c>
      <c r="N111">
        <f>IF(COUNT(K111:M111)&lt;2,"",AVERAGE(K111:M111))</f>
        <v/>
      </c>
      <c r="R111" s="3">
        <f>IF(N111="","",MAX(ABS(K111-N111),ABS(L111-N111),ABS(M111-N111))/N111)</f>
        <v/>
      </c>
      <c r="S111">
        <f>IF(A111="","",IF(AND(F111="",K111=""),"N/A",IF(AND(J111="",R111=""),"Insufficient Load Data",IF(AND(J111&gt;0.03,R111&gt;0.15),"Voltage &amp; Current Imbalance",IF(J111&gt;0.03,"Voltage Imbalance",IF(R111&gt;0.15,"Current Imbalance","No Imbalances Detected")))))</f>
        <v/>
      </c>
      <c r="T111">
        <f>IF(A111="","",IF(AND(F111="",K111=""),"N/A",IF(OR(J111&gt;0.03,R111&gt;0.15),"Imbalance","Pass")))</f>
        <v/>
      </c>
    </row>
    <row r="112">
      <c r="A112">
        <f>IF('Equipment Information'!A112="","", 'Equipment Information'!A112)</f>
        <v/>
      </c>
      <c r="B112">
        <f>IF('Equipment Information'!B112="","", 'Equipment Information'!B112)</f>
        <v/>
      </c>
      <c r="C112">
        <f>IF('Equipment Information'!C112="","", 'Equipment Information'!C112)</f>
        <v/>
      </c>
      <c r="I112">
        <f>IF(COUNT(F112:H112)&lt;2,"",AVERAGE(F112:H112))</f>
        <v/>
      </c>
      <c r="J112" s="3">
        <f>IF(I112="","",MAX(ABS(F112-I112),ABS(G112-I112),ABS(H112-I112))/I112)</f>
        <v/>
      </c>
      <c r="N112">
        <f>IF(COUNT(K112:M112)&lt;2,"",AVERAGE(K112:M112))</f>
        <v/>
      </c>
      <c r="R112" s="3">
        <f>IF(N112="","",MAX(ABS(K112-N112),ABS(L112-N112),ABS(M112-N112))/N112)</f>
        <v/>
      </c>
      <c r="S112">
        <f>IF(A112="","",IF(AND(F112="",K112=""),"N/A",IF(AND(J112="",R112=""),"Insufficient Load Data",IF(AND(J112&gt;0.03,R112&gt;0.15),"Voltage &amp; Current Imbalance",IF(J112&gt;0.03,"Voltage Imbalance",IF(R112&gt;0.15,"Current Imbalance","No Imbalances Detected")))))</f>
        <v/>
      </c>
      <c r="T112">
        <f>IF(A112="","",IF(AND(F112="",K112=""),"N/A",IF(OR(J112&gt;0.03,R112&gt;0.15),"Imbalance","Pass")))</f>
        <v/>
      </c>
    </row>
    <row r="113">
      <c r="A113">
        <f>IF('Equipment Information'!A113="","", 'Equipment Information'!A113)</f>
        <v/>
      </c>
      <c r="B113">
        <f>IF('Equipment Information'!B113="","", 'Equipment Information'!B113)</f>
        <v/>
      </c>
      <c r="C113">
        <f>IF('Equipment Information'!C113="","", 'Equipment Information'!C113)</f>
        <v/>
      </c>
      <c r="I113">
        <f>IF(COUNT(F113:H113)&lt;2,"",AVERAGE(F113:H113))</f>
        <v/>
      </c>
      <c r="J113" s="3">
        <f>IF(I113="","",MAX(ABS(F113-I113),ABS(G113-I113),ABS(H113-I113))/I113)</f>
        <v/>
      </c>
      <c r="N113">
        <f>IF(COUNT(K113:M113)&lt;2,"",AVERAGE(K113:M113))</f>
        <v/>
      </c>
      <c r="R113" s="3">
        <f>IF(N113="","",MAX(ABS(K113-N113),ABS(L113-N113),ABS(M113-N113))/N113)</f>
        <v/>
      </c>
      <c r="S113">
        <f>IF(A113="","",IF(AND(F113="",K113=""),"N/A",IF(AND(J113="",R113=""),"Insufficient Load Data",IF(AND(J113&gt;0.03,R113&gt;0.15),"Voltage &amp; Current Imbalance",IF(J113&gt;0.03,"Voltage Imbalance",IF(R113&gt;0.15,"Current Imbalance","No Imbalances Detected")))))</f>
        <v/>
      </c>
      <c r="T113">
        <f>IF(A113="","",IF(AND(F113="",K113=""),"N/A",IF(OR(J113&gt;0.03,R113&gt;0.15),"Imbalance","Pass")))</f>
        <v/>
      </c>
    </row>
    <row r="114">
      <c r="A114">
        <f>IF('Equipment Information'!A114="","", 'Equipment Information'!A114)</f>
        <v/>
      </c>
      <c r="B114">
        <f>IF('Equipment Information'!B114="","", 'Equipment Information'!B114)</f>
        <v/>
      </c>
      <c r="C114">
        <f>IF('Equipment Information'!C114="","", 'Equipment Information'!C114)</f>
        <v/>
      </c>
      <c r="I114">
        <f>IF(COUNT(F114:H114)&lt;2,"",AVERAGE(F114:H114))</f>
        <v/>
      </c>
      <c r="J114" s="3">
        <f>IF(I114="","",MAX(ABS(F114-I114),ABS(G114-I114),ABS(H114-I114))/I114)</f>
        <v/>
      </c>
      <c r="N114">
        <f>IF(COUNT(K114:M114)&lt;2,"",AVERAGE(K114:M114))</f>
        <v/>
      </c>
      <c r="R114" s="3">
        <f>IF(N114="","",MAX(ABS(K114-N114),ABS(L114-N114),ABS(M114-N114))/N114)</f>
        <v/>
      </c>
      <c r="S114">
        <f>IF(A114="","",IF(AND(F114="",K114=""),"N/A",IF(AND(J114="",R114=""),"Insufficient Load Data",IF(AND(J114&gt;0.03,R114&gt;0.15),"Voltage &amp; Current Imbalance",IF(J114&gt;0.03,"Voltage Imbalance",IF(R114&gt;0.15,"Current Imbalance","No Imbalances Detected")))))</f>
        <v/>
      </c>
      <c r="T114">
        <f>IF(A114="","",IF(AND(F114="",K114=""),"N/A",IF(OR(J114&gt;0.03,R114&gt;0.15),"Imbalance","Pass")))</f>
        <v/>
      </c>
    </row>
    <row r="115">
      <c r="A115">
        <f>IF('Equipment Information'!A115="","", 'Equipment Information'!A115)</f>
        <v/>
      </c>
      <c r="B115">
        <f>IF('Equipment Information'!B115="","", 'Equipment Information'!B115)</f>
        <v/>
      </c>
      <c r="C115">
        <f>IF('Equipment Information'!C115="","", 'Equipment Information'!C115)</f>
        <v/>
      </c>
      <c r="I115">
        <f>IF(COUNT(F115:H115)&lt;2,"",AVERAGE(F115:H115))</f>
        <v/>
      </c>
      <c r="J115" s="3">
        <f>IF(I115="","",MAX(ABS(F115-I115),ABS(G115-I115),ABS(H115-I115))/I115)</f>
        <v/>
      </c>
      <c r="N115">
        <f>IF(COUNT(K115:M115)&lt;2,"",AVERAGE(K115:M115))</f>
        <v/>
      </c>
      <c r="R115" s="3">
        <f>IF(N115="","",MAX(ABS(K115-N115),ABS(L115-N115),ABS(M115-N115))/N115)</f>
        <v/>
      </c>
      <c r="S115">
        <f>IF(A115="","",IF(AND(F115="",K115=""),"N/A",IF(AND(J115="",R115=""),"Insufficient Load Data",IF(AND(J115&gt;0.03,R115&gt;0.15),"Voltage &amp; Current Imbalance",IF(J115&gt;0.03,"Voltage Imbalance",IF(R115&gt;0.15,"Current Imbalance","No Imbalances Detected")))))</f>
        <v/>
      </c>
      <c r="T115">
        <f>IF(A115="","",IF(AND(F115="",K115=""),"N/A",IF(OR(J115&gt;0.03,R115&gt;0.15),"Imbalance","Pass")))</f>
        <v/>
      </c>
    </row>
    <row r="116">
      <c r="A116">
        <f>IF('Equipment Information'!A116="","", 'Equipment Information'!A116)</f>
        <v/>
      </c>
      <c r="B116">
        <f>IF('Equipment Information'!B116="","", 'Equipment Information'!B116)</f>
        <v/>
      </c>
      <c r="C116">
        <f>IF('Equipment Information'!C116="","", 'Equipment Information'!C116)</f>
        <v/>
      </c>
      <c r="I116">
        <f>IF(COUNT(F116:H116)&lt;2,"",AVERAGE(F116:H116))</f>
        <v/>
      </c>
      <c r="J116" s="3">
        <f>IF(I116="","",MAX(ABS(F116-I116),ABS(G116-I116),ABS(H116-I116))/I116)</f>
        <v/>
      </c>
      <c r="N116">
        <f>IF(COUNT(K116:M116)&lt;2,"",AVERAGE(K116:M116))</f>
        <v/>
      </c>
      <c r="R116" s="3">
        <f>IF(N116="","",MAX(ABS(K116-N116),ABS(L116-N116),ABS(M116-N116))/N116)</f>
        <v/>
      </c>
      <c r="S116">
        <f>IF(A116="","",IF(AND(F116="",K116=""),"N/A",IF(AND(J116="",R116=""),"Insufficient Load Data",IF(AND(J116&gt;0.03,R116&gt;0.15),"Voltage &amp; Current Imbalance",IF(J116&gt;0.03,"Voltage Imbalance",IF(R116&gt;0.15,"Current Imbalance","No Imbalances Detected")))))</f>
        <v/>
      </c>
      <c r="T116">
        <f>IF(A116="","",IF(AND(F116="",K116=""),"N/A",IF(OR(J116&gt;0.03,R116&gt;0.15),"Imbalance","Pass")))</f>
        <v/>
      </c>
    </row>
    <row r="117">
      <c r="A117">
        <f>IF('Equipment Information'!A117="","", 'Equipment Information'!A117)</f>
        <v/>
      </c>
      <c r="B117">
        <f>IF('Equipment Information'!B117="","", 'Equipment Information'!B117)</f>
        <v/>
      </c>
      <c r="C117">
        <f>IF('Equipment Information'!C117="","", 'Equipment Information'!C117)</f>
        <v/>
      </c>
      <c r="I117">
        <f>IF(COUNT(F117:H117)&lt;2,"",AVERAGE(F117:H117))</f>
        <v/>
      </c>
      <c r="J117" s="3">
        <f>IF(I117="","",MAX(ABS(F117-I117),ABS(G117-I117),ABS(H117-I117))/I117)</f>
        <v/>
      </c>
      <c r="N117">
        <f>IF(COUNT(K117:M117)&lt;2,"",AVERAGE(K117:M117))</f>
        <v/>
      </c>
      <c r="R117" s="3">
        <f>IF(N117="","",MAX(ABS(K117-N117),ABS(L117-N117),ABS(M117-N117))/N117)</f>
        <v/>
      </c>
      <c r="S117">
        <f>IF(A117="","",IF(AND(F117="",K117=""),"N/A",IF(AND(J117="",R117=""),"Insufficient Load Data",IF(AND(J117&gt;0.03,R117&gt;0.15),"Voltage &amp; Current Imbalance",IF(J117&gt;0.03,"Voltage Imbalance",IF(R117&gt;0.15,"Current Imbalance","No Imbalances Detected")))))</f>
        <v/>
      </c>
      <c r="T117">
        <f>IF(A117="","",IF(AND(F117="",K117=""),"N/A",IF(OR(J117&gt;0.03,R117&gt;0.15),"Imbalance","Pass")))</f>
        <v/>
      </c>
    </row>
    <row r="118">
      <c r="A118">
        <f>IF('Equipment Information'!A118="","", 'Equipment Information'!A118)</f>
        <v/>
      </c>
      <c r="B118">
        <f>IF('Equipment Information'!B118="","", 'Equipment Information'!B118)</f>
        <v/>
      </c>
      <c r="C118">
        <f>IF('Equipment Information'!C118="","", 'Equipment Information'!C118)</f>
        <v/>
      </c>
      <c r="I118">
        <f>IF(COUNT(F118:H118)&lt;2,"",AVERAGE(F118:H118))</f>
        <v/>
      </c>
      <c r="J118" s="3">
        <f>IF(I118="","",MAX(ABS(F118-I118),ABS(G118-I118),ABS(H118-I118))/I118)</f>
        <v/>
      </c>
      <c r="N118">
        <f>IF(COUNT(K118:M118)&lt;2,"",AVERAGE(K118:M118))</f>
        <v/>
      </c>
      <c r="R118" s="3">
        <f>IF(N118="","",MAX(ABS(K118-N118),ABS(L118-N118),ABS(M118-N118))/N118)</f>
        <v/>
      </c>
      <c r="S118">
        <f>IF(A118="","",IF(AND(F118="",K118=""),"N/A",IF(AND(J118="",R118=""),"Insufficient Load Data",IF(AND(J118&gt;0.03,R118&gt;0.15),"Voltage &amp; Current Imbalance",IF(J118&gt;0.03,"Voltage Imbalance",IF(R118&gt;0.15,"Current Imbalance","No Imbalances Detected")))))</f>
        <v/>
      </c>
      <c r="T118">
        <f>IF(A118="","",IF(AND(F118="",K118=""),"N/A",IF(OR(J118&gt;0.03,R118&gt;0.15),"Imbalance","Pass")))</f>
        <v/>
      </c>
    </row>
    <row r="119">
      <c r="A119">
        <f>IF('Equipment Information'!A119="","", 'Equipment Information'!A119)</f>
        <v/>
      </c>
      <c r="B119">
        <f>IF('Equipment Information'!B119="","", 'Equipment Information'!B119)</f>
        <v/>
      </c>
      <c r="C119">
        <f>IF('Equipment Information'!C119="","", 'Equipment Information'!C119)</f>
        <v/>
      </c>
      <c r="I119">
        <f>IF(COUNT(F119:H119)&lt;2,"",AVERAGE(F119:H119))</f>
        <v/>
      </c>
      <c r="J119" s="3">
        <f>IF(I119="","",MAX(ABS(F119-I119),ABS(G119-I119),ABS(H119-I119))/I119)</f>
        <v/>
      </c>
      <c r="N119">
        <f>IF(COUNT(K119:M119)&lt;2,"",AVERAGE(K119:M119))</f>
        <v/>
      </c>
      <c r="R119" s="3">
        <f>IF(N119="","",MAX(ABS(K119-N119),ABS(L119-N119),ABS(M119-N119))/N119)</f>
        <v/>
      </c>
      <c r="S119">
        <f>IF(A119="","",IF(AND(F119="",K119=""),"N/A",IF(AND(J119="",R119=""),"Insufficient Load Data",IF(AND(J119&gt;0.03,R119&gt;0.15),"Voltage &amp; Current Imbalance",IF(J119&gt;0.03,"Voltage Imbalance",IF(R119&gt;0.15,"Current Imbalance","No Imbalances Detected")))))</f>
        <v/>
      </c>
      <c r="T119">
        <f>IF(A119="","",IF(AND(F119="",K119=""),"N/A",IF(OR(J119&gt;0.03,R119&gt;0.15),"Imbalance","Pass")))</f>
        <v/>
      </c>
    </row>
    <row r="120">
      <c r="A120">
        <f>IF('Equipment Information'!A120="","", 'Equipment Information'!A120)</f>
        <v/>
      </c>
      <c r="B120">
        <f>IF('Equipment Information'!B120="","", 'Equipment Information'!B120)</f>
        <v/>
      </c>
      <c r="C120">
        <f>IF('Equipment Information'!C120="","", 'Equipment Information'!C120)</f>
        <v/>
      </c>
      <c r="I120">
        <f>IF(COUNT(F120:H120)&lt;2,"",AVERAGE(F120:H120))</f>
        <v/>
      </c>
      <c r="J120" s="3">
        <f>IF(I120="","",MAX(ABS(F120-I120),ABS(G120-I120),ABS(H120-I120))/I120)</f>
        <v/>
      </c>
      <c r="N120">
        <f>IF(COUNT(K120:M120)&lt;2,"",AVERAGE(K120:M120))</f>
        <v/>
      </c>
      <c r="R120" s="3">
        <f>IF(N120="","",MAX(ABS(K120-N120),ABS(L120-N120),ABS(M120-N120))/N120)</f>
        <v/>
      </c>
      <c r="S120">
        <f>IF(A120="","",IF(AND(F120="",K120=""),"N/A",IF(AND(J120="",R120=""),"Insufficient Load Data",IF(AND(J120&gt;0.03,R120&gt;0.15),"Voltage &amp; Current Imbalance",IF(J120&gt;0.03,"Voltage Imbalance",IF(R120&gt;0.15,"Current Imbalance","No Imbalances Detected")))))</f>
        <v/>
      </c>
      <c r="T120">
        <f>IF(A120="","",IF(AND(F120="",K120=""),"N/A",IF(OR(J120&gt;0.03,R120&gt;0.15),"Imbalance","Pass")))</f>
        <v/>
      </c>
    </row>
    <row r="121">
      <c r="A121">
        <f>IF('Equipment Information'!A121="","", 'Equipment Information'!A121)</f>
        <v/>
      </c>
      <c r="B121">
        <f>IF('Equipment Information'!B121="","", 'Equipment Information'!B121)</f>
        <v/>
      </c>
      <c r="C121">
        <f>IF('Equipment Information'!C121="","", 'Equipment Information'!C121)</f>
        <v/>
      </c>
      <c r="I121">
        <f>IF(COUNT(F121:H121)&lt;2,"",AVERAGE(F121:H121))</f>
        <v/>
      </c>
      <c r="J121" s="3">
        <f>IF(I121="","",MAX(ABS(F121-I121),ABS(G121-I121),ABS(H121-I121))/I121)</f>
        <v/>
      </c>
      <c r="N121">
        <f>IF(COUNT(K121:M121)&lt;2,"",AVERAGE(K121:M121))</f>
        <v/>
      </c>
      <c r="R121" s="3">
        <f>IF(N121="","",MAX(ABS(K121-N121),ABS(L121-N121),ABS(M121-N121))/N121)</f>
        <v/>
      </c>
      <c r="S121">
        <f>IF(A121="","",IF(AND(F121="",K121=""),"N/A",IF(AND(J121="",R121=""),"Insufficient Load Data",IF(AND(J121&gt;0.03,R121&gt;0.15),"Voltage &amp; Current Imbalance",IF(J121&gt;0.03,"Voltage Imbalance",IF(R121&gt;0.15,"Current Imbalance","No Imbalances Detected")))))</f>
        <v/>
      </c>
      <c r="T121">
        <f>IF(A121="","",IF(AND(F121="",K121=""),"N/A",IF(OR(J121&gt;0.03,R121&gt;0.15),"Imbalance","Pass")))</f>
        <v/>
      </c>
    </row>
    <row r="122">
      <c r="A122">
        <f>IF('Equipment Information'!A122="","", 'Equipment Information'!A122)</f>
        <v/>
      </c>
      <c r="B122">
        <f>IF('Equipment Information'!B122="","", 'Equipment Information'!B122)</f>
        <v/>
      </c>
      <c r="C122">
        <f>IF('Equipment Information'!C122="","", 'Equipment Information'!C122)</f>
        <v/>
      </c>
      <c r="I122">
        <f>IF(COUNT(F122:H122)&lt;2,"",AVERAGE(F122:H122))</f>
        <v/>
      </c>
      <c r="J122" s="3">
        <f>IF(I122="","",MAX(ABS(F122-I122),ABS(G122-I122),ABS(H122-I122))/I122)</f>
        <v/>
      </c>
      <c r="N122">
        <f>IF(COUNT(K122:M122)&lt;2,"",AVERAGE(K122:M122))</f>
        <v/>
      </c>
      <c r="R122" s="3">
        <f>IF(N122="","",MAX(ABS(K122-N122),ABS(L122-N122),ABS(M122-N122))/N122)</f>
        <v/>
      </c>
      <c r="S122">
        <f>IF(A122="","",IF(AND(F122="",K122=""),"N/A",IF(AND(J122="",R122=""),"Insufficient Load Data",IF(AND(J122&gt;0.03,R122&gt;0.15),"Voltage &amp; Current Imbalance",IF(J122&gt;0.03,"Voltage Imbalance",IF(R122&gt;0.15,"Current Imbalance","No Imbalances Detected")))))</f>
        <v/>
      </c>
      <c r="T122">
        <f>IF(A122="","",IF(AND(F122="",K122=""),"N/A",IF(OR(J122&gt;0.03,R122&gt;0.15),"Imbalance","Pass")))</f>
        <v/>
      </c>
    </row>
    <row r="123">
      <c r="A123">
        <f>IF('Equipment Information'!A123="","", 'Equipment Information'!A123)</f>
        <v/>
      </c>
      <c r="B123">
        <f>IF('Equipment Information'!B123="","", 'Equipment Information'!B123)</f>
        <v/>
      </c>
      <c r="C123">
        <f>IF('Equipment Information'!C123="","", 'Equipment Information'!C123)</f>
        <v/>
      </c>
      <c r="I123">
        <f>IF(COUNT(F123:H123)&lt;2,"",AVERAGE(F123:H123))</f>
        <v/>
      </c>
      <c r="J123" s="3">
        <f>IF(I123="","",MAX(ABS(F123-I123),ABS(G123-I123),ABS(H123-I123))/I123)</f>
        <v/>
      </c>
      <c r="N123">
        <f>IF(COUNT(K123:M123)&lt;2,"",AVERAGE(K123:M123))</f>
        <v/>
      </c>
      <c r="R123" s="3">
        <f>IF(N123="","",MAX(ABS(K123-N123),ABS(L123-N123),ABS(M123-N123))/N123)</f>
        <v/>
      </c>
      <c r="S123">
        <f>IF(A123="","",IF(AND(F123="",K123=""),"N/A",IF(AND(J123="",R123=""),"Insufficient Load Data",IF(AND(J123&gt;0.03,R123&gt;0.15),"Voltage &amp; Current Imbalance",IF(J123&gt;0.03,"Voltage Imbalance",IF(R123&gt;0.15,"Current Imbalance","No Imbalances Detected")))))</f>
        <v/>
      </c>
      <c r="T123">
        <f>IF(A123="","",IF(AND(F123="",K123=""),"N/A",IF(OR(J123&gt;0.03,R123&gt;0.15),"Imbalance","Pass")))</f>
        <v/>
      </c>
    </row>
    <row r="124">
      <c r="A124">
        <f>IF('Equipment Information'!A124="","", 'Equipment Information'!A124)</f>
        <v/>
      </c>
      <c r="B124">
        <f>IF('Equipment Information'!B124="","", 'Equipment Information'!B124)</f>
        <v/>
      </c>
      <c r="C124">
        <f>IF('Equipment Information'!C124="","", 'Equipment Information'!C124)</f>
        <v/>
      </c>
      <c r="I124">
        <f>IF(COUNT(F124:H124)&lt;2,"",AVERAGE(F124:H124))</f>
        <v/>
      </c>
      <c r="J124" s="3">
        <f>IF(I124="","",MAX(ABS(F124-I124),ABS(G124-I124),ABS(H124-I124))/I124)</f>
        <v/>
      </c>
      <c r="N124">
        <f>IF(COUNT(K124:M124)&lt;2,"",AVERAGE(K124:M124))</f>
        <v/>
      </c>
      <c r="R124" s="3">
        <f>IF(N124="","",MAX(ABS(K124-N124),ABS(L124-N124),ABS(M124-N124))/N124)</f>
        <v/>
      </c>
      <c r="S124">
        <f>IF(A124="","",IF(AND(F124="",K124=""),"N/A",IF(AND(J124="",R124=""),"Insufficient Load Data",IF(AND(J124&gt;0.03,R124&gt;0.15),"Voltage &amp; Current Imbalance",IF(J124&gt;0.03,"Voltage Imbalance",IF(R124&gt;0.15,"Current Imbalance","No Imbalances Detected")))))</f>
        <v/>
      </c>
      <c r="T124">
        <f>IF(A124="","",IF(AND(F124="",K124=""),"N/A",IF(OR(J124&gt;0.03,R124&gt;0.15),"Imbalance","Pass")))</f>
        <v/>
      </c>
    </row>
    <row r="125">
      <c r="A125">
        <f>IF('Equipment Information'!A125="","", 'Equipment Information'!A125)</f>
        <v/>
      </c>
      <c r="B125">
        <f>IF('Equipment Information'!B125="","", 'Equipment Information'!B125)</f>
        <v/>
      </c>
      <c r="C125">
        <f>IF('Equipment Information'!C125="","", 'Equipment Information'!C125)</f>
        <v/>
      </c>
      <c r="I125">
        <f>IF(COUNT(F125:H125)&lt;2,"",AVERAGE(F125:H125))</f>
        <v/>
      </c>
      <c r="J125" s="3">
        <f>IF(I125="","",MAX(ABS(F125-I125),ABS(G125-I125),ABS(H125-I125))/I125)</f>
        <v/>
      </c>
      <c r="N125">
        <f>IF(COUNT(K125:M125)&lt;2,"",AVERAGE(K125:M125))</f>
        <v/>
      </c>
      <c r="R125" s="3">
        <f>IF(N125="","",MAX(ABS(K125-N125),ABS(L125-N125),ABS(M125-N125))/N125)</f>
        <v/>
      </c>
      <c r="S125">
        <f>IF(A125="","",IF(AND(F125="",K125=""),"N/A",IF(AND(J125="",R125=""),"Insufficient Load Data",IF(AND(J125&gt;0.03,R125&gt;0.15),"Voltage &amp; Current Imbalance",IF(J125&gt;0.03,"Voltage Imbalance",IF(R125&gt;0.15,"Current Imbalance","No Imbalances Detected")))))</f>
        <v/>
      </c>
      <c r="T125">
        <f>IF(A125="","",IF(AND(F125="",K125=""),"N/A",IF(OR(J125&gt;0.03,R125&gt;0.15),"Imbalance","Pass")))</f>
        <v/>
      </c>
    </row>
    <row r="126">
      <c r="A126">
        <f>IF('Equipment Information'!A126="","", 'Equipment Information'!A126)</f>
        <v/>
      </c>
      <c r="B126">
        <f>IF('Equipment Information'!B126="","", 'Equipment Information'!B126)</f>
        <v/>
      </c>
      <c r="C126">
        <f>IF('Equipment Information'!C126="","", 'Equipment Information'!C126)</f>
        <v/>
      </c>
      <c r="I126">
        <f>IF(COUNT(F126:H126)&lt;2,"",AVERAGE(F126:H126))</f>
        <v/>
      </c>
      <c r="J126" s="3">
        <f>IF(I126="","",MAX(ABS(F126-I126),ABS(G126-I126),ABS(H126-I126))/I126)</f>
        <v/>
      </c>
      <c r="N126">
        <f>IF(COUNT(K126:M126)&lt;2,"",AVERAGE(K126:M126))</f>
        <v/>
      </c>
      <c r="R126" s="3">
        <f>IF(N126="","",MAX(ABS(K126-N126),ABS(L126-N126),ABS(M126-N126))/N126)</f>
        <v/>
      </c>
      <c r="S126">
        <f>IF(A126="","",IF(AND(F126="",K126=""),"N/A",IF(AND(J126="",R126=""),"Insufficient Load Data",IF(AND(J126&gt;0.03,R126&gt;0.15),"Voltage &amp; Current Imbalance",IF(J126&gt;0.03,"Voltage Imbalance",IF(R126&gt;0.15,"Current Imbalance","No Imbalances Detected")))))</f>
        <v/>
      </c>
      <c r="T126">
        <f>IF(A126="","",IF(AND(F126="",K126=""),"N/A",IF(OR(J126&gt;0.03,R126&gt;0.15),"Imbalance","Pass")))</f>
        <v/>
      </c>
    </row>
    <row r="127">
      <c r="A127">
        <f>IF('Equipment Information'!A127="","", 'Equipment Information'!A127)</f>
        <v/>
      </c>
      <c r="B127">
        <f>IF('Equipment Information'!B127="","", 'Equipment Information'!B127)</f>
        <v/>
      </c>
      <c r="C127">
        <f>IF('Equipment Information'!C127="","", 'Equipment Information'!C127)</f>
        <v/>
      </c>
      <c r="I127">
        <f>IF(COUNT(F127:H127)&lt;2,"",AVERAGE(F127:H127))</f>
        <v/>
      </c>
      <c r="J127" s="3">
        <f>IF(I127="","",MAX(ABS(F127-I127),ABS(G127-I127),ABS(H127-I127))/I127)</f>
        <v/>
      </c>
      <c r="N127">
        <f>IF(COUNT(K127:M127)&lt;2,"",AVERAGE(K127:M127))</f>
        <v/>
      </c>
      <c r="R127" s="3">
        <f>IF(N127="","",MAX(ABS(K127-N127),ABS(L127-N127),ABS(M127-N127))/N127)</f>
        <v/>
      </c>
      <c r="S127">
        <f>IF(A127="","",IF(AND(F127="",K127=""),"N/A",IF(AND(J127="",R127=""),"Insufficient Load Data",IF(AND(J127&gt;0.03,R127&gt;0.15),"Voltage &amp; Current Imbalance",IF(J127&gt;0.03,"Voltage Imbalance",IF(R127&gt;0.15,"Current Imbalance","No Imbalances Detected")))))</f>
        <v/>
      </c>
      <c r="T127">
        <f>IF(A127="","",IF(AND(F127="",K127=""),"N/A",IF(OR(J127&gt;0.03,R127&gt;0.15),"Imbalance","Pass")))</f>
        <v/>
      </c>
    </row>
    <row r="128">
      <c r="A128">
        <f>IF('Equipment Information'!A128="","", 'Equipment Information'!A128)</f>
        <v/>
      </c>
      <c r="B128">
        <f>IF('Equipment Information'!B128="","", 'Equipment Information'!B128)</f>
        <v/>
      </c>
      <c r="C128">
        <f>IF('Equipment Information'!C128="","", 'Equipment Information'!C128)</f>
        <v/>
      </c>
      <c r="I128">
        <f>IF(COUNT(F128:H128)&lt;2,"",AVERAGE(F128:H128))</f>
        <v/>
      </c>
      <c r="J128" s="3">
        <f>IF(I128="","",MAX(ABS(F128-I128),ABS(G128-I128),ABS(H128-I128))/I128)</f>
        <v/>
      </c>
      <c r="N128">
        <f>IF(COUNT(K128:M128)&lt;2,"",AVERAGE(K128:M128))</f>
        <v/>
      </c>
      <c r="R128" s="3">
        <f>IF(N128="","",MAX(ABS(K128-N128),ABS(L128-N128),ABS(M128-N128))/N128)</f>
        <v/>
      </c>
      <c r="S128">
        <f>IF(A128="","",IF(AND(F128="",K128=""),"N/A",IF(AND(J128="",R128=""),"Insufficient Load Data",IF(AND(J128&gt;0.03,R128&gt;0.15),"Voltage &amp; Current Imbalance",IF(J128&gt;0.03,"Voltage Imbalance",IF(R128&gt;0.15,"Current Imbalance","No Imbalances Detected")))))</f>
        <v/>
      </c>
      <c r="T128">
        <f>IF(A128="","",IF(AND(F128="",K128=""),"N/A",IF(OR(J128&gt;0.03,R128&gt;0.15),"Imbalance","Pass")))</f>
        <v/>
      </c>
    </row>
    <row r="129">
      <c r="A129">
        <f>IF('Equipment Information'!A129="","", 'Equipment Information'!A129)</f>
        <v/>
      </c>
      <c r="B129">
        <f>IF('Equipment Information'!B129="","", 'Equipment Information'!B129)</f>
        <v/>
      </c>
      <c r="C129">
        <f>IF('Equipment Information'!C129="","", 'Equipment Information'!C129)</f>
        <v/>
      </c>
      <c r="I129">
        <f>IF(COUNT(F129:H129)&lt;2,"",AVERAGE(F129:H129))</f>
        <v/>
      </c>
      <c r="J129" s="3">
        <f>IF(I129="","",MAX(ABS(F129-I129),ABS(G129-I129),ABS(H129-I129))/I129)</f>
        <v/>
      </c>
      <c r="N129">
        <f>IF(COUNT(K129:M129)&lt;2,"",AVERAGE(K129:M129))</f>
        <v/>
      </c>
      <c r="R129" s="3">
        <f>IF(N129="","",MAX(ABS(K129-N129),ABS(L129-N129),ABS(M129-N129))/N129)</f>
        <v/>
      </c>
      <c r="S129">
        <f>IF(A129="","",IF(AND(F129="",K129=""),"N/A",IF(AND(J129="",R129=""),"Insufficient Load Data",IF(AND(J129&gt;0.03,R129&gt;0.15),"Voltage &amp; Current Imbalance",IF(J129&gt;0.03,"Voltage Imbalance",IF(R129&gt;0.15,"Current Imbalance","No Imbalances Detected")))))</f>
        <v/>
      </c>
      <c r="T129">
        <f>IF(A129="","",IF(AND(F129="",K129=""),"N/A",IF(OR(J129&gt;0.03,R129&gt;0.15),"Imbalance","Pass")))</f>
        <v/>
      </c>
    </row>
    <row r="130">
      <c r="A130">
        <f>IF('Equipment Information'!A130="","", 'Equipment Information'!A130)</f>
        <v/>
      </c>
      <c r="B130">
        <f>IF('Equipment Information'!B130="","", 'Equipment Information'!B130)</f>
        <v/>
      </c>
      <c r="C130">
        <f>IF('Equipment Information'!C130="","", 'Equipment Information'!C130)</f>
        <v/>
      </c>
      <c r="I130">
        <f>IF(COUNT(F130:H130)&lt;2,"",AVERAGE(F130:H130))</f>
        <v/>
      </c>
      <c r="J130" s="3">
        <f>IF(I130="","",MAX(ABS(F130-I130),ABS(G130-I130),ABS(H130-I130))/I130)</f>
        <v/>
      </c>
      <c r="N130">
        <f>IF(COUNT(K130:M130)&lt;2,"",AVERAGE(K130:M130))</f>
        <v/>
      </c>
      <c r="R130" s="3">
        <f>IF(N130="","",MAX(ABS(K130-N130),ABS(L130-N130),ABS(M130-N130))/N130)</f>
        <v/>
      </c>
      <c r="S130">
        <f>IF(A130="","",IF(AND(F130="",K130=""),"N/A",IF(AND(J130="",R130=""),"Insufficient Load Data",IF(AND(J130&gt;0.03,R130&gt;0.15),"Voltage &amp; Current Imbalance",IF(J130&gt;0.03,"Voltage Imbalance",IF(R130&gt;0.15,"Current Imbalance","No Imbalances Detected")))))</f>
        <v/>
      </c>
      <c r="T130">
        <f>IF(A130="","",IF(AND(F130="",K130=""),"N/A",IF(OR(J130&gt;0.03,R130&gt;0.15),"Imbalance","Pass")))</f>
        <v/>
      </c>
    </row>
    <row r="131">
      <c r="A131">
        <f>IF('Equipment Information'!A131="","", 'Equipment Information'!A131)</f>
        <v/>
      </c>
      <c r="B131">
        <f>IF('Equipment Information'!B131="","", 'Equipment Information'!B131)</f>
        <v/>
      </c>
      <c r="C131">
        <f>IF('Equipment Information'!C131="","", 'Equipment Information'!C131)</f>
        <v/>
      </c>
      <c r="I131">
        <f>IF(COUNT(F131:H131)&lt;2,"",AVERAGE(F131:H131))</f>
        <v/>
      </c>
      <c r="J131" s="3">
        <f>IF(I131="","",MAX(ABS(F131-I131),ABS(G131-I131),ABS(H131-I131))/I131)</f>
        <v/>
      </c>
      <c r="N131">
        <f>IF(COUNT(K131:M131)&lt;2,"",AVERAGE(K131:M131))</f>
        <v/>
      </c>
      <c r="R131" s="3">
        <f>IF(N131="","",MAX(ABS(K131-N131),ABS(L131-N131),ABS(M131-N131))/N131)</f>
        <v/>
      </c>
      <c r="S131">
        <f>IF(A131="","",IF(AND(F131="",K131=""),"N/A",IF(AND(J131="",R131=""),"Insufficient Load Data",IF(AND(J131&gt;0.03,R131&gt;0.15),"Voltage &amp; Current Imbalance",IF(J131&gt;0.03,"Voltage Imbalance",IF(R131&gt;0.15,"Current Imbalance","No Imbalances Detected")))))</f>
        <v/>
      </c>
      <c r="T131">
        <f>IF(A131="","",IF(AND(F131="",K131=""),"N/A",IF(OR(J131&gt;0.03,R131&gt;0.15),"Imbalance","Pass")))</f>
        <v/>
      </c>
    </row>
    <row r="132">
      <c r="A132">
        <f>IF('Equipment Information'!A132="","", 'Equipment Information'!A132)</f>
        <v/>
      </c>
      <c r="B132">
        <f>IF('Equipment Information'!B132="","", 'Equipment Information'!B132)</f>
        <v/>
      </c>
      <c r="C132">
        <f>IF('Equipment Information'!C132="","", 'Equipment Information'!C132)</f>
        <v/>
      </c>
      <c r="I132">
        <f>IF(COUNT(F132:H132)&lt;2,"",AVERAGE(F132:H132))</f>
        <v/>
      </c>
      <c r="J132" s="3">
        <f>IF(I132="","",MAX(ABS(F132-I132),ABS(G132-I132),ABS(H132-I132))/I132)</f>
        <v/>
      </c>
      <c r="N132">
        <f>IF(COUNT(K132:M132)&lt;2,"",AVERAGE(K132:M132))</f>
        <v/>
      </c>
      <c r="R132" s="3">
        <f>IF(N132="","",MAX(ABS(K132-N132),ABS(L132-N132),ABS(M132-N132))/N132)</f>
        <v/>
      </c>
      <c r="S132">
        <f>IF(A132="","",IF(AND(F132="",K132=""),"N/A",IF(AND(J132="",R132=""),"Insufficient Load Data",IF(AND(J132&gt;0.03,R132&gt;0.15),"Voltage &amp; Current Imbalance",IF(J132&gt;0.03,"Voltage Imbalance",IF(R132&gt;0.15,"Current Imbalance","No Imbalances Detected")))))</f>
        <v/>
      </c>
      <c r="T132">
        <f>IF(A132="","",IF(AND(F132="",K132=""),"N/A",IF(OR(J132&gt;0.03,R132&gt;0.15),"Imbalance","Pass")))</f>
        <v/>
      </c>
    </row>
    <row r="133">
      <c r="A133">
        <f>IF('Equipment Information'!A133="","", 'Equipment Information'!A133)</f>
        <v/>
      </c>
      <c r="B133">
        <f>IF('Equipment Information'!B133="","", 'Equipment Information'!B133)</f>
        <v/>
      </c>
      <c r="C133">
        <f>IF('Equipment Information'!C133="","", 'Equipment Information'!C133)</f>
        <v/>
      </c>
      <c r="I133">
        <f>IF(COUNT(F133:H133)&lt;2,"",AVERAGE(F133:H133))</f>
        <v/>
      </c>
      <c r="J133" s="3">
        <f>IF(I133="","",MAX(ABS(F133-I133),ABS(G133-I133),ABS(H133-I133))/I133)</f>
        <v/>
      </c>
      <c r="N133">
        <f>IF(COUNT(K133:M133)&lt;2,"",AVERAGE(K133:M133))</f>
        <v/>
      </c>
      <c r="R133" s="3">
        <f>IF(N133="","",MAX(ABS(K133-N133),ABS(L133-N133),ABS(M133-N133))/N133)</f>
        <v/>
      </c>
      <c r="S133">
        <f>IF(A133="","",IF(AND(F133="",K133=""),"N/A",IF(AND(J133="",R133=""),"Insufficient Load Data",IF(AND(J133&gt;0.03,R133&gt;0.15),"Voltage &amp; Current Imbalance",IF(J133&gt;0.03,"Voltage Imbalance",IF(R133&gt;0.15,"Current Imbalance","No Imbalances Detected")))))</f>
        <v/>
      </c>
      <c r="T133">
        <f>IF(A133="","",IF(AND(F133="",K133=""),"N/A",IF(OR(J133&gt;0.03,R133&gt;0.15),"Imbalance","Pass")))</f>
        <v/>
      </c>
    </row>
    <row r="134">
      <c r="A134">
        <f>IF('Equipment Information'!A134="","", 'Equipment Information'!A134)</f>
        <v/>
      </c>
      <c r="B134">
        <f>IF('Equipment Information'!B134="","", 'Equipment Information'!B134)</f>
        <v/>
      </c>
      <c r="C134">
        <f>IF('Equipment Information'!C134="","", 'Equipment Information'!C134)</f>
        <v/>
      </c>
      <c r="I134">
        <f>IF(COUNT(F134:H134)&lt;2,"",AVERAGE(F134:H134))</f>
        <v/>
      </c>
      <c r="J134" s="3">
        <f>IF(I134="","",MAX(ABS(F134-I134),ABS(G134-I134),ABS(H134-I134))/I134)</f>
        <v/>
      </c>
      <c r="N134">
        <f>IF(COUNT(K134:M134)&lt;2,"",AVERAGE(K134:M134))</f>
        <v/>
      </c>
      <c r="R134" s="3">
        <f>IF(N134="","",MAX(ABS(K134-N134),ABS(L134-N134),ABS(M134-N134))/N134)</f>
        <v/>
      </c>
      <c r="S134">
        <f>IF(A134="","",IF(AND(F134="",K134=""),"N/A",IF(AND(J134="",R134=""),"Insufficient Load Data",IF(AND(J134&gt;0.03,R134&gt;0.15),"Voltage &amp; Current Imbalance",IF(J134&gt;0.03,"Voltage Imbalance",IF(R134&gt;0.15,"Current Imbalance","No Imbalances Detected")))))</f>
        <v/>
      </c>
      <c r="T134">
        <f>IF(A134="","",IF(AND(F134="",K134=""),"N/A",IF(OR(J134&gt;0.03,R134&gt;0.15),"Imbalance","Pass")))</f>
        <v/>
      </c>
    </row>
    <row r="135">
      <c r="A135">
        <f>IF('Equipment Information'!A135="","", 'Equipment Information'!A135)</f>
        <v/>
      </c>
      <c r="B135">
        <f>IF('Equipment Information'!B135="","", 'Equipment Information'!B135)</f>
        <v/>
      </c>
      <c r="C135">
        <f>IF('Equipment Information'!C135="","", 'Equipment Information'!C135)</f>
        <v/>
      </c>
      <c r="I135">
        <f>IF(COUNT(F135:H135)&lt;2,"",AVERAGE(F135:H135))</f>
        <v/>
      </c>
      <c r="J135" s="3">
        <f>IF(I135="","",MAX(ABS(F135-I135),ABS(G135-I135),ABS(H135-I135))/I135)</f>
        <v/>
      </c>
      <c r="N135">
        <f>IF(COUNT(K135:M135)&lt;2,"",AVERAGE(K135:M135))</f>
        <v/>
      </c>
      <c r="R135" s="3">
        <f>IF(N135="","",MAX(ABS(K135-N135),ABS(L135-N135),ABS(M135-N135))/N135)</f>
        <v/>
      </c>
      <c r="S135">
        <f>IF(A135="","",IF(AND(F135="",K135=""),"N/A",IF(AND(J135="",R135=""),"Insufficient Load Data",IF(AND(J135&gt;0.03,R135&gt;0.15),"Voltage &amp; Current Imbalance",IF(J135&gt;0.03,"Voltage Imbalance",IF(R135&gt;0.15,"Current Imbalance","No Imbalances Detected")))))</f>
        <v/>
      </c>
      <c r="T135">
        <f>IF(A135="","",IF(AND(F135="",K135=""),"N/A",IF(OR(J135&gt;0.03,R135&gt;0.15),"Imbalance","Pass")))</f>
        <v/>
      </c>
    </row>
    <row r="136">
      <c r="A136">
        <f>IF('Equipment Information'!A136="","", 'Equipment Information'!A136)</f>
        <v/>
      </c>
      <c r="B136">
        <f>IF('Equipment Information'!B136="","", 'Equipment Information'!B136)</f>
        <v/>
      </c>
      <c r="C136">
        <f>IF('Equipment Information'!C136="","", 'Equipment Information'!C136)</f>
        <v/>
      </c>
      <c r="I136">
        <f>IF(COUNT(F136:H136)&lt;2,"",AVERAGE(F136:H136))</f>
        <v/>
      </c>
      <c r="J136" s="3">
        <f>IF(I136="","",MAX(ABS(F136-I136),ABS(G136-I136),ABS(H136-I136))/I136)</f>
        <v/>
      </c>
      <c r="N136">
        <f>IF(COUNT(K136:M136)&lt;2,"",AVERAGE(K136:M136))</f>
        <v/>
      </c>
      <c r="R136" s="3">
        <f>IF(N136="","",MAX(ABS(K136-N136),ABS(L136-N136),ABS(M136-N136))/N136)</f>
        <v/>
      </c>
      <c r="S136">
        <f>IF(A136="","",IF(AND(F136="",K136=""),"N/A",IF(AND(J136="",R136=""),"Insufficient Load Data",IF(AND(J136&gt;0.03,R136&gt;0.15),"Voltage &amp; Current Imbalance",IF(J136&gt;0.03,"Voltage Imbalance",IF(R136&gt;0.15,"Current Imbalance","No Imbalances Detected")))))</f>
        <v/>
      </c>
      <c r="T136">
        <f>IF(A136="","",IF(AND(F136="",K136=""),"N/A",IF(OR(J136&gt;0.03,R136&gt;0.15),"Imbalance","Pass")))</f>
        <v/>
      </c>
    </row>
    <row r="137">
      <c r="A137">
        <f>IF('Equipment Information'!A137="","", 'Equipment Information'!A137)</f>
        <v/>
      </c>
      <c r="B137">
        <f>IF('Equipment Information'!B137="","", 'Equipment Information'!B137)</f>
        <v/>
      </c>
      <c r="C137">
        <f>IF('Equipment Information'!C137="","", 'Equipment Information'!C137)</f>
        <v/>
      </c>
      <c r="I137">
        <f>IF(COUNT(F137:H137)&lt;2,"",AVERAGE(F137:H137))</f>
        <v/>
      </c>
      <c r="J137" s="3">
        <f>IF(I137="","",MAX(ABS(F137-I137),ABS(G137-I137),ABS(H137-I137))/I137)</f>
        <v/>
      </c>
      <c r="N137">
        <f>IF(COUNT(K137:M137)&lt;2,"",AVERAGE(K137:M137))</f>
        <v/>
      </c>
      <c r="R137" s="3">
        <f>IF(N137="","",MAX(ABS(K137-N137),ABS(L137-N137),ABS(M137-N137))/N137)</f>
        <v/>
      </c>
      <c r="S137">
        <f>IF(A137="","",IF(AND(F137="",K137=""),"N/A",IF(AND(J137="",R137=""),"Insufficient Load Data",IF(AND(J137&gt;0.03,R137&gt;0.15),"Voltage &amp; Current Imbalance",IF(J137&gt;0.03,"Voltage Imbalance",IF(R137&gt;0.15,"Current Imbalance","No Imbalances Detected")))))</f>
        <v/>
      </c>
      <c r="T137">
        <f>IF(A137="","",IF(AND(F137="",K137=""),"N/A",IF(OR(J137&gt;0.03,R137&gt;0.15),"Imbalance","Pass")))</f>
        <v/>
      </c>
    </row>
    <row r="138">
      <c r="A138">
        <f>IF('Equipment Information'!A138="","", 'Equipment Information'!A138)</f>
        <v/>
      </c>
      <c r="B138">
        <f>IF('Equipment Information'!B138="","", 'Equipment Information'!B138)</f>
        <v/>
      </c>
      <c r="C138">
        <f>IF('Equipment Information'!C138="","", 'Equipment Information'!C138)</f>
        <v/>
      </c>
      <c r="I138">
        <f>IF(COUNT(F138:H138)&lt;2,"",AVERAGE(F138:H138))</f>
        <v/>
      </c>
      <c r="J138" s="3">
        <f>IF(I138="","",MAX(ABS(F138-I138),ABS(G138-I138),ABS(H138-I138))/I138)</f>
        <v/>
      </c>
      <c r="N138">
        <f>IF(COUNT(K138:M138)&lt;2,"",AVERAGE(K138:M138))</f>
        <v/>
      </c>
      <c r="R138" s="3">
        <f>IF(N138="","",MAX(ABS(K138-N138),ABS(L138-N138),ABS(M138-N138))/N138)</f>
        <v/>
      </c>
      <c r="S138">
        <f>IF(A138="","",IF(AND(F138="",K138=""),"N/A",IF(AND(J138="",R138=""),"Insufficient Load Data",IF(AND(J138&gt;0.03,R138&gt;0.15),"Voltage &amp; Current Imbalance",IF(J138&gt;0.03,"Voltage Imbalance",IF(R138&gt;0.15,"Current Imbalance","No Imbalances Detected")))))</f>
        <v/>
      </c>
      <c r="T138">
        <f>IF(A138="","",IF(AND(F138="",K138=""),"N/A",IF(OR(J138&gt;0.03,R138&gt;0.15),"Imbalance","Pass")))</f>
        <v/>
      </c>
    </row>
    <row r="139">
      <c r="A139">
        <f>IF('Equipment Information'!A139="","", 'Equipment Information'!A139)</f>
        <v/>
      </c>
      <c r="B139">
        <f>IF('Equipment Information'!B139="","", 'Equipment Information'!B139)</f>
        <v/>
      </c>
      <c r="C139">
        <f>IF('Equipment Information'!C139="","", 'Equipment Information'!C139)</f>
        <v/>
      </c>
      <c r="I139">
        <f>IF(COUNT(F139:H139)&lt;2,"",AVERAGE(F139:H139))</f>
        <v/>
      </c>
      <c r="J139" s="3">
        <f>IF(I139="","",MAX(ABS(F139-I139),ABS(G139-I139),ABS(H139-I139))/I139)</f>
        <v/>
      </c>
      <c r="N139">
        <f>IF(COUNT(K139:M139)&lt;2,"",AVERAGE(K139:M139))</f>
        <v/>
      </c>
      <c r="R139" s="3">
        <f>IF(N139="","",MAX(ABS(K139-N139),ABS(L139-N139),ABS(M139-N139))/N139)</f>
        <v/>
      </c>
      <c r="S139">
        <f>IF(A139="","",IF(AND(F139="",K139=""),"N/A",IF(AND(J139="",R139=""),"Insufficient Load Data",IF(AND(J139&gt;0.03,R139&gt;0.15),"Voltage &amp; Current Imbalance",IF(J139&gt;0.03,"Voltage Imbalance",IF(R139&gt;0.15,"Current Imbalance","No Imbalances Detected")))))</f>
        <v/>
      </c>
      <c r="T139">
        <f>IF(A139="","",IF(AND(F139="",K139=""),"N/A",IF(OR(J139&gt;0.03,R139&gt;0.15),"Imbalance","Pass")))</f>
        <v/>
      </c>
    </row>
    <row r="140">
      <c r="A140">
        <f>IF('Equipment Information'!A140="","", 'Equipment Information'!A140)</f>
        <v/>
      </c>
      <c r="B140">
        <f>IF('Equipment Information'!B140="","", 'Equipment Information'!B140)</f>
        <v/>
      </c>
      <c r="C140">
        <f>IF('Equipment Information'!C140="","", 'Equipment Information'!C140)</f>
        <v/>
      </c>
      <c r="I140">
        <f>IF(COUNT(F140:H140)&lt;2,"",AVERAGE(F140:H140))</f>
        <v/>
      </c>
      <c r="J140" s="3">
        <f>IF(I140="","",MAX(ABS(F140-I140),ABS(G140-I140),ABS(H140-I140))/I140)</f>
        <v/>
      </c>
      <c r="N140">
        <f>IF(COUNT(K140:M140)&lt;2,"",AVERAGE(K140:M140))</f>
        <v/>
      </c>
      <c r="R140" s="3">
        <f>IF(N140="","",MAX(ABS(K140-N140),ABS(L140-N140),ABS(M140-N140))/N140)</f>
        <v/>
      </c>
      <c r="S140">
        <f>IF(A140="","",IF(AND(F140="",K140=""),"N/A",IF(AND(J140="",R140=""),"Insufficient Load Data",IF(AND(J140&gt;0.03,R140&gt;0.15),"Voltage &amp; Current Imbalance",IF(J140&gt;0.03,"Voltage Imbalance",IF(R140&gt;0.15,"Current Imbalance","No Imbalances Detected")))))</f>
        <v/>
      </c>
      <c r="T140">
        <f>IF(A140="","",IF(AND(F140="",K140=""),"N/A",IF(OR(J140&gt;0.03,R140&gt;0.15),"Imbalance","Pass")))</f>
        <v/>
      </c>
    </row>
    <row r="141">
      <c r="A141">
        <f>IF('Equipment Information'!A141="","", 'Equipment Information'!A141)</f>
        <v/>
      </c>
      <c r="B141">
        <f>IF('Equipment Information'!B141="","", 'Equipment Information'!B141)</f>
        <v/>
      </c>
      <c r="C141">
        <f>IF('Equipment Information'!C141="","", 'Equipment Information'!C141)</f>
        <v/>
      </c>
      <c r="I141">
        <f>IF(COUNT(F141:H141)&lt;2,"",AVERAGE(F141:H141))</f>
        <v/>
      </c>
      <c r="J141" s="3">
        <f>IF(I141="","",MAX(ABS(F141-I141),ABS(G141-I141),ABS(H141-I141))/I141)</f>
        <v/>
      </c>
      <c r="N141">
        <f>IF(COUNT(K141:M141)&lt;2,"",AVERAGE(K141:M141))</f>
        <v/>
      </c>
      <c r="R141" s="3">
        <f>IF(N141="","",MAX(ABS(K141-N141),ABS(L141-N141),ABS(M141-N141))/N141)</f>
        <v/>
      </c>
      <c r="S141">
        <f>IF(A141="","",IF(AND(F141="",K141=""),"N/A",IF(AND(J141="",R141=""),"Insufficient Load Data",IF(AND(J141&gt;0.03,R141&gt;0.15),"Voltage &amp; Current Imbalance",IF(J141&gt;0.03,"Voltage Imbalance",IF(R141&gt;0.15,"Current Imbalance","No Imbalances Detected")))))</f>
        <v/>
      </c>
      <c r="T141">
        <f>IF(A141="","",IF(AND(F141="",K141=""),"N/A",IF(OR(J141&gt;0.03,R141&gt;0.15),"Imbalance","Pass")))</f>
        <v/>
      </c>
    </row>
    <row r="142">
      <c r="A142">
        <f>IF('Equipment Information'!A142="","", 'Equipment Information'!A142)</f>
        <v/>
      </c>
      <c r="B142">
        <f>IF('Equipment Information'!B142="","", 'Equipment Information'!B142)</f>
        <v/>
      </c>
      <c r="C142">
        <f>IF('Equipment Information'!C142="","", 'Equipment Information'!C142)</f>
        <v/>
      </c>
      <c r="I142">
        <f>IF(COUNT(F142:H142)&lt;2,"",AVERAGE(F142:H142))</f>
        <v/>
      </c>
      <c r="J142" s="3">
        <f>IF(I142="","",MAX(ABS(F142-I142),ABS(G142-I142),ABS(H142-I142))/I142)</f>
        <v/>
      </c>
      <c r="N142">
        <f>IF(COUNT(K142:M142)&lt;2,"",AVERAGE(K142:M142))</f>
        <v/>
      </c>
      <c r="R142" s="3">
        <f>IF(N142="","",MAX(ABS(K142-N142),ABS(L142-N142),ABS(M142-N142))/N142)</f>
        <v/>
      </c>
      <c r="S142">
        <f>IF(A142="","",IF(AND(F142="",K142=""),"N/A",IF(AND(J142="",R142=""),"Insufficient Load Data",IF(AND(J142&gt;0.03,R142&gt;0.15),"Voltage &amp; Current Imbalance",IF(J142&gt;0.03,"Voltage Imbalance",IF(R142&gt;0.15,"Current Imbalance","No Imbalances Detected")))))</f>
        <v/>
      </c>
      <c r="T142">
        <f>IF(A142="","",IF(AND(F142="",K142=""),"N/A",IF(OR(J142&gt;0.03,R142&gt;0.15),"Imbalance","Pass")))</f>
        <v/>
      </c>
    </row>
    <row r="143">
      <c r="A143">
        <f>IF('Equipment Information'!A143="","", 'Equipment Information'!A143)</f>
        <v/>
      </c>
      <c r="B143">
        <f>IF('Equipment Information'!B143="","", 'Equipment Information'!B143)</f>
        <v/>
      </c>
      <c r="C143">
        <f>IF('Equipment Information'!C143="","", 'Equipment Information'!C143)</f>
        <v/>
      </c>
      <c r="I143">
        <f>IF(COUNT(F143:H143)&lt;2,"",AVERAGE(F143:H143))</f>
        <v/>
      </c>
      <c r="J143" s="3">
        <f>IF(I143="","",MAX(ABS(F143-I143),ABS(G143-I143),ABS(H143-I143))/I143)</f>
        <v/>
      </c>
      <c r="N143">
        <f>IF(COUNT(K143:M143)&lt;2,"",AVERAGE(K143:M143))</f>
        <v/>
      </c>
      <c r="R143" s="3">
        <f>IF(N143="","",MAX(ABS(K143-N143),ABS(L143-N143),ABS(M143-N143))/N143)</f>
        <v/>
      </c>
      <c r="S143">
        <f>IF(A143="","",IF(AND(F143="",K143=""),"N/A",IF(AND(J143="",R143=""),"Insufficient Load Data",IF(AND(J143&gt;0.03,R143&gt;0.15),"Voltage &amp; Current Imbalance",IF(J143&gt;0.03,"Voltage Imbalance",IF(R143&gt;0.15,"Current Imbalance","No Imbalances Detected")))))</f>
        <v/>
      </c>
      <c r="T143">
        <f>IF(A143="","",IF(AND(F143="",K143=""),"N/A",IF(OR(J143&gt;0.03,R143&gt;0.15),"Imbalance","Pass")))</f>
        <v/>
      </c>
    </row>
    <row r="144">
      <c r="A144">
        <f>IF('Equipment Information'!A144="","", 'Equipment Information'!A144)</f>
        <v/>
      </c>
      <c r="B144">
        <f>IF('Equipment Information'!B144="","", 'Equipment Information'!B144)</f>
        <v/>
      </c>
      <c r="C144">
        <f>IF('Equipment Information'!C144="","", 'Equipment Information'!C144)</f>
        <v/>
      </c>
      <c r="I144">
        <f>IF(COUNT(F144:H144)&lt;2,"",AVERAGE(F144:H144))</f>
        <v/>
      </c>
      <c r="J144" s="3">
        <f>IF(I144="","",MAX(ABS(F144-I144),ABS(G144-I144),ABS(H144-I144))/I144)</f>
        <v/>
      </c>
      <c r="N144">
        <f>IF(COUNT(K144:M144)&lt;2,"",AVERAGE(K144:M144))</f>
        <v/>
      </c>
      <c r="R144" s="3">
        <f>IF(N144="","",MAX(ABS(K144-N144),ABS(L144-N144),ABS(M144-N144))/N144)</f>
        <v/>
      </c>
      <c r="S144">
        <f>IF(A144="","",IF(AND(F144="",K144=""),"N/A",IF(AND(J144="",R144=""),"Insufficient Load Data",IF(AND(J144&gt;0.03,R144&gt;0.15),"Voltage &amp; Current Imbalance",IF(J144&gt;0.03,"Voltage Imbalance",IF(R144&gt;0.15,"Current Imbalance","No Imbalances Detected")))))</f>
        <v/>
      </c>
      <c r="T144">
        <f>IF(A144="","",IF(AND(F144="",K144=""),"N/A",IF(OR(J144&gt;0.03,R144&gt;0.15),"Imbalance","Pass")))</f>
        <v/>
      </c>
    </row>
    <row r="145">
      <c r="A145">
        <f>IF('Equipment Information'!A145="","", 'Equipment Information'!A145)</f>
        <v/>
      </c>
      <c r="B145">
        <f>IF('Equipment Information'!B145="","", 'Equipment Information'!B145)</f>
        <v/>
      </c>
      <c r="C145">
        <f>IF('Equipment Information'!C145="","", 'Equipment Information'!C145)</f>
        <v/>
      </c>
      <c r="I145">
        <f>IF(COUNT(F145:H145)&lt;2,"",AVERAGE(F145:H145))</f>
        <v/>
      </c>
      <c r="J145" s="3">
        <f>IF(I145="","",MAX(ABS(F145-I145),ABS(G145-I145),ABS(H145-I145))/I145)</f>
        <v/>
      </c>
      <c r="N145">
        <f>IF(COUNT(K145:M145)&lt;2,"",AVERAGE(K145:M145))</f>
        <v/>
      </c>
      <c r="R145" s="3">
        <f>IF(N145="","",MAX(ABS(K145-N145),ABS(L145-N145),ABS(M145-N145))/N145)</f>
        <v/>
      </c>
      <c r="S145">
        <f>IF(A145="","",IF(AND(F145="",K145=""),"N/A",IF(AND(J145="",R145=""),"Insufficient Load Data",IF(AND(J145&gt;0.03,R145&gt;0.15),"Voltage &amp; Current Imbalance",IF(J145&gt;0.03,"Voltage Imbalance",IF(R145&gt;0.15,"Current Imbalance","No Imbalances Detected")))))</f>
        <v/>
      </c>
      <c r="T145">
        <f>IF(A145="","",IF(AND(F145="",K145=""),"N/A",IF(OR(J145&gt;0.03,R145&gt;0.15),"Imbalance","Pass")))</f>
        <v/>
      </c>
    </row>
    <row r="146">
      <c r="A146">
        <f>IF('Equipment Information'!A146="","", 'Equipment Information'!A146)</f>
        <v/>
      </c>
      <c r="B146">
        <f>IF('Equipment Information'!B146="","", 'Equipment Information'!B146)</f>
        <v/>
      </c>
      <c r="C146">
        <f>IF('Equipment Information'!C146="","", 'Equipment Information'!C146)</f>
        <v/>
      </c>
      <c r="I146">
        <f>IF(COUNT(F146:H146)&lt;2,"",AVERAGE(F146:H146))</f>
        <v/>
      </c>
      <c r="J146" s="3">
        <f>IF(I146="","",MAX(ABS(F146-I146),ABS(G146-I146),ABS(H146-I146))/I146)</f>
        <v/>
      </c>
      <c r="N146">
        <f>IF(COUNT(K146:M146)&lt;2,"",AVERAGE(K146:M146))</f>
        <v/>
      </c>
      <c r="R146" s="3">
        <f>IF(N146="","",MAX(ABS(K146-N146),ABS(L146-N146),ABS(M146-N146))/N146)</f>
        <v/>
      </c>
      <c r="S146">
        <f>IF(A146="","",IF(AND(F146="",K146=""),"N/A",IF(AND(J146="",R146=""),"Insufficient Load Data",IF(AND(J146&gt;0.03,R146&gt;0.15),"Voltage &amp; Current Imbalance",IF(J146&gt;0.03,"Voltage Imbalance",IF(R146&gt;0.15,"Current Imbalance","No Imbalances Detected")))))</f>
        <v/>
      </c>
      <c r="T146">
        <f>IF(A146="","",IF(AND(F146="",K146=""),"N/A",IF(OR(J146&gt;0.03,R146&gt;0.15),"Imbalance","Pass")))</f>
        <v/>
      </c>
    </row>
    <row r="147">
      <c r="A147">
        <f>IF('Equipment Information'!A147="","", 'Equipment Information'!A147)</f>
        <v/>
      </c>
      <c r="B147">
        <f>IF('Equipment Information'!B147="","", 'Equipment Information'!B147)</f>
        <v/>
      </c>
      <c r="C147">
        <f>IF('Equipment Information'!C147="","", 'Equipment Information'!C147)</f>
        <v/>
      </c>
      <c r="I147">
        <f>IF(COUNT(F147:H147)&lt;2,"",AVERAGE(F147:H147))</f>
        <v/>
      </c>
      <c r="J147" s="3">
        <f>IF(I147="","",MAX(ABS(F147-I147),ABS(G147-I147),ABS(H147-I147))/I147)</f>
        <v/>
      </c>
      <c r="N147">
        <f>IF(COUNT(K147:M147)&lt;2,"",AVERAGE(K147:M147))</f>
        <v/>
      </c>
      <c r="R147" s="3">
        <f>IF(N147="","",MAX(ABS(K147-N147),ABS(L147-N147),ABS(M147-N147))/N147)</f>
        <v/>
      </c>
      <c r="S147">
        <f>IF(A147="","",IF(AND(F147="",K147=""),"N/A",IF(AND(J147="",R147=""),"Insufficient Load Data",IF(AND(J147&gt;0.03,R147&gt;0.15),"Voltage &amp; Current Imbalance",IF(J147&gt;0.03,"Voltage Imbalance",IF(R147&gt;0.15,"Current Imbalance","No Imbalances Detected")))))</f>
        <v/>
      </c>
      <c r="T147">
        <f>IF(A147="","",IF(AND(F147="",K147=""),"N/A",IF(OR(J147&gt;0.03,R147&gt;0.15),"Imbalance","Pass")))</f>
        <v/>
      </c>
    </row>
    <row r="148">
      <c r="A148">
        <f>IF('Equipment Information'!A148="","", 'Equipment Information'!A148)</f>
        <v/>
      </c>
      <c r="B148">
        <f>IF('Equipment Information'!B148="","", 'Equipment Information'!B148)</f>
        <v/>
      </c>
      <c r="C148">
        <f>IF('Equipment Information'!C148="","", 'Equipment Information'!C148)</f>
        <v/>
      </c>
      <c r="I148">
        <f>IF(COUNT(F148:H148)&lt;2,"",AVERAGE(F148:H148))</f>
        <v/>
      </c>
      <c r="J148" s="3">
        <f>IF(I148="","",MAX(ABS(F148-I148),ABS(G148-I148),ABS(H148-I148))/I148)</f>
        <v/>
      </c>
      <c r="N148">
        <f>IF(COUNT(K148:M148)&lt;2,"",AVERAGE(K148:M148))</f>
        <v/>
      </c>
      <c r="R148" s="3">
        <f>IF(N148="","",MAX(ABS(K148-N148),ABS(L148-N148),ABS(M148-N148))/N148)</f>
        <v/>
      </c>
      <c r="S148">
        <f>IF(A148="","",IF(AND(F148="",K148=""),"N/A",IF(AND(J148="",R148=""),"Insufficient Load Data",IF(AND(J148&gt;0.03,R148&gt;0.15),"Voltage &amp; Current Imbalance",IF(J148&gt;0.03,"Voltage Imbalance",IF(R148&gt;0.15,"Current Imbalance","No Imbalances Detected")))))</f>
        <v/>
      </c>
      <c r="T148">
        <f>IF(A148="","",IF(AND(F148="",K148=""),"N/A",IF(OR(J148&gt;0.03,R148&gt;0.15),"Imbalance","Pass")))</f>
        <v/>
      </c>
    </row>
    <row r="149">
      <c r="A149">
        <f>IF('Equipment Information'!A149="","", 'Equipment Information'!A149)</f>
        <v/>
      </c>
      <c r="B149">
        <f>IF('Equipment Information'!B149="","", 'Equipment Information'!B149)</f>
        <v/>
      </c>
      <c r="C149">
        <f>IF('Equipment Information'!C149="","", 'Equipment Information'!C149)</f>
        <v/>
      </c>
      <c r="I149">
        <f>IF(COUNT(F149:H149)&lt;2,"",AVERAGE(F149:H149))</f>
        <v/>
      </c>
      <c r="J149" s="3">
        <f>IF(I149="","",MAX(ABS(F149-I149),ABS(G149-I149),ABS(H149-I149))/I149)</f>
        <v/>
      </c>
      <c r="N149">
        <f>IF(COUNT(K149:M149)&lt;2,"",AVERAGE(K149:M149))</f>
        <v/>
      </c>
      <c r="R149" s="3">
        <f>IF(N149="","",MAX(ABS(K149-N149),ABS(L149-N149),ABS(M149-N149))/N149)</f>
        <v/>
      </c>
      <c r="S149">
        <f>IF(A149="","",IF(AND(F149="",K149=""),"N/A",IF(AND(J149="",R149=""),"Insufficient Load Data",IF(AND(J149&gt;0.03,R149&gt;0.15),"Voltage &amp; Current Imbalance",IF(J149&gt;0.03,"Voltage Imbalance",IF(R149&gt;0.15,"Current Imbalance","No Imbalances Detected")))))</f>
        <v/>
      </c>
      <c r="T149">
        <f>IF(A149="","",IF(AND(F149="",K149=""),"N/A",IF(OR(J149&gt;0.03,R149&gt;0.15),"Imbalance","Pass")))</f>
        <v/>
      </c>
    </row>
    <row r="150">
      <c r="A150">
        <f>IF('Equipment Information'!A150="","", 'Equipment Information'!A150)</f>
        <v/>
      </c>
      <c r="B150">
        <f>IF('Equipment Information'!B150="","", 'Equipment Information'!B150)</f>
        <v/>
      </c>
      <c r="C150">
        <f>IF('Equipment Information'!C150="","", 'Equipment Information'!C150)</f>
        <v/>
      </c>
      <c r="I150">
        <f>IF(COUNT(F150:H150)&lt;2,"",AVERAGE(F150:H150))</f>
        <v/>
      </c>
      <c r="J150" s="3">
        <f>IF(I150="","",MAX(ABS(F150-I150),ABS(G150-I150),ABS(H150-I150))/I150)</f>
        <v/>
      </c>
      <c r="N150">
        <f>IF(COUNT(K150:M150)&lt;2,"",AVERAGE(K150:M150))</f>
        <v/>
      </c>
      <c r="R150" s="3">
        <f>IF(N150="","",MAX(ABS(K150-N150),ABS(L150-N150),ABS(M150-N150))/N150)</f>
        <v/>
      </c>
      <c r="S150">
        <f>IF(A150="","",IF(AND(F150="",K150=""),"N/A",IF(AND(J150="",R150=""),"Insufficient Load Data",IF(AND(J150&gt;0.03,R150&gt;0.15),"Voltage &amp; Current Imbalance",IF(J150&gt;0.03,"Voltage Imbalance",IF(R150&gt;0.15,"Current Imbalance","No Imbalances Detected")))))</f>
        <v/>
      </c>
      <c r="T150">
        <f>IF(A150="","",IF(AND(F150="",K150=""),"N/A",IF(OR(J150&gt;0.03,R150&gt;0.15),"Imbalance","Pass")))</f>
        <v/>
      </c>
    </row>
    <row r="151">
      <c r="A151">
        <f>IF('Equipment Information'!A151="","", 'Equipment Information'!A151)</f>
        <v/>
      </c>
      <c r="B151">
        <f>IF('Equipment Information'!B151="","", 'Equipment Information'!B151)</f>
        <v/>
      </c>
      <c r="C151">
        <f>IF('Equipment Information'!C151="","", 'Equipment Information'!C151)</f>
        <v/>
      </c>
      <c r="I151">
        <f>IF(COUNT(F151:H151)&lt;2,"",AVERAGE(F151:H151))</f>
        <v/>
      </c>
      <c r="J151" s="3">
        <f>IF(I151="","",MAX(ABS(F151-I151),ABS(G151-I151),ABS(H151-I151))/I151)</f>
        <v/>
      </c>
      <c r="N151">
        <f>IF(COUNT(K151:M151)&lt;2,"",AVERAGE(K151:M151))</f>
        <v/>
      </c>
      <c r="R151" s="3">
        <f>IF(N151="","",MAX(ABS(K151-N151),ABS(L151-N151),ABS(M151-N151))/N151)</f>
        <v/>
      </c>
      <c r="S151">
        <f>IF(A151="","",IF(AND(F151="",K151=""),"N/A",IF(AND(J151="",R151=""),"Insufficient Load Data",IF(AND(J151&gt;0.03,R151&gt;0.15),"Voltage &amp; Current Imbalance",IF(J151&gt;0.03,"Voltage Imbalance",IF(R151&gt;0.15,"Current Imbalance","No Imbalances Detected")))))</f>
        <v/>
      </c>
      <c r="T151">
        <f>IF(A151="","",IF(AND(F151="",K151=""),"N/A",IF(OR(J151&gt;0.03,R151&gt;0.15),"Imbalance","Pass")))</f>
        <v/>
      </c>
    </row>
    <row r="152">
      <c r="A152">
        <f>IF('Equipment Information'!A152="","", 'Equipment Information'!A152)</f>
        <v/>
      </c>
      <c r="B152">
        <f>IF('Equipment Information'!B152="","", 'Equipment Information'!B152)</f>
        <v/>
      </c>
      <c r="C152">
        <f>IF('Equipment Information'!C152="","", 'Equipment Information'!C152)</f>
        <v/>
      </c>
      <c r="I152">
        <f>IF(COUNT(F152:H152)&lt;2,"",AVERAGE(F152:H152))</f>
        <v/>
      </c>
      <c r="J152" s="3">
        <f>IF(I152="","",MAX(ABS(F152-I152),ABS(G152-I152),ABS(H152-I152))/I152)</f>
        <v/>
      </c>
      <c r="N152">
        <f>IF(COUNT(K152:M152)&lt;2,"",AVERAGE(K152:M152))</f>
        <v/>
      </c>
      <c r="R152" s="3">
        <f>IF(N152="","",MAX(ABS(K152-N152),ABS(L152-N152),ABS(M152-N152))/N152)</f>
        <v/>
      </c>
      <c r="S152">
        <f>IF(A152="","",IF(AND(F152="",K152=""),"N/A",IF(AND(J152="",R152=""),"Insufficient Load Data",IF(AND(J152&gt;0.03,R152&gt;0.15),"Voltage &amp; Current Imbalance",IF(J152&gt;0.03,"Voltage Imbalance",IF(R152&gt;0.15,"Current Imbalance","No Imbalances Detected")))))</f>
        <v/>
      </c>
      <c r="T152">
        <f>IF(A152="","",IF(AND(F152="",K152=""),"N/A",IF(OR(J152&gt;0.03,R152&gt;0.15),"Imbalance","Pass")))</f>
        <v/>
      </c>
    </row>
    <row r="153">
      <c r="A153">
        <f>IF('Equipment Information'!A153="","", 'Equipment Information'!A153)</f>
        <v/>
      </c>
      <c r="B153">
        <f>IF('Equipment Information'!B153="","", 'Equipment Information'!B153)</f>
        <v/>
      </c>
      <c r="C153">
        <f>IF('Equipment Information'!C153="","", 'Equipment Information'!C153)</f>
        <v/>
      </c>
      <c r="I153">
        <f>IF(COUNT(F153:H153)&lt;2,"",AVERAGE(F153:H153))</f>
        <v/>
      </c>
      <c r="J153" s="3">
        <f>IF(I153="","",MAX(ABS(F153-I153),ABS(G153-I153),ABS(H153-I153))/I153)</f>
        <v/>
      </c>
      <c r="N153">
        <f>IF(COUNT(K153:M153)&lt;2,"",AVERAGE(K153:M153))</f>
        <v/>
      </c>
      <c r="R153" s="3">
        <f>IF(N153="","",MAX(ABS(K153-N153),ABS(L153-N153),ABS(M153-N153))/N153)</f>
        <v/>
      </c>
      <c r="S153">
        <f>IF(A153="","",IF(AND(F153="",K153=""),"N/A",IF(AND(J153="",R153=""),"Insufficient Load Data",IF(AND(J153&gt;0.03,R153&gt;0.15),"Voltage &amp; Current Imbalance",IF(J153&gt;0.03,"Voltage Imbalance",IF(R153&gt;0.15,"Current Imbalance","No Imbalances Detected")))))</f>
        <v/>
      </c>
      <c r="T153">
        <f>IF(A153="","",IF(AND(F153="",K153=""),"N/A",IF(OR(J153&gt;0.03,R153&gt;0.15),"Imbalance","Pass")))</f>
        <v/>
      </c>
    </row>
    <row r="154">
      <c r="A154">
        <f>IF('Equipment Information'!A154="","", 'Equipment Information'!A154)</f>
        <v/>
      </c>
      <c r="B154">
        <f>IF('Equipment Information'!B154="","", 'Equipment Information'!B154)</f>
        <v/>
      </c>
      <c r="C154">
        <f>IF('Equipment Information'!C154="","", 'Equipment Information'!C154)</f>
        <v/>
      </c>
      <c r="I154">
        <f>IF(COUNT(F154:H154)&lt;2,"",AVERAGE(F154:H154))</f>
        <v/>
      </c>
      <c r="J154" s="3">
        <f>IF(I154="","",MAX(ABS(F154-I154),ABS(G154-I154),ABS(H154-I154))/I154)</f>
        <v/>
      </c>
      <c r="N154">
        <f>IF(COUNT(K154:M154)&lt;2,"",AVERAGE(K154:M154))</f>
        <v/>
      </c>
      <c r="R154" s="3">
        <f>IF(N154="","",MAX(ABS(K154-N154),ABS(L154-N154),ABS(M154-N154))/N154)</f>
        <v/>
      </c>
      <c r="S154">
        <f>IF(A154="","",IF(AND(F154="",K154=""),"N/A",IF(AND(J154="",R154=""),"Insufficient Load Data",IF(AND(J154&gt;0.03,R154&gt;0.15),"Voltage &amp; Current Imbalance",IF(J154&gt;0.03,"Voltage Imbalance",IF(R154&gt;0.15,"Current Imbalance","No Imbalances Detected")))))</f>
        <v/>
      </c>
      <c r="T154">
        <f>IF(A154="","",IF(AND(F154="",K154=""),"N/A",IF(OR(J154&gt;0.03,R154&gt;0.15),"Imbalance","Pass")))</f>
        <v/>
      </c>
    </row>
    <row r="155">
      <c r="A155">
        <f>IF('Equipment Information'!A155="","", 'Equipment Information'!A155)</f>
        <v/>
      </c>
      <c r="B155">
        <f>IF('Equipment Information'!B155="","", 'Equipment Information'!B155)</f>
        <v/>
      </c>
      <c r="C155">
        <f>IF('Equipment Information'!C155="","", 'Equipment Information'!C155)</f>
        <v/>
      </c>
      <c r="I155">
        <f>IF(COUNT(F155:H155)&lt;2,"",AVERAGE(F155:H155))</f>
        <v/>
      </c>
      <c r="J155" s="3">
        <f>IF(I155="","",MAX(ABS(F155-I155),ABS(G155-I155),ABS(H155-I155))/I155)</f>
        <v/>
      </c>
      <c r="N155">
        <f>IF(COUNT(K155:M155)&lt;2,"",AVERAGE(K155:M155))</f>
        <v/>
      </c>
      <c r="R155" s="3">
        <f>IF(N155="","",MAX(ABS(K155-N155),ABS(L155-N155),ABS(M155-N155))/N155)</f>
        <v/>
      </c>
      <c r="S155">
        <f>IF(A155="","",IF(AND(F155="",K155=""),"N/A",IF(AND(J155="",R155=""),"Insufficient Load Data",IF(AND(J155&gt;0.03,R155&gt;0.15),"Voltage &amp; Current Imbalance",IF(J155&gt;0.03,"Voltage Imbalance",IF(R155&gt;0.15,"Current Imbalance","No Imbalances Detected")))))</f>
        <v/>
      </c>
      <c r="T155">
        <f>IF(A155="","",IF(AND(F155="",K155=""),"N/A",IF(OR(J155&gt;0.03,R155&gt;0.15),"Imbalance","Pass")))</f>
        <v/>
      </c>
    </row>
    <row r="156">
      <c r="A156">
        <f>IF('Equipment Information'!A156="","", 'Equipment Information'!A156)</f>
        <v/>
      </c>
      <c r="B156">
        <f>IF('Equipment Information'!B156="","", 'Equipment Information'!B156)</f>
        <v/>
      </c>
      <c r="C156">
        <f>IF('Equipment Information'!C156="","", 'Equipment Information'!C156)</f>
        <v/>
      </c>
      <c r="I156">
        <f>IF(COUNT(F156:H156)&lt;2,"",AVERAGE(F156:H156))</f>
        <v/>
      </c>
      <c r="J156" s="3">
        <f>IF(I156="","",MAX(ABS(F156-I156),ABS(G156-I156),ABS(H156-I156))/I156)</f>
        <v/>
      </c>
      <c r="N156">
        <f>IF(COUNT(K156:M156)&lt;2,"",AVERAGE(K156:M156))</f>
        <v/>
      </c>
      <c r="R156" s="3">
        <f>IF(N156="","",MAX(ABS(K156-N156),ABS(L156-N156),ABS(M156-N156))/N156)</f>
        <v/>
      </c>
      <c r="S156">
        <f>IF(A156="","",IF(AND(F156="",K156=""),"N/A",IF(AND(J156="",R156=""),"Insufficient Load Data",IF(AND(J156&gt;0.03,R156&gt;0.15),"Voltage &amp; Current Imbalance",IF(J156&gt;0.03,"Voltage Imbalance",IF(R156&gt;0.15,"Current Imbalance","No Imbalances Detected")))))</f>
        <v/>
      </c>
      <c r="T156">
        <f>IF(A156="","",IF(AND(F156="",K156=""),"N/A",IF(OR(J156&gt;0.03,R156&gt;0.15),"Imbalance","Pass")))</f>
        <v/>
      </c>
    </row>
    <row r="157">
      <c r="A157">
        <f>IF('Equipment Information'!A157="","", 'Equipment Information'!A157)</f>
        <v/>
      </c>
      <c r="B157">
        <f>IF('Equipment Information'!B157="","", 'Equipment Information'!B157)</f>
        <v/>
      </c>
      <c r="C157">
        <f>IF('Equipment Information'!C157="","", 'Equipment Information'!C157)</f>
        <v/>
      </c>
      <c r="I157">
        <f>IF(COUNT(F157:H157)&lt;2,"",AVERAGE(F157:H157))</f>
        <v/>
      </c>
      <c r="J157" s="3">
        <f>IF(I157="","",MAX(ABS(F157-I157),ABS(G157-I157),ABS(H157-I157))/I157)</f>
        <v/>
      </c>
      <c r="N157">
        <f>IF(COUNT(K157:M157)&lt;2,"",AVERAGE(K157:M157))</f>
        <v/>
      </c>
      <c r="R157" s="3">
        <f>IF(N157="","",MAX(ABS(K157-N157),ABS(L157-N157),ABS(M157-N157))/N157)</f>
        <v/>
      </c>
      <c r="S157">
        <f>IF(A157="","",IF(AND(F157="",K157=""),"N/A",IF(AND(J157="",R157=""),"Insufficient Load Data",IF(AND(J157&gt;0.03,R157&gt;0.15),"Voltage &amp; Current Imbalance",IF(J157&gt;0.03,"Voltage Imbalance",IF(R157&gt;0.15,"Current Imbalance","No Imbalances Detected")))))</f>
        <v/>
      </c>
      <c r="T157">
        <f>IF(A157="","",IF(AND(F157="",K157=""),"N/A",IF(OR(J157&gt;0.03,R157&gt;0.15),"Imbalance","Pass")))</f>
        <v/>
      </c>
    </row>
    <row r="158">
      <c r="A158">
        <f>IF('Equipment Information'!A158="","", 'Equipment Information'!A158)</f>
        <v/>
      </c>
      <c r="B158">
        <f>IF('Equipment Information'!B158="","", 'Equipment Information'!B158)</f>
        <v/>
      </c>
      <c r="C158">
        <f>IF('Equipment Information'!C158="","", 'Equipment Information'!C158)</f>
        <v/>
      </c>
      <c r="I158">
        <f>IF(COUNT(F158:H158)&lt;2,"",AVERAGE(F158:H158))</f>
        <v/>
      </c>
      <c r="J158" s="3">
        <f>IF(I158="","",MAX(ABS(F158-I158),ABS(G158-I158),ABS(H158-I158))/I158)</f>
        <v/>
      </c>
      <c r="N158">
        <f>IF(COUNT(K158:M158)&lt;2,"",AVERAGE(K158:M158))</f>
        <v/>
      </c>
      <c r="R158" s="3">
        <f>IF(N158="","",MAX(ABS(K158-N158),ABS(L158-N158),ABS(M158-N158))/N158)</f>
        <v/>
      </c>
      <c r="S158">
        <f>IF(A158="","",IF(AND(F158="",K158=""),"N/A",IF(AND(J158="",R158=""),"Insufficient Load Data",IF(AND(J158&gt;0.03,R158&gt;0.15),"Voltage &amp; Current Imbalance",IF(J158&gt;0.03,"Voltage Imbalance",IF(R158&gt;0.15,"Current Imbalance","No Imbalances Detected")))))</f>
        <v/>
      </c>
      <c r="T158">
        <f>IF(A158="","",IF(AND(F158="",K158=""),"N/A",IF(OR(J158&gt;0.03,R158&gt;0.15),"Imbalance","Pass")))</f>
        <v/>
      </c>
    </row>
    <row r="159">
      <c r="A159">
        <f>IF('Equipment Information'!A159="","", 'Equipment Information'!A159)</f>
        <v/>
      </c>
      <c r="B159">
        <f>IF('Equipment Information'!B159="","", 'Equipment Information'!B159)</f>
        <v/>
      </c>
      <c r="C159">
        <f>IF('Equipment Information'!C159="","", 'Equipment Information'!C159)</f>
        <v/>
      </c>
      <c r="I159">
        <f>IF(COUNT(F159:H159)&lt;2,"",AVERAGE(F159:H159))</f>
        <v/>
      </c>
      <c r="J159" s="3">
        <f>IF(I159="","",MAX(ABS(F159-I159),ABS(G159-I159),ABS(H159-I159))/I159)</f>
        <v/>
      </c>
      <c r="N159">
        <f>IF(COUNT(K159:M159)&lt;2,"",AVERAGE(K159:M159))</f>
        <v/>
      </c>
      <c r="R159" s="3">
        <f>IF(N159="","",MAX(ABS(K159-N159),ABS(L159-N159),ABS(M159-N159))/N159)</f>
        <v/>
      </c>
      <c r="S159">
        <f>IF(A159="","",IF(AND(F159="",K159=""),"N/A",IF(AND(J159="",R159=""),"Insufficient Load Data",IF(AND(J159&gt;0.03,R159&gt;0.15),"Voltage &amp; Current Imbalance",IF(J159&gt;0.03,"Voltage Imbalance",IF(R159&gt;0.15,"Current Imbalance","No Imbalances Detected")))))</f>
        <v/>
      </c>
      <c r="T159">
        <f>IF(A159="","",IF(AND(F159="",K159=""),"N/A",IF(OR(J159&gt;0.03,R159&gt;0.15),"Imbalance","Pass")))</f>
        <v/>
      </c>
    </row>
    <row r="160">
      <c r="A160">
        <f>IF('Equipment Information'!A160="","", 'Equipment Information'!A160)</f>
        <v/>
      </c>
      <c r="B160">
        <f>IF('Equipment Information'!B160="","", 'Equipment Information'!B160)</f>
        <v/>
      </c>
      <c r="C160">
        <f>IF('Equipment Information'!C160="","", 'Equipment Information'!C160)</f>
        <v/>
      </c>
      <c r="I160">
        <f>IF(COUNT(F160:H160)&lt;2,"",AVERAGE(F160:H160))</f>
        <v/>
      </c>
      <c r="J160" s="3">
        <f>IF(I160="","",MAX(ABS(F160-I160),ABS(G160-I160),ABS(H160-I160))/I160)</f>
        <v/>
      </c>
      <c r="N160">
        <f>IF(COUNT(K160:M160)&lt;2,"",AVERAGE(K160:M160))</f>
        <v/>
      </c>
      <c r="R160" s="3">
        <f>IF(N160="","",MAX(ABS(K160-N160),ABS(L160-N160),ABS(M160-N160))/N160)</f>
        <v/>
      </c>
      <c r="S160">
        <f>IF(A160="","",IF(AND(F160="",K160=""),"N/A",IF(AND(J160="",R160=""),"Insufficient Load Data",IF(AND(J160&gt;0.03,R160&gt;0.15),"Voltage &amp; Current Imbalance",IF(J160&gt;0.03,"Voltage Imbalance",IF(R160&gt;0.15,"Current Imbalance","No Imbalances Detected")))))</f>
        <v/>
      </c>
      <c r="T160">
        <f>IF(A160="","",IF(AND(F160="",K160=""),"N/A",IF(OR(J160&gt;0.03,R160&gt;0.15),"Imbalance","Pass")))</f>
        <v/>
      </c>
    </row>
    <row r="161">
      <c r="A161">
        <f>IF('Equipment Information'!A161="","", 'Equipment Information'!A161)</f>
        <v/>
      </c>
      <c r="B161">
        <f>IF('Equipment Information'!B161="","", 'Equipment Information'!B161)</f>
        <v/>
      </c>
      <c r="C161">
        <f>IF('Equipment Information'!C161="","", 'Equipment Information'!C161)</f>
        <v/>
      </c>
      <c r="I161">
        <f>IF(COUNT(F161:H161)&lt;2,"",AVERAGE(F161:H161))</f>
        <v/>
      </c>
      <c r="J161" s="3">
        <f>IF(I161="","",MAX(ABS(F161-I161),ABS(G161-I161),ABS(H161-I161))/I161)</f>
        <v/>
      </c>
      <c r="N161">
        <f>IF(COUNT(K161:M161)&lt;2,"",AVERAGE(K161:M161))</f>
        <v/>
      </c>
      <c r="R161" s="3">
        <f>IF(N161="","",MAX(ABS(K161-N161),ABS(L161-N161),ABS(M161-N161))/N161)</f>
        <v/>
      </c>
      <c r="S161">
        <f>IF(A161="","",IF(AND(F161="",K161=""),"N/A",IF(AND(J161="",R161=""),"Insufficient Load Data",IF(AND(J161&gt;0.03,R161&gt;0.15),"Voltage &amp; Current Imbalance",IF(J161&gt;0.03,"Voltage Imbalance",IF(R161&gt;0.15,"Current Imbalance","No Imbalances Detected")))))</f>
        <v/>
      </c>
      <c r="T161">
        <f>IF(A161="","",IF(AND(F161="",K161=""),"N/A",IF(OR(J161&gt;0.03,R161&gt;0.15),"Imbalance","Pass")))</f>
        <v/>
      </c>
    </row>
    <row r="162">
      <c r="A162">
        <f>IF('Equipment Information'!A162="","", 'Equipment Information'!A162)</f>
        <v/>
      </c>
      <c r="B162">
        <f>IF('Equipment Information'!B162="","", 'Equipment Information'!B162)</f>
        <v/>
      </c>
      <c r="C162">
        <f>IF('Equipment Information'!C162="","", 'Equipment Information'!C162)</f>
        <v/>
      </c>
      <c r="I162">
        <f>IF(COUNT(F162:H162)&lt;2,"",AVERAGE(F162:H162))</f>
        <v/>
      </c>
      <c r="J162" s="3">
        <f>IF(I162="","",MAX(ABS(F162-I162),ABS(G162-I162),ABS(H162-I162))/I162)</f>
        <v/>
      </c>
      <c r="N162">
        <f>IF(COUNT(K162:M162)&lt;2,"",AVERAGE(K162:M162))</f>
        <v/>
      </c>
      <c r="R162" s="3">
        <f>IF(N162="","",MAX(ABS(K162-N162),ABS(L162-N162),ABS(M162-N162))/N162)</f>
        <v/>
      </c>
      <c r="S162">
        <f>IF(A162="","",IF(AND(F162="",K162=""),"N/A",IF(AND(J162="",R162=""),"Insufficient Load Data",IF(AND(J162&gt;0.03,R162&gt;0.15),"Voltage &amp; Current Imbalance",IF(J162&gt;0.03,"Voltage Imbalance",IF(R162&gt;0.15,"Current Imbalance","No Imbalances Detected")))))</f>
        <v/>
      </c>
      <c r="T162">
        <f>IF(A162="","",IF(AND(F162="",K162=""),"N/A",IF(OR(J162&gt;0.03,R162&gt;0.15),"Imbalance","Pass")))</f>
        <v/>
      </c>
    </row>
    <row r="163">
      <c r="A163">
        <f>IF('Equipment Information'!A163="","", 'Equipment Information'!A163)</f>
        <v/>
      </c>
      <c r="B163">
        <f>IF('Equipment Information'!B163="","", 'Equipment Information'!B163)</f>
        <v/>
      </c>
      <c r="C163">
        <f>IF('Equipment Information'!C163="","", 'Equipment Information'!C163)</f>
        <v/>
      </c>
      <c r="I163">
        <f>IF(COUNT(F163:H163)&lt;2,"",AVERAGE(F163:H163))</f>
        <v/>
      </c>
      <c r="J163" s="3">
        <f>IF(I163="","",MAX(ABS(F163-I163),ABS(G163-I163),ABS(H163-I163))/I163)</f>
        <v/>
      </c>
      <c r="N163">
        <f>IF(COUNT(K163:M163)&lt;2,"",AVERAGE(K163:M163))</f>
        <v/>
      </c>
      <c r="R163" s="3">
        <f>IF(N163="","",MAX(ABS(K163-N163),ABS(L163-N163),ABS(M163-N163))/N163)</f>
        <v/>
      </c>
      <c r="S163">
        <f>IF(A163="","",IF(AND(F163="",K163=""),"N/A",IF(AND(J163="",R163=""),"Insufficient Load Data",IF(AND(J163&gt;0.03,R163&gt;0.15),"Voltage &amp; Current Imbalance",IF(J163&gt;0.03,"Voltage Imbalance",IF(R163&gt;0.15,"Current Imbalance","No Imbalances Detected")))))</f>
        <v/>
      </c>
      <c r="T163">
        <f>IF(A163="","",IF(AND(F163="",K163=""),"N/A",IF(OR(J163&gt;0.03,R163&gt;0.15),"Imbalance","Pass")))</f>
        <v/>
      </c>
    </row>
    <row r="164">
      <c r="A164">
        <f>IF('Equipment Information'!A164="","", 'Equipment Information'!A164)</f>
        <v/>
      </c>
      <c r="B164">
        <f>IF('Equipment Information'!B164="","", 'Equipment Information'!B164)</f>
        <v/>
      </c>
      <c r="C164">
        <f>IF('Equipment Information'!C164="","", 'Equipment Information'!C164)</f>
        <v/>
      </c>
      <c r="I164">
        <f>IF(COUNT(F164:H164)&lt;2,"",AVERAGE(F164:H164))</f>
        <v/>
      </c>
      <c r="J164" s="3">
        <f>IF(I164="","",MAX(ABS(F164-I164),ABS(G164-I164),ABS(H164-I164))/I164)</f>
        <v/>
      </c>
      <c r="N164">
        <f>IF(COUNT(K164:M164)&lt;2,"",AVERAGE(K164:M164))</f>
        <v/>
      </c>
      <c r="R164" s="3">
        <f>IF(N164="","",MAX(ABS(K164-N164),ABS(L164-N164),ABS(M164-N164))/N164)</f>
        <v/>
      </c>
      <c r="S164">
        <f>IF(A164="","",IF(AND(F164="",K164=""),"N/A",IF(AND(J164="",R164=""),"Insufficient Load Data",IF(AND(J164&gt;0.03,R164&gt;0.15),"Voltage &amp; Current Imbalance",IF(J164&gt;0.03,"Voltage Imbalance",IF(R164&gt;0.15,"Current Imbalance","No Imbalances Detected")))))</f>
        <v/>
      </c>
      <c r="T164">
        <f>IF(A164="","",IF(AND(F164="",K164=""),"N/A",IF(OR(J164&gt;0.03,R164&gt;0.15),"Imbalance","Pass")))</f>
        <v/>
      </c>
    </row>
    <row r="165">
      <c r="A165">
        <f>IF('Equipment Information'!A165="","", 'Equipment Information'!A165)</f>
        <v/>
      </c>
      <c r="B165">
        <f>IF('Equipment Information'!B165="","", 'Equipment Information'!B165)</f>
        <v/>
      </c>
      <c r="C165">
        <f>IF('Equipment Information'!C165="","", 'Equipment Information'!C165)</f>
        <v/>
      </c>
      <c r="I165">
        <f>IF(COUNT(F165:H165)&lt;2,"",AVERAGE(F165:H165))</f>
        <v/>
      </c>
      <c r="J165" s="3">
        <f>IF(I165="","",MAX(ABS(F165-I165),ABS(G165-I165),ABS(H165-I165))/I165)</f>
        <v/>
      </c>
      <c r="N165">
        <f>IF(COUNT(K165:M165)&lt;2,"",AVERAGE(K165:M165))</f>
        <v/>
      </c>
      <c r="R165" s="3">
        <f>IF(N165="","",MAX(ABS(K165-N165),ABS(L165-N165),ABS(M165-N165))/N165)</f>
        <v/>
      </c>
      <c r="S165">
        <f>IF(A165="","",IF(AND(F165="",K165=""),"N/A",IF(AND(J165="",R165=""),"Insufficient Load Data",IF(AND(J165&gt;0.03,R165&gt;0.15),"Voltage &amp; Current Imbalance",IF(J165&gt;0.03,"Voltage Imbalance",IF(R165&gt;0.15,"Current Imbalance","No Imbalances Detected")))))</f>
        <v/>
      </c>
      <c r="T165">
        <f>IF(A165="","",IF(AND(F165="",K165=""),"N/A",IF(OR(J165&gt;0.03,R165&gt;0.15),"Imbalance","Pass")))</f>
        <v/>
      </c>
    </row>
    <row r="166">
      <c r="A166">
        <f>IF('Equipment Information'!A166="","", 'Equipment Information'!A166)</f>
        <v/>
      </c>
      <c r="B166">
        <f>IF('Equipment Information'!B166="","", 'Equipment Information'!B166)</f>
        <v/>
      </c>
      <c r="C166">
        <f>IF('Equipment Information'!C166="","", 'Equipment Information'!C166)</f>
        <v/>
      </c>
      <c r="I166">
        <f>IF(COUNT(F166:H166)&lt;2,"",AVERAGE(F166:H166))</f>
        <v/>
      </c>
      <c r="J166" s="3">
        <f>IF(I166="","",MAX(ABS(F166-I166),ABS(G166-I166),ABS(H166-I166))/I166)</f>
        <v/>
      </c>
      <c r="N166">
        <f>IF(COUNT(K166:M166)&lt;2,"",AVERAGE(K166:M166))</f>
        <v/>
      </c>
      <c r="R166" s="3">
        <f>IF(N166="","",MAX(ABS(K166-N166),ABS(L166-N166),ABS(M166-N166))/N166)</f>
        <v/>
      </c>
      <c r="S166">
        <f>IF(A166="","",IF(AND(F166="",K166=""),"N/A",IF(AND(J166="",R166=""),"Insufficient Load Data",IF(AND(J166&gt;0.03,R166&gt;0.15),"Voltage &amp; Current Imbalance",IF(J166&gt;0.03,"Voltage Imbalance",IF(R166&gt;0.15,"Current Imbalance","No Imbalances Detected")))))</f>
        <v/>
      </c>
      <c r="T166">
        <f>IF(A166="","",IF(AND(F166="",K166=""),"N/A",IF(OR(J166&gt;0.03,R166&gt;0.15),"Imbalance","Pass")))</f>
        <v/>
      </c>
    </row>
    <row r="167">
      <c r="A167">
        <f>IF('Equipment Information'!A167="","", 'Equipment Information'!A167)</f>
        <v/>
      </c>
      <c r="B167">
        <f>IF('Equipment Information'!B167="","", 'Equipment Information'!B167)</f>
        <v/>
      </c>
      <c r="C167">
        <f>IF('Equipment Information'!C167="","", 'Equipment Information'!C167)</f>
        <v/>
      </c>
      <c r="I167">
        <f>IF(COUNT(F167:H167)&lt;2,"",AVERAGE(F167:H167))</f>
        <v/>
      </c>
      <c r="J167" s="3">
        <f>IF(I167="","",MAX(ABS(F167-I167),ABS(G167-I167),ABS(H167-I167))/I167)</f>
        <v/>
      </c>
      <c r="N167">
        <f>IF(COUNT(K167:M167)&lt;2,"",AVERAGE(K167:M167))</f>
        <v/>
      </c>
      <c r="R167" s="3">
        <f>IF(N167="","",MAX(ABS(K167-N167),ABS(L167-N167),ABS(M167-N167))/N167)</f>
        <v/>
      </c>
      <c r="S167">
        <f>IF(A167="","",IF(AND(F167="",K167=""),"N/A",IF(AND(J167="",R167=""),"Insufficient Load Data",IF(AND(J167&gt;0.03,R167&gt;0.15),"Voltage &amp; Current Imbalance",IF(J167&gt;0.03,"Voltage Imbalance",IF(R167&gt;0.15,"Current Imbalance","No Imbalances Detected")))))</f>
        <v/>
      </c>
      <c r="T167">
        <f>IF(A167="","",IF(AND(F167="",K167=""),"N/A",IF(OR(J167&gt;0.03,R167&gt;0.15),"Imbalance","Pass")))</f>
        <v/>
      </c>
    </row>
    <row r="168">
      <c r="A168">
        <f>IF('Equipment Information'!A168="","", 'Equipment Information'!A168)</f>
        <v/>
      </c>
      <c r="B168">
        <f>IF('Equipment Information'!B168="","", 'Equipment Information'!B168)</f>
        <v/>
      </c>
      <c r="C168">
        <f>IF('Equipment Information'!C168="","", 'Equipment Information'!C168)</f>
        <v/>
      </c>
      <c r="I168">
        <f>IF(COUNT(F168:H168)&lt;2,"",AVERAGE(F168:H168))</f>
        <v/>
      </c>
      <c r="J168" s="3">
        <f>IF(I168="","",MAX(ABS(F168-I168),ABS(G168-I168),ABS(H168-I168))/I168)</f>
        <v/>
      </c>
      <c r="N168">
        <f>IF(COUNT(K168:M168)&lt;2,"",AVERAGE(K168:M168))</f>
        <v/>
      </c>
      <c r="R168" s="3">
        <f>IF(N168="","",MAX(ABS(K168-N168),ABS(L168-N168),ABS(M168-N168))/N168)</f>
        <v/>
      </c>
      <c r="S168">
        <f>IF(A168="","",IF(AND(F168="",K168=""),"N/A",IF(AND(J168="",R168=""),"Insufficient Load Data",IF(AND(J168&gt;0.03,R168&gt;0.15),"Voltage &amp; Current Imbalance",IF(J168&gt;0.03,"Voltage Imbalance",IF(R168&gt;0.15,"Current Imbalance","No Imbalances Detected")))))</f>
        <v/>
      </c>
      <c r="T168">
        <f>IF(A168="","",IF(AND(F168="",K168=""),"N/A",IF(OR(J168&gt;0.03,R168&gt;0.15),"Imbalance","Pass")))</f>
        <v/>
      </c>
    </row>
    <row r="169">
      <c r="A169">
        <f>IF('Equipment Information'!A169="","", 'Equipment Information'!A169)</f>
        <v/>
      </c>
      <c r="B169">
        <f>IF('Equipment Information'!B169="","", 'Equipment Information'!B169)</f>
        <v/>
      </c>
      <c r="C169">
        <f>IF('Equipment Information'!C169="","", 'Equipment Information'!C169)</f>
        <v/>
      </c>
      <c r="I169">
        <f>IF(COUNT(F169:H169)&lt;2,"",AVERAGE(F169:H169))</f>
        <v/>
      </c>
      <c r="J169" s="3">
        <f>IF(I169="","",MAX(ABS(F169-I169),ABS(G169-I169),ABS(H169-I169))/I169)</f>
        <v/>
      </c>
      <c r="N169">
        <f>IF(COUNT(K169:M169)&lt;2,"",AVERAGE(K169:M169))</f>
        <v/>
      </c>
      <c r="R169" s="3">
        <f>IF(N169="","",MAX(ABS(K169-N169),ABS(L169-N169),ABS(M169-N169))/N169)</f>
        <v/>
      </c>
      <c r="S169">
        <f>IF(A169="","",IF(AND(F169="",K169=""),"N/A",IF(AND(J169="",R169=""),"Insufficient Load Data",IF(AND(J169&gt;0.03,R169&gt;0.15),"Voltage &amp; Current Imbalance",IF(J169&gt;0.03,"Voltage Imbalance",IF(R169&gt;0.15,"Current Imbalance","No Imbalances Detected")))))</f>
        <v/>
      </c>
      <c r="T169">
        <f>IF(A169="","",IF(AND(F169="",K169=""),"N/A",IF(OR(J169&gt;0.03,R169&gt;0.15),"Imbalance","Pass")))</f>
        <v/>
      </c>
    </row>
    <row r="170">
      <c r="A170">
        <f>IF('Equipment Information'!A170="","", 'Equipment Information'!A170)</f>
        <v/>
      </c>
      <c r="B170">
        <f>IF('Equipment Information'!B170="","", 'Equipment Information'!B170)</f>
        <v/>
      </c>
      <c r="C170">
        <f>IF('Equipment Information'!C170="","", 'Equipment Information'!C170)</f>
        <v/>
      </c>
      <c r="I170">
        <f>IF(COUNT(F170:H170)&lt;2,"",AVERAGE(F170:H170))</f>
        <v/>
      </c>
      <c r="J170" s="3">
        <f>IF(I170="","",MAX(ABS(F170-I170),ABS(G170-I170),ABS(H170-I170))/I170)</f>
        <v/>
      </c>
      <c r="N170">
        <f>IF(COUNT(K170:M170)&lt;2,"",AVERAGE(K170:M170))</f>
        <v/>
      </c>
      <c r="R170" s="3">
        <f>IF(N170="","",MAX(ABS(K170-N170),ABS(L170-N170),ABS(M170-N170))/N170)</f>
        <v/>
      </c>
      <c r="S170">
        <f>IF(A170="","",IF(AND(F170="",K170=""),"N/A",IF(AND(J170="",R170=""),"Insufficient Load Data",IF(AND(J170&gt;0.03,R170&gt;0.15),"Voltage &amp; Current Imbalance",IF(J170&gt;0.03,"Voltage Imbalance",IF(R170&gt;0.15,"Current Imbalance","No Imbalances Detected")))))</f>
        <v/>
      </c>
      <c r="T170">
        <f>IF(A170="","",IF(AND(F170="",K170=""),"N/A",IF(OR(J170&gt;0.03,R170&gt;0.15),"Imbalance","Pass")))</f>
        <v/>
      </c>
    </row>
    <row r="171">
      <c r="A171">
        <f>IF('Equipment Information'!A171="","", 'Equipment Information'!A171)</f>
        <v/>
      </c>
      <c r="B171">
        <f>IF('Equipment Information'!B171="","", 'Equipment Information'!B171)</f>
        <v/>
      </c>
      <c r="C171">
        <f>IF('Equipment Information'!C171="","", 'Equipment Information'!C171)</f>
        <v/>
      </c>
      <c r="I171">
        <f>IF(COUNT(F171:H171)&lt;2,"",AVERAGE(F171:H171))</f>
        <v/>
      </c>
      <c r="J171" s="3">
        <f>IF(I171="","",MAX(ABS(F171-I171),ABS(G171-I171),ABS(H171-I171))/I171)</f>
        <v/>
      </c>
      <c r="N171">
        <f>IF(COUNT(K171:M171)&lt;2,"",AVERAGE(K171:M171))</f>
        <v/>
      </c>
      <c r="R171" s="3">
        <f>IF(N171="","",MAX(ABS(K171-N171),ABS(L171-N171),ABS(M171-N171))/N171)</f>
        <v/>
      </c>
      <c r="S171">
        <f>IF(A171="","",IF(AND(F171="",K171=""),"N/A",IF(AND(J171="",R171=""),"Insufficient Load Data",IF(AND(J171&gt;0.03,R171&gt;0.15),"Voltage &amp; Current Imbalance",IF(J171&gt;0.03,"Voltage Imbalance",IF(R171&gt;0.15,"Current Imbalance","No Imbalances Detected")))))</f>
        <v/>
      </c>
      <c r="T171">
        <f>IF(A171="","",IF(AND(F171="",K171=""),"N/A",IF(OR(J171&gt;0.03,R171&gt;0.15),"Imbalance","Pass")))</f>
        <v/>
      </c>
    </row>
    <row r="172">
      <c r="A172">
        <f>IF('Equipment Information'!A172="","", 'Equipment Information'!A172)</f>
        <v/>
      </c>
      <c r="B172">
        <f>IF('Equipment Information'!B172="","", 'Equipment Information'!B172)</f>
        <v/>
      </c>
      <c r="C172">
        <f>IF('Equipment Information'!C172="","", 'Equipment Information'!C172)</f>
        <v/>
      </c>
      <c r="I172">
        <f>IF(COUNT(F172:H172)&lt;2,"",AVERAGE(F172:H172))</f>
        <v/>
      </c>
      <c r="J172" s="3">
        <f>IF(I172="","",MAX(ABS(F172-I172),ABS(G172-I172),ABS(H172-I172))/I172)</f>
        <v/>
      </c>
      <c r="N172">
        <f>IF(COUNT(K172:M172)&lt;2,"",AVERAGE(K172:M172))</f>
        <v/>
      </c>
      <c r="R172" s="3">
        <f>IF(N172="","",MAX(ABS(K172-N172),ABS(L172-N172),ABS(M172-N172))/N172)</f>
        <v/>
      </c>
      <c r="S172">
        <f>IF(A172="","",IF(AND(F172="",K172=""),"N/A",IF(AND(J172="",R172=""),"Insufficient Load Data",IF(AND(J172&gt;0.03,R172&gt;0.15),"Voltage &amp; Current Imbalance",IF(J172&gt;0.03,"Voltage Imbalance",IF(R172&gt;0.15,"Current Imbalance","No Imbalances Detected")))))</f>
        <v/>
      </c>
      <c r="T172">
        <f>IF(A172="","",IF(AND(F172="",K172=""),"N/A",IF(OR(J172&gt;0.03,R172&gt;0.15),"Imbalance","Pass")))</f>
        <v/>
      </c>
    </row>
    <row r="173">
      <c r="A173">
        <f>IF('Equipment Information'!A173="","", 'Equipment Information'!A173)</f>
        <v/>
      </c>
      <c r="B173">
        <f>IF('Equipment Information'!B173="","", 'Equipment Information'!B173)</f>
        <v/>
      </c>
      <c r="C173">
        <f>IF('Equipment Information'!C173="","", 'Equipment Information'!C173)</f>
        <v/>
      </c>
      <c r="I173">
        <f>IF(COUNT(F173:H173)&lt;2,"",AVERAGE(F173:H173))</f>
        <v/>
      </c>
      <c r="J173" s="3">
        <f>IF(I173="","",MAX(ABS(F173-I173),ABS(G173-I173),ABS(H173-I173))/I173)</f>
        <v/>
      </c>
      <c r="N173">
        <f>IF(COUNT(K173:M173)&lt;2,"",AVERAGE(K173:M173))</f>
        <v/>
      </c>
      <c r="R173" s="3">
        <f>IF(N173="","",MAX(ABS(K173-N173),ABS(L173-N173),ABS(M173-N173))/N173)</f>
        <v/>
      </c>
      <c r="S173">
        <f>IF(A173="","",IF(AND(F173="",K173=""),"N/A",IF(AND(J173="",R173=""),"Insufficient Load Data",IF(AND(J173&gt;0.03,R173&gt;0.15),"Voltage &amp; Current Imbalance",IF(J173&gt;0.03,"Voltage Imbalance",IF(R173&gt;0.15,"Current Imbalance","No Imbalances Detected")))))</f>
        <v/>
      </c>
      <c r="T173">
        <f>IF(A173="","",IF(AND(F173="",K173=""),"N/A",IF(OR(J173&gt;0.03,R173&gt;0.15),"Imbalance","Pass")))</f>
        <v/>
      </c>
    </row>
    <row r="174">
      <c r="A174">
        <f>IF('Equipment Information'!A174="","", 'Equipment Information'!A174)</f>
        <v/>
      </c>
      <c r="B174">
        <f>IF('Equipment Information'!B174="","", 'Equipment Information'!B174)</f>
        <v/>
      </c>
      <c r="C174">
        <f>IF('Equipment Information'!C174="","", 'Equipment Information'!C174)</f>
        <v/>
      </c>
      <c r="I174">
        <f>IF(COUNT(F174:H174)&lt;2,"",AVERAGE(F174:H174))</f>
        <v/>
      </c>
      <c r="J174" s="3">
        <f>IF(I174="","",MAX(ABS(F174-I174),ABS(G174-I174),ABS(H174-I174))/I174)</f>
        <v/>
      </c>
      <c r="N174">
        <f>IF(COUNT(K174:M174)&lt;2,"",AVERAGE(K174:M174))</f>
        <v/>
      </c>
      <c r="R174" s="3">
        <f>IF(N174="","",MAX(ABS(K174-N174),ABS(L174-N174),ABS(M174-N174))/N174)</f>
        <v/>
      </c>
      <c r="S174">
        <f>IF(A174="","",IF(AND(F174="",K174=""),"N/A",IF(AND(J174="",R174=""),"Insufficient Load Data",IF(AND(J174&gt;0.03,R174&gt;0.15),"Voltage &amp; Current Imbalance",IF(J174&gt;0.03,"Voltage Imbalance",IF(R174&gt;0.15,"Current Imbalance","No Imbalances Detected")))))</f>
        <v/>
      </c>
      <c r="T174">
        <f>IF(A174="","",IF(AND(F174="",K174=""),"N/A",IF(OR(J174&gt;0.03,R174&gt;0.15),"Imbalance","Pass")))</f>
        <v/>
      </c>
    </row>
    <row r="175">
      <c r="A175">
        <f>IF('Equipment Information'!A175="","", 'Equipment Information'!A175)</f>
        <v/>
      </c>
      <c r="B175">
        <f>IF('Equipment Information'!B175="","", 'Equipment Information'!B175)</f>
        <v/>
      </c>
      <c r="C175">
        <f>IF('Equipment Information'!C175="","", 'Equipment Information'!C175)</f>
        <v/>
      </c>
      <c r="I175">
        <f>IF(COUNT(F175:H175)&lt;2,"",AVERAGE(F175:H175))</f>
        <v/>
      </c>
      <c r="J175" s="3">
        <f>IF(I175="","",MAX(ABS(F175-I175),ABS(G175-I175),ABS(H175-I175))/I175)</f>
        <v/>
      </c>
      <c r="N175">
        <f>IF(COUNT(K175:M175)&lt;2,"",AVERAGE(K175:M175))</f>
        <v/>
      </c>
      <c r="R175" s="3">
        <f>IF(N175="","",MAX(ABS(K175-N175),ABS(L175-N175),ABS(M175-N175))/N175)</f>
        <v/>
      </c>
      <c r="S175">
        <f>IF(A175="","",IF(AND(F175="",K175=""),"N/A",IF(AND(J175="",R175=""),"Insufficient Load Data",IF(AND(J175&gt;0.03,R175&gt;0.15),"Voltage &amp; Current Imbalance",IF(J175&gt;0.03,"Voltage Imbalance",IF(R175&gt;0.15,"Current Imbalance","No Imbalances Detected")))))</f>
        <v/>
      </c>
      <c r="T175">
        <f>IF(A175="","",IF(AND(F175="",K175=""),"N/A",IF(OR(J175&gt;0.03,R175&gt;0.15),"Imbalance","Pass")))</f>
        <v/>
      </c>
    </row>
    <row r="176">
      <c r="A176">
        <f>IF('Equipment Information'!A176="","", 'Equipment Information'!A176)</f>
        <v/>
      </c>
      <c r="B176">
        <f>IF('Equipment Information'!B176="","", 'Equipment Information'!B176)</f>
        <v/>
      </c>
      <c r="C176">
        <f>IF('Equipment Information'!C176="","", 'Equipment Information'!C176)</f>
        <v/>
      </c>
      <c r="I176">
        <f>IF(COUNT(F176:H176)&lt;2,"",AVERAGE(F176:H176))</f>
        <v/>
      </c>
      <c r="J176" s="3">
        <f>IF(I176="","",MAX(ABS(F176-I176),ABS(G176-I176),ABS(H176-I176))/I176)</f>
        <v/>
      </c>
      <c r="N176">
        <f>IF(COUNT(K176:M176)&lt;2,"",AVERAGE(K176:M176))</f>
        <v/>
      </c>
      <c r="R176" s="3">
        <f>IF(N176="","",MAX(ABS(K176-N176),ABS(L176-N176),ABS(M176-N176))/N176)</f>
        <v/>
      </c>
      <c r="S176">
        <f>IF(A176="","",IF(AND(F176="",K176=""),"N/A",IF(AND(J176="",R176=""),"Insufficient Load Data",IF(AND(J176&gt;0.03,R176&gt;0.15),"Voltage &amp; Current Imbalance",IF(J176&gt;0.03,"Voltage Imbalance",IF(R176&gt;0.15,"Current Imbalance","No Imbalances Detected")))))</f>
        <v/>
      </c>
      <c r="T176">
        <f>IF(A176="","",IF(AND(F176="",K176=""),"N/A",IF(OR(J176&gt;0.03,R176&gt;0.15),"Imbalance","Pass")))</f>
        <v/>
      </c>
    </row>
    <row r="177">
      <c r="A177">
        <f>IF('Equipment Information'!A177="","", 'Equipment Information'!A177)</f>
        <v/>
      </c>
      <c r="B177">
        <f>IF('Equipment Information'!B177="","", 'Equipment Information'!B177)</f>
        <v/>
      </c>
      <c r="C177">
        <f>IF('Equipment Information'!C177="","", 'Equipment Information'!C177)</f>
        <v/>
      </c>
      <c r="I177">
        <f>IF(COUNT(F177:H177)&lt;2,"",AVERAGE(F177:H177))</f>
        <v/>
      </c>
      <c r="J177" s="3">
        <f>IF(I177="","",MAX(ABS(F177-I177),ABS(G177-I177),ABS(H177-I177))/I177)</f>
        <v/>
      </c>
      <c r="N177">
        <f>IF(COUNT(K177:M177)&lt;2,"",AVERAGE(K177:M177))</f>
        <v/>
      </c>
      <c r="R177" s="3">
        <f>IF(N177="","",MAX(ABS(K177-N177),ABS(L177-N177),ABS(M177-N177))/N177)</f>
        <v/>
      </c>
      <c r="S177">
        <f>IF(A177="","",IF(AND(F177="",K177=""),"N/A",IF(AND(J177="",R177=""),"Insufficient Load Data",IF(AND(J177&gt;0.03,R177&gt;0.15),"Voltage &amp; Current Imbalance",IF(J177&gt;0.03,"Voltage Imbalance",IF(R177&gt;0.15,"Current Imbalance","No Imbalances Detected")))))</f>
        <v/>
      </c>
      <c r="T177">
        <f>IF(A177="","",IF(AND(F177="",K177=""),"N/A",IF(OR(J177&gt;0.03,R177&gt;0.15),"Imbalance","Pass")))</f>
        <v/>
      </c>
    </row>
    <row r="178">
      <c r="A178">
        <f>IF('Equipment Information'!A178="","", 'Equipment Information'!A178)</f>
        <v/>
      </c>
      <c r="B178">
        <f>IF('Equipment Information'!B178="","", 'Equipment Information'!B178)</f>
        <v/>
      </c>
      <c r="C178">
        <f>IF('Equipment Information'!C178="","", 'Equipment Information'!C178)</f>
        <v/>
      </c>
      <c r="I178">
        <f>IF(COUNT(F178:H178)&lt;2,"",AVERAGE(F178:H178))</f>
        <v/>
      </c>
      <c r="J178" s="3">
        <f>IF(I178="","",MAX(ABS(F178-I178),ABS(G178-I178),ABS(H178-I178))/I178)</f>
        <v/>
      </c>
      <c r="N178">
        <f>IF(COUNT(K178:M178)&lt;2,"",AVERAGE(K178:M178))</f>
        <v/>
      </c>
      <c r="R178" s="3">
        <f>IF(N178="","",MAX(ABS(K178-N178),ABS(L178-N178),ABS(M178-N178))/N178)</f>
        <v/>
      </c>
      <c r="S178">
        <f>IF(A178="","",IF(AND(F178="",K178=""),"N/A",IF(AND(J178="",R178=""),"Insufficient Load Data",IF(AND(J178&gt;0.03,R178&gt;0.15),"Voltage &amp; Current Imbalance",IF(J178&gt;0.03,"Voltage Imbalance",IF(R178&gt;0.15,"Current Imbalance","No Imbalances Detected")))))</f>
        <v/>
      </c>
      <c r="T178">
        <f>IF(A178="","",IF(AND(F178="",K178=""),"N/A",IF(OR(J178&gt;0.03,R178&gt;0.15),"Imbalance","Pass")))</f>
        <v/>
      </c>
    </row>
    <row r="179">
      <c r="A179">
        <f>IF('Equipment Information'!A179="","", 'Equipment Information'!A179)</f>
        <v/>
      </c>
      <c r="B179">
        <f>IF('Equipment Information'!B179="","", 'Equipment Information'!B179)</f>
        <v/>
      </c>
      <c r="C179">
        <f>IF('Equipment Information'!C179="","", 'Equipment Information'!C179)</f>
        <v/>
      </c>
      <c r="I179">
        <f>IF(COUNT(F179:H179)&lt;2,"",AVERAGE(F179:H179))</f>
        <v/>
      </c>
      <c r="J179" s="3">
        <f>IF(I179="","",MAX(ABS(F179-I179),ABS(G179-I179),ABS(H179-I179))/I179)</f>
        <v/>
      </c>
      <c r="N179">
        <f>IF(COUNT(K179:M179)&lt;2,"",AVERAGE(K179:M179))</f>
        <v/>
      </c>
      <c r="R179" s="3">
        <f>IF(N179="","",MAX(ABS(K179-N179),ABS(L179-N179),ABS(M179-N179))/N179)</f>
        <v/>
      </c>
      <c r="S179">
        <f>IF(A179="","",IF(AND(F179="",K179=""),"N/A",IF(AND(J179="",R179=""),"Insufficient Load Data",IF(AND(J179&gt;0.03,R179&gt;0.15),"Voltage &amp; Current Imbalance",IF(J179&gt;0.03,"Voltage Imbalance",IF(R179&gt;0.15,"Current Imbalance","No Imbalances Detected")))))</f>
        <v/>
      </c>
      <c r="T179">
        <f>IF(A179="","",IF(AND(F179="",K179=""),"N/A",IF(OR(J179&gt;0.03,R179&gt;0.15),"Imbalance","Pass")))</f>
        <v/>
      </c>
    </row>
    <row r="180">
      <c r="A180">
        <f>IF('Equipment Information'!A180="","", 'Equipment Information'!A180)</f>
        <v/>
      </c>
      <c r="B180">
        <f>IF('Equipment Information'!B180="","", 'Equipment Information'!B180)</f>
        <v/>
      </c>
      <c r="C180">
        <f>IF('Equipment Information'!C180="","", 'Equipment Information'!C180)</f>
        <v/>
      </c>
      <c r="I180">
        <f>IF(COUNT(F180:H180)&lt;2,"",AVERAGE(F180:H180))</f>
        <v/>
      </c>
      <c r="J180" s="3">
        <f>IF(I180="","",MAX(ABS(F180-I180),ABS(G180-I180),ABS(H180-I180))/I180)</f>
        <v/>
      </c>
      <c r="N180">
        <f>IF(COUNT(K180:M180)&lt;2,"",AVERAGE(K180:M180))</f>
        <v/>
      </c>
      <c r="R180" s="3">
        <f>IF(N180="","",MAX(ABS(K180-N180),ABS(L180-N180),ABS(M180-N180))/N180)</f>
        <v/>
      </c>
      <c r="S180">
        <f>IF(A180="","",IF(AND(F180="",K180=""),"N/A",IF(AND(J180="",R180=""),"Insufficient Load Data",IF(AND(J180&gt;0.03,R180&gt;0.15),"Voltage &amp; Current Imbalance",IF(J180&gt;0.03,"Voltage Imbalance",IF(R180&gt;0.15,"Current Imbalance","No Imbalances Detected")))))</f>
        <v/>
      </c>
      <c r="T180">
        <f>IF(A180="","",IF(AND(F180="",K180=""),"N/A",IF(OR(J180&gt;0.03,R180&gt;0.15),"Imbalance","Pass")))</f>
        <v/>
      </c>
    </row>
    <row r="181">
      <c r="A181">
        <f>IF('Equipment Information'!A181="","", 'Equipment Information'!A181)</f>
        <v/>
      </c>
      <c r="B181">
        <f>IF('Equipment Information'!B181="","", 'Equipment Information'!B181)</f>
        <v/>
      </c>
      <c r="C181">
        <f>IF('Equipment Information'!C181="","", 'Equipment Information'!C181)</f>
        <v/>
      </c>
      <c r="I181">
        <f>IF(COUNT(F181:H181)&lt;2,"",AVERAGE(F181:H181))</f>
        <v/>
      </c>
      <c r="J181" s="3">
        <f>IF(I181="","",MAX(ABS(F181-I181),ABS(G181-I181),ABS(H181-I181))/I181)</f>
        <v/>
      </c>
      <c r="N181">
        <f>IF(COUNT(K181:M181)&lt;2,"",AVERAGE(K181:M181))</f>
        <v/>
      </c>
      <c r="R181" s="3">
        <f>IF(N181="","",MAX(ABS(K181-N181),ABS(L181-N181),ABS(M181-N181))/N181)</f>
        <v/>
      </c>
      <c r="S181">
        <f>IF(A181="","",IF(AND(F181="",K181=""),"N/A",IF(AND(J181="",R181=""),"Insufficient Load Data",IF(AND(J181&gt;0.03,R181&gt;0.15),"Voltage &amp; Current Imbalance",IF(J181&gt;0.03,"Voltage Imbalance",IF(R181&gt;0.15,"Current Imbalance","No Imbalances Detected")))))</f>
        <v/>
      </c>
      <c r="T181">
        <f>IF(A181="","",IF(AND(F181="",K181=""),"N/A",IF(OR(J181&gt;0.03,R181&gt;0.15),"Imbalance","Pass")))</f>
        <v/>
      </c>
    </row>
    <row r="182">
      <c r="A182">
        <f>IF('Equipment Information'!A182="","", 'Equipment Information'!A182)</f>
        <v/>
      </c>
      <c r="B182">
        <f>IF('Equipment Information'!B182="","", 'Equipment Information'!B182)</f>
        <v/>
      </c>
      <c r="C182">
        <f>IF('Equipment Information'!C182="","", 'Equipment Information'!C182)</f>
        <v/>
      </c>
      <c r="I182">
        <f>IF(COUNT(F182:H182)&lt;2,"",AVERAGE(F182:H182))</f>
        <v/>
      </c>
      <c r="J182" s="3">
        <f>IF(I182="","",MAX(ABS(F182-I182),ABS(G182-I182),ABS(H182-I182))/I182)</f>
        <v/>
      </c>
      <c r="N182">
        <f>IF(COUNT(K182:M182)&lt;2,"",AVERAGE(K182:M182))</f>
        <v/>
      </c>
      <c r="R182" s="3">
        <f>IF(N182="","",MAX(ABS(K182-N182),ABS(L182-N182),ABS(M182-N182))/N182)</f>
        <v/>
      </c>
      <c r="S182">
        <f>IF(A182="","",IF(AND(F182="",K182=""),"N/A",IF(AND(J182="",R182=""),"Insufficient Load Data",IF(AND(J182&gt;0.03,R182&gt;0.15),"Voltage &amp; Current Imbalance",IF(J182&gt;0.03,"Voltage Imbalance",IF(R182&gt;0.15,"Current Imbalance","No Imbalances Detected")))))</f>
        <v/>
      </c>
      <c r="T182">
        <f>IF(A182="","",IF(AND(F182="",K182=""),"N/A",IF(OR(J182&gt;0.03,R182&gt;0.15),"Imbalance","Pass")))</f>
        <v/>
      </c>
    </row>
    <row r="183">
      <c r="A183">
        <f>IF('Equipment Information'!A183="","", 'Equipment Information'!A183)</f>
        <v/>
      </c>
      <c r="B183">
        <f>IF('Equipment Information'!B183="","", 'Equipment Information'!B183)</f>
        <v/>
      </c>
      <c r="C183">
        <f>IF('Equipment Information'!C183="","", 'Equipment Information'!C183)</f>
        <v/>
      </c>
      <c r="I183">
        <f>IF(COUNT(F183:H183)&lt;2,"",AVERAGE(F183:H183))</f>
        <v/>
      </c>
      <c r="J183" s="3">
        <f>IF(I183="","",MAX(ABS(F183-I183),ABS(G183-I183),ABS(H183-I183))/I183)</f>
        <v/>
      </c>
      <c r="N183">
        <f>IF(COUNT(K183:M183)&lt;2,"",AVERAGE(K183:M183))</f>
        <v/>
      </c>
      <c r="R183" s="3">
        <f>IF(N183="","",MAX(ABS(K183-N183),ABS(L183-N183),ABS(M183-N183))/N183)</f>
        <v/>
      </c>
      <c r="S183">
        <f>IF(A183="","",IF(AND(F183="",K183=""),"N/A",IF(AND(J183="",R183=""),"Insufficient Load Data",IF(AND(J183&gt;0.03,R183&gt;0.15),"Voltage &amp; Current Imbalance",IF(J183&gt;0.03,"Voltage Imbalance",IF(R183&gt;0.15,"Current Imbalance","No Imbalances Detected")))))</f>
        <v/>
      </c>
      <c r="T183">
        <f>IF(A183="","",IF(AND(F183="",K183=""),"N/A",IF(OR(J183&gt;0.03,R183&gt;0.15),"Imbalance","Pass")))</f>
        <v/>
      </c>
    </row>
    <row r="184">
      <c r="A184">
        <f>IF('Equipment Information'!A184="","", 'Equipment Information'!A184)</f>
        <v/>
      </c>
      <c r="B184">
        <f>IF('Equipment Information'!B184="","", 'Equipment Information'!B184)</f>
        <v/>
      </c>
      <c r="C184">
        <f>IF('Equipment Information'!C184="","", 'Equipment Information'!C184)</f>
        <v/>
      </c>
      <c r="I184">
        <f>IF(COUNT(F184:H184)&lt;2,"",AVERAGE(F184:H184))</f>
        <v/>
      </c>
      <c r="J184" s="3">
        <f>IF(I184="","",MAX(ABS(F184-I184),ABS(G184-I184),ABS(H184-I184))/I184)</f>
        <v/>
      </c>
      <c r="N184">
        <f>IF(COUNT(K184:M184)&lt;2,"",AVERAGE(K184:M184))</f>
        <v/>
      </c>
      <c r="R184" s="3">
        <f>IF(N184="","",MAX(ABS(K184-N184),ABS(L184-N184),ABS(M184-N184))/N184)</f>
        <v/>
      </c>
      <c r="S184">
        <f>IF(A184="","",IF(AND(F184="",K184=""),"N/A",IF(AND(J184="",R184=""),"Insufficient Load Data",IF(AND(J184&gt;0.03,R184&gt;0.15),"Voltage &amp; Current Imbalance",IF(J184&gt;0.03,"Voltage Imbalance",IF(R184&gt;0.15,"Current Imbalance","No Imbalances Detected")))))</f>
        <v/>
      </c>
      <c r="T184">
        <f>IF(A184="","",IF(AND(F184="",K184=""),"N/A",IF(OR(J184&gt;0.03,R184&gt;0.15),"Imbalance","Pass")))</f>
        <v/>
      </c>
    </row>
    <row r="185">
      <c r="A185">
        <f>IF('Equipment Information'!A185="","", 'Equipment Information'!A185)</f>
        <v/>
      </c>
      <c r="B185">
        <f>IF('Equipment Information'!B185="","", 'Equipment Information'!B185)</f>
        <v/>
      </c>
      <c r="C185">
        <f>IF('Equipment Information'!C185="","", 'Equipment Information'!C185)</f>
        <v/>
      </c>
      <c r="I185">
        <f>IF(COUNT(F185:H185)&lt;2,"",AVERAGE(F185:H185))</f>
        <v/>
      </c>
      <c r="J185" s="3">
        <f>IF(I185="","",MAX(ABS(F185-I185),ABS(G185-I185),ABS(H185-I185))/I185)</f>
        <v/>
      </c>
      <c r="N185">
        <f>IF(COUNT(K185:M185)&lt;2,"",AVERAGE(K185:M185))</f>
        <v/>
      </c>
      <c r="R185" s="3">
        <f>IF(N185="","",MAX(ABS(K185-N185),ABS(L185-N185),ABS(M185-N185))/N185)</f>
        <v/>
      </c>
      <c r="S185">
        <f>IF(A185="","",IF(AND(F185="",K185=""),"N/A",IF(AND(J185="",R185=""),"Insufficient Load Data",IF(AND(J185&gt;0.03,R185&gt;0.15),"Voltage &amp; Current Imbalance",IF(J185&gt;0.03,"Voltage Imbalance",IF(R185&gt;0.15,"Current Imbalance","No Imbalances Detected")))))</f>
        <v/>
      </c>
      <c r="T185">
        <f>IF(A185="","",IF(AND(F185="",K185=""),"N/A",IF(OR(J185&gt;0.03,R185&gt;0.15),"Imbalance","Pass")))</f>
        <v/>
      </c>
    </row>
    <row r="186">
      <c r="A186">
        <f>IF('Equipment Information'!A186="","", 'Equipment Information'!A186)</f>
        <v/>
      </c>
      <c r="B186">
        <f>IF('Equipment Information'!B186="","", 'Equipment Information'!B186)</f>
        <v/>
      </c>
      <c r="C186">
        <f>IF('Equipment Information'!C186="","", 'Equipment Information'!C186)</f>
        <v/>
      </c>
      <c r="I186">
        <f>IF(COUNT(F186:H186)&lt;2,"",AVERAGE(F186:H186))</f>
        <v/>
      </c>
      <c r="J186" s="3">
        <f>IF(I186="","",MAX(ABS(F186-I186),ABS(G186-I186),ABS(H186-I186))/I186)</f>
        <v/>
      </c>
      <c r="N186">
        <f>IF(COUNT(K186:M186)&lt;2,"",AVERAGE(K186:M186))</f>
        <v/>
      </c>
      <c r="R186" s="3">
        <f>IF(N186="","",MAX(ABS(K186-N186),ABS(L186-N186),ABS(M186-N186))/N186)</f>
        <v/>
      </c>
      <c r="S186">
        <f>IF(A186="","",IF(AND(F186="",K186=""),"N/A",IF(AND(J186="",R186=""),"Insufficient Load Data",IF(AND(J186&gt;0.03,R186&gt;0.15),"Voltage &amp; Current Imbalance",IF(J186&gt;0.03,"Voltage Imbalance",IF(R186&gt;0.15,"Current Imbalance","No Imbalances Detected")))))</f>
        <v/>
      </c>
      <c r="T186">
        <f>IF(A186="","",IF(AND(F186="",K186=""),"N/A",IF(OR(J186&gt;0.03,R186&gt;0.15),"Imbalance","Pass")))</f>
        <v/>
      </c>
    </row>
    <row r="187">
      <c r="A187">
        <f>IF('Equipment Information'!A187="","", 'Equipment Information'!A187)</f>
        <v/>
      </c>
      <c r="B187">
        <f>IF('Equipment Information'!B187="","", 'Equipment Information'!B187)</f>
        <v/>
      </c>
      <c r="C187">
        <f>IF('Equipment Information'!C187="","", 'Equipment Information'!C187)</f>
        <v/>
      </c>
      <c r="I187">
        <f>IF(COUNT(F187:H187)&lt;2,"",AVERAGE(F187:H187))</f>
        <v/>
      </c>
      <c r="J187" s="3">
        <f>IF(I187="","",MAX(ABS(F187-I187),ABS(G187-I187),ABS(H187-I187))/I187)</f>
        <v/>
      </c>
      <c r="N187">
        <f>IF(COUNT(K187:M187)&lt;2,"",AVERAGE(K187:M187))</f>
        <v/>
      </c>
      <c r="R187" s="3">
        <f>IF(N187="","",MAX(ABS(K187-N187),ABS(L187-N187),ABS(M187-N187))/N187)</f>
        <v/>
      </c>
      <c r="S187">
        <f>IF(A187="","",IF(AND(F187="",K187=""),"N/A",IF(AND(J187="",R187=""),"Insufficient Load Data",IF(AND(J187&gt;0.03,R187&gt;0.15),"Voltage &amp; Current Imbalance",IF(J187&gt;0.03,"Voltage Imbalance",IF(R187&gt;0.15,"Current Imbalance","No Imbalances Detected")))))</f>
        <v/>
      </c>
      <c r="T187">
        <f>IF(A187="","",IF(AND(F187="",K187=""),"N/A",IF(OR(J187&gt;0.03,R187&gt;0.15),"Imbalance","Pass")))</f>
        <v/>
      </c>
    </row>
    <row r="188">
      <c r="A188">
        <f>IF('Equipment Information'!A188="","", 'Equipment Information'!A188)</f>
        <v/>
      </c>
      <c r="B188">
        <f>IF('Equipment Information'!B188="","", 'Equipment Information'!B188)</f>
        <v/>
      </c>
      <c r="C188">
        <f>IF('Equipment Information'!C188="","", 'Equipment Information'!C188)</f>
        <v/>
      </c>
      <c r="I188">
        <f>IF(COUNT(F188:H188)&lt;2,"",AVERAGE(F188:H188))</f>
        <v/>
      </c>
      <c r="J188" s="3">
        <f>IF(I188="","",MAX(ABS(F188-I188),ABS(G188-I188),ABS(H188-I188))/I188)</f>
        <v/>
      </c>
      <c r="N188">
        <f>IF(COUNT(K188:M188)&lt;2,"",AVERAGE(K188:M188))</f>
        <v/>
      </c>
      <c r="R188" s="3">
        <f>IF(N188="","",MAX(ABS(K188-N188),ABS(L188-N188),ABS(M188-N188))/N188)</f>
        <v/>
      </c>
      <c r="S188">
        <f>IF(A188="","",IF(AND(F188="",K188=""),"N/A",IF(AND(J188="",R188=""),"Insufficient Load Data",IF(AND(J188&gt;0.03,R188&gt;0.15),"Voltage &amp; Current Imbalance",IF(J188&gt;0.03,"Voltage Imbalance",IF(R188&gt;0.15,"Current Imbalance","No Imbalances Detected")))))</f>
        <v/>
      </c>
      <c r="T188">
        <f>IF(A188="","",IF(AND(F188="",K188=""),"N/A",IF(OR(J188&gt;0.03,R188&gt;0.15),"Imbalance","Pass")))</f>
        <v/>
      </c>
    </row>
    <row r="189">
      <c r="A189">
        <f>IF('Equipment Information'!A189="","", 'Equipment Information'!A189)</f>
        <v/>
      </c>
      <c r="B189">
        <f>IF('Equipment Information'!B189="","", 'Equipment Information'!B189)</f>
        <v/>
      </c>
      <c r="C189">
        <f>IF('Equipment Information'!C189="","", 'Equipment Information'!C189)</f>
        <v/>
      </c>
      <c r="I189">
        <f>IF(COUNT(F189:H189)&lt;2,"",AVERAGE(F189:H189))</f>
        <v/>
      </c>
      <c r="J189" s="3">
        <f>IF(I189="","",MAX(ABS(F189-I189),ABS(G189-I189),ABS(H189-I189))/I189)</f>
        <v/>
      </c>
      <c r="N189">
        <f>IF(COUNT(K189:M189)&lt;2,"",AVERAGE(K189:M189))</f>
        <v/>
      </c>
      <c r="R189" s="3">
        <f>IF(N189="","",MAX(ABS(K189-N189),ABS(L189-N189),ABS(M189-N189))/N189)</f>
        <v/>
      </c>
      <c r="S189">
        <f>IF(A189="","",IF(AND(F189="",K189=""),"N/A",IF(AND(J189="",R189=""),"Insufficient Load Data",IF(AND(J189&gt;0.03,R189&gt;0.15),"Voltage &amp; Current Imbalance",IF(J189&gt;0.03,"Voltage Imbalance",IF(R189&gt;0.15,"Current Imbalance","No Imbalances Detected")))))</f>
        <v/>
      </c>
      <c r="T189">
        <f>IF(A189="","",IF(AND(F189="",K189=""),"N/A",IF(OR(J189&gt;0.03,R189&gt;0.15),"Imbalance","Pass")))</f>
        <v/>
      </c>
    </row>
    <row r="190">
      <c r="A190">
        <f>IF('Equipment Information'!A190="","", 'Equipment Information'!A190)</f>
        <v/>
      </c>
      <c r="B190">
        <f>IF('Equipment Information'!B190="","", 'Equipment Information'!B190)</f>
        <v/>
      </c>
      <c r="C190">
        <f>IF('Equipment Information'!C190="","", 'Equipment Information'!C190)</f>
        <v/>
      </c>
      <c r="I190">
        <f>IF(COUNT(F190:H190)&lt;2,"",AVERAGE(F190:H190))</f>
        <v/>
      </c>
      <c r="J190" s="3">
        <f>IF(I190="","",MAX(ABS(F190-I190),ABS(G190-I190),ABS(H190-I190))/I190)</f>
        <v/>
      </c>
      <c r="N190">
        <f>IF(COUNT(K190:M190)&lt;2,"",AVERAGE(K190:M190))</f>
        <v/>
      </c>
      <c r="R190" s="3">
        <f>IF(N190="","",MAX(ABS(K190-N190),ABS(L190-N190),ABS(M190-N190))/N190)</f>
        <v/>
      </c>
      <c r="S190">
        <f>IF(A190="","",IF(AND(F190="",K190=""),"N/A",IF(AND(J190="",R190=""),"Insufficient Load Data",IF(AND(J190&gt;0.03,R190&gt;0.15),"Voltage &amp; Current Imbalance",IF(J190&gt;0.03,"Voltage Imbalance",IF(R190&gt;0.15,"Current Imbalance","No Imbalances Detected")))))</f>
        <v/>
      </c>
      <c r="T190">
        <f>IF(A190="","",IF(AND(F190="",K190=""),"N/A",IF(OR(J190&gt;0.03,R190&gt;0.15),"Imbalance","Pass")))</f>
        <v/>
      </c>
    </row>
    <row r="191">
      <c r="A191">
        <f>IF('Equipment Information'!A191="","", 'Equipment Information'!A191)</f>
        <v/>
      </c>
      <c r="B191">
        <f>IF('Equipment Information'!B191="","", 'Equipment Information'!B191)</f>
        <v/>
      </c>
      <c r="C191">
        <f>IF('Equipment Information'!C191="","", 'Equipment Information'!C191)</f>
        <v/>
      </c>
      <c r="I191">
        <f>IF(COUNT(F191:H191)&lt;2,"",AVERAGE(F191:H191))</f>
        <v/>
      </c>
      <c r="J191" s="3">
        <f>IF(I191="","",MAX(ABS(F191-I191),ABS(G191-I191),ABS(H191-I191))/I191)</f>
        <v/>
      </c>
      <c r="N191">
        <f>IF(COUNT(K191:M191)&lt;2,"",AVERAGE(K191:M191))</f>
        <v/>
      </c>
      <c r="R191" s="3">
        <f>IF(N191="","",MAX(ABS(K191-N191),ABS(L191-N191),ABS(M191-N191))/N191)</f>
        <v/>
      </c>
      <c r="S191">
        <f>IF(A191="","",IF(AND(F191="",K191=""),"N/A",IF(AND(J191="",R191=""),"Insufficient Load Data",IF(AND(J191&gt;0.03,R191&gt;0.15),"Voltage &amp; Current Imbalance",IF(J191&gt;0.03,"Voltage Imbalance",IF(R191&gt;0.15,"Current Imbalance","No Imbalances Detected")))))</f>
        <v/>
      </c>
      <c r="T191">
        <f>IF(A191="","",IF(AND(F191="",K191=""),"N/A",IF(OR(J191&gt;0.03,R191&gt;0.15),"Imbalance","Pass")))</f>
        <v/>
      </c>
    </row>
    <row r="192">
      <c r="A192">
        <f>IF('Equipment Information'!A192="","", 'Equipment Information'!A192)</f>
        <v/>
      </c>
      <c r="B192">
        <f>IF('Equipment Information'!B192="","", 'Equipment Information'!B192)</f>
        <v/>
      </c>
      <c r="C192">
        <f>IF('Equipment Information'!C192="","", 'Equipment Information'!C192)</f>
        <v/>
      </c>
      <c r="I192">
        <f>IF(COUNT(F192:H192)&lt;2,"",AVERAGE(F192:H192))</f>
        <v/>
      </c>
      <c r="J192" s="3">
        <f>IF(I192="","",MAX(ABS(F192-I192),ABS(G192-I192),ABS(H192-I192))/I192)</f>
        <v/>
      </c>
      <c r="N192">
        <f>IF(COUNT(K192:M192)&lt;2,"",AVERAGE(K192:M192))</f>
        <v/>
      </c>
      <c r="R192" s="3">
        <f>IF(N192="","",MAX(ABS(K192-N192),ABS(L192-N192),ABS(M192-N192))/N192)</f>
        <v/>
      </c>
      <c r="S192">
        <f>IF(A192="","",IF(AND(F192="",K192=""),"N/A",IF(AND(J192="",R192=""),"Insufficient Load Data",IF(AND(J192&gt;0.03,R192&gt;0.15),"Voltage &amp; Current Imbalance",IF(J192&gt;0.03,"Voltage Imbalance",IF(R192&gt;0.15,"Current Imbalance","No Imbalances Detected")))))</f>
        <v/>
      </c>
      <c r="T192">
        <f>IF(A192="","",IF(AND(F192="",K192=""),"N/A",IF(OR(J192&gt;0.03,R192&gt;0.15),"Imbalance","Pass")))</f>
        <v/>
      </c>
    </row>
    <row r="193">
      <c r="A193">
        <f>IF('Equipment Information'!A193="","", 'Equipment Information'!A193)</f>
        <v/>
      </c>
      <c r="B193">
        <f>IF('Equipment Information'!B193="","", 'Equipment Information'!B193)</f>
        <v/>
      </c>
      <c r="C193">
        <f>IF('Equipment Information'!C193="","", 'Equipment Information'!C193)</f>
        <v/>
      </c>
      <c r="I193">
        <f>IF(COUNT(F193:H193)&lt;2,"",AVERAGE(F193:H193))</f>
        <v/>
      </c>
      <c r="J193" s="3">
        <f>IF(I193="","",MAX(ABS(F193-I193),ABS(G193-I193),ABS(H193-I193))/I193)</f>
        <v/>
      </c>
      <c r="N193">
        <f>IF(COUNT(K193:M193)&lt;2,"",AVERAGE(K193:M193))</f>
        <v/>
      </c>
      <c r="R193" s="3">
        <f>IF(N193="","",MAX(ABS(K193-N193),ABS(L193-N193),ABS(M193-N193))/N193)</f>
        <v/>
      </c>
      <c r="S193">
        <f>IF(A193="","",IF(AND(F193="",K193=""),"N/A",IF(AND(J193="",R193=""),"Insufficient Load Data",IF(AND(J193&gt;0.03,R193&gt;0.15),"Voltage &amp; Current Imbalance",IF(J193&gt;0.03,"Voltage Imbalance",IF(R193&gt;0.15,"Current Imbalance","No Imbalances Detected")))))</f>
        <v/>
      </c>
      <c r="T193">
        <f>IF(A193="","",IF(AND(F193="",K193=""),"N/A",IF(OR(J193&gt;0.03,R193&gt;0.15),"Imbalance","Pass")))</f>
        <v/>
      </c>
    </row>
    <row r="194">
      <c r="A194">
        <f>IF('Equipment Information'!A194="","", 'Equipment Information'!A194)</f>
        <v/>
      </c>
      <c r="B194">
        <f>IF('Equipment Information'!B194="","", 'Equipment Information'!B194)</f>
        <v/>
      </c>
      <c r="C194">
        <f>IF('Equipment Information'!C194="","", 'Equipment Information'!C194)</f>
        <v/>
      </c>
      <c r="I194">
        <f>IF(COUNT(F194:H194)&lt;2,"",AVERAGE(F194:H194))</f>
        <v/>
      </c>
      <c r="J194" s="3">
        <f>IF(I194="","",MAX(ABS(F194-I194),ABS(G194-I194),ABS(H194-I194))/I194)</f>
        <v/>
      </c>
      <c r="N194">
        <f>IF(COUNT(K194:M194)&lt;2,"",AVERAGE(K194:M194))</f>
        <v/>
      </c>
      <c r="R194" s="3">
        <f>IF(N194="","",MAX(ABS(K194-N194),ABS(L194-N194),ABS(M194-N194))/N194)</f>
        <v/>
      </c>
      <c r="S194">
        <f>IF(A194="","",IF(AND(F194="",K194=""),"N/A",IF(AND(J194="",R194=""),"Insufficient Load Data",IF(AND(J194&gt;0.03,R194&gt;0.15),"Voltage &amp; Current Imbalance",IF(J194&gt;0.03,"Voltage Imbalance",IF(R194&gt;0.15,"Current Imbalance","No Imbalances Detected")))))</f>
        <v/>
      </c>
      <c r="T194">
        <f>IF(A194="","",IF(AND(F194="",K194=""),"N/A",IF(OR(J194&gt;0.03,R194&gt;0.15),"Imbalance","Pass")))</f>
        <v/>
      </c>
    </row>
    <row r="195">
      <c r="A195">
        <f>IF('Equipment Information'!A195="","", 'Equipment Information'!A195)</f>
        <v/>
      </c>
      <c r="B195">
        <f>IF('Equipment Information'!B195="","", 'Equipment Information'!B195)</f>
        <v/>
      </c>
      <c r="C195">
        <f>IF('Equipment Information'!C195="","", 'Equipment Information'!C195)</f>
        <v/>
      </c>
      <c r="I195">
        <f>IF(COUNT(F195:H195)&lt;2,"",AVERAGE(F195:H195))</f>
        <v/>
      </c>
      <c r="J195" s="3">
        <f>IF(I195="","",MAX(ABS(F195-I195),ABS(G195-I195),ABS(H195-I195))/I195)</f>
        <v/>
      </c>
      <c r="N195">
        <f>IF(COUNT(K195:M195)&lt;2,"",AVERAGE(K195:M195))</f>
        <v/>
      </c>
      <c r="R195" s="3">
        <f>IF(N195="","",MAX(ABS(K195-N195),ABS(L195-N195),ABS(M195-N195))/N195)</f>
        <v/>
      </c>
      <c r="S195">
        <f>IF(A195="","",IF(AND(F195="",K195=""),"N/A",IF(AND(J195="",R195=""),"Insufficient Load Data",IF(AND(J195&gt;0.03,R195&gt;0.15),"Voltage &amp; Current Imbalance",IF(J195&gt;0.03,"Voltage Imbalance",IF(R195&gt;0.15,"Current Imbalance","No Imbalances Detected")))))</f>
        <v/>
      </c>
      <c r="T195">
        <f>IF(A195="","",IF(AND(F195="",K195=""),"N/A",IF(OR(J195&gt;0.03,R195&gt;0.15),"Imbalance","Pass")))</f>
        <v/>
      </c>
    </row>
    <row r="196">
      <c r="A196">
        <f>IF('Equipment Information'!A196="","", 'Equipment Information'!A196)</f>
        <v/>
      </c>
      <c r="B196">
        <f>IF('Equipment Information'!B196="","", 'Equipment Information'!B196)</f>
        <v/>
      </c>
      <c r="C196">
        <f>IF('Equipment Information'!C196="","", 'Equipment Information'!C196)</f>
        <v/>
      </c>
      <c r="I196">
        <f>IF(COUNT(F196:H196)&lt;2,"",AVERAGE(F196:H196))</f>
        <v/>
      </c>
      <c r="J196" s="3">
        <f>IF(I196="","",MAX(ABS(F196-I196),ABS(G196-I196),ABS(H196-I196))/I196)</f>
        <v/>
      </c>
      <c r="N196">
        <f>IF(COUNT(K196:M196)&lt;2,"",AVERAGE(K196:M196))</f>
        <v/>
      </c>
      <c r="R196" s="3">
        <f>IF(N196="","",MAX(ABS(K196-N196),ABS(L196-N196),ABS(M196-N196))/N196)</f>
        <v/>
      </c>
      <c r="S196">
        <f>IF(A196="","",IF(AND(F196="",K196=""),"N/A",IF(AND(J196="",R196=""),"Insufficient Load Data",IF(AND(J196&gt;0.03,R196&gt;0.15),"Voltage &amp; Current Imbalance",IF(J196&gt;0.03,"Voltage Imbalance",IF(R196&gt;0.15,"Current Imbalance","No Imbalances Detected")))))</f>
        <v/>
      </c>
      <c r="T196">
        <f>IF(A196="","",IF(AND(F196="",K196=""),"N/A",IF(OR(J196&gt;0.03,R196&gt;0.15),"Imbalance","Pass")))</f>
        <v/>
      </c>
    </row>
    <row r="197">
      <c r="A197">
        <f>IF('Equipment Information'!A197="","", 'Equipment Information'!A197)</f>
        <v/>
      </c>
      <c r="B197">
        <f>IF('Equipment Information'!B197="","", 'Equipment Information'!B197)</f>
        <v/>
      </c>
      <c r="C197">
        <f>IF('Equipment Information'!C197="","", 'Equipment Information'!C197)</f>
        <v/>
      </c>
      <c r="I197">
        <f>IF(COUNT(F197:H197)&lt;2,"",AVERAGE(F197:H197))</f>
        <v/>
      </c>
      <c r="J197" s="3">
        <f>IF(I197="","",MAX(ABS(F197-I197),ABS(G197-I197),ABS(H197-I197))/I197)</f>
        <v/>
      </c>
      <c r="N197">
        <f>IF(COUNT(K197:M197)&lt;2,"",AVERAGE(K197:M197))</f>
        <v/>
      </c>
      <c r="R197" s="3">
        <f>IF(N197="","",MAX(ABS(K197-N197),ABS(L197-N197),ABS(M197-N197))/N197)</f>
        <v/>
      </c>
      <c r="S197">
        <f>IF(A197="","",IF(AND(F197="",K197=""),"N/A",IF(AND(J197="",R197=""),"Insufficient Load Data",IF(AND(J197&gt;0.03,R197&gt;0.15),"Voltage &amp; Current Imbalance",IF(J197&gt;0.03,"Voltage Imbalance",IF(R197&gt;0.15,"Current Imbalance","No Imbalances Detected")))))</f>
        <v/>
      </c>
      <c r="T197">
        <f>IF(A197="","",IF(AND(F197="",K197=""),"N/A",IF(OR(J197&gt;0.03,R197&gt;0.15),"Imbalance","Pass")))</f>
        <v/>
      </c>
    </row>
    <row r="198">
      <c r="A198">
        <f>IF('Equipment Information'!A198="","", 'Equipment Information'!A198)</f>
        <v/>
      </c>
      <c r="B198">
        <f>IF('Equipment Information'!B198="","", 'Equipment Information'!B198)</f>
        <v/>
      </c>
      <c r="C198">
        <f>IF('Equipment Information'!C198="","", 'Equipment Information'!C198)</f>
        <v/>
      </c>
      <c r="I198">
        <f>IF(COUNT(F198:H198)&lt;2,"",AVERAGE(F198:H198))</f>
        <v/>
      </c>
      <c r="J198" s="3">
        <f>IF(I198="","",MAX(ABS(F198-I198),ABS(G198-I198),ABS(H198-I198))/I198)</f>
        <v/>
      </c>
      <c r="N198">
        <f>IF(COUNT(K198:M198)&lt;2,"",AVERAGE(K198:M198))</f>
        <v/>
      </c>
      <c r="R198" s="3">
        <f>IF(N198="","",MAX(ABS(K198-N198),ABS(L198-N198),ABS(M198-N198))/N198)</f>
        <v/>
      </c>
      <c r="S198">
        <f>IF(A198="","",IF(AND(F198="",K198=""),"N/A",IF(AND(J198="",R198=""),"Insufficient Load Data",IF(AND(J198&gt;0.03,R198&gt;0.15),"Voltage &amp; Current Imbalance",IF(J198&gt;0.03,"Voltage Imbalance",IF(R198&gt;0.15,"Current Imbalance","No Imbalances Detected")))))</f>
        <v/>
      </c>
      <c r="T198">
        <f>IF(A198="","",IF(AND(F198="",K198=""),"N/A",IF(OR(J198&gt;0.03,R198&gt;0.15),"Imbalance","Pass")))</f>
        <v/>
      </c>
    </row>
    <row r="199">
      <c r="A199">
        <f>IF('Equipment Information'!A199="","", 'Equipment Information'!A199)</f>
        <v/>
      </c>
      <c r="B199">
        <f>IF('Equipment Information'!B199="","", 'Equipment Information'!B199)</f>
        <v/>
      </c>
      <c r="C199">
        <f>IF('Equipment Information'!C199="","", 'Equipment Information'!C199)</f>
        <v/>
      </c>
      <c r="I199">
        <f>IF(COUNT(F199:H199)&lt;2,"",AVERAGE(F199:H199))</f>
        <v/>
      </c>
      <c r="J199" s="3">
        <f>IF(I199="","",MAX(ABS(F199-I199),ABS(G199-I199),ABS(H199-I199))/I199)</f>
        <v/>
      </c>
      <c r="N199">
        <f>IF(COUNT(K199:M199)&lt;2,"",AVERAGE(K199:M199))</f>
        <v/>
      </c>
      <c r="R199" s="3">
        <f>IF(N199="","",MAX(ABS(K199-N199),ABS(L199-N199),ABS(M199-N199))/N199)</f>
        <v/>
      </c>
      <c r="S199">
        <f>IF(A199="","",IF(AND(F199="",K199=""),"N/A",IF(AND(J199="",R199=""),"Insufficient Load Data",IF(AND(J199&gt;0.03,R199&gt;0.15),"Voltage &amp; Current Imbalance",IF(J199&gt;0.03,"Voltage Imbalance",IF(R199&gt;0.15,"Current Imbalance","No Imbalances Detected")))))</f>
        <v/>
      </c>
      <c r="T199">
        <f>IF(A199="","",IF(AND(F199="",K199=""),"N/A",IF(OR(J199&gt;0.03,R199&gt;0.15),"Imbalance","Pass")))</f>
        <v/>
      </c>
    </row>
    <row r="200">
      <c r="A200">
        <f>IF('Equipment Information'!A200="","", 'Equipment Information'!A200)</f>
        <v/>
      </c>
      <c r="B200">
        <f>IF('Equipment Information'!B200="","", 'Equipment Information'!B200)</f>
        <v/>
      </c>
      <c r="C200">
        <f>IF('Equipment Information'!C200="","", 'Equipment Information'!C200)</f>
        <v/>
      </c>
      <c r="I200">
        <f>IF(COUNT(F200:H200)&lt;2,"",AVERAGE(F200:H200))</f>
        <v/>
      </c>
      <c r="J200" s="3">
        <f>IF(I200="","",MAX(ABS(F200-I200),ABS(G200-I200),ABS(H200-I200))/I200)</f>
        <v/>
      </c>
      <c r="N200">
        <f>IF(COUNT(K200:M200)&lt;2,"",AVERAGE(K200:M200))</f>
        <v/>
      </c>
      <c r="R200" s="3">
        <f>IF(N200="","",MAX(ABS(K200-N200),ABS(L200-N200),ABS(M200-N200))/N200)</f>
        <v/>
      </c>
      <c r="S200">
        <f>IF(A200="","",IF(AND(F200="",K200=""),"N/A",IF(AND(J200="",R200=""),"Insufficient Load Data",IF(AND(J200&gt;0.03,R200&gt;0.15),"Voltage &amp; Current Imbalance",IF(J200&gt;0.03,"Voltage Imbalance",IF(R200&gt;0.15,"Current Imbalance","No Imbalances Detected")))))</f>
        <v/>
      </c>
      <c r="T200">
        <f>IF(A200="","",IF(AND(F200="",K200=""),"N/A",IF(OR(J200&gt;0.03,R200&gt;0.15),"Imbalance","Pass")))</f>
        <v/>
      </c>
    </row>
    <row r="201">
      <c r="A201">
        <f>IF('Equipment Information'!A201="","", 'Equipment Information'!A201)</f>
        <v/>
      </c>
      <c r="B201">
        <f>IF('Equipment Information'!B201="","", 'Equipment Information'!B201)</f>
        <v/>
      </c>
      <c r="C201">
        <f>IF('Equipment Information'!C201="","", 'Equipment Information'!C201)</f>
        <v/>
      </c>
      <c r="I201">
        <f>IF(COUNT(F201:H201)&lt;2,"",AVERAGE(F201:H201))</f>
        <v/>
      </c>
      <c r="J201" s="3">
        <f>IF(I201="","",MAX(ABS(F201-I201),ABS(G201-I201),ABS(H201-I201))/I201)</f>
        <v/>
      </c>
      <c r="N201">
        <f>IF(COUNT(K201:M201)&lt;2,"",AVERAGE(K201:M201))</f>
        <v/>
      </c>
      <c r="R201" s="3">
        <f>IF(N201="","",MAX(ABS(K201-N201),ABS(L201-N201),ABS(M201-N201))/N201)</f>
        <v/>
      </c>
      <c r="S201">
        <f>IF(A201="","",IF(AND(F201="",K201=""),"N/A",IF(AND(J201="",R201=""),"Insufficient Load Data",IF(AND(J201&gt;0.03,R201&gt;0.15),"Voltage &amp; Current Imbalance",IF(J201&gt;0.03,"Voltage Imbalance",IF(R201&gt;0.15,"Current Imbalance","No Imbalances Detected")))))</f>
        <v/>
      </c>
      <c r="T201">
        <f>IF(A201="","",IF(AND(F201="",K201=""),"N/A",IF(OR(J201&gt;0.03,R201&gt;0.15),"Imbalance","Pass")))</f>
        <v/>
      </c>
    </row>
    <row r="202">
      <c r="A202">
        <f>IF('Equipment Information'!A202="","", 'Equipment Information'!A202)</f>
        <v/>
      </c>
      <c r="B202">
        <f>IF('Equipment Information'!B202="","", 'Equipment Information'!B202)</f>
        <v/>
      </c>
      <c r="C202">
        <f>IF('Equipment Information'!C202="","", 'Equipment Information'!C202)</f>
        <v/>
      </c>
      <c r="I202">
        <f>IF(COUNT(F202:H202)&lt;2,"",AVERAGE(F202:H202))</f>
        <v/>
      </c>
      <c r="J202" s="3">
        <f>IF(I202="","",MAX(ABS(F202-I202),ABS(G202-I202),ABS(H202-I202))/I202)</f>
        <v/>
      </c>
      <c r="N202">
        <f>IF(COUNT(K202:M202)&lt;2,"",AVERAGE(K202:M202))</f>
        <v/>
      </c>
      <c r="R202" s="3">
        <f>IF(N202="","",MAX(ABS(K202-N202),ABS(L202-N202),ABS(M202-N202))/N202)</f>
        <v/>
      </c>
      <c r="S202">
        <f>IF(A202="","",IF(AND(F202="",K202=""),"N/A",IF(AND(J202="",R202=""),"Insufficient Load Data",IF(AND(J202&gt;0.03,R202&gt;0.15),"Voltage &amp; Current Imbalance",IF(J202&gt;0.03,"Voltage Imbalance",IF(R202&gt;0.15,"Current Imbalance","No Imbalances Detected")))))</f>
        <v/>
      </c>
      <c r="T202">
        <f>IF(A202="","",IF(AND(F202="",K202=""),"N/A",IF(OR(J202&gt;0.03,R202&gt;0.15),"Imbalance","Pass")))</f>
        <v/>
      </c>
    </row>
    <row r="203">
      <c r="A203">
        <f>IF('Equipment Information'!A203="","", 'Equipment Information'!A203)</f>
        <v/>
      </c>
      <c r="B203">
        <f>IF('Equipment Information'!B203="","", 'Equipment Information'!B203)</f>
        <v/>
      </c>
      <c r="C203">
        <f>IF('Equipment Information'!C203="","", 'Equipment Information'!C203)</f>
        <v/>
      </c>
      <c r="I203">
        <f>IF(COUNT(F203:H203)&lt;2,"",AVERAGE(F203:H203))</f>
        <v/>
      </c>
      <c r="J203" s="3">
        <f>IF(I203="","",MAX(ABS(F203-I203),ABS(G203-I203),ABS(H203-I203))/I203)</f>
        <v/>
      </c>
      <c r="N203">
        <f>IF(COUNT(K203:M203)&lt;2,"",AVERAGE(K203:M203))</f>
        <v/>
      </c>
      <c r="R203" s="3">
        <f>IF(N203="","",MAX(ABS(K203-N203),ABS(L203-N203),ABS(M203-N203))/N203)</f>
        <v/>
      </c>
      <c r="S203">
        <f>IF(A203="","",IF(AND(F203="",K203=""),"N/A",IF(AND(J203="",R203=""),"Insufficient Load Data",IF(AND(J203&gt;0.03,R203&gt;0.15),"Voltage &amp; Current Imbalance",IF(J203&gt;0.03,"Voltage Imbalance",IF(R203&gt;0.15,"Current Imbalance","No Imbalances Detected")))))</f>
        <v/>
      </c>
      <c r="T203">
        <f>IF(A203="","",IF(AND(F203="",K203=""),"N/A",IF(OR(J203&gt;0.03,R203&gt;0.15),"Imbalance","Pass")))</f>
        <v/>
      </c>
    </row>
    <row r="204">
      <c r="A204">
        <f>IF('Equipment Information'!A204="","", 'Equipment Information'!A204)</f>
        <v/>
      </c>
      <c r="B204">
        <f>IF('Equipment Information'!B204="","", 'Equipment Information'!B204)</f>
        <v/>
      </c>
      <c r="C204">
        <f>IF('Equipment Information'!C204="","", 'Equipment Information'!C204)</f>
        <v/>
      </c>
      <c r="I204">
        <f>IF(COUNT(F204:H204)&lt;2,"",AVERAGE(F204:H204))</f>
        <v/>
      </c>
      <c r="J204" s="3">
        <f>IF(I204="","",MAX(ABS(F204-I204),ABS(G204-I204),ABS(H204-I204))/I204)</f>
        <v/>
      </c>
      <c r="N204">
        <f>IF(COUNT(K204:M204)&lt;2,"",AVERAGE(K204:M204))</f>
        <v/>
      </c>
      <c r="R204" s="3">
        <f>IF(N204="","",MAX(ABS(K204-N204),ABS(L204-N204),ABS(M204-N204))/N204)</f>
        <v/>
      </c>
      <c r="S204">
        <f>IF(A204="","",IF(AND(F204="",K204=""),"N/A",IF(AND(J204="",R204=""),"Insufficient Load Data",IF(AND(J204&gt;0.03,R204&gt;0.15),"Voltage &amp; Current Imbalance",IF(J204&gt;0.03,"Voltage Imbalance",IF(R204&gt;0.15,"Current Imbalance","No Imbalances Detected")))))</f>
        <v/>
      </c>
      <c r="T204">
        <f>IF(A204="","",IF(AND(F204="",K204=""),"N/A",IF(OR(J204&gt;0.03,R204&gt;0.15),"Imbalance","Pass")))</f>
        <v/>
      </c>
    </row>
    <row r="205">
      <c r="A205">
        <f>IF('Equipment Information'!A205="","", 'Equipment Information'!A205)</f>
        <v/>
      </c>
      <c r="B205">
        <f>IF('Equipment Information'!B205="","", 'Equipment Information'!B205)</f>
        <v/>
      </c>
      <c r="C205">
        <f>IF('Equipment Information'!C205="","", 'Equipment Information'!C205)</f>
        <v/>
      </c>
      <c r="I205">
        <f>IF(COUNT(F205:H205)&lt;2,"",AVERAGE(F205:H205))</f>
        <v/>
      </c>
      <c r="J205" s="3">
        <f>IF(I205="","",MAX(ABS(F205-I205),ABS(G205-I205),ABS(H205-I205))/I205)</f>
        <v/>
      </c>
      <c r="N205">
        <f>IF(COUNT(K205:M205)&lt;2,"",AVERAGE(K205:M205))</f>
        <v/>
      </c>
      <c r="R205" s="3">
        <f>IF(N205="","",MAX(ABS(K205-N205),ABS(L205-N205),ABS(M205-N205))/N205)</f>
        <v/>
      </c>
      <c r="S205">
        <f>IF(A205="","",IF(AND(F205="",K205=""),"N/A",IF(AND(J205="",R205=""),"Insufficient Load Data",IF(AND(J205&gt;0.03,R205&gt;0.15),"Voltage &amp; Current Imbalance",IF(J205&gt;0.03,"Voltage Imbalance",IF(R205&gt;0.15,"Current Imbalance","No Imbalances Detected")))))</f>
        <v/>
      </c>
      <c r="T205">
        <f>IF(A205="","",IF(AND(F205="",K205=""),"N/A",IF(OR(J205&gt;0.03,R205&gt;0.15),"Imbalance","Pass")))</f>
        <v/>
      </c>
    </row>
    <row r="206">
      <c r="A206">
        <f>IF('Equipment Information'!A206="","", 'Equipment Information'!A206)</f>
        <v/>
      </c>
      <c r="B206">
        <f>IF('Equipment Information'!B206="","", 'Equipment Information'!B206)</f>
        <v/>
      </c>
      <c r="C206">
        <f>IF('Equipment Information'!C206="","", 'Equipment Information'!C206)</f>
        <v/>
      </c>
      <c r="I206">
        <f>IF(COUNT(F206:H206)&lt;2,"",AVERAGE(F206:H206))</f>
        <v/>
      </c>
      <c r="J206" s="3">
        <f>IF(I206="","",MAX(ABS(F206-I206),ABS(G206-I206),ABS(H206-I206))/I206)</f>
        <v/>
      </c>
      <c r="N206">
        <f>IF(COUNT(K206:M206)&lt;2,"",AVERAGE(K206:M206))</f>
        <v/>
      </c>
      <c r="R206" s="3">
        <f>IF(N206="","",MAX(ABS(K206-N206),ABS(L206-N206),ABS(M206-N206))/N206)</f>
        <v/>
      </c>
      <c r="S206">
        <f>IF(A206="","",IF(AND(F206="",K206=""),"N/A",IF(AND(J206="",R206=""),"Insufficient Load Data",IF(AND(J206&gt;0.03,R206&gt;0.15),"Voltage &amp; Current Imbalance",IF(J206&gt;0.03,"Voltage Imbalance",IF(R206&gt;0.15,"Current Imbalance","No Imbalances Detected")))))</f>
        <v/>
      </c>
      <c r="T206">
        <f>IF(A206="","",IF(AND(F206="",K206=""),"N/A",IF(OR(J206&gt;0.03,R206&gt;0.15),"Imbalance","Pass")))</f>
        <v/>
      </c>
    </row>
    <row r="207">
      <c r="A207">
        <f>IF('Equipment Information'!A207="","", 'Equipment Information'!A207)</f>
        <v/>
      </c>
      <c r="B207">
        <f>IF('Equipment Information'!B207="","", 'Equipment Information'!B207)</f>
        <v/>
      </c>
      <c r="C207">
        <f>IF('Equipment Information'!C207="","", 'Equipment Information'!C207)</f>
        <v/>
      </c>
      <c r="I207">
        <f>IF(COUNT(F207:H207)&lt;2,"",AVERAGE(F207:H207))</f>
        <v/>
      </c>
      <c r="J207" s="3">
        <f>IF(I207="","",MAX(ABS(F207-I207),ABS(G207-I207),ABS(H207-I207))/I207)</f>
        <v/>
      </c>
      <c r="N207">
        <f>IF(COUNT(K207:M207)&lt;2,"",AVERAGE(K207:M207))</f>
        <v/>
      </c>
      <c r="R207" s="3">
        <f>IF(N207="","",MAX(ABS(K207-N207),ABS(L207-N207),ABS(M207-N207))/N207)</f>
        <v/>
      </c>
      <c r="S207">
        <f>IF(A207="","",IF(AND(F207="",K207=""),"N/A",IF(AND(J207="",R207=""),"Insufficient Load Data",IF(AND(J207&gt;0.03,R207&gt;0.15),"Voltage &amp; Current Imbalance",IF(J207&gt;0.03,"Voltage Imbalance",IF(R207&gt;0.15,"Current Imbalance","No Imbalances Detected")))))</f>
        <v/>
      </c>
      <c r="T207">
        <f>IF(A207="","",IF(AND(F207="",K207=""),"N/A",IF(OR(J207&gt;0.03,R207&gt;0.15),"Imbalance","Pass")))</f>
        <v/>
      </c>
    </row>
    <row r="208">
      <c r="A208">
        <f>IF('Equipment Information'!A208="","", 'Equipment Information'!A208)</f>
        <v/>
      </c>
      <c r="B208">
        <f>IF('Equipment Information'!B208="","", 'Equipment Information'!B208)</f>
        <v/>
      </c>
      <c r="C208">
        <f>IF('Equipment Information'!C208="","", 'Equipment Information'!C208)</f>
        <v/>
      </c>
      <c r="I208">
        <f>IF(COUNT(F208:H208)&lt;2,"",AVERAGE(F208:H208))</f>
        <v/>
      </c>
      <c r="J208" s="3">
        <f>IF(I208="","",MAX(ABS(F208-I208),ABS(G208-I208),ABS(H208-I208))/I208)</f>
        <v/>
      </c>
      <c r="N208">
        <f>IF(COUNT(K208:M208)&lt;2,"",AVERAGE(K208:M208))</f>
        <v/>
      </c>
      <c r="R208" s="3">
        <f>IF(N208="","",MAX(ABS(K208-N208),ABS(L208-N208),ABS(M208-N208))/N208)</f>
        <v/>
      </c>
      <c r="S208">
        <f>IF(A208="","",IF(AND(F208="",K208=""),"N/A",IF(AND(J208="",R208=""),"Insufficient Load Data",IF(AND(J208&gt;0.03,R208&gt;0.15),"Voltage &amp; Current Imbalance",IF(J208&gt;0.03,"Voltage Imbalance",IF(R208&gt;0.15,"Current Imbalance","No Imbalances Detected")))))</f>
        <v/>
      </c>
      <c r="T208">
        <f>IF(A208="","",IF(AND(F208="",K208=""),"N/A",IF(OR(J208&gt;0.03,R208&gt;0.15),"Imbalance","Pass")))</f>
        <v/>
      </c>
    </row>
    <row r="209">
      <c r="A209">
        <f>IF('Equipment Information'!A209="","", 'Equipment Information'!A209)</f>
        <v/>
      </c>
      <c r="B209">
        <f>IF('Equipment Information'!B209="","", 'Equipment Information'!B209)</f>
        <v/>
      </c>
      <c r="C209">
        <f>IF('Equipment Information'!C209="","", 'Equipment Information'!C209)</f>
        <v/>
      </c>
      <c r="I209">
        <f>IF(COUNT(F209:H209)&lt;2,"",AVERAGE(F209:H209))</f>
        <v/>
      </c>
      <c r="J209" s="3">
        <f>IF(I209="","",MAX(ABS(F209-I209),ABS(G209-I209),ABS(H209-I209))/I209)</f>
        <v/>
      </c>
      <c r="N209">
        <f>IF(COUNT(K209:M209)&lt;2,"",AVERAGE(K209:M209))</f>
        <v/>
      </c>
      <c r="R209" s="3">
        <f>IF(N209="","",MAX(ABS(K209-N209),ABS(L209-N209),ABS(M209-N209))/N209)</f>
        <v/>
      </c>
      <c r="S209">
        <f>IF(A209="","",IF(AND(F209="",K209=""),"N/A",IF(AND(J209="",R209=""),"Insufficient Load Data",IF(AND(J209&gt;0.03,R209&gt;0.15),"Voltage &amp; Current Imbalance",IF(J209&gt;0.03,"Voltage Imbalance",IF(R209&gt;0.15,"Current Imbalance","No Imbalances Detected")))))</f>
        <v/>
      </c>
      <c r="T209">
        <f>IF(A209="","",IF(AND(F209="",K209=""),"N/A",IF(OR(J209&gt;0.03,R209&gt;0.15),"Imbalance","Pass")))</f>
        <v/>
      </c>
    </row>
    <row r="210">
      <c r="A210">
        <f>IF('Equipment Information'!A210="","", 'Equipment Information'!A210)</f>
        <v/>
      </c>
      <c r="B210">
        <f>IF('Equipment Information'!B210="","", 'Equipment Information'!B210)</f>
        <v/>
      </c>
      <c r="C210">
        <f>IF('Equipment Information'!C210="","", 'Equipment Information'!C210)</f>
        <v/>
      </c>
      <c r="I210">
        <f>IF(COUNT(F210:H210)&lt;2,"",AVERAGE(F210:H210))</f>
        <v/>
      </c>
      <c r="J210" s="3">
        <f>IF(I210="","",MAX(ABS(F210-I210),ABS(G210-I210),ABS(H210-I210))/I210)</f>
        <v/>
      </c>
      <c r="N210">
        <f>IF(COUNT(K210:M210)&lt;2,"",AVERAGE(K210:M210))</f>
        <v/>
      </c>
      <c r="R210" s="3">
        <f>IF(N210="","",MAX(ABS(K210-N210),ABS(L210-N210),ABS(M210-N210))/N210)</f>
        <v/>
      </c>
      <c r="S210">
        <f>IF(A210="","",IF(AND(F210="",K210=""),"N/A",IF(AND(J210="",R210=""),"Insufficient Load Data",IF(AND(J210&gt;0.03,R210&gt;0.15),"Voltage &amp; Current Imbalance",IF(J210&gt;0.03,"Voltage Imbalance",IF(R210&gt;0.15,"Current Imbalance","No Imbalances Detected")))))</f>
        <v/>
      </c>
      <c r="T210">
        <f>IF(A210="","",IF(AND(F210="",K210=""),"N/A",IF(OR(J210&gt;0.03,R210&gt;0.15),"Imbalance","Pass")))</f>
        <v/>
      </c>
    </row>
    <row r="211">
      <c r="A211">
        <f>IF('Equipment Information'!A211="","", 'Equipment Information'!A211)</f>
        <v/>
      </c>
      <c r="B211">
        <f>IF('Equipment Information'!B211="","", 'Equipment Information'!B211)</f>
        <v/>
      </c>
      <c r="C211">
        <f>IF('Equipment Information'!C211="","", 'Equipment Information'!C211)</f>
        <v/>
      </c>
      <c r="I211">
        <f>IF(COUNT(F211:H211)&lt;2,"",AVERAGE(F211:H211))</f>
        <v/>
      </c>
      <c r="J211" s="3">
        <f>IF(I211="","",MAX(ABS(F211-I211),ABS(G211-I211),ABS(H211-I211))/I211)</f>
        <v/>
      </c>
      <c r="N211">
        <f>IF(COUNT(K211:M211)&lt;2,"",AVERAGE(K211:M211))</f>
        <v/>
      </c>
      <c r="R211" s="3">
        <f>IF(N211="","",MAX(ABS(K211-N211),ABS(L211-N211),ABS(M211-N211))/N211)</f>
        <v/>
      </c>
      <c r="S211">
        <f>IF(A211="","",IF(AND(F211="",K211=""),"N/A",IF(AND(J211="",R211=""),"Insufficient Load Data",IF(AND(J211&gt;0.03,R211&gt;0.15),"Voltage &amp; Current Imbalance",IF(J211&gt;0.03,"Voltage Imbalance",IF(R211&gt;0.15,"Current Imbalance","No Imbalances Detected")))))</f>
        <v/>
      </c>
      <c r="T211">
        <f>IF(A211="","",IF(AND(F211="",K211=""),"N/A",IF(OR(J211&gt;0.03,R211&gt;0.15),"Imbalance","Pass")))</f>
        <v/>
      </c>
    </row>
    <row r="212">
      <c r="A212">
        <f>IF('Equipment Information'!A212="","", 'Equipment Information'!A212)</f>
        <v/>
      </c>
      <c r="B212">
        <f>IF('Equipment Information'!B212="","", 'Equipment Information'!B212)</f>
        <v/>
      </c>
      <c r="C212">
        <f>IF('Equipment Information'!C212="","", 'Equipment Information'!C212)</f>
        <v/>
      </c>
      <c r="I212">
        <f>IF(COUNT(F212:H212)&lt;2,"",AVERAGE(F212:H212))</f>
        <v/>
      </c>
      <c r="J212" s="3">
        <f>IF(I212="","",MAX(ABS(F212-I212),ABS(G212-I212),ABS(H212-I212))/I212)</f>
        <v/>
      </c>
      <c r="N212">
        <f>IF(COUNT(K212:M212)&lt;2,"",AVERAGE(K212:M212))</f>
        <v/>
      </c>
      <c r="R212" s="3">
        <f>IF(N212="","",MAX(ABS(K212-N212),ABS(L212-N212),ABS(M212-N212))/N212)</f>
        <v/>
      </c>
      <c r="S212">
        <f>IF(A212="","",IF(AND(F212="",K212=""),"N/A",IF(AND(J212="",R212=""),"Insufficient Load Data",IF(AND(J212&gt;0.03,R212&gt;0.15),"Voltage &amp; Current Imbalance",IF(J212&gt;0.03,"Voltage Imbalance",IF(R212&gt;0.15,"Current Imbalance","No Imbalances Detected")))))</f>
        <v/>
      </c>
      <c r="T212">
        <f>IF(A212="","",IF(AND(F212="",K212=""),"N/A",IF(OR(J212&gt;0.03,R212&gt;0.15),"Imbalance","Pass")))</f>
        <v/>
      </c>
    </row>
    <row r="213">
      <c r="A213">
        <f>IF('Equipment Information'!A213="","", 'Equipment Information'!A213)</f>
        <v/>
      </c>
      <c r="B213">
        <f>IF('Equipment Information'!B213="","", 'Equipment Information'!B213)</f>
        <v/>
      </c>
      <c r="C213">
        <f>IF('Equipment Information'!C213="","", 'Equipment Information'!C213)</f>
        <v/>
      </c>
      <c r="I213">
        <f>IF(COUNT(F213:H213)&lt;2,"",AVERAGE(F213:H213))</f>
        <v/>
      </c>
      <c r="J213" s="3">
        <f>IF(I213="","",MAX(ABS(F213-I213),ABS(G213-I213),ABS(H213-I213))/I213)</f>
        <v/>
      </c>
      <c r="N213">
        <f>IF(COUNT(K213:M213)&lt;2,"",AVERAGE(K213:M213))</f>
        <v/>
      </c>
      <c r="R213" s="3">
        <f>IF(N213="","",MAX(ABS(K213-N213),ABS(L213-N213),ABS(M213-N213))/N213)</f>
        <v/>
      </c>
      <c r="S213">
        <f>IF(A213="","",IF(AND(F213="",K213=""),"N/A",IF(AND(J213="",R213=""),"Insufficient Load Data",IF(AND(J213&gt;0.03,R213&gt;0.15),"Voltage &amp; Current Imbalance",IF(J213&gt;0.03,"Voltage Imbalance",IF(R213&gt;0.15,"Current Imbalance","No Imbalances Detected")))))</f>
        <v/>
      </c>
      <c r="T213">
        <f>IF(A213="","",IF(AND(F213="",K213=""),"N/A",IF(OR(J213&gt;0.03,R213&gt;0.15),"Imbalance","Pass")))</f>
        <v/>
      </c>
    </row>
    <row r="214">
      <c r="A214">
        <f>IF('Equipment Information'!A214="","", 'Equipment Information'!A214)</f>
        <v/>
      </c>
      <c r="B214">
        <f>IF('Equipment Information'!B214="","", 'Equipment Information'!B214)</f>
        <v/>
      </c>
      <c r="C214">
        <f>IF('Equipment Information'!C214="","", 'Equipment Information'!C214)</f>
        <v/>
      </c>
      <c r="I214">
        <f>IF(COUNT(F214:H214)&lt;2,"",AVERAGE(F214:H214))</f>
        <v/>
      </c>
      <c r="J214" s="3">
        <f>IF(I214="","",MAX(ABS(F214-I214),ABS(G214-I214),ABS(H214-I214))/I214)</f>
        <v/>
      </c>
      <c r="N214">
        <f>IF(COUNT(K214:M214)&lt;2,"",AVERAGE(K214:M214))</f>
        <v/>
      </c>
      <c r="R214" s="3">
        <f>IF(N214="","",MAX(ABS(K214-N214),ABS(L214-N214),ABS(M214-N214))/N214)</f>
        <v/>
      </c>
      <c r="S214">
        <f>IF(A214="","",IF(AND(F214="",K214=""),"N/A",IF(AND(J214="",R214=""),"Insufficient Load Data",IF(AND(J214&gt;0.03,R214&gt;0.15),"Voltage &amp; Current Imbalance",IF(J214&gt;0.03,"Voltage Imbalance",IF(R214&gt;0.15,"Current Imbalance","No Imbalances Detected")))))</f>
        <v/>
      </c>
      <c r="T214">
        <f>IF(A214="","",IF(AND(F214="",K214=""),"N/A",IF(OR(J214&gt;0.03,R214&gt;0.15),"Imbalance","Pass")))</f>
        <v/>
      </c>
    </row>
    <row r="215">
      <c r="A215">
        <f>IF('Equipment Information'!A215="","", 'Equipment Information'!A215)</f>
        <v/>
      </c>
      <c r="B215">
        <f>IF('Equipment Information'!B215="","", 'Equipment Information'!B215)</f>
        <v/>
      </c>
      <c r="C215">
        <f>IF('Equipment Information'!C215="","", 'Equipment Information'!C215)</f>
        <v/>
      </c>
      <c r="I215">
        <f>IF(COUNT(F215:H215)&lt;2,"",AVERAGE(F215:H215))</f>
        <v/>
      </c>
      <c r="J215" s="3">
        <f>IF(I215="","",MAX(ABS(F215-I215),ABS(G215-I215),ABS(H215-I215))/I215)</f>
        <v/>
      </c>
      <c r="N215">
        <f>IF(COUNT(K215:M215)&lt;2,"",AVERAGE(K215:M215))</f>
        <v/>
      </c>
      <c r="R215" s="3">
        <f>IF(N215="","",MAX(ABS(K215-N215),ABS(L215-N215),ABS(M215-N215))/N215)</f>
        <v/>
      </c>
      <c r="S215">
        <f>IF(A215="","",IF(AND(F215="",K215=""),"N/A",IF(AND(J215="",R215=""),"Insufficient Load Data",IF(AND(J215&gt;0.03,R215&gt;0.15),"Voltage &amp; Current Imbalance",IF(J215&gt;0.03,"Voltage Imbalance",IF(R215&gt;0.15,"Current Imbalance","No Imbalances Detected")))))</f>
        <v/>
      </c>
      <c r="T215">
        <f>IF(A215="","",IF(AND(F215="",K215=""),"N/A",IF(OR(J215&gt;0.03,R215&gt;0.15),"Imbalance","Pass")))</f>
        <v/>
      </c>
    </row>
    <row r="216">
      <c r="A216">
        <f>IF('Equipment Information'!A216="","", 'Equipment Information'!A216)</f>
        <v/>
      </c>
      <c r="B216">
        <f>IF('Equipment Information'!B216="","", 'Equipment Information'!B216)</f>
        <v/>
      </c>
      <c r="C216">
        <f>IF('Equipment Information'!C216="","", 'Equipment Information'!C216)</f>
        <v/>
      </c>
      <c r="I216">
        <f>IF(COUNT(F216:H216)&lt;2,"",AVERAGE(F216:H216))</f>
        <v/>
      </c>
      <c r="J216" s="3">
        <f>IF(I216="","",MAX(ABS(F216-I216),ABS(G216-I216),ABS(H216-I216))/I216)</f>
        <v/>
      </c>
      <c r="N216">
        <f>IF(COUNT(K216:M216)&lt;2,"",AVERAGE(K216:M216))</f>
        <v/>
      </c>
      <c r="R216" s="3">
        <f>IF(N216="","",MAX(ABS(K216-N216),ABS(L216-N216),ABS(M216-N216))/N216)</f>
        <v/>
      </c>
      <c r="S216">
        <f>IF(A216="","",IF(AND(F216="",K216=""),"N/A",IF(AND(J216="",R216=""),"Insufficient Load Data",IF(AND(J216&gt;0.03,R216&gt;0.15),"Voltage &amp; Current Imbalance",IF(J216&gt;0.03,"Voltage Imbalance",IF(R216&gt;0.15,"Current Imbalance","No Imbalances Detected")))))</f>
        <v/>
      </c>
      <c r="T216">
        <f>IF(A216="","",IF(AND(F216="",K216=""),"N/A",IF(OR(J216&gt;0.03,R216&gt;0.15),"Imbalance","Pass")))</f>
        <v/>
      </c>
    </row>
    <row r="217">
      <c r="A217">
        <f>IF('Equipment Information'!A217="","", 'Equipment Information'!A217)</f>
        <v/>
      </c>
      <c r="B217">
        <f>IF('Equipment Information'!B217="","", 'Equipment Information'!B217)</f>
        <v/>
      </c>
      <c r="C217">
        <f>IF('Equipment Information'!C217="","", 'Equipment Information'!C217)</f>
        <v/>
      </c>
      <c r="I217">
        <f>IF(COUNT(F217:H217)&lt;2,"",AVERAGE(F217:H217))</f>
        <v/>
      </c>
      <c r="J217" s="3">
        <f>IF(I217="","",MAX(ABS(F217-I217),ABS(G217-I217),ABS(H217-I217))/I217)</f>
        <v/>
      </c>
      <c r="N217">
        <f>IF(COUNT(K217:M217)&lt;2,"",AVERAGE(K217:M217))</f>
        <v/>
      </c>
      <c r="R217" s="3">
        <f>IF(N217="","",MAX(ABS(K217-N217),ABS(L217-N217),ABS(M217-N217))/N217)</f>
        <v/>
      </c>
      <c r="S217">
        <f>IF(A217="","",IF(AND(F217="",K217=""),"N/A",IF(AND(J217="",R217=""),"Insufficient Load Data",IF(AND(J217&gt;0.03,R217&gt;0.15),"Voltage &amp; Current Imbalance",IF(J217&gt;0.03,"Voltage Imbalance",IF(R217&gt;0.15,"Current Imbalance","No Imbalances Detected")))))</f>
        <v/>
      </c>
      <c r="T217">
        <f>IF(A217="","",IF(AND(F217="",K217=""),"N/A",IF(OR(J217&gt;0.03,R217&gt;0.15),"Imbalance","Pass")))</f>
        <v/>
      </c>
    </row>
    <row r="218">
      <c r="A218">
        <f>IF('Equipment Information'!A218="","", 'Equipment Information'!A218)</f>
        <v/>
      </c>
      <c r="B218">
        <f>IF('Equipment Information'!B218="","", 'Equipment Information'!B218)</f>
        <v/>
      </c>
      <c r="C218">
        <f>IF('Equipment Information'!C218="","", 'Equipment Information'!C218)</f>
        <v/>
      </c>
      <c r="I218">
        <f>IF(COUNT(F218:H218)&lt;2,"",AVERAGE(F218:H218))</f>
        <v/>
      </c>
      <c r="J218" s="3">
        <f>IF(I218="","",MAX(ABS(F218-I218),ABS(G218-I218),ABS(H218-I218))/I218)</f>
        <v/>
      </c>
      <c r="N218">
        <f>IF(COUNT(K218:M218)&lt;2,"",AVERAGE(K218:M218))</f>
        <v/>
      </c>
      <c r="R218" s="3">
        <f>IF(N218="","",MAX(ABS(K218-N218),ABS(L218-N218),ABS(M218-N218))/N218)</f>
        <v/>
      </c>
      <c r="S218">
        <f>IF(A218="","",IF(AND(F218="",K218=""),"N/A",IF(AND(J218="",R218=""),"Insufficient Load Data",IF(AND(J218&gt;0.03,R218&gt;0.15),"Voltage &amp; Current Imbalance",IF(J218&gt;0.03,"Voltage Imbalance",IF(R218&gt;0.15,"Current Imbalance","No Imbalances Detected")))))</f>
        <v/>
      </c>
      <c r="T218">
        <f>IF(A218="","",IF(AND(F218="",K218=""),"N/A",IF(OR(J218&gt;0.03,R218&gt;0.15),"Imbalance","Pass")))</f>
        <v/>
      </c>
    </row>
    <row r="219">
      <c r="A219">
        <f>IF('Equipment Information'!A219="","", 'Equipment Information'!A219)</f>
        <v/>
      </c>
      <c r="B219">
        <f>IF('Equipment Information'!B219="","", 'Equipment Information'!B219)</f>
        <v/>
      </c>
      <c r="C219">
        <f>IF('Equipment Information'!C219="","", 'Equipment Information'!C219)</f>
        <v/>
      </c>
      <c r="I219">
        <f>IF(COUNT(F219:H219)&lt;2,"",AVERAGE(F219:H219))</f>
        <v/>
      </c>
      <c r="J219" s="3">
        <f>IF(I219="","",MAX(ABS(F219-I219),ABS(G219-I219),ABS(H219-I219))/I219)</f>
        <v/>
      </c>
      <c r="N219">
        <f>IF(COUNT(K219:M219)&lt;2,"",AVERAGE(K219:M219))</f>
        <v/>
      </c>
      <c r="R219" s="3">
        <f>IF(N219="","",MAX(ABS(K219-N219),ABS(L219-N219),ABS(M219-N219))/N219)</f>
        <v/>
      </c>
      <c r="S219">
        <f>IF(A219="","",IF(AND(F219="",K219=""),"N/A",IF(AND(J219="",R219=""),"Insufficient Load Data",IF(AND(J219&gt;0.03,R219&gt;0.15),"Voltage &amp; Current Imbalance",IF(J219&gt;0.03,"Voltage Imbalance",IF(R219&gt;0.15,"Current Imbalance","No Imbalances Detected")))))</f>
        <v/>
      </c>
      <c r="T219">
        <f>IF(A219="","",IF(AND(F219="",K219=""),"N/A",IF(OR(J219&gt;0.03,R219&gt;0.15),"Imbalance","Pass")))</f>
        <v/>
      </c>
    </row>
    <row r="220">
      <c r="A220">
        <f>IF('Equipment Information'!A220="","", 'Equipment Information'!A220)</f>
        <v/>
      </c>
      <c r="B220">
        <f>IF('Equipment Information'!B220="","", 'Equipment Information'!B220)</f>
        <v/>
      </c>
      <c r="C220">
        <f>IF('Equipment Information'!C220="","", 'Equipment Information'!C220)</f>
        <v/>
      </c>
      <c r="I220">
        <f>IF(COUNT(F220:H220)&lt;2,"",AVERAGE(F220:H220))</f>
        <v/>
      </c>
      <c r="J220" s="3">
        <f>IF(I220="","",MAX(ABS(F220-I220),ABS(G220-I220),ABS(H220-I220))/I220)</f>
        <v/>
      </c>
      <c r="N220">
        <f>IF(COUNT(K220:M220)&lt;2,"",AVERAGE(K220:M220))</f>
        <v/>
      </c>
      <c r="R220" s="3">
        <f>IF(N220="","",MAX(ABS(K220-N220),ABS(L220-N220),ABS(M220-N220))/N220)</f>
        <v/>
      </c>
      <c r="S220">
        <f>IF(A220="","",IF(AND(F220="",K220=""),"N/A",IF(AND(J220="",R220=""),"Insufficient Load Data",IF(AND(J220&gt;0.03,R220&gt;0.15),"Voltage &amp; Current Imbalance",IF(J220&gt;0.03,"Voltage Imbalance",IF(R220&gt;0.15,"Current Imbalance","No Imbalances Detected")))))</f>
        <v/>
      </c>
      <c r="T220">
        <f>IF(A220="","",IF(AND(F220="",K220=""),"N/A",IF(OR(J220&gt;0.03,R220&gt;0.15),"Imbalance","Pass")))</f>
        <v/>
      </c>
    </row>
    <row r="221">
      <c r="A221">
        <f>IF('Equipment Information'!A221="","", 'Equipment Information'!A221)</f>
        <v/>
      </c>
      <c r="B221">
        <f>IF('Equipment Information'!B221="","", 'Equipment Information'!B221)</f>
        <v/>
      </c>
      <c r="C221">
        <f>IF('Equipment Information'!C221="","", 'Equipment Information'!C221)</f>
        <v/>
      </c>
      <c r="I221">
        <f>IF(COUNT(F221:H221)&lt;2,"",AVERAGE(F221:H221))</f>
        <v/>
      </c>
      <c r="J221" s="3">
        <f>IF(I221="","",MAX(ABS(F221-I221),ABS(G221-I221),ABS(H221-I221))/I221)</f>
        <v/>
      </c>
      <c r="N221">
        <f>IF(COUNT(K221:M221)&lt;2,"",AVERAGE(K221:M221))</f>
        <v/>
      </c>
      <c r="R221" s="3">
        <f>IF(N221="","",MAX(ABS(K221-N221),ABS(L221-N221),ABS(M221-N221))/N221)</f>
        <v/>
      </c>
      <c r="S221">
        <f>IF(A221="","",IF(AND(F221="",K221=""),"N/A",IF(AND(J221="",R221=""),"Insufficient Load Data",IF(AND(J221&gt;0.03,R221&gt;0.15),"Voltage &amp; Current Imbalance",IF(J221&gt;0.03,"Voltage Imbalance",IF(R221&gt;0.15,"Current Imbalance","No Imbalances Detected")))))</f>
        <v/>
      </c>
      <c r="T221">
        <f>IF(A221="","",IF(AND(F221="",K221=""),"N/A",IF(OR(J221&gt;0.03,R221&gt;0.15),"Imbalance","Pass")))</f>
        <v/>
      </c>
    </row>
    <row r="222">
      <c r="A222">
        <f>IF('Equipment Information'!A222="","", 'Equipment Information'!A222)</f>
        <v/>
      </c>
      <c r="B222">
        <f>IF('Equipment Information'!B222="","", 'Equipment Information'!B222)</f>
        <v/>
      </c>
      <c r="C222">
        <f>IF('Equipment Information'!C222="","", 'Equipment Information'!C222)</f>
        <v/>
      </c>
      <c r="I222">
        <f>IF(COUNT(F222:H222)&lt;2,"",AVERAGE(F222:H222))</f>
        <v/>
      </c>
      <c r="J222" s="3">
        <f>IF(I222="","",MAX(ABS(F222-I222),ABS(G222-I222),ABS(H222-I222))/I222)</f>
        <v/>
      </c>
      <c r="N222">
        <f>IF(COUNT(K222:M222)&lt;2,"",AVERAGE(K222:M222))</f>
        <v/>
      </c>
      <c r="R222" s="3">
        <f>IF(N222="","",MAX(ABS(K222-N222),ABS(L222-N222),ABS(M222-N222))/N222)</f>
        <v/>
      </c>
      <c r="S222">
        <f>IF(A222="","",IF(AND(F222="",K222=""),"N/A",IF(AND(J222="",R222=""),"Insufficient Load Data",IF(AND(J222&gt;0.03,R222&gt;0.15),"Voltage &amp; Current Imbalance",IF(J222&gt;0.03,"Voltage Imbalance",IF(R222&gt;0.15,"Current Imbalance","No Imbalances Detected")))))</f>
        <v/>
      </c>
      <c r="T222">
        <f>IF(A222="","",IF(AND(F222="",K222=""),"N/A",IF(OR(J222&gt;0.03,R222&gt;0.15),"Imbalance","Pass")))</f>
        <v/>
      </c>
    </row>
    <row r="223">
      <c r="A223">
        <f>IF('Equipment Information'!A223="","", 'Equipment Information'!A223)</f>
        <v/>
      </c>
      <c r="B223">
        <f>IF('Equipment Information'!B223="","", 'Equipment Information'!B223)</f>
        <v/>
      </c>
      <c r="C223">
        <f>IF('Equipment Information'!C223="","", 'Equipment Information'!C223)</f>
        <v/>
      </c>
      <c r="I223">
        <f>IF(COUNT(F223:H223)&lt;2,"",AVERAGE(F223:H223))</f>
        <v/>
      </c>
      <c r="J223" s="3">
        <f>IF(I223="","",MAX(ABS(F223-I223),ABS(G223-I223),ABS(H223-I223))/I223)</f>
        <v/>
      </c>
      <c r="N223">
        <f>IF(COUNT(K223:M223)&lt;2,"",AVERAGE(K223:M223))</f>
        <v/>
      </c>
      <c r="R223" s="3">
        <f>IF(N223="","",MAX(ABS(K223-N223),ABS(L223-N223),ABS(M223-N223))/N223)</f>
        <v/>
      </c>
      <c r="S223">
        <f>IF(A223="","",IF(AND(F223="",K223=""),"N/A",IF(AND(J223="",R223=""),"Insufficient Load Data",IF(AND(J223&gt;0.03,R223&gt;0.15),"Voltage &amp; Current Imbalance",IF(J223&gt;0.03,"Voltage Imbalance",IF(R223&gt;0.15,"Current Imbalance","No Imbalances Detected")))))</f>
        <v/>
      </c>
      <c r="T223">
        <f>IF(A223="","",IF(AND(F223="",K223=""),"N/A",IF(OR(J223&gt;0.03,R223&gt;0.15),"Imbalance","Pass")))</f>
        <v/>
      </c>
    </row>
    <row r="224">
      <c r="A224">
        <f>IF('Equipment Information'!A224="","", 'Equipment Information'!A224)</f>
        <v/>
      </c>
      <c r="B224">
        <f>IF('Equipment Information'!B224="","", 'Equipment Information'!B224)</f>
        <v/>
      </c>
      <c r="C224">
        <f>IF('Equipment Information'!C224="","", 'Equipment Information'!C224)</f>
        <v/>
      </c>
      <c r="I224">
        <f>IF(COUNT(F224:H224)&lt;2,"",AVERAGE(F224:H224))</f>
        <v/>
      </c>
      <c r="J224" s="3">
        <f>IF(I224="","",MAX(ABS(F224-I224),ABS(G224-I224),ABS(H224-I224))/I224)</f>
        <v/>
      </c>
      <c r="N224">
        <f>IF(COUNT(K224:M224)&lt;2,"",AVERAGE(K224:M224))</f>
        <v/>
      </c>
      <c r="R224" s="3">
        <f>IF(N224="","",MAX(ABS(K224-N224),ABS(L224-N224),ABS(M224-N224))/N224)</f>
        <v/>
      </c>
      <c r="S224">
        <f>IF(A224="","",IF(AND(F224="",K224=""),"N/A",IF(AND(J224="",R224=""),"Insufficient Load Data",IF(AND(J224&gt;0.03,R224&gt;0.15),"Voltage &amp; Current Imbalance",IF(J224&gt;0.03,"Voltage Imbalance",IF(R224&gt;0.15,"Current Imbalance","No Imbalances Detected")))))</f>
        <v/>
      </c>
      <c r="T224">
        <f>IF(A224="","",IF(AND(F224="",K224=""),"N/A",IF(OR(J224&gt;0.03,R224&gt;0.15),"Imbalance","Pass")))</f>
        <v/>
      </c>
    </row>
    <row r="225">
      <c r="A225">
        <f>IF('Equipment Information'!A225="","", 'Equipment Information'!A225)</f>
        <v/>
      </c>
      <c r="B225">
        <f>IF('Equipment Information'!B225="","", 'Equipment Information'!B225)</f>
        <v/>
      </c>
      <c r="C225">
        <f>IF('Equipment Information'!C225="","", 'Equipment Information'!C225)</f>
        <v/>
      </c>
      <c r="I225">
        <f>IF(COUNT(F225:H225)&lt;2,"",AVERAGE(F225:H225))</f>
        <v/>
      </c>
      <c r="J225" s="3">
        <f>IF(I225="","",MAX(ABS(F225-I225),ABS(G225-I225),ABS(H225-I225))/I225)</f>
        <v/>
      </c>
      <c r="N225">
        <f>IF(COUNT(K225:M225)&lt;2,"",AVERAGE(K225:M225))</f>
        <v/>
      </c>
      <c r="R225" s="3">
        <f>IF(N225="","",MAX(ABS(K225-N225),ABS(L225-N225),ABS(M225-N225))/N225)</f>
        <v/>
      </c>
      <c r="S225">
        <f>IF(A225="","",IF(AND(F225="",K225=""),"N/A",IF(AND(J225="",R225=""),"Insufficient Load Data",IF(AND(J225&gt;0.03,R225&gt;0.15),"Voltage &amp; Current Imbalance",IF(J225&gt;0.03,"Voltage Imbalance",IF(R225&gt;0.15,"Current Imbalance","No Imbalances Detected")))))</f>
        <v/>
      </c>
      <c r="T225">
        <f>IF(A225="","",IF(AND(F225="",K225=""),"N/A",IF(OR(J225&gt;0.03,R225&gt;0.15),"Imbalance","Pass")))</f>
        <v/>
      </c>
    </row>
    <row r="226">
      <c r="A226">
        <f>IF('Equipment Information'!A226="","", 'Equipment Information'!A226)</f>
        <v/>
      </c>
      <c r="B226">
        <f>IF('Equipment Information'!B226="","", 'Equipment Information'!B226)</f>
        <v/>
      </c>
      <c r="C226">
        <f>IF('Equipment Information'!C226="","", 'Equipment Information'!C226)</f>
        <v/>
      </c>
      <c r="I226">
        <f>IF(COUNT(F226:H226)&lt;2,"",AVERAGE(F226:H226))</f>
        <v/>
      </c>
      <c r="J226" s="3">
        <f>IF(I226="","",MAX(ABS(F226-I226),ABS(G226-I226),ABS(H226-I226))/I226)</f>
        <v/>
      </c>
      <c r="N226">
        <f>IF(COUNT(K226:M226)&lt;2,"",AVERAGE(K226:M226))</f>
        <v/>
      </c>
      <c r="R226" s="3">
        <f>IF(N226="","",MAX(ABS(K226-N226),ABS(L226-N226),ABS(M226-N226))/N226)</f>
        <v/>
      </c>
      <c r="S226">
        <f>IF(A226="","",IF(AND(F226="",K226=""),"N/A",IF(AND(J226="",R226=""),"Insufficient Load Data",IF(AND(J226&gt;0.03,R226&gt;0.15),"Voltage &amp; Current Imbalance",IF(J226&gt;0.03,"Voltage Imbalance",IF(R226&gt;0.15,"Current Imbalance","No Imbalances Detected")))))</f>
        <v/>
      </c>
      <c r="T226">
        <f>IF(A226="","",IF(AND(F226="",K226=""),"N/A",IF(OR(J226&gt;0.03,R226&gt;0.15),"Imbalance","Pass")))</f>
        <v/>
      </c>
    </row>
    <row r="227">
      <c r="A227">
        <f>IF('Equipment Information'!A227="","", 'Equipment Information'!A227)</f>
        <v/>
      </c>
      <c r="B227">
        <f>IF('Equipment Information'!B227="","", 'Equipment Information'!B227)</f>
        <v/>
      </c>
      <c r="C227">
        <f>IF('Equipment Information'!C227="","", 'Equipment Information'!C227)</f>
        <v/>
      </c>
      <c r="I227">
        <f>IF(COUNT(F227:H227)&lt;2,"",AVERAGE(F227:H227))</f>
        <v/>
      </c>
      <c r="J227" s="3">
        <f>IF(I227="","",MAX(ABS(F227-I227),ABS(G227-I227),ABS(H227-I227))/I227)</f>
        <v/>
      </c>
      <c r="N227">
        <f>IF(COUNT(K227:M227)&lt;2,"",AVERAGE(K227:M227))</f>
        <v/>
      </c>
      <c r="R227" s="3">
        <f>IF(N227="","",MAX(ABS(K227-N227),ABS(L227-N227),ABS(M227-N227))/N227)</f>
        <v/>
      </c>
      <c r="S227">
        <f>IF(A227="","",IF(AND(F227="",K227=""),"N/A",IF(AND(J227="",R227=""),"Insufficient Load Data",IF(AND(J227&gt;0.03,R227&gt;0.15),"Voltage &amp; Current Imbalance",IF(J227&gt;0.03,"Voltage Imbalance",IF(R227&gt;0.15,"Current Imbalance","No Imbalances Detected")))))</f>
        <v/>
      </c>
      <c r="T227">
        <f>IF(A227="","",IF(AND(F227="",K227=""),"N/A",IF(OR(J227&gt;0.03,R227&gt;0.15),"Imbalance","Pass")))</f>
        <v/>
      </c>
    </row>
    <row r="228">
      <c r="A228">
        <f>IF('Equipment Information'!A228="","", 'Equipment Information'!A228)</f>
        <v/>
      </c>
      <c r="B228">
        <f>IF('Equipment Information'!B228="","", 'Equipment Information'!B228)</f>
        <v/>
      </c>
      <c r="C228">
        <f>IF('Equipment Information'!C228="","", 'Equipment Information'!C228)</f>
        <v/>
      </c>
      <c r="I228">
        <f>IF(COUNT(F228:H228)&lt;2,"",AVERAGE(F228:H228))</f>
        <v/>
      </c>
      <c r="J228" s="3">
        <f>IF(I228="","",MAX(ABS(F228-I228),ABS(G228-I228),ABS(H228-I228))/I228)</f>
        <v/>
      </c>
      <c r="N228">
        <f>IF(COUNT(K228:M228)&lt;2,"",AVERAGE(K228:M228))</f>
        <v/>
      </c>
      <c r="R228" s="3">
        <f>IF(N228="","",MAX(ABS(K228-N228),ABS(L228-N228),ABS(M228-N228))/N228)</f>
        <v/>
      </c>
      <c r="S228">
        <f>IF(A228="","",IF(AND(F228="",K228=""),"N/A",IF(AND(J228="",R228=""),"Insufficient Load Data",IF(AND(J228&gt;0.03,R228&gt;0.15),"Voltage &amp; Current Imbalance",IF(J228&gt;0.03,"Voltage Imbalance",IF(R228&gt;0.15,"Current Imbalance","No Imbalances Detected")))))</f>
        <v/>
      </c>
      <c r="T228">
        <f>IF(A228="","",IF(AND(F228="",K228=""),"N/A",IF(OR(J228&gt;0.03,R228&gt;0.15),"Imbalance","Pass")))</f>
        <v/>
      </c>
    </row>
    <row r="229">
      <c r="A229">
        <f>IF('Equipment Information'!A229="","", 'Equipment Information'!A229)</f>
        <v/>
      </c>
      <c r="B229">
        <f>IF('Equipment Information'!B229="","", 'Equipment Information'!B229)</f>
        <v/>
      </c>
      <c r="C229">
        <f>IF('Equipment Information'!C229="","", 'Equipment Information'!C229)</f>
        <v/>
      </c>
      <c r="I229">
        <f>IF(COUNT(F229:H229)&lt;2,"",AVERAGE(F229:H229))</f>
        <v/>
      </c>
      <c r="J229" s="3">
        <f>IF(I229="","",MAX(ABS(F229-I229),ABS(G229-I229),ABS(H229-I229))/I229)</f>
        <v/>
      </c>
      <c r="N229">
        <f>IF(COUNT(K229:M229)&lt;2,"",AVERAGE(K229:M229))</f>
        <v/>
      </c>
      <c r="R229" s="3">
        <f>IF(N229="","",MAX(ABS(K229-N229),ABS(L229-N229),ABS(M229-N229))/N229)</f>
        <v/>
      </c>
      <c r="S229">
        <f>IF(A229="","",IF(AND(F229="",K229=""),"N/A",IF(AND(J229="",R229=""),"Insufficient Load Data",IF(AND(J229&gt;0.03,R229&gt;0.15),"Voltage &amp; Current Imbalance",IF(J229&gt;0.03,"Voltage Imbalance",IF(R229&gt;0.15,"Current Imbalance","No Imbalances Detected")))))</f>
        <v/>
      </c>
      <c r="T229">
        <f>IF(A229="","",IF(AND(F229="",K229=""),"N/A",IF(OR(J229&gt;0.03,R229&gt;0.15),"Imbalance","Pass")))</f>
        <v/>
      </c>
    </row>
    <row r="230">
      <c r="A230">
        <f>IF('Equipment Information'!A230="","", 'Equipment Information'!A230)</f>
        <v/>
      </c>
      <c r="B230">
        <f>IF('Equipment Information'!B230="","", 'Equipment Information'!B230)</f>
        <v/>
      </c>
      <c r="C230">
        <f>IF('Equipment Information'!C230="","", 'Equipment Information'!C230)</f>
        <v/>
      </c>
      <c r="I230">
        <f>IF(COUNT(F230:H230)&lt;2,"",AVERAGE(F230:H230))</f>
        <v/>
      </c>
      <c r="J230" s="3">
        <f>IF(I230="","",MAX(ABS(F230-I230),ABS(G230-I230),ABS(H230-I230))/I230)</f>
        <v/>
      </c>
      <c r="N230">
        <f>IF(COUNT(K230:M230)&lt;2,"",AVERAGE(K230:M230))</f>
        <v/>
      </c>
      <c r="R230" s="3">
        <f>IF(N230="","",MAX(ABS(K230-N230),ABS(L230-N230),ABS(M230-N230))/N230)</f>
        <v/>
      </c>
      <c r="S230">
        <f>IF(A230="","",IF(AND(F230="",K230=""),"N/A",IF(AND(J230="",R230=""),"Insufficient Load Data",IF(AND(J230&gt;0.03,R230&gt;0.15),"Voltage &amp; Current Imbalance",IF(J230&gt;0.03,"Voltage Imbalance",IF(R230&gt;0.15,"Current Imbalance","No Imbalances Detected")))))</f>
        <v/>
      </c>
      <c r="T230">
        <f>IF(A230="","",IF(AND(F230="",K230=""),"N/A",IF(OR(J230&gt;0.03,R230&gt;0.15),"Imbalance","Pass")))</f>
        <v/>
      </c>
    </row>
    <row r="231">
      <c r="A231">
        <f>IF('Equipment Information'!A231="","", 'Equipment Information'!A231)</f>
        <v/>
      </c>
      <c r="B231">
        <f>IF('Equipment Information'!B231="","", 'Equipment Information'!B231)</f>
        <v/>
      </c>
      <c r="C231">
        <f>IF('Equipment Information'!C231="","", 'Equipment Information'!C231)</f>
        <v/>
      </c>
      <c r="I231">
        <f>IF(COUNT(F231:H231)&lt;2,"",AVERAGE(F231:H231))</f>
        <v/>
      </c>
      <c r="J231" s="3">
        <f>IF(I231="","",MAX(ABS(F231-I231),ABS(G231-I231),ABS(H231-I231))/I231)</f>
        <v/>
      </c>
      <c r="N231">
        <f>IF(COUNT(K231:M231)&lt;2,"",AVERAGE(K231:M231))</f>
        <v/>
      </c>
      <c r="R231" s="3">
        <f>IF(N231="","",MAX(ABS(K231-N231),ABS(L231-N231),ABS(M231-N231))/N231)</f>
        <v/>
      </c>
      <c r="S231">
        <f>IF(A231="","",IF(AND(F231="",K231=""),"N/A",IF(AND(J231="",R231=""),"Insufficient Load Data",IF(AND(J231&gt;0.03,R231&gt;0.15),"Voltage &amp; Current Imbalance",IF(J231&gt;0.03,"Voltage Imbalance",IF(R231&gt;0.15,"Current Imbalance","No Imbalances Detected")))))</f>
        <v/>
      </c>
      <c r="T231">
        <f>IF(A231="","",IF(AND(F231="",K231=""),"N/A",IF(OR(J231&gt;0.03,R231&gt;0.15),"Imbalance","Pass")))</f>
        <v/>
      </c>
    </row>
    <row r="232">
      <c r="A232">
        <f>IF('Equipment Information'!A232="","", 'Equipment Information'!A232)</f>
        <v/>
      </c>
      <c r="B232">
        <f>IF('Equipment Information'!B232="","", 'Equipment Information'!B232)</f>
        <v/>
      </c>
      <c r="C232">
        <f>IF('Equipment Information'!C232="","", 'Equipment Information'!C232)</f>
        <v/>
      </c>
      <c r="I232">
        <f>IF(COUNT(F232:H232)&lt;2,"",AVERAGE(F232:H232))</f>
        <v/>
      </c>
      <c r="J232" s="3">
        <f>IF(I232="","",MAX(ABS(F232-I232),ABS(G232-I232),ABS(H232-I232))/I232)</f>
        <v/>
      </c>
      <c r="N232">
        <f>IF(COUNT(K232:M232)&lt;2,"",AVERAGE(K232:M232))</f>
        <v/>
      </c>
      <c r="R232" s="3">
        <f>IF(N232="","",MAX(ABS(K232-N232),ABS(L232-N232),ABS(M232-N232))/N232)</f>
        <v/>
      </c>
      <c r="S232">
        <f>IF(A232="","",IF(AND(F232="",K232=""),"N/A",IF(AND(J232="",R232=""),"Insufficient Load Data",IF(AND(J232&gt;0.03,R232&gt;0.15),"Voltage &amp; Current Imbalance",IF(J232&gt;0.03,"Voltage Imbalance",IF(R232&gt;0.15,"Current Imbalance","No Imbalances Detected")))))</f>
        <v/>
      </c>
      <c r="T232">
        <f>IF(A232="","",IF(AND(F232="",K232=""),"N/A",IF(OR(J232&gt;0.03,R232&gt;0.15),"Imbalance","Pass")))</f>
        <v/>
      </c>
    </row>
    <row r="233">
      <c r="A233">
        <f>IF('Equipment Information'!A233="","", 'Equipment Information'!A233)</f>
        <v/>
      </c>
      <c r="B233">
        <f>IF('Equipment Information'!B233="","", 'Equipment Information'!B233)</f>
        <v/>
      </c>
      <c r="C233">
        <f>IF('Equipment Information'!C233="","", 'Equipment Information'!C233)</f>
        <v/>
      </c>
      <c r="I233">
        <f>IF(COUNT(F233:H233)&lt;2,"",AVERAGE(F233:H233))</f>
        <v/>
      </c>
      <c r="J233" s="3">
        <f>IF(I233="","",MAX(ABS(F233-I233),ABS(G233-I233),ABS(H233-I233))/I233)</f>
        <v/>
      </c>
      <c r="N233">
        <f>IF(COUNT(K233:M233)&lt;2,"",AVERAGE(K233:M233))</f>
        <v/>
      </c>
      <c r="R233" s="3">
        <f>IF(N233="","",MAX(ABS(K233-N233),ABS(L233-N233),ABS(M233-N233))/N233)</f>
        <v/>
      </c>
      <c r="S233">
        <f>IF(A233="","",IF(AND(F233="",K233=""),"N/A",IF(AND(J233="",R233=""),"Insufficient Load Data",IF(AND(J233&gt;0.03,R233&gt;0.15),"Voltage &amp; Current Imbalance",IF(J233&gt;0.03,"Voltage Imbalance",IF(R233&gt;0.15,"Current Imbalance","No Imbalances Detected")))))</f>
        <v/>
      </c>
      <c r="T233">
        <f>IF(A233="","",IF(AND(F233="",K233=""),"N/A",IF(OR(J233&gt;0.03,R233&gt;0.15),"Imbalance","Pass")))</f>
        <v/>
      </c>
    </row>
    <row r="234">
      <c r="A234">
        <f>IF('Equipment Information'!A234="","", 'Equipment Information'!A234)</f>
        <v/>
      </c>
      <c r="B234">
        <f>IF('Equipment Information'!B234="","", 'Equipment Information'!B234)</f>
        <v/>
      </c>
      <c r="C234">
        <f>IF('Equipment Information'!C234="","", 'Equipment Information'!C234)</f>
        <v/>
      </c>
      <c r="I234">
        <f>IF(COUNT(F234:H234)&lt;2,"",AVERAGE(F234:H234))</f>
        <v/>
      </c>
      <c r="J234" s="3">
        <f>IF(I234="","",MAX(ABS(F234-I234),ABS(G234-I234),ABS(H234-I234))/I234)</f>
        <v/>
      </c>
      <c r="N234">
        <f>IF(COUNT(K234:M234)&lt;2,"",AVERAGE(K234:M234))</f>
        <v/>
      </c>
      <c r="R234" s="3">
        <f>IF(N234="","",MAX(ABS(K234-N234),ABS(L234-N234),ABS(M234-N234))/N234)</f>
        <v/>
      </c>
      <c r="S234">
        <f>IF(A234="","",IF(AND(F234="",K234=""),"N/A",IF(AND(J234="",R234=""),"Insufficient Load Data",IF(AND(J234&gt;0.03,R234&gt;0.15),"Voltage &amp; Current Imbalance",IF(J234&gt;0.03,"Voltage Imbalance",IF(R234&gt;0.15,"Current Imbalance","No Imbalances Detected")))))</f>
        <v/>
      </c>
      <c r="T234">
        <f>IF(A234="","",IF(AND(F234="",K234=""),"N/A",IF(OR(J234&gt;0.03,R234&gt;0.15),"Imbalance","Pass")))</f>
        <v/>
      </c>
    </row>
    <row r="235">
      <c r="A235">
        <f>IF('Equipment Information'!A235="","", 'Equipment Information'!A235)</f>
        <v/>
      </c>
      <c r="B235">
        <f>IF('Equipment Information'!B235="","", 'Equipment Information'!B235)</f>
        <v/>
      </c>
      <c r="C235">
        <f>IF('Equipment Information'!C235="","", 'Equipment Information'!C235)</f>
        <v/>
      </c>
      <c r="I235">
        <f>IF(COUNT(F235:H235)&lt;2,"",AVERAGE(F235:H235))</f>
        <v/>
      </c>
      <c r="J235" s="3">
        <f>IF(I235="","",MAX(ABS(F235-I235),ABS(G235-I235),ABS(H235-I235))/I235)</f>
        <v/>
      </c>
      <c r="N235">
        <f>IF(COUNT(K235:M235)&lt;2,"",AVERAGE(K235:M235))</f>
        <v/>
      </c>
      <c r="R235" s="3">
        <f>IF(N235="","",MAX(ABS(K235-N235),ABS(L235-N235),ABS(M235-N235))/N235)</f>
        <v/>
      </c>
      <c r="S235">
        <f>IF(A235="","",IF(AND(F235="",K235=""),"N/A",IF(AND(J235="",R235=""),"Insufficient Load Data",IF(AND(J235&gt;0.03,R235&gt;0.15),"Voltage &amp; Current Imbalance",IF(J235&gt;0.03,"Voltage Imbalance",IF(R235&gt;0.15,"Current Imbalance","No Imbalances Detected")))))</f>
        <v/>
      </c>
      <c r="T235">
        <f>IF(A235="","",IF(AND(F235="",K235=""),"N/A",IF(OR(J235&gt;0.03,R235&gt;0.15),"Imbalance","Pass")))</f>
        <v/>
      </c>
    </row>
    <row r="236">
      <c r="A236">
        <f>IF('Equipment Information'!A236="","", 'Equipment Information'!A236)</f>
        <v/>
      </c>
      <c r="B236">
        <f>IF('Equipment Information'!B236="","", 'Equipment Information'!B236)</f>
        <v/>
      </c>
      <c r="C236">
        <f>IF('Equipment Information'!C236="","", 'Equipment Information'!C236)</f>
        <v/>
      </c>
      <c r="I236">
        <f>IF(COUNT(F236:H236)&lt;2,"",AVERAGE(F236:H236))</f>
        <v/>
      </c>
      <c r="J236" s="3">
        <f>IF(I236="","",MAX(ABS(F236-I236),ABS(G236-I236),ABS(H236-I236))/I236)</f>
        <v/>
      </c>
      <c r="N236">
        <f>IF(COUNT(K236:M236)&lt;2,"",AVERAGE(K236:M236))</f>
        <v/>
      </c>
      <c r="R236" s="3">
        <f>IF(N236="","",MAX(ABS(K236-N236),ABS(L236-N236),ABS(M236-N236))/N236)</f>
        <v/>
      </c>
      <c r="S236">
        <f>IF(A236="","",IF(AND(F236="",K236=""),"N/A",IF(AND(J236="",R236=""),"Insufficient Load Data",IF(AND(J236&gt;0.03,R236&gt;0.15),"Voltage &amp; Current Imbalance",IF(J236&gt;0.03,"Voltage Imbalance",IF(R236&gt;0.15,"Current Imbalance","No Imbalances Detected")))))</f>
        <v/>
      </c>
      <c r="T236">
        <f>IF(A236="","",IF(AND(F236="",K236=""),"N/A",IF(OR(J236&gt;0.03,R236&gt;0.15),"Imbalance","Pass")))</f>
        <v/>
      </c>
    </row>
    <row r="237">
      <c r="A237">
        <f>IF('Equipment Information'!A237="","", 'Equipment Information'!A237)</f>
        <v/>
      </c>
      <c r="B237">
        <f>IF('Equipment Information'!B237="","", 'Equipment Information'!B237)</f>
        <v/>
      </c>
      <c r="C237">
        <f>IF('Equipment Information'!C237="","", 'Equipment Information'!C237)</f>
        <v/>
      </c>
      <c r="I237">
        <f>IF(COUNT(F237:H237)&lt;2,"",AVERAGE(F237:H237))</f>
        <v/>
      </c>
      <c r="J237" s="3">
        <f>IF(I237="","",MAX(ABS(F237-I237),ABS(G237-I237),ABS(H237-I237))/I237)</f>
        <v/>
      </c>
      <c r="N237">
        <f>IF(COUNT(K237:M237)&lt;2,"",AVERAGE(K237:M237))</f>
        <v/>
      </c>
      <c r="R237" s="3">
        <f>IF(N237="","",MAX(ABS(K237-N237),ABS(L237-N237),ABS(M237-N237))/N237)</f>
        <v/>
      </c>
      <c r="S237">
        <f>IF(A237="","",IF(AND(F237="",K237=""),"N/A",IF(AND(J237="",R237=""),"Insufficient Load Data",IF(AND(J237&gt;0.03,R237&gt;0.15),"Voltage &amp; Current Imbalance",IF(J237&gt;0.03,"Voltage Imbalance",IF(R237&gt;0.15,"Current Imbalance","No Imbalances Detected")))))</f>
        <v/>
      </c>
      <c r="T237">
        <f>IF(A237="","",IF(AND(F237="",K237=""),"N/A",IF(OR(J237&gt;0.03,R237&gt;0.15),"Imbalance","Pass")))</f>
        <v/>
      </c>
    </row>
    <row r="238">
      <c r="A238">
        <f>IF('Equipment Information'!A238="","", 'Equipment Information'!A238)</f>
        <v/>
      </c>
      <c r="B238">
        <f>IF('Equipment Information'!B238="","", 'Equipment Information'!B238)</f>
        <v/>
      </c>
      <c r="C238">
        <f>IF('Equipment Information'!C238="","", 'Equipment Information'!C238)</f>
        <v/>
      </c>
      <c r="I238">
        <f>IF(COUNT(F238:H238)&lt;2,"",AVERAGE(F238:H238))</f>
        <v/>
      </c>
      <c r="J238" s="3">
        <f>IF(I238="","",MAX(ABS(F238-I238),ABS(G238-I238),ABS(H238-I238))/I238)</f>
        <v/>
      </c>
      <c r="N238">
        <f>IF(COUNT(K238:M238)&lt;2,"",AVERAGE(K238:M238))</f>
        <v/>
      </c>
      <c r="R238" s="3">
        <f>IF(N238="","",MAX(ABS(K238-N238),ABS(L238-N238),ABS(M238-N238))/N238)</f>
        <v/>
      </c>
      <c r="S238">
        <f>IF(A238="","",IF(AND(F238="",K238=""),"N/A",IF(AND(J238="",R238=""),"Insufficient Load Data",IF(AND(J238&gt;0.03,R238&gt;0.15),"Voltage &amp; Current Imbalance",IF(J238&gt;0.03,"Voltage Imbalance",IF(R238&gt;0.15,"Current Imbalance","No Imbalances Detected")))))</f>
        <v/>
      </c>
      <c r="T238">
        <f>IF(A238="","",IF(AND(F238="",K238=""),"N/A",IF(OR(J238&gt;0.03,R238&gt;0.15),"Imbalance","Pass")))</f>
        <v/>
      </c>
    </row>
    <row r="239">
      <c r="A239">
        <f>IF('Equipment Information'!A239="","", 'Equipment Information'!A239)</f>
        <v/>
      </c>
      <c r="B239">
        <f>IF('Equipment Information'!B239="","", 'Equipment Information'!B239)</f>
        <v/>
      </c>
      <c r="C239">
        <f>IF('Equipment Information'!C239="","", 'Equipment Information'!C239)</f>
        <v/>
      </c>
      <c r="I239">
        <f>IF(COUNT(F239:H239)&lt;2,"",AVERAGE(F239:H239))</f>
        <v/>
      </c>
      <c r="J239" s="3">
        <f>IF(I239="","",MAX(ABS(F239-I239),ABS(G239-I239),ABS(H239-I239))/I239)</f>
        <v/>
      </c>
      <c r="N239">
        <f>IF(COUNT(K239:M239)&lt;2,"",AVERAGE(K239:M239))</f>
        <v/>
      </c>
      <c r="R239" s="3">
        <f>IF(N239="","",MAX(ABS(K239-N239),ABS(L239-N239),ABS(M239-N239))/N239)</f>
        <v/>
      </c>
      <c r="S239">
        <f>IF(A239="","",IF(AND(F239="",K239=""),"N/A",IF(AND(J239="",R239=""),"Insufficient Load Data",IF(AND(J239&gt;0.03,R239&gt;0.15),"Voltage &amp; Current Imbalance",IF(J239&gt;0.03,"Voltage Imbalance",IF(R239&gt;0.15,"Current Imbalance","No Imbalances Detected")))))</f>
        <v/>
      </c>
      <c r="T239">
        <f>IF(A239="","",IF(AND(F239="",K239=""),"N/A",IF(OR(J239&gt;0.03,R239&gt;0.15),"Imbalance","Pass")))</f>
        <v/>
      </c>
    </row>
    <row r="240">
      <c r="A240">
        <f>IF('Equipment Information'!A240="","", 'Equipment Information'!A240)</f>
        <v/>
      </c>
      <c r="B240">
        <f>IF('Equipment Information'!B240="","", 'Equipment Information'!B240)</f>
        <v/>
      </c>
      <c r="C240">
        <f>IF('Equipment Information'!C240="","", 'Equipment Information'!C240)</f>
        <v/>
      </c>
      <c r="I240">
        <f>IF(COUNT(F240:H240)&lt;2,"",AVERAGE(F240:H240))</f>
        <v/>
      </c>
      <c r="J240" s="3">
        <f>IF(I240="","",MAX(ABS(F240-I240),ABS(G240-I240),ABS(H240-I240))/I240)</f>
        <v/>
      </c>
      <c r="N240">
        <f>IF(COUNT(K240:M240)&lt;2,"",AVERAGE(K240:M240))</f>
        <v/>
      </c>
      <c r="R240" s="3">
        <f>IF(N240="","",MAX(ABS(K240-N240),ABS(L240-N240),ABS(M240-N240))/N240)</f>
        <v/>
      </c>
      <c r="S240">
        <f>IF(A240="","",IF(AND(F240="",K240=""),"N/A",IF(AND(J240="",R240=""),"Insufficient Load Data",IF(AND(J240&gt;0.03,R240&gt;0.15),"Voltage &amp; Current Imbalance",IF(J240&gt;0.03,"Voltage Imbalance",IF(R240&gt;0.15,"Current Imbalance","No Imbalances Detected")))))</f>
        <v/>
      </c>
      <c r="T240">
        <f>IF(A240="","",IF(AND(F240="",K240=""),"N/A",IF(OR(J240&gt;0.03,R240&gt;0.15),"Imbalance","Pass")))</f>
        <v/>
      </c>
    </row>
    <row r="241">
      <c r="A241">
        <f>IF('Equipment Information'!A241="","", 'Equipment Information'!A241)</f>
        <v/>
      </c>
      <c r="B241">
        <f>IF('Equipment Information'!B241="","", 'Equipment Information'!B241)</f>
        <v/>
      </c>
      <c r="C241">
        <f>IF('Equipment Information'!C241="","", 'Equipment Information'!C241)</f>
        <v/>
      </c>
      <c r="I241">
        <f>IF(COUNT(F241:H241)&lt;2,"",AVERAGE(F241:H241))</f>
        <v/>
      </c>
      <c r="J241" s="3">
        <f>IF(I241="","",MAX(ABS(F241-I241),ABS(G241-I241),ABS(H241-I241))/I241)</f>
        <v/>
      </c>
      <c r="N241">
        <f>IF(COUNT(K241:M241)&lt;2,"",AVERAGE(K241:M241))</f>
        <v/>
      </c>
      <c r="R241" s="3">
        <f>IF(N241="","",MAX(ABS(K241-N241),ABS(L241-N241),ABS(M241-N241))/N241)</f>
        <v/>
      </c>
      <c r="S241">
        <f>IF(A241="","",IF(AND(F241="",K241=""),"N/A",IF(AND(J241="",R241=""),"Insufficient Load Data",IF(AND(J241&gt;0.03,R241&gt;0.15),"Voltage &amp; Current Imbalance",IF(J241&gt;0.03,"Voltage Imbalance",IF(R241&gt;0.15,"Current Imbalance","No Imbalances Detected")))))</f>
        <v/>
      </c>
      <c r="T241">
        <f>IF(A241="","",IF(AND(F241="",K241=""),"N/A",IF(OR(J241&gt;0.03,R241&gt;0.15),"Imbalance","Pass")))</f>
        <v/>
      </c>
    </row>
    <row r="242">
      <c r="A242">
        <f>IF('Equipment Information'!A242="","", 'Equipment Information'!A242)</f>
        <v/>
      </c>
      <c r="B242">
        <f>IF('Equipment Information'!B242="","", 'Equipment Information'!B242)</f>
        <v/>
      </c>
      <c r="C242">
        <f>IF('Equipment Information'!C242="","", 'Equipment Information'!C242)</f>
        <v/>
      </c>
      <c r="I242">
        <f>IF(COUNT(F242:H242)&lt;2,"",AVERAGE(F242:H242))</f>
        <v/>
      </c>
      <c r="J242" s="3">
        <f>IF(I242="","",MAX(ABS(F242-I242),ABS(G242-I242),ABS(H242-I242))/I242)</f>
        <v/>
      </c>
      <c r="N242">
        <f>IF(COUNT(K242:M242)&lt;2,"",AVERAGE(K242:M242))</f>
        <v/>
      </c>
      <c r="R242" s="3">
        <f>IF(N242="","",MAX(ABS(K242-N242),ABS(L242-N242),ABS(M242-N242))/N242)</f>
        <v/>
      </c>
      <c r="S242">
        <f>IF(A242="","",IF(AND(F242="",K242=""),"N/A",IF(AND(J242="",R242=""),"Insufficient Load Data",IF(AND(J242&gt;0.03,R242&gt;0.15),"Voltage &amp; Current Imbalance",IF(J242&gt;0.03,"Voltage Imbalance",IF(R242&gt;0.15,"Current Imbalance","No Imbalances Detected")))))</f>
        <v/>
      </c>
      <c r="T242">
        <f>IF(A242="","",IF(AND(F242="",K242=""),"N/A",IF(OR(J242&gt;0.03,R242&gt;0.15),"Imbalance","Pass")))</f>
        <v/>
      </c>
    </row>
    <row r="243">
      <c r="A243">
        <f>IF('Equipment Information'!A243="","", 'Equipment Information'!A243)</f>
        <v/>
      </c>
      <c r="B243">
        <f>IF('Equipment Information'!B243="","", 'Equipment Information'!B243)</f>
        <v/>
      </c>
      <c r="C243">
        <f>IF('Equipment Information'!C243="","", 'Equipment Information'!C243)</f>
        <v/>
      </c>
      <c r="I243">
        <f>IF(COUNT(F243:H243)&lt;2,"",AVERAGE(F243:H243))</f>
        <v/>
      </c>
      <c r="J243" s="3">
        <f>IF(I243="","",MAX(ABS(F243-I243),ABS(G243-I243),ABS(H243-I243))/I243)</f>
        <v/>
      </c>
      <c r="N243">
        <f>IF(COUNT(K243:M243)&lt;2,"",AVERAGE(K243:M243))</f>
        <v/>
      </c>
      <c r="R243" s="3">
        <f>IF(N243="","",MAX(ABS(K243-N243),ABS(L243-N243),ABS(M243-N243))/N243)</f>
        <v/>
      </c>
      <c r="S243">
        <f>IF(A243="","",IF(AND(F243="",K243=""),"N/A",IF(AND(J243="",R243=""),"Insufficient Load Data",IF(AND(J243&gt;0.03,R243&gt;0.15),"Voltage &amp; Current Imbalance",IF(J243&gt;0.03,"Voltage Imbalance",IF(R243&gt;0.15,"Current Imbalance","No Imbalances Detected")))))</f>
        <v/>
      </c>
      <c r="T243">
        <f>IF(A243="","",IF(AND(F243="",K243=""),"N/A",IF(OR(J243&gt;0.03,R243&gt;0.15),"Imbalance","Pass")))</f>
        <v/>
      </c>
    </row>
    <row r="244">
      <c r="A244">
        <f>IF('Equipment Information'!A244="","", 'Equipment Information'!A244)</f>
        <v/>
      </c>
      <c r="B244">
        <f>IF('Equipment Information'!B244="","", 'Equipment Information'!B244)</f>
        <v/>
      </c>
      <c r="C244">
        <f>IF('Equipment Information'!C244="","", 'Equipment Information'!C244)</f>
        <v/>
      </c>
      <c r="I244">
        <f>IF(COUNT(F244:H244)&lt;2,"",AVERAGE(F244:H244))</f>
        <v/>
      </c>
      <c r="J244" s="3">
        <f>IF(I244="","",MAX(ABS(F244-I244),ABS(G244-I244),ABS(H244-I244))/I244)</f>
        <v/>
      </c>
      <c r="N244">
        <f>IF(COUNT(K244:M244)&lt;2,"",AVERAGE(K244:M244))</f>
        <v/>
      </c>
      <c r="R244" s="3">
        <f>IF(N244="","",MAX(ABS(K244-N244),ABS(L244-N244),ABS(M244-N244))/N244)</f>
        <v/>
      </c>
      <c r="S244">
        <f>IF(A244="","",IF(AND(F244="",K244=""),"N/A",IF(AND(J244="",R244=""),"Insufficient Load Data",IF(AND(J244&gt;0.03,R244&gt;0.15),"Voltage &amp; Current Imbalance",IF(J244&gt;0.03,"Voltage Imbalance",IF(R244&gt;0.15,"Current Imbalance","No Imbalances Detected")))))</f>
        <v/>
      </c>
      <c r="T244">
        <f>IF(A244="","",IF(AND(F244="",K244=""),"N/A",IF(OR(J244&gt;0.03,R244&gt;0.15),"Imbalance","Pass")))</f>
        <v/>
      </c>
    </row>
    <row r="245">
      <c r="A245">
        <f>IF('Equipment Information'!A245="","", 'Equipment Information'!A245)</f>
        <v/>
      </c>
      <c r="B245">
        <f>IF('Equipment Information'!B245="","", 'Equipment Information'!B245)</f>
        <v/>
      </c>
      <c r="C245">
        <f>IF('Equipment Information'!C245="","", 'Equipment Information'!C245)</f>
        <v/>
      </c>
      <c r="I245">
        <f>IF(COUNT(F245:H245)&lt;2,"",AVERAGE(F245:H245))</f>
        <v/>
      </c>
      <c r="J245" s="3">
        <f>IF(I245="","",MAX(ABS(F245-I245),ABS(G245-I245),ABS(H245-I245))/I245)</f>
        <v/>
      </c>
      <c r="N245">
        <f>IF(COUNT(K245:M245)&lt;2,"",AVERAGE(K245:M245))</f>
        <v/>
      </c>
      <c r="R245" s="3">
        <f>IF(N245="","",MAX(ABS(K245-N245),ABS(L245-N245),ABS(M245-N245))/N245)</f>
        <v/>
      </c>
      <c r="S245">
        <f>IF(A245="","",IF(AND(F245="",K245=""),"N/A",IF(AND(J245="",R245=""),"Insufficient Load Data",IF(AND(J245&gt;0.03,R245&gt;0.15),"Voltage &amp; Current Imbalance",IF(J245&gt;0.03,"Voltage Imbalance",IF(R245&gt;0.15,"Current Imbalance","No Imbalances Detected")))))</f>
        <v/>
      </c>
      <c r="T245">
        <f>IF(A245="","",IF(AND(F245="",K245=""),"N/A",IF(OR(J245&gt;0.03,R245&gt;0.15),"Imbalance","Pass")))</f>
        <v/>
      </c>
    </row>
    <row r="246">
      <c r="A246">
        <f>IF('Equipment Information'!A246="","", 'Equipment Information'!A246)</f>
        <v/>
      </c>
      <c r="B246">
        <f>IF('Equipment Information'!B246="","", 'Equipment Information'!B246)</f>
        <v/>
      </c>
      <c r="C246">
        <f>IF('Equipment Information'!C246="","", 'Equipment Information'!C246)</f>
        <v/>
      </c>
      <c r="I246">
        <f>IF(COUNT(F246:H246)&lt;2,"",AVERAGE(F246:H246))</f>
        <v/>
      </c>
      <c r="J246" s="3">
        <f>IF(I246="","",MAX(ABS(F246-I246),ABS(G246-I246),ABS(H246-I246))/I246)</f>
        <v/>
      </c>
      <c r="N246">
        <f>IF(COUNT(K246:M246)&lt;2,"",AVERAGE(K246:M246))</f>
        <v/>
      </c>
      <c r="R246" s="3">
        <f>IF(N246="","",MAX(ABS(K246-N246),ABS(L246-N246),ABS(M246-N246))/N246)</f>
        <v/>
      </c>
      <c r="S246">
        <f>IF(A246="","",IF(AND(F246="",K246=""),"N/A",IF(AND(J246="",R246=""),"Insufficient Load Data",IF(AND(J246&gt;0.03,R246&gt;0.15),"Voltage &amp; Current Imbalance",IF(J246&gt;0.03,"Voltage Imbalance",IF(R246&gt;0.15,"Current Imbalance","No Imbalances Detected")))))</f>
        <v/>
      </c>
      <c r="T246">
        <f>IF(A246="","",IF(AND(F246="",K246=""),"N/A",IF(OR(J246&gt;0.03,R246&gt;0.15),"Imbalance","Pass")))</f>
        <v/>
      </c>
    </row>
    <row r="247">
      <c r="A247">
        <f>IF('Equipment Information'!A247="","", 'Equipment Information'!A247)</f>
        <v/>
      </c>
      <c r="B247">
        <f>IF('Equipment Information'!B247="","", 'Equipment Information'!B247)</f>
        <v/>
      </c>
      <c r="C247">
        <f>IF('Equipment Information'!C247="","", 'Equipment Information'!C247)</f>
        <v/>
      </c>
      <c r="I247">
        <f>IF(COUNT(F247:H247)&lt;2,"",AVERAGE(F247:H247))</f>
        <v/>
      </c>
      <c r="J247" s="3">
        <f>IF(I247="","",MAX(ABS(F247-I247),ABS(G247-I247),ABS(H247-I247))/I247)</f>
        <v/>
      </c>
      <c r="N247">
        <f>IF(COUNT(K247:M247)&lt;2,"",AVERAGE(K247:M247))</f>
        <v/>
      </c>
      <c r="R247" s="3">
        <f>IF(N247="","",MAX(ABS(K247-N247),ABS(L247-N247),ABS(M247-N247))/N247)</f>
        <v/>
      </c>
      <c r="S247">
        <f>IF(A247="","",IF(AND(F247="",K247=""),"N/A",IF(AND(J247="",R247=""),"Insufficient Load Data",IF(AND(J247&gt;0.03,R247&gt;0.15),"Voltage &amp; Current Imbalance",IF(J247&gt;0.03,"Voltage Imbalance",IF(R247&gt;0.15,"Current Imbalance","No Imbalances Detected")))))</f>
        <v/>
      </c>
      <c r="T247">
        <f>IF(A247="","",IF(AND(F247="",K247=""),"N/A",IF(OR(J247&gt;0.03,R247&gt;0.15),"Imbalance","Pass")))</f>
        <v/>
      </c>
    </row>
    <row r="248">
      <c r="A248">
        <f>IF('Equipment Information'!A248="","", 'Equipment Information'!A248)</f>
        <v/>
      </c>
      <c r="B248">
        <f>IF('Equipment Information'!B248="","", 'Equipment Information'!B248)</f>
        <v/>
      </c>
      <c r="C248">
        <f>IF('Equipment Information'!C248="","", 'Equipment Information'!C248)</f>
        <v/>
      </c>
      <c r="I248">
        <f>IF(COUNT(F248:H248)&lt;2,"",AVERAGE(F248:H248))</f>
        <v/>
      </c>
      <c r="J248" s="3">
        <f>IF(I248="","",MAX(ABS(F248-I248),ABS(G248-I248),ABS(H248-I248))/I248)</f>
        <v/>
      </c>
      <c r="N248">
        <f>IF(COUNT(K248:M248)&lt;2,"",AVERAGE(K248:M248))</f>
        <v/>
      </c>
      <c r="R248" s="3">
        <f>IF(N248="","",MAX(ABS(K248-N248),ABS(L248-N248),ABS(M248-N248))/N248)</f>
        <v/>
      </c>
      <c r="S248">
        <f>IF(A248="","",IF(AND(F248="",K248=""),"N/A",IF(AND(J248="",R248=""),"Insufficient Load Data",IF(AND(J248&gt;0.03,R248&gt;0.15),"Voltage &amp; Current Imbalance",IF(J248&gt;0.03,"Voltage Imbalance",IF(R248&gt;0.15,"Current Imbalance","No Imbalances Detected")))))</f>
        <v/>
      </c>
      <c r="T248">
        <f>IF(A248="","",IF(AND(F248="",K248=""),"N/A",IF(OR(J248&gt;0.03,R248&gt;0.15),"Imbalance","Pass")))</f>
        <v/>
      </c>
    </row>
    <row r="249">
      <c r="A249">
        <f>IF('Equipment Information'!A249="","", 'Equipment Information'!A249)</f>
        <v/>
      </c>
      <c r="B249">
        <f>IF('Equipment Information'!B249="","", 'Equipment Information'!B249)</f>
        <v/>
      </c>
      <c r="C249">
        <f>IF('Equipment Information'!C249="","", 'Equipment Information'!C249)</f>
        <v/>
      </c>
      <c r="I249">
        <f>IF(COUNT(F249:H249)&lt;2,"",AVERAGE(F249:H249))</f>
        <v/>
      </c>
      <c r="J249" s="3">
        <f>IF(I249="","",MAX(ABS(F249-I249),ABS(G249-I249),ABS(H249-I249))/I249)</f>
        <v/>
      </c>
      <c r="N249">
        <f>IF(COUNT(K249:M249)&lt;2,"",AVERAGE(K249:M249))</f>
        <v/>
      </c>
      <c r="R249" s="3">
        <f>IF(N249="","",MAX(ABS(K249-N249),ABS(L249-N249),ABS(M249-N249))/N249)</f>
        <v/>
      </c>
      <c r="S249">
        <f>IF(A249="","",IF(AND(F249="",K249=""),"N/A",IF(AND(J249="",R249=""),"Insufficient Load Data",IF(AND(J249&gt;0.03,R249&gt;0.15),"Voltage &amp; Current Imbalance",IF(J249&gt;0.03,"Voltage Imbalance",IF(R249&gt;0.15,"Current Imbalance","No Imbalances Detected")))))</f>
        <v/>
      </c>
      <c r="T249">
        <f>IF(A249="","",IF(AND(F249="",K249=""),"N/A",IF(OR(J249&gt;0.03,R249&gt;0.15),"Imbalance","Pass")))</f>
        <v/>
      </c>
    </row>
    <row r="250">
      <c r="A250">
        <f>IF('Equipment Information'!A250="","", 'Equipment Information'!A250)</f>
        <v/>
      </c>
      <c r="B250">
        <f>IF('Equipment Information'!B250="","", 'Equipment Information'!B250)</f>
        <v/>
      </c>
      <c r="C250">
        <f>IF('Equipment Information'!C250="","", 'Equipment Information'!C250)</f>
        <v/>
      </c>
      <c r="I250">
        <f>IF(COUNT(F250:H250)&lt;2,"",AVERAGE(F250:H250))</f>
        <v/>
      </c>
      <c r="J250" s="3">
        <f>IF(I250="","",MAX(ABS(F250-I250),ABS(G250-I250),ABS(H250-I250))/I250)</f>
        <v/>
      </c>
      <c r="N250">
        <f>IF(COUNT(K250:M250)&lt;2,"",AVERAGE(K250:M250))</f>
        <v/>
      </c>
      <c r="R250" s="3">
        <f>IF(N250="","",MAX(ABS(K250-N250),ABS(L250-N250),ABS(M250-N250))/N250)</f>
        <v/>
      </c>
      <c r="S250">
        <f>IF(A250="","",IF(AND(F250="",K250=""),"N/A",IF(AND(J250="",R250=""),"Insufficient Load Data",IF(AND(J250&gt;0.03,R250&gt;0.15),"Voltage &amp; Current Imbalance",IF(J250&gt;0.03,"Voltage Imbalance",IF(R250&gt;0.15,"Current Imbalance","No Imbalances Detected")))))</f>
        <v/>
      </c>
      <c r="T250">
        <f>IF(A250="","",IF(AND(F250="",K250=""),"N/A",IF(OR(J250&gt;0.03,R250&gt;0.15),"Imbalance","Pass")))</f>
        <v/>
      </c>
    </row>
    <row r="251">
      <c r="A251">
        <f>IF('Equipment Information'!A251="","", 'Equipment Information'!A251)</f>
        <v/>
      </c>
      <c r="B251">
        <f>IF('Equipment Information'!B251="","", 'Equipment Information'!B251)</f>
        <v/>
      </c>
      <c r="C251">
        <f>IF('Equipment Information'!C251="","", 'Equipment Information'!C251)</f>
        <v/>
      </c>
      <c r="I251">
        <f>IF(COUNT(F251:H251)&lt;2,"",AVERAGE(F251:H251))</f>
        <v/>
      </c>
      <c r="J251" s="3">
        <f>IF(I251="","",MAX(ABS(F251-I251),ABS(G251-I251),ABS(H251-I251))/I251)</f>
        <v/>
      </c>
      <c r="N251">
        <f>IF(COUNT(K251:M251)&lt;2,"",AVERAGE(K251:M251))</f>
        <v/>
      </c>
      <c r="R251" s="3">
        <f>IF(N251="","",MAX(ABS(K251-N251),ABS(L251-N251),ABS(M251-N251))/N251)</f>
        <v/>
      </c>
      <c r="S251">
        <f>IF(A251="","",IF(AND(F251="",K251=""),"N/A",IF(AND(J251="",R251=""),"Insufficient Load Data",IF(AND(J251&gt;0.03,R251&gt;0.15),"Voltage &amp; Current Imbalance",IF(J251&gt;0.03,"Voltage Imbalance",IF(R251&gt;0.15,"Current Imbalance","No Imbalances Detected")))))</f>
        <v/>
      </c>
      <c r="T251">
        <f>IF(A251="","",IF(AND(F251="",K251=""),"N/A",IF(OR(J251&gt;0.03,R251&gt;0.15),"Imbalance","Pass")))</f>
        <v/>
      </c>
    </row>
    <row r="252">
      <c r="A252">
        <f>IF('Equipment Information'!A252="","", 'Equipment Information'!A252)</f>
        <v/>
      </c>
      <c r="B252">
        <f>IF('Equipment Information'!B252="","", 'Equipment Information'!B252)</f>
        <v/>
      </c>
      <c r="C252">
        <f>IF('Equipment Information'!C252="","", 'Equipment Information'!C252)</f>
        <v/>
      </c>
      <c r="I252">
        <f>IF(COUNT(F252:H252)&lt;2,"",AVERAGE(F252:H252))</f>
        <v/>
      </c>
      <c r="J252" s="3">
        <f>IF(I252="","",MAX(ABS(F252-I252),ABS(G252-I252),ABS(H252-I252))/I252)</f>
        <v/>
      </c>
      <c r="N252">
        <f>IF(COUNT(K252:M252)&lt;2,"",AVERAGE(K252:M252))</f>
        <v/>
      </c>
      <c r="R252" s="3">
        <f>IF(N252="","",MAX(ABS(K252-N252),ABS(L252-N252),ABS(M252-N252))/N252)</f>
        <v/>
      </c>
      <c r="S252">
        <f>IF(A252="","",IF(AND(F252="",K252=""),"N/A",IF(AND(J252="",R252=""),"Insufficient Load Data",IF(AND(J252&gt;0.03,R252&gt;0.15),"Voltage &amp; Current Imbalance",IF(J252&gt;0.03,"Voltage Imbalance",IF(R252&gt;0.15,"Current Imbalance","No Imbalances Detected")))))</f>
        <v/>
      </c>
      <c r="T252">
        <f>IF(A252="","",IF(AND(F252="",K252=""),"N/A",IF(OR(J252&gt;0.03,R252&gt;0.15),"Imbalance","Pass")))</f>
        <v/>
      </c>
    </row>
    <row r="253">
      <c r="A253">
        <f>IF('Equipment Information'!A253="","", 'Equipment Information'!A253)</f>
        <v/>
      </c>
      <c r="B253">
        <f>IF('Equipment Information'!B253="","", 'Equipment Information'!B253)</f>
        <v/>
      </c>
      <c r="C253">
        <f>IF('Equipment Information'!C253="","", 'Equipment Information'!C253)</f>
        <v/>
      </c>
      <c r="I253">
        <f>IF(COUNT(F253:H253)&lt;2,"",AVERAGE(F253:H253))</f>
        <v/>
      </c>
      <c r="J253" s="3">
        <f>IF(I253="","",MAX(ABS(F253-I253),ABS(G253-I253),ABS(H253-I253))/I253)</f>
        <v/>
      </c>
      <c r="N253">
        <f>IF(COUNT(K253:M253)&lt;2,"",AVERAGE(K253:M253))</f>
        <v/>
      </c>
      <c r="R253" s="3">
        <f>IF(N253="","",MAX(ABS(K253-N253),ABS(L253-N253),ABS(M253-N253))/N253)</f>
        <v/>
      </c>
      <c r="S253">
        <f>IF(A253="","",IF(AND(F253="",K253=""),"N/A",IF(AND(J253="",R253=""),"Insufficient Load Data",IF(AND(J253&gt;0.03,R253&gt;0.15),"Voltage &amp; Current Imbalance",IF(J253&gt;0.03,"Voltage Imbalance",IF(R253&gt;0.15,"Current Imbalance","No Imbalances Detected")))))</f>
        <v/>
      </c>
      <c r="T253">
        <f>IF(A253="","",IF(AND(F253="",K253=""),"N/A",IF(OR(J253&gt;0.03,R253&gt;0.15),"Imbalance","Pass")))</f>
        <v/>
      </c>
    </row>
    <row r="254">
      <c r="A254">
        <f>IF('Equipment Information'!A254="","", 'Equipment Information'!A254)</f>
        <v/>
      </c>
      <c r="B254">
        <f>IF('Equipment Information'!B254="","", 'Equipment Information'!B254)</f>
        <v/>
      </c>
      <c r="C254">
        <f>IF('Equipment Information'!C254="","", 'Equipment Information'!C254)</f>
        <v/>
      </c>
      <c r="I254">
        <f>IF(COUNT(F254:H254)&lt;2,"",AVERAGE(F254:H254))</f>
        <v/>
      </c>
      <c r="J254" s="3">
        <f>IF(I254="","",MAX(ABS(F254-I254),ABS(G254-I254),ABS(H254-I254))/I254)</f>
        <v/>
      </c>
      <c r="N254">
        <f>IF(COUNT(K254:M254)&lt;2,"",AVERAGE(K254:M254))</f>
        <v/>
      </c>
      <c r="R254" s="3">
        <f>IF(N254="","",MAX(ABS(K254-N254),ABS(L254-N254),ABS(M254-N254))/N254)</f>
        <v/>
      </c>
      <c r="S254">
        <f>IF(A254="","",IF(AND(F254="",K254=""),"N/A",IF(AND(J254="",R254=""),"Insufficient Load Data",IF(AND(J254&gt;0.03,R254&gt;0.15),"Voltage &amp; Current Imbalance",IF(J254&gt;0.03,"Voltage Imbalance",IF(R254&gt;0.15,"Current Imbalance","No Imbalances Detected")))))</f>
        <v/>
      </c>
      <c r="T254">
        <f>IF(A254="","",IF(AND(F254="",K254=""),"N/A",IF(OR(J254&gt;0.03,R254&gt;0.15),"Imbalance","Pass")))</f>
        <v/>
      </c>
    </row>
    <row r="255">
      <c r="A255">
        <f>IF('Equipment Information'!A255="","", 'Equipment Information'!A255)</f>
        <v/>
      </c>
      <c r="B255">
        <f>IF('Equipment Information'!B255="","", 'Equipment Information'!B255)</f>
        <v/>
      </c>
      <c r="C255">
        <f>IF('Equipment Information'!C255="","", 'Equipment Information'!C255)</f>
        <v/>
      </c>
      <c r="I255">
        <f>IF(COUNT(F255:H255)&lt;2,"",AVERAGE(F255:H255))</f>
        <v/>
      </c>
      <c r="J255" s="3">
        <f>IF(I255="","",MAX(ABS(F255-I255),ABS(G255-I255),ABS(H255-I255))/I255)</f>
        <v/>
      </c>
      <c r="N255">
        <f>IF(COUNT(K255:M255)&lt;2,"",AVERAGE(K255:M255))</f>
        <v/>
      </c>
      <c r="R255" s="3">
        <f>IF(N255="","",MAX(ABS(K255-N255),ABS(L255-N255),ABS(M255-N255))/N255)</f>
        <v/>
      </c>
      <c r="S255">
        <f>IF(A255="","",IF(AND(F255="",K255=""),"N/A",IF(AND(J255="",R255=""),"Insufficient Load Data",IF(AND(J255&gt;0.03,R255&gt;0.15),"Voltage &amp; Current Imbalance",IF(J255&gt;0.03,"Voltage Imbalance",IF(R255&gt;0.15,"Current Imbalance","No Imbalances Detected")))))</f>
        <v/>
      </c>
      <c r="T255">
        <f>IF(A255="","",IF(AND(F255="",K255=""),"N/A",IF(OR(J255&gt;0.03,R255&gt;0.15),"Imbalance","Pass")))</f>
        <v/>
      </c>
    </row>
    <row r="256">
      <c r="A256">
        <f>IF('Equipment Information'!A256="","", 'Equipment Information'!A256)</f>
        <v/>
      </c>
      <c r="B256">
        <f>IF('Equipment Information'!B256="","", 'Equipment Information'!B256)</f>
        <v/>
      </c>
      <c r="C256">
        <f>IF('Equipment Information'!C256="","", 'Equipment Information'!C256)</f>
        <v/>
      </c>
      <c r="I256">
        <f>IF(COUNT(F256:H256)&lt;2,"",AVERAGE(F256:H256))</f>
        <v/>
      </c>
      <c r="J256" s="3">
        <f>IF(I256="","",MAX(ABS(F256-I256),ABS(G256-I256),ABS(H256-I256))/I256)</f>
        <v/>
      </c>
      <c r="N256">
        <f>IF(COUNT(K256:M256)&lt;2,"",AVERAGE(K256:M256))</f>
        <v/>
      </c>
      <c r="R256" s="3">
        <f>IF(N256="","",MAX(ABS(K256-N256),ABS(L256-N256),ABS(M256-N256))/N256)</f>
        <v/>
      </c>
      <c r="S256">
        <f>IF(A256="","",IF(AND(F256="",K256=""),"N/A",IF(AND(J256="",R256=""),"Insufficient Load Data",IF(AND(J256&gt;0.03,R256&gt;0.15),"Voltage &amp; Current Imbalance",IF(J256&gt;0.03,"Voltage Imbalance",IF(R256&gt;0.15,"Current Imbalance","No Imbalances Detected")))))</f>
        <v/>
      </c>
      <c r="T256">
        <f>IF(A256="","",IF(AND(F256="",K256=""),"N/A",IF(OR(J256&gt;0.03,R256&gt;0.15),"Imbalance","Pass")))</f>
        <v/>
      </c>
    </row>
    <row r="257">
      <c r="A257">
        <f>IF('Equipment Information'!A257="","", 'Equipment Information'!A257)</f>
        <v/>
      </c>
      <c r="B257">
        <f>IF('Equipment Information'!B257="","", 'Equipment Information'!B257)</f>
        <v/>
      </c>
      <c r="C257">
        <f>IF('Equipment Information'!C257="","", 'Equipment Information'!C257)</f>
        <v/>
      </c>
      <c r="I257">
        <f>IF(COUNT(F257:H257)&lt;2,"",AVERAGE(F257:H257))</f>
        <v/>
      </c>
      <c r="J257" s="3">
        <f>IF(I257="","",MAX(ABS(F257-I257),ABS(G257-I257),ABS(H257-I257))/I257)</f>
        <v/>
      </c>
      <c r="N257">
        <f>IF(COUNT(K257:M257)&lt;2,"",AVERAGE(K257:M257))</f>
        <v/>
      </c>
      <c r="R257" s="3">
        <f>IF(N257="","",MAX(ABS(K257-N257),ABS(L257-N257),ABS(M257-N257))/N257)</f>
        <v/>
      </c>
      <c r="S257">
        <f>IF(A257="","",IF(AND(F257="",K257=""),"N/A",IF(AND(J257="",R257=""),"Insufficient Load Data",IF(AND(J257&gt;0.03,R257&gt;0.15),"Voltage &amp; Current Imbalance",IF(J257&gt;0.03,"Voltage Imbalance",IF(R257&gt;0.15,"Current Imbalance","No Imbalances Detected")))))</f>
        <v/>
      </c>
      <c r="T257">
        <f>IF(A257="","",IF(AND(F257="",K257=""),"N/A",IF(OR(J257&gt;0.03,R257&gt;0.15),"Imbalance","Pass")))</f>
        <v/>
      </c>
    </row>
    <row r="258">
      <c r="A258">
        <f>IF('Equipment Information'!A258="","", 'Equipment Information'!A258)</f>
        <v/>
      </c>
      <c r="B258">
        <f>IF('Equipment Information'!B258="","", 'Equipment Information'!B258)</f>
        <v/>
      </c>
      <c r="C258">
        <f>IF('Equipment Information'!C258="","", 'Equipment Information'!C258)</f>
        <v/>
      </c>
      <c r="I258">
        <f>IF(COUNT(F258:H258)&lt;2,"",AVERAGE(F258:H258))</f>
        <v/>
      </c>
      <c r="J258" s="3">
        <f>IF(I258="","",MAX(ABS(F258-I258),ABS(G258-I258),ABS(H258-I258))/I258)</f>
        <v/>
      </c>
      <c r="N258">
        <f>IF(COUNT(K258:M258)&lt;2,"",AVERAGE(K258:M258))</f>
        <v/>
      </c>
      <c r="R258" s="3">
        <f>IF(N258="","",MAX(ABS(K258-N258),ABS(L258-N258),ABS(M258-N258))/N258)</f>
        <v/>
      </c>
      <c r="S258">
        <f>IF(A258="","",IF(AND(F258="",K258=""),"N/A",IF(AND(J258="",R258=""),"Insufficient Load Data",IF(AND(J258&gt;0.03,R258&gt;0.15),"Voltage &amp; Current Imbalance",IF(J258&gt;0.03,"Voltage Imbalance",IF(R258&gt;0.15,"Current Imbalance","No Imbalances Detected")))))</f>
        <v/>
      </c>
      <c r="T258">
        <f>IF(A258="","",IF(AND(F258="",K258=""),"N/A",IF(OR(J258&gt;0.03,R258&gt;0.15),"Imbalance","Pass")))</f>
        <v/>
      </c>
    </row>
    <row r="259">
      <c r="A259">
        <f>IF('Equipment Information'!A259="","", 'Equipment Information'!A259)</f>
        <v/>
      </c>
      <c r="B259">
        <f>IF('Equipment Information'!B259="","", 'Equipment Information'!B259)</f>
        <v/>
      </c>
      <c r="C259">
        <f>IF('Equipment Information'!C259="","", 'Equipment Information'!C259)</f>
        <v/>
      </c>
      <c r="I259">
        <f>IF(COUNT(F259:H259)&lt;2,"",AVERAGE(F259:H259))</f>
        <v/>
      </c>
      <c r="J259" s="3">
        <f>IF(I259="","",MAX(ABS(F259-I259),ABS(G259-I259),ABS(H259-I259))/I259)</f>
        <v/>
      </c>
      <c r="N259">
        <f>IF(COUNT(K259:M259)&lt;2,"",AVERAGE(K259:M259))</f>
        <v/>
      </c>
      <c r="R259" s="3">
        <f>IF(N259="","",MAX(ABS(K259-N259),ABS(L259-N259),ABS(M259-N259))/N259)</f>
        <v/>
      </c>
      <c r="S259">
        <f>IF(A259="","",IF(AND(F259="",K259=""),"N/A",IF(AND(J259="",R259=""),"Insufficient Load Data",IF(AND(J259&gt;0.03,R259&gt;0.15),"Voltage &amp; Current Imbalance",IF(J259&gt;0.03,"Voltage Imbalance",IF(R259&gt;0.15,"Current Imbalance","No Imbalances Detected")))))</f>
        <v/>
      </c>
      <c r="T259">
        <f>IF(A259="","",IF(AND(F259="",K259=""),"N/A",IF(OR(J259&gt;0.03,R259&gt;0.15),"Imbalance","Pass")))</f>
        <v/>
      </c>
    </row>
    <row r="260">
      <c r="A260">
        <f>IF('Equipment Information'!A260="","", 'Equipment Information'!A260)</f>
        <v/>
      </c>
      <c r="B260">
        <f>IF('Equipment Information'!B260="","", 'Equipment Information'!B260)</f>
        <v/>
      </c>
      <c r="C260">
        <f>IF('Equipment Information'!C260="","", 'Equipment Information'!C260)</f>
        <v/>
      </c>
      <c r="I260">
        <f>IF(COUNT(F260:H260)&lt;2,"",AVERAGE(F260:H260))</f>
        <v/>
      </c>
      <c r="J260" s="3">
        <f>IF(I260="","",MAX(ABS(F260-I260),ABS(G260-I260),ABS(H260-I260))/I260)</f>
        <v/>
      </c>
      <c r="N260">
        <f>IF(COUNT(K260:M260)&lt;2,"",AVERAGE(K260:M260))</f>
        <v/>
      </c>
      <c r="R260" s="3">
        <f>IF(N260="","",MAX(ABS(K260-N260),ABS(L260-N260),ABS(M260-N260))/N260)</f>
        <v/>
      </c>
      <c r="S260">
        <f>IF(A260="","",IF(AND(F260="",K260=""),"N/A",IF(AND(J260="",R260=""),"Insufficient Load Data",IF(AND(J260&gt;0.03,R260&gt;0.15),"Voltage &amp; Current Imbalance",IF(J260&gt;0.03,"Voltage Imbalance",IF(R260&gt;0.15,"Current Imbalance","No Imbalances Detected")))))</f>
        <v/>
      </c>
      <c r="T260">
        <f>IF(A260="","",IF(AND(F260="",K260=""),"N/A",IF(OR(J260&gt;0.03,R260&gt;0.15),"Imbalance","Pass")))</f>
        <v/>
      </c>
    </row>
    <row r="261">
      <c r="A261">
        <f>IF('Equipment Information'!A261="","", 'Equipment Information'!A261)</f>
        <v/>
      </c>
      <c r="B261">
        <f>IF('Equipment Information'!B261="","", 'Equipment Information'!B261)</f>
        <v/>
      </c>
      <c r="C261">
        <f>IF('Equipment Information'!C261="","", 'Equipment Information'!C261)</f>
        <v/>
      </c>
      <c r="I261">
        <f>IF(COUNT(F261:H261)&lt;2,"",AVERAGE(F261:H261))</f>
        <v/>
      </c>
      <c r="J261" s="3">
        <f>IF(I261="","",MAX(ABS(F261-I261),ABS(G261-I261),ABS(H261-I261))/I261)</f>
        <v/>
      </c>
      <c r="N261">
        <f>IF(COUNT(K261:M261)&lt;2,"",AVERAGE(K261:M261))</f>
        <v/>
      </c>
      <c r="R261" s="3">
        <f>IF(N261="","",MAX(ABS(K261-N261),ABS(L261-N261),ABS(M261-N261))/N261)</f>
        <v/>
      </c>
      <c r="S261">
        <f>IF(A261="","",IF(AND(F261="",K261=""),"N/A",IF(AND(J261="",R261=""),"Insufficient Load Data",IF(AND(J261&gt;0.03,R261&gt;0.15),"Voltage &amp; Current Imbalance",IF(J261&gt;0.03,"Voltage Imbalance",IF(R261&gt;0.15,"Current Imbalance","No Imbalances Detected")))))</f>
        <v/>
      </c>
      <c r="T261">
        <f>IF(A261="","",IF(AND(F261="",K261=""),"N/A",IF(OR(J261&gt;0.03,R261&gt;0.15),"Imbalance","Pass")))</f>
        <v/>
      </c>
    </row>
    <row r="262">
      <c r="A262">
        <f>IF('Equipment Information'!A262="","", 'Equipment Information'!A262)</f>
        <v/>
      </c>
      <c r="B262">
        <f>IF('Equipment Information'!B262="","", 'Equipment Information'!B262)</f>
        <v/>
      </c>
      <c r="C262">
        <f>IF('Equipment Information'!C262="","", 'Equipment Information'!C262)</f>
        <v/>
      </c>
      <c r="I262">
        <f>IF(COUNT(F262:H262)&lt;2,"",AVERAGE(F262:H262))</f>
        <v/>
      </c>
      <c r="J262" s="3">
        <f>IF(I262="","",MAX(ABS(F262-I262),ABS(G262-I262),ABS(H262-I262))/I262)</f>
        <v/>
      </c>
      <c r="N262">
        <f>IF(COUNT(K262:M262)&lt;2,"",AVERAGE(K262:M262))</f>
        <v/>
      </c>
      <c r="R262" s="3">
        <f>IF(N262="","",MAX(ABS(K262-N262),ABS(L262-N262),ABS(M262-N262))/N262)</f>
        <v/>
      </c>
      <c r="S262">
        <f>IF(A262="","",IF(AND(F262="",K262=""),"N/A",IF(AND(J262="",R262=""),"Insufficient Load Data",IF(AND(J262&gt;0.03,R262&gt;0.15),"Voltage &amp; Current Imbalance",IF(J262&gt;0.03,"Voltage Imbalance",IF(R262&gt;0.15,"Current Imbalance","No Imbalances Detected")))))</f>
        <v/>
      </c>
      <c r="T262">
        <f>IF(A262="","",IF(AND(F262="",K262=""),"N/A",IF(OR(J262&gt;0.03,R262&gt;0.15),"Imbalance","Pass")))</f>
        <v/>
      </c>
    </row>
    <row r="263">
      <c r="A263">
        <f>IF('Equipment Information'!A263="","", 'Equipment Information'!A263)</f>
        <v/>
      </c>
      <c r="B263">
        <f>IF('Equipment Information'!B263="","", 'Equipment Information'!B263)</f>
        <v/>
      </c>
      <c r="C263">
        <f>IF('Equipment Information'!C263="","", 'Equipment Information'!C263)</f>
        <v/>
      </c>
      <c r="I263">
        <f>IF(COUNT(F263:H263)&lt;2,"",AVERAGE(F263:H263))</f>
        <v/>
      </c>
      <c r="J263" s="3">
        <f>IF(I263="","",MAX(ABS(F263-I263),ABS(G263-I263),ABS(H263-I263))/I263)</f>
        <v/>
      </c>
      <c r="N263">
        <f>IF(COUNT(K263:M263)&lt;2,"",AVERAGE(K263:M263))</f>
        <v/>
      </c>
      <c r="R263" s="3">
        <f>IF(N263="","",MAX(ABS(K263-N263),ABS(L263-N263),ABS(M263-N263))/N263)</f>
        <v/>
      </c>
      <c r="S263">
        <f>IF(A263="","",IF(AND(F263="",K263=""),"N/A",IF(AND(J263="",R263=""),"Insufficient Load Data",IF(AND(J263&gt;0.03,R263&gt;0.15),"Voltage &amp; Current Imbalance",IF(J263&gt;0.03,"Voltage Imbalance",IF(R263&gt;0.15,"Current Imbalance","No Imbalances Detected")))))</f>
        <v/>
      </c>
      <c r="T263">
        <f>IF(A263="","",IF(AND(F263="",K263=""),"N/A",IF(OR(J263&gt;0.03,R263&gt;0.15),"Imbalance","Pass")))</f>
        <v/>
      </c>
    </row>
    <row r="264">
      <c r="A264">
        <f>IF('Equipment Information'!A264="","", 'Equipment Information'!A264)</f>
        <v/>
      </c>
      <c r="B264">
        <f>IF('Equipment Information'!B264="","", 'Equipment Information'!B264)</f>
        <v/>
      </c>
      <c r="C264">
        <f>IF('Equipment Information'!C264="","", 'Equipment Information'!C264)</f>
        <v/>
      </c>
      <c r="I264">
        <f>IF(COUNT(F264:H264)&lt;2,"",AVERAGE(F264:H264))</f>
        <v/>
      </c>
      <c r="J264" s="3">
        <f>IF(I264="","",MAX(ABS(F264-I264),ABS(G264-I264),ABS(H264-I264))/I264)</f>
        <v/>
      </c>
      <c r="N264">
        <f>IF(COUNT(K264:M264)&lt;2,"",AVERAGE(K264:M264))</f>
        <v/>
      </c>
      <c r="R264" s="3">
        <f>IF(N264="","",MAX(ABS(K264-N264),ABS(L264-N264),ABS(M264-N264))/N264)</f>
        <v/>
      </c>
      <c r="S264">
        <f>IF(A264="","",IF(AND(F264="",K264=""),"N/A",IF(AND(J264="",R264=""),"Insufficient Load Data",IF(AND(J264&gt;0.03,R264&gt;0.15),"Voltage &amp; Current Imbalance",IF(J264&gt;0.03,"Voltage Imbalance",IF(R264&gt;0.15,"Current Imbalance","No Imbalances Detected")))))</f>
        <v/>
      </c>
      <c r="T264">
        <f>IF(A264="","",IF(AND(F264="",K264=""),"N/A",IF(OR(J264&gt;0.03,R264&gt;0.15),"Imbalance","Pass")))</f>
        <v/>
      </c>
    </row>
    <row r="265">
      <c r="A265">
        <f>IF('Equipment Information'!A265="","", 'Equipment Information'!A265)</f>
        <v/>
      </c>
      <c r="B265">
        <f>IF('Equipment Information'!B265="","", 'Equipment Information'!B265)</f>
        <v/>
      </c>
      <c r="C265">
        <f>IF('Equipment Information'!C265="","", 'Equipment Information'!C265)</f>
        <v/>
      </c>
      <c r="I265">
        <f>IF(COUNT(F265:H265)&lt;2,"",AVERAGE(F265:H265))</f>
        <v/>
      </c>
      <c r="J265" s="3">
        <f>IF(I265="","",MAX(ABS(F265-I265),ABS(G265-I265),ABS(H265-I265))/I265)</f>
        <v/>
      </c>
      <c r="N265">
        <f>IF(COUNT(K265:M265)&lt;2,"",AVERAGE(K265:M265))</f>
        <v/>
      </c>
      <c r="R265" s="3">
        <f>IF(N265="","",MAX(ABS(K265-N265),ABS(L265-N265),ABS(M265-N265))/N265)</f>
        <v/>
      </c>
      <c r="S265">
        <f>IF(A265="","",IF(AND(F265="",K265=""),"N/A",IF(AND(J265="",R265=""),"Insufficient Load Data",IF(AND(J265&gt;0.03,R265&gt;0.15),"Voltage &amp; Current Imbalance",IF(J265&gt;0.03,"Voltage Imbalance",IF(R265&gt;0.15,"Current Imbalance","No Imbalances Detected")))))</f>
        <v/>
      </c>
      <c r="T265">
        <f>IF(A265="","",IF(AND(F265="",K265=""),"N/A",IF(OR(J265&gt;0.03,R265&gt;0.15),"Imbalance","Pass")))</f>
        <v/>
      </c>
    </row>
    <row r="266">
      <c r="A266">
        <f>IF('Equipment Information'!A266="","", 'Equipment Information'!A266)</f>
        <v/>
      </c>
      <c r="B266">
        <f>IF('Equipment Information'!B266="","", 'Equipment Information'!B266)</f>
        <v/>
      </c>
      <c r="C266">
        <f>IF('Equipment Information'!C266="","", 'Equipment Information'!C266)</f>
        <v/>
      </c>
      <c r="I266">
        <f>IF(COUNT(F266:H266)&lt;2,"",AVERAGE(F266:H266))</f>
        <v/>
      </c>
      <c r="J266" s="3">
        <f>IF(I266="","",MAX(ABS(F266-I266),ABS(G266-I266),ABS(H266-I266))/I266)</f>
        <v/>
      </c>
      <c r="N266">
        <f>IF(COUNT(K266:M266)&lt;2,"",AVERAGE(K266:M266))</f>
        <v/>
      </c>
      <c r="R266" s="3">
        <f>IF(N266="","",MAX(ABS(K266-N266),ABS(L266-N266),ABS(M266-N266))/N266)</f>
        <v/>
      </c>
      <c r="S266">
        <f>IF(A266="","",IF(AND(F266="",K266=""),"N/A",IF(AND(J266="",R266=""),"Insufficient Load Data",IF(AND(J266&gt;0.03,R266&gt;0.15),"Voltage &amp; Current Imbalance",IF(J266&gt;0.03,"Voltage Imbalance",IF(R266&gt;0.15,"Current Imbalance","No Imbalances Detected")))))</f>
        <v/>
      </c>
      <c r="T266">
        <f>IF(A266="","",IF(AND(F266="",K266=""),"N/A",IF(OR(J266&gt;0.03,R266&gt;0.15),"Imbalance","Pass")))</f>
        <v/>
      </c>
    </row>
    <row r="267">
      <c r="A267">
        <f>IF('Equipment Information'!A267="","", 'Equipment Information'!A267)</f>
        <v/>
      </c>
      <c r="B267">
        <f>IF('Equipment Information'!B267="","", 'Equipment Information'!B267)</f>
        <v/>
      </c>
      <c r="C267">
        <f>IF('Equipment Information'!C267="","", 'Equipment Information'!C267)</f>
        <v/>
      </c>
      <c r="I267">
        <f>IF(COUNT(F267:H267)&lt;2,"",AVERAGE(F267:H267))</f>
        <v/>
      </c>
      <c r="J267" s="3">
        <f>IF(I267="","",MAX(ABS(F267-I267),ABS(G267-I267),ABS(H267-I267))/I267)</f>
        <v/>
      </c>
      <c r="N267">
        <f>IF(COUNT(K267:M267)&lt;2,"",AVERAGE(K267:M267))</f>
        <v/>
      </c>
      <c r="R267" s="3">
        <f>IF(N267="","",MAX(ABS(K267-N267),ABS(L267-N267),ABS(M267-N267))/N267)</f>
        <v/>
      </c>
      <c r="S267">
        <f>IF(A267="","",IF(AND(F267="",K267=""),"N/A",IF(AND(J267="",R267=""),"Insufficient Load Data",IF(AND(J267&gt;0.03,R267&gt;0.15),"Voltage &amp; Current Imbalance",IF(J267&gt;0.03,"Voltage Imbalance",IF(R267&gt;0.15,"Current Imbalance","No Imbalances Detected")))))</f>
        <v/>
      </c>
      <c r="T267">
        <f>IF(A267="","",IF(AND(F267="",K267=""),"N/A",IF(OR(J267&gt;0.03,R267&gt;0.15),"Imbalance","Pass")))</f>
        <v/>
      </c>
    </row>
    <row r="268">
      <c r="A268">
        <f>IF('Equipment Information'!A268="","", 'Equipment Information'!A268)</f>
        <v/>
      </c>
      <c r="B268">
        <f>IF('Equipment Information'!B268="","", 'Equipment Information'!B268)</f>
        <v/>
      </c>
      <c r="C268">
        <f>IF('Equipment Information'!C268="","", 'Equipment Information'!C268)</f>
        <v/>
      </c>
      <c r="I268">
        <f>IF(COUNT(F268:H268)&lt;2,"",AVERAGE(F268:H268))</f>
        <v/>
      </c>
      <c r="J268" s="3">
        <f>IF(I268="","",MAX(ABS(F268-I268),ABS(G268-I268),ABS(H268-I268))/I268)</f>
        <v/>
      </c>
      <c r="N268">
        <f>IF(COUNT(K268:M268)&lt;2,"",AVERAGE(K268:M268))</f>
        <v/>
      </c>
      <c r="R268" s="3">
        <f>IF(N268="","",MAX(ABS(K268-N268),ABS(L268-N268),ABS(M268-N268))/N268)</f>
        <v/>
      </c>
      <c r="S268">
        <f>IF(A268="","",IF(AND(F268="",K268=""),"N/A",IF(AND(J268="",R268=""),"Insufficient Load Data",IF(AND(J268&gt;0.03,R268&gt;0.15),"Voltage &amp; Current Imbalance",IF(J268&gt;0.03,"Voltage Imbalance",IF(R268&gt;0.15,"Current Imbalance","No Imbalances Detected")))))</f>
        <v/>
      </c>
      <c r="T268">
        <f>IF(A268="","",IF(AND(F268="",K268=""),"N/A",IF(OR(J268&gt;0.03,R268&gt;0.15),"Imbalance","Pass")))</f>
        <v/>
      </c>
    </row>
    <row r="269">
      <c r="A269">
        <f>IF('Equipment Information'!A269="","", 'Equipment Information'!A269)</f>
        <v/>
      </c>
      <c r="B269">
        <f>IF('Equipment Information'!B269="","", 'Equipment Information'!B269)</f>
        <v/>
      </c>
      <c r="C269">
        <f>IF('Equipment Information'!C269="","", 'Equipment Information'!C269)</f>
        <v/>
      </c>
      <c r="I269">
        <f>IF(COUNT(F269:H269)&lt;2,"",AVERAGE(F269:H269))</f>
        <v/>
      </c>
      <c r="J269" s="3">
        <f>IF(I269="","",MAX(ABS(F269-I269),ABS(G269-I269),ABS(H269-I269))/I269)</f>
        <v/>
      </c>
      <c r="N269">
        <f>IF(COUNT(K269:M269)&lt;2,"",AVERAGE(K269:M269))</f>
        <v/>
      </c>
      <c r="R269" s="3">
        <f>IF(N269="","",MAX(ABS(K269-N269),ABS(L269-N269),ABS(M269-N269))/N269)</f>
        <v/>
      </c>
      <c r="S269">
        <f>IF(A269="","",IF(AND(F269="",K269=""),"N/A",IF(AND(J269="",R269=""),"Insufficient Load Data",IF(AND(J269&gt;0.03,R269&gt;0.15),"Voltage &amp; Current Imbalance",IF(J269&gt;0.03,"Voltage Imbalance",IF(R269&gt;0.15,"Current Imbalance","No Imbalances Detected")))))</f>
        <v/>
      </c>
      <c r="T269">
        <f>IF(A269="","",IF(AND(F269="",K269=""),"N/A",IF(OR(J269&gt;0.03,R269&gt;0.15),"Imbalance","Pass")))</f>
        <v/>
      </c>
    </row>
    <row r="270">
      <c r="A270">
        <f>IF('Equipment Information'!A270="","", 'Equipment Information'!A270)</f>
        <v/>
      </c>
      <c r="B270">
        <f>IF('Equipment Information'!B270="","", 'Equipment Information'!B270)</f>
        <v/>
      </c>
      <c r="C270">
        <f>IF('Equipment Information'!C270="","", 'Equipment Information'!C270)</f>
        <v/>
      </c>
      <c r="I270">
        <f>IF(COUNT(F270:H270)&lt;2,"",AVERAGE(F270:H270))</f>
        <v/>
      </c>
      <c r="J270" s="3">
        <f>IF(I270="","",MAX(ABS(F270-I270),ABS(G270-I270),ABS(H270-I270))/I270)</f>
        <v/>
      </c>
      <c r="N270">
        <f>IF(COUNT(K270:M270)&lt;2,"",AVERAGE(K270:M270))</f>
        <v/>
      </c>
      <c r="R270" s="3">
        <f>IF(N270="","",MAX(ABS(K270-N270),ABS(L270-N270),ABS(M270-N270))/N270)</f>
        <v/>
      </c>
      <c r="S270">
        <f>IF(A270="","",IF(AND(F270="",K270=""),"N/A",IF(AND(J270="",R270=""),"Insufficient Load Data",IF(AND(J270&gt;0.03,R270&gt;0.15),"Voltage &amp; Current Imbalance",IF(J270&gt;0.03,"Voltage Imbalance",IF(R270&gt;0.15,"Current Imbalance","No Imbalances Detected")))))</f>
        <v/>
      </c>
      <c r="T270">
        <f>IF(A270="","",IF(AND(F270="",K270=""),"N/A",IF(OR(J270&gt;0.03,R270&gt;0.15),"Imbalance","Pass")))</f>
        <v/>
      </c>
    </row>
    <row r="271">
      <c r="A271">
        <f>IF('Equipment Information'!A271="","", 'Equipment Information'!A271)</f>
        <v/>
      </c>
      <c r="B271">
        <f>IF('Equipment Information'!B271="","", 'Equipment Information'!B271)</f>
        <v/>
      </c>
      <c r="C271">
        <f>IF('Equipment Information'!C271="","", 'Equipment Information'!C271)</f>
        <v/>
      </c>
      <c r="I271">
        <f>IF(COUNT(F271:H271)&lt;2,"",AVERAGE(F271:H271))</f>
        <v/>
      </c>
      <c r="J271" s="3">
        <f>IF(I271="","",MAX(ABS(F271-I271),ABS(G271-I271),ABS(H271-I271))/I271)</f>
        <v/>
      </c>
      <c r="N271">
        <f>IF(COUNT(K271:M271)&lt;2,"",AVERAGE(K271:M271))</f>
        <v/>
      </c>
      <c r="R271" s="3">
        <f>IF(N271="","",MAX(ABS(K271-N271),ABS(L271-N271),ABS(M271-N271))/N271)</f>
        <v/>
      </c>
      <c r="S271">
        <f>IF(A271="","",IF(AND(F271="",K271=""),"N/A",IF(AND(J271="",R271=""),"Insufficient Load Data",IF(AND(J271&gt;0.03,R271&gt;0.15),"Voltage &amp; Current Imbalance",IF(J271&gt;0.03,"Voltage Imbalance",IF(R271&gt;0.15,"Current Imbalance","No Imbalances Detected")))))</f>
        <v/>
      </c>
      <c r="T271">
        <f>IF(A271="","",IF(AND(F271="",K271=""),"N/A",IF(OR(J271&gt;0.03,R271&gt;0.15),"Imbalance","Pass")))</f>
        <v/>
      </c>
    </row>
    <row r="272">
      <c r="A272">
        <f>IF('Equipment Information'!A272="","", 'Equipment Information'!A272)</f>
        <v/>
      </c>
      <c r="B272">
        <f>IF('Equipment Information'!B272="","", 'Equipment Information'!B272)</f>
        <v/>
      </c>
      <c r="C272">
        <f>IF('Equipment Information'!C272="","", 'Equipment Information'!C272)</f>
        <v/>
      </c>
      <c r="I272">
        <f>IF(COUNT(F272:H272)&lt;2,"",AVERAGE(F272:H272))</f>
        <v/>
      </c>
      <c r="J272" s="3">
        <f>IF(I272="","",MAX(ABS(F272-I272),ABS(G272-I272),ABS(H272-I272))/I272)</f>
        <v/>
      </c>
      <c r="N272">
        <f>IF(COUNT(K272:M272)&lt;2,"",AVERAGE(K272:M272))</f>
        <v/>
      </c>
      <c r="R272" s="3">
        <f>IF(N272="","",MAX(ABS(K272-N272),ABS(L272-N272),ABS(M272-N272))/N272)</f>
        <v/>
      </c>
      <c r="S272">
        <f>IF(A272="","",IF(AND(F272="",K272=""),"N/A",IF(AND(J272="",R272=""),"Insufficient Load Data",IF(AND(J272&gt;0.03,R272&gt;0.15),"Voltage &amp; Current Imbalance",IF(J272&gt;0.03,"Voltage Imbalance",IF(R272&gt;0.15,"Current Imbalance","No Imbalances Detected")))))</f>
        <v/>
      </c>
      <c r="T272">
        <f>IF(A272="","",IF(AND(F272="",K272=""),"N/A",IF(OR(J272&gt;0.03,R272&gt;0.15),"Imbalance","Pass")))</f>
        <v/>
      </c>
    </row>
    <row r="273">
      <c r="A273">
        <f>IF('Equipment Information'!A273="","", 'Equipment Information'!A273)</f>
        <v/>
      </c>
      <c r="B273">
        <f>IF('Equipment Information'!B273="","", 'Equipment Information'!B273)</f>
        <v/>
      </c>
      <c r="C273">
        <f>IF('Equipment Information'!C273="","", 'Equipment Information'!C273)</f>
        <v/>
      </c>
      <c r="I273">
        <f>IF(COUNT(F273:H273)&lt;2,"",AVERAGE(F273:H273))</f>
        <v/>
      </c>
      <c r="J273" s="3">
        <f>IF(I273="","",MAX(ABS(F273-I273),ABS(G273-I273),ABS(H273-I273))/I273)</f>
        <v/>
      </c>
      <c r="N273">
        <f>IF(COUNT(K273:M273)&lt;2,"",AVERAGE(K273:M273))</f>
        <v/>
      </c>
      <c r="R273" s="3">
        <f>IF(N273="","",MAX(ABS(K273-N273),ABS(L273-N273),ABS(M273-N273))/N273)</f>
        <v/>
      </c>
      <c r="S273">
        <f>IF(A273="","",IF(AND(F273="",K273=""),"N/A",IF(AND(J273="",R273=""),"Insufficient Load Data",IF(AND(J273&gt;0.03,R273&gt;0.15),"Voltage &amp; Current Imbalance",IF(J273&gt;0.03,"Voltage Imbalance",IF(R273&gt;0.15,"Current Imbalance","No Imbalances Detected")))))</f>
        <v/>
      </c>
      <c r="T273">
        <f>IF(A273="","",IF(AND(F273="",K273=""),"N/A",IF(OR(J273&gt;0.03,R273&gt;0.15),"Imbalance","Pass")))</f>
        <v/>
      </c>
    </row>
    <row r="274">
      <c r="A274">
        <f>IF('Equipment Information'!A274="","", 'Equipment Information'!A274)</f>
        <v/>
      </c>
      <c r="B274">
        <f>IF('Equipment Information'!B274="","", 'Equipment Information'!B274)</f>
        <v/>
      </c>
      <c r="C274">
        <f>IF('Equipment Information'!C274="","", 'Equipment Information'!C274)</f>
        <v/>
      </c>
      <c r="I274">
        <f>IF(COUNT(F274:H274)&lt;2,"",AVERAGE(F274:H274))</f>
        <v/>
      </c>
      <c r="J274" s="3">
        <f>IF(I274="","",MAX(ABS(F274-I274),ABS(G274-I274),ABS(H274-I274))/I274)</f>
        <v/>
      </c>
      <c r="N274">
        <f>IF(COUNT(K274:M274)&lt;2,"",AVERAGE(K274:M274))</f>
        <v/>
      </c>
      <c r="R274" s="3">
        <f>IF(N274="","",MAX(ABS(K274-N274),ABS(L274-N274),ABS(M274-N274))/N274)</f>
        <v/>
      </c>
      <c r="S274">
        <f>IF(A274="","",IF(AND(F274="",K274=""),"N/A",IF(AND(J274="",R274=""),"Insufficient Load Data",IF(AND(J274&gt;0.03,R274&gt;0.15),"Voltage &amp; Current Imbalance",IF(J274&gt;0.03,"Voltage Imbalance",IF(R274&gt;0.15,"Current Imbalance","No Imbalances Detected")))))</f>
        <v/>
      </c>
      <c r="T274">
        <f>IF(A274="","",IF(AND(F274="",K274=""),"N/A",IF(OR(J274&gt;0.03,R274&gt;0.15),"Imbalance","Pass")))</f>
        <v/>
      </c>
    </row>
    <row r="275">
      <c r="A275">
        <f>IF('Equipment Information'!A275="","", 'Equipment Information'!A275)</f>
        <v/>
      </c>
      <c r="B275">
        <f>IF('Equipment Information'!B275="","", 'Equipment Information'!B275)</f>
        <v/>
      </c>
      <c r="C275">
        <f>IF('Equipment Information'!C275="","", 'Equipment Information'!C275)</f>
        <v/>
      </c>
      <c r="I275">
        <f>IF(COUNT(F275:H275)&lt;2,"",AVERAGE(F275:H275))</f>
        <v/>
      </c>
      <c r="J275" s="3">
        <f>IF(I275="","",MAX(ABS(F275-I275),ABS(G275-I275),ABS(H275-I275))/I275)</f>
        <v/>
      </c>
      <c r="N275">
        <f>IF(COUNT(K275:M275)&lt;2,"",AVERAGE(K275:M275))</f>
        <v/>
      </c>
      <c r="R275" s="3">
        <f>IF(N275="","",MAX(ABS(K275-N275),ABS(L275-N275),ABS(M275-N275))/N275)</f>
        <v/>
      </c>
      <c r="S275">
        <f>IF(A275="","",IF(AND(F275="",K275=""),"N/A",IF(AND(J275="",R275=""),"Insufficient Load Data",IF(AND(J275&gt;0.03,R275&gt;0.15),"Voltage &amp; Current Imbalance",IF(J275&gt;0.03,"Voltage Imbalance",IF(R275&gt;0.15,"Current Imbalance","No Imbalances Detected")))))</f>
        <v/>
      </c>
      <c r="T275">
        <f>IF(A275="","",IF(AND(F275="",K275=""),"N/A",IF(OR(J275&gt;0.03,R275&gt;0.15),"Imbalance","Pass")))</f>
        <v/>
      </c>
    </row>
    <row r="276">
      <c r="A276">
        <f>IF('Equipment Information'!A276="","", 'Equipment Information'!A276)</f>
        <v/>
      </c>
      <c r="B276">
        <f>IF('Equipment Information'!B276="","", 'Equipment Information'!B276)</f>
        <v/>
      </c>
      <c r="C276">
        <f>IF('Equipment Information'!C276="","", 'Equipment Information'!C276)</f>
        <v/>
      </c>
      <c r="I276">
        <f>IF(COUNT(F276:H276)&lt;2,"",AVERAGE(F276:H276))</f>
        <v/>
      </c>
      <c r="J276" s="3">
        <f>IF(I276="","",MAX(ABS(F276-I276),ABS(G276-I276),ABS(H276-I276))/I276)</f>
        <v/>
      </c>
      <c r="N276">
        <f>IF(COUNT(K276:M276)&lt;2,"",AVERAGE(K276:M276))</f>
        <v/>
      </c>
      <c r="R276" s="3">
        <f>IF(N276="","",MAX(ABS(K276-N276),ABS(L276-N276),ABS(M276-N276))/N276)</f>
        <v/>
      </c>
      <c r="S276">
        <f>IF(A276="","",IF(AND(F276="",K276=""),"N/A",IF(AND(J276="",R276=""),"Insufficient Load Data",IF(AND(J276&gt;0.03,R276&gt;0.15),"Voltage &amp; Current Imbalance",IF(J276&gt;0.03,"Voltage Imbalance",IF(R276&gt;0.15,"Current Imbalance","No Imbalances Detected")))))</f>
        <v/>
      </c>
      <c r="T276">
        <f>IF(A276="","",IF(AND(F276="",K276=""),"N/A",IF(OR(J276&gt;0.03,R276&gt;0.15),"Imbalance","Pass")))</f>
        <v/>
      </c>
    </row>
    <row r="277">
      <c r="A277">
        <f>IF('Equipment Information'!A277="","", 'Equipment Information'!A277)</f>
        <v/>
      </c>
      <c r="B277">
        <f>IF('Equipment Information'!B277="","", 'Equipment Information'!B277)</f>
        <v/>
      </c>
      <c r="C277">
        <f>IF('Equipment Information'!C277="","", 'Equipment Information'!C277)</f>
        <v/>
      </c>
      <c r="I277">
        <f>IF(COUNT(F277:H277)&lt;2,"",AVERAGE(F277:H277))</f>
        <v/>
      </c>
      <c r="J277" s="3">
        <f>IF(I277="","",MAX(ABS(F277-I277),ABS(G277-I277),ABS(H277-I277))/I277)</f>
        <v/>
      </c>
      <c r="N277">
        <f>IF(COUNT(K277:M277)&lt;2,"",AVERAGE(K277:M277))</f>
        <v/>
      </c>
      <c r="R277" s="3">
        <f>IF(N277="","",MAX(ABS(K277-N277),ABS(L277-N277),ABS(M277-N277))/N277)</f>
        <v/>
      </c>
      <c r="S277">
        <f>IF(A277="","",IF(AND(F277="",K277=""),"N/A",IF(AND(J277="",R277=""),"Insufficient Load Data",IF(AND(J277&gt;0.03,R277&gt;0.15),"Voltage &amp; Current Imbalance",IF(J277&gt;0.03,"Voltage Imbalance",IF(R277&gt;0.15,"Current Imbalance","No Imbalances Detected")))))</f>
        <v/>
      </c>
      <c r="T277">
        <f>IF(A277="","",IF(AND(F277="",K277=""),"N/A",IF(OR(J277&gt;0.03,R277&gt;0.15),"Imbalance","Pass")))</f>
        <v/>
      </c>
    </row>
    <row r="278">
      <c r="A278">
        <f>IF('Equipment Information'!A278="","", 'Equipment Information'!A278)</f>
        <v/>
      </c>
      <c r="B278">
        <f>IF('Equipment Information'!B278="","", 'Equipment Information'!B278)</f>
        <v/>
      </c>
      <c r="C278">
        <f>IF('Equipment Information'!C278="","", 'Equipment Information'!C278)</f>
        <v/>
      </c>
      <c r="I278">
        <f>IF(COUNT(F278:H278)&lt;2,"",AVERAGE(F278:H278))</f>
        <v/>
      </c>
      <c r="J278" s="3">
        <f>IF(I278="","",MAX(ABS(F278-I278),ABS(G278-I278),ABS(H278-I278))/I278)</f>
        <v/>
      </c>
      <c r="N278">
        <f>IF(COUNT(K278:M278)&lt;2,"",AVERAGE(K278:M278))</f>
        <v/>
      </c>
      <c r="R278" s="3">
        <f>IF(N278="","",MAX(ABS(K278-N278),ABS(L278-N278),ABS(M278-N278))/N278)</f>
        <v/>
      </c>
      <c r="S278">
        <f>IF(A278="","",IF(AND(F278="",K278=""),"N/A",IF(AND(J278="",R278=""),"Insufficient Load Data",IF(AND(J278&gt;0.03,R278&gt;0.15),"Voltage &amp; Current Imbalance",IF(J278&gt;0.03,"Voltage Imbalance",IF(R278&gt;0.15,"Current Imbalance","No Imbalances Detected")))))</f>
        <v/>
      </c>
      <c r="T278">
        <f>IF(A278="","",IF(AND(F278="",K278=""),"N/A",IF(OR(J278&gt;0.03,R278&gt;0.15),"Imbalance","Pass")))</f>
        <v/>
      </c>
    </row>
    <row r="279">
      <c r="A279">
        <f>IF('Equipment Information'!A279="","", 'Equipment Information'!A279)</f>
        <v/>
      </c>
      <c r="B279">
        <f>IF('Equipment Information'!B279="","", 'Equipment Information'!B279)</f>
        <v/>
      </c>
      <c r="C279">
        <f>IF('Equipment Information'!C279="","", 'Equipment Information'!C279)</f>
        <v/>
      </c>
      <c r="I279">
        <f>IF(COUNT(F279:H279)&lt;2,"",AVERAGE(F279:H279))</f>
        <v/>
      </c>
      <c r="J279" s="3">
        <f>IF(I279="","",MAX(ABS(F279-I279),ABS(G279-I279),ABS(H279-I279))/I279)</f>
        <v/>
      </c>
      <c r="N279">
        <f>IF(COUNT(K279:M279)&lt;2,"",AVERAGE(K279:M279))</f>
        <v/>
      </c>
      <c r="R279" s="3">
        <f>IF(N279="","",MAX(ABS(K279-N279),ABS(L279-N279),ABS(M279-N279))/N279)</f>
        <v/>
      </c>
      <c r="S279">
        <f>IF(A279="","",IF(AND(F279="",K279=""),"N/A",IF(AND(J279="",R279=""),"Insufficient Load Data",IF(AND(J279&gt;0.03,R279&gt;0.15),"Voltage &amp; Current Imbalance",IF(J279&gt;0.03,"Voltage Imbalance",IF(R279&gt;0.15,"Current Imbalance","No Imbalances Detected")))))</f>
        <v/>
      </c>
      <c r="T279">
        <f>IF(A279="","",IF(AND(F279="",K279=""),"N/A",IF(OR(J279&gt;0.03,R279&gt;0.15),"Imbalance","Pass")))</f>
        <v/>
      </c>
    </row>
    <row r="280">
      <c r="A280">
        <f>IF('Equipment Information'!A280="","", 'Equipment Information'!A280)</f>
        <v/>
      </c>
      <c r="B280">
        <f>IF('Equipment Information'!B280="","", 'Equipment Information'!B280)</f>
        <v/>
      </c>
      <c r="C280">
        <f>IF('Equipment Information'!C280="","", 'Equipment Information'!C280)</f>
        <v/>
      </c>
      <c r="I280">
        <f>IF(COUNT(F280:H280)&lt;2,"",AVERAGE(F280:H280))</f>
        <v/>
      </c>
      <c r="J280" s="3">
        <f>IF(I280="","",MAX(ABS(F280-I280),ABS(G280-I280),ABS(H280-I280))/I280)</f>
        <v/>
      </c>
      <c r="N280">
        <f>IF(COUNT(K280:M280)&lt;2,"",AVERAGE(K280:M280))</f>
        <v/>
      </c>
      <c r="R280" s="3">
        <f>IF(N280="","",MAX(ABS(K280-N280),ABS(L280-N280),ABS(M280-N280))/N280)</f>
        <v/>
      </c>
      <c r="S280">
        <f>IF(A280="","",IF(AND(F280="",K280=""),"N/A",IF(AND(J280="",R280=""),"Insufficient Load Data",IF(AND(J280&gt;0.03,R280&gt;0.15),"Voltage &amp; Current Imbalance",IF(J280&gt;0.03,"Voltage Imbalance",IF(R280&gt;0.15,"Current Imbalance","No Imbalances Detected")))))</f>
        <v/>
      </c>
      <c r="T280">
        <f>IF(A280="","",IF(AND(F280="",K280=""),"N/A",IF(OR(J280&gt;0.03,R280&gt;0.15),"Imbalance","Pass")))</f>
        <v/>
      </c>
    </row>
    <row r="281">
      <c r="A281">
        <f>IF('Equipment Information'!A281="","", 'Equipment Information'!A281)</f>
        <v/>
      </c>
      <c r="B281">
        <f>IF('Equipment Information'!B281="","", 'Equipment Information'!B281)</f>
        <v/>
      </c>
      <c r="C281">
        <f>IF('Equipment Information'!C281="","", 'Equipment Information'!C281)</f>
        <v/>
      </c>
      <c r="I281">
        <f>IF(COUNT(F281:H281)&lt;2,"",AVERAGE(F281:H281))</f>
        <v/>
      </c>
      <c r="J281" s="3">
        <f>IF(I281="","",MAX(ABS(F281-I281),ABS(G281-I281),ABS(H281-I281))/I281)</f>
        <v/>
      </c>
      <c r="N281">
        <f>IF(COUNT(K281:M281)&lt;2,"",AVERAGE(K281:M281))</f>
        <v/>
      </c>
      <c r="R281" s="3">
        <f>IF(N281="","",MAX(ABS(K281-N281),ABS(L281-N281),ABS(M281-N281))/N281)</f>
        <v/>
      </c>
      <c r="S281">
        <f>IF(A281="","",IF(AND(F281="",K281=""),"N/A",IF(AND(J281="",R281=""),"Insufficient Load Data",IF(AND(J281&gt;0.03,R281&gt;0.15),"Voltage &amp; Current Imbalance",IF(J281&gt;0.03,"Voltage Imbalance",IF(R281&gt;0.15,"Current Imbalance","No Imbalances Detected")))))</f>
        <v/>
      </c>
      <c r="T281">
        <f>IF(A281="","",IF(AND(F281="",K281=""),"N/A",IF(OR(J281&gt;0.03,R281&gt;0.15),"Imbalance","Pass")))</f>
        <v/>
      </c>
    </row>
    <row r="282">
      <c r="A282">
        <f>IF('Equipment Information'!A282="","", 'Equipment Information'!A282)</f>
        <v/>
      </c>
      <c r="B282">
        <f>IF('Equipment Information'!B282="","", 'Equipment Information'!B282)</f>
        <v/>
      </c>
      <c r="C282">
        <f>IF('Equipment Information'!C282="","", 'Equipment Information'!C282)</f>
        <v/>
      </c>
      <c r="I282">
        <f>IF(COUNT(F282:H282)&lt;2,"",AVERAGE(F282:H282))</f>
        <v/>
      </c>
      <c r="J282" s="3">
        <f>IF(I282="","",MAX(ABS(F282-I282),ABS(G282-I282),ABS(H282-I282))/I282)</f>
        <v/>
      </c>
      <c r="N282">
        <f>IF(COUNT(K282:M282)&lt;2,"",AVERAGE(K282:M282))</f>
        <v/>
      </c>
      <c r="R282" s="3">
        <f>IF(N282="","",MAX(ABS(K282-N282),ABS(L282-N282),ABS(M282-N282))/N282)</f>
        <v/>
      </c>
      <c r="S282">
        <f>IF(A282="","",IF(AND(F282="",K282=""),"N/A",IF(AND(J282="",R282=""),"Insufficient Load Data",IF(AND(J282&gt;0.03,R282&gt;0.15),"Voltage &amp; Current Imbalance",IF(J282&gt;0.03,"Voltage Imbalance",IF(R282&gt;0.15,"Current Imbalance","No Imbalances Detected")))))</f>
        <v/>
      </c>
      <c r="T282">
        <f>IF(A282="","",IF(AND(F282="",K282=""),"N/A",IF(OR(J282&gt;0.03,R282&gt;0.15),"Imbalance","Pass")))</f>
        <v/>
      </c>
    </row>
    <row r="283">
      <c r="A283">
        <f>IF('Equipment Information'!A283="","", 'Equipment Information'!A283)</f>
        <v/>
      </c>
      <c r="B283">
        <f>IF('Equipment Information'!B283="","", 'Equipment Information'!B283)</f>
        <v/>
      </c>
      <c r="C283">
        <f>IF('Equipment Information'!C283="","", 'Equipment Information'!C283)</f>
        <v/>
      </c>
      <c r="I283">
        <f>IF(COUNT(F283:H283)&lt;2,"",AVERAGE(F283:H283))</f>
        <v/>
      </c>
      <c r="J283" s="3">
        <f>IF(I283="","",MAX(ABS(F283-I283),ABS(G283-I283),ABS(H283-I283))/I283)</f>
        <v/>
      </c>
      <c r="N283">
        <f>IF(COUNT(K283:M283)&lt;2,"",AVERAGE(K283:M283))</f>
        <v/>
      </c>
      <c r="R283" s="3">
        <f>IF(N283="","",MAX(ABS(K283-N283),ABS(L283-N283),ABS(M283-N283))/N283)</f>
        <v/>
      </c>
      <c r="S283">
        <f>IF(A283="","",IF(AND(F283="",K283=""),"N/A",IF(AND(J283="",R283=""),"Insufficient Load Data",IF(AND(J283&gt;0.03,R283&gt;0.15),"Voltage &amp; Current Imbalance",IF(J283&gt;0.03,"Voltage Imbalance",IF(R283&gt;0.15,"Current Imbalance","No Imbalances Detected")))))</f>
        <v/>
      </c>
      <c r="T283">
        <f>IF(A283="","",IF(AND(F283="",K283=""),"N/A",IF(OR(J283&gt;0.03,R283&gt;0.15),"Imbalance","Pass")))</f>
        <v/>
      </c>
    </row>
    <row r="284">
      <c r="A284">
        <f>IF('Equipment Information'!A284="","", 'Equipment Information'!A284)</f>
        <v/>
      </c>
      <c r="B284">
        <f>IF('Equipment Information'!B284="","", 'Equipment Information'!B284)</f>
        <v/>
      </c>
      <c r="C284">
        <f>IF('Equipment Information'!C284="","", 'Equipment Information'!C284)</f>
        <v/>
      </c>
      <c r="I284">
        <f>IF(COUNT(F284:H284)&lt;2,"",AVERAGE(F284:H284))</f>
        <v/>
      </c>
      <c r="J284" s="3">
        <f>IF(I284="","",MAX(ABS(F284-I284),ABS(G284-I284),ABS(H284-I284))/I284)</f>
        <v/>
      </c>
      <c r="N284">
        <f>IF(COUNT(K284:M284)&lt;2,"",AVERAGE(K284:M284))</f>
        <v/>
      </c>
      <c r="R284" s="3">
        <f>IF(N284="","",MAX(ABS(K284-N284),ABS(L284-N284),ABS(M284-N284))/N284)</f>
        <v/>
      </c>
      <c r="S284">
        <f>IF(A284="","",IF(AND(F284="",K284=""),"N/A",IF(AND(J284="",R284=""),"Insufficient Load Data",IF(AND(J284&gt;0.03,R284&gt;0.15),"Voltage &amp; Current Imbalance",IF(J284&gt;0.03,"Voltage Imbalance",IF(R284&gt;0.15,"Current Imbalance","No Imbalances Detected")))))</f>
        <v/>
      </c>
      <c r="T284">
        <f>IF(A284="","",IF(AND(F284="",K284=""),"N/A",IF(OR(J284&gt;0.03,R284&gt;0.15),"Imbalance","Pass")))</f>
        <v/>
      </c>
    </row>
    <row r="285">
      <c r="A285">
        <f>IF('Equipment Information'!A285="","", 'Equipment Information'!A285)</f>
        <v/>
      </c>
      <c r="B285">
        <f>IF('Equipment Information'!B285="","", 'Equipment Information'!B285)</f>
        <v/>
      </c>
      <c r="C285">
        <f>IF('Equipment Information'!C285="","", 'Equipment Information'!C285)</f>
        <v/>
      </c>
      <c r="I285">
        <f>IF(COUNT(F285:H285)&lt;2,"",AVERAGE(F285:H285))</f>
        <v/>
      </c>
      <c r="J285" s="3">
        <f>IF(I285="","",MAX(ABS(F285-I285),ABS(G285-I285),ABS(H285-I285))/I285)</f>
        <v/>
      </c>
      <c r="N285">
        <f>IF(COUNT(K285:M285)&lt;2,"",AVERAGE(K285:M285))</f>
        <v/>
      </c>
      <c r="R285" s="3">
        <f>IF(N285="","",MAX(ABS(K285-N285),ABS(L285-N285),ABS(M285-N285))/N285)</f>
        <v/>
      </c>
      <c r="S285">
        <f>IF(A285="","",IF(AND(F285="",K285=""),"N/A",IF(AND(J285="",R285=""),"Insufficient Load Data",IF(AND(J285&gt;0.03,R285&gt;0.15),"Voltage &amp; Current Imbalance",IF(J285&gt;0.03,"Voltage Imbalance",IF(R285&gt;0.15,"Current Imbalance","No Imbalances Detected")))))</f>
        <v/>
      </c>
      <c r="T285">
        <f>IF(A285="","",IF(AND(F285="",K285=""),"N/A",IF(OR(J285&gt;0.03,R285&gt;0.15),"Imbalance","Pass")))</f>
        <v/>
      </c>
    </row>
    <row r="286">
      <c r="A286">
        <f>IF('Equipment Information'!A286="","", 'Equipment Information'!A286)</f>
        <v/>
      </c>
      <c r="B286">
        <f>IF('Equipment Information'!B286="","", 'Equipment Information'!B286)</f>
        <v/>
      </c>
      <c r="C286">
        <f>IF('Equipment Information'!C286="","", 'Equipment Information'!C286)</f>
        <v/>
      </c>
      <c r="I286">
        <f>IF(COUNT(F286:H286)&lt;2,"",AVERAGE(F286:H286))</f>
        <v/>
      </c>
      <c r="J286" s="3">
        <f>IF(I286="","",MAX(ABS(F286-I286),ABS(G286-I286),ABS(H286-I286))/I286)</f>
        <v/>
      </c>
      <c r="N286">
        <f>IF(COUNT(K286:M286)&lt;2,"",AVERAGE(K286:M286))</f>
        <v/>
      </c>
      <c r="R286" s="3">
        <f>IF(N286="","",MAX(ABS(K286-N286),ABS(L286-N286),ABS(M286-N286))/N286)</f>
        <v/>
      </c>
      <c r="S286">
        <f>IF(A286="","",IF(AND(F286="",K286=""),"N/A",IF(AND(J286="",R286=""),"Insufficient Load Data",IF(AND(J286&gt;0.03,R286&gt;0.15),"Voltage &amp; Current Imbalance",IF(J286&gt;0.03,"Voltage Imbalance",IF(R286&gt;0.15,"Current Imbalance","No Imbalances Detected")))))</f>
        <v/>
      </c>
      <c r="T286">
        <f>IF(A286="","",IF(AND(F286="",K286=""),"N/A",IF(OR(J286&gt;0.03,R286&gt;0.15),"Imbalance","Pass")))</f>
        <v/>
      </c>
    </row>
    <row r="287">
      <c r="A287">
        <f>IF('Equipment Information'!A287="","", 'Equipment Information'!A287)</f>
        <v/>
      </c>
      <c r="B287">
        <f>IF('Equipment Information'!B287="","", 'Equipment Information'!B287)</f>
        <v/>
      </c>
      <c r="C287">
        <f>IF('Equipment Information'!C287="","", 'Equipment Information'!C287)</f>
        <v/>
      </c>
      <c r="I287">
        <f>IF(COUNT(F287:H287)&lt;2,"",AVERAGE(F287:H287))</f>
        <v/>
      </c>
      <c r="J287" s="3">
        <f>IF(I287="","",MAX(ABS(F287-I287),ABS(G287-I287),ABS(H287-I287))/I287)</f>
        <v/>
      </c>
      <c r="N287">
        <f>IF(COUNT(K287:M287)&lt;2,"",AVERAGE(K287:M287))</f>
        <v/>
      </c>
      <c r="R287" s="3">
        <f>IF(N287="","",MAX(ABS(K287-N287),ABS(L287-N287),ABS(M287-N287))/N287)</f>
        <v/>
      </c>
      <c r="S287">
        <f>IF(A287="","",IF(AND(F287="",K287=""),"N/A",IF(AND(J287="",R287=""),"Insufficient Load Data",IF(AND(J287&gt;0.03,R287&gt;0.15),"Voltage &amp; Current Imbalance",IF(J287&gt;0.03,"Voltage Imbalance",IF(R287&gt;0.15,"Current Imbalance","No Imbalances Detected")))))</f>
        <v/>
      </c>
      <c r="T287">
        <f>IF(A287="","",IF(AND(F287="",K287=""),"N/A",IF(OR(J287&gt;0.03,R287&gt;0.15),"Imbalance","Pass")))</f>
        <v/>
      </c>
    </row>
    <row r="288">
      <c r="A288">
        <f>IF('Equipment Information'!A288="","", 'Equipment Information'!A288)</f>
        <v/>
      </c>
      <c r="B288">
        <f>IF('Equipment Information'!B288="","", 'Equipment Information'!B288)</f>
        <v/>
      </c>
      <c r="C288">
        <f>IF('Equipment Information'!C288="","", 'Equipment Information'!C288)</f>
        <v/>
      </c>
      <c r="I288">
        <f>IF(COUNT(F288:H288)&lt;2,"",AVERAGE(F288:H288))</f>
        <v/>
      </c>
      <c r="J288" s="3">
        <f>IF(I288="","",MAX(ABS(F288-I288),ABS(G288-I288),ABS(H288-I288))/I288)</f>
        <v/>
      </c>
      <c r="N288">
        <f>IF(COUNT(K288:M288)&lt;2,"",AVERAGE(K288:M288))</f>
        <v/>
      </c>
      <c r="R288" s="3">
        <f>IF(N288="","",MAX(ABS(K288-N288),ABS(L288-N288),ABS(M288-N288))/N288)</f>
        <v/>
      </c>
      <c r="S288">
        <f>IF(A288="","",IF(AND(F288="",K288=""),"N/A",IF(AND(J288="",R288=""),"Insufficient Load Data",IF(AND(J288&gt;0.03,R288&gt;0.15),"Voltage &amp; Current Imbalance",IF(J288&gt;0.03,"Voltage Imbalance",IF(R288&gt;0.15,"Current Imbalance","No Imbalances Detected")))))</f>
        <v/>
      </c>
      <c r="T288">
        <f>IF(A288="","",IF(AND(F288="",K288=""),"N/A",IF(OR(J288&gt;0.03,R288&gt;0.15),"Imbalance","Pass")))</f>
        <v/>
      </c>
    </row>
    <row r="289">
      <c r="A289">
        <f>IF('Equipment Information'!A289="","", 'Equipment Information'!A289)</f>
        <v/>
      </c>
      <c r="B289">
        <f>IF('Equipment Information'!B289="","", 'Equipment Information'!B289)</f>
        <v/>
      </c>
      <c r="C289">
        <f>IF('Equipment Information'!C289="","", 'Equipment Information'!C289)</f>
        <v/>
      </c>
      <c r="I289">
        <f>IF(COUNT(F289:H289)&lt;2,"",AVERAGE(F289:H289))</f>
        <v/>
      </c>
      <c r="J289" s="3">
        <f>IF(I289="","",MAX(ABS(F289-I289),ABS(G289-I289),ABS(H289-I289))/I289)</f>
        <v/>
      </c>
      <c r="N289">
        <f>IF(COUNT(K289:M289)&lt;2,"",AVERAGE(K289:M289))</f>
        <v/>
      </c>
      <c r="R289" s="3">
        <f>IF(N289="","",MAX(ABS(K289-N289),ABS(L289-N289),ABS(M289-N289))/N289)</f>
        <v/>
      </c>
      <c r="S289">
        <f>IF(A289="","",IF(AND(F289="",K289=""),"N/A",IF(AND(J289="",R289=""),"Insufficient Load Data",IF(AND(J289&gt;0.03,R289&gt;0.15),"Voltage &amp; Current Imbalance",IF(J289&gt;0.03,"Voltage Imbalance",IF(R289&gt;0.15,"Current Imbalance","No Imbalances Detected")))))</f>
        <v/>
      </c>
      <c r="T289">
        <f>IF(A289="","",IF(AND(F289="",K289=""),"N/A",IF(OR(J289&gt;0.03,R289&gt;0.15),"Imbalance","Pass")))</f>
        <v/>
      </c>
    </row>
    <row r="290">
      <c r="A290">
        <f>IF('Equipment Information'!A290="","", 'Equipment Information'!A290)</f>
        <v/>
      </c>
      <c r="B290">
        <f>IF('Equipment Information'!B290="","", 'Equipment Information'!B290)</f>
        <v/>
      </c>
      <c r="C290">
        <f>IF('Equipment Information'!C290="","", 'Equipment Information'!C290)</f>
        <v/>
      </c>
      <c r="I290">
        <f>IF(COUNT(F290:H290)&lt;2,"",AVERAGE(F290:H290))</f>
        <v/>
      </c>
      <c r="J290" s="3">
        <f>IF(I290="","",MAX(ABS(F290-I290),ABS(G290-I290),ABS(H290-I290))/I290)</f>
        <v/>
      </c>
      <c r="N290">
        <f>IF(COUNT(K290:M290)&lt;2,"",AVERAGE(K290:M290))</f>
        <v/>
      </c>
      <c r="R290" s="3">
        <f>IF(N290="","",MAX(ABS(K290-N290),ABS(L290-N290),ABS(M290-N290))/N290)</f>
        <v/>
      </c>
      <c r="S290">
        <f>IF(A290="","",IF(AND(F290="",K290=""),"N/A",IF(AND(J290="",R290=""),"Insufficient Load Data",IF(AND(J290&gt;0.03,R290&gt;0.15),"Voltage &amp; Current Imbalance",IF(J290&gt;0.03,"Voltage Imbalance",IF(R290&gt;0.15,"Current Imbalance","No Imbalances Detected")))))</f>
        <v/>
      </c>
      <c r="T290">
        <f>IF(A290="","",IF(AND(F290="",K290=""),"N/A",IF(OR(J290&gt;0.03,R290&gt;0.15),"Imbalance","Pass")))</f>
        <v/>
      </c>
    </row>
    <row r="291">
      <c r="A291">
        <f>IF('Equipment Information'!A291="","", 'Equipment Information'!A291)</f>
        <v/>
      </c>
      <c r="B291">
        <f>IF('Equipment Information'!B291="","", 'Equipment Information'!B291)</f>
        <v/>
      </c>
      <c r="C291">
        <f>IF('Equipment Information'!C291="","", 'Equipment Information'!C291)</f>
        <v/>
      </c>
      <c r="I291">
        <f>IF(COUNT(F291:H291)&lt;2,"",AVERAGE(F291:H291))</f>
        <v/>
      </c>
      <c r="J291" s="3">
        <f>IF(I291="","",MAX(ABS(F291-I291),ABS(G291-I291),ABS(H291-I291))/I291)</f>
        <v/>
      </c>
      <c r="N291">
        <f>IF(COUNT(K291:M291)&lt;2,"",AVERAGE(K291:M291))</f>
        <v/>
      </c>
      <c r="R291" s="3">
        <f>IF(N291="","",MAX(ABS(K291-N291),ABS(L291-N291),ABS(M291-N291))/N291)</f>
        <v/>
      </c>
      <c r="S291">
        <f>IF(A291="","",IF(AND(F291="",K291=""),"N/A",IF(AND(J291="",R291=""),"Insufficient Load Data",IF(AND(J291&gt;0.03,R291&gt;0.15),"Voltage &amp; Current Imbalance",IF(J291&gt;0.03,"Voltage Imbalance",IF(R291&gt;0.15,"Current Imbalance","No Imbalances Detected")))))</f>
        <v/>
      </c>
      <c r="T291">
        <f>IF(A291="","",IF(AND(F291="",K291=""),"N/A",IF(OR(J291&gt;0.03,R291&gt;0.15),"Imbalance","Pass")))</f>
        <v/>
      </c>
    </row>
    <row r="292">
      <c r="A292">
        <f>IF('Equipment Information'!A292="","", 'Equipment Information'!A292)</f>
        <v/>
      </c>
      <c r="B292">
        <f>IF('Equipment Information'!B292="","", 'Equipment Information'!B292)</f>
        <v/>
      </c>
      <c r="C292">
        <f>IF('Equipment Information'!C292="","", 'Equipment Information'!C292)</f>
        <v/>
      </c>
      <c r="I292">
        <f>IF(COUNT(F292:H292)&lt;2,"",AVERAGE(F292:H292))</f>
        <v/>
      </c>
      <c r="J292" s="3">
        <f>IF(I292="","",MAX(ABS(F292-I292),ABS(G292-I292),ABS(H292-I292))/I292)</f>
        <v/>
      </c>
      <c r="N292">
        <f>IF(COUNT(K292:M292)&lt;2,"",AVERAGE(K292:M292))</f>
        <v/>
      </c>
      <c r="R292" s="3">
        <f>IF(N292="","",MAX(ABS(K292-N292),ABS(L292-N292),ABS(M292-N292))/N292)</f>
        <v/>
      </c>
      <c r="S292">
        <f>IF(A292="","",IF(AND(F292="",K292=""),"N/A",IF(AND(J292="",R292=""),"Insufficient Load Data",IF(AND(J292&gt;0.03,R292&gt;0.15),"Voltage &amp; Current Imbalance",IF(J292&gt;0.03,"Voltage Imbalance",IF(R292&gt;0.15,"Current Imbalance","No Imbalances Detected")))))</f>
        <v/>
      </c>
      <c r="T292">
        <f>IF(A292="","",IF(AND(F292="",K292=""),"N/A",IF(OR(J292&gt;0.03,R292&gt;0.15),"Imbalance","Pass")))</f>
        <v/>
      </c>
    </row>
    <row r="293">
      <c r="A293">
        <f>IF('Equipment Information'!A293="","", 'Equipment Information'!A293)</f>
        <v/>
      </c>
      <c r="B293">
        <f>IF('Equipment Information'!B293="","", 'Equipment Information'!B293)</f>
        <v/>
      </c>
      <c r="C293">
        <f>IF('Equipment Information'!C293="","", 'Equipment Information'!C293)</f>
        <v/>
      </c>
      <c r="I293">
        <f>IF(COUNT(F293:H293)&lt;2,"",AVERAGE(F293:H293))</f>
        <v/>
      </c>
      <c r="J293" s="3">
        <f>IF(I293="","",MAX(ABS(F293-I293),ABS(G293-I293),ABS(H293-I293))/I293)</f>
        <v/>
      </c>
      <c r="N293">
        <f>IF(COUNT(K293:M293)&lt;2,"",AVERAGE(K293:M293))</f>
        <v/>
      </c>
      <c r="R293" s="3">
        <f>IF(N293="","",MAX(ABS(K293-N293),ABS(L293-N293),ABS(M293-N293))/N293)</f>
        <v/>
      </c>
      <c r="S293">
        <f>IF(A293="","",IF(AND(F293="",K293=""),"N/A",IF(AND(J293="",R293=""),"Insufficient Load Data",IF(AND(J293&gt;0.03,R293&gt;0.15),"Voltage &amp; Current Imbalance",IF(J293&gt;0.03,"Voltage Imbalance",IF(R293&gt;0.15,"Current Imbalance","No Imbalances Detected")))))</f>
        <v/>
      </c>
      <c r="T293">
        <f>IF(A293="","",IF(AND(F293="",K293=""),"N/A",IF(OR(J293&gt;0.03,R293&gt;0.15),"Imbalance","Pass")))</f>
        <v/>
      </c>
    </row>
    <row r="294">
      <c r="A294">
        <f>IF('Equipment Information'!A294="","", 'Equipment Information'!A294)</f>
        <v/>
      </c>
      <c r="B294">
        <f>IF('Equipment Information'!B294="","", 'Equipment Information'!B294)</f>
        <v/>
      </c>
      <c r="C294">
        <f>IF('Equipment Information'!C294="","", 'Equipment Information'!C294)</f>
        <v/>
      </c>
      <c r="I294">
        <f>IF(COUNT(F294:H294)&lt;2,"",AVERAGE(F294:H294))</f>
        <v/>
      </c>
      <c r="J294" s="3">
        <f>IF(I294="","",MAX(ABS(F294-I294),ABS(G294-I294),ABS(H294-I294))/I294)</f>
        <v/>
      </c>
      <c r="N294">
        <f>IF(COUNT(K294:M294)&lt;2,"",AVERAGE(K294:M294))</f>
        <v/>
      </c>
      <c r="R294" s="3">
        <f>IF(N294="","",MAX(ABS(K294-N294),ABS(L294-N294),ABS(M294-N294))/N294)</f>
        <v/>
      </c>
      <c r="S294">
        <f>IF(A294="","",IF(AND(F294="",K294=""),"N/A",IF(AND(J294="",R294=""),"Insufficient Load Data",IF(AND(J294&gt;0.03,R294&gt;0.15),"Voltage &amp; Current Imbalance",IF(J294&gt;0.03,"Voltage Imbalance",IF(R294&gt;0.15,"Current Imbalance","No Imbalances Detected")))))</f>
        <v/>
      </c>
      <c r="T294">
        <f>IF(A294="","",IF(AND(F294="",K294=""),"N/A",IF(OR(J294&gt;0.03,R294&gt;0.15),"Imbalance","Pass")))</f>
        <v/>
      </c>
    </row>
    <row r="295">
      <c r="A295">
        <f>IF('Equipment Information'!A295="","", 'Equipment Information'!A295)</f>
        <v/>
      </c>
      <c r="B295">
        <f>IF('Equipment Information'!B295="","", 'Equipment Information'!B295)</f>
        <v/>
      </c>
      <c r="C295">
        <f>IF('Equipment Information'!C295="","", 'Equipment Information'!C295)</f>
        <v/>
      </c>
      <c r="I295">
        <f>IF(COUNT(F295:H295)&lt;2,"",AVERAGE(F295:H295))</f>
        <v/>
      </c>
      <c r="J295" s="3">
        <f>IF(I295="","",MAX(ABS(F295-I295),ABS(G295-I295),ABS(H295-I295))/I295)</f>
        <v/>
      </c>
      <c r="N295">
        <f>IF(COUNT(K295:M295)&lt;2,"",AVERAGE(K295:M295))</f>
        <v/>
      </c>
      <c r="R295" s="3">
        <f>IF(N295="","",MAX(ABS(K295-N295),ABS(L295-N295),ABS(M295-N295))/N295)</f>
        <v/>
      </c>
      <c r="S295">
        <f>IF(A295="","",IF(AND(F295="",K295=""),"N/A",IF(AND(J295="",R295=""),"Insufficient Load Data",IF(AND(J295&gt;0.03,R295&gt;0.15),"Voltage &amp; Current Imbalance",IF(J295&gt;0.03,"Voltage Imbalance",IF(R295&gt;0.15,"Current Imbalance","No Imbalances Detected")))))</f>
        <v/>
      </c>
      <c r="T295">
        <f>IF(A295="","",IF(AND(F295="",K295=""),"N/A",IF(OR(J295&gt;0.03,R295&gt;0.15),"Imbalance","Pass")))</f>
        <v/>
      </c>
    </row>
    <row r="296">
      <c r="A296">
        <f>IF('Equipment Information'!A296="","", 'Equipment Information'!A296)</f>
        <v/>
      </c>
      <c r="B296">
        <f>IF('Equipment Information'!B296="","", 'Equipment Information'!B296)</f>
        <v/>
      </c>
      <c r="C296">
        <f>IF('Equipment Information'!C296="","", 'Equipment Information'!C296)</f>
        <v/>
      </c>
      <c r="I296">
        <f>IF(COUNT(F296:H296)&lt;2,"",AVERAGE(F296:H296))</f>
        <v/>
      </c>
      <c r="J296" s="3">
        <f>IF(I296="","",MAX(ABS(F296-I296),ABS(G296-I296),ABS(H296-I296))/I296)</f>
        <v/>
      </c>
      <c r="N296">
        <f>IF(COUNT(K296:M296)&lt;2,"",AVERAGE(K296:M296))</f>
        <v/>
      </c>
      <c r="R296" s="3">
        <f>IF(N296="","",MAX(ABS(K296-N296),ABS(L296-N296),ABS(M296-N296))/N296)</f>
        <v/>
      </c>
      <c r="S296">
        <f>IF(A296="","",IF(AND(F296="",K296=""),"N/A",IF(AND(J296="",R296=""),"Insufficient Load Data",IF(AND(J296&gt;0.03,R296&gt;0.15),"Voltage &amp; Current Imbalance",IF(J296&gt;0.03,"Voltage Imbalance",IF(R296&gt;0.15,"Current Imbalance","No Imbalances Detected")))))</f>
        <v/>
      </c>
      <c r="T296">
        <f>IF(A296="","",IF(AND(F296="",K296=""),"N/A",IF(OR(J296&gt;0.03,R296&gt;0.15),"Imbalance","Pass")))</f>
        <v/>
      </c>
    </row>
    <row r="297">
      <c r="A297">
        <f>IF('Equipment Information'!A297="","", 'Equipment Information'!A297)</f>
        <v/>
      </c>
      <c r="B297">
        <f>IF('Equipment Information'!B297="","", 'Equipment Information'!B297)</f>
        <v/>
      </c>
      <c r="C297">
        <f>IF('Equipment Information'!C297="","", 'Equipment Information'!C297)</f>
        <v/>
      </c>
      <c r="I297">
        <f>IF(COUNT(F297:H297)&lt;2,"",AVERAGE(F297:H297))</f>
        <v/>
      </c>
      <c r="J297" s="3">
        <f>IF(I297="","",MAX(ABS(F297-I297),ABS(G297-I297),ABS(H297-I297))/I297)</f>
        <v/>
      </c>
      <c r="N297">
        <f>IF(COUNT(K297:M297)&lt;2,"",AVERAGE(K297:M297))</f>
        <v/>
      </c>
      <c r="R297" s="3">
        <f>IF(N297="","",MAX(ABS(K297-N297),ABS(L297-N297),ABS(M297-N297))/N297)</f>
        <v/>
      </c>
      <c r="S297">
        <f>IF(A297="","",IF(AND(F297="",K297=""),"N/A",IF(AND(J297="",R297=""),"Insufficient Load Data",IF(AND(J297&gt;0.03,R297&gt;0.15),"Voltage &amp; Current Imbalance",IF(J297&gt;0.03,"Voltage Imbalance",IF(R297&gt;0.15,"Current Imbalance","No Imbalances Detected")))))</f>
        <v/>
      </c>
      <c r="T297">
        <f>IF(A297="","",IF(AND(F297="",K297=""),"N/A",IF(OR(J297&gt;0.03,R297&gt;0.15),"Imbalance","Pass")))</f>
        <v/>
      </c>
    </row>
    <row r="298">
      <c r="A298">
        <f>IF('Equipment Information'!A298="","", 'Equipment Information'!A298)</f>
        <v/>
      </c>
      <c r="B298">
        <f>IF('Equipment Information'!B298="","", 'Equipment Information'!B298)</f>
        <v/>
      </c>
      <c r="C298">
        <f>IF('Equipment Information'!C298="","", 'Equipment Information'!C298)</f>
        <v/>
      </c>
      <c r="I298">
        <f>IF(COUNT(F298:H298)&lt;2,"",AVERAGE(F298:H298))</f>
        <v/>
      </c>
      <c r="J298" s="3">
        <f>IF(I298="","",MAX(ABS(F298-I298),ABS(G298-I298),ABS(H298-I298))/I298)</f>
        <v/>
      </c>
      <c r="N298">
        <f>IF(COUNT(K298:M298)&lt;2,"",AVERAGE(K298:M298))</f>
        <v/>
      </c>
      <c r="R298" s="3">
        <f>IF(N298="","",MAX(ABS(K298-N298),ABS(L298-N298),ABS(M298-N298))/N298)</f>
        <v/>
      </c>
      <c r="S298">
        <f>IF(A298="","",IF(AND(F298="",K298=""),"N/A",IF(AND(J298="",R298=""),"Insufficient Load Data",IF(AND(J298&gt;0.03,R298&gt;0.15),"Voltage &amp; Current Imbalance",IF(J298&gt;0.03,"Voltage Imbalance",IF(R298&gt;0.15,"Current Imbalance","No Imbalances Detected")))))</f>
        <v/>
      </c>
      <c r="T298">
        <f>IF(A298="","",IF(AND(F298="",K298=""),"N/A",IF(OR(J298&gt;0.03,R298&gt;0.15),"Imbalance","Pass")))</f>
        <v/>
      </c>
    </row>
    <row r="299">
      <c r="A299">
        <f>IF('Equipment Information'!A299="","", 'Equipment Information'!A299)</f>
        <v/>
      </c>
      <c r="B299">
        <f>IF('Equipment Information'!B299="","", 'Equipment Information'!B299)</f>
        <v/>
      </c>
      <c r="C299">
        <f>IF('Equipment Information'!C299="","", 'Equipment Information'!C299)</f>
        <v/>
      </c>
      <c r="I299">
        <f>IF(COUNT(F299:H299)&lt;2,"",AVERAGE(F299:H299))</f>
        <v/>
      </c>
      <c r="J299" s="3">
        <f>IF(I299="","",MAX(ABS(F299-I299),ABS(G299-I299),ABS(H299-I299))/I299)</f>
        <v/>
      </c>
      <c r="N299">
        <f>IF(COUNT(K299:M299)&lt;2,"",AVERAGE(K299:M299))</f>
        <v/>
      </c>
      <c r="R299" s="3">
        <f>IF(N299="","",MAX(ABS(K299-N299),ABS(L299-N299),ABS(M299-N299))/N299)</f>
        <v/>
      </c>
      <c r="S299">
        <f>IF(A299="","",IF(AND(F299="",K299=""),"N/A",IF(AND(J299="",R299=""),"Insufficient Load Data",IF(AND(J299&gt;0.03,R299&gt;0.15),"Voltage &amp; Current Imbalance",IF(J299&gt;0.03,"Voltage Imbalance",IF(R299&gt;0.15,"Current Imbalance","No Imbalances Detected")))))</f>
        <v/>
      </c>
      <c r="T299">
        <f>IF(A299="","",IF(AND(F299="",K299=""),"N/A",IF(OR(J299&gt;0.03,R299&gt;0.15),"Imbalance","Pass")))</f>
        <v/>
      </c>
    </row>
    <row r="300">
      <c r="A300">
        <f>IF('Equipment Information'!A300="","", 'Equipment Information'!A300)</f>
        <v/>
      </c>
      <c r="B300">
        <f>IF('Equipment Information'!B300="","", 'Equipment Information'!B300)</f>
        <v/>
      </c>
      <c r="C300">
        <f>IF('Equipment Information'!C300="","", 'Equipment Information'!C300)</f>
        <v/>
      </c>
      <c r="I300">
        <f>IF(COUNT(F300:H300)&lt;2,"",AVERAGE(F300:H300))</f>
        <v/>
      </c>
      <c r="J300" s="3">
        <f>IF(I300="","",MAX(ABS(F300-I300),ABS(G300-I300),ABS(H300-I300))/I300)</f>
        <v/>
      </c>
      <c r="N300">
        <f>IF(COUNT(K300:M300)&lt;2,"",AVERAGE(K300:M300))</f>
        <v/>
      </c>
      <c r="R300" s="3">
        <f>IF(N300="","",MAX(ABS(K300-N300),ABS(L300-N300),ABS(M300-N300))/N300)</f>
        <v/>
      </c>
      <c r="S300">
        <f>IF(A300="","",IF(AND(F300="",K300=""),"N/A",IF(AND(J300="",R300=""),"Insufficient Load Data",IF(AND(J300&gt;0.03,R300&gt;0.15),"Voltage &amp; Current Imbalance",IF(J300&gt;0.03,"Voltage Imbalance",IF(R300&gt;0.15,"Current Imbalance","No Imbalances Detected")))))</f>
        <v/>
      </c>
      <c r="T300">
        <f>IF(A300="","",IF(AND(F300="",K300=""),"N/A",IF(OR(J300&gt;0.03,R300&gt;0.15),"Imbalance","Pass")))</f>
        <v/>
      </c>
    </row>
    <row r="301">
      <c r="A301">
        <f>IF('Equipment Information'!A301="","", 'Equipment Information'!A301)</f>
        <v/>
      </c>
      <c r="B301">
        <f>IF('Equipment Information'!B301="","", 'Equipment Information'!B301)</f>
        <v/>
      </c>
      <c r="C301">
        <f>IF('Equipment Information'!C301="","", 'Equipment Information'!C301)</f>
        <v/>
      </c>
      <c r="I301">
        <f>IF(COUNT(F301:H301)&lt;2,"",AVERAGE(F301:H301))</f>
        <v/>
      </c>
      <c r="J301" s="3">
        <f>IF(I301="","",MAX(ABS(F301-I301),ABS(G301-I301),ABS(H301-I301))/I301)</f>
        <v/>
      </c>
      <c r="N301">
        <f>IF(COUNT(K301:M301)&lt;2,"",AVERAGE(K301:M301))</f>
        <v/>
      </c>
      <c r="R301" s="3">
        <f>IF(N301="","",MAX(ABS(K301-N301),ABS(L301-N301),ABS(M301-N301))/N301)</f>
        <v/>
      </c>
      <c r="S301">
        <f>IF(A301="","",IF(AND(F301="",K301=""),"N/A",IF(AND(J301="",R301=""),"Insufficient Load Data",IF(AND(J301&gt;0.03,R301&gt;0.15),"Voltage &amp; Current Imbalance",IF(J301&gt;0.03,"Voltage Imbalance",IF(R301&gt;0.15,"Current Imbalance","No Imbalances Detected")))))</f>
        <v/>
      </c>
      <c r="T301">
        <f>IF(A301="","",IF(AND(F301="",K301=""),"N/A",IF(OR(J301&gt;0.03,R301&gt;0.15),"Imbalance","Pass")))</f>
        <v/>
      </c>
    </row>
    <row r="302">
      <c r="A302">
        <f>IF('Equipment Information'!A302="","", 'Equipment Information'!A302)</f>
        <v/>
      </c>
      <c r="B302">
        <f>IF('Equipment Information'!B302="","", 'Equipment Information'!B302)</f>
        <v/>
      </c>
      <c r="C302">
        <f>IF('Equipment Information'!C302="","", 'Equipment Information'!C302)</f>
        <v/>
      </c>
      <c r="I302">
        <f>IF(COUNT(F302:H302)&lt;2,"",AVERAGE(F302:H302))</f>
        <v/>
      </c>
      <c r="J302" s="3">
        <f>IF(I302="","",MAX(ABS(F302-I302),ABS(G302-I302),ABS(H302-I302))/I302)</f>
        <v/>
      </c>
      <c r="N302">
        <f>IF(COUNT(K302:M302)&lt;2,"",AVERAGE(K302:M302))</f>
        <v/>
      </c>
      <c r="R302" s="3">
        <f>IF(N302="","",MAX(ABS(K302-N302),ABS(L302-N302),ABS(M302-N302))/N302)</f>
        <v/>
      </c>
      <c r="S302">
        <f>IF(A302="","",IF(AND(F302="",K302=""),"N/A",IF(AND(J302="",R302=""),"Insufficient Load Data",IF(AND(J302&gt;0.03,R302&gt;0.15),"Voltage &amp; Current Imbalance",IF(J302&gt;0.03,"Voltage Imbalance",IF(R302&gt;0.15,"Current Imbalance","No Imbalances Detected")))))</f>
        <v/>
      </c>
      <c r="T302">
        <f>IF(A302="","",IF(AND(F302="",K302=""),"N/A",IF(OR(J302&gt;0.03,R302&gt;0.15),"Imbalance","Pass")))</f>
        <v/>
      </c>
    </row>
    <row r="303">
      <c r="A303">
        <f>IF('Equipment Information'!A303="","", 'Equipment Information'!A303)</f>
        <v/>
      </c>
      <c r="B303">
        <f>IF('Equipment Information'!B303="","", 'Equipment Information'!B303)</f>
        <v/>
      </c>
      <c r="C303">
        <f>IF('Equipment Information'!C303="","", 'Equipment Information'!C303)</f>
        <v/>
      </c>
      <c r="I303">
        <f>IF(COUNT(F303:H303)&lt;2,"",AVERAGE(F303:H303))</f>
        <v/>
      </c>
      <c r="J303" s="3">
        <f>IF(I303="","",MAX(ABS(F303-I303),ABS(G303-I303),ABS(H303-I303))/I303)</f>
        <v/>
      </c>
      <c r="N303">
        <f>IF(COUNT(K303:M303)&lt;2,"",AVERAGE(K303:M303))</f>
        <v/>
      </c>
      <c r="R303" s="3">
        <f>IF(N303="","",MAX(ABS(K303-N303),ABS(L303-N303),ABS(M303-N303))/N303)</f>
        <v/>
      </c>
      <c r="S303">
        <f>IF(A303="","",IF(AND(F303="",K303=""),"N/A",IF(AND(J303="",R303=""),"Insufficient Load Data",IF(AND(J303&gt;0.03,R303&gt;0.15),"Voltage &amp; Current Imbalance",IF(J303&gt;0.03,"Voltage Imbalance",IF(R303&gt;0.15,"Current Imbalance","No Imbalances Detected")))))</f>
        <v/>
      </c>
      <c r="T303">
        <f>IF(A303="","",IF(AND(F303="",K303=""),"N/A",IF(OR(J303&gt;0.03,R303&gt;0.15),"Imbalance","Pass")))</f>
        <v/>
      </c>
    </row>
    <row r="304">
      <c r="A304">
        <f>IF('Equipment Information'!A304="","", 'Equipment Information'!A304)</f>
        <v/>
      </c>
      <c r="B304">
        <f>IF('Equipment Information'!B304="","", 'Equipment Information'!B304)</f>
        <v/>
      </c>
      <c r="C304">
        <f>IF('Equipment Information'!C304="","", 'Equipment Information'!C304)</f>
        <v/>
      </c>
      <c r="I304">
        <f>IF(COUNT(F304:H304)&lt;2,"",AVERAGE(F304:H304))</f>
        <v/>
      </c>
      <c r="J304" s="3">
        <f>IF(I304="","",MAX(ABS(F304-I304),ABS(G304-I304),ABS(H304-I304))/I304)</f>
        <v/>
      </c>
      <c r="N304">
        <f>IF(COUNT(K304:M304)&lt;2,"",AVERAGE(K304:M304))</f>
        <v/>
      </c>
      <c r="R304" s="3">
        <f>IF(N304="","",MAX(ABS(K304-N304),ABS(L304-N304),ABS(M304-N304))/N304)</f>
        <v/>
      </c>
      <c r="S304">
        <f>IF(A304="","",IF(AND(F304="",K304=""),"N/A",IF(AND(J304="",R304=""),"Insufficient Load Data",IF(AND(J304&gt;0.03,R304&gt;0.15),"Voltage &amp; Current Imbalance",IF(J304&gt;0.03,"Voltage Imbalance",IF(R304&gt;0.15,"Current Imbalance","No Imbalances Detected")))))</f>
        <v/>
      </c>
      <c r="T304">
        <f>IF(A304="","",IF(AND(F304="",K304=""),"N/A",IF(OR(J304&gt;0.03,R304&gt;0.15),"Imbalance","Pass")))</f>
        <v/>
      </c>
    </row>
    <row r="305">
      <c r="A305">
        <f>IF('Equipment Information'!A305="","", 'Equipment Information'!A305)</f>
        <v/>
      </c>
      <c r="B305">
        <f>IF('Equipment Information'!B305="","", 'Equipment Information'!B305)</f>
        <v/>
      </c>
      <c r="C305">
        <f>IF('Equipment Information'!C305="","", 'Equipment Information'!C305)</f>
        <v/>
      </c>
      <c r="I305">
        <f>IF(COUNT(F305:H305)&lt;2,"",AVERAGE(F305:H305))</f>
        <v/>
      </c>
      <c r="J305" s="3">
        <f>IF(I305="","",MAX(ABS(F305-I305),ABS(G305-I305),ABS(H305-I305))/I305)</f>
        <v/>
      </c>
      <c r="N305">
        <f>IF(COUNT(K305:M305)&lt;2,"",AVERAGE(K305:M305))</f>
        <v/>
      </c>
      <c r="R305" s="3">
        <f>IF(N305="","",MAX(ABS(K305-N305),ABS(L305-N305),ABS(M305-N305))/N305)</f>
        <v/>
      </c>
      <c r="S305">
        <f>IF(A305="","",IF(AND(F305="",K305=""),"N/A",IF(AND(J305="",R305=""),"Insufficient Load Data",IF(AND(J305&gt;0.03,R305&gt;0.15),"Voltage &amp; Current Imbalance",IF(J305&gt;0.03,"Voltage Imbalance",IF(R305&gt;0.15,"Current Imbalance","No Imbalances Detected")))))</f>
        <v/>
      </c>
      <c r="T305">
        <f>IF(A305="","",IF(AND(F305="",K305=""),"N/A",IF(OR(J305&gt;0.03,R305&gt;0.15),"Imbalance","Pass")))</f>
        <v/>
      </c>
    </row>
    <row r="306">
      <c r="A306">
        <f>IF('Equipment Information'!A306="","", 'Equipment Information'!A306)</f>
        <v/>
      </c>
      <c r="B306">
        <f>IF('Equipment Information'!B306="","", 'Equipment Information'!B306)</f>
        <v/>
      </c>
      <c r="C306">
        <f>IF('Equipment Information'!C306="","", 'Equipment Information'!C306)</f>
        <v/>
      </c>
      <c r="I306">
        <f>IF(COUNT(F306:H306)&lt;2,"",AVERAGE(F306:H306))</f>
        <v/>
      </c>
      <c r="J306" s="3">
        <f>IF(I306="","",MAX(ABS(F306-I306),ABS(G306-I306),ABS(H306-I306))/I306)</f>
        <v/>
      </c>
      <c r="N306">
        <f>IF(COUNT(K306:M306)&lt;2,"",AVERAGE(K306:M306))</f>
        <v/>
      </c>
      <c r="R306" s="3">
        <f>IF(N306="","",MAX(ABS(K306-N306),ABS(L306-N306),ABS(M306-N306))/N306)</f>
        <v/>
      </c>
      <c r="S306">
        <f>IF(A306="","",IF(AND(F306="",K306=""),"N/A",IF(AND(J306="",R306=""),"Insufficient Load Data",IF(AND(J306&gt;0.03,R306&gt;0.15),"Voltage &amp; Current Imbalance",IF(J306&gt;0.03,"Voltage Imbalance",IF(R306&gt;0.15,"Current Imbalance","No Imbalances Detected")))))</f>
        <v/>
      </c>
      <c r="T306">
        <f>IF(A306="","",IF(AND(F306="",K306=""),"N/A",IF(OR(J306&gt;0.03,R306&gt;0.15),"Imbalance","Pass")))</f>
        <v/>
      </c>
    </row>
    <row r="307">
      <c r="A307">
        <f>IF('Equipment Information'!A307="","", 'Equipment Information'!A307)</f>
        <v/>
      </c>
      <c r="B307">
        <f>IF('Equipment Information'!B307="","", 'Equipment Information'!B307)</f>
        <v/>
      </c>
      <c r="C307">
        <f>IF('Equipment Information'!C307="","", 'Equipment Information'!C307)</f>
        <v/>
      </c>
      <c r="I307">
        <f>IF(COUNT(F307:H307)&lt;2,"",AVERAGE(F307:H307))</f>
        <v/>
      </c>
      <c r="J307" s="3">
        <f>IF(I307="","",MAX(ABS(F307-I307),ABS(G307-I307),ABS(H307-I307))/I307)</f>
        <v/>
      </c>
      <c r="N307">
        <f>IF(COUNT(K307:M307)&lt;2,"",AVERAGE(K307:M307))</f>
        <v/>
      </c>
      <c r="R307" s="3">
        <f>IF(N307="","",MAX(ABS(K307-N307),ABS(L307-N307),ABS(M307-N307))/N307)</f>
        <v/>
      </c>
      <c r="S307">
        <f>IF(A307="","",IF(AND(F307="",K307=""),"N/A",IF(AND(J307="",R307=""),"Insufficient Load Data",IF(AND(J307&gt;0.03,R307&gt;0.15),"Voltage &amp; Current Imbalance",IF(J307&gt;0.03,"Voltage Imbalance",IF(R307&gt;0.15,"Current Imbalance","No Imbalances Detected")))))</f>
        <v/>
      </c>
      <c r="T307">
        <f>IF(A307="","",IF(AND(F307="",K307=""),"N/A",IF(OR(J307&gt;0.03,R307&gt;0.15),"Imbalance","Pass")))</f>
        <v/>
      </c>
    </row>
    <row r="308">
      <c r="A308">
        <f>IF('Equipment Information'!A308="","", 'Equipment Information'!A308)</f>
        <v/>
      </c>
      <c r="B308">
        <f>IF('Equipment Information'!B308="","", 'Equipment Information'!B308)</f>
        <v/>
      </c>
      <c r="C308">
        <f>IF('Equipment Information'!C308="","", 'Equipment Information'!C308)</f>
        <v/>
      </c>
      <c r="I308">
        <f>IF(COUNT(F308:H308)&lt;2,"",AVERAGE(F308:H308))</f>
        <v/>
      </c>
      <c r="J308" s="3">
        <f>IF(I308="","",MAX(ABS(F308-I308),ABS(G308-I308),ABS(H308-I308))/I308)</f>
        <v/>
      </c>
      <c r="N308">
        <f>IF(COUNT(K308:M308)&lt;2,"",AVERAGE(K308:M308))</f>
        <v/>
      </c>
      <c r="R308" s="3">
        <f>IF(N308="","",MAX(ABS(K308-N308),ABS(L308-N308),ABS(M308-N308))/N308)</f>
        <v/>
      </c>
      <c r="S308">
        <f>IF(A308="","",IF(AND(F308="",K308=""),"N/A",IF(AND(J308="",R308=""),"Insufficient Load Data",IF(AND(J308&gt;0.03,R308&gt;0.15),"Voltage &amp; Current Imbalance",IF(J308&gt;0.03,"Voltage Imbalance",IF(R308&gt;0.15,"Current Imbalance","No Imbalances Detected")))))</f>
        <v/>
      </c>
      <c r="T308">
        <f>IF(A308="","",IF(AND(F308="",K308=""),"N/A",IF(OR(J308&gt;0.03,R308&gt;0.15),"Imbalance","Pass")))</f>
        <v/>
      </c>
    </row>
    <row r="309">
      <c r="A309">
        <f>IF('Equipment Information'!A309="","", 'Equipment Information'!A309)</f>
        <v/>
      </c>
      <c r="B309">
        <f>IF('Equipment Information'!B309="","", 'Equipment Information'!B309)</f>
        <v/>
      </c>
      <c r="C309">
        <f>IF('Equipment Information'!C309="","", 'Equipment Information'!C309)</f>
        <v/>
      </c>
      <c r="I309">
        <f>IF(COUNT(F309:H309)&lt;2,"",AVERAGE(F309:H309))</f>
        <v/>
      </c>
      <c r="J309" s="3">
        <f>IF(I309="","",MAX(ABS(F309-I309),ABS(G309-I309),ABS(H309-I309))/I309)</f>
        <v/>
      </c>
      <c r="N309">
        <f>IF(COUNT(K309:M309)&lt;2,"",AVERAGE(K309:M309))</f>
        <v/>
      </c>
      <c r="R309" s="3">
        <f>IF(N309="","",MAX(ABS(K309-N309),ABS(L309-N309),ABS(M309-N309))/N309)</f>
        <v/>
      </c>
      <c r="S309">
        <f>IF(A309="","",IF(AND(F309="",K309=""),"N/A",IF(AND(J309="",R309=""),"Insufficient Load Data",IF(AND(J309&gt;0.03,R309&gt;0.15),"Voltage &amp; Current Imbalance",IF(J309&gt;0.03,"Voltage Imbalance",IF(R309&gt;0.15,"Current Imbalance","No Imbalances Detected")))))</f>
        <v/>
      </c>
      <c r="T309">
        <f>IF(A309="","",IF(AND(F309="",K309=""),"N/A",IF(OR(J309&gt;0.03,R309&gt;0.15),"Imbalance","Pass")))</f>
        <v/>
      </c>
    </row>
    <row r="310">
      <c r="A310">
        <f>IF('Equipment Information'!A310="","", 'Equipment Information'!A310)</f>
        <v/>
      </c>
      <c r="B310">
        <f>IF('Equipment Information'!B310="","", 'Equipment Information'!B310)</f>
        <v/>
      </c>
      <c r="C310">
        <f>IF('Equipment Information'!C310="","", 'Equipment Information'!C310)</f>
        <v/>
      </c>
      <c r="I310">
        <f>IF(COUNT(F310:H310)&lt;2,"",AVERAGE(F310:H310))</f>
        <v/>
      </c>
      <c r="J310" s="3">
        <f>IF(I310="","",MAX(ABS(F310-I310),ABS(G310-I310),ABS(H310-I310))/I310)</f>
        <v/>
      </c>
      <c r="N310">
        <f>IF(COUNT(K310:M310)&lt;2,"",AVERAGE(K310:M310))</f>
        <v/>
      </c>
      <c r="R310" s="3">
        <f>IF(N310="","",MAX(ABS(K310-N310),ABS(L310-N310),ABS(M310-N310))/N310)</f>
        <v/>
      </c>
      <c r="S310">
        <f>IF(A310="","",IF(AND(F310="",K310=""),"N/A",IF(AND(J310="",R310=""),"Insufficient Load Data",IF(AND(J310&gt;0.03,R310&gt;0.15),"Voltage &amp; Current Imbalance",IF(J310&gt;0.03,"Voltage Imbalance",IF(R310&gt;0.15,"Current Imbalance","No Imbalances Detected")))))</f>
        <v/>
      </c>
      <c r="T310">
        <f>IF(A310="","",IF(AND(F310="",K310=""),"N/A",IF(OR(J310&gt;0.03,R310&gt;0.15),"Imbalance","Pass")))</f>
        <v/>
      </c>
    </row>
    <row r="311">
      <c r="A311">
        <f>IF('Equipment Information'!A311="","", 'Equipment Information'!A311)</f>
        <v/>
      </c>
      <c r="B311">
        <f>IF('Equipment Information'!B311="","", 'Equipment Information'!B311)</f>
        <v/>
      </c>
      <c r="C311">
        <f>IF('Equipment Information'!C311="","", 'Equipment Information'!C311)</f>
        <v/>
      </c>
      <c r="I311">
        <f>IF(COUNT(F311:H311)&lt;2,"",AVERAGE(F311:H311))</f>
        <v/>
      </c>
      <c r="J311" s="3">
        <f>IF(I311="","",MAX(ABS(F311-I311),ABS(G311-I311),ABS(H311-I311))/I311)</f>
        <v/>
      </c>
      <c r="N311">
        <f>IF(COUNT(K311:M311)&lt;2,"",AVERAGE(K311:M311))</f>
        <v/>
      </c>
      <c r="R311" s="3">
        <f>IF(N311="","",MAX(ABS(K311-N311),ABS(L311-N311),ABS(M311-N311))/N311)</f>
        <v/>
      </c>
      <c r="S311">
        <f>IF(A311="","",IF(AND(F311="",K311=""),"N/A",IF(AND(J311="",R311=""),"Insufficient Load Data",IF(AND(J311&gt;0.03,R311&gt;0.15),"Voltage &amp; Current Imbalance",IF(J311&gt;0.03,"Voltage Imbalance",IF(R311&gt;0.15,"Current Imbalance","No Imbalances Detected")))))</f>
        <v/>
      </c>
      <c r="T311">
        <f>IF(A311="","",IF(AND(F311="",K311=""),"N/A",IF(OR(J311&gt;0.03,R311&gt;0.15),"Imbalance","Pass")))</f>
        <v/>
      </c>
    </row>
    <row r="312">
      <c r="A312">
        <f>IF('Equipment Information'!A312="","", 'Equipment Information'!A312)</f>
        <v/>
      </c>
      <c r="B312">
        <f>IF('Equipment Information'!B312="","", 'Equipment Information'!B312)</f>
        <v/>
      </c>
      <c r="C312">
        <f>IF('Equipment Information'!C312="","", 'Equipment Information'!C312)</f>
        <v/>
      </c>
      <c r="I312">
        <f>IF(COUNT(F312:H312)&lt;2,"",AVERAGE(F312:H312))</f>
        <v/>
      </c>
      <c r="J312" s="3">
        <f>IF(I312="","",MAX(ABS(F312-I312),ABS(G312-I312),ABS(H312-I312))/I312)</f>
        <v/>
      </c>
      <c r="N312">
        <f>IF(COUNT(K312:M312)&lt;2,"",AVERAGE(K312:M312))</f>
        <v/>
      </c>
      <c r="R312" s="3">
        <f>IF(N312="","",MAX(ABS(K312-N312),ABS(L312-N312),ABS(M312-N312))/N312)</f>
        <v/>
      </c>
      <c r="S312">
        <f>IF(A312="","",IF(AND(F312="",K312=""),"N/A",IF(AND(J312="",R312=""),"Insufficient Load Data",IF(AND(J312&gt;0.03,R312&gt;0.15),"Voltage &amp; Current Imbalance",IF(J312&gt;0.03,"Voltage Imbalance",IF(R312&gt;0.15,"Current Imbalance","No Imbalances Detected")))))</f>
        <v/>
      </c>
      <c r="T312">
        <f>IF(A312="","",IF(AND(F312="",K312=""),"N/A",IF(OR(J312&gt;0.03,R312&gt;0.15),"Imbalance","Pass")))</f>
        <v/>
      </c>
    </row>
    <row r="313">
      <c r="A313">
        <f>IF('Equipment Information'!A313="","", 'Equipment Information'!A313)</f>
        <v/>
      </c>
      <c r="B313">
        <f>IF('Equipment Information'!B313="","", 'Equipment Information'!B313)</f>
        <v/>
      </c>
      <c r="C313">
        <f>IF('Equipment Information'!C313="","", 'Equipment Information'!C313)</f>
        <v/>
      </c>
      <c r="I313">
        <f>IF(COUNT(F313:H313)&lt;2,"",AVERAGE(F313:H313))</f>
        <v/>
      </c>
      <c r="J313" s="3">
        <f>IF(I313="","",MAX(ABS(F313-I313),ABS(G313-I313),ABS(H313-I313))/I313)</f>
        <v/>
      </c>
      <c r="N313">
        <f>IF(COUNT(K313:M313)&lt;2,"",AVERAGE(K313:M313))</f>
        <v/>
      </c>
      <c r="R313" s="3">
        <f>IF(N313="","",MAX(ABS(K313-N313),ABS(L313-N313),ABS(M313-N313))/N313)</f>
        <v/>
      </c>
      <c r="S313">
        <f>IF(A313="","",IF(AND(F313="",K313=""),"N/A",IF(AND(J313="",R313=""),"Insufficient Load Data",IF(AND(J313&gt;0.03,R313&gt;0.15),"Voltage &amp; Current Imbalance",IF(J313&gt;0.03,"Voltage Imbalance",IF(R313&gt;0.15,"Current Imbalance","No Imbalances Detected")))))</f>
        <v/>
      </c>
      <c r="T313">
        <f>IF(A313="","",IF(AND(F313="",K313=""),"N/A",IF(OR(J313&gt;0.03,R313&gt;0.15),"Imbalance","Pass")))</f>
        <v/>
      </c>
    </row>
    <row r="314">
      <c r="A314">
        <f>IF('Equipment Information'!A314="","", 'Equipment Information'!A314)</f>
        <v/>
      </c>
      <c r="B314">
        <f>IF('Equipment Information'!B314="","", 'Equipment Information'!B314)</f>
        <v/>
      </c>
      <c r="C314">
        <f>IF('Equipment Information'!C314="","", 'Equipment Information'!C314)</f>
        <v/>
      </c>
      <c r="I314">
        <f>IF(COUNT(F314:H314)&lt;2,"",AVERAGE(F314:H314))</f>
        <v/>
      </c>
      <c r="J314" s="3">
        <f>IF(I314="","",MAX(ABS(F314-I314),ABS(G314-I314),ABS(H314-I314))/I314)</f>
        <v/>
      </c>
      <c r="N314">
        <f>IF(COUNT(K314:M314)&lt;2,"",AVERAGE(K314:M314))</f>
        <v/>
      </c>
      <c r="R314" s="3">
        <f>IF(N314="","",MAX(ABS(K314-N314),ABS(L314-N314),ABS(M314-N314))/N314)</f>
        <v/>
      </c>
      <c r="S314">
        <f>IF(A314="","",IF(AND(F314="",K314=""),"N/A",IF(AND(J314="",R314=""),"Insufficient Load Data",IF(AND(J314&gt;0.03,R314&gt;0.15),"Voltage &amp; Current Imbalance",IF(J314&gt;0.03,"Voltage Imbalance",IF(R314&gt;0.15,"Current Imbalance","No Imbalances Detected")))))</f>
        <v/>
      </c>
      <c r="T314">
        <f>IF(A314="","",IF(AND(F314="",K314=""),"N/A",IF(OR(J314&gt;0.03,R314&gt;0.15),"Imbalance","Pass")))</f>
        <v/>
      </c>
    </row>
    <row r="315">
      <c r="A315">
        <f>IF('Equipment Information'!A315="","", 'Equipment Information'!A315)</f>
        <v/>
      </c>
      <c r="B315">
        <f>IF('Equipment Information'!B315="","", 'Equipment Information'!B315)</f>
        <v/>
      </c>
      <c r="C315">
        <f>IF('Equipment Information'!C315="","", 'Equipment Information'!C315)</f>
        <v/>
      </c>
      <c r="I315">
        <f>IF(COUNT(F315:H315)&lt;2,"",AVERAGE(F315:H315))</f>
        <v/>
      </c>
      <c r="J315" s="3">
        <f>IF(I315="","",MAX(ABS(F315-I315),ABS(G315-I315),ABS(H315-I315))/I315)</f>
        <v/>
      </c>
      <c r="N315">
        <f>IF(COUNT(K315:M315)&lt;2,"",AVERAGE(K315:M315))</f>
        <v/>
      </c>
      <c r="R315" s="3">
        <f>IF(N315="","",MAX(ABS(K315-N315),ABS(L315-N315),ABS(M315-N315))/N315)</f>
        <v/>
      </c>
      <c r="S315">
        <f>IF(A315="","",IF(AND(F315="",K315=""),"N/A",IF(AND(J315="",R315=""),"Insufficient Load Data",IF(AND(J315&gt;0.03,R315&gt;0.15),"Voltage &amp; Current Imbalance",IF(J315&gt;0.03,"Voltage Imbalance",IF(R315&gt;0.15,"Current Imbalance","No Imbalances Detected")))))</f>
        <v/>
      </c>
      <c r="T315">
        <f>IF(A315="","",IF(AND(F315="",K315=""),"N/A",IF(OR(J315&gt;0.03,R315&gt;0.15),"Imbalance","Pass")))</f>
        <v/>
      </c>
    </row>
    <row r="316">
      <c r="A316">
        <f>IF('Equipment Information'!A316="","", 'Equipment Information'!A316)</f>
        <v/>
      </c>
      <c r="B316">
        <f>IF('Equipment Information'!B316="","", 'Equipment Information'!B316)</f>
        <v/>
      </c>
      <c r="C316">
        <f>IF('Equipment Information'!C316="","", 'Equipment Information'!C316)</f>
        <v/>
      </c>
      <c r="I316">
        <f>IF(COUNT(F316:H316)&lt;2,"",AVERAGE(F316:H316))</f>
        <v/>
      </c>
      <c r="J316" s="3">
        <f>IF(I316="","",MAX(ABS(F316-I316),ABS(G316-I316),ABS(H316-I316))/I316)</f>
        <v/>
      </c>
      <c r="N316">
        <f>IF(COUNT(K316:M316)&lt;2,"",AVERAGE(K316:M316))</f>
        <v/>
      </c>
      <c r="R316" s="3">
        <f>IF(N316="","",MAX(ABS(K316-N316),ABS(L316-N316),ABS(M316-N316))/N316)</f>
        <v/>
      </c>
      <c r="S316">
        <f>IF(A316="","",IF(AND(F316="",K316=""),"N/A",IF(AND(J316="",R316=""),"Insufficient Load Data",IF(AND(J316&gt;0.03,R316&gt;0.15),"Voltage &amp; Current Imbalance",IF(J316&gt;0.03,"Voltage Imbalance",IF(R316&gt;0.15,"Current Imbalance","No Imbalances Detected")))))</f>
        <v/>
      </c>
      <c r="T316">
        <f>IF(A316="","",IF(AND(F316="",K316=""),"N/A",IF(OR(J316&gt;0.03,R316&gt;0.15),"Imbalance","Pass")))</f>
        <v/>
      </c>
    </row>
    <row r="317">
      <c r="A317">
        <f>IF('Equipment Information'!A317="","", 'Equipment Information'!A317)</f>
        <v/>
      </c>
      <c r="B317">
        <f>IF('Equipment Information'!B317="","", 'Equipment Information'!B317)</f>
        <v/>
      </c>
      <c r="C317">
        <f>IF('Equipment Information'!C317="","", 'Equipment Information'!C317)</f>
        <v/>
      </c>
      <c r="I317">
        <f>IF(COUNT(F317:H317)&lt;2,"",AVERAGE(F317:H317))</f>
        <v/>
      </c>
      <c r="J317" s="3">
        <f>IF(I317="","",MAX(ABS(F317-I317),ABS(G317-I317),ABS(H317-I317))/I317)</f>
        <v/>
      </c>
      <c r="N317">
        <f>IF(COUNT(K317:M317)&lt;2,"",AVERAGE(K317:M317))</f>
        <v/>
      </c>
      <c r="R317" s="3">
        <f>IF(N317="","",MAX(ABS(K317-N317),ABS(L317-N317),ABS(M317-N317))/N317)</f>
        <v/>
      </c>
      <c r="S317">
        <f>IF(A317="","",IF(AND(F317="",K317=""),"N/A",IF(AND(J317="",R317=""),"Insufficient Load Data",IF(AND(J317&gt;0.03,R317&gt;0.15),"Voltage &amp; Current Imbalance",IF(J317&gt;0.03,"Voltage Imbalance",IF(R317&gt;0.15,"Current Imbalance","No Imbalances Detected")))))</f>
        <v/>
      </c>
      <c r="T317">
        <f>IF(A317="","",IF(AND(F317="",K317=""),"N/A",IF(OR(J317&gt;0.03,R317&gt;0.15),"Imbalance","Pass")))</f>
        <v/>
      </c>
    </row>
    <row r="318">
      <c r="A318">
        <f>IF('Equipment Information'!A318="","", 'Equipment Information'!A318)</f>
        <v/>
      </c>
      <c r="B318">
        <f>IF('Equipment Information'!B318="","", 'Equipment Information'!B318)</f>
        <v/>
      </c>
      <c r="C318">
        <f>IF('Equipment Information'!C318="","", 'Equipment Information'!C318)</f>
        <v/>
      </c>
      <c r="I318">
        <f>IF(COUNT(F318:H318)&lt;2,"",AVERAGE(F318:H318))</f>
        <v/>
      </c>
      <c r="J318" s="3">
        <f>IF(I318="","",MAX(ABS(F318-I318),ABS(G318-I318),ABS(H318-I318))/I318)</f>
        <v/>
      </c>
      <c r="N318">
        <f>IF(COUNT(K318:M318)&lt;2,"",AVERAGE(K318:M318))</f>
        <v/>
      </c>
      <c r="R318" s="3">
        <f>IF(N318="","",MAX(ABS(K318-N318),ABS(L318-N318),ABS(M318-N318))/N318)</f>
        <v/>
      </c>
      <c r="S318">
        <f>IF(A318="","",IF(AND(F318="",K318=""),"N/A",IF(AND(J318="",R318=""),"Insufficient Load Data",IF(AND(J318&gt;0.03,R318&gt;0.15),"Voltage &amp; Current Imbalance",IF(J318&gt;0.03,"Voltage Imbalance",IF(R318&gt;0.15,"Current Imbalance","No Imbalances Detected")))))</f>
        <v/>
      </c>
      <c r="T318">
        <f>IF(A318="","",IF(AND(F318="",K318=""),"N/A",IF(OR(J318&gt;0.03,R318&gt;0.15),"Imbalance","Pass")))</f>
        <v/>
      </c>
    </row>
    <row r="319">
      <c r="A319">
        <f>IF('Equipment Information'!A319="","", 'Equipment Information'!A319)</f>
        <v/>
      </c>
      <c r="B319">
        <f>IF('Equipment Information'!B319="","", 'Equipment Information'!B319)</f>
        <v/>
      </c>
      <c r="C319">
        <f>IF('Equipment Information'!C319="","", 'Equipment Information'!C319)</f>
        <v/>
      </c>
      <c r="I319">
        <f>IF(COUNT(F319:H319)&lt;2,"",AVERAGE(F319:H319))</f>
        <v/>
      </c>
      <c r="J319" s="3">
        <f>IF(I319="","",MAX(ABS(F319-I319),ABS(G319-I319),ABS(H319-I319))/I319)</f>
        <v/>
      </c>
      <c r="N319">
        <f>IF(COUNT(K319:M319)&lt;2,"",AVERAGE(K319:M319))</f>
        <v/>
      </c>
      <c r="R319" s="3">
        <f>IF(N319="","",MAX(ABS(K319-N319),ABS(L319-N319),ABS(M319-N319))/N319)</f>
        <v/>
      </c>
      <c r="S319">
        <f>IF(A319="","",IF(AND(F319="",K319=""),"N/A",IF(AND(J319="",R319=""),"Insufficient Load Data",IF(AND(J319&gt;0.03,R319&gt;0.15),"Voltage &amp; Current Imbalance",IF(J319&gt;0.03,"Voltage Imbalance",IF(R319&gt;0.15,"Current Imbalance","No Imbalances Detected")))))</f>
        <v/>
      </c>
      <c r="T319">
        <f>IF(A319="","",IF(AND(F319="",K319=""),"N/A",IF(OR(J319&gt;0.03,R319&gt;0.15),"Imbalance","Pass")))</f>
        <v/>
      </c>
    </row>
    <row r="320">
      <c r="A320">
        <f>IF('Equipment Information'!A320="","", 'Equipment Information'!A320)</f>
        <v/>
      </c>
      <c r="B320">
        <f>IF('Equipment Information'!B320="","", 'Equipment Information'!B320)</f>
        <v/>
      </c>
      <c r="C320">
        <f>IF('Equipment Information'!C320="","", 'Equipment Information'!C320)</f>
        <v/>
      </c>
      <c r="I320">
        <f>IF(COUNT(F320:H320)&lt;2,"",AVERAGE(F320:H320))</f>
        <v/>
      </c>
      <c r="J320" s="3">
        <f>IF(I320="","",MAX(ABS(F320-I320),ABS(G320-I320),ABS(H320-I320))/I320)</f>
        <v/>
      </c>
      <c r="N320">
        <f>IF(COUNT(K320:M320)&lt;2,"",AVERAGE(K320:M320))</f>
        <v/>
      </c>
      <c r="R320" s="3">
        <f>IF(N320="","",MAX(ABS(K320-N320),ABS(L320-N320),ABS(M320-N320))/N320)</f>
        <v/>
      </c>
      <c r="S320">
        <f>IF(A320="","",IF(AND(F320="",K320=""),"N/A",IF(AND(J320="",R320=""),"Insufficient Load Data",IF(AND(J320&gt;0.03,R320&gt;0.15),"Voltage &amp; Current Imbalance",IF(J320&gt;0.03,"Voltage Imbalance",IF(R320&gt;0.15,"Current Imbalance","No Imbalances Detected")))))</f>
        <v/>
      </c>
      <c r="T320">
        <f>IF(A320="","",IF(AND(F320="",K320=""),"N/A",IF(OR(J320&gt;0.03,R320&gt;0.15),"Imbalance","Pass")))</f>
        <v/>
      </c>
    </row>
    <row r="321">
      <c r="A321">
        <f>IF('Equipment Information'!A321="","", 'Equipment Information'!A321)</f>
        <v/>
      </c>
      <c r="B321">
        <f>IF('Equipment Information'!B321="","", 'Equipment Information'!B321)</f>
        <v/>
      </c>
      <c r="C321">
        <f>IF('Equipment Information'!C321="","", 'Equipment Information'!C321)</f>
        <v/>
      </c>
      <c r="I321">
        <f>IF(COUNT(F321:H321)&lt;2,"",AVERAGE(F321:H321))</f>
        <v/>
      </c>
      <c r="J321" s="3">
        <f>IF(I321="","",MAX(ABS(F321-I321),ABS(G321-I321),ABS(H321-I321))/I321)</f>
        <v/>
      </c>
      <c r="N321">
        <f>IF(COUNT(K321:M321)&lt;2,"",AVERAGE(K321:M321))</f>
        <v/>
      </c>
      <c r="R321" s="3">
        <f>IF(N321="","",MAX(ABS(K321-N321),ABS(L321-N321),ABS(M321-N321))/N321)</f>
        <v/>
      </c>
      <c r="S321">
        <f>IF(A321="","",IF(AND(F321="",K321=""),"N/A",IF(AND(J321="",R321=""),"Insufficient Load Data",IF(AND(J321&gt;0.03,R321&gt;0.15),"Voltage &amp; Current Imbalance",IF(J321&gt;0.03,"Voltage Imbalance",IF(R321&gt;0.15,"Current Imbalance","No Imbalances Detected")))))</f>
        <v/>
      </c>
      <c r="T321">
        <f>IF(A321="","",IF(AND(F321="",K321=""),"N/A",IF(OR(J321&gt;0.03,R321&gt;0.15),"Imbalance","Pass")))</f>
        <v/>
      </c>
    </row>
    <row r="322">
      <c r="A322">
        <f>IF('Equipment Information'!A322="","", 'Equipment Information'!A322)</f>
        <v/>
      </c>
      <c r="B322">
        <f>IF('Equipment Information'!B322="","", 'Equipment Information'!B322)</f>
        <v/>
      </c>
      <c r="C322">
        <f>IF('Equipment Information'!C322="","", 'Equipment Information'!C322)</f>
        <v/>
      </c>
      <c r="I322">
        <f>IF(COUNT(F322:H322)&lt;2,"",AVERAGE(F322:H322))</f>
        <v/>
      </c>
      <c r="J322" s="3">
        <f>IF(I322="","",MAX(ABS(F322-I322),ABS(G322-I322),ABS(H322-I322))/I322)</f>
        <v/>
      </c>
      <c r="N322">
        <f>IF(COUNT(K322:M322)&lt;2,"",AVERAGE(K322:M322))</f>
        <v/>
      </c>
      <c r="R322" s="3">
        <f>IF(N322="","",MAX(ABS(K322-N322),ABS(L322-N322),ABS(M322-N322))/N322)</f>
        <v/>
      </c>
      <c r="S322">
        <f>IF(A322="","",IF(AND(F322="",K322=""),"N/A",IF(AND(J322="",R322=""),"Insufficient Load Data",IF(AND(J322&gt;0.03,R322&gt;0.15),"Voltage &amp; Current Imbalance",IF(J322&gt;0.03,"Voltage Imbalance",IF(R322&gt;0.15,"Current Imbalance","No Imbalances Detected")))))</f>
        <v/>
      </c>
      <c r="T322">
        <f>IF(A322="","",IF(AND(F322="",K322=""),"N/A",IF(OR(J322&gt;0.03,R322&gt;0.15),"Imbalance","Pass")))</f>
        <v/>
      </c>
    </row>
    <row r="323">
      <c r="A323">
        <f>IF('Equipment Information'!A323="","", 'Equipment Information'!A323)</f>
        <v/>
      </c>
      <c r="B323">
        <f>IF('Equipment Information'!B323="","", 'Equipment Information'!B323)</f>
        <v/>
      </c>
      <c r="C323">
        <f>IF('Equipment Information'!C323="","", 'Equipment Information'!C323)</f>
        <v/>
      </c>
      <c r="I323">
        <f>IF(COUNT(F323:H323)&lt;2,"",AVERAGE(F323:H323))</f>
        <v/>
      </c>
      <c r="J323" s="3">
        <f>IF(I323="","",MAX(ABS(F323-I323),ABS(G323-I323),ABS(H323-I323))/I323)</f>
        <v/>
      </c>
      <c r="N323">
        <f>IF(COUNT(K323:M323)&lt;2,"",AVERAGE(K323:M323))</f>
        <v/>
      </c>
      <c r="R323" s="3">
        <f>IF(N323="","",MAX(ABS(K323-N323),ABS(L323-N323),ABS(M323-N323))/N323)</f>
        <v/>
      </c>
      <c r="S323">
        <f>IF(A323="","",IF(AND(F323="",K323=""),"N/A",IF(AND(J323="",R323=""),"Insufficient Load Data",IF(AND(J323&gt;0.03,R323&gt;0.15),"Voltage &amp; Current Imbalance",IF(J323&gt;0.03,"Voltage Imbalance",IF(R323&gt;0.15,"Current Imbalance","No Imbalances Detected")))))</f>
        <v/>
      </c>
      <c r="T323">
        <f>IF(A323="","",IF(AND(F323="",K323=""),"N/A",IF(OR(J323&gt;0.03,R323&gt;0.15),"Imbalance","Pass")))</f>
        <v/>
      </c>
    </row>
    <row r="324">
      <c r="A324">
        <f>IF('Equipment Information'!A324="","", 'Equipment Information'!A324)</f>
        <v/>
      </c>
      <c r="B324">
        <f>IF('Equipment Information'!B324="","", 'Equipment Information'!B324)</f>
        <v/>
      </c>
      <c r="C324">
        <f>IF('Equipment Information'!C324="","", 'Equipment Information'!C324)</f>
        <v/>
      </c>
      <c r="I324">
        <f>IF(COUNT(F324:H324)&lt;2,"",AVERAGE(F324:H324))</f>
        <v/>
      </c>
      <c r="J324" s="3">
        <f>IF(I324="","",MAX(ABS(F324-I324),ABS(G324-I324),ABS(H324-I324))/I324)</f>
        <v/>
      </c>
      <c r="N324">
        <f>IF(COUNT(K324:M324)&lt;2,"",AVERAGE(K324:M324))</f>
        <v/>
      </c>
      <c r="R324" s="3">
        <f>IF(N324="","",MAX(ABS(K324-N324),ABS(L324-N324),ABS(M324-N324))/N324)</f>
        <v/>
      </c>
      <c r="S324">
        <f>IF(A324="","",IF(AND(F324="",K324=""),"N/A",IF(AND(J324="",R324=""),"Insufficient Load Data",IF(AND(J324&gt;0.03,R324&gt;0.15),"Voltage &amp; Current Imbalance",IF(J324&gt;0.03,"Voltage Imbalance",IF(R324&gt;0.15,"Current Imbalance","No Imbalances Detected")))))</f>
        <v/>
      </c>
      <c r="T324">
        <f>IF(A324="","",IF(AND(F324="",K324=""),"N/A",IF(OR(J324&gt;0.03,R324&gt;0.15),"Imbalance","Pass")))</f>
        <v/>
      </c>
    </row>
    <row r="325">
      <c r="A325">
        <f>IF('Equipment Information'!A325="","", 'Equipment Information'!A325)</f>
        <v/>
      </c>
      <c r="B325">
        <f>IF('Equipment Information'!B325="","", 'Equipment Information'!B325)</f>
        <v/>
      </c>
      <c r="C325">
        <f>IF('Equipment Information'!C325="","", 'Equipment Information'!C325)</f>
        <v/>
      </c>
      <c r="I325">
        <f>IF(COUNT(F325:H325)&lt;2,"",AVERAGE(F325:H325))</f>
        <v/>
      </c>
      <c r="J325" s="3">
        <f>IF(I325="","",MAX(ABS(F325-I325),ABS(G325-I325),ABS(H325-I325))/I325)</f>
        <v/>
      </c>
      <c r="N325">
        <f>IF(COUNT(K325:M325)&lt;2,"",AVERAGE(K325:M325))</f>
        <v/>
      </c>
      <c r="R325" s="3">
        <f>IF(N325="","",MAX(ABS(K325-N325),ABS(L325-N325),ABS(M325-N325))/N325)</f>
        <v/>
      </c>
      <c r="S325">
        <f>IF(A325="","",IF(AND(F325="",K325=""),"N/A",IF(AND(J325="",R325=""),"Insufficient Load Data",IF(AND(J325&gt;0.03,R325&gt;0.15),"Voltage &amp; Current Imbalance",IF(J325&gt;0.03,"Voltage Imbalance",IF(R325&gt;0.15,"Current Imbalance","No Imbalances Detected")))))</f>
        <v/>
      </c>
      <c r="T325">
        <f>IF(A325="","",IF(AND(F325="",K325=""),"N/A",IF(OR(J325&gt;0.03,R325&gt;0.15),"Imbalance","Pass")))</f>
        <v/>
      </c>
    </row>
    <row r="326">
      <c r="A326">
        <f>IF('Equipment Information'!A326="","", 'Equipment Information'!A326)</f>
        <v/>
      </c>
      <c r="B326">
        <f>IF('Equipment Information'!B326="","", 'Equipment Information'!B326)</f>
        <v/>
      </c>
      <c r="C326">
        <f>IF('Equipment Information'!C326="","", 'Equipment Information'!C326)</f>
        <v/>
      </c>
      <c r="I326">
        <f>IF(COUNT(F326:H326)&lt;2,"",AVERAGE(F326:H326))</f>
        <v/>
      </c>
      <c r="J326" s="3">
        <f>IF(I326="","",MAX(ABS(F326-I326),ABS(G326-I326),ABS(H326-I326))/I326)</f>
        <v/>
      </c>
      <c r="N326">
        <f>IF(COUNT(K326:M326)&lt;2,"",AVERAGE(K326:M326))</f>
        <v/>
      </c>
      <c r="R326" s="3">
        <f>IF(N326="","",MAX(ABS(K326-N326),ABS(L326-N326),ABS(M326-N326))/N326)</f>
        <v/>
      </c>
      <c r="S326">
        <f>IF(A326="","",IF(AND(F326="",K326=""),"N/A",IF(AND(J326="",R326=""),"Insufficient Load Data",IF(AND(J326&gt;0.03,R326&gt;0.15),"Voltage &amp; Current Imbalance",IF(J326&gt;0.03,"Voltage Imbalance",IF(R326&gt;0.15,"Current Imbalance","No Imbalances Detected")))))</f>
        <v/>
      </c>
      <c r="T326">
        <f>IF(A326="","",IF(AND(F326="",K326=""),"N/A",IF(OR(J326&gt;0.03,R326&gt;0.15),"Imbalance","Pass")))</f>
        <v/>
      </c>
    </row>
    <row r="327">
      <c r="A327">
        <f>IF('Equipment Information'!A327="","", 'Equipment Information'!A327)</f>
        <v/>
      </c>
      <c r="B327">
        <f>IF('Equipment Information'!B327="","", 'Equipment Information'!B327)</f>
        <v/>
      </c>
      <c r="C327">
        <f>IF('Equipment Information'!C327="","", 'Equipment Information'!C327)</f>
        <v/>
      </c>
      <c r="I327">
        <f>IF(COUNT(F327:H327)&lt;2,"",AVERAGE(F327:H327))</f>
        <v/>
      </c>
      <c r="J327" s="3">
        <f>IF(I327="","",MAX(ABS(F327-I327),ABS(G327-I327),ABS(H327-I327))/I327)</f>
        <v/>
      </c>
      <c r="N327">
        <f>IF(COUNT(K327:M327)&lt;2,"",AVERAGE(K327:M327))</f>
        <v/>
      </c>
      <c r="R327" s="3">
        <f>IF(N327="","",MAX(ABS(K327-N327),ABS(L327-N327),ABS(M327-N327))/N327)</f>
        <v/>
      </c>
      <c r="S327">
        <f>IF(A327="","",IF(AND(F327="",K327=""),"N/A",IF(AND(J327="",R327=""),"Insufficient Load Data",IF(AND(J327&gt;0.03,R327&gt;0.15),"Voltage &amp; Current Imbalance",IF(J327&gt;0.03,"Voltage Imbalance",IF(R327&gt;0.15,"Current Imbalance","No Imbalances Detected")))))</f>
        <v/>
      </c>
      <c r="T327">
        <f>IF(A327="","",IF(AND(F327="",K327=""),"N/A",IF(OR(J327&gt;0.03,R327&gt;0.15),"Imbalance","Pass")))</f>
        <v/>
      </c>
    </row>
    <row r="328">
      <c r="A328">
        <f>IF('Equipment Information'!A328="","", 'Equipment Information'!A328)</f>
        <v/>
      </c>
      <c r="B328">
        <f>IF('Equipment Information'!B328="","", 'Equipment Information'!B328)</f>
        <v/>
      </c>
      <c r="C328">
        <f>IF('Equipment Information'!C328="","", 'Equipment Information'!C328)</f>
        <v/>
      </c>
      <c r="I328">
        <f>IF(COUNT(F328:H328)&lt;2,"",AVERAGE(F328:H328))</f>
        <v/>
      </c>
      <c r="J328" s="3">
        <f>IF(I328="","",MAX(ABS(F328-I328),ABS(G328-I328),ABS(H328-I328))/I328)</f>
        <v/>
      </c>
      <c r="N328">
        <f>IF(COUNT(K328:M328)&lt;2,"",AVERAGE(K328:M328))</f>
        <v/>
      </c>
      <c r="R328" s="3">
        <f>IF(N328="","",MAX(ABS(K328-N328),ABS(L328-N328),ABS(M328-N328))/N328)</f>
        <v/>
      </c>
      <c r="S328">
        <f>IF(A328="","",IF(AND(F328="",K328=""),"N/A",IF(AND(J328="",R328=""),"Insufficient Load Data",IF(AND(J328&gt;0.03,R328&gt;0.15),"Voltage &amp; Current Imbalance",IF(J328&gt;0.03,"Voltage Imbalance",IF(R328&gt;0.15,"Current Imbalance","No Imbalances Detected")))))</f>
        <v/>
      </c>
      <c r="T328">
        <f>IF(A328="","",IF(AND(F328="",K328=""),"N/A",IF(OR(J328&gt;0.03,R328&gt;0.15),"Imbalance","Pass")))</f>
        <v/>
      </c>
    </row>
    <row r="329">
      <c r="A329">
        <f>IF('Equipment Information'!A329="","", 'Equipment Information'!A329)</f>
        <v/>
      </c>
      <c r="B329">
        <f>IF('Equipment Information'!B329="","", 'Equipment Information'!B329)</f>
        <v/>
      </c>
      <c r="C329">
        <f>IF('Equipment Information'!C329="","", 'Equipment Information'!C329)</f>
        <v/>
      </c>
      <c r="I329">
        <f>IF(COUNT(F329:H329)&lt;2,"",AVERAGE(F329:H329))</f>
        <v/>
      </c>
      <c r="J329" s="3">
        <f>IF(I329="","",MAX(ABS(F329-I329),ABS(G329-I329),ABS(H329-I329))/I329)</f>
        <v/>
      </c>
      <c r="N329">
        <f>IF(COUNT(K329:M329)&lt;2,"",AVERAGE(K329:M329))</f>
        <v/>
      </c>
      <c r="R329" s="3">
        <f>IF(N329="","",MAX(ABS(K329-N329),ABS(L329-N329),ABS(M329-N329))/N329)</f>
        <v/>
      </c>
      <c r="S329">
        <f>IF(A329="","",IF(AND(F329="",K329=""),"N/A",IF(AND(J329="",R329=""),"Insufficient Load Data",IF(AND(J329&gt;0.03,R329&gt;0.15),"Voltage &amp; Current Imbalance",IF(J329&gt;0.03,"Voltage Imbalance",IF(R329&gt;0.15,"Current Imbalance","No Imbalances Detected")))))</f>
        <v/>
      </c>
      <c r="T329">
        <f>IF(A329="","",IF(AND(F329="",K329=""),"N/A",IF(OR(J329&gt;0.03,R329&gt;0.15),"Imbalance","Pass")))</f>
        <v/>
      </c>
    </row>
    <row r="330">
      <c r="A330">
        <f>IF('Equipment Information'!A330="","", 'Equipment Information'!A330)</f>
        <v/>
      </c>
      <c r="B330">
        <f>IF('Equipment Information'!B330="","", 'Equipment Information'!B330)</f>
        <v/>
      </c>
      <c r="C330">
        <f>IF('Equipment Information'!C330="","", 'Equipment Information'!C330)</f>
        <v/>
      </c>
      <c r="I330">
        <f>IF(COUNT(F330:H330)&lt;2,"",AVERAGE(F330:H330))</f>
        <v/>
      </c>
      <c r="J330" s="3">
        <f>IF(I330="","",MAX(ABS(F330-I330),ABS(G330-I330),ABS(H330-I330))/I330)</f>
        <v/>
      </c>
      <c r="N330">
        <f>IF(COUNT(K330:M330)&lt;2,"",AVERAGE(K330:M330))</f>
        <v/>
      </c>
      <c r="R330" s="3">
        <f>IF(N330="","",MAX(ABS(K330-N330),ABS(L330-N330),ABS(M330-N330))/N330)</f>
        <v/>
      </c>
      <c r="S330">
        <f>IF(A330="","",IF(AND(F330="",K330=""),"N/A",IF(AND(J330="",R330=""),"Insufficient Load Data",IF(AND(J330&gt;0.03,R330&gt;0.15),"Voltage &amp; Current Imbalance",IF(J330&gt;0.03,"Voltage Imbalance",IF(R330&gt;0.15,"Current Imbalance","No Imbalances Detected")))))</f>
        <v/>
      </c>
      <c r="T330">
        <f>IF(A330="","",IF(AND(F330="",K330=""),"N/A",IF(OR(J330&gt;0.03,R330&gt;0.15),"Imbalance","Pass")))</f>
        <v/>
      </c>
    </row>
    <row r="331">
      <c r="A331">
        <f>IF('Equipment Information'!A331="","", 'Equipment Information'!A331)</f>
        <v/>
      </c>
      <c r="B331">
        <f>IF('Equipment Information'!B331="","", 'Equipment Information'!B331)</f>
        <v/>
      </c>
      <c r="C331">
        <f>IF('Equipment Information'!C331="","", 'Equipment Information'!C331)</f>
        <v/>
      </c>
      <c r="I331">
        <f>IF(COUNT(F331:H331)&lt;2,"",AVERAGE(F331:H331))</f>
        <v/>
      </c>
      <c r="J331" s="3">
        <f>IF(I331="","",MAX(ABS(F331-I331),ABS(G331-I331),ABS(H331-I331))/I331)</f>
        <v/>
      </c>
      <c r="N331">
        <f>IF(COUNT(K331:M331)&lt;2,"",AVERAGE(K331:M331))</f>
        <v/>
      </c>
      <c r="R331" s="3">
        <f>IF(N331="","",MAX(ABS(K331-N331),ABS(L331-N331),ABS(M331-N331))/N331)</f>
        <v/>
      </c>
      <c r="S331">
        <f>IF(A331="","",IF(AND(F331="",K331=""),"N/A",IF(AND(J331="",R331=""),"Insufficient Load Data",IF(AND(J331&gt;0.03,R331&gt;0.15),"Voltage &amp; Current Imbalance",IF(J331&gt;0.03,"Voltage Imbalance",IF(R331&gt;0.15,"Current Imbalance","No Imbalances Detected")))))</f>
        <v/>
      </c>
      <c r="T331">
        <f>IF(A331="","",IF(AND(F331="",K331=""),"N/A",IF(OR(J331&gt;0.03,R331&gt;0.15),"Imbalance","Pass")))</f>
        <v/>
      </c>
    </row>
    <row r="332">
      <c r="A332">
        <f>IF('Equipment Information'!A332="","", 'Equipment Information'!A332)</f>
        <v/>
      </c>
      <c r="B332">
        <f>IF('Equipment Information'!B332="","", 'Equipment Information'!B332)</f>
        <v/>
      </c>
      <c r="C332">
        <f>IF('Equipment Information'!C332="","", 'Equipment Information'!C332)</f>
        <v/>
      </c>
      <c r="I332">
        <f>IF(COUNT(F332:H332)&lt;2,"",AVERAGE(F332:H332))</f>
        <v/>
      </c>
      <c r="J332" s="3">
        <f>IF(I332="","",MAX(ABS(F332-I332),ABS(G332-I332),ABS(H332-I332))/I332)</f>
        <v/>
      </c>
      <c r="N332">
        <f>IF(COUNT(K332:M332)&lt;2,"",AVERAGE(K332:M332))</f>
        <v/>
      </c>
      <c r="R332" s="3">
        <f>IF(N332="","",MAX(ABS(K332-N332),ABS(L332-N332),ABS(M332-N332))/N332)</f>
        <v/>
      </c>
      <c r="S332">
        <f>IF(A332="","",IF(AND(F332="",K332=""),"N/A",IF(AND(J332="",R332=""),"Insufficient Load Data",IF(AND(J332&gt;0.03,R332&gt;0.15),"Voltage &amp; Current Imbalance",IF(J332&gt;0.03,"Voltage Imbalance",IF(R332&gt;0.15,"Current Imbalance","No Imbalances Detected")))))</f>
        <v/>
      </c>
      <c r="T332">
        <f>IF(A332="","",IF(AND(F332="",K332=""),"N/A",IF(OR(J332&gt;0.03,R332&gt;0.15),"Imbalance","Pass")))</f>
        <v/>
      </c>
    </row>
    <row r="333">
      <c r="A333">
        <f>IF('Equipment Information'!A333="","", 'Equipment Information'!A333)</f>
        <v/>
      </c>
      <c r="B333">
        <f>IF('Equipment Information'!B333="","", 'Equipment Information'!B333)</f>
        <v/>
      </c>
      <c r="C333">
        <f>IF('Equipment Information'!C333="","", 'Equipment Information'!C333)</f>
        <v/>
      </c>
      <c r="I333">
        <f>IF(COUNT(F333:H333)&lt;2,"",AVERAGE(F333:H333))</f>
        <v/>
      </c>
      <c r="J333" s="3">
        <f>IF(I333="","",MAX(ABS(F333-I333),ABS(G333-I333),ABS(H333-I333))/I333)</f>
        <v/>
      </c>
      <c r="N333">
        <f>IF(COUNT(K333:M333)&lt;2,"",AVERAGE(K333:M333))</f>
        <v/>
      </c>
      <c r="R333" s="3">
        <f>IF(N333="","",MAX(ABS(K333-N333),ABS(L333-N333),ABS(M333-N333))/N333)</f>
        <v/>
      </c>
      <c r="S333">
        <f>IF(A333="","",IF(AND(F333="",K333=""),"N/A",IF(AND(J333="",R333=""),"Insufficient Load Data",IF(AND(J333&gt;0.03,R333&gt;0.15),"Voltage &amp; Current Imbalance",IF(J333&gt;0.03,"Voltage Imbalance",IF(R333&gt;0.15,"Current Imbalance","No Imbalances Detected")))))</f>
        <v/>
      </c>
      <c r="T333">
        <f>IF(A333="","",IF(AND(F333="",K333=""),"N/A",IF(OR(J333&gt;0.03,R333&gt;0.15),"Imbalance","Pass")))</f>
        <v/>
      </c>
    </row>
    <row r="334">
      <c r="A334">
        <f>IF('Equipment Information'!A334="","", 'Equipment Information'!A334)</f>
        <v/>
      </c>
      <c r="B334">
        <f>IF('Equipment Information'!B334="","", 'Equipment Information'!B334)</f>
        <v/>
      </c>
      <c r="C334">
        <f>IF('Equipment Information'!C334="","", 'Equipment Information'!C334)</f>
        <v/>
      </c>
      <c r="I334">
        <f>IF(COUNT(F334:H334)&lt;2,"",AVERAGE(F334:H334))</f>
        <v/>
      </c>
      <c r="J334" s="3">
        <f>IF(I334="","",MAX(ABS(F334-I334),ABS(G334-I334),ABS(H334-I334))/I334)</f>
        <v/>
      </c>
      <c r="N334">
        <f>IF(COUNT(K334:M334)&lt;2,"",AVERAGE(K334:M334))</f>
        <v/>
      </c>
      <c r="R334" s="3">
        <f>IF(N334="","",MAX(ABS(K334-N334),ABS(L334-N334),ABS(M334-N334))/N334)</f>
        <v/>
      </c>
      <c r="S334">
        <f>IF(A334="","",IF(AND(F334="",K334=""),"N/A",IF(AND(J334="",R334=""),"Insufficient Load Data",IF(AND(J334&gt;0.03,R334&gt;0.15),"Voltage &amp; Current Imbalance",IF(J334&gt;0.03,"Voltage Imbalance",IF(R334&gt;0.15,"Current Imbalance","No Imbalances Detected")))))</f>
        <v/>
      </c>
      <c r="T334">
        <f>IF(A334="","",IF(AND(F334="",K334=""),"N/A",IF(OR(J334&gt;0.03,R334&gt;0.15),"Imbalance","Pass")))</f>
        <v/>
      </c>
    </row>
    <row r="335">
      <c r="A335">
        <f>IF('Equipment Information'!A335="","", 'Equipment Information'!A335)</f>
        <v/>
      </c>
      <c r="B335">
        <f>IF('Equipment Information'!B335="","", 'Equipment Information'!B335)</f>
        <v/>
      </c>
      <c r="C335">
        <f>IF('Equipment Information'!C335="","", 'Equipment Information'!C335)</f>
        <v/>
      </c>
      <c r="I335">
        <f>IF(COUNT(F335:H335)&lt;2,"",AVERAGE(F335:H335))</f>
        <v/>
      </c>
      <c r="J335" s="3">
        <f>IF(I335="","",MAX(ABS(F335-I335),ABS(G335-I335),ABS(H335-I335))/I335)</f>
        <v/>
      </c>
      <c r="N335">
        <f>IF(COUNT(K335:M335)&lt;2,"",AVERAGE(K335:M335))</f>
        <v/>
      </c>
      <c r="R335" s="3">
        <f>IF(N335="","",MAX(ABS(K335-N335),ABS(L335-N335),ABS(M335-N335))/N335)</f>
        <v/>
      </c>
      <c r="S335">
        <f>IF(A335="","",IF(AND(F335="",K335=""),"N/A",IF(AND(J335="",R335=""),"Insufficient Load Data",IF(AND(J335&gt;0.03,R335&gt;0.15),"Voltage &amp; Current Imbalance",IF(J335&gt;0.03,"Voltage Imbalance",IF(R335&gt;0.15,"Current Imbalance","No Imbalances Detected")))))</f>
        <v/>
      </c>
      <c r="T335">
        <f>IF(A335="","",IF(AND(F335="",K335=""),"N/A",IF(OR(J335&gt;0.03,R335&gt;0.15),"Imbalance","Pass")))</f>
        <v/>
      </c>
    </row>
    <row r="336">
      <c r="A336">
        <f>IF('Equipment Information'!A336="","", 'Equipment Information'!A336)</f>
        <v/>
      </c>
      <c r="B336">
        <f>IF('Equipment Information'!B336="","", 'Equipment Information'!B336)</f>
        <v/>
      </c>
      <c r="C336">
        <f>IF('Equipment Information'!C336="","", 'Equipment Information'!C336)</f>
        <v/>
      </c>
      <c r="I336">
        <f>IF(COUNT(F336:H336)&lt;2,"",AVERAGE(F336:H336))</f>
        <v/>
      </c>
      <c r="J336" s="3">
        <f>IF(I336="","",MAX(ABS(F336-I336),ABS(G336-I336),ABS(H336-I336))/I336)</f>
        <v/>
      </c>
      <c r="N336">
        <f>IF(COUNT(K336:M336)&lt;2,"",AVERAGE(K336:M336))</f>
        <v/>
      </c>
      <c r="R336" s="3">
        <f>IF(N336="","",MAX(ABS(K336-N336),ABS(L336-N336),ABS(M336-N336))/N336)</f>
        <v/>
      </c>
      <c r="S336">
        <f>IF(A336="","",IF(AND(F336="",K336=""),"N/A",IF(AND(J336="",R336=""),"Insufficient Load Data",IF(AND(J336&gt;0.03,R336&gt;0.15),"Voltage &amp; Current Imbalance",IF(J336&gt;0.03,"Voltage Imbalance",IF(R336&gt;0.15,"Current Imbalance","No Imbalances Detected")))))</f>
        <v/>
      </c>
      <c r="T336">
        <f>IF(A336="","",IF(AND(F336="",K336=""),"N/A",IF(OR(J336&gt;0.03,R336&gt;0.15),"Imbalance","Pass")))</f>
        <v/>
      </c>
    </row>
    <row r="337">
      <c r="A337">
        <f>IF('Equipment Information'!A337="","", 'Equipment Information'!A337)</f>
        <v/>
      </c>
      <c r="B337">
        <f>IF('Equipment Information'!B337="","", 'Equipment Information'!B337)</f>
        <v/>
      </c>
      <c r="C337">
        <f>IF('Equipment Information'!C337="","", 'Equipment Information'!C337)</f>
        <v/>
      </c>
      <c r="I337">
        <f>IF(COUNT(F337:H337)&lt;2,"",AVERAGE(F337:H337))</f>
        <v/>
      </c>
      <c r="J337" s="3">
        <f>IF(I337="","",MAX(ABS(F337-I337),ABS(G337-I337),ABS(H337-I337))/I337)</f>
        <v/>
      </c>
      <c r="N337">
        <f>IF(COUNT(K337:M337)&lt;2,"",AVERAGE(K337:M337))</f>
        <v/>
      </c>
      <c r="R337" s="3">
        <f>IF(N337="","",MAX(ABS(K337-N337),ABS(L337-N337),ABS(M337-N337))/N337)</f>
        <v/>
      </c>
      <c r="S337">
        <f>IF(A337="","",IF(AND(F337="",K337=""),"N/A",IF(AND(J337="",R337=""),"Insufficient Load Data",IF(AND(J337&gt;0.03,R337&gt;0.15),"Voltage &amp; Current Imbalance",IF(J337&gt;0.03,"Voltage Imbalance",IF(R337&gt;0.15,"Current Imbalance","No Imbalances Detected")))))</f>
        <v/>
      </c>
      <c r="T337">
        <f>IF(A337="","",IF(AND(F337="",K337=""),"N/A",IF(OR(J337&gt;0.03,R337&gt;0.15),"Imbalance","Pass")))</f>
        <v/>
      </c>
    </row>
    <row r="338">
      <c r="A338">
        <f>IF('Equipment Information'!A338="","", 'Equipment Information'!A338)</f>
        <v/>
      </c>
      <c r="B338">
        <f>IF('Equipment Information'!B338="","", 'Equipment Information'!B338)</f>
        <v/>
      </c>
      <c r="C338">
        <f>IF('Equipment Information'!C338="","", 'Equipment Information'!C338)</f>
        <v/>
      </c>
      <c r="I338">
        <f>IF(COUNT(F338:H338)&lt;2,"",AVERAGE(F338:H338))</f>
        <v/>
      </c>
      <c r="J338" s="3">
        <f>IF(I338="","",MAX(ABS(F338-I338),ABS(G338-I338),ABS(H338-I338))/I338)</f>
        <v/>
      </c>
      <c r="N338">
        <f>IF(COUNT(K338:M338)&lt;2,"",AVERAGE(K338:M338))</f>
        <v/>
      </c>
      <c r="R338" s="3">
        <f>IF(N338="","",MAX(ABS(K338-N338),ABS(L338-N338),ABS(M338-N338))/N338)</f>
        <v/>
      </c>
      <c r="S338">
        <f>IF(A338="","",IF(AND(F338="",K338=""),"N/A",IF(AND(J338="",R338=""),"Insufficient Load Data",IF(AND(J338&gt;0.03,R338&gt;0.15),"Voltage &amp; Current Imbalance",IF(J338&gt;0.03,"Voltage Imbalance",IF(R338&gt;0.15,"Current Imbalance","No Imbalances Detected")))))</f>
        <v/>
      </c>
      <c r="T338">
        <f>IF(A338="","",IF(AND(F338="",K338=""),"N/A",IF(OR(J338&gt;0.03,R338&gt;0.15),"Imbalance","Pass")))</f>
        <v/>
      </c>
    </row>
    <row r="339">
      <c r="A339">
        <f>IF('Equipment Information'!A339="","", 'Equipment Information'!A339)</f>
        <v/>
      </c>
      <c r="B339">
        <f>IF('Equipment Information'!B339="","", 'Equipment Information'!B339)</f>
        <v/>
      </c>
      <c r="C339">
        <f>IF('Equipment Information'!C339="","", 'Equipment Information'!C339)</f>
        <v/>
      </c>
      <c r="I339">
        <f>IF(COUNT(F339:H339)&lt;2,"",AVERAGE(F339:H339))</f>
        <v/>
      </c>
      <c r="J339" s="3">
        <f>IF(I339="","",MAX(ABS(F339-I339),ABS(G339-I339),ABS(H339-I339))/I339)</f>
        <v/>
      </c>
      <c r="N339">
        <f>IF(COUNT(K339:M339)&lt;2,"",AVERAGE(K339:M339))</f>
        <v/>
      </c>
      <c r="R339" s="3">
        <f>IF(N339="","",MAX(ABS(K339-N339),ABS(L339-N339),ABS(M339-N339))/N339)</f>
        <v/>
      </c>
      <c r="S339">
        <f>IF(A339="","",IF(AND(F339="",K339=""),"N/A",IF(AND(J339="",R339=""),"Insufficient Load Data",IF(AND(J339&gt;0.03,R339&gt;0.15),"Voltage &amp; Current Imbalance",IF(J339&gt;0.03,"Voltage Imbalance",IF(R339&gt;0.15,"Current Imbalance","No Imbalances Detected")))))</f>
        <v/>
      </c>
      <c r="T339">
        <f>IF(A339="","",IF(AND(F339="",K339=""),"N/A",IF(OR(J339&gt;0.03,R339&gt;0.15),"Imbalance","Pass")))</f>
        <v/>
      </c>
    </row>
    <row r="340">
      <c r="A340">
        <f>IF('Equipment Information'!A340="","", 'Equipment Information'!A340)</f>
        <v/>
      </c>
      <c r="B340">
        <f>IF('Equipment Information'!B340="","", 'Equipment Information'!B340)</f>
        <v/>
      </c>
      <c r="C340">
        <f>IF('Equipment Information'!C340="","", 'Equipment Information'!C340)</f>
        <v/>
      </c>
      <c r="I340">
        <f>IF(COUNT(F340:H340)&lt;2,"",AVERAGE(F340:H340))</f>
        <v/>
      </c>
      <c r="J340" s="3">
        <f>IF(I340="","",MAX(ABS(F340-I340),ABS(G340-I340),ABS(H340-I340))/I340)</f>
        <v/>
      </c>
      <c r="N340">
        <f>IF(COUNT(K340:M340)&lt;2,"",AVERAGE(K340:M340))</f>
        <v/>
      </c>
      <c r="R340" s="3">
        <f>IF(N340="","",MAX(ABS(K340-N340),ABS(L340-N340),ABS(M340-N340))/N340)</f>
        <v/>
      </c>
      <c r="S340">
        <f>IF(A340="","",IF(AND(F340="",K340=""),"N/A",IF(AND(J340="",R340=""),"Insufficient Load Data",IF(AND(J340&gt;0.03,R340&gt;0.15),"Voltage &amp; Current Imbalance",IF(J340&gt;0.03,"Voltage Imbalance",IF(R340&gt;0.15,"Current Imbalance","No Imbalances Detected")))))</f>
        <v/>
      </c>
      <c r="T340">
        <f>IF(A340="","",IF(AND(F340="",K340=""),"N/A",IF(OR(J340&gt;0.03,R340&gt;0.15),"Imbalance","Pass")))</f>
        <v/>
      </c>
    </row>
    <row r="341">
      <c r="A341">
        <f>IF('Equipment Information'!A341="","", 'Equipment Information'!A341)</f>
        <v/>
      </c>
      <c r="B341">
        <f>IF('Equipment Information'!B341="","", 'Equipment Information'!B341)</f>
        <v/>
      </c>
      <c r="C341">
        <f>IF('Equipment Information'!C341="","", 'Equipment Information'!C341)</f>
        <v/>
      </c>
      <c r="I341">
        <f>IF(COUNT(F341:H341)&lt;2,"",AVERAGE(F341:H341))</f>
        <v/>
      </c>
      <c r="J341" s="3">
        <f>IF(I341="","",MAX(ABS(F341-I341),ABS(G341-I341),ABS(H341-I341))/I341)</f>
        <v/>
      </c>
      <c r="N341">
        <f>IF(COUNT(K341:M341)&lt;2,"",AVERAGE(K341:M341))</f>
        <v/>
      </c>
      <c r="R341" s="3">
        <f>IF(N341="","",MAX(ABS(K341-N341),ABS(L341-N341),ABS(M341-N341))/N341)</f>
        <v/>
      </c>
      <c r="S341">
        <f>IF(A341="","",IF(AND(F341="",K341=""),"N/A",IF(AND(J341="",R341=""),"Insufficient Load Data",IF(AND(J341&gt;0.03,R341&gt;0.15),"Voltage &amp; Current Imbalance",IF(J341&gt;0.03,"Voltage Imbalance",IF(R341&gt;0.15,"Current Imbalance","No Imbalances Detected")))))</f>
        <v/>
      </c>
      <c r="T341">
        <f>IF(A341="","",IF(AND(F341="",K341=""),"N/A",IF(OR(J341&gt;0.03,R341&gt;0.15),"Imbalance","Pass")))</f>
        <v/>
      </c>
    </row>
    <row r="342">
      <c r="A342">
        <f>IF('Equipment Information'!A342="","", 'Equipment Information'!A342)</f>
        <v/>
      </c>
      <c r="B342">
        <f>IF('Equipment Information'!B342="","", 'Equipment Information'!B342)</f>
        <v/>
      </c>
      <c r="C342">
        <f>IF('Equipment Information'!C342="","", 'Equipment Information'!C342)</f>
        <v/>
      </c>
      <c r="I342">
        <f>IF(COUNT(F342:H342)&lt;2,"",AVERAGE(F342:H342))</f>
        <v/>
      </c>
      <c r="J342" s="3">
        <f>IF(I342="","",MAX(ABS(F342-I342),ABS(G342-I342),ABS(H342-I342))/I342)</f>
        <v/>
      </c>
      <c r="N342">
        <f>IF(COUNT(K342:M342)&lt;2,"",AVERAGE(K342:M342))</f>
        <v/>
      </c>
      <c r="R342" s="3">
        <f>IF(N342="","",MAX(ABS(K342-N342),ABS(L342-N342),ABS(M342-N342))/N342)</f>
        <v/>
      </c>
      <c r="S342">
        <f>IF(A342="","",IF(AND(F342="",K342=""),"N/A",IF(AND(J342="",R342=""),"Insufficient Load Data",IF(AND(J342&gt;0.03,R342&gt;0.15),"Voltage &amp; Current Imbalance",IF(J342&gt;0.03,"Voltage Imbalance",IF(R342&gt;0.15,"Current Imbalance","No Imbalances Detected")))))</f>
        <v/>
      </c>
      <c r="T342">
        <f>IF(A342="","",IF(AND(F342="",K342=""),"N/A",IF(OR(J342&gt;0.03,R342&gt;0.15),"Imbalance","Pass")))</f>
        <v/>
      </c>
    </row>
    <row r="343">
      <c r="A343">
        <f>IF('Equipment Information'!A343="","", 'Equipment Information'!A343)</f>
        <v/>
      </c>
      <c r="B343">
        <f>IF('Equipment Information'!B343="","", 'Equipment Information'!B343)</f>
        <v/>
      </c>
      <c r="C343">
        <f>IF('Equipment Information'!C343="","", 'Equipment Information'!C343)</f>
        <v/>
      </c>
      <c r="I343">
        <f>IF(COUNT(F343:H343)&lt;2,"",AVERAGE(F343:H343))</f>
        <v/>
      </c>
      <c r="J343" s="3">
        <f>IF(I343="","",MAX(ABS(F343-I343),ABS(G343-I343),ABS(H343-I343))/I343)</f>
        <v/>
      </c>
      <c r="N343">
        <f>IF(COUNT(K343:M343)&lt;2,"",AVERAGE(K343:M343))</f>
        <v/>
      </c>
      <c r="R343" s="3">
        <f>IF(N343="","",MAX(ABS(K343-N343),ABS(L343-N343),ABS(M343-N343))/N343)</f>
        <v/>
      </c>
      <c r="S343">
        <f>IF(A343="","",IF(AND(F343="",K343=""),"N/A",IF(AND(J343="",R343=""),"Insufficient Load Data",IF(AND(J343&gt;0.03,R343&gt;0.15),"Voltage &amp; Current Imbalance",IF(J343&gt;0.03,"Voltage Imbalance",IF(R343&gt;0.15,"Current Imbalance","No Imbalances Detected")))))</f>
        <v/>
      </c>
      <c r="T343">
        <f>IF(A343="","",IF(AND(F343="",K343=""),"N/A",IF(OR(J343&gt;0.03,R343&gt;0.15),"Imbalance","Pass")))</f>
        <v/>
      </c>
    </row>
    <row r="344">
      <c r="A344">
        <f>IF('Equipment Information'!A344="","", 'Equipment Information'!A344)</f>
        <v/>
      </c>
      <c r="B344">
        <f>IF('Equipment Information'!B344="","", 'Equipment Information'!B344)</f>
        <v/>
      </c>
      <c r="C344">
        <f>IF('Equipment Information'!C344="","", 'Equipment Information'!C344)</f>
        <v/>
      </c>
      <c r="I344">
        <f>IF(COUNT(F344:H344)&lt;2,"",AVERAGE(F344:H344))</f>
        <v/>
      </c>
      <c r="J344" s="3">
        <f>IF(I344="","",MAX(ABS(F344-I344),ABS(G344-I344),ABS(H344-I344))/I344)</f>
        <v/>
      </c>
      <c r="N344">
        <f>IF(COUNT(K344:M344)&lt;2,"",AVERAGE(K344:M344))</f>
        <v/>
      </c>
      <c r="R344" s="3">
        <f>IF(N344="","",MAX(ABS(K344-N344),ABS(L344-N344),ABS(M344-N344))/N344)</f>
        <v/>
      </c>
      <c r="S344">
        <f>IF(A344="","",IF(AND(F344="",K344=""),"N/A",IF(AND(J344="",R344=""),"Insufficient Load Data",IF(AND(J344&gt;0.03,R344&gt;0.15),"Voltage &amp; Current Imbalance",IF(J344&gt;0.03,"Voltage Imbalance",IF(R344&gt;0.15,"Current Imbalance","No Imbalances Detected")))))</f>
        <v/>
      </c>
      <c r="T344">
        <f>IF(A344="","",IF(AND(F344="",K344=""),"N/A",IF(OR(J344&gt;0.03,R344&gt;0.15),"Imbalance","Pass")))</f>
        <v/>
      </c>
    </row>
    <row r="345">
      <c r="A345">
        <f>IF('Equipment Information'!A345="","", 'Equipment Information'!A345)</f>
        <v/>
      </c>
      <c r="B345">
        <f>IF('Equipment Information'!B345="","", 'Equipment Information'!B345)</f>
        <v/>
      </c>
      <c r="C345">
        <f>IF('Equipment Information'!C345="","", 'Equipment Information'!C345)</f>
        <v/>
      </c>
      <c r="I345">
        <f>IF(COUNT(F345:H345)&lt;2,"",AVERAGE(F345:H345))</f>
        <v/>
      </c>
      <c r="J345" s="3">
        <f>IF(I345="","",MAX(ABS(F345-I345),ABS(G345-I345),ABS(H345-I345))/I345)</f>
        <v/>
      </c>
      <c r="N345">
        <f>IF(COUNT(K345:M345)&lt;2,"",AVERAGE(K345:M345))</f>
        <v/>
      </c>
      <c r="R345" s="3">
        <f>IF(N345="","",MAX(ABS(K345-N345),ABS(L345-N345),ABS(M345-N345))/N345)</f>
        <v/>
      </c>
      <c r="S345">
        <f>IF(A345="","",IF(AND(F345="",K345=""),"N/A",IF(AND(J345="",R345=""),"Insufficient Load Data",IF(AND(J345&gt;0.03,R345&gt;0.15),"Voltage &amp; Current Imbalance",IF(J345&gt;0.03,"Voltage Imbalance",IF(R345&gt;0.15,"Current Imbalance","No Imbalances Detected")))))</f>
        <v/>
      </c>
      <c r="T345">
        <f>IF(A345="","",IF(AND(F345="",K345=""),"N/A",IF(OR(J345&gt;0.03,R345&gt;0.15),"Imbalance","Pass")))</f>
        <v/>
      </c>
    </row>
    <row r="346">
      <c r="A346">
        <f>IF('Equipment Information'!A346="","", 'Equipment Information'!A346)</f>
        <v/>
      </c>
      <c r="B346">
        <f>IF('Equipment Information'!B346="","", 'Equipment Information'!B346)</f>
        <v/>
      </c>
      <c r="C346">
        <f>IF('Equipment Information'!C346="","", 'Equipment Information'!C346)</f>
        <v/>
      </c>
      <c r="I346">
        <f>IF(COUNT(F346:H346)&lt;2,"",AVERAGE(F346:H346))</f>
        <v/>
      </c>
      <c r="J346" s="3">
        <f>IF(I346="","",MAX(ABS(F346-I346),ABS(G346-I346),ABS(H346-I346))/I346)</f>
        <v/>
      </c>
      <c r="N346">
        <f>IF(COUNT(K346:M346)&lt;2,"",AVERAGE(K346:M346))</f>
        <v/>
      </c>
      <c r="R346" s="3">
        <f>IF(N346="","",MAX(ABS(K346-N346),ABS(L346-N346),ABS(M346-N346))/N346)</f>
        <v/>
      </c>
      <c r="S346">
        <f>IF(A346="","",IF(AND(F346="",K346=""),"N/A",IF(AND(J346="",R346=""),"Insufficient Load Data",IF(AND(J346&gt;0.03,R346&gt;0.15),"Voltage &amp; Current Imbalance",IF(J346&gt;0.03,"Voltage Imbalance",IF(R346&gt;0.15,"Current Imbalance","No Imbalances Detected")))))</f>
        <v/>
      </c>
      <c r="T346">
        <f>IF(A346="","",IF(AND(F346="",K346=""),"N/A",IF(OR(J346&gt;0.03,R346&gt;0.15),"Imbalance","Pass")))</f>
        <v/>
      </c>
    </row>
    <row r="347">
      <c r="A347">
        <f>IF('Equipment Information'!A347="","", 'Equipment Information'!A347)</f>
        <v/>
      </c>
      <c r="B347">
        <f>IF('Equipment Information'!B347="","", 'Equipment Information'!B347)</f>
        <v/>
      </c>
      <c r="C347">
        <f>IF('Equipment Information'!C347="","", 'Equipment Information'!C347)</f>
        <v/>
      </c>
      <c r="I347">
        <f>IF(COUNT(F347:H347)&lt;2,"",AVERAGE(F347:H347))</f>
        <v/>
      </c>
      <c r="J347" s="3">
        <f>IF(I347="","",MAX(ABS(F347-I347),ABS(G347-I347),ABS(H347-I347))/I347)</f>
        <v/>
      </c>
      <c r="N347">
        <f>IF(COUNT(K347:M347)&lt;2,"",AVERAGE(K347:M347))</f>
        <v/>
      </c>
      <c r="R347" s="3">
        <f>IF(N347="","",MAX(ABS(K347-N347),ABS(L347-N347),ABS(M347-N347))/N347)</f>
        <v/>
      </c>
      <c r="S347">
        <f>IF(A347="","",IF(AND(F347="",K347=""),"N/A",IF(AND(J347="",R347=""),"Insufficient Load Data",IF(AND(J347&gt;0.03,R347&gt;0.15),"Voltage &amp; Current Imbalance",IF(J347&gt;0.03,"Voltage Imbalance",IF(R347&gt;0.15,"Current Imbalance","No Imbalances Detected")))))</f>
        <v/>
      </c>
      <c r="T347">
        <f>IF(A347="","",IF(AND(F347="",K347=""),"N/A",IF(OR(J347&gt;0.03,R347&gt;0.15),"Imbalance","Pass")))</f>
        <v/>
      </c>
    </row>
    <row r="348">
      <c r="A348">
        <f>IF('Equipment Information'!A348="","", 'Equipment Information'!A348)</f>
        <v/>
      </c>
      <c r="B348">
        <f>IF('Equipment Information'!B348="","", 'Equipment Information'!B348)</f>
        <v/>
      </c>
      <c r="C348">
        <f>IF('Equipment Information'!C348="","", 'Equipment Information'!C348)</f>
        <v/>
      </c>
      <c r="I348">
        <f>IF(COUNT(F348:H348)&lt;2,"",AVERAGE(F348:H348))</f>
        <v/>
      </c>
      <c r="J348" s="3">
        <f>IF(I348="","",MAX(ABS(F348-I348),ABS(G348-I348),ABS(H348-I348))/I348)</f>
        <v/>
      </c>
      <c r="N348">
        <f>IF(COUNT(K348:M348)&lt;2,"",AVERAGE(K348:M348))</f>
        <v/>
      </c>
      <c r="R348" s="3">
        <f>IF(N348="","",MAX(ABS(K348-N348),ABS(L348-N348),ABS(M348-N348))/N348)</f>
        <v/>
      </c>
      <c r="S348">
        <f>IF(A348="","",IF(AND(F348="",K348=""),"N/A",IF(AND(J348="",R348=""),"Insufficient Load Data",IF(AND(J348&gt;0.03,R348&gt;0.15),"Voltage &amp; Current Imbalance",IF(J348&gt;0.03,"Voltage Imbalance",IF(R348&gt;0.15,"Current Imbalance","No Imbalances Detected")))))</f>
        <v/>
      </c>
      <c r="T348">
        <f>IF(A348="","",IF(AND(F348="",K348=""),"N/A",IF(OR(J348&gt;0.03,R348&gt;0.15),"Imbalance","Pass")))</f>
        <v/>
      </c>
    </row>
    <row r="349">
      <c r="A349">
        <f>IF('Equipment Information'!A349="","", 'Equipment Information'!A349)</f>
        <v/>
      </c>
      <c r="B349">
        <f>IF('Equipment Information'!B349="","", 'Equipment Information'!B349)</f>
        <v/>
      </c>
      <c r="C349">
        <f>IF('Equipment Information'!C349="","", 'Equipment Information'!C349)</f>
        <v/>
      </c>
      <c r="I349">
        <f>IF(COUNT(F349:H349)&lt;2,"",AVERAGE(F349:H349))</f>
        <v/>
      </c>
      <c r="J349" s="3">
        <f>IF(I349="","",MAX(ABS(F349-I349),ABS(G349-I349),ABS(H349-I349))/I349)</f>
        <v/>
      </c>
      <c r="N349">
        <f>IF(COUNT(K349:M349)&lt;2,"",AVERAGE(K349:M349))</f>
        <v/>
      </c>
      <c r="R349" s="3">
        <f>IF(N349="","",MAX(ABS(K349-N349),ABS(L349-N349),ABS(M349-N349))/N349)</f>
        <v/>
      </c>
      <c r="S349">
        <f>IF(A349="","",IF(AND(F349="",K349=""),"N/A",IF(AND(J349="",R349=""),"Insufficient Load Data",IF(AND(J349&gt;0.03,R349&gt;0.15),"Voltage &amp; Current Imbalance",IF(J349&gt;0.03,"Voltage Imbalance",IF(R349&gt;0.15,"Current Imbalance","No Imbalances Detected")))))</f>
        <v/>
      </c>
      <c r="T349">
        <f>IF(A349="","",IF(AND(F349="",K349=""),"N/A",IF(OR(J349&gt;0.03,R349&gt;0.15),"Imbalance","Pass")))</f>
        <v/>
      </c>
    </row>
    <row r="350">
      <c r="A350">
        <f>IF('Equipment Information'!A350="","", 'Equipment Information'!A350)</f>
        <v/>
      </c>
      <c r="B350">
        <f>IF('Equipment Information'!B350="","", 'Equipment Information'!B350)</f>
        <v/>
      </c>
      <c r="C350">
        <f>IF('Equipment Information'!C350="","", 'Equipment Information'!C350)</f>
        <v/>
      </c>
      <c r="I350">
        <f>IF(COUNT(F350:H350)&lt;2,"",AVERAGE(F350:H350))</f>
        <v/>
      </c>
      <c r="J350" s="3">
        <f>IF(I350="","",MAX(ABS(F350-I350),ABS(G350-I350),ABS(H350-I350))/I350)</f>
        <v/>
      </c>
      <c r="N350">
        <f>IF(COUNT(K350:M350)&lt;2,"",AVERAGE(K350:M350))</f>
        <v/>
      </c>
      <c r="R350" s="3">
        <f>IF(N350="","",MAX(ABS(K350-N350),ABS(L350-N350),ABS(M350-N350))/N350)</f>
        <v/>
      </c>
      <c r="S350">
        <f>IF(A350="","",IF(AND(F350="",K350=""),"N/A",IF(AND(J350="",R350=""),"Insufficient Load Data",IF(AND(J350&gt;0.03,R350&gt;0.15),"Voltage &amp; Current Imbalance",IF(J350&gt;0.03,"Voltage Imbalance",IF(R350&gt;0.15,"Current Imbalance","No Imbalances Detected")))))</f>
        <v/>
      </c>
      <c r="T350">
        <f>IF(A350="","",IF(AND(F350="",K350=""),"N/A",IF(OR(J350&gt;0.03,R350&gt;0.15),"Imbalance","Pass")))</f>
        <v/>
      </c>
    </row>
    <row r="351">
      <c r="A351">
        <f>IF('Equipment Information'!A351="","", 'Equipment Information'!A351)</f>
        <v/>
      </c>
      <c r="B351">
        <f>IF('Equipment Information'!B351="","", 'Equipment Information'!B351)</f>
        <v/>
      </c>
      <c r="C351">
        <f>IF('Equipment Information'!C351="","", 'Equipment Information'!C351)</f>
        <v/>
      </c>
      <c r="I351">
        <f>IF(COUNT(F351:H351)&lt;2,"",AVERAGE(F351:H351))</f>
        <v/>
      </c>
      <c r="J351" s="3">
        <f>IF(I351="","",MAX(ABS(F351-I351),ABS(G351-I351),ABS(H351-I351))/I351)</f>
        <v/>
      </c>
      <c r="N351">
        <f>IF(COUNT(K351:M351)&lt;2,"",AVERAGE(K351:M351))</f>
        <v/>
      </c>
      <c r="R351" s="3">
        <f>IF(N351="","",MAX(ABS(K351-N351),ABS(L351-N351),ABS(M351-N351))/N351)</f>
        <v/>
      </c>
      <c r="S351">
        <f>IF(A351="","",IF(AND(F351="",K351=""),"N/A",IF(AND(J351="",R351=""),"Insufficient Load Data",IF(AND(J351&gt;0.03,R351&gt;0.15),"Voltage &amp; Current Imbalance",IF(J351&gt;0.03,"Voltage Imbalance",IF(R351&gt;0.15,"Current Imbalance","No Imbalances Detected")))))</f>
        <v/>
      </c>
      <c r="T351">
        <f>IF(A351="","",IF(AND(F351="",K351=""),"N/A",IF(OR(J351&gt;0.03,R351&gt;0.15),"Imbalance","Pass")))</f>
        <v/>
      </c>
    </row>
    <row r="352">
      <c r="A352">
        <f>IF('Equipment Information'!A352="","", 'Equipment Information'!A352)</f>
        <v/>
      </c>
      <c r="B352">
        <f>IF('Equipment Information'!B352="","", 'Equipment Information'!B352)</f>
        <v/>
      </c>
      <c r="C352">
        <f>IF('Equipment Information'!C352="","", 'Equipment Information'!C352)</f>
        <v/>
      </c>
      <c r="I352">
        <f>IF(COUNT(F352:H352)&lt;2,"",AVERAGE(F352:H352))</f>
        <v/>
      </c>
      <c r="J352" s="3">
        <f>IF(I352="","",MAX(ABS(F352-I352),ABS(G352-I352),ABS(H352-I352))/I352)</f>
        <v/>
      </c>
      <c r="N352">
        <f>IF(COUNT(K352:M352)&lt;2,"",AVERAGE(K352:M352))</f>
        <v/>
      </c>
      <c r="R352" s="3">
        <f>IF(N352="","",MAX(ABS(K352-N352),ABS(L352-N352),ABS(M352-N352))/N352)</f>
        <v/>
      </c>
      <c r="S352">
        <f>IF(A352="","",IF(AND(F352="",K352=""),"N/A",IF(AND(J352="",R352=""),"Insufficient Load Data",IF(AND(J352&gt;0.03,R352&gt;0.15),"Voltage &amp; Current Imbalance",IF(J352&gt;0.03,"Voltage Imbalance",IF(R352&gt;0.15,"Current Imbalance","No Imbalances Detected")))))</f>
        <v/>
      </c>
      <c r="T352">
        <f>IF(A352="","",IF(AND(F352="",K352=""),"N/A",IF(OR(J352&gt;0.03,R352&gt;0.15),"Imbalance","Pass")))</f>
        <v/>
      </c>
    </row>
    <row r="353">
      <c r="A353">
        <f>IF('Equipment Information'!A353="","", 'Equipment Information'!A353)</f>
        <v/>
      </c>
      <c r="B353">
        <f>IF('Equipment Information'!B353="","", 'Equipment Information'!B353)</f>
        <v/>
      </c>
      <c r="C353">
        <f>IF('Equipment Information'!C353="","", 'Equipment Information'!C353)</f>
        <v/>
      </c>
      <c r="I353">
        <f>IF(COUNT(F353:H353)&lt;2,"",AVERAGE(F353:H353))</f>
        <v/>
      </c>
      <c r="J353" s="3">
        <f>IF(I353="","",MAX(ABS(F353-I353),ABS(G353-I353),ABS(H353-I353))/I353)</f>
        <v/>
      </c>
      <c r="N353">
        <f>IF(COUNT(K353:M353)&lt;2,"",AVERAGE(K353:M353))</f>
        <v/>
      </c>
      <c r="R353" s="3">
        <f>IF(N353="","",MAX(ABS(K353-N353),ABS(L353-N353),ABS(M353-N353))/N353)</f>
        <v/>
      </c>
      <c r="S353">
        <f>IF(A353="","",IF(AND(F353="",K353=""),"N/A",IF(AND(J353="",R353=""),"Insufficient Load Data",IF(AND(J353&gt;0.03,R353&gt;0.15),"Voltage &amp; Current Imbalance",IF(J353&gt;0.03,"Voltage Imbalance",IF(R353&gt;0.15,"Current Imbalance","No Imbalances Detected")))))</f>
        <v/>
      </c>
      <c r="T353">
        <f>IF(A353="","",IF(AND(F353="",K353=""),"N/A",IF(OR(J353&gt;0.03,R353&gt;0.15),"Imbalance","Pass")))</f>
        <v/>
      </c>
    </row>
    <row r="354">
      <c r="A354">
        <f>IF('Equipment Information'!A354="","", 'Equipment Information'!A354)</f>
        <v/>
      </c>
      <c r="B354">
        <f>IF('Equipment Information'!B354="","", 'Equipment Information'!B354)</f>
        <v/>
      </c>
      <c r="C354">
        <f>IF('Equipment Information'!C354="","", 'Equipment Information'!C354)</f>
        <v/>
      </c>
      <c r="I354">
        <f>IF(COUNT(F354:H354)&lt;2,"",AVERAGE(F354:H354))</f>
        <v/>
      </c>
      <c r="J354" s="3">
        <f>IF(I354="","",MAX(ABS(F354-I354),ABS(G354-I354),ABS(H354-I354))/I354)</f>
        <v/>
      </c>
      <c r="N354">
        <f>IF(COUNT(K354:M354)&lt;2,"",AVERAGE(K354:M354))</f>
        <v/>
      </c>
      <c r="R354" s="3">
        <f>IF(N354="","",MAX(ABS(K354-N354),ABS(L354-N354),ABS(M354-N354))/N354)</f>
        <v/>
      </c>
      <c r="S354">
        <f>IF(A354="","",IF(AND(F354="",K354=""),"N/A",IF(AND(J354="",R354=""),"Insufficient Load Data",IF(AND(J354&gt;0.03,R354&gt;0.15),"Voltage &amp; Current Imbalance",IF(J354&gt;0.03,"Voltage Imbalance",IF(R354&gt;0.15,"Current Imbalance","No Imbalances Detected")))))</f>
        <v/>
      </c>
      <c r="T354">
        <f>IF(A354="","",IF(AND(F354="",K354=""),"N/A",IF(OR(J354&gt;0.03,R354&gt;0.15),"Imbalance","Pass")))</f>
        <v/>
      </c>
    </row>
    <row r="355">
      <c r="A355">
        <f>IF('Equipment Information'!A355="","", 'Equipment Information'!A355)</f>
        <v/>
      </c>
      <c r="B355">
        <f>IF('Equipment Information'!B355="","", 'Equipment Information'!B355)</f>
        <v/>
      </c>
      <c r="C355">
        <f>IF('Equipment Information'!C355="","", 'Equipment Information'!C355)</f>
        <v/>
      </c>
      <c r="I355">
        <f>IF(COUNT(F355:H355)&lt;2,"",AVERAGE(F355:H355))</f>
        <v/>
      </c>
      <c r="J355" s="3">
        <f>IF(I355="","",MAX(ABS(F355-I355),ABS(G355-I355),ABS(H355-I355))/I355)</f>
        <v/>
      </c>
      <c r="N355">
        <f>IF(COUNT(K355:M355)&lt;2,"",AVERAGE(K355:M355))</f>
        <v/>
      </c>
      <c r="R355" s="3">
        <f>IF(N355="","",MAX(ABS(K355-N355),ABS(L355-N355),ABS(M355-N355))/N355)</f>
        <v/>
      </c>
      <c r="S355">
        <f>IF(A355="","",IF(AND(F355="",K355=""),"N/A",IF(AND(J355="",R355=""),"Insufficient Load Data",IF(AND(J355&gt;0.03,R355&gt;0.15),"Voltage &amp; Current Imbalance",IF(J355&gt;0.03,"Voltage Imbalance",IF(R355&gt;0.15,"Current Imbalance","No Imbalances Detected")))))</f>
        <v/>
      </c>
      <c r="T355">
        <f>IF(A355="","",IF(AND(F355="",K355=""),"N/A",IF(OR(J355&gt;0.03,R355&gt;0.15),"Imbalance","Pass")))</f>
        <v/>
      </c>
    </row>
    <row r="356">
      <c r="A356">
        <f>IF('Equipment Information'!A356="","", 'Equipment Information'!A356)</f>
        <v/>
      </c>
      <c r="B356">
        <f>IF('Equipment Information'!B356="","", 'Equipment Information'!B356)</f>
        <v/>
      </c>
      <c r="C356">
        <f>IF('Equipment Information'!C356="","", 'Equipment Information'!C356)</f>
        <v/>
      </c>
      <c r="I356">
        <f>IF(COUNT(F356:H356)&lt;2,"",AVERAGE(F356:H356))</f>
        <v/>
      </c>
      <c r="J356" s="3">
        <f>IF(I356="","",MAX(ABS(F356-I356),ABS(G356-I356),ABS(H356-I356))/I356)</f>
        <v/>
      </c>
      <c r="N356">
        <f>IF(COUNT(K356:M356)&lt;2,"",AVERAGE(K356:M356))</f>
        <v/>
      </c>
      <c r="R356" s="3">
        <f>IF(N356="","",MAX(ABS(K356-N356),ABS(L356-N356),ABS(M356-N356))/N356)</f>
        <v/>
      </c>
      <c r="S356">
        <f>IF(A356="","",IF(AND(F356="",K356=""),"N/A",IF(AND(J356="",R356=""),"Insufficient Load Data",IF(AND(J356&gt;0.03,R356&gt;0.15),"Voltage &amp; Current Imbalance",IF(J356&gt;0.03,"Voltage Imbalance",IF(R356&gt;0.15,"Current Imbalance","No Imbalances Detected")))))</f>
        <v/>
      </c>
      <c r="T356">
        <f>IF(A356="","",IF(AND(F356="",K356=""),"N/A",IF(OR(J356&gt;0.03,R356&gt;0.15),"Imbalance","Pass")))</f>
        <v/>
      </c>
    </row>
    <row r="357">
      <c r="A357">
        <f>IF('Equipment Information'!A357="","", 'Equipment Information'!A357)</f>
        <v/>
      </c>
      <c r="B357">
        <f>IF('Equipment Information'!B357="","", 'Equipment Information'!B357)</f>
        <v/>
      </c>
      <c r="C357">
        <f>IF('Equipment Information'!C357="","", 'Equipment Information'!C357)</f>
        <v/>
      </c>
      <c r="I357">
        <f>IF(COUNT(F357:H357)&lt;2,"",AVERAGE(F357:H357))</f>
        <v/>
      </c>
      <c r="J357" s="3">
        <f>IF(I357="","",MAX(ABS(F357-I357),ABS(G357-I357),ABS(H357-I357))/I357)</f>
        <v/>
      </c>
      <c r="N357">
        <f>IF(COUNT(K357:M357)&lt;2,"",AVERAGE(K357:M357))</f>
        <v/>
      </c>
      <c r="R357" s="3">
        <f>IF(N357="","",MAX(ABS(K357-N357),ABS(L357-N357),ABS(M357-N357))/N357)</f>
        <v/>
      </c>
      <c r="S357">
        <f>IF(A357="","",IF(AND(F357="",K357=""),"N/A",IF(AND(J357="",R357=""),"Insufficient Load Data",IF(AND(J357&gt;0.03,R357&gt;0.15),"Voltage &amp; Current Imbalance",IF(J357&gt;0.03,"Voltage Imbalance",IF(R357&gt;0.15,"Current Imbalance","No Imbalances Detected")))))</f>
        <v/>
      </c>
      <c r="T357">
        <f>IF(A357="","",IF(AND(F357="",K357=""),"N/A",IF(OR(J357&gt;0.03,R357&gt;0.15),"Imbalance","Pass")))</f>
        <v/>
      </c>
    </row>
    <row r="358">
      <c r="A358">
        <f>IF('Equipment Information'!A358="","", 'Equipment Information'!A358)</f>
        <v/>
      </c>
      <c r="B358">
        <f>IF('Equipment Information'!B358="","", 'Equipment Information'!B358)</f>
        <v/>
      </c>
      <c r="C358">
        <f>IF('Equipment Information'!C358="","", 'Equipment Information'!C358)</f>
        <v/>
      </c>
      <c r="I358">
        <f>IF(COUNT(F358:H358)&lt;2,"",AVERAGE(F358:H358))</f>
        <v/>
      </c>
      <c r="J358" s="3">
        <f>IF(I358="","",MAX(ABS(F358-I358),ABS(G358-I358),ABS(H358-I358))/I358)</f>
        <v/>
      </c>
      <c r="N358">
        <f>IF(COUNT(K358:M358)&lt;2,"",AVERAGE(K358:M358))</f>
        <v/>
      </c>
      <c r="R358" s="3">
        <f>IF(N358="","",MAX(ABS(K358-N358),ABS(L358-N358),ABS(M358-N358))/N358)</f>
        <v/>
      </c>
      <c r="S358">
        <f>IF(A358="","",IF(AND(F358="",K358=""),"N/A",IF(AND(J358="",R358=""),"Insufficient Load Data",IF(AND(J358&gt;0.03,R358&gt;0.15),"Voltage &amp; Current Imbalance",IF(J358&gt;0.03,"Voltage Imbalance",IF(R358&gt;0.15,"Current Imbalance","No Imbalances Detected")))))</f>
        <v/>
      </c>
      <c r="T358">
        <f>IF(A358="","",IF(AND(F358="",K358=""),"N/A",IF(OR(J358&gt;0.03,R358&gt;0.15),"Imbalance","Pass")))</f>
        <v/>
      </c>
    </row>
    <row r="359">
      <c r="A359">
        <f>IF('Equipment Information'!A359="","", 'Equipment Information'!A359)</f>
        <v/>
      </c>
      <c r="B359">
        <f>IF('Equipment Information'!B359="","", 'Equipment Information'!B359)</f>
        <v/>
      </c>
      <c r="C359">
        <f>IF('Equipment Information'!C359="","", 'Equipment Information'!C359)</f>
        <v/>
      </c>
      <c r="I359">
        <f>IF(COUNT(F359:H359)&lt;2,"",AVERAGE(F359:H359))</f>
        <v/>
      </c>
      <c r="J359" s="3">
        <f>IF(I359="","",MAX(ABS(F359-I359),ABS(G359-I359),ABS(H359-I359))/I359)</f>
        <v/>
      </c>
      <c r="N359">
        <f>IF(COUNT(K359:M359)&lt;2,"",AVERAGE(K359:M359))</f>
        <v/>
      </c>
      <c r="R359" s="3">
        <f>IF(N359="","",MAX(ABS(K359-N359),ABS(L359-N359),ABS(M359-N359))/N359)</f>
        <v/>
      </c>
      <c r="S359">
        <f>IF(A359="","",IF(AND(F359="",K359=""),"N/A",IF(AND(J359="",R359=""),"Insufficient Load Data",IF(AND(J359&gt;0.03,R359&gt;0.15),"Voltage &amp; Current Imbalance",IF(J359&gt;0.03,"Voltage Imbalance",IF(R359&gt;0.15,"Current Imbalance","No Imbalances Detected")))))</f>
        <v/>
      </c>
      <c r="T359">
        <f>IF(A359="","",IF(AND(F359="",K359=""),"N/A",IF(OR(J359&gt;0.03,R359&gt;0.15),"Imbalance","Pass")))</f>
        <v/>
      </c>
    </row>
    <row r="360">
      <c r="A360">
        <f>IF('Equipment Information'!A360="","", 'Equipment Information'!A360)</f>
        <v/>
      </c>
      <c r="B360">
        <f>IF('Equipment Information'!B360="","", 'Equipment Information'!B360)</f>
        <v/>
      </c>
      <c r="C360">
        <f>IF('Equipment Information'!C360="","", 'Equipment Information'!C360)</f>
        <v/>
      </c>
      <c r="I360">
        <f>IF(COUNT(F360:H360)&lt;2,"",AVERAGE(F360:H360))</f>
        <v/>
      </c>
      <c r="J360" s="3">
        <f>IF(I360="","",MAX(ABS(F360-I360),ABS(G360-I360),ABS(H360-I360))/I360)</f>
        <v/>
      </c>
      <c r="N360">
        <f>IF(COUNT(K360:M360)&lt;2,"",AVERAGE(K360:M360))</f>
        <v/>
      </c>
      <c r="R360" s="3">
        <f>IF(N360="","",MAX(ABS(K360-N360),ABS(L360-N360),ABS(M360-N360))/N360)</f>
        <v/>
      </c>
      <c r="S360">
        <f>IF(A360="","",IF(AND(F360="",K360=""),"N/A",IF(AND(J360="",R360=""),"Insufficient Load Data",IF(AND(J360&gt;0.03,R360&gt;0.15),"Voltage &amp; Current Imbalance",IF(J360&gt;0.03,"Voltage Imbalance",IF(R360&gt;0.15,"Current Imbalance","No Imbalances Detected")))))</f>
        <v/>
      </c>
      <c r="T360">
        <f>IF(A360="","",IF(AND(F360="",K360=""),"N/A",IF(OR(J360&gt;0.03,R360&gt;0.15),"Imbalance","Pass")))</f>
        <v/>
      </c>
    </row>
    <row r="361">
      <c r="A361">
        <f>IF('Equipment Information'!A361="","", 'Equipment Information'!A361)</f>
        <v/>
      </c>
      <c r="B361">
        <f>IF('Equipment Information'!B361="","", 'Equipment Information'!B361)</f>
        <v/>
      </c>
      <c r="C361">
        <f>IF('Equipment Information'!C361="","", 'Equipment Information'!C361)</f>
        <v/>
      </c>
      <c r="I361">
        <f>IF(COUNT(F361:H361)&lt;2,"",AVERAGE(F361:H361))</f>
        <v/>
      </c>
      <c r="J361" s="3">
        <f>IF(I361="","",MAX(ABS(F361-I361),ABS(G361-I361),ABS(H361-I361))/I361)</f>
        <v/>
      </c>
      <c r="N361">
        <f>IF(COUNT(K361:M361)&lt;2,"",AVERAGE(K361:M361))</f>
        <v/>
      </c>
      <c r="R361" s="3">
        <f>IF(N361="","",MAX(ABS(K361-N361),ABS(L361-N361),ABS(M361-N361))/N361)</f>
        <v/>
      </c>
      <c r="S361">
        <f>IF(A361="","",IF(AND(F361="",K361=""),"N/A",IF(AND(J361="",R361=""),"Insufficient Load Data",IF(AND(J361&gt;0.03,R361&gt;0.15),"Voltage &amp; Current Imbalance",IF(J361&gt;0.03,"Voltage Imbalance",IF(R361&gt;0.15,"Current Imbalance","No Imbalances Detected")))))</f>
        <v/>
      </c>
      <c r="T361">
        <f>IF(A361="","",IF(AND(F361="",K361=""),"N/A",IF(OR(J361&gt;0.03,R361&gt;0.15),"Imbalance","Pass")))</f>
        <v/>
      </c>
    </row>
    <row r="362">
      <c r="A362">
        <f>IF('Equipment Information'!A362="","", 'Equipment Information'!A362)</f>
        <v/>
      </c>
      <c r="B362">
        <f>IF('Equipment Information'!B362="","", 'Equipment Information'!B362)</f>
        <v/>
      </c>
      <c r="C362">
        <f>IF('Equipment Information'!C362="","", 'Equipment Information'!C362)</f>
        <v/>
      </c>
      <c r="I362">
        <f>IF(COUNT(F362:H362)&lt;2,"",AVERAGE(F362:H362))</f>
        <v/>
      </c>
      <c r="J362" s="3">
        <f>IF(I362="","",MAX(ABS(F362-I362),ABS(G362-I362),ABS(H362-I362))/I362)</f>
        <v/>
      </c>
      <c r="N362">
        <f>IF(COUNT(K362:M362)&lt;2,"",AVERAGE(K362:M362))</f>
        <v/>
      </c>
      <c r="R362" s="3">
        <f>IF(N362="","",MAX(ABS(K362-N362),ABS(L362-N362),ABS(M362-N362))/N362)</f>
        <v/>
      </c>
      <c r="S362">
        <f>IF(A362="","",IF(AND(F362="",K362=""),"N/A",IF(AND(J362="",R362=""),"Insufficient Load Data",IF(AND(J362&gt;0.03,R362&gt;0.15),"Voltage &amp; Current Imbalance",IF(J362&gt;0.03,"Voltage Imbalance",IF(R362&gt;0.15,"Current Imbalance","No Imbalances Detected")))))</f>
        <v/>
      </c>
      <c r="T362">
        <f>IF(A362="","",IF(AND(F362="",K362=""),"N/A",IF(OR(J362&gt;0.03,R362&gt;0.15),"Imbalance","Pass")))</f>
        <v/>
      </c>
    </row>
    <row r="363">
      <c r="A363">
        <f>IF('Equipment Information'!A363="","", 'Equipment Information'!A363)</f>
        <v/>
      </c>
      <c r="B363">
        <f>IF('Equipment Information'!B363="","", 'Equipment Information'!B363)</f>
        <v/>
      </c>
      <c r="C363">
        <f>IF('Equipment Information'!C363="","", 'Equipment Information'!C363)</f>
        <v/>
      </c>
      <c r="I363">
        <f>IF(COUNT(F363:H363)&lt;2,"",AVERAGE(F363:H363))</f>
        <v/>
      </c>
      <c r="J363" s="3">
        <f>IF(I363="","",MAX(ABS(F363-I363),ABS(G363-I363),ABS(H363-I363))/I363)</f>
        <v/>
      </c>
      <c r="N363">
        <f>IF(COUNT(K363:M363)&lt;2,"",AVERAGE(K363:M363))</f>
        <v/>
      </c>
      <c r="R363" s="3">
        <f>IF(N363="","",MAX(ABS(K363-N363),ABS(L363-N363),ABS(M363-N363))/N363)</f>
        <v/>
      </c>
      <c r="S363">
        <f>IF(A363="","",IF(AND(F363="",K363=""),"N/A",IF(AND(J363="",R363=""),"Insufficient Load Data",IF(AND(J363&gt;0.03,R363&gt;0.15),"Voltage &amp; Current Imbalance",IF(J363&gt;0.03,"Voltage Imbalance",IF(R363&gt;0.15,"Current Imbalance","No Imbalances Detected")))))</f>
        <v/>
      </c>
      <c r="T363">
        <f>IF(A363="","",IF(AND(F363="",K363=""),"N/A",IF(OR(J363&gt;0.03,R363&gt;0.15),"Imbalance","Pass")))</f>
        <v/>
      </c>
    </row>
    <row r="364">
      <c r="A364">
        <f>IF('Equipment Information'!A364="","", 'Equipment Information'!A364)</f>
        <v/>
      </c>
      <c r="B364">
        <f>IF('Equipment Information'!B364="","", 'Equipment Information'!B364)</f>
        <v/>
      </c>
      <c r="C364">
        <f>IF('Equipment Information'!C364="","", 'Equipment Information'!C364)</f>
        <v/>
      </c>
      <c r="I364">
        <f>IF(COUNT(F364:H364)&lt;2,"",AVERAGE(F364:H364))</f>
        <v/>
      </c>
      <c r="J364" s="3">
        <f>IF(I364="","",MAX(ABS(F364-I364),ABS(G364-I364),ABS(H364-I364))/I364)</f>
        <v/>
      </c>
      <c r="N364">
        <f>IF(COUNT(K364:M364)&lt;2,"",AVERAGE(K364:M364))</f>
        <v/>
      </c>
      <c r="R364" s="3">
        <f>IF(N364="","",MAX(ABS(K364-N364),ABS(L364-N364),ABS(M364-N364))/N364)</f>
        <v/>
      </c>
      <c r="S364">
        <f>IF(A364="","",IF(AND(F364="",K364=""),"N/A",IF(AND(J364="",R364=""),"Insufficient Load Data",IF(AND(J364&gt;0.03,R364&gt;0.15),"Voltage &amp; Current Imbalance",IF(J364&gt;0.03,"Voltage Imbalance",IF(R364&gt;0.15,"Current Imbalance","No Imbalances Detected")))))</f>
        <v/>
      </c>
      <c r="T364">
        <f>IF(A364="","",IF(AND(F364="",K364=""),"N/A",IF(OR(J364&gt;0.03,R364&gt;0.15),"Imbalance","Pass")))</f>
        <v/>
      </c>
    </row>
    <row r="365">
      <c r="A365">
        <f>IF('Equipment Information'!A365="","", 'Equipment Information'!A365)</f>
        <v/>
      </c>
      <c r="B365">
        <f>IF('Equipment Information'!B365="","", 'Equipment Information'!B365)</f>
        <v/>
      </c>
      <c r="C365">
        <f>IF('Equipment Information'!C365="","", 'Equipment Information'!C365)</f>
        <v/>
      </c>
      <c r="I365">
        <f>IF(COUNT(F365:H365)&lt;2,"",AVERAGE(F365:H365))</f>
        <v/>
      </c>
      <c r="J365" s="3">
        <f>IF(I365="","",MAX(ABS(F365-I365),ABS(G365-I365),ABS(H365-I365))/I365)</f>
        <v/>
      </c>
      <c r="N365">
        <f>IF(COUNT(K365:M365)&lt;2,"",AVERAGE(K365:M365))</f>
        <v/>
      </c>
      <c r="R365" s="3">
        <f>IF(N365="","",MAX(ABS(K365-N365),ABS(L365-N365),ABS(M365-N365))/N365)</f>
        <v/>
      </c>
      <c r="S365">
        <f>IF(A365="","",IF(AND(F365="",K365=""),"N/A",IF(AND(J365="",R365=""),"Insufficient Load Data",IF(AND(J365&gt;0.03,R365&gt;0.15),"Voltage &amp; Current Imbalance",IF(J365&gt;0.03,"Voltage Imbalance",IF(R365&gt;0.15,"Current Imbalance","No Imbalances Detected")))))</f>
        <v/>
      </c>
      <c r="T365">
        <f>IF(A365="","",IF(AND(F365="",K365=""),"N/A",IF(OR(J365&gt;0.03,R365&gt;0.15),"Imbalance","Pass")))</f>
        <v/>
      </c>
    </row>
    <row r="366">
      <c r="A366">
        <f>IF('Equipment Information'!A366="","", 'Equipment Information'!A366)</f>
        <v/>
      </c>
      <c r="B366">
        <f>IF('Equipment Information'!B366="","", 'Equipment Information'!B366)</f>
        <v/>
      </c>
      <c r="C366">
        <f>IF('Equipment Information'!C366="","", 'Equipment Information'!C366)</f>
        <v/>
      </c>
      <c r="I366">
        <f>IF(COUNT(F366:H366)&lt;2,"",AVERAGE(F366:H366))</f>
        <v/>
      </c>
      <c r="J366" s="3">
        <f>IF(I366="","",MAX(ABS(F366-I366),ABS(G366-I366),ABS(H366-I366))/I366)</f>
        <v/>
      </c>
      <c r="N366">
        <f>IF(COUNT(K366:M366)&lt;2,"",AVERAGE(K366:M366))</f>
        <v/>
      </c>
      <c r="R366" s="3">
        <f>IF(N366="","",MAX(ABS(K366-N366),ABS(L366-N366),ABS(M366-N366))/N366)</f>
        <v/>
      </c>
      <c r="S366">
        <f>IF(A366="","",IF(AND(F366="",K366=""),"N/A",IF(AND(J366="",R366=""),"Insufficient Load Data",IF(AND(J366&gt;0.03,R366&gt;0.15),"Voltage &amp; Current Imbalance",IF(J366&gt;0.03,"Voltage Imbalance",IF(R366&gt;0.15,"Current Imbalance","No Imbalances Detected")))))</f>
        <v/>
      </c>
      <c r="T366">
        <f>IF(A366="","",IF(AND(F366="",K366=""),"N/A",IF(OR(J366&gt;0.03,R366&gt;0.15),"Imbalance","Pass")))</f>
        <v/>
      </c>
    </row>
    <row r="367">
      <c r="A367">
        <f>IF('Equipment Information'!A367="","", 'Equipment Information'!A367)</f>
        <v/>
      </c>
      <c r="B367">
        <f>IF('Equipment Information'!B367="","", 'Equipment Information'!B367)</f>
        <v/>
      </c>
      <c r="C367">
        <f>IF('Equipment Information'!C367="","", 'Equipment Information'!C367)</f>
        <v/>
      </c>
      <c r="I367">
        <f>IF(COUNT(F367:H367)&lt;2,"",AVERAGE(F367:H367))</f>
        <v/>
      </c>
      <c r="J367" s="3">
        <f>IF(I367="","",MAX(ABS(F367-I367),ABS(G367-I367),ABS(H367-I367))/I367)</f>
        <v/>
      </c>
      <c r="N367">
        <f>IF(COUNT(K367:M367)&lt;2,"",AVERAGE(K367:M367))</f>
        <v/>
      </c>
      <c r="R367" s="3">
        <f>IF(N367="","",MAX(ABS(K367-N367),ABS(L367-N367),ABS(M367-N367))/N367)</f>
        <v/>
      </c>
      <c r="S367">
        <f>IF(A367="","",IF(AND(F367="",K367=""),"N/A",IF(AND(J367="",R367=""),"Insufficient Load Data",IF(AND(J367&gt;0.03,R367&gt;0.15),"Voltage &amp; Current Imbalance",IF(J367&gt;0.03,"Voltage Imbalance",IF(R367&gt;0.15,"Current Imbalance","No Imbalances Detected")))))</f>
        <v/>
      </c>
      <c r="T367">
        <f>IF(A367="","",IF(AND(F367="",K367=""),"N/A",IF(OR(J367&gt;0.03,R367&gt;0.15),"Imbalance","Pass")))</f>
        <v/>
      </c>
    </row>
    <row r="368">
      <c r="A368">
        <f>IF('Equipment Information'!A368="","", 'Equipment Information'!A368)</f>
        <v/>
      </c>
      <c r="B368">
        <f>IF('Equipment Information'!B368="","", 'Equipment Information'!B368)</f>
        <v/>
      </c>
      <c r="C368">
        <f>IF('Equipment Information'!C368="","", 'Equipment Information'!C368)</f>
        <v/>
      </c>
      <c r="I368">
        <f>IF(COUNT(F368:H368)&lt;2,"",AVERAGE(F368:H368))</f>
        <v/>
      </c>
      <c r="J368" s="3">
        <f>IF(I368="","",MAX(ABS(F368-I368),ABS(G368-I368),ABS(H368-I368))/I368)</f>
        <v/>
      </c>
      <c r="N368">
        <f>IF(COUNT(K368:M368)&lt;2,"",AVERAGE(K368:M368))</f>
        <v/>
      </c>
      <c r="R368" s="3">
        <f>IF(N368="","",MAX(ABS(K368-N368),ABS(L368-N368),ABS(M368-N368))/N368)</f>
        <v/>
      </c>
      <c r="S368">
        <f>IF(A368="","",IF(AND(F368="",K368=""),"N/A",IF(AND(J368="",R368=""),"Insufficient Load Data",IF(AND(J368&gt;0.03,R368&gt;0.15),"Voltage &amp; Current Imbalance",IF(J368&gt;0.03,"Voltage Imbalance",IF(R368&gt;0.15,"Current Imbalance","No Imbalances Detected")))))</f>
        <v/>
      </c>
      <c r="T368">
        <f>IF(A368="","",IF(AND(F368="",K368=""),"N/A",IF(OR(J368&gt;0.03,R368&gt;0.15),"Imbalance","Pass")))</f>
        <v/>
      </c>
    </row>
    <row r="369">
      <c r="A369">
        <f>IF('Equipment Information'!A369="","", 'Equipment Information'!A369)</f>
        <v/>
      </c>
      <c r="B369">
        <f>IF('Equipment Information'!B369="","", 'Equipment Information'!B369)</f>
        <v/>
      </c>
      <c r="C369">
        <f>IF('Equipment Information'!C369="","", 'Equipment Information'!C369)</f>
        <v/>
      </c>
      <c r="I369">
        <f>IF(COUNT(F369:H369)&lt;2,"",AVERAGE(F369:H369))</f>
        <v/>
      </c>
      <c r="J369" s="3">
        <f>IF(I369="","",MAX(ABS(F369-I369),ABS(G369-I369),ABS(H369-I369))/I369)</f>
        <v/>
      </c>
      <c r="N369">
        <f>IF(COUNT(K369:M369)&lt;2,"",AVERAGE(K369:M369))</f>
        <v/>
      </c>
      <c r="R369" s="3">
        <f>IF(N369="","",MAX(ABS(K369-N369),ABS(L369-N369),ABS(M369-N369))/N369)</f>
        <v/>
      </c>
      <c r="S369">
        <f>IF(A369="","",IF(AND(F369="",K369=""),"N/A",IF(AND(J369="",R369=""),"Insufficient Load Data",IF(AND(J369&gt;0.03,R369&gt;0.15),"Voltage &amp; Current Imbalance",IF(J369&gt;0.03,"Voltage Imbalance",IF(R369&gt;0.15,"Current Imbalance","No Imbalances Detected")))))</f>
        <v/>
      </c>
      <c r="T369">
        <f>IF(A369="","",IF(AND(F369="",K369=""),"N/A",IF(OR(J369&gt;0.03,R369&gt;0.15),"Imbalance","Pass")))</f>
        <v/>
      </c>
    </row>
    <row r="370">
      <c r="A370">
        <f>IF('Equipment Information'!A370="","", 'Equipment Information'!A370)</f>
        <v/>
      </c>
      <c r="B370">
        <f>IF('Equipment Information'!B370="","", 'Equipment Information'!B370)</f>
        <v/>
      </c>
      <c r="C370">
        <f>IF('Equipment Information'!C370="","", 'Equipment Information'!C370)</f>
        <v/>
      </c>
      <c r="I370">
        <f>IF(COUNT(F370:H370)&lt;2,"",AVERAGE(F370:H370))</f>
        <v/>
      </c>
      <c r="J370" s="3">
        <f>IF(I370="","",MAX(ABS(F370-I370),ABS(G370-I370),ABS(H370-I370))/I370)</f>
        <v/>
      </c>
      <c r="N370">
        <f>IF(COUNT(K370:M370)&lt;2,"",AVERAGE(K370:M370))</f>
        <v/>
      </c>
      <c r="R370" s="3">
        <f>IF(N370="","",MAX(ABS(K370-N370),ABS(L370-N370),ABS(M370-N370))/N370)</f>
        <v/>
      </c>
      <c r="S370">
        <f>IF(A370="","",IF(AND(F370="",K370=""),"N/A",IF(AND(J370="",R370=""),"Insufficient Load Data",IF(AND(J370&gt;0.03,R370&gt;0.15),"Voltage &amp; Current Imbalance",IF(J370&gt;0.03,"Voltage Imbalance",IF(R370&gt;0.15,"Current Imbalance","No Imbalances Detected")))))</f>
        <v/>
      </c>
      <c r="T370">
        <f>IF(A370="","",IF(AND(F370="",K370=""),"N/A",IF(OR(J370&gt;0.03,R370&gt;0.15),"Imbalance","Pass")))</f>
        <v/>
      </c>
    </row>
    <row r="371">
      <c r="A371">
        <f>IF('Equipment Information'!A371="","", 'Equipment Information'!A371)</f>
        <v/>
      </c>
      <c r="B371">
        <f>IF('Equipment Information'!B371="","", 'Equipment Information'!B371)</f>
        <v/>
      </c>
      <c r="C371">
        <f>IF('Equipment Information'!C371="","", 'Equipment Information'!C371)</f>
        <v/>
      </c>
      <c r="I371">
        <f>IF(COUNT(F371:H371)&lt;2,"",AVERAGE(F371:H371))</f>
        <v/>
      </c>
      <c r="J371" s="3">
        <f>IF(I371="","",MAX(ABS(F371-I371),ABS(G371-I371),ABS(H371-I371))/I371)</f>
        <v/>
      </c>
      <c r="N371">
        <f>IF(COUNT(K371:M371)&lt;2,"",AVERAGE(K371:M371))</f>
        <v/>
      </c>
      <c r="R371" s="3">
        <f>IF(N371="","",MAX(ABS(K371-N371),ABS(L371-N371),ABS(M371-N371))/N371)</f>
        <v/>
      </c>
      <c r="S371">
        <f>IF(A371="","",IF(AND(F371="",K371=""),"N/A",IF(AND(J371="",R371=""),"Insufficient Load Data",IF(AND(J371&gt;0.03,R371&gt;0.15),"Voltage &amp; Current Imbalance",IF(J371&gt;0.03,"Voltage Imbalance",IF(R371&gt;0.15,"Current Imbalance","No Imbalances Detected")))))</f>
        <v/>
      </c>
      <c r="T371">
        <f>IF(A371="","",IF(AND(F371="",K371=""),"N/A",IF(OR(J371&gt;0.03,R371&gt;0.15),"Imbalance","Pass")))</f>
        <v/>
      </c>
    </row>
    <row r="372">
      <c r="A372">
        <f>IF('Equipment Information'!A372="","", 'Equipment Information'!A372)</f>
        <v/>
      </c>
      <c r="B372">
        <f>IF('Equipment Information'!B372="","", 'Equipment Information'!B372)</f>
        <v/>
      </c>
      <c r="C372">
        <f>IF('Equipment Information'!C372="","", 'Equipment Information'!C372)</f>
        <v/>
      </c>
      <c r="I372">
        <f>IF(COUNT(F372:H372)&lt;2,"",AVERAGE(F372:H372))</f>
        <v/>
      </c>
      <c r="J372" s="3">
        <f>IF(I372="","",MAX(ABS(F372-I372),ABS(G372-I372),ABS(H372-I372))/I372)</f>
        <v/>
      </c>
      <c r="N372">
        <f>IF(COUNT(K372:M372)&lt;2,"",AVERAGE(K372:M372))</f>
        <v/>
      </c>
      <c r="R372" s="3">
        <f>IF(N372="","",MAX(ABS(K372-N372),ABS(L372-N372),ABS(M372-N372))/N372)</f>
        <v/>
      </c>
      <c r="S372">
        <f>IF(A372="","",IF(AND(F372="",K372=""),"N/A",IF(AND(J372="",R372=""),"Insufficient Load Data",IF(AND(J372&gt;0.03,R372&gt;0.15),"Voltage &amp; Current Imbalance",IF(J372&gt;0.03,"Voltage Imbalance",IF(R372&gt;0.15,"Current Imbalance","No Imbalances Detected")))))</f>
        <v/>
      </c>
      <c r="T372">
        <f>IF(A372="","",IF(AND(F372="",K372=""),"N/A",IF(OR(J372&gt;0.03,R372&gt;0.15),"Imbalance","Pass")))</f>
        <v/>
      </c>
    </row>
    <row r="373">
      <c r="A373">
        <f>IF('Equipment Information'!A373="","", 'Equipment Information'!A373)</f>
        <v/>
      </c>
      <c r="B373">
        <f>IF('Equipment Information'!B373="","", 'Equipment Information'!B373)</f>
        <v/>
      </c>
      <c r="C373">
        <f>IF('Equipment Information'!C373="","", 'Equipment Information'!C373)</f>
        <v/>
      </c>
      <c r="I373">
        <f>IF(COUNT(F373:H373)&lt;2,"",AVERAGE(F373:H373))</f>
        <v/>
      </c>
      <c r="J373" s="3">
        <f>IF(I373="","",MAX(ABS(F373-I373),ABS(G373-I373),ABS(H373-I373))/I373)</f>
        <v/>
      </c>
      <c r="N373">
        <f>IF(COUNT(K373:M373)&lt;2,"",AVERAGE(K373:M373))</f>
        <v/>
      </c>
      <c r="R373" s="3">
        <f>IF(N373="","",MAX(ABS(K373-N373),ABS(L373-N373),ABS(M373-N373))/N373)</f>
        <v/>
      </c>
      <c r="S373">
        <f>IF(A373="","",IF(AND(F373="",K373=""),"N/A",IF(AND(J373="",R373=""),"Insufficient Load Data",IF(AND(J373&gt;0.03,R373&gt;0.15),"Voltage &amp; Current Imbalance",IF(J373&gt;0.03,"Voltage Imbalance",IF(R373&gt;0.15,"Current Imbalance","No Imbalances Detected")))))</f>
        <v/>
      </c>
      <c r="T373">
        <f>IF(A373="","",IF(AND(F373="",K373=""),"N/A",IF(OR(J373&gt;0.03,R373&gt;0.15),"Imbalance","Pass")))</f>
        <v/>
      </c>
    </row>
    <row r="374">
      <c r="A374">
        <f>IF('Equipment Information'!A374="","", 'Equipment Information'!A374)</f>
        <v/>
      </c>
      <c r="B374">
        <f>IF('Equipment Information'!B374="","", 'Equipment Information'!B374)</f>
        <v/>
      </c>
      <c r="C374">
        <f>IF('Equipment Information'!C374="","", 'Equipment Information'!C374)</f>
        <v/>
      </c>
      <c r="I374">
        <f>IF(COUNT(F374:H374)&lt;2,"",AVERAGE(F374:H374))</f>
        <v/>
      </c>
      <c r="J374" s="3">
        <f>IF(I374="","",MAX(ABS(F374-I374),ABS(G374-I374),ABS(H374-I374))/I374)</f>
        <v/>
      </c>
      <c r="N374">
        <f>IF(COUNT(K374:M374)&lt;2,"",AVERAGE(K374:M374))</f>
        <v/>
      </c>
      <c r="R374" s="3">
        <f>IF(N374="","",MAX(ABS(K374-N374),ABS(L374-N374),ABS(M374-N374))/N374)</f>
        <v/>
      </c>
      <c r="S374">
        <f>IF(A374="","",IF(AND(F374="",K374=""),"N/A",IF(AND(J374="",R374=""),"Insufficient Load Data",IF(AND(J374&gt;0.03,R374&gt;0.15),"Voltage &amp; Current Imbalance",IF(J374&gt;0.03,"Voltage Imbalance",IF(R374&gt;0.15,"Current Imbalance","No Imbalances Detected")))))</f>
        <v/>
      </c>
      <c r="T374">
        <f>IF(A374="","",IF(AND(F374="",K374=""),"N/A",IF(OR(J374&gt;0.03,R374&gt;0.15),"Imbalance","Pass")))</f>
        <v/>
      </c>
    </row>
    <row r="375">
      <c r="A375">
        <f>IF('Equipment Information'!A375="","", 'Equipment Information'!A375)</f>
        <v/>
      </c>
      <c r="B375">
        <f>IF('Equipment Information'!B375="","", 'Equipment Information'!B375)</f>
        <v/>
      </c>
      <c r="C375">
        <f>IF('Equipment Information'!C375="","", 'Equipment Information'!C375)</f>
        <v/>
      </c>
      <c r="I375">
        <f>IF(COUNT(F375:H375)&lt;2,"",AVERAGE(F375:H375))</f>
        <v/>
      </c>
      <c r="J375" s="3">
        <f>IF(I375="","",MAX(ABS(F375-I375),ABS(G375-I375),ABS(H375-I375))/I375)</f>
        <v/>
      </c>
      <c r="N375">
        <f>IF(COUNT(K375:M375)&lt;2,"",AVERAGE(K375:M375))</f>
        <v/>
      </c>
      <c r="R375" s="3">
        <f>IF(N375="","",MAX(ABS(K375-N375),ABS(L375-N375),ABS(M375-N375))/N375)</f>
        <v/>
      </c>
      <c r="S375">
        <f>IF(A375="","",IF(AND(F375="",K375=""),"N/A",IF(AND(J375="",R375=""),"Insufficient Load Data",IF(AND(J375&gt;0.03,R375&gt;0.15),"Voltage &amp; Current Imbalance",IF(J375&gt;0.03,"Voltage Imbalance",IF(R375&gt;0.15,"Current Imbalance","No Imbalances Detected")))))</f>
        <v/>
      </c>
      <c r="T375">
        <f>IF(A375="","",IF(AND(F375="",K375=""),"N/A",IF(OR(J375&gt;0.03,R375&gt;0.15),"Imbalance","Pass")))</f>
        <v/>
      </c>
    </row>
    <row r="376">
      <c r="A376">
        <f>IF('Equipment Information'!A376="","", 'Equipment Information'!A376)</f>
        <v/>
      </c>
      <c r="B376">
        <f>IF('Equipment Information'!B376="","", 'Equipment Information'!B376)</f>
        <v/>
      </c>
      <c r="C376">
        <f>IF('Equipment Information'!C376="","", 'Equipment Information'!C376)</f>
        <v/>
      </c>
      <c r="I376">
        <f>IF(COUNT(F376:H376)&lt;2,"",AVERAGE(F376:H376))</f>
        <v/>
      </c>
      <c r="J376" s="3">
        <f>IF(I376="","",MAX(ABS(F376-I376),ABS(G376-I376),ABS(H376-I376))/I376)</f>
        <v/>
      </c>
      <c r="N376">
        <f>IF(COUNT(K376:M376)&lt;2,"",AVERAGE(K376:M376))</f>
        <v/>
      </c>
      <c r="R376" s="3">
        <f>IF(N376="","",MAX(ABS(K376-N376),ABS(L376-N376),ABS(M376-N376))/N376)</f>
        <v/>
      </c>
      <c r="S376">
        <f>IF(A376="","",IF(AND(F376="",K376=""),"N/A",IF(AND(J376="",R376=""),"Insufficient Load Data",IF(AND(J376&gt;0.03,R376&gt;0.15),"Voltage &amp; Current Imbalance",IF(J376&gt;0.03,"Voltage Imbalance",IF(R376&gt;0.15,"Current Imbalance","No Imbalances Detected")))))</f>
        <v/>
      </c>
      <c r="T376">
        <f>IF(A376="","",IF(AND(F376="",K376=""),"N/A",IF(OR(J376&gt;0.03,R376&gt;0.15),"Imbalance","Pass")))</f>
        <v/>
      </c>
    </row>
    <row r="377">
      <c r="A377">
        <f>IF('Equipment Information'!A377="","", 'Equipment Information'!A377)</f>
        <v/>
      </c>
      <c r="B377">
        <f>IF('Equipment Information'!B377="","", 'Equipment Information'!B377)</f>
        <v/>
      </c>
      <c r="C377">
        <f>IF('Equipment Information'!C377="","", 'Equipment Information'!C377)</f>
        <v/>
      </c>
      <c r="I377">
        <f>IF(COUNT(F377:H377)&lt;2,"",AVERAGE(F377:H377))</f>
        <v/>
      </c>
      <c r="J377" s="3">
        <f>IF(I377="","",MAX(ABS(F377-I377),ABS(G377-I377),ABS(H377-I377))/I377)</f>
        <v/>
      </c>
      <c r="N377">
        <f>IF(COUNT(K377:M377)&lt;2,"",AVERAGE(K377:M377))</f>
        <v/>
      </c>
      <c r="R377" s="3">
        <f>IF(N377="","",MAX(ABS(K377-N377),ABS(L377-N377),ABS(M377-N377))/N377)</f>
        <v/>
      </c>
      <c r="S377">
        <f>IF(A377="","",IF(AND(F377="",K377=""),"N/A",IF(AND(J377="",R377=""),"Insufficient Load Data",IF(AND(J377&gt;0.03,R377&gt;0.15),"Voltage &amp; Current Imbalance",IF(J377&gt;0.03,"Voltage Imbalance",IF(R377&gt;0.15,"Current Imbalance","No Imbalances Detected")))))</f>
        <v/>
      </c>
      <c r="T377">
        <f>IF(A377="","",IF(AND(F377="",K377=""),"N/A",IF(OR(J377&gt;0.03,R377&gt;0.15),"Imbalance","Pass")))</f>
        <v/>
      </c>
    </row>
    <row r="378">
      <c r="A378">
        <f>IF('Equipment Information'!A378="","", 'Equipment Information'!A378)</f>
        <v/>
      </c>
      <c r="B378">
        <f>IF('Equipment Information'!B378="","", 'Equipment Information'!B378)</f>
        <v/>
      </c>
      <c r="C378">
        <f>IF('Equipment Information'!C378="","", 'Equipment Information'!C378)</f>
        <v/>
      </c>
      <c r="I378">
        <f>IF(COUNT(F378:H378)&lt;2,"",AVERAGE(F378:H378))</f>
        <v/>
      </c>
      <c r="J378" s="3">
        <f>IF(I378="","",MAX(ABS(F378-I378),ABS(G378-I378),ABS(H378-I378))/I378)</f>
        <v/>
      </c>
      <c r="N378">
        <f>IF(COUNT(K378:M378)&lt;2,"",AVERAGE(K378:M378))</f>
        <v/>
      </c>
      <c r="R378" s="3">
        <f>IF(N378="","",MAX(ABS(K378-N378),ABS(L378-N378),ABS(M378-N378))/N378)</f>
        <v/>
      </c>
      <c r="S378">
        <f>IF(A378="","",IF(AND(F378="",K378=""),"N/A",IF(AND(J378="",R378=""),"Insufficient Load Data",IF(AND(J378&gt;0.03,R378&gt;0.15),"Voltage &amp; Current Imbalance",IF(J378&gt;0.03,"Voltage Imbalance",IF(R378&gt;0.15,"Current Imbalance","No Imbalances Detected")))))</f>
        <v/>
      </c>
      <c r="T378">
        <f>IF(A378="","",IF(AND(F378="",K378=""),"N/A",IF(OR(J378&gt;0.03,R378&gt;0.15),"Imbalance","Pass")))</f>
        <v/>
      </c>
    </row>
    <row r="379">
      <c r="A379">
        <f>IF('Equipment Information'!A379="","", 'Equipment Information'!A379)</f>
        <v/>
      </c>
      <c r="B379">
        <f>IF('Equipment Information'!B379="","", 'Equipment Information'!B379)</f>
        <v/>
      </c>
      <c r="C379">
        <f>IF('Equipment Information'!C379="","", 'Equipment Information'!C379)</f>
        <v/>
      </c>
      <c r="I379">
        <f>IF(COUNT(F379:H379)&lt;2,"",AVERAGE(F379:H379))</f>
        <v/>
      </c>
      <c r="J379" s="3">
        <f>IF(I379="","",MAX(ABS(F379-I379),ABS(G379-I379),ABS(H379-I379))/I379)</f>
        <v/>
      </c>
      <c r="N379">
        <f>IF(COUNT(K379:M379)&lt;2,"",AVERAGE(K379:M379))</f>
        <v/>
      </c>
      <c r="R379" s="3">
        <f>IF(N379="","",MAX(ABS(K379-N379),ABS(L379-N379),ABS(M379-N379))/N379)</f>
        <v/>
      </c>
      <c r="S379">
        <f>IF(A379="","",IF(AND(F379="",K379=""),"N/A",IF(AND(J379="",R379=""),"Insufficient Load Data",IF(AND(J379&gt;0.03,R379&gt;0.15),"Voltage &amp; Current Imbalance",IF(J379&gt;0.03,"Voltage Imbalance",IF(R379&gt;0.15,"Current Imbalance","No Imbalances Detected")))))</f>
        <v/>
      </c>
      <c r="T379">
        <f>IF(A379="","",IF(AND(F379="",K379=""),"N/A",IF(OR(J379&gt;0.03,R379&gt;0.15),"Imbalance","Pass")))</f>
        <v/>
      </c>
    </row>
    <row r="380">
      <c r="A380">
        <f>IF('Equipment Information'!A380="","", 'Equipment Information'!A380)</f>
        <v/>
      </c>
      <c r="B380">
        <f>IF('Equipment Information'!B380="","", 'Equipment Information'!B380)</f>
        <v/>
      </c>
      <c r="C380">
        <f>IF('Equipment Information'!C380="","", 'Equipment Information'!C380)</f>
        <v/>
      </c>
      <c r="I380">
        <f>IF(COUNT(F380:H380)&lt;2,"",AVERAGE(F380:H380))</f>
        <v/>
      </c>
      <c r="J380" s="3">
        <f>IF(I380="","",MAX(ABS(F380-I380),ABS(G380-I380),ABS(H380-I380))/I380)</f>
        <v/>
      </c>
      <c r="N380">
        <f>IF(COUNT(K380:M380)&lt;2,"",AVERAGE(K380:M380))</f>
        <v/>
      </c>
      <c r="R380" s="3">
        <f>IF(N380="","",MAX(ABS(K380-N380),ABS(L380-N380),ABS(M380-N380))/N380)</f>
        <v/>
      </c>
      <c r="S380">
        <f>IF(A380="","",IF(AND(F380="",K380=""),"N/A",IF(AND(J380="",R380=""),"Insufficient Load Data",IF(AND(J380&gt;0.03,R380&gt;0.15),"Voltage &amp; Current Imbalance",IF(J380&gt;0.03,"Voltage Imbalance",IF(R380&gt;0.15,"Current Imbalance","No Imbalances Detected")))))</f>
        <v/>
      </c>
      <c r="T380">
        <f>IF(A380="","",IF(AND(F380="",K380=""),"N/A",IF(OR(J380&gt;0.03,R380&gt;0.15),"Imbalance","Pass")))</f>
        <v/>
      </c>
    </row>
    <row r="381">
      <c r="A381">
        <f>IF('Equipment Information'!A381="","", 'Equipment Information'!A381)</f>
        <v/>
      </c>
      <c r="B381">
        <f>IF('Equipment Information'!B381="","", 'Equipment Information'!B381)</f>
        <v/>
      </c>
      <c r="C381">
        <f>IF('Equipment Information'!C381="","", 'Equipment Information'!C381)</f>
        <v/>
      </c>
      <c r="I381">
        <f>IF(COUNT(F381:H381)&lt;2,"",AVERAGE(F381:H381))</f>
        <v/>
      </c>
      <c r="J381" s="3">
        <f>IF(I381="","",MAX(ABS(F381-I381),ABS(G381-I381),ABS(H381-I381))/I381)</f>
        <v/>
      </c>
      <c r="N381">
        <f>IF(COUNT(K381:M381)&lt;2,"",AVERAGE(K381:M381))</f>
        <v/>
      </c>
      <c r="R381" s="3">
        <f>IF(N381="","",MAX(ABS(K381-N381),ABS(L381-N381),ABS(M381-N381))/N381)</f>
        <v/>
      </c>
      <c r="S381">
        <f>IF(A381="","",IF(AND(F381="",K381=""),"N/A",IF(AND(J381="",R381=""),"Insufficient Load Data",IF(AND(J381&gt;0.03,R381&gt;0.15),"Voltage &amp; Current Imbalance",IF(J381&gt;0.03,"Voltage Imbalance",IF(R381&gt;0.15,"Current Imbalance","No Imbalances Detected")))))</f>
        <v/>
      </c>
      <c r="T381">
        <f>IF(A381="","",IF(AND(F381="",K381=""),"N/A",IF(OR(J381&gt;0.03,R381&gt;0.15),"Imbalance","Pass")))</f>
        <v/>
      </c>
    </row>
    <row r="382">
      <c r="A382">
        <f>IF('Equipment Information'!A382="","", 'Equipment Information'!A382)</f>
        <v/>
      </c>
      <c r="B382">
        <f>IF('Equipment Information'!B382="","", 'Equipment Information'!B382)</f>
        <v/>
      </c>
      <c r="C382">
        <f>IF('Equipment Information'!C382="","", 'Equipment Information'!C382)</f>
        <v/>
      </c>
      <c r="I382">
        <f>IF(COUNT(F382:H382)&lt;2,"",AVERAGE(F382:H382))</f>
        <v/>
      </c>
      <c r="J382" s="3">
        <f>IF(I382="","",MAX(ABS(F382-I382),ABS(G382-I382),ABS(H382-I382))/I382)</f>
        <v/>
      </c>
      <c r="N382">
        <f>IF(COUNT(K382:M382)&lt;2,"",AVERAGE(K382:M382))</f>
        <v/>
      </c>
      <c r="R382" s="3">
        <f>IF(N382="","",MAX(ABS(K382-N382),ABS(L382-N382),ABS(M382-N382))/N382)</f>
        <v/>
      </c>
      <c r="S382">
        <f>IF(A382="","",IF(AND(F382="",K382=""),"N/A",IF(AND(J382="",R382=""),"Insufficient Load Data",IF(AND(J382&gt;0.03,R382&gt;0.15),"Voltage &amp; Current Imbalance",IF(J382&gt;0.03,"Voltage Imbalance",IF(R382&gt;0.15,"Current Imbalance","No Imbalances Detected")))))</f>
        <v/>
      </c>
      <c r="T382">
        <f>IF(A382="","",IF(AND(F382="",K382=""),"N/A",IF(OR(J382&gt;0.03,R382&gt;0.15),"Imbalance","Pass")))</f>
        <v/>
      </c>
    </row>
    <row r="383">
      <c r="A383">
        <f>IF('Equipment Information'!A383="","", 'Equipment Information'!A383)</f>
        <v/>
      </c>
      <c r="B383">
        <f>IF('Equipment Information'!B383="","", 'Equipment Information'!B383)</f>
        <v/>
      </c>
      <c r="C383">
        <f>IF('Equipment Information'!C383="","", 'Equipment Information'!C383)</f>
        <v/>
      </c>
      <c r="I383">
        <f>IF(COUNT(F383:H383)&lt;2,"",AVERAGE(F383:H383))</f>
        <v/>
      </c>
      <c r="J383" s="3">
        <f>IF(I383="","",MAX(ABS(F383-I383),ABS(G383-I383),ABS(H383-I383))/I383)</f>
        <v/>
      </c>
      <c r="N383">
        <f>IF(COUNT(K383:M383)&lt;2,"",AVERAGE(K383:M383))</f>
        <v/>
      </c>
      <c r="R383" s="3">
        <f>IF(N383="","",MAX(ABS(K383-N383),ABS(L383-N383),ABS(M383-N383))/N383)</f>
        <v/>
      </c>
      <c r="S383">
        <f>IF(A383="","",IF(AND(F383="",K383=""),"N/A",IF(AND(J383="",R383=""),"Insufficient Load Data",IF(AND(J383&gt;0.03,R383&gt;0.15),"Voltage &amp; Current Imbalance",IF(J383&gt;0.03,"Voltage Imbalance",IF(R383&gt;0.15,"Current Imbalance","No Imbalances Detected")))))</f>
        <v/>
      </c>
      <c r="T383">
        <f>IF(A383="","",IF(AND(F383="",K383=""),"N/A",IF(OR(J383&gt;0.03,R383&gt;0.15),"Imbalance","Pass")))</f>
        <v/>
      </c>
    </row>
    <row r="384">
      <c r="A384">
        <f>IF('Equipment Information'!A384="","", 'Equipment Information'!A384)</f>
        <v/>
      </c>
      <c r="B384">
        <f>IF('Equipment Information'!B384="","", 'Equipment Information'!B384)</f>
        <v/>
      </c>
      <c r="C384">
        <f>IF('Equipment Information'!C384="","", 'Equipment Information'!C384)</f>
        <v/>
      </c>
      <c r="I384">
        <f>IF(COUNT(F384:H384)&lt;2,"",AVERAGE(F384:H384))</f>
        <v/>
      </c>
      <c r="J384" s="3">
        <f>IF(I384="","",MAX(ABS(F384-I384),ABS(G384-I384),ABS(H384-I384))/I384)</f>
        <v/>
      </c>
      <c r="N384">
        <f>IF(COUNT(K384:M384)&lt;2,"",AVERAGE(K384:M384))</f>
        <v/>
      </c>
      <c r="R384" s="3">
        <f>IF(N384="","",MAX(ABS(K384-N384),ABS(L384-N384),ABS(M384-N384))/N384)</f>
        <v/>
      </c>
      <c r="S384">
        <f>IF(A384="","",IF(AND(F384="",K384=""),"N/A",IF(AND(J384="",R384=""),"Insufficient Load Data",IF(AND(J384&gt;0.03,R384&gt;0.15),"Voltage &amp; Current Imbalance",IF(J384&gt;0.03,"Voltage Imbalance",IF(R384&gt;0.15,"Current Imbalance","No Imbalances Detected")))))</f>
        <v/>
      </c>
      <c r="T384">
        <f>IF(A384="","",IF(AND(F384="",K384=""),"N/A",IF(OR(J384&gt;0.03,R384&gt;0.15),"Imbalance","Pass")))</f>
        <v/>
      </c>
    </row>
    <row r="385">
      <c r="A385">
        <f>IF('Equipment Information'!A385="","", 'Equipment Information'!A385)</f>
        <v/>
      </c>
      <c r="B385">
        <f>IF('Equipment Information'!B385="","", 'Equipment Information'!B385)</f>
        <v/>
      </c>
      <c r="C385">
        <f>IF('Equipment Information'!C385="","", 'Equipment Information'!C385)</f>
        <v/>
      </c>
      <c r="I385">
        <f>IF(COUNT(F385:H385)&lt;2,"",AVERAGE(F385:H385))</f>
        <v/>
      </c>
      <c r="J385" s="3">
        <f>IF(I385="","",MAX(ABS(F385-I385),ABS(G385-I385),ABS(H385-I385))/I385)</f>
        <v/>
      </c>
      <c r="N385">
        <f>IF(COUNT(K385:M385)&lt;2,"",AVERAGE(K385:M385))</f>
        <v/>
      </c>
      <c r="R385" s="3">
        <f>IF(N385="","",MAX(ABS(K385-N385),ABS(L385-N385),ABS(M385-N385))/N385)</f>
        <v/>
      </c>
      <c r="S385">
        <f>IF(A385="","",IF(AND(F385="",K385=""),"N/A",IF(AND(J385="",R385=""),"Insufficient Load Data",IF(AND(J385&gt;0.03,R385&gt;0.15),"Voltage &amp; Current Imbalance",IF(J385&gt;0.03,"Voltage Imbalance",IF(R385&gt;0.15,"Current Imbalance","No Imbalances Detected")))))</f>
        <v/>
      </c>
      <c r="T385">
        <f>IF(A385="","",IF(AND(F385="",K385=""),"N/A",IF(OR(J385&gt;0.03,R385&gt;0.15),"Imbalance","Pass")))</f>
        <v/>
      </c>
    </row>
    <row r="386">
      <c r="A386">
        <f>IF('Equipment Information'!A386="","", 'Equipment Information'!A386)</f>
        <v/>
      </c>
      <c r="B386">
        <f>IF('Equipment Information'!B386="","", 'Equipment Information'!B386)</f>
        <v/>
      </c>
      <c r="C386">
        <f>IF('Equipment Information'!C386="","", 'Equipment Information'!C386)</f>
        <v/>
      </c>
      <c r="I386">
        <f>IF(COUNT(F386:H386)&lt;2,"",AVERAGE(F386:H386))</f>
        <v/>
      </c>
      <c r="J386" s="3">
        <f>IF(I386="","",MAX(ABS(F386-I386),ABS(G386-I386),ABS(H386-I386))/I386)</f>
        <v/>
      </c>
      <c r="N386">
        <f>IF(COUNT(K386:M386)&lt;2,"",AVERAGE(K386:M386))</f>
        <v/>
      </c>
      <c r="R386" s="3">
        <f>IF(N386="","",MAX(ABS(K386-N386),ABS(L386-N386),ABS(M386-N386))/N386)</f>
        <v/>
      </c>
      <c r="S386">
        <f>IF(A386="","",IF(AND(F386="",K386=""),"N/A",IF(AND(J386="",R386=""),"Insufficient Load Data",IF(AND(J386&gt;0.03,R386&gt;0.15),"Voltage &amp; Current Imbalance",IF(J386&gt;0.03,"Voltage Imbalance",IF(R386&gt;0.15,"Current Imbalance","No Imbalances Detected")))))</f>
        <v/>
      </c>
      <c r="T386">
        <f>IF(A386="","",IF(AND(F386="",K386=""),"N/A",IF(OR(J386&gt;0.03,R386&gt;0.15),"Imbalance","Pass")))</f>
        <v/>
      </c>
    </row>
    <row r="387">
      <c r="A387">
        <f>IF('Equipment Information'!A387="","", 'Equipment Information'!A387)</f>
        <v/>
      </c>
      <c r="B387">
        <f>IF('Equipment Information'!B387="","", 'Equipment Information'!B387)</f>
        <v/>
      </c>
      <c r="C387">
        <f>IF('Equipment Information'!C387="","", 'Equipment Information'!C387)</f>
        <v/>
      </c>
      <c r="I387">
        <f>IF(COUNT(F387:H387)&lt;2,"",AVERAGE(F387:H387))</f>
        <v/>
      </c>
      <c r="J387" s="3">
        <f>IF(I387="","",MAX(ABS(F387-I387),ABS(G387-I387),ABS(H387-I387))/I387)</f>
        <v/>
      </c>
      <c r="N387">
        <f>IF(COUNT(K387:M387)&lt;2,"",AVERAGE(K387:M387))</f>
        <v/>
      </c>
      <c r="R387" s="3">
        <f>IF(N387="","",MAX(ABS(K387-N387),ABS(L387-N387),ABS(M387-N387))/N387)</f>
        <v/>
      </c>
      <c r="S387">
        <f>IF(A387="","",IF(AND(F387="",K387=""),"N/A",IF(AND(J387="",R387=""),"Insufficient Load Data",IF(AND(J387&gt;0.03,R387&gt;0.15),"Voltage &amp; Current Imbalance",IF(J387&gt;0.03,"Voltage Imbalance",IF(R387&gt;0.15,"Current Imbalance","No Imbalances Detected")))))</f>
        <v/>
      </c>
      <c r="T387">
        <f>IF(A387="","",IF(AND(F387="",K387=""),"N/A",IF(OR(J387&gt;0.03,R387&gt;0.15),"Imbalance","Pass")))</f>
        <v/>
      </c>
    </row>
    <row r="388">
      <c r="A388">
        <f>IF('Equipment Information'!A388="","", 'Equipment Information'!A388)</f>
        <v/>
      </c>
      <c r="B388">
        <f>IF('Equipment Information'!B388="","", 'Equipment Information'!B388)</f>
        <v/>
      </c>
      <c r="C388">
        <f>IF('Equipment Information'!C388="","", 'Equipment Information'!C388)</f>
        <v/>
      </c>
      <c r="I388">
        <f>IF(COUNT(F388:H388)&lt;2,"",AVERAGE(F388:H388))</f>
        <v/>
      </c>
      <c r="J388" s="3">
        <f>IF(I388="","",MAX(ABS(F388-I388),ABS(G388-I388),ABS(H388-I388))/I388)</f>
        <v/>
      </c>
      <c r="N388">
        <f>IF(COUNT(K388:M388)&lt;2,"",AVERAGE(K388:M388))</f>
        <v/>
      </c>
      <c r="R388" s="3">
        <f>IF(N388="","",MAX(ABS(K388-N388),ABS(L388-N388),ABS(M388-N388))/N388)</f>
        <v/>
      </c>
      <c r="S388">
        <f>IF(A388="","",IF(AND(F388="",K388=""),"N/A",IF(AND(J388="",R388=""),"Insufficient Load Data",IF(AND(J388&gt;0.03,R388&gt;0.15),"Voltage &amp; Current Imbalance",IF(J388&gt;0.03,"Voltage Imbalance",IF(R388&gt;0.15,"Current Imbalance","No Imbalances Detected")))))</f>
        <v/>
      </c>
      <c r="T388">
        <f>IF(A388="","",IF(AND(F388="",K388=""),"N/A",IF(OR(J388&gt;0.03,R388&gt;0.15),"Imbalance","Pass")))</f>
        <v/>
      </c>
    </row>
    <row r="389">
      <c r="A389">
        <f>IF('Equipment Information'!A389="","", 'Equipment Information'!A389)</f>
        <v/>
      </c>
      <c r="B389">
        <f>IF('Equipment Information'!B389="","", 'Equipment Information'!B389)</f>
        <v/>
      </c>
      <c r="C389">
        <f>IF('Equipment Information'!C389="","", 'Equipment Information'!C389)</f>
        <v/>
      </c>
      <c r="I389">
        <f>IF(COUNT(F389:H389)&lt;2,"",AVERAGE(F389:H389))</f>
        <v/>
      </c>
      <c r="J389" s="3">
        <f>IF(I389="","",MAX(ABS(F389-I389),ABS(G389-I389),ABS(H389-I389))/I389)</f>
        <v/>
      </c>
      <c r="N389">
        <f>IF(COUNT(K389:M389)&lt;2,"",AVERAGE(K389:M389))</f>
        <v/>
      </c>
      <c r="R389" s="3">
        <f>IF(N389="","",MAX(ABS(K389-N389),ABS(L389-N389),ABS(M389-N389))/N389)</f>
        <v/>
      </c>
      <c r="S389">
        <f>IF(A389="","",IF(AND(F389="",K389=""),"N/A",IF(AND(J389="",R389=""),"Insufficient Load Data",IF(AND(J389&gt;0.03,R389&gt;0.15),"Voltage &amp; Current Imbalance",IF(J389&gt;0.03,"Voltage Imbalance",IF(R389&gt;0.15,"Current Imbalance","No Imbalances Detected")))))</f>
        <v/>
      </c>
      <c r="T389">
        <f>IF(A389="","",IF(AND(F389="",K389=""),"N/A",IF(OR(J389&gt;0.03,R389&gt;0.15),"Imbalance","Pass")))</f>
        <v/>
      </c>
    </row>
    <row r="390">
      <c r="A390">
        <f>IF('Equipment Information'!A390="","", 'Equipment Information'!A390)</f>
        <v/>
      </c>
      <c r="B390">
        <f>IF('Equipment Information'!B390="","", 'Equipment Information'!B390)</f>
        <v/>
      </c>
      <c r="C390">
        <f>IF('Equipment Information'!C390="","", 'Equipment Information'!C390)</f>
        <v/>
      </c>
      <c r="I390">
        <f>IF(COUNT(F390:H390)&lt;2,"",AVERAGE(F390:H390))</f>
        <v/>
      </c>
      <c r="J390" s="3">
        <f>IF(I390="","",MAX(ABS(F390-I390),ABS(G390-I390),ABS(H390-I390))/I390)</f>
        <v/>
      </c>
      <c r="N390">
        <f>IF(COUNT(K390:M390)&lt;2,"",AVERAGE(K390:M390))</f>
        <v/>
      </c>
      <c r="R390" s="3">
        <f>IF(N390="","",MAX(ABS(K390-N390),ABS(L390-N390),ABS(M390-N390))/N390)</f>
        <v/>
      </c>
      <c r="S390">
        <f>IF(A390="","",IF(AND(F390="",K390=""),"N/A",IF(AND(J390="",R390=""),"Insufficient Load Data",IF(AND(J390&gt;0.03,R390&gt;0.15),"Voltage &amp; Current Imbalance",IF(J390&gt;0.03,"Voltage Imbalance",IF(R390&gt;0.15,"Current Imbalance","No Imbalances Detected")))))</f>
        <v/>
      </c>
      <c r="T390">
        <f>IF(A390="","",IF(AND(F390="",K390=""),"N/A",IF(OR(J390&gt;0.03,R390&gt;0.15),"Imbalance","Pass")))</f>
        <v/>
      </c>
    </row>
    <row r="391">
      <c r="A391">
        <f>IF('Equipment Information'!A391="","", 'Equipment Information'!A391)</f>
        <v/>
      </c>
      <c r="B391">
        <f>IF('Equipment Information'!B391="","", 'Equipment Information'!B391)</f>
        <v/>
      </c>
      <c r="C391">
        <f>IF('Equipment Information'!C391="","", 'Equipment Information'!C391)</f>
        <v/>
      </c>
      <c r="I391">
        <f>IF(COUNT(F391:H391)&lt;2,"",AVERAGE(F391:H391))</f>
        <v/>
      </c>
      <c r="J391" s="3">
        <f>IF(I391="","",MAX(ABS(F391-I391),ABS(G391-I391),ABS(H391-I391))/I391)</f>
        <v/>
      </c>
      <c r="N391">
        <f>IF(COUNT(K391:M391)&lt;2,"",AVERAGE(K391:M391))</f>
        <v/>
      </c>
      <c r="R391" s="3">
        <f>IF(N391="","",MAX(ABS(K391-N391),ABS(L391-N391),ABS(M391-N391))/N391)</f>
        <v/>
      </c>
      <c r="S391">
        <f>IF(A391="","",IF(AND(F391="",K391=""),"N/A",IF(AND(J391="",R391=""),"Insufficient Load Data",IF(AND(J391&gt;0.03,R391&gt;0.15),"Voltage &amp; Current Imbalance",IF(J391&gt;0.03,"Voltage Imbalance",IF(R391&gt;0.15,"Current Imbalance","No Imbalances Detected")))))</f>
        <v/>
      </c>
      <c r="T391">
        <f>IF(A391="","",IF(AND(F391="",K391=""),"N/A",IF(OR(J391&gt;0.03,R391&gt;0.15),"Imbalance","Pass")))</f>
        <v/>
      </c>
    </row>
    <row r="392">
      <c r="A392">
        <f>IF('Equipment Information'!A392="","", 'Equipment Information'!A392)</f>
        <v/>
      </c>
      <c r="B392">
        <f>IF('Equipment Information'!B392="","", 'Equipment Information'!B392)</f>
        <v/>
      </c>
      <c r="C392">
        <f>IF('Equipment Information'!C392="","", 'Equipment Information'!C392)</f>
        <v/>
      </c>
      <c r="I392">
        <f>IF(COUNT(F392:H392)&lt;2,"",AVERAGE(F392:H392))</f>
        <v/>
      </c>
      <c r="J392" s="3">
        <f>IF(I392="","",MAX(ABS(F392-I392),ABS(G392-I392),ABS(H392-I392))/I392)</f>
        <v/>
      </c>
      <c r="N392">
        <f>IF(COUNT(K392:M392)&lt;2,"",AVERAGE(K392:M392))</f>
        <v/>
      </c>
      <c r="R392" s="3">
        <f>IF(N392="","",MAX(ABS(K392-N392),ABS(L392-N392),ABS(M392-N392))/N392)</f>
        <v/>
      </c>
      <c r="S392">
        <f>IF(A392="","",IF(AND(F392="",K392=""),"N/A",IF(AND(J392="",R392=""),"Insufficient Load Data",IF(AND(J392&gt;0.03,R392&gt;0.15),"Voltage &amp; Current Imbalance",IF(J392&gt;0.03,"Voltage Imbalance",IF(R392&gt;0.15,"Current Imbalance","No Imbalances Detected")))))</f>
        <v/>
      </c>
      <c r="T392">
        <f>IF(A392="","",IF(AND(F392="",K392=""),"N/A",IF(OR(J392&gt;0.03,R392&gt;0.15),"Imbalance","Pass")))</f>
        <v/>
      </c>
    </row>
    <row r="393">
      <c r="A393">
        <f>IF('Equipment Information'!A393="","", 'Equipment Information'!A393)</f>
        <v/>
      </c>
      <c r="B393">
        <f>IF('Equipment Information'!B393="","", 'Equipment Information'!B393)</f>
        <v/>
      </c>
      <c r="C393">
        <f>IF('Equipment Information'!C393="","", 'Equipment Information'!C393)</f>
        <v/>
      </c>
      <c r="I393">
        <f>IF(COUNT(F393:H393)&lt;2,"",AVERAGE(F393:H393))</f>
        <v/>
      </c>
      <c r="J393" s="3">
        <f>IF(I393="","",MAX(ABS(F393-I393),ABS(G393-I393),ABS(H393-I393))/I393)</f>
        <v/>
      </c>
      <c r="N393">
        <f>IF(COUNT(K393:M393)&lt;2,"",AVERAGE(K393:M393))</f>
        <v/>
      </c>
      <c r="R393" s="3">
        <f>IF(N393="","",MAX(ABS(K393-N393),ABS(L393-N393),ABS(M393-N393))/N393)</f>
        <v/>
      </c>
      <c r="S393">
        <f>IF(A393="","",IF(AND(F393="",K393=""),"N/A",IF(AND(J393="",R393=""),"Insufficient Load Data",IF(AND(J393&gt;0.03,R393&gt;0.15),"Voltage &amp; Current Imbalance",IF(J393&gt;0.03,"Voltage Imbalance",IF(R393&gt;0.15,"Current Imbalance","No Imbalances Detected")))))</f>
        <v/>
      </c>
      <c r="T393">
        <f>IF(A393="","",IF(AND(F393="",K393=""),"N/A",IF(OR(J393&gt;0.03,R393&gt;0.15),"Imbalance","Pass")))</f>
        <v/>
      </c>
    </row>
    <row r="394">
      <c r="A394">
        <f>IF('Equipment Information'!A394="","", 'Equipment Information'!A394)</f>
        <v/>
      </c>
      <c r="B394">
        <f>IF('Equipment Information'!B394="","", 'Equipment Information'!B394)</f>
        <v/>
      </c>
      <c r="C394">
        <f>IF('Equipment Information'!C394="","", 'Equipment Information'!C394)</f>
        <v/>
      </c>
      <c r="I394">
        <f>IF(COUNT(F394:H394)&lt;2,"",AVERAGE(F394:H394))</f>
        <v/>
      </c>
      <c r="J394" s="3">
        <f>IF(I394="","",MAX(ABS(F394-I394),ABS(G394-I394),ABS(H394-I394))/I394)</f>
        <v/>
      </c>
      <c r="N394">
        <f>IF(COUNT(K394:M394)&lt;2,"",AVERAGE(K394:M394))</f>
        <v/>
      </c>
      <c r="R394" s="3">
        <f>IF(N394="","",MAX(ABS(K394-N394),ABS(L394-N394),ABS(M394-N394))/N394)</f>
        <v/>
      </c>
      <c r="S394">
        <f>IF(A394="","",IF(AND(F394="",K394=""),"N/A",IF(AND(J394="",R394=""),"Insufficient Load Data",IF(AND(J394&gt;0.03,R394&gt;0.15),"Voltage &amp; Current Imbalance",IF(J394&gt;0.03,"Voltage Imbalance",IF(R394&gt;0.15,"Current Imbalance","No Imbalances Detected")))))</f>
        <v/>
      </c>
      <c r="T394">
        <f>IF(A394="","",IF(AND(F394="",K394=""),"N/A",IF(OR(J394&gt;0.03,R394&gt;0.15),"Imbalance","Pass")))</f>
        <v/>
      </c>
    </row>
    <row r="395">
      <c r="A395">
        <f>IF('Equipment Information'!A395="","", 'Equipment Information'!A395)</f>
        <v/>
      </c>
      <c r="B395">
        <f>IF('Equipment Information'!B395="","", 'Equipment Information'!B395)</f>
        <v/>
      </c>
      <c r="C395">
        <f>IF('Equipment Information'!C395="","", 'Equipment Information'!C395)</f>
        <v/>
      </c>
      <c r="I395">
        <f>IF(COUNT(F395:H395)&lt;2,"",AVERAGE(F395:H395))</f>
        <v/>
      </c>
      <c r="J395" s="3">
        <f>IF(I395="","",MAX(ABS(F395-I395),ABS(G395-I395),ABS(H395-I395))/I395)</f>
        <v/>
      </c>
      <c r="N395">
        <f>IF(COUNT(K395:M395)&lt;2,"",AVERAGE(K395:M395))</f>
        <v/>
      </c>
      <c r="R395" s="3">
        <f>IF(N395="","",MAX(ABS(K395-N395),ABS(L395-N395),ABS(M395-N395))/N395)</f>
        <v/>
      </c>
      <c r="S395">
        <f>IF(A395="","",IF(AND(F395="",K395=""),"N/A",IF(AND(J395="",R395=""),"Insufficient Load Data",IF(AND(J395&gt;0.03,R395&gt;0.15),"Voltage &amp; Current Imbalance",IF(J395&gt;0.03,"Voltage Imbalance",IF(R395&gt;0.15,"Current Imbalance","No Imbalances Detected")))))</f>
        <v/>
      </c>
      <c r="T395">
        <f>IF(A395="","",IF(AND(F395="",K395=""),"N/A",IF(OR(J395&gt;0.03,R395&gt;0.15),"Imbalance","Pass")))</f>
        <v/>
      </c>
    </row>
    <row r="396">
      <c r="A396">
        <f>IF('Equipment Information'!A396="","", 'Equipment Information'!A396)</f>
        <v/>
      </c>
      <c r="B396">
        <f>IF('Equipment Information'!B396="","", 'Equipment Information'!B396)</f>
        <v/>
      </c>
      <c r="C396">
        <f>IF('Equipment Information'!C396="","", 'Equipment Information'!C396)</f>
        <v/>
      </c>
      <c r="I396">
        <f>IF(COUNT(F396:H396)&lt;2,"",AVERAGE(F396:H396))</f>
        <v/>
      </c>
      <c r="J396" s="3">
        <f>IF(I396="","",MAX(ABS(F396-I396),ABS(G396-I396),ABS(H396-I396))/I396)</f>
        <v/>
      </c>
      <c r="N396">
        <f>IF(COUNT(K396:M396)&lt;2,"",AVERAGE(K396:M396))</f>
        <v/>
      </c>
      <c r="R396" s="3">
        <f>IF(N396="","",MAX(ABS(K396-N396),ABS(L396-N396),ABS(M396-N396))/N396)</f>
        <v/>
      </c>
      <c r="S396">
        <f>IF(A396="","",IF(AND(F396="",K396=""),"N/A",IF(AND(J396="",R396=""),"Insufficient Load Data",IF(AND(J396&gt;0.03,R396&gt;0.15),"Voltage &amp; Current Imbalance",IF(J396&gt;0.03,"Voltage Imbalance",IF(R396&gt;0.15,"Current Imbalance","No Imbalances Detected")))))</f>
        <v/>
      </c>
      <c r="T396">
        <f>IF(A396="","",IF(AND(F396="",K396=""),"N/A",IF(OR(J396&gt;0.03,R396&gt;0.15),"Imbalance","Pass")))</f>
        <v/>
      </c>
    </row>
    <row r="397">
      <c r="A397">
        <f>IF('Equipment Information'!A397="","", 'Equipment Information'!A397)</f>
        <v/>
      </c>
      <c r="B397">
        <f>IF('Equipment Information'!B397="","", 'Equipment Information'!B397)</f>
        <v/>
      </c>
      <c r="C397">
        <f>IF('Equipment Information'!C397="","", 'Equipment Information'!C397)</f>
        <v/>
      </c>
      <c r="I397">
        <f>IF(COUNT(F397:H397)&lt;2,"",AVERAGE(F397:H397))</f>
        <v/>
      </c>
      <c r="J397" s="3">
        <f>IF(I397="","",MAX(ABS(F397-I397),ABS(G397-I397),ABS(H397-I397))/I397)</f>
        <v/>
      </c>
      <c r="N397">
        <f>IF(COUNT(K397:M397)&lt;2,"",AVERAGE(K397:M397))</f>
        <v/>
      </c>
      <c r="R397" s="3">
        <f>IF(N397="","",MAX(ABS(K397-N397),ABS(L397-N397),ABS(M397-N397))/N397)</f>
        <v/>
      </c>
      <c r="S397">
        <f>IF(A397="","",IF(AND(F397="",K397=""),"N/A",IF(AND(J397="",R397=""),"Insufficient Load Data",IF(AND(J397&gt;0.03,R397&gt;0.15),"Voltage &amp; Current Imbalance",IF(J397&gt;0.03,"Voltage Imbalance",IF(R397&gt;0.15,"Current Imbalance","No Imbalances Detected")))))</f>
        <v/>
      </c>
      <c r="T397">
        <f>IF(A397="","",IF(AND(F397="",K397=""),"N/A",IF(OR(J397&gt;0.03,R397&gt;0.15),"Imbalance","Pass")))</f>
        <v/>
      </c>
    </row>
    <row r="398">
      <c r="A398">
        <f>IF('Equipment Information'!A398="","", 'Equipment Information'!A398)</f>
        <v/>
      </c>
      <c r="B398">
        <f>IF('Equipment Information'!B398="","", 'Equipment Information'!B398)</f>
        <v/>
      </c>
      <c r="C398">
        <f>IF('Equipment Information'!C398="","", 'Equipment Information'!C398)</f>
        <v/>
      </c>
      <c r="I398">
        <f>IF(COUNT(F398:H398)&lt;2,"",AVERAGE(F398:H398))</f>
        <v/>
      </c>
      <c r="J398" s="3">
        <f>IF(I398="","",MAX(ABS(F398-I398),ABS(G398-I398),ABS(H398-I398))/I398)</f>
        <v/>
      </c>
      <c r="N398">
        <f>IF(COUNT(K398:M398)&lt;2,"",AVERAGE(K398:M398))</f>
        <v/>
      </c>
      <c r="R398" s="3">
        <f>IF(N398="","",MAX(ABS(K398-N398),ABS(L398-N398),ABS(M398-N398))/N398)</f>
        <v/>
      </c>
      <c r="S398">
        <f>IF(A398="","",IF(AND(F398="",K398=""),"N/A",IF(AND(J398="",R398=""),"Insufficient Load Data",IF(AND(J398&gt;0.03,R398&gt;0.15),"Voltage &amp; Current Imbalance",IF(J398&gt;0.03,"Voltage Imbalance",IF(R398&gt;0.15,"Current Imbalance","No Imbalances Detected")))))</f>
        <v/>
      </c>
      <c r="T398">
        <f>IF(A398="","",IF(AND(F398="",K398=""),"N/A",IF(OR(J398&gt;0.03,R398&gt;0.15),"Imbalance","Pass")))</f>
        <v/>
      </c>
    </row>
    <row r="399">
      <c r="A399">
        <f>IF('Equipment Information'!A399="","", 'Equipment Information'!A399)</f>
        <v/>
      </c>
      <c r="B399">
        <f>IF('Equipment Information'!B399="","", 'Equipment Information'!B399)</f>
        <v/>
      </c>
      <c r="C399">
        <f>IF('Equipment Information'!C399="","", 'Equipment Information'!C399)</f>
        <v/>
      </c>
      <c r="I399">
        <f>IF(COUNT(F399:H399)&lt;2,"",AVERAGE(F399:H399))</f>
        <v/>
      </c>
      <c r="J399" s="3">
        <f>IF(I399="","",MAX(ABS(F399-I399),ABS(G399-I399),ABS(H399-I399))/I399)</f>
        <v/>
      </c>
      <c r="N399">
        <f>IF(COUNT(K399:M399)&lt;2,"",AVERAGE(K399:M399))</f>
        <v/>
      </c>
      <c r="R399" s="3">
        <f>IF(N399="","",MAX(ABS(K399-N399),ABS(L399-N399),ABS(M399-N399))/N399)</f>
        <v/>
      </c>
      <c r="S399">
        <f>IF(A399="","",IF(AND(F399="",K399=""),"N/A",IF(AND(J399="",R399=""),"Insufficient Load Data",IF(AND(J399&gt;0.03,R399&gt;0.15),"Voltage &amp; Current Imbalance",IF(J399&gt;0.03,"Voltage Imbalance",IF(R399&gt;0.15,"Current Imbalance","No Imbalances Detected")))))</f>
        <v/>
      </c>
      <c r="T399">
        <f>IF(A399="","",IF(AND(F399="",K399=""),"N/A",IF(OR(J399&gt;0.03,R399&gt;0.15),"Imbalance","Pass")))</f>
        <v/>
      </c>
    </row>
    <row r="400">
      <c r="A400">
        <f>IF('Equipment Information'!A400="","", 'Equipment Information'!A400)</f>
        <v/>
      </c>
      <c r="B400">
        <f>IF('Equipment Information'!B400="","", 'Equipment Information'!B400)</f>
        <v/>
      </c>
      <c r="C400">
        <f>IF('Equipment Information'!C400="","", 'Equipment Information'!C400)</f>
        <v/>
      </c>
      <c r="I400">
        <f>IF(COUNT(F400:H400)&lt;2,"",AVERAGE(F400:H400))</f>
        <v/>
      </c>
      <c r="J400" s="3">
        <f>IF(I400="","",MAX(ABS(F400-I400),ABS(G400-I400),ABS(H400-I400))/I400)</f>
        <v/>
      </c>
      <c r="N400">
        <f>IF(COUNT(K400:M400)&lt;2,"",AVERAGE(K400:M400))</f>
        <v/>
      </c>
      <c r="R400" s="3">
        <f>IF(N400="","",MAX(ABS(K400-N400),ABS(L400-N400),ABS(M400-N400))/N400)</f>
        <v/>
      </c>
      <c r="S400">
        <f>IF(A400="","",IF(AND(F400="",K400=""),"N/A",IF(AND(J400="",R400=""),"Insufficient Load Data",IF(AND(J400&gt;0.03,R400&gt;0.15),"Voltage &amp; Current Imbalance",IF(J400&gt;0.03,"Voltage Imbalance",IF(R400&gt;0.15,"Current Imbalance","No Imbalances Detected")))))</f>
        <v/>
      </c>
      <c r="T400">
        <f>IF(A400="","",IF(AND(F400="",K400=""),"N/A",IF(OR(J400&gt;0.03,R400&gt;0.15),"Imbalance","Pass")))</f>
        <v/>
      </c>
    </row>
    <row r="401">
      <c r="A401">
        <f>IF('Equipment Information'!A401="","", 'Equipment Information'!A401)</f>
        <v/>
      </c>
      <c r="B401">
        <f>IF('Equipment Information'!B401="","", 'Equipment Information'!B401)</f>
        <v/>
      </c>
      <c r="C401">
        <f>IF('Equipment Information'!C401="","", 'Equipment Information'!C401)</f>
        <v/>
      </c>
      <c r="I401">
        <f>IF(COUNT(F401:H401)&lt;2,"",AVERAGE(F401:H401))</f>
        <v/>
      </c>
      <c r="J401" s="3">
        <f>IF(I401="","",MAX(ABS(F401-I401),ABS(G401-I401),ABS(H401-I401))/I401)</f>
        <v/>
      </c>
      <c r="N401">
        <f>IF(COUNT(K401:M401)&lt;2,"",AVERAGE(K401:M401))</f>
        <v/>
      </c>
      <c r="R401" s="3">
        <f>IF(N401="","",MAX(ABS(K401-N401),ABS(L401-N401),ABS(M401-N401))/N401)</f>
        <v/>
      </c>
      <c r="S401">
        <f>IF(A401="","",IF(AND(F401="",K401=""),"N/A",IF(AND(J401="",R401=""),"Insufficient Load Data",IF(AND(J401&gt;0.03,R401&gt;0.15),"Voltage &amp; Current Imbalance",IF(J401&gt;0.03,"Voltage Imbalance",IF(R401&gt;0.15,"Current Imbalance","No Imbalances Detected")))))</f>
        <v/>
      </c>
      <c r="T401">
        <f>IF(A401="","",IF(AND(F401="",K401=""),"N/A",IF(OR(J401&gt;0.03,R401&gt;0.15),"Imbalance","Pass")))</f>
        <v/>
      </c>
    </row>
    <row r="402">
      <c r="A402">
        <f>IF('Equipment Information'!A402="","", 'Equipment Information'!A402)</f>
        <v/>
      </c>
      <c r="B402">
        <f>IF('Equipment Information'!B402="","", 'Equipment Information'!B402)</f>
        <v/>
      </c>
      <c r="C402">
        <f>IF('Equipment Information'!C402="","", 'Equipment Information'!C402)</f>
        <v/>
      </c>
      <c r="I402">
        <f>IF(COUNT(F402:H402)&lt;2,"",AVERAGE(F402:H402))</f>
        <v/>
      </c>
      <c r="J402" s="3">
        <f>IF(I402="","",MAX(ABS(F402-I402),ABS(G402-I402),ABS(H402-I402))/I402)</f>
        <v/>
      </c>
      <c r="N402">
        <f>IF(COUNT(K402:M402)&lt;2,"",AVERAGE(K402:M402))</f>
        <v/>
      </c>
      <c r="R402" s="3">
        <f>IF(N402="","",MAX(ABS(K402-N402),ABS(L402-N402),ABS(M402-N402))/N402)</f>
        <v/>
      </c>
      <c r="S402">
        <f>IF(A402="","",IF(AND(F402="",K402=""),"N/A",IF(AND(J402="",R402=""),"Insufficient Load Data",IF(AND(J402&gt;0.03,R402&gt;0.15),"Voltage &amp; Current Imbalance",IF(J402&gt;0.03,"Voltage Imbalance",IF(R402&gt;0.15,"Current Imbalance","No Imbalances Detected")))))</f>
        <v/>
      </c>
      <c r="T402">
        <f>IF(A402="","",IF(AND(F402="",K402=""),"N/A",IF(OR(J402&gt;0.03,R402&gt;0.15),"Imbalance","Pass")))</f>
        <v/>
      </c>
    </row>
    <row r="403">
      <c r="A403">
        <f>IF('Equipment Information'!A403="","", 'Equipment Information'!A403)</f>
        <v/>
      </c>
      <c r="B403">
        <f>IF('Equipment Information'!B403="","", 'Equipment Information'!B403)</f>
        <v/>
      </c>
      <c r="C403">
        <f>IF('Equipment Information'!C403="","", 'Equipment Information'!C403)</f>
        <v/>
      </c>
      <c r="I403">
        <f>IF(COUNT(F403:H403)&lt;2,"",AVERAGE(F403:H403))</f>
        <v/>
      </c>
      <c r="J403" s="3">
        <f>IF(I403="","",MAX(ABS(F403-I403),ABS(G403-I403),ABS(H403-I403))/I403)</f>
        <v/>
      </c>
      <c r="N403">
        <f>IF(COUNT(K403:M403)&lt;2,"",AVERAGE(K403:M403))</f>
        <v/>
      </c>
      <c r="R403" s="3">
        <f>IF(N403="","",MAX(ABS(K403-N403),ABS(L403-N403),ABS(M403-N403))/N403)</f>
        <v/>
      </c>
      <c r="S403">
        <f>IF(A403="","",IF(AND(F403="",K403=""),"N/A",IF(AND(J403="",R403=""),"Insufficient Load Data",IF(AND(J403&gt;0.03,R403&gt;0.15),"Voltage &amp; Current Imbalance",IF(J403&gt;0.03,"Voltage Imbalance",IF(R403&gt;0.15,"Current Imbalance","No Imbalances Detected")))))</f>
        <v/>
      </c>
      <c r="T403">
        <f>IF(A403="","",IF(AND(F403="",K403=""),"N/A",IF(OR(J403&gt;0.03,R403&gt;0.15),"Imbalance","Pass")))</f>
        <v/>
      </c>
    </row>
    <row r="404">
      <c r="A404">
        <f>IF('Equipment Information'!A404="","", 'Equipment Information'!A404)</f>
        <v/>
      </c>
      <c r="B404">
        <f>IF('Equipment Information'!B404="","", 'Equipment Information'!B404)</f>
        <v/>
      </c>
      <c r="C404">
        <f>IF('Equipment Information'!C404="","", 'Equipment Information'!C404)</f>
        <v/>
      </c>
      <c r="I404">
        <f>IF(COUNT(F404:H404)&lt;2,"",AVERAGE(F404:H404))</f>
        <v/>
      </c>
      <c r="J404" s="3">
        <f>IF(I404="","",MAX(ABS(F404-I404),ABS(G404-I404),ABS(H404-I404))/I404)</f>
        <v/>
      </c>
      <c r="N404">
        <f>IF(COUNT(K404:M404)&lt;2,"",AVERAGE(K404:M404))</f>
        <v/>
      </c>
      <c r="R404" s="3">
        <f>IF(N404="","",MAX(ABS(K404-N404),ABS(L404-N404),ABS(M404-N404))/N404)</f>
        <v/>
      </c>
      <c r="S404">
        <f>IF(A404="","",IF(AND(F404="",K404=""),"N/A",IF(AND(J404="",R404=""),"Insufficient Load Data",IF(AND(J404&gt;0.03,R404&gt;0.15),"Voltage &amp; Current Imbalance",IF(J404&gt;0.03,"Voltage Imbalance",IF(R404&gt;0.15,"Current Imbalance","No Imbalances Detected")))))</f>
        <v/>
      </c>
      <c r="T404">
        <f>IF(A404="","",IF(AND(F404="",K404=""),"N/A",IF(OR(J404&gt;0.03,R404&gt;0.15),"Imbalance","Pass")))</f>
        <v/>
      </c>
    </row>
    <row r="405">
      <c r="A405">
        <f>IF('Equipment Information'!A405="","", 'Equipment Information'!A405)</f>
        <v/>
      </c>
      <c r="B405">
        <f>IF('Equipment Information'!B405="","", 'Equipment Information'!B405)</f>
        <v/>
      </c>
      <c r="C405">
        <f>IF('Equipment Information'!C405="","", 'Equipment Information'!C405)</f>
        <v/>
      </c>
      <c r="I405">
        <f>IF(COUNT(F405:H405)&lt;2,"",AVERAGE(F405:H405))</f>
        <v/>
      </c>
      <c r="J405" s="3">
        <f>IF(I405="","",MAX(ABS(F405-I405),ABS(G405-I405),ABS(H405-I405))/I405)</f>
        <v/>
      </c>
      <c r="N405">
        <f>IF(COUNT(K405:M405)&lt;2,"",AVERAGE(K405:M405))</f>
        <v/>
      </c>
      <c r="R405" s="3">
        <f>IF(N405="","",MAX(ABS(K405-N405),ABS(L405-N405),ABS(M405-N405))/N405)</f>
        <v/>
      </c>
      <c r="S405">
        <f>IF(A405="","",IF(AND(F405="",K405=""),"N/A",IF(AND(J405="",R405=""),"Insufficient Load Data",IF(AND(J405&gt;0.03,R405&gt;0.15),"Voltage &amp; Current Imbalance",IF(J405&gt;0.03,"Voltage Imbalance",IF(R405&gt;0.15,"Current Imbalance","No Imbalances Detected")))))</f>
        <v/>
      </c>
      <c r="T405">
        <f>IF(A405="","",IF(AND(F405="",K405=""),"N/A",IF(OR(J405&gt;0.03,R405&gt;0.15),"Imbalance","Pass")))</f>
        <v/>
      </c>
    </row>
    <row r="406">
      <c r="A406">
        <f>IF('Equipment Information'!A406="","", 'Equipment Information'!A406)</f>
        <v/>
      </c>
      <c r="B406">
        <f>IF('Equipment Information'!B406="","", 'Equipment Information'!B406)</f>
        <v/>
      </c>
      <c r="C406">
        <f>IF('Equipment Information'!C406="","", 'Equipment Information'!C406)</f>
        <v/>
      </c>
      <c r="I406">
        <f>IF(COUNT(F406:H406)&lt;2,"",AVERAGE(F406:H406))</f>
        <v/>
      </c>
      <c r="J406" s="3">
        <f>IF(I406="","",MAX(ABS(F406-I406),ABS(G406-I406),ABS(H406-I406))/I406)</f>
        <v/>
      </c>
      <c r="N406">
        <f>IF(COUNT(K406:M406)&lt;2,"",AVERAGE(K406:M406))</f>
        <v/>
      </c>
      <c r="R406" s="3">
        <f>IF(N406="","",MAX(ABS(K406-N406),ABS(L406-N406),ABS(M406-N406))/N406)</f>
        <v/>
      </c>
      <c r="S406">
        <f>IF(A406="","",IF(AND(F406="",K406=""),"N/A",IF(AND(J406="",R406=""),"Insufficient Load Data",IF(AND(J406&gt;0.03,R406&gt;0.15),"Voltage &amp; Current Imbalance",IF(J406&gt;0.03,"Voltage Imbalance",IF(R406&gt;0.15,"Current Imbalance","No Imbalances Detected")))))</f>
        <v/>
      </c>
      <c r="T406">
        <f>IF(A406="","",IF(AND(F406="",K406=""),"N/A",IF(OR(J406&gt;0.03,R406&gt;0.15),"Imbalance","Pass")))</f>
        <v/>
      </c>
    </row>
    <row r="407">
      <c r="A407">
        <f>IF('Equipment Information'!A407="","", 'Equipment Information'!A407)</f>
        <v/>
      </c>
      <c r="B407">
        <f>IF('Equipment Information'!B407="","", 'Equipment Information'!B407)</f>
        <v/>
      </c>
      <c r="C407">
        <f>IF('Equipment Information'!C407="","", 'Equipment Information'!C407)</f>
        <v/>
      </c>
      <c r="I407">
        <f>IF(COUNT(F407:H407)&lt;2,"",AVERAGE(F407:H407))</f>
        <v/>
      </c>
      <c r="J407" s="3">
        <f>IF(I407="","",MAX(ABS(F407-I407),ABS(G407-I407),ABS(H407-I407))/I407)</f>
        <v/>
      </c>
      <c r="N407">
        <f>IF(COUNT(K407:M407)&lt;2,"",AVERAGE(K407:M407))</f>
        <v/>
      </c>
      <c r="R407" s="3">
        <f>IF(N407="","",MAX(ABS(K407-N407),ABS(L407-N407),ABS(M407-N407))/N407)</f>
        <v/>
      </c>
      <c r="S407">
        <f>IF(A407="","",IF(AND(F407="",K407=""),"N/A",IF(AND(J407="",R407=""),"Insufficient Load Data",IF(AND(J407&gt;0.03,R407&gt;0.15),"Voltage &amp; Current Imbalance",IF(J407&gt;0.03,"Voltage Imbalance",IF(R407&gt;0.15,"Current Imbalance","No Imbalances Detected")))))</f>
        <v/>
      </c>
      <c r="T407">
        <f>IF(A407="","",IF(AND(F407="",K407=""),"N/A",IF(OR(J407&gt;0.03,R407&gt;0.15),"Imbalance","Pass")))</f>
        <v/>
      </c>
    </row>
    <row r="408">
      <c r="A408">
        <f>IF('Equipment Information'!A408="","", 'Equipment Information'!A408)</f>
        <v/>
      </c>
      <c r="B408">
        <f>IF('Equipment Information'!B408="","", 'Equipment Information'!B408)</f>
        <v/>
      </c>
      <c r="C408">
        <f>IF('Equipment Information'!C408="","", 'Equipment Information'!C408)</f>
        <v/>
      </c>
      <c r="I408">
        <f>IF(COUNT(F408:H408)&lt;2,"",AVERAGE(F408:H408))</f>
        <v/>
      </c>
      <c r="J408" s="3">
        <f>IF(I408="","",MAX(ABS(F408-I408),ABS(G408-I408),ABS(H408-I408))/I408)</f>
        <v/>
      </c>
      <c r="N408">
        <f>IF(COUNT(K408:M408)&lt;2,"",AVERAGE(K408:M408))</f>
        <v/>
      </c>
      <c r="R408" s="3">
        <f>IF(N408="","",MAX(ABS(K408-N408),ABS(L408-N408),ABS(M408-N408))/N408)</f>
        <v/>
      </c>
      <c r="S408">
        <f>IF(A408="","",IF(AND(F408="",K408=""),"N/A",IF(AND(J408="",R408=""),"Insufficient Load Data",IF(AND(J408&gt;0.03,R408&gt;0.15),"Voltage &amp; Current Imbalance",IF(J408&gt;0.03,"Voltage Imbalance",IF(R408&gt;0.15,"Current Imbalance","No Imbalances Detected")))))</f>
        <v/>
      </c>
      <c r="T408">
        <f>IF(A408="","",IF(AND(F408="",K408=""),"N/A",IF(OR(J408&gt;0.03,R408&gt;0.15),"Imbalance","Pass")))</f>
        <v/>
      </c>
    </row>
    <row r="409">
      <c r="A409">
        <f>IF('Equipment Information'!A409="","", 'Equipment Information'!A409)</f>
        <v/>
      </c>
      <c r="B409">
        <f>IF('Equipment Information'!B409="","", 'Equipment Information'!B409)</f>
        <v/>
      </c>
      <c r="C409">
        <f>IF('Equipment Information'!C409="","", 'Equipment Information'!C409)</f>
        <v/>
      </c>
      <c r="I409">
        <f>IF(COUNT(F409:H409)&lt;2,"",AVERAGE(F409:H409))</f>
        <v/>
      </c>
      <c r="J409" s="3">
        <f>IF(I409="","",MAX(ABS(F409-I409),ABS(G409-I409),ABS(H409-I409))/I409)</f>
        <v/>
      </c>
      <c r="N409">
        <f>IF(COUNT(K409:M409)&lt;2,"",AVERAGE(K409:M409))</f>
        <v/>
      </c>
      <c r="R409" s="3">
        <f>IF(N409="","",MAX(ABS(K409-N409),ABS(L409-N409),ABS(M409-N409))/N409)</f>
        <v/>
      </c>
      <c r="S409">
        <f>IF(A409="","",IF(AND(F409="",K409=""),"N/A",IF(AND(J409="",R409=""),"Insufficient Load Data",IF(AND(J409&gt;0.03,R409&gt;0.15),"Voltage &amp; Current Imbalance",IF(J409&gt;0.03,"Voltage Imbalance",IF(R409&gt;0.15,"Current Imbalance","No Imbalances Detected")))))</f>
        <v/>
      </c>
      <c r="T409">
        <f>IF(A409="","",IF(AND(F409="",K409=""),"N/A",IF(OR(J409&gt;0.03,R409&gt;0.15),"Imbalance","Pass")))</f>
        <v/>
      </c>
    </row>
    <row r="410">
      <c r="A410">
        <f>IF('Equipment Information'!A410="","", 'Equipment Information'!A410)</f>
        <v/>
      </c>
      <c r="B410">
        <f>IF('Equipment Information'!B410="","", 'Equipment Information'!B410)</f>
        <v/>
      </c>
      <c r="C410">
        <f>IF('Equipment Information'!C410="","", 'Equipment Information'!C410)</f>
        <v/>
      </c>
      <c r="I410">
        <f>IF(COUNT(F410:H410)&lt;2,"",AVERAGE(F410:H410))</f>
        <v/>
      </c>
      <c r="J410" s="3">
        <f>IF(I410="","",MAX(ABS(F410-I410),ABS(G410-I410),ABS(H410-I410))/I410)</f>
        <v/>
      </c>
      <c r="N410">
        <f>IF(COUNT(K410:M410)&lt;2,"",AVERAGE(K410:M410))</f>
        <v/>
      </c>
      <c r="R410" s="3">
        <f>IF(N410="","",MAX(ABS(K410-N410),ABS(L410-N410),ABS(M410-N410))/N410)</f>
        <v/>
      </c>
      <c r="S410">
        <f>IF(A410="","",IF(AND(F410="",K410=""),"N/A",IF(AND(J410="",R410=""),"Insufficient Load Data",IF(AND(J410&gt;0.03,R410&gt;0.15),"Voltage &amp; Current Imbalance",IF(J410&gt;0.03,"Voltage Imbalance",IF(R410&gt;0.15,"Current Imbalance","No Imbalances Detected")))))</f>
        <v/>
      </c>
      <c r="T410">
        <f>IF(A410="","",IF(AND(F410="",K410=""),"N/A",IF(OR(J410&gt;0.03,R410&gt;0.15),"Imbalance","Pass")))</f>
        <v/>
      </c>
    </row>
    <row r="411">
      <c r="A411">
        <f>IF('Equipment Information'!A411="","", 'Equipment Information'!A411)</f>
        <v/>
      </c>
      <c r="B411">
        <f>IF('Equipment Information'!B411="","", 'Equipment Information'!B411)</f>
        <v/>
      </c>
      <c r="C411">
        <f>IF('Equipment Information'!C411="","", 'Equipment Information'!C411)</f>
        <v/>
      </c>
      <c r="I411">
        <f>IF(COUNT(F411:H411)&lt;2,"",AVERAGE(F411:H411))</f>
        <v/>
      </c>
      <c r="J411" s="3">
        <f>IF(I411="","",MAX(ABS(F411-I411),ABS(G411-I411),ABS(H411-I411))/I411)</f>
        <v/>
      </c>
      <c r="N411">
        <f>IF(COUNT(K411:M411)&lt;2,"",AVERAGE(K411:M411))</f>
        <v/>
      </c>
      <c r="R411" s="3">
        <f>IF(N411="","",MAX(ABS(K411-N411),ABS(L411-N411),ABS(M411-N411))/N411)</f>
        <v/>
      </c>
      <c r="S411">
        <f>IF(A411="","",IF(AND(F411="",K411=""),"N/A",IF(AND(J411="",R411=""),"Insufficient Load Data",IF(AND(J411&gt;0.03,R411&gt;0.15),"Voltage &amp; Current Imbalance",IF(J411&gt;0.03,"Voltage Imbalance",IF(R411&gt;0.15,"Current Imbalance","No Imbalances Detected")))))</f>
        <v/>
      </c>
      <c r="T411">
        <f>IF(A411="","",IF(AND(F411="",K411=""),"N/A",IF(OR(J411&gt;0.03,R411&gt;0.15),"Imbalance","Pass")))</f>
        <v/>
      </c>
    </row>
    <row r="412">
      <c r="A412">
        <f>IF('Equipment Information'!A412="","", 'Equipment Information'!A412)</f>
        <v/>
      </c>
      <c r="B412">
        <f>IF('Equipment Information'!B412="","", 'Equipment Information'!B412)</f>
        <v/>
      </c>
      <c r="C412">
        <f>IF('Equipment Information'!C412="","", 'Equipment Information'!C412)</f>
        <v/>
      </c>
      <c r="I412">
        <f>IF(COUNT(F412:H412)&lt;2,"",AVERAGE(F412:H412))</f>
        <v/>
      </c>
      <c r="J412" s="3">
        <f>IF(I412="","",MAX(ABS(F412-I412),ABS(G412-I412),ABS(H412-I412))/I412)</f>
        <v/>
      </c>
      <c r="N412">
        <f>IF(COUNT(K412:M412)&lt;2,"",AVERAGE(K412:M412))</f>
        <v/>
      </c>
      <c r="R412" s="3">
        <f>IF(N412="","",MAX(ABS(K412-N412),ABS(L412-N412),ABS(M412-N412))/N412)</f>
        <v/>
      </c>
      <c r="S412">
        <f>IF(A412="","",IF(AND(F412="",K412=""),"N/A",IF(AND(J412="",R412=""),"Insufficient Load Data",IF(AND(J412&gt;0.03,R412&gt;0.15),"Voltage &amp; Current Imbalance",IF(J412&gt;0.03,"Voltage Imbalance",IF(R412&gt;0.15,"Current Imbalance","No Imbalances Detected")))))</f>
        <v/>
      </c>
      <c r="T412">
        <f>IF(A412="","",IF(AND(F412="",K412=""),"N/A",IF(OR(J412&gt;0.03,R412&gt;0.15),"Imbalance","Pass")))</f>
        <v/>
      </c>
    </row>
    <row r="413">
      <c r="A413">
        <f>IF('Equipment Information'!A413="","", 'Equipment Information'!A413)</f>
        <v/>
      </c>
      <c r="B413">
        <f>IF('Equipment Information'!B413="","", 'Equipment Information'!B413)</f>
        <v/>
      </c>
      <c r="C413">
        <f>IF('Equipment Information'!C413="","", 'Equipment Information'!C413)</f>
        <v/>
      </c>
      <c r="I413">
        <f>IF(COUNT(F413:H413)&lt;2,"",AVERAGE(F413:H413))</f>
        <v/>
      </c>
      <c r="J413" s="3">
        <f>IF(I413="","",MAX(ABS(F413-I413),ABS(G413-I413),ABS(H413-I413))/I413)</f>
        <v/>
      </c>
      <c r="N413">
        <f>IF(COUNT(K413:M413)&lt;2,"",AVERAGE(K413:M413))</f>
        <v/>
      </c>
      <c r="R413" s="3">
        <f>IF(N413="","",MAX(ABS(K413-N413),ABS(L413-N413),ABS(M413-N413))/N413)</f>
        <v/>
      </c>
      <c r="S413">
        <f>IF(A413="","",IF(AND(F413="",K413=""),"N/A",IF(AND(J413="",R413=""),"Insufficient Load Data",IF(AND(J413&gt;0.03,R413&gt;0.15),"Voltage &amp; Current Imbalance",IF(J413&gt;0.03,"Voltage Imbalance",IF(R413&gt;0.15,"Current Imbalance","No Imbalances Detected")))))</f>
        <v/>
      </c>
      <c r="T413">
        <f>IF(A413="","",IF(AND(F413="",K413=""),"N/A",IF(OR(J413&gt;0.03,R413&gt;0.15),"Imbalance","Pass")))</f>
        <v/>
      </c>
    </row>
    <row r="414">
      <c r="A414">
        <f>IF('Equipment Information'!A414="","", 'Equipment Information'!A414)</f>
        <v/>
      </c>
      <c r="B414">
        <f>IF('Equipment Information'!B414="","", 'Equipment Information'!B414)</f>
        <v/>
      </c>
      <c r="C414">
        <f>IF('Equipment Information'!C414="","", 'Equipment Information'!C414)</f>
        <v/>
      </c>
      <c r="I414">
        <f>IF(COUNT(F414:H414)&lt;2,"",AVERAGE(F414:H414))</f>
        <v/>
      </c>
      <c r="J414" s="3">
        <f>IF(I414="","",MAX(ABS(F414-I414),ABS(G414-I414),ABS(H414-I414))/I414)</f>
        <v/>
      </c>
      <c r="N414">
        <f>IF(COUNT(K414:M414)&lt;2,"",AVERAGE(K414:M414))</f>
        <v/>
      </c>
      <c r="R414" s="3">
        <f>IF(N414="","",MAX(ABS(K414-N414),ABS(L414-N414),ABS(M414-N414))/N414)</f>
        <v/>
      </c>
      <c r="S414">
        <f>IF(A414="","",IF(AND(F414="",K414=""),"N/A",IF(AND(J414="",R414=""),"Insufficient Load Data",IF(AND(J414&gt;0.03,R414&gt;0.15),"Voltage &amp; Current Imbalance",IF(J414&gt;0.03,"Voltage Imbalance",IF(R414&gt;0.15,"Current Imbalance","No Imbalances Detected")))))</f>
        <v/>
      </c>
      <c r="T414">
        <f>IF(A414="","",IF(AND(F414="",K414=""),"N/A",IF(OR(J414&gt;0.03,R414&gt;0.15),"Imbalance","Pass")))</f>
        <v/>
      </c>
    </row>
    <row r="415">
      <c r="A415">
        <f>IF('Equipment Information'!A415="","", 'Equipment Information'!A415)</f>
        <v/>
      </c>
      <c r="B415">
        <f>IF('Equipment Information'!B415="","", 'Equipment Information'!B415)</f>
        <v/>
      </c>
      <c r="C415">
        <f>IF('Equipment Information'!C415="","", 'Equipment Information'!C415)</f>
        <v/>
      </c>
      <c r="I415">
        <f>IF(COUNT(F415:H415)&lt;2,"",AVERAGE(F415:H415))</f>
        <v/>
      </c>
      <c r="J415" s="3">
        <f>IF(I415="","",MAX(ABS(F415-I415),ABS(G415-I415),ABS(H415-I415))/I415)</f>
        <v/>
      </c>
      <c r="N415">
        <f>IF(COUNT(K415:M415)&lt;2,"",AVERAGE(K415:M415))</f>
        <v/>
      </c>
      <c r="R415" s="3">
        <f>IF(N415="","",MAX(ABS(K415-N415),ABS(L415-N415),ABS(M415-N415))/N415)</f>
        <v/>
      </c>
      <c r="S415">
        <f>IF(A415="","",IF(AND(F415="",K415=""),"N/A",IF(AND(J415="",R415=""),"Insufficient Load Data",IF(AND(J415&gt;0.03,R415&gt;0.15),"Voltage &amp; Current Imbalance",IF(J415&gt;0.03,"Voltage Imbalance",IF(R415&gt;0.15,"Current Imbalance","No Imbalances Detected")))))</f>
        <v/>
      </c>
      <c r="T415">
        <f>IF(A415="","",IF(AND(F415="",K415=""),"N/A",IF(OR(J415&gt;0.03,R415&gt;0.15),"Imbalance","Pass")))</f>
        <v/>
      </c>
    </row>
    <row r="416">
      <c r="A416">
        <f>IF('Equipment Information'!A416="","", 'Equipment Information'!A416)</f>
        <v/>
      </c>
      <c r="B416">
        <f>IF('Equipment Information'!B416="","", 'Equipment Information'!B416)</f>
        <v/>
      </c>
      <c r="C416">
        <f>IF('Equipment Information'!C416="","", 'Equipment Information'!C416)</f>
        <v/>
      </c>
      <c r="I416">
        <f>IF(COUNT(F416:H416)&lt;2,"",AVERAGE(F416:H416))</f>
        <v/>
      </c>
      <c r="J416" s="3">
        <f>IF(I416="","",MAX(ABS(F416-I416),ABS(G416-I416),ABS(H416-I416))/I416)</f>
        <v/>
      </c>
      <c r="N416">
        <f>IF(COUNT(K416:M416)&lt;2,"",AVERAGE(K416:M416))</f>
        <v/>
      </c>
      <c r="R416" s="3">
        <f>IF(N416="","",MAX(ABS(K416-N416),ABS(L416-N416),ABS(M416-N416))/N416)</f>
        <v/>
      </c>
      <c r="S416">
        <f>IF(A416="","",IF(AND(F416="",K416=""),"N/A",IF(AND(J416="",R416=""),"Insufficient Load Data",IF(AND(J416&gt;0.03,R416&gt;0.15),"Voltage &amp; Current Imbalance",IF(J416&gt;0.03,"Voltage Imbalance",IF(R416&gt;0.15,"Current Imbalance","No Imbalances Detected")))))</f>
        <v/>
      </c>
      <c r="T416">
        <f>IF(A416="","",IF(AND(F416="",K416=""),"N/A",IF(OR(J416&gt;0.03,R416&gt;0.15),"Imbalance","Pass")))</f>
        <v/>
      </c>
    </row>
    <row r="417">
      <c r="A417">
        <f>IF('Equipment Information'!A417="","", 'Equipment Information'!A417)</f>
        <v/>
      </c>
      <c r="B417">
        <f>IF('Equipment Information'!B417="","", 'Equipment Information'!B417)</f>
        <v/>
      </c>
      <c r="C417">
        <f>IF('Equipment Information'!C417="","", 'Equipment Information'!C417)</f>
        <v/>
      </c>
      <c r="I417">
        <f>IF(COUNT(F417:H417)&lt;2,"",AVERAGE(F417:H417))</f>
        <v/>
      </c>
      <c r="J417" s="3">
        <f>IF(I417="","",MAX(ABS(F417-I417),ABS(G417-I417),ABS(H417-I417))/I417)</f>
        <v/>
      </c>
      <c r="N417">
        <f>IF(COUNT(K417:M417)&lt;2,"",AVERAGE(K417:M417))</f>
        <v/>
      </c>
      <c r="R417" s="3">
        <f>IF(N417="","",MAX(ABS(K417-N417),ABS(L417-N417),ABS(M417-N417))/N417)</f>
        <v/>
      </c>
      <c r="S417">
        <f>IF(A417="","",IF(AND(F417="",K417=""),"N/A",IF(AND(J417="",R417=""),"Insufficient Load Data",IF(AND(J417&gt;0.03,R417&gt;0.15),"Voltage &amp; Current Imbalance",IF(J417&gt;0.03,"Voltage Imbalance",IF(R417&gt;0.15,"Current Imbalance","No Imbalances Detected")))))</f>
        <v/>
      </c>
      <c r="T417">
        <f>IF(A417="","",IF(AND(F417="",K417=""),"N/A",IF(OR(J417&gt;0.03,R417&gt;0.15),"Imbalance","Pass")))</f>
        <v/>
      </c>
    </row>
    <row r="418">
      <c r="A418">
        <f>IF('Equipment Information'!A418="","", 'Equipment Information'!A418)</f>
        <v/>
      </c>
      <c r="B418">
        <f>IF('Equipment Information'!B418="","", 'Equipment Information'!B418)</f>
        <v/>
      </c>
      <c r="C418">
        <f>IF('Equipment Information'!C418="","", 'Equipment Information'!C418)</f>
        <v/>
      </c>
      <c r="I418">
        <f>IF(COUNT(F418:H418)&lt;2,"",AVERAGE(F418:H418))</f>
        <v/>
      </c>
      <c r="J418" s="3">
        <f>IF(I418="","",MAX(ABS(F418-I418),ABS(G418-I418),ABS(H418-I418))/I418)</f>
        <v/>
      </c>
      <c r="N418">
        <f>IF(COUNT(K418:M418)&lt;2,"",AVERAGE(K418:M418))</f>
        <v/>
      </c>
      <c r="R418" s="3">
        <f>IF(N418="","",MAX(ABS(K418-N418),ABS(L418-N418),ABS(M418-N418))/N418)</f>
        <v/>
      </c>
      <c r="S418">
        <f>IF(A418="","",IF(AND(F418="",K418=""),"N/A",IF(AND(J418="",R418=""),"Insufficient Load Data",IF(AND(J418&gt;0.03,R418&gt;0.15),"Voltage &amp; Current Imbalance",IF(J418&gt;0.03,"Voltage Imbalance",IF(R418&gt;0.15,"Current Imbalance","No Imbalances Detected")))))</f>
        <v/>
      </c>
      <c r="T418">
        <f>IF(A418="","",IF(AND(F418="",K418=""),"N/A",IF(OR(J418&gt;0.03,R418&gt;0.15),"Imbalance","Pass")))</f>
        <v/>
      </c>
    </row>
    <row r="419">
      <c r="A419">
        <f>IF('Equipment Information'!A419="","", 'Equipment Information'!A419)</f>
        <v/>
      </c>
      <c r="B419">
        <f>IF('Equipment Information'!B419="","", 'Equipment Information'!B419)</f>
        <v/>
      </c>
      <c r="C419">
        <f>IF('Equipment Information'!C419="","", 'Equipment Information'!C419)</f>
        <v/>
      </c>
      <c r="I419">
        <f>IF(COUNT(F419:H419)&lt;2,"",AVERAGE(F419:H419))</f>
        <v/>
      </c>
      <c r="J419" s="3">
        <f>IF(I419="","",MAX(ABS(F419-I419),ABS(G419-I419),ABS(H419-I419))/I419)</f>
        <v/>
      </c>
      <c r="N419">
        <f>IF(COUNT(K419:M419)&lt;2,"",AVERAGE(K419:M419))</f>
        <v/>
      </c>
      <c r="R419" s="3">
        <f>IF(N419="","",MAX(ABS(K419-N419),ABS(L419-N419),ABS(M419-N419))/N419)</f>
        <v/>
      </c>
      <c r="S419">
        <f>IF(A419="","",IF(AND(F419="",K419=""),"N/A",IF(AND(J419="",R419=""),"Insufficient Load Data",IF(AND(J419&gt;0.03,R419&gt;0.15),"Voltage &amp; Current Imbalance",IF(J419&gt;0.03,"Voltage Imbalance",IF(R419&gt;0.15,"Current Imbalance","No Imbalances Detected")))))</f>
        <v/>
      </c>
      <c r="T419">
        <f>IF(A419="","",IF(AND(F419="",K419=""),"N/A",IF(OR(J419&gt;0.03,R419&gt;0.15),"Imbalance","Pass")))</f>
        <v/>
      </c>
    </row>
    <row r="420">
      <c r="A420">
        <f>IF('Equipment Information'!A420="","", 'Equipment Information'!A420)</f>
        <v/>
      </c>
      <c r="B420">
        <f>IF('Equipment Information'!B420="","", 'Equipment Information'!B420)</f>
        <v/>
      </c>
      <c r="C420">
        <f>IF('Equipment Information'!C420="","", 'Equipment Information'!C420)</f>
        <v/>
      </c>
      <c r="I420">
        <f>IF(COUNT(F420:H420)&lt;2,"",AVERAGE(F420:H420))</f>
        <v/>
      </c>
      <c r="J420" s="3">
        <f>IF(I420="","",MAX(ABS(F420-I420),ABS(G420-I420),ABS(H420-I420))/I420)</f>
        <v/>
      </c>
      <c r="N420">
        <f>IF(COUNT(K420:M420)&lt;2,"",AVERAGE(K420:M420))</f>
        <v/>
      </c>
      <c r="R420" s="3">
        <f>IF(N420="","",MAX(ABS(K420-N420),ABS(L420-N420),ABS(M420-N420))/N420)</f>
        <v/>
      </c>
      <c r="S420">
        <f>IF(A420="","",IF(AND(F420="",K420=""),"N/A",IF(AND(J420="",R420=""),"Insufficient Load Data",IF(AND(J420&gt;0.03,R420&gt;0.15),"Voltage &amp; Current Imbalance",IF(J420&gt;0.03,"Voltage Imbalance",IF(R420&gt;0.15,"Current Imbalance","No Imbalances Detected")))))</f>
        <v/>
      </c>
      <c r="T420">
        <f>IF(A420="","",IF(AND(F420="",K420=""),"N/A",IF(OR(J420&gt;0.03,R420&gt;0.15),"Imbalance","Pass")))</f>
        <v/>
      </c>
    </row>
    <row r="421">
      <c r="A421">
        <f>IF('Equipment Information'!A421="","", 'Equipment Information'!A421)</f>
        <v/>
      </c>
      <c r="B421">
        <f>IF('Equipment Information'!B421="","", 'Equipment Information'!B421)</f>
        <v/>
      </c>
      <c r="C421">
        <f>IF('Equipment Information'!C421="","", 'Equipment Information'!C421)</f>
        <v/>
      </c>
      <c r="I421">
        <f>IF(COUNT(F421:H421)&lt;2,"",AVERAGE(F421:H421))</f>
        <v/>
      </c>
      <c r="J421" s="3">
        <f>IF(I421="","",MAX(ABS(F421-I421),ABS(G421-I421),ABS(H421-I421))/I421)</f>
        <v/>
      </c>
      <c r="N421">
        <f>IF(COUNT(K421:M421)&lt;2,"",AVERAGE(K421:M421))</f>
        <v/>
      </c>
      <c r="R421" s="3">
        <f>IF(N421="","",MAX(ABS(K421-N421),ABS(L421-N421),ABS(M421-N421))/N421)</f>
        <v/>
      </c>
      <c r="S421">
        <f>IF(A421="","",IF(AND(F421="",K421=""),"N/A",IF(AND(J421="",R421=""),"Insufficient Load Data",IF(AND(J421&gt;0.03,R421&gt;0.15),"Voltage &amp; Current Imbalance",IF(J421&gt;0.03,"Voltage Imbalance",IF(R421&gt;0.15,"Current Imbalance","No Imbalances Detected")))))</f>
        <v/>
      </c>
      <c r="T421">
        <f>IF(A421="","",IF(AND(F421="",K421=""),"N/A",IF(OR(J421&gt;0.03,R421&gt;0.15),"Imbalance","Pass")))</f>
        <v/>
      </c>
    </row>
    <row r="422">
      <c r="A422">
        <f>IF('Equipment Information'!A422="","", 'Equipment Information'!A422)</f>
        <v/>
      </c>
      <c r="B422">
        <f>IF('Equipment Information'!B422="","", 'Equipment Information'!B422)</f>
        <v/>
      </c>
      <c r="C422">
        <f>IF('Equipment Information'!C422="","", 'Equipment Information'!C422)</f>
        <v/>
      </c>
      <c r="I422">
        <f>IF(COUNT(F422:H422)&lt;2,"",AVERAGE(F422:H422))</f>
        <v/>
      </c>
      <c r="J422" s="3">
        <f>IF(I422="","",MAX(ABS(F422-I422),ABS(G422-I422),ABS(H422-I422))/I422)</f>
        <v/>
      </c>
      <c r="N422">
        <f>IF(COUNT(K422:M422)&lt;2,"",AVERAGE(K422:M422))</f>
        <v/>
      </c>
      <c r="R422" s="3">
        <f>IF(N422="","",MAX(ABS(K422-N422),ABS(L422-N422),ABS(M422-N422))/N422)</f>
        <v/>
      </c>
      <c r="S422">
        <f>IF(A422="","",IF(AND(F422="",K422=""),"N/A",IF(AND(J422="",R422=""),"Insufficient Load Data",IF(AND(J422&gt;0.03,R422&gt;0.15),"Voltage &amp; Current Imbalance",IF(J422&gt;0.03,"Voltage Imbalance",IF(R422&gt;0.15,"Current Imbalance","No Imbalances Detected")))))</f>
        <v/>
      </c>
      <c r="T422">
        <f>IF(A422="","",IF(AND(F422="",K422=""),"N/A",IF(OR(J422&gt;0.03,R422&gt;0.15),"Imbalance","Pass")))</f>
        <v/>
      </c>
    </row>
    <row r="423">
      <c r="A423">
        <f>IF('Equipment Information'!A423="","", 'Equipment Information'!A423)</f>
        <v/>
      </c>
      <c r="B423">
        <f>IF('Equipment Information'!B423="","", 'Equipment Information'!B423)</f>
        <v/>
      </c>
      <c r="C423">
        <f>IF('Equipment Information'!C423="","", 'Equipment Information'!C423)</f>
        <v/>
      </c>
      <c r="I423">
        <f>IF(COUNT(F423:H423)&lt;2,"",AVERAGE(F423:H423))</f>
        <v/>
      </c>
      <c r="J423" s="3">
        <f>IF(I423="","",MAX(ABS(F423-I423),ABS(G423-I423),ABS(H423-I423))/I423)</f>
        <v/>
      </c>
      <c r="N423">
        <f>IF(COUNT(K423:M423)&lt;2,"",AVERAGE(K423:M423))</f>
        <v/>
      </c>
      <c r="R423" s="3">
        <f>IF(N423="","",MAX(ABS(K423-N423),ABS(L423-N423),ABS(M423-N423))/N423)</f>
        <v/>
      </c>
      <c r="S423">
        <f>IF(A423="","",IF(AND(F423="",K423=""),"N/A",IF(AND(J423="",R423=""),"Insufficient Load Data",IF(AND(J423&gt;0.03,R423&gt;0.15),"Voltage &amp; Current Imbalance",IF(J423&gt;0.03,"Voltage Imbalance",IF(R423&gt;0.15,"Current Imbalance","No Imbalances Detected")))))</f>
        <v/>
      </c>
      <c r="T423">
        <f>IF(A423="","",IF(AND(F423="",K423=""),"N/A",IF(OR(J423&gt;0.03,R423&gt;0.15),"Imbalance","Pass")))</f>
        <v/>
      </c>
    </row>
    <row r="424">
      <c r="A424">
        <f>IF('Equipment Information'!A424="","", 'Equipment Information'!A424)</f>
        <v/>
      </c>
      <c r="B424">
        <f>IF('Equipment Information'!B424="","", 'Equipment Information'!B424)</f>
        <v/>
      </c>
      <c r="C424">
        <f>IF('Equipment Information'!C424="","", 'Equipment Information'!C424)</f>
        <v/>
      </c>
      <c r="I424">
        <f>IF(COUNT(F424:H424)&lt;2,"",AVERAGE(F424:H424))</f>
        <v/>
      </c>
      <c r="J424" s="3">
        <f>IF(I424="","",MAX(ABS(F424-I424),ABS(G424-I424),ABS(H424-I424))/I424)</f>
        <v/>
      </c>
      <c r="N424">
        <f>IF(COUNT(K424:M424)&lt;2,"",AVERAGE(K424:M424))</f>
        <v/>
      </c>
      <c r="R424" s="3">
        <f>IF(N424="","",MAX(ABS(K424-N424),ABS(L424-N424),ABS(M424-N424))/N424)</f>
        <v/>
      </c>
      <c r="S424">
        <f>IF(A424="","",IF(AND(F424="",K424=""),"N/A",IF(AND(J424="",R424=""),"Insufficient Load Data",IF(AND(J424&gt;0.03,R424&gt;0.15),"Voltage &amp; Current Imbalance",IF(J424&gt;0.03,"Voltage Imbalance",IF(R424&gt;0.15,"Current Imbalance","No Imbalances Detected")))))</f>
        <v/>
      </c>
      <c r="T424">
        <f>IF(A424="","",IF(AND(F424="",K424=""),"N/A",IF(OR(J424&gt;0.03,R424&gt;0.15),"Imbalance","Pass")))</f>
        <v/>
      </c>
    </row>
    <row r="425">
      <c r="A425">
        <f>IF('Equipment Information'!A425="","", 'Equipment Information'!A425)</f>
        <v/>
      </c>
      <c r="B425">
        <f>IF('Equipment Information'!B425="","", 'Equipment Information'!B425)</f>
        <v/>
      </c>
      <c r="C425">
        <f>IF('Equipment Information'!C425="","", 'Equipment Information'!C425)</f>
        <v/>
      </c>
      <c r="I425">
        <f>IF(COUNT(F425:H425)&lt;2,"",AVERAGE(F425:H425))</f>
        <v/>
      </c>
      <c r="J425" s="3">
        <f>IF(I425="","",MAX(ABS(F425-I425),ABS(G425-I425),ABS(H425-I425))/I425)</f>
        <v/>
      </c>
      <c r="N425">
        <f>IF(COUNT(K425:M425)&lt;2,"",AVERAGE(K425:M425))</f>
        <v/>
      </c>
      <c r="R425" s="3">
        <f>IF(N425="","",MAX(ABS(K425-N425),ABS(L425-N425),ABS(M425-N425))/N425)</f>
        <v/>
      </c>
      <c r="S425">
        <f>IF(A425="","",IF(AND(F425="",K425=""),"N/A",IF(AND(J425="",R425=""),"Insufficient Load Data",IF(AND(J425&gt;0.03,R425&gt;0.15),"Voltage &amp; Current Imbalance",IF(J425&gt;0.03,"Voltage Imbalance",IF(R425&gt;0.15,"Current Imbalance","No Imbalances Detected")))))</f>
        <v/>
      </c>
      <c r="T425">
        <f>IF(A425="","",IF(AND(F425="",K425=""),"N/A",IF(OR(J425&gt;0.03,R425&gt;0.15),"Imbalance","Pass")))</f>
        <v/>
      </c>
    </row>
    <row r="426">
      <c r="A426">
        <f>IF('Equipment Information'!A426="","", 'Equipment Information'!A426)</f>
        <v/>
      </c>
      <c r="B426">
        <f>IF('Equipment Information'!B426="","", 'Equipment Information'!B426)</f>
        <v/>
      </c>
      <c r="C426">
        <f>IF('Equipment Information'!C426="","", 'Equipment Information'!C426)</f>
        <v/>
      </c>
      <c r="I426">
        <f>IF(COUNT(F426:H426)&lt;2,"",AVERAGE(F426:H426))</f>
        <v/>
      </c>
      <c r="J426" s="3">
        <f>IF(I426="","",MAX(ABS(F426-I426),ABS(G426-I426),ABS(H426-I426))/I426)</f>
        <v/>
      </c>
      <c r="N426">
        <f>IF(COUNT(K426:M426)&lt;2,"",AVERAGE(K426:M426))</f>
        <v/>
      </c>
      <c r="R426" s="3">
        <f>IF(N426="","",MAX(ABS(K426-N426),ABS(L426-N426),ABS(M426-N426))/N426)</f>
        <v/>
      </c>
      <c r="S426">
        <f>IF(A426="","",IF(AND(F426="",K426=""),"N/A",IF(AND(J426="",R426=""),"Insufficient Load Data",IF(AND(J426&gt;0.03,R426&gt;0.15),"Voltage &amp; Current Imbalance",IF(J426&gt;0.03,"Voltage Imbalance",IF(R426&gt;0.15,"Current Imbalance","No Imbalances Detected")))))</f>
        <v/>
      </c>
      <c r="T426">
        <f>IF(A426="","",IF(AND(F426="",K426=""),"N/A",IF(OR(J426&gt;0.03,R426&gt;0.15),"Imbalance","Pass")))</f>
        <v/>
      </c>
    </row>
    <row r="427">
      <c r="A427">
        <f>IF('Equipment Information'!A427="","", 'Equipment Information'!A427)</f>
        <v/>
      </c>
      <c r="B427">
        <f>IF('Equipment Information'!B427="","", 'Equipment Information'!B427)</f>
        <v/>
      </c>
      <c r="C427">
        <f>IF('Equipment Information'!C427="","", 'Equipment Information'!C427)</f>
        <v/>
      </c>
      <c r="I427">
        <f>IF(COUNT(F427:H427)&lt;2,"",AVERAGE(F427:H427))</f>
        <v/>
      </c>
      <c r="J427" s="3">
        <f>IF(I427="","",MAX(ABS(F427-I427),ABS(G427-I427),ABS(H427-I427))/I427)</f>
        <v/>
      </c>
      <c r="N427">
        <f>IF(COUNT(K427:M427)&lt;2,"",AVERAGE(K427:M427))</f>
        <v/>
      </c>
      <c r="R427" s="3">
        <f>IF(N427="","",MAX(ABS(K427-N427),ABS(L427-N427),ABS(M427-N427))/N427)</f>
        <v/>
      </c>
      <c r="S427">
        <f>IF(A427="","",IF(AND(F427="",K427=""),"N/A",IF(AND(J427="",R427=""),"Insufficient Load Data",IF(AND(J427&gt;0.03,R427&gt;0.15),"Voltage &amp; Current Imbalance",IF(J427&gt;0.03,"Voltage Imbalance",IF(R427&gt;0.15,"Current Imbalance","No Imbalances Detected")))))</f>
        <v/>
      </c>
      <c r="T427">
        <f>IF(A427="","",IF(AND(F427="",K427=""),"N/A",IF(OR(J427&gt;0.03,R427&gt;0.15),"Imbalance","Pass")))</f>
        <v/>
      </c>
    </row>
    <row r="428">
      <c r="A428">
        <f>IF('Equipment Information'!A428="","", 'Equipment Information'!A428)</f>
        <v/>
      </c>
      <c r="B428">
        <f>IF('Equipment Information'!B428="","", 'Equipment Information'!B428)</f>
        <v/>
      </c>
      <c r="C428">
        <f>IF('Equipment Information'!C428="","", 'Equipment Information'!C428)</f>
        <v/>
      </c>
      <c r="I428">
        <f>IF(COUNT(F428:H428)&lt;2,"",AVERAGE(F428:H428))</f>
        <v/>
      </c>
      <c r="J428" s="3">
        <f>IF(I428="","",MAX(ABS(F428-I428),ABS(G428-I428),ABS(H428-I428))/I428)</f>
        <v/>
      </c>
      <c r="N428">
        <f>IF(COUNT(K428:M428)&lt;2,"",AVERAGE(K428:M428))</f>
        <v/>
      </c>
      <c r="R428" s="3">
        <f>IF(N428="","",MAX(ABS(K428-N428),ABS(L428-N428),ABS(M428-N428))/N428)</f>
        <v/>
      </c>
      <c r="S428">
        <f>IF(A428="","",IF(AND(F428="",K428=""),"N/A",IF(AND(J428="",R428=""),"Insufficient Load Data",IF(AND(J428&gt;0.03,R428&gt;0.15),"Voltage &amp; Current Imbalance",IF(J428&gt;0.03,"Voltage Imbalance",IF(R428&gt;0.15,"Current Imbalance","No Imbalances Detected")))))</f>
        <v/>
      </c>
      <c r="T428">
        <f>IF(A428="","",IF(AND(F428="",K428=""),"N/A",IF(OR(J428&gt;0.03,R428&gt;0.15),"Imbalance","Pass")))</f>
        <v/>
      </c>
    </row>
    <row r="429">
      <c r="A429">
        <f>IF('Equipment Information'!A429="","", 'Equipment Information'!A429)</f>
        <v/>
      </c>
      <c r="B429">
        <f>IF('Equipment Information'!B429="","", 'Equipment Information'!B429)</f>
        <v/>
      </c>
      <c r="C429">
        <f>IF('Equipment Information'!C429="","", 'Equipment Information'!C429)</f>
        <v/>
      </c>
      <c r="I429">
        <f>IF(COUNT(F429:H429)&lt;2,"",AVERAGE(F429:H429))</f>
        <v/>
      </c>
      <c r="J429" s="3">
        <f>IF(I429="","",MAX(ABS(F429-I429),ABS(G429-I429),ABS(H429-I429))/I429)</f>
        <v/>
      </c>
      <c r="N429">
        <f>IF(COUNT(K429:M429)&lt;2,"",AVERAGE(K429:M429))</f>
        <v/>
      </c>
      <c r="R429" s="3">
        <f>IF(N429="","",MAX(ABS(K429-N429),ABS(L429-N429),ABS(M429-N429))/N429)</f>
        <v/>
      </c>
      <c r="S429">
        <f>IF(A429="","",IF(AND(F429="",K429=""),"N/A",IF(AND(J429="",R429=""),"Insufficient Load Data",IF(AND(J429&gt;0.03,R429&gt;0.15),"Voltage &amp; Current Imbalance",IF(J429&gt;0.03,"Voltage Imbalance",IF(R429&gt;0.15,"Current Imbalance","No Imbalances Detected")))))</f>
        <v/>
      </c>
      <c r="T429">
        <f>IF(A429="","",IF(AND(F429="",K429=""),"N/A",IF(OR(J429&gt;0.03,R429&gt;0.15),"Imbalance","Pass")))</f>
        <v/>
      </c>
    </row>
    <row r="430">
      <c r="A430">
        <f>IF('Equipment Information'!A430="","", 'Equipment Information'!A430)</f>
        <v/>
      </c>
      <c r="B430">
        <f>IF('Equipment Information'!B430="","", 'Equipment Information'!B430)</f>
        <v/>
      </c>
      <c r="C430">
        <f>IF('Equipment Information'!C430="","", 'Equipment Information'!C430)</f>
        <v/>
      </c>
      <c r="I430">
        <f>IF(COUNT(F430:H430)&lt;2,"",AVERAGE(F430:H430))</f>
        <v/>
      </c>
      <c r="J430" s="3">
        <f>IF(I430="","",MAX(ABS(F430-I430),ABS(G430-I430),ABS(H430-I430))/I430)</f>
        <v/>
      </c>
      <c r="N430">
        <f>IF(COUNT(K430:M430)&lt;2,"",AVERAGE(K430:M430))</f>
        <v/>
      </c>
      <c r="R430" s="3">
        <f>IF(N430="","",MAX(ABS(K430-N430),ABS(L430-N430),ABS(M430-N430))/N430)</f>
        <v/>
      </c>
      <c r="S430">
        <f>IF(A430="","",IF(AND(F430="",K430=""),"N/A",IF(AND(J430="",R430=""),"Insufficient Load Data",IF(AND(J430&gt;0.03,R430&gt;0.15),"Voltage &amp; Current Imbalance",IF(J430&gt;0.03,"Voltage Imbalance",IF(R430&gt;0.15,"Current Imbalance","No Imbalances Detected")))))</f>
        <v/>
      </c>
      <c r="T430">
        <f>IF(A430="","",IF(AND(F430="",K430=""),"N/A",IF(OR(J430&gt;0.03,R430&gt;0.15),"Imbalance","Pass")))</f>
        <v/>
      </c>
    </row>
    <row r="431">
      <c r="A431">
        <f>IF('Equipment Information'!A431="","", 'Equipment Information'!A431)</f>
        <v/>
      </c>
      <c r="B431">
        <f>IF('Equipment Information'!B431="","", 'Equipment Information'!B431)</f>
        <v/>
      </c>
      <c r="C431">
        <f>IF('Equipment Information'!C431="","", 'Equipment Information'!C431)</f>
        <v/>
      </c>
      <c r="I431">
        <f>IF(COUNT(F431:H431)&lt;2,"",AVERAGE(F431:H431))</f>
        <v/>
      </c>
      <c r="J431" s="3">
        <f>IF(I431="","",MAX(ABS(F431-I431),ABS(G431-I431),ABS(H431-I431))/I431)</f>
        <v/>
      </c>
      <c r="N431">
        <f>IF(COUNT(K431:M431)&lt;2,"",AVERAGE(K431:M431))</f>
        <v/>
      </c>
      <c r="R431" s="3">
        <f>IF(N431="","",MAX(ABS(K431-N431),ABS(L431-N431),ABS(M431-N431))/N431)</f>
        <v/>
      </c>
      <c r="S431">
        <f>IF(A431="","",IF(AND(F431="",K431=""),"N/A",IF(AND(J431="",R431=""),"Insufficient Load Data",IF(AND(J431&gt;0.03,R431&gt;0.15),"Voltage &amp; Current Imbalance",IF(J431&gt;0.03,"Voltage Imbalance",IF(R431&gt;0.15,"Current Imbalance","No Imbalances Detected")))))</f>
        <v/>
      </c>
      <c r="T431">
        <f>IF(A431="","",IF(AND(F431="",K431=""),"N/A",IF(OR(J431&gt;0.03,R431&gt;0.15),"Imbalance","Pass")))</f>
        <v/>
      </c>
    </row>
    <row r="432">
      <c r="A432">
        <f>IF('Equipment Information'!A432="","", 'Equipment Information'!A432)</f>
        <v/>
      </c>
      <c r="B432">
        <f>IF('Equipment Information'!B432="","", 'Equipment Information'!B432)</f>
        <v/>
      </c>
      <c r="C432">
        <f>IF('Equipment Information'!C432="","", 'Equipment Information'!C432)</f>
        <v/>
      </c>
      <c r="I432">
        <f>IF(COUNT(F432:H432)&lt;2,"",AVERAGE(F432:H432))</f>
        <v/>
      </c>
      <c r="J432" s="3">
        <f>IF(I432="","",MAX(ABS(F432-I432),ABS(G432-I432),ABS(H432-I432))/I432)</f>
        <v/>
      </c>
      <c r="N432">
        <f>IF(COUNT(K432:M432)&lt;2,"",AVERAGE(K432:M432))</f>
        <v/>
      </c>
      <c r="R432" s="3">
        <f>IF(N432="","",MAX(ABS(K432-N432),ABS(L432-N432),ABS(M432-N432))/N432)</f>
        <v/>
      </c>
      <c r="S432">
        <f>IF(A432="","",IF(AND(F432="",K432=""),"N/A",IF(AND(J432="",R432=""),"Insufficient Load Data",IF(AND(J432&gt;0.03,R432&gt;0.15),"Voltage &amp; Current Imbalance",IF(J432&gt;0.03,"Voltage Imbalance",IF(R432&gt;0.15,"Current Imbalance","No Imbalances Detected")))))</f>
        <v/>
      </c>
      <c r="T432">
        <f>IF(A432="","",IF(AND(F432="",K432=""),"N/A",IF(OR(J432&gt;0.03,R432&gt;0.15),"Imbalance","Pass")))</f>
        <v/>
      </c>
    </row>
    <row r="433">
      <c r="A433">
        <f>IF('Equipment Information'!A433="","", 'Equipment Information'!A433)</f>
        <v/>
      </c>
      <c r="B433">
        <f>IF('Equipment Information'!B433="","", 'Equipment Information'!B433)</f>
        <v/>
      </c>
      <c r="C433">
        <f>IF('Equipment Information'!C433="","", 'Equipment Information'!C433)</f>
        <v/>
      </c>
      <c r="I433">
        <f>IF(COUNT(F433:H433)&lt;2,"",AVERAGE(F433:H433))</f>
        <v/>
      </c>
      <c r="J433" s="3">
        <f>IF(I433="","",MAX(ABS(F433-I433),ABS(G433-I433),ABS(H433-I433))/I433)</f>
        <v/>
      </c>
      <c r="N433">
        <f>IF(COUNT(K433:M433)&lt;2,"",AVERAGE(K433:M433))</f>
        <v/>
      </c>
      <c r="R433" s="3">
        <f>IF(N433="","",MAX(ABS(K433-N433),ABS(L433-N433),ABS(M433-N433))/N433)</f>
        <v/>
      </c>
      <c r="S433">
        <f>IF(A433="","",IF(AND(F433="",K433=""),"N/A",IF(AND(J433="",R433=""),"Insufficient Load Data",IF(AND(J433&gt;0.03,R433&gt;0.15),"Voltage &amp; Current Imbalance",IF(J433&gt;0.03,"Voltage Imbalance",IF(R433&gt;0.15,"Current Imbalance","No Imbalances Detected")))))</f>
        <v/>
      </c>
      <c r="T433">
        <f>IF(A433="","",IF(AND(F433="",K433=""),"N/A",IF(OR(J433&gt;0.03,R433&gt;0.15),"Imbalance","Pass")))</f>
        <v/>
      </c>
    </row>
    <row r="434">
      <c r="A434">
        <f>IF('Equipment Information'!A434="","", 'Equipment Information'!A434)</f>
        <v/>
      </c>
      <c r="B434">
        <f>IF('Equipment Information'!B434="","", 'Equipment Information'!B434)</f>
        <v/>
      </c>
      <c r="C434">
        <f>IF('Equipment Information'!C434="","", 'Equipment Information'!C434)</f>
        <v/>
      </c>
      <c r="I434">
        <f>IF(COUNT(F434:H434)&lt;2,"",AVERAGE(F434:H434))</f>
        <v/>
      </c>
      <c r="J434" s="3">
        <f>IF(I434="","",MAX(ABS(F434-I434),ABS(G434-I434),ABS(H434-I434))/I434)</f>
        <v/>
      </c>
      <c r="N434">
        <f>IF(COUNT(K434:M434)&lt;2,"",AVERAGE(K434:M434))</f>
        <v/>
      </c>
      <c r="R434" s="3">
        <f>IF(N434="","",MAX(ABS(K434-N434),ABS(L434-N434),ABS(M434-N434))/N434)</f>
        <v/>
      </c>
      <c r="S434">
        <f>IF(A434="","",IF(AND(F434="",K434=""),"N/A",IF(AND(J434="",R434=""),"Insufficient Load Data",IF(AND(J434&gt;0.03,R434&gt;0.15),"Voltage &amp; Current Imbalance",IF(J434&gt;0.03,"Voltage Imbalance",IF(R434&gt;0.15,"Current Imbalance","No Imbalances Detected")))))</f>
        <v/>
      </c>
      <c r="T434">
        <f>IF(A434="","",IF(AND(F434="",K434=""),"N/A",IF(OR(J434&gt;0.03,R434&gt;0.15),"Imbalance","Pass")))</f>
        <v/>
      </c>
    </row>
    <row r="435">
      <c r="A435">
        <f>IF('Equipment Information'!A435="","", 'Equipment Information'!A435)</f>
        <v/>
      </c>
      <c r="B435">
        <f>IF('Equipment Information'!B435="","", 'Equipment Information'!B435)</f>
        <v/>
      </c>
      <c r="C435">
        <f>IF('Equipment Information'!C435="","", 'Equipment Information'!C435)</f>
        <v/>
      </c>
      <c r="I435">
        <f>IF(COUNT(F435:H435)&lt;2,"",AVERAGE(F435:H435))</f>
        <v/>
      </c>
      <c r="J435" s="3">
        <f>IF(I435="","",MAX(ABS(F435-I435),ABS(G435-I435),ABS(H435-I435))/I435)</f>
        <v/>
      </c>
      <c r="N435">
        <f>IF(COUNT(K435:M435)&lt;2,"",AVERAGE(K435:M435))</f>
        <v/>
      </c>
      <c r="R435" s="3">
        <f>IF(N435="","",MAX(ABS(K435-N435),ABS(L435-N435),ABS(M435-N435))/N435)</f>
        <v/>
      </c>
      <c r="S435">
        <f>IF(A435="","",IF(AND(F435="",K435=""),"N/A",IF(AND(J435="",R435=""),"Insufficient Load Data",IF(AND(J435&gt;0.03,R435&gt;0.15),"Voltage &amp; Current Imbalance",IF(J435&gt;0.03,"Voltage Imbalance",IF(R435&gt;0.15,"Current Imbalance","No Imbalances Detected")))))</f>
        <v/>
      </c>
      <c r="T435">
        <f>IF(A435="","",IF(AND(F435="",K435=""),"N/A",IF(OR(J435&gt;0.03,R435&gt;0.15),"Imbalance","Pass")))</f>
        <v/>
      </c>
    </row>
    <row r="436">
      <c r="A436">
        <f>IF('Equipment Information'!A436="","", 'Equipment Information'!A436)</f>
        <v/>
      </c>
      <c r="B436">
        <f>IF('Equipment Information'!B436="","", 'Equipment Information'!B436)</f>
        <v/>
      </c>
      <c r="C436">
        <f>IF('Equipment Information'!C436="","", 'Equipment Information'!C436)</f>
        <v/>
      </c>
      <c r="I436">
        <f>IF(COUNT(F436:H436)&lt;2,"",AVERAGE(F436:H436))</f>
        <v/>
      </c>
      <c r="J436" s="3">
        <f>IF(I436="","",MAX(ABS(F436-I436),ABS(G436-I436),ABS(H436-I436))/I436)</f>
        <v/>
      </c>
      <c r="N436">
        <f>IF(COUNT(K436:M436)&lt;2,"",AVERAGE(K436:M436))</f>
        <v/>
      </c>
      <c r="R436" s="3">
        <f>IF(N436="","",MAX(ABS(K436-N436),ABS(L436-N436),ABS(M436-N436))/N436)</f>
        <v/>
      </c>
      <c r="S436">
        <f>IF(A436="","",IF(AND(F436="",K436=""),"N/A",IF(AND(J436="",R436=""),"Insufficient Load Data",IF(AND(J436&gt;0.03,R436&gt;0.15),"Voltage &amp; Current Imbalance",IF(J436&gt;0.03,"Voltage Imbalance",IF(R436&gt;0.15,"Current Imbalance","No Imbalances Detected")))))</f>
        <v/>
      </c>
      <c r="T436">
        <f>IF(A436="","",IF(AND(F436="",K436=""),"N/A",IF(OR(J436&gt;0.03,R436&gt;0.15),"Imbalance","Pass")))</f>
        <v/>
      </c>
    </row>
    <row r="437">
      <c r="A437">
        <f>IF('Equipment Information'!A437="","", 'Equipment Information'!A437)</f>
        <v/>
      </c>
      <c r="B437">
        <f>IF('Equipment Information'!B437="","", 'Equipment Information'!B437)</f>
        <v/>
      </c>
      <c r="C437">
        <f>IF('Equipment Information'!C437="","", 'Equipment Information'!C437)</f>
        <v/>
      </c>
      <c r="I437">
        <f>IF(COUNT(F437:H437)&lt;2,"",AVERAGE(F437:H437))</f>
        <v/>
      </c>
      <c r="J437" s="3">
        <f>IF(I437="","",MAX(ABS(F437-I437),ABS(G437-I437),ABS(H437-I437))/I437)</f>
        <v/>
      </c>
      <c r="N437">
        <f>IF(COUNT(K437:M437)&lt;2,"",AVERAGE(K437:M437))</f>
        <v/>
      </c>
      <c r="R437" s="3">
        <f>IF(N437="","",MAX(ABS(K437-N437),ABS(L437-N437),ABS(M437-N437))/N437)</f>
        <v/>
      </c>
      <c r="S437">
        <f>IF(A437="","",IF(AND(F437="",K437=""),"N/A",IF(AND(J437="",R437=""),"Insufficient Load Data",IF(AND(J437&gt;0.03,R437&gt;0.15),"Voltage &amp; Current Imbalance",IF(J437&gt;0.03,"Voltage Imbalance",IF(R437&gt;0.15,"Current Imbalance","No Imbalances Detected")))))</f>
        <v/>
      </c>
      <c r="T437">
        <f>IF(A437="","",IF(AND(F437="",K437=""),"N/A",IF(OR(J437&gt;0.03,R437&gt;0.15),"Imbalance","Pass")))</f>
        <v/>
      </c>
    </row>
    <row r="438">
      <c r="A438">
        <f>IF('Equipment Information'!A438="","", 'Equipment Information'!A438)</f>
        <v/>
      </c>
      <c r="B438">
        <f>IF('Equipment Information'!B438="","", 'Equipment Information'!B438)</f>
        <v/>
      </c>
      <c r="C438">
        <f>IF('Equipment Information'!C438="","", 'Equipment Information'!C438)</f>
        <v/>
      </c>
      <c r="I438">
        <f>IF(COUNT(F438:H438)&lt;2,"",AVERAGE(F438:H438))</f>
        <v/>
      </c>
      <c r="J438" s="3">
        <f>IF(I438="","",MAX(ABS(F438-I438),ABS(G438-I438),ABS(H438-I438))/I438)</f>
        <v/>
      </c>
      <c r="N438">
        <f>IF(COUNT(K438:M438)&lt;2,"",AVERAGE(K438:M438))</f>
        <v/>
      </c>
      <c r="R438" s="3">
        <f>IF(N438="","",MAX(ABS(K438-N438),ABS(L438-N438),ABS(M438-N438))/N438)</f>
        <v/>
      </c>
      <c r="S438">
        <f>IF(A438="","",IF(AND(F438="",K438=""),"N/A",IF(AND(J438="",R438=""),"Insufficient Load Data",IF(AND(J438&gt;0.03,R438&gt;0.15),"Voltage &amp; Current Imbalance",IF(J438&gt;0.03,"Voltage Imbalance",IF(R438&gt;0.15,"Current Imbalance","No Imbalances Detected")))))</f>
        <v/>
      </c>
      <c r="T438">
        <f>IF(A438="","",IF(AND(F438="",K438=""),"N/A",IF(OR(J438&gt;0.03,R438&gt;0.15),"Imbalance","Pass")))</f>
        <v/>
      </c>
    </row>
    <row r="439">
      <c r="A439">
        <f>IF('Equipment Information'!A439="","", 'Equipment Information'!A439)</f>
        <v/>
      </c>
      <c r="B439">
        <f>IF('Equipment Information'!B439="","", 'Equipment Information'!B439)</f>
        <v/>
      </c>
      <c r="C439">
        <f>IF('Equipment Information'!C439="","", 'Equipment Information'!C439)</f>
        <v/>
      </c>
      <c r="I439">
        <f>IF(COUNT(F439:H439)&lt;2,"",AVERAGE(F439:H439))</f>
        <v/>
      </c>
      <c r="J439" s="3">
        <f>IF(I439="","",MAX(ABS(F439-I439),ABS(G439-I439),ABS(H439-I439))/I439)</f>
        <v/>
      </c>
      <c r="N439">
        <f>IF(COUNT(K439:M439)&lt;2,"",AVERAGE(K439:M439))</f>
        <v/>
      </c>
      <c r="R439" s="3">
        <f>IF(N439="","",MAX(ABS(K439-N439),ABS(L439-N439),ABS(M439-N439))/N439)</f>
        <v/>
      </c>
      <c r="S439">
        <f>IF(A439="","",IF(AND(F439="",K439=""),"N/A",IF(AND(J439="",R439=""),"Insufficient Load Data",IF(AND(J439&gt;0.03,R439&gt;0.15),"Voltage &amp; Current Imbalance",IF(J439&gt;0.03,"Voltage Imbalance",IF(R439&gt;0.15,"Current Imbalance","No Imbalances Detected")))))</f>
        <v/>
      </c>
      <c r="T439">
        <f>IF(A439="","",IF(AND(F439="",K439=""),"N/A",IF(OR(J439&gt;0.03,R439&gt;0.15),"Imbalance","Pass")))</f>
        <v/>
      </c>
    </row>
    <row r="440">
      <c r="A440">
        <f>IF('Equipment Information'!A440="","", 'Equipment Information'!A440)</f>
        <v/>
      </c>
      <c r="B440">
        <f>IF('Equipment Information'!B440="","", 'Equipment Information'!B440)</f>
        <v/>
      </c>
      <c r="C440">
        <f>IF('Equipment Information'!C440="","", 'Equipment Information'!C440)</f>
        <v/>
      </c>
      <c r="I440">
        <f>IF(COUNT(F440:H440)&lt;2,"",AVERAGE(F440:H440))</f>
        <v/>
      </c>
      <c r="J440" s="3">
        <f>IF(I440="","",MAX(ABS(F440-I440),ABS(G440-I440),ABS(H440-I440))/I440)</f>
        <v/>
      </c>
      <c r="N440">
        <f>IF(COUNT(K440:M440)&lt;2,"",AVERAGE(K440:M440))</f>
        <v/>
      </c>
      <c r="R440" s="3">
        <f>IF(N440="","",MAX(ABS(K440-N440),ABS(L440-N440),ABS(M440-N440))/N440)</f>
        <v/>
      </c>
      <c r="S440">
        <f>IF(A440="","",IF(AND(F440="",K440=""),"N/A",IF(AND(J440="",R440=""),"Insufficient Load Data",IF(AND(J440&gt;0.03,R440&gt;0.15),"Voltage &amp; Current Imbalance",IF(J440&gt;0.03,"Voltage Imbalance",IF(R440&gt;0.15,"Current Imbalance","No Imbalances Detected")))))</f>
        <v/>
      </c>
      <c r="T440">
        <f>IF(A440="","",IF(AND(F440="",K440=""),"N/A",IF(OR(J440&gt;0.03,R440&gt;0.15),"Imbalance","Pass")))</f>
        <v/>
      </c>
    </row>
    <row r="441">
      <c r="A441">
        <f>IF('Equipment Information'!A441="","", 'Equipment Information'!A441)</f>
        <v/>
      </c>
      <c r="B441">
        <f>IF('Equipment Information'!B441="","", 'Equipment Information'!B441)</f>
        <v/>
      </c>
      <c r="C441">
        <f>IF('Equipment Information'!C441="","", 'Equipment Information'!C441)</f>
        <v/>
      </c>
      <c r="I441">
        <f>IF(COUNT(F441:H441)&lt;2,"",AVERAGE(F441:H441))</f>
        <v/>
      </c>
      <c r="J441" s="3">
        <f>IF(I441="","",MAX(ABS(F441-I441),ABS(G441-I441),ABS(H441-I441))/I441)</f>
        <v/>
      </c>
      <c r="N441">
        <f>IF(COUNT(K441:M441)&lt;2,"",AVERAGE(K441:M441))</f>
        <v/>
      </c>
      <c r="R441" s="3">
        <f>IF(N441="","",MAX(ABS(K441-N441),ABS(L441-N441),ABS(M441-N441))/N441)</f>
        <v/>
      </c>
      <c r="S441">
        <f>IF(A441="","",IF(AND(F441="",K441=""),"N/A",IF(AND(J441="",R441=""),"Insufficient Load Data",IF(AND(J441&gt;0.03,R441&gt;0.15),"Voltage &amp; Current Imbalance",IF(J441&gt;0.03,"Voltage Imbalance",IF(R441&gt;0.15,"Current Imbalance","No Imbalances Detected")))))</f>
        <v/>
      </c>
      <c r="T441">
        <f>IF(A441="","",IF(AND(F441="",K441=""),"N/A",IF(OR(J441&gt;0.03,R441&gt;0.15),"Imbalance","Pass")))</f>
        <v/>
      </c>
    </row>
    <row r="442">
      <c r="A442">
        <f>IF('Equipment Information'!A442="","", 'Equipment Information'!A442)</f>
        <v/>
      </c>
      <c r="B442">
        <f>IF('Equipment Information'!B442="","", 'Equipment Information'!B442)</f>
        <v/>
      </c>
      <c r="C442">
        <f>IF('Equipment Information'!C442="","", 'Equipment Information'!C442)</f>
        <v/>
      </c>
      <c r="I442">
        <f>IF(COUNT(F442:H442)&lt;2,"",AVERAGE(F442:H442))</f>
        <v/>
      </c>
      <c r="J442" s="3">
        <f>IF(I442="","",MAX(ABS(F442-I442),ABS(G442-I442),ABS(H442-I442))/I442)</f>
        <v/>
      </c>
      <c r="N442">
        <f>IF(COUNT(K442:M442)&lt;2,"",AVERAGE(K442:M442))</f>
        <v/>
      </c>
      <c r="R442" s="3">
        <f>IF(N442="","",MAX(ABS(K442-N442),ABS(L442-N442),ABS(M442-N442))/N442)</f>
        <v/>
      </c>
      <c r="S442">
        <f>IF(A442="","",IF(AND(F442="",K442=""),"N/A",IF(AND(J442="",R442=""),"Insufficient Load Data",IF(AND(J442&gt;0.03,R442&gt;0.15),"Voltage &amp; Current Imbalance",IF(J442&gt;0.03,"Voltage Imbalance",IF(R442&gt;0.15,"Current Imbalance","No Imbalances Detected")))))</f>
        <v/>
      </c>
      <c r="T442">
        <f>IF(A442="","",IF(AND(F442="",K442=""),"N/A",IF(OR(J442&gt;0.03,R442&gt;0.15),"Imbalance","Pass")))</f>
        <v/>
      </c>
    </row>
    <row r="443">
      <c r="A443">
        <f>IF('Equipment Information'!A443="","", 'Equipment Information'!A443)</f>
        <v/>
      </c>
      <c r="B443">
        <f>IF('Equipment Information'!B443="","", 'Equipment Information'!B443)</f>
        <v/>
      </c>
      <c r="C443">
        <f>IF('Equipment Information'!C443="","", 'Equipment Information'!C443)</f>
        <v/>
      </c>
      <c r="I443">
        <f>IF(COUNT(F443:H443)&lt;2,"",AVERAGE(F443:H443))</f>
        <v/>
      </c>
      <c r="J443" s="3">
        <f>IF(I443="","",MAX(ABS(F443-I443),ABS(G443-I443),ABS(H443-I443))/I443)</f>
        <v/>
      </c>
      <c r="N443">
        <f>IF(COUNT(K443:M443)&lt;2,"",AVERAGE(K443:M443))</f>
        <v/>
      </c>
      <c r="R443" s="3">
        <f>IF(N443="","",MAX(ABS(K443-N443),ABS(L443-N443),ABS(M443-N443))/N443)</f>
        <v/>
      </c>
      <c r="S443">
        <f>IF(A443="","",IF(AND(F443="",K443=""),"N/A",IF(AND(J443="",R443=""),"Insufficient Load Data",IF(AND(J443&gt;0.03,R443&gt;0.15),"Voltage &amp; Current Imbalance",IF(J443&gt;0.03,"Voltage Imbalance",IF(R443&gt;0.15,"Current Imbalance","No Imbalances Detected")))))</f>
        <v/>
      </c>
      <c r="T443">
        <f>IF(A443="","",IF(AND(F443="",K443=""),"N/A",IF(OR(J443&gt;0.03,R443&gt;0.15),"Imbalance","Pass")))</f>
        <v/>
      </c>
    </row>
    <row r="444">
      <c r="A444">
        <f>IF('Equipment Information'!A444="","", 'Equipment Information'!A444)</f>
        <v/>
      </c>
      <c r="B444">
        <f>IF('Equipment Information'!B444="","", 'Equipment Information'!B444)</f>
        <v/>
      </c>
      <c r="C444">
        <f>IF('Equipment Information'!C444="","", 'Equipment Information'!C444)</f>
        <v/>
      </c>
      <c r="I444">
        <f>IF(COUNT(F444:H444)&lt;2,"",AVERAGE(F444:H444))</f>
        <v/>
      </c>
      <c r="J444" s="3">
        <f>IF(I444="","",MAX(ABS(F444-I444),ABS(G444-I444),ABS(H444-I444))/I444)</f>
        <v/>
      </c>
      <c r="N444">
        <f>IF(COUNT(K444:M444)&lt;2,"",AVERAGE(K444:M444))</f>
        <v/>
      </c>
      <c r="R444" s="3">
        <f>IF(N444="","",MAX(ABS(K444-N444),ABS(L444-N444),ABS(M444-N444))/N444)</f>
        <v/>
      </c>
      <c r="S444">
        <f>IF(A444="","",IF(AND(F444="",K444=""),"N/A",IF(AND(J444="",R444=""),"Insufficient Load Data",IF(AND(J444&gt;0.03,R444&gt;0.15),"Voltage &amp; Current Imbalance",IF(J444&gt;0.03,"Voltage Imbalance",IF(R444&gt;0.15,"Current Imbalance","No Imbalances Detected")))))</f>
        <v/>
      </c>
      <c r="T444">
        <f>IF(A444="","",IF(AND(F444="",K444=""),"N/A",IF(OR(J444&gt;0.03,R444&gt;0.15),"Imbalance","Pass")))</f>
        <v/>
      </c>
    </row>
    <row r="445">
      <c r="A445">
        <f>IF('Equipment Information'!A445="","", 'Equipment Information'!A445)</f>
        <v/>
      </c>
      <c r="B445">
        <f>IF('Equipment Information'!B445="","", 'Equipment Information'!B445)</f>
        <v/>
      </c>
      <c r="C445">
        <f>IF('Equipment Information'!C445="","", 'Equipment Information'!C445)</f>
        <v/>
      </c>
      <c r="I445">
        <f>IF(COUNT(F445:H445)&lt;2,"",AVERAGE(F445:H445))</f>
        <v/>
      </c>
      <c r="J445" s="3">
        <f>IF(I445="","",MAX(ABS(F445-I445),ABS(G445-I445),ABS(H445-I445))/I445)</f>
        <v/>
      </c>
      <c r="N445">
        <f>IF(COUNT(K445:M445)&lt;2,"",AVERAGE(K445:M445))</f>
        <v/>
      </c>
      <c r="R445" s="3">
        <f>IF(N445="","",MAX(ABS(K445-N445),ABS(L445-N445),ABS(M445-N445))/N445)</f>
        <v/>
      </c>
      <c r="S445">
        <f>IF(A445="","",IF(AND(F445="",K445=""),"N/A",IF(AND(J445="",R445=""),"Insufficient Load Data",IF(AND(J445&gt;0.03,R445&gt;0.15),"Voltage &amp; Current Imbalance",IF(J445&gt;0.03,"Voltage Imbalance",IF(R445&gt;0.15,"Current Imbalance","No Imbalances Detected")))))</f>
        <v/>
      </c>
      <c r="T445">
        <f>IF(A445="","",IF(AND(F445="",K445=""),"N/A",IF(OR(J445&gt;0.03,R445&gt;0.15),"Imbalance","Pass")))</f>
        <v/>
      </c>
    </row>
    <row r="446">
      <c r="A446">
        <f>IF('Equipment Information'!A446="","", 'Equipment Information'!A446)</f>
        <v/>
      </c>
      <c r="B446">
        <f>IF('Equipment Information'!B446="","", 'Equipment Information'!B446)</f>
        <v/>
      </c>
      <c r="C446">
        <f>IF('Equipment Information'!C446="","", 'Equipment Information'!C446)</f>
        <v/>
      </c>
      <c r="I446">
        <f>IF(COUNT(F446:H446)&lt;2,"",AVERAGE(F446:H446))</f>
        <v/>
      </c>
      <c r="J446" s="3">
        <f>IF(I446="","",MAX(ABS(F446-I446),ABS(G446-I446),ABS(H446-I446))/I446)</f>
        <v/>
      </c>
      <c r="N446">
        <f>IF(COUNT(K446:M446)&lt;2,"",AVERAGE(K446:M446))</f>
        <v/>
      </c>
      <c r="R446" s="3">
        <f>IF(N446="","",MAX(ABS(K446-N446),ABS(L446-N446),ABS(M446-N446))/N446)</f>
        <v/>
      </c>
      <c r="S446">
        <f>IF(A446="","",IF(AND(F446="",K446=""),"N/A",IF(AND(J446="",R446=""),"Insufficient Load Data",IF(AND(J446&gt;0.03,R446&gt;0.15),"Voltage &amp; Current Imbalance",IF(J446&gt;0.03,"Voltage Imbalance",IF(R446&gt;0.15,"Current Imbalance","No Imbalances Detected")))))</f>
        <v/>
      </c>
      <c r="T446">
        <f>IF(A446="","",IF(AND(F446="",K446=""),"N/A",IF(OR(J446&gt;0.03,R446&gt;0.15),"Imbalance","Pass")))</f>
        <v/>
      </c>
    </row>
    <row r="447">
      <c r="A447">
        <f>IF('Equipment Information'!A447="","", 'Equipment Information'!A447)</f>
        <v/>
      </c>
      <c r="B447">
        <f>IF('Equipment Information'!B447="","", 'Equipment Information'!B447)</f>
        <v/>
      </c>
      <c r="C447">
        <f>IF('Equipment Information'!C447="","", 'Equipment Information'!C447)</f>
        <v/>
      </c>
      <c r="I447">
        <f>IF(COUNT(F447:H447)&lt;2,"",AVERAGE(F447:H447))</f>
        <v/>
      </c>
      <c r="J447" s="3">
        <f>IF(I447="","",MAX(ABS(F447-I447),ABS(G447-I447),ABS(H447-I447))/I447)</f>
        <v/>
      </c>
      <c r="N447">
        <f>IF(COUNT(K447:M447)&lt;2,"",AVERAGE(K447:M447))</f>
        <v/>
      </c>
      <c r="R447" s="3">
        <f>IF(N447="","",MAX(ABS(K447-N447),ABS(L447-N447),ABS(M447-N447))/N447)</f>
        <v/>
      </c>
      <c r="S447">
        <f>IF(A447="","",IF(AND(F447="",K447=""),"N/A",IF(AND(J447="",R447=""),"Insufficient Load Data",IF(AND(J447&gt;0.03,R447&gt;0.15),"Voltage &amp; Current Imbalance",IF(J447&gt;0.03,"Voltage Imbalance",IF(R447&gt;0.15,"Current Imbalance","No Imbalances Detected")))))</f>
        <v/>
      </c>
      <c r="T447">
        <f>IF(A447="","",IF(AND(F447="",K447=""),"N/A",IF(OR(J447&gt;0.03,R447&gt;0.15),"Imbalance","Pass")))</f>
        <v/>
      </c>
    </row>
    <row r="448">
      <c r="A448">
        <f>IF('Equipment Information'!A448="","", 'Equipment Information'!A448)</f>
        <v/>
      </c>
      <c r="B448">
        <f>IF('Equipment Information'!B448="","", 'Equipment Information'!B448)</f>
        <v/>
      </c>
      <c r="C448">
        <f>IF('Equipment Information'!C448="","", 'Equipment Information'!C448)</f>
        <v/>
      </c>
      <c r="I448">
        <f>IF(COUNT(F448:H448)&lt;2,"",AVERAGE(F448:H448))</f>
        <v/>
      </c>
      <c r="J448" s="3">
        <f>IF(I448="","",MAX(ABS(F448-I448),ABS(G448-I448),ABS(H448-I448))/I448)</f>
        <v/>
      </c>
      <c r="N448">
        <f>IF(COUNT(K448:M448)&lt;2,"",AVERAGE(K448:M448))</f>
        <v/>
      </c>
      <c r="R448" s="3">
        <f>IF(N448="","",MAX(ABS(K448-N448),ABS(L448-N448),ABS(M448-N448))/N448)</f>
        <v/>
      </c>
      <c r="S448">
        <f>IF(A448="","",IF(AND(F448="",K448=""),"N/A",IF(AND(J448="",R448=""),"Insufficient Load Data",IF(AND(J448&gt;0.03,R448&gt;0.15),"Voltage &amp; Current Imbalance",IF(J448&gt;0.03,"Voltage Imbalance",IF(R448&gt;0.15,"Current Imbalance","No Imbalances Detected")))))</f>
        <v/>
      </c>
      <c r="T448">
        <f>IF(A448="","",IF(AND(F448="",K448=""),"N/A",IF(OR(J448&gt;0.03,R448&gt;0.15),"Imbalance","Pass")))</f>
        <v/>
      </c>
    </row>
    <row r="449">
      <c r="A449">
        <f>IF('Equipment Information'!A449="","", 'Equipment Information'!A449)</f>
        <v/>
      </c>
      <c r="B449">
        <f>IF('Equipment Information'!B449="","", 'Equipment Information'!B449)</f>
        <v/>
      </c>
      <c r="C449">
        <f>IF('Equipment Information'!C449="","", 'Equipment Information'!C449)</f>
        <v/>
      </c>
      <c r="I449">
        <f>IF(COUNT(F449:H449)&lt;2,"",AVERAGE(F449:H449))</f>
        <v/>
      </c>
      <c r="J449" s="3">
        <f>IF(I449="","",MAX(ABS(F449-I449),ABS(G449-I449),ABS(H449-I449))/I449)</f>
        <v/>
      </c>
      <c r="N449">
        <f>IF(COUNT(K449:M449)&lt;2,"",AVERAGE(K449:M449))</f>
        <v/>
      </c>
      <c r="R449" s="3">
        <f>IF(N449="","",MAX(ABS(K449-N449),ABS(L449-N449),ABS(M449-N449))/N449)</f>
        <v/>
      </c>
      <c r="S449">
        <f>IF(A449="","",IF(AND(F449="",K449=""),"N/A",IF(AND(J449="",R449=""),"Insufficient Load Data",IF(AND(J449&gt;0.03,R449&gt;0.15),"Voltage &amp; Current Imbalance",IF(J449&gt;0.03,"Voltage Imbalance",IF(R449&gt;0.15,"Current Imbalance","No Imbalances Detected")))))</f>
        <v/>
      </c>
      <c r="T449">
        <f>IF(A449="","",IF(AND(F449="",K449=""),"N/A",IF(OR(J449&gt;0.03,R449&gt;0.15),"Imbalance","Pass")))</f>
        <v/>
      </c>
    </row>
    <row r="450">
      <c r="A450">
        <f>IF('Equipment Information'!A450="","", 'Equipment Information'!A450)</f>
        <v/>
      </c>
      <c r="B450">
        <f>IF('Equipment Information'!B450="","", 'Equipment Information'!B450)</f>
        <v/>
      </c>
      <c r="C450">
        <f>IF('Equipment Information'!C450="","", 'Equipment Information'!C450)</f>
        <v/>
      </c>
      <c r="I450">
        <f>IF(COUNT(F450:H450)&lt;2,"",AVERAGE(F450:H450))</f>
        <v/>
      </c>
      <c r="J450" s="3">
        <f>IF(I450="","",MAX(ABS(F450-I450),ABS(G450-I450),ABS(H450-I450))/I450)</f>
        <v/>
      </c>
      <c r="N450">
        <f>IF(COUNT(K450:M450)&lt;2,"",AVERAGE(K450:M450))</f>
        <v/>
      </c>
      <c r="R450" s="3">
        <f>IF(N450="","",MAX(ABS(K450-N450),ABS(L450-N450),ABS(M450-N450))/N450)</f>
        <v/>
      </c>
      <c r="S450">
        <f>IF(A450="","",IF(AND(F450="",K450=""),"N/A",IF(AND(J450="",R450=""),"Insufficient Load Data",IF(AND(J450&gt;0.03,R450&gt;0.15),"Voltage &amp; Current Imbalance",IF(J450&gt;0.03,"Voltage Imbalance",IF(R450&gt;0.15,"Current Imbalance","No Imbalances Detected")))))</f>
        <v/>
      </c>
      <c r="T450">
        <f>IF(A450="","",IF(AND(F450="",K450=""),"N/A",IF(OR(J450&gt;0.03,R450&gt;0.15),"Imbalance","Pass")))</f>
        <v/>
      </c>
    </row>
    <row r="451">
      <c r="A451">
        <f>IF('Equipment Information'!A451="","", 'Equipment Information'!A451)</f>
        <v/>
      </c>
      <c r="B451">
        <f>IF('Equipment Information'!B451="","", 'Equipment Information'!B451)</f>
        <v/>
      </c>
      <c r="C451">
        <f>IF('Equipment Information'!C451="","", 'Equipment Information'!C451)</f>
        <v/>
      </c>
      <c r="I451">
        <f>IF(COUNT(F451:H451)&lt;2,"",AVERAGE(F451:H451))</f>
        <v/>
      </c>
      <c r="J451" s="3">
        <f>IF(I451="","",MAX(ABS(F451-I451),ABS(G451-I451),ABS(H451-I451))/I451)</f>
        <v/>
      </c>
      <c r="N451">
        <f>IF(COUNT(K451:M451)&lt;2,"",AVERAGE(K451:M451))</f>
        <v/>
      </c>
      <c r="R451" s="3">
        <f>IF(N451="","",MAX(ABS(K451-N451),ABS(L451-N451),ABS(M451-N451))/N451)</f>
        <v/>
      </c>
      <c r="S451">
        <f>IF(A451="","",IF(AND(F451="",K451=""),"N/A",IF(AND(J451="",R451=""),"Insufficient Load Data",IF(AND(J451&gt;0.03,R451&gt;0.15),"Voltage &amp; Current Imbalance",IF(J451&gt;0.03,"Voltage Imbalance",IF(R451&gt;0.15,"Current Imbalance","No Imbalances Detected")))))</f>
        <v/>
      </c>
      <c r="T451">
        <f>IF(A451="","",IF(AND(F451="",K451=""),"N/A",IF(OR(J451&gt;0.03,R451&gt;0.15),"Imbalance","Pass")))</f>
        <v/>
      </c>
    </row>
    <row r="452">
      <c r="A452">
        <f>IF('Equipment Information'!A452="","", 'Equipment Information'!A452)</f>
        <v/>
      </c>
      <c r="B452">
        <f>IF('Equipment Information'!B452="","", 'Equipment Information'!B452)</f>
        <v/>
      </c>
      <c r="C452">
        <f>IF('Equipment Information'!C452="","", 'Equipment Information'!C452)</f>
        <v/>
      </c>
      <c r="I452">
        <f>IF(COUNT(F452:H452)&lt;2,"",AVERAGE(F452:H452))</f>
        <v/>
      </c>
      <c r="J452" s="3">
        <f>IF(I452="","",MAX(ABS(F452-I452),ABS(G452-I452),ABS(H452-I452))/I452)</f>
        <v/>
      </c>
      <c r="N452">
        <f>IF(COUNT(K452:M452)&lt;2,"",AVERAGE(K452:M452))</f>
        <v/>
      </c>
      <c r="R452" s="3">
        <f>IF(N452="","",MAX(ABS(K452-N452),ABS(L452-N452),ABS(M452-N452))/N452)</f>
        <v/>
      </c>
      <c r="S452">
        <f>IF(A452="","",IF(AND(F452="",K452=""),"N/A",IF(AND(J452="",R452=""),"Insufficient Load Data",IF(AND(J452&gt;0.03,R452&gt;0.15),"Voltage &amp; Current Imbalance",IF(J452&gt;0.03,"Voltage Imbalance",IF(R452&gt;0.15,"Current Imbalance","No Imbalances Detected")))))</f>
        <v/>
      </c>
      <c r="T452">
        <f>IF(A452="","",IF(AND(F452="",K452=""),"N/A",IF(OR(J452&gt;0.03,R452&gt;0.15),"Imbalance","Pass")))</f>
        <v/>
      </c>
    </row>
    <row r="453">
      <c r="A453">
        <f>IF('Equipment Information'!A453="","", 'Equipment Information'!A453)</f>
        <v/>
      </c>
      <c r="B453">
        <f>IF('Equipment Information'!B453="","", 'Equipment Information'!B453)</f>
        <v/>
      </c>
      <c r="C453">
        <f>IF('Equipment Information'!C453="","", 'Equipment Information'!C453)</f>
        <v/>
      </c>
      <c r="I453">
        <f>IF(COUNT(F453:H453)&lt;2,"",AVERAGE(F453:H453))</f>
        <v/>
      </c>
      <c r="J453" s="3">
        <f>IF(I453="","",MAX(ABS(F453-I453),ABS(G453-I453),ABS(H453-I453))/I453)</f>
        <v/>
      </c>
      <c r="N453">
        <f>IF(COUNT(K453:M453)&lt;2,"",AVERAGE(K453:M453))</f>
        <v/>
      </c>
      <c r="R453" s="3">
        <f>IF(N453="","",MAX(ABS(K453-N453),ABS(L453-N453),ABS(M453-N453))/N453)</f>
        <v/>
      </c>
      <c r="S453">
        <f>IF(A453="","",IF(AND(F453="",K453=""),"N/A",IF(AND(J453="",R453=""),"Insufficient Load Data",IF(AND(J453&gt;0.03,R453&gt;0.15),"Voltage &amp; Current Imbalance",IF(J453&gt;0.03,"Voltage Imbalance",IF(R453&gt;0.15,"Current Imbalance","No Imbalances Detected")))))</f>
        <v/>
      </c>
      <c r="T453">
        <f>IF(A453="","",IF(AND(F453="",K453=""),"N/A",IF(OR(J453&gt;0.03,R453&gt;0.15),"Imbalance","Pass")))</f>
        <v/>
      </c>
    </row>
    <row r="454">
      <c r="A454">
        <f>IF('Equipment Information'!A454="","", 'Equipment Information'!A454)</f>
        <v/>
      </c>
      <c r="B454">
        <f>IF('Equipment Information'!B454="","", 'Equipment Information'!B454)</f>
        <v/>
      </c>
      <c r="C454">
        <f>IF('Equipment Information'!C454="","", 'Equipment Information'!C454)</f>
        <v/>
      </c>
      <c r="I454">
        <f>IF(COUNT(F454:H454)&lt;2,"",AVERAGE(F454:H454))</f>
        <v/>
      </c>
      <c r="J454" s="3">
        <f>IF(I454="","",MAX(ABS(F454-I454),ABS(G454-I454),ABS(H454-I454))/I454)</f>
        <v/>
      </c>
      <c r="N454">
        <f>IF(COUNT(K454:M454)&lt;2,"",AVERAGE(K454:M454))</f>
        <v/>
      </c>
      <c r="R454" s="3">
        <f>IF(N454="","",MAX(ABS(K454-N454),ABS(L454-N454),ABS(M454-N454))/N454)</f>
        <v/>
      </c>
      <c r="S454">
        <f>IF(A454="","",IF(AND(F454="",K454=""),"N/A",IF(AND(J454="",R454=""),"Insufficient Load Data",IF(AND(J454&gt;0.03,R454&gt;0.15),"Voltage &amp; Current Imbalance",IF(J454&gt;0.03,"Voltage Imbalance",IF(R454&gt;0.15,"Current Imbalance","No Imbalances Detected")))))</f>
        <v/>
      </c>
      <c r="T454">
        <f>IF(A454="","",IF(AND(F454="",K454=""),"N/A",IF(OR(J454&gt;0.03,R454&gt;0.15),"Imbalance","Pass")))</f>
        <v/>
      </c>
    </row>
    <row r="455">
      <c r="A455">
        <f>IF('Equipment Information'!A455="","", 'Equipment Information'!A455)</f>
        <v/>
      </c>
      <c r="B455">
        <f>IF('Equipment Information'!B455="","", 'Equipment Information'!B455)</f>
        <v/>
      </c>
      <c r="C455">
        <f>IF('Equipment Information'!C455="","", 'Equipment Information'!C455)</f>
        <v/>
      </c>
      <c r="I455">
        <f>IF(COUNT(F455:H455)&lt;2,"",AVERAGE(F455:H455))</f>
        <v/>
      </c>
      <c r="J455" s="3">
        <f>IF(I455="","",MAX(ABS(F455-I455),ABS(G455-I455),ABS(H455-I455))/I455)</f>
        <v/>
      </c>
      <c r="N455">
        <f>IF(COUNT(K455:M455)&lt;2,"",AVERAGE(K455:M455))</f>
        <v/>
      </c>
      <c r="R455" s="3">
        <f>IF(N455="","",MAX(ABS(K455-N455),ABS(L455-N455),ABS(M455-N455))/N455)</f>
        <v/>
      </c>
      <c r="S455">
        <f>IF(A455="","",IF(AND(F455="",K455=""),"N/A",IF(AND(J455="",R455=""),"Insufficient Load Data",IF(AND(J455&gt;0.03,R455&gt;0.15),"Voltage &amp; Current Imbalance",IF(J455&gt;0.03,"Voltage Imbalance",IF(R455&gt;0.15,"Current Imbalance","No Imbalances Detected")))))</f>
        <v/>
      </c>
      <c r="T455">
        <f>IF(A455="","",IF(AND(F455="",K455=""),"N/A",IF(OR(J455&gt;0.03,R455&gt;0.15),"Imbalance","Pass")))</f>
        <v/>
      </c>
    </row>
    <row r="456">
      <c r="A456">
        <f>IF('Equipment Information'!A456="","", 'Equipment Information'!A456)</f>
        <v/>
      </c>
      <c r="B456">
        <f>IF('Equipment Information'!B456="","", 'Equipment Information'!B456)</f>
        <v/>
      </c>
      <c r="C456">
        <f>IF('Equipment Information'!C456="","", 'Equipment Information'!C456)</f>
        <v/>
      </c>
      <c r="I456">
        <f>IF(COUNT(F456:H456)&lt;2,"",AVERAGE(F456:H456))</f>
        <v/>
      </c>
      <c r="J456" s="3">
        <f>IF(I456="","",MAX(ABS(F456-I456),ABS(G456-I456),ABS(H456-I456))/I456)</f>
        <v/>
      </c>
      <c r="N456">
        <f>IF(COUNT(K456:M456)&lt;2,"",AVERAGE(K456:M456))</f>
        <v/>
      </c>
      <c r="R456" s="3">
        <f>IF(N456="","",MAX(ABS(K456-N456),ABS(L456-N456),ABS(M456-N456))/N456)</f>
        <v/>
      </c>
      <c r="S456">
        <f>IF(A456="","",IF(AND(F456="",K456=""),"N/A",IF(AND(J456="",R456=""),"Insufficient Load Data",IF(AND(J456&gt;0.03,R456&gt;0.15),"Voltage &amp; Current Imbalance",IF(J456&gt;0.03,"Voltage Imbalance",IF(R456&gt;0.15,"Current Imbalance","No Imbalances Detected")))))</f>
        <v/>
      </c>
      <c r="T456">
        <f>IF(A456="","",IF(AND(F456="",K456=""),"N/A",IF(OR(J456&gt;0.03,R456&gt;0.15),"Imbalance","Pass")))</f>
        <v/>
      </c>
    </row>
    <row r="457">
      <c r="A457">
        <f>IF('Equipment Information'!A457="","", 'Equipment Information'!A457)</f>
        <v/>
      </c>
      <c r="B457">
        <f>IF('Equipment Information'!B457="","", 'Equipment Information'!B457)</f>
        <v/>
      </c>
      <c r="C457">
        <f>IF('Equipment Information'!C457="","", 'Equipment Information'!C457)</f>
        <v/>
      </c>
      <c r="I457">
        <f>IF(COUNT(F457:H457)&lt;2,"",AVERAGE(F457:H457))</f>
        <v/>
      </c>
      <c r="J457" s="3">
        <f>IF(I457="","",MAX(ABS(F457-I457),ABS(G457-I457),ABS(H457-I457))/I457)</f>
        <v/>
      </c>
      <c r="N457">
        <f>IF(COUNT(K457:M457)&lt;2,"",AVERAGE(K457:M457))</f>
        <v/>
      </c>
      <c r="R457" s="3">
        <f>IF(N457="","",MAX(ABS(K457-N457),ABS(L457-N457),ABS(M457-N457))/N457)</f>
        <v/>
      </c>
      <c r="S457">
        <f>IF(A457="","",IF(AND(F457="",K457=""),"N/A",IF(AND(J457="",R457=""),"Insufficient Load Data",IF(AND(J457&gt;0.03,R457&gt;0.15),"Voltage &amp; Current Imbalance",IF(J457&gt;0.03,"Voltage Imbalance",IF(R457&gt;0.15,"Current Imbalance","No Imbalances Detected")))))</f>
        <v/>
      </c>
      <c r="T457">
        <f>IF(A457="","",IF(AND(F457="",K457=""),"N/A",IF(OR(J457&gt;0.03,R457&gt;0.15),"Imbalance","Pass")))</f>
        <v/>
      </c>
    </row>
    <row r="458">
      <c r="A458">
        <f>IF('Equipment Information'!A458="","", 'Equipment Information'!A458)</f>
        <v/>
      </c>
      <c r="B458">
        <f>IF('Equipment Information'!B458="","", 'Equipment Information'!B458)</f>
        <v/>
      </c>
      <c r="C458">
        <f>IF('Equipment Information'!C458="","", 'Equipment Information'!C458)</f>
        <v/>
      </c>
      <c r="I458">
        <f>IF(COUNT(F458:H458)&lt;2,"",AVERAGE(F458:H458))</f>
        <v/>
      </c>
      <c r="J458" s="3">
        <f>IF(I458="","",MAX(ABS(F458-I458),ABS(G458-I458),ABS(H458-I458))/I458)</f>
        <v/>
      </c>
      <c r="N458">
        <f>IF(COUNT(K458:M458)&lt;2,"",AVERAGE(K458:M458))</f>
        <v/>
      </c>
      <c r="R458" s="3">
        <f>IF(N458="","",MAX(ABS(K458-N458),ABS(L458-N458),ABS(M458-N458))/N458)</f>
        <v/>
      </c>
      <c r="S458">
        <f>IF(A458="","",IF(AND(F458="",K458=""),"N/A",IF(AND(J458="",R458=""),"Insufficient Load Data",IF(AND(J458&gt;0.03,R458&gt;0.15),"Voltage &amp; Current Imbalance",IF(J458&gt;0.03,"Voltage Imbalance",IF(R458&gt;0.15,"Current Imbalance","No Imbalances Detected")))))</f>
        <v/>
      </c>
      <c r="T458">
        <f>IF(A458="","",IF(AND(F458="",K458=""),"N/A",IF(OR(J458&gt;0.03,R458&gt;0.15),"Imbalance","Pass")))</f>
        <v/>
      </c>
    </row>
    <row r="459">
      <c r="A459">
        <f>IF('Equipment Information'!A459="","", 'Equipment Information'!A459)</f>
        <v/>
      </c>
      <c r="B459">
        <f>IF('Equipment Information'!B459="","", 'Equipment Information'!B459)</f>
        <v/>
      </c>
      <c r="C459">
        <f>IF('Equipment Information'!C459="","", 'Equipment Information'!C459)</f>
        <v/>
      </c>
      <c r="I459">
        <f>IF(COUNT(F459:H459)&lt;2,"",AVERAGE(F459:H459))</f>
        <v/>
      </c>
      <c r="J459" s="3">
        <f>IF(I459="","",MAX(ABS(F459-I459),ABS(G459-I459),ABS(H459-I459))/I459)</f>
        <v/>
      </c>
      <c r="N459">
        <f>IF(COUNT(K459:M459)&lt;2,"",AVERAGE(K459:M459))</f>
        <v/>
      </c>
      <c r="R459" s="3">
        <f>IF(N459="","",MAX(ABS(K459-N459),ABS(L459-N459),ABS(M459-N459))/N459)</f>
        <v/>
      </c>
      <c r="S459">
        <f>IF(A459="","",IF(AND(F459="",K459=""),"N/A",IF(AND(J459="",R459=""),"Insufficient Load Data",IF(AND(J459&gt;0.03,R459&gt;0.15),"Voltage &amp; Current Imbalance",IF(J459&gt;0.03,"Voltage Imbalance",IF(R459&gt;0.15,"Current Imbalance","No Imbalances Detected")))))</f>
        <v/>
      </c>
      <c r="T459">
        <f>IF(A459="","",IF(AND(F459="",K459=""),"N/A",IF(OR(J459&gt;0.03,R459&gt;0.15),"Imbalance","Pass")))</f>
        <v/>
      </c>
    </row>
    <row r="460">
      <c r="A460">
        <f>IF('Equipment Information'!A460="","", 'Equipment Information'!A460)</f>
        <v/>
      </c>
      <c r="B460">
        <f>IF('Equipment Information'!B460="","", 'Equipment Information'!B460)</f>
        <v/>
      </c>
      <c r="C460">
        <f>IF('Equipment Information'!C460="","", 'Equipment Information'!C460)</f>
        <v/>
      </c>
      <c r="I460">
        <f>IF(COUNT(F460:H460)&lt;2,"",AVERAGE(F460:H460))</f>
        <v/>
      </c>
      <c r="J460" s="3">
        <f>IF(I460="","",MAX(ABS(F460-I460),ABS(G460-I460),ABS(H460-I460))/I460)</f>
        <v/>
      </c>
      <c r="N460">
        <f>IF(COUNT(K460:M460)&lt;2,"",AVERAGE(K460:M460))</f>
        <v/>
      </c>
      <c r="R460" s="3">
        <f>IF(N460="","",MAX(ABS(K460-N460),ABS(L460-N460),ABS(M460-N460))/N460)</f>
        <v/>
      </c>
      <c r="S460">
        <f>IF(A460="","",IF(AND(F460="",K460=""),"N/A",IF(AND(J460="",R460=""),"Insufficient Load Data",IF(AND(J460&gt;0.03,R460&gt;0.15),"Voltage &amp; Current Imbalance",IF(J460&gt;0.03,"Voltage Imbalance",IF(R460&gt;0.15,"Current Imbalance","No Imbalances Detected")))))</f>
        <v/>
      </c>
      <c r="T460">
        <f>IF(A460="","",IF(AND(F460="",K460=""),"N/A",IF(OR(J460&gt;0.03,R460&gt;0.15),"Imbalance","Pass")))</f>
        <v/>
      </c>
    </row>
    <row r="461">
      <c r="A461">
        <f>IF('Equipment Information'!A461="","", 'Equipment Information'!A461)</f>
        <v/>
      </c>
      <c r="B461">
        <f>IF('Equipment Information'!B461="","", 'Equipment Information'!B461)</f>
        <v/>
      </c>
      <c r="C461">
        <f>IF('Equipment Information'!C461="","", 'Equipment Information'!C461)</f>
        <v/>
      </c>
      <c r="I461">
        <f>IF(COUNT(F461:H461)&lt;2,"",AVERAGE(F461:H461))</f>
        <v/>
      </c>
      <c r="J461" s="3">
        <f>IF(I461="","",MAX(ABS(F461-I461),ABS(G461-I461),ABS(H461-I461))/I461)</f>
        <v/>
      </c>
      <c r="N461">
        <f>IF(COUNT(K461:M461)&lt;2,"",AVERAGE(K461:M461))</f>
        <v/>
      </c>
      <c r="R461" s="3">
        <f>IF(N461="","",MAX(ABS(K461-N461),ABS(L461-N461),ABS(M461-N461))/N461)</f>
        <v/>
      </c>
      <c r="S461">
        <f>IF(A461="","",IF(AND(F461="",K461=""),"N/A",IF(AND(J461="",R461=""),"Insufficient Load Data",IF(AND(J461&gt;0.03,R461&gt;0.15),"Voltage &amp; Current Imbalance",IF(J461&gt;0.03,"Voltage Imbalance",IF(R461&gt;0.15,"Current Imbalance","No Imbalances Detected")))))</f>
        <v/>
      </c>
      <c r="T461">
        <f>IF(A461="","",IF(AND(F461="",K461=""),"N/A",IF(OR(J461&gt;0.03,R461&gt;0.15),"Imbalance","Pass")))</f>
        <v/>
      </c>
    </row>
    <row r="462">
      <c r="A462">
        <f>IF('Equipment Information'!A462="","", 'Equipment Information'!A462)</f>
        <v/>
      </c>
      <c r="B462">
        <f>IF('Equipment Information'!B462="","", 'Equipment Information'!B462)</f>
        <v/>
      </c>
      <c r="C462">
        <f>IF('Equipment Information'!C462="","", 'Equipment Information'!C462)</f>
        <v/>
      </c>
      <c r="I462">
        <f>IF(COUNT(F462:H462)&lt;2,"",AVERAGE(F462:H462))</f>
        <v/>
      </c>
      <c r="J462" s="3">
        <f>IF(I462="","",MAX(ABS(F462-I462),ABS(G462-I462),ABS(H462-I462))/I462)</f>
        <v/>
      </c>
      <c r="N462">
        <f>IF(COUNT(K462:M462)&lt;2,"",AVERAGE(K462:M462))</f>
        <v/>
      </c>
      <c r="R462" s="3">
        <f>IF(N462="","",MAX(ABS(K462-N462),ABS(L462-N462),ABS(M462-N462))/N462)</f>
        <v/>
      </c>
      <c r="S462">
        <f>IF(A462="","",IF(AND(F462="",K462=""),"N/A",IF(AND(J462="",R462=""),"Insufficient Load Data",IF(AND(J462&gt;0.03,R462&gt;0.15),"Voltage &amp; Current Imbalance",IF(J462&gt;0.03,"Voltage Imbalance",IF(R462&gt;0.15,"Current Imbalance","No Imbalances Detected")))))</f>
        <v/>
      </c>
      <c r="T462">
        <f>IF(A462="","",IF(AND(F462="",K462=""),"N/A",IF(OR(J462&gt;0.03,R462&gt;0.15),"Imbalance","Pass")))</f>
        <v/>
      </c>
    </row>
    <row r="463">
      <c r="A463">
        <f>IF('Equipment Information'!A463="","", 'Equipment Information'!A463)</f>
        <v/>
      </c>
      <c r="B463">
        <f>IF('Equipment Information'!B463="","", 'Equipment Information'!B463)</f>
        <v/>
      </c>
      <c r="C463">
        <f>IF('Equipment Information'!C463="","", 'Equipment Information'!C463)</f>
        <v/>
      </c>
      <c r="I463">
        <f>IF(COUNT(F463:H463)&lt;2,"",AVERAGE(F463:H463))</f>
        <v/>
      </c>
      <c r="J463" s="3">
        <f>IF(I463="","",MAX(ABS(F463-I463),ABS(G463-I463),ABS(H463-I463))/I463)</f>
        <v/>
      </c>
      <c r="N463">
        <f>IF(COUNT(K463:M463)&lt;2,"",AVERAGE(K463:M463))</f>
        <v/>
      </c>
      <c r="R463" s="3">
        <f>IF(N463="","",MAX(ABS(K463-N463),ABS(L463-N463),ABS(M463-N463))/N463)</f>
        <v/>
      </c>
      <c r="S463">
        <f>IF(A463="","",IF(AND(F463="",K463=""),"N/A",IF(AND(J463="",R463=""),"Insufficient Load Data",IF(AND(J463&gt;0.03,R463&gt;0.15),"Voltage &amp; Current Imbalance",IF(J463&gt;0.03,"Voltage Imbalance",IF(R463&gt;0.15,"Current Imbalance","No Imbalances Detected")))))</f>
        <v/>
      </c>
      <c r="T463">
        <f>IF(A463="","",IF(AND(F463="",K463=""),"N/A",IF(OR(J463&gt;0.03,R463&gt;0.15),"Imbalance","Pass")))</f>
        <v/>
      </c>
    </row>
    <row r="464">
      <c r="A464">
        <f>IF('Equipment Information'!A464="","", 'Equipment Information'!A464)</f>
        <v/>
      </c>
      <c r="B464">
        <f>IF('Equipment Information'!B464="","", 'Equipment Information'!B464)</f>
        <v/>
      </c>
      <c r="C464">
        <f>IF('Equipment Information'!C464="","", 'Equipment Information'!C464)</f>
        <v/>
      </c>
      <c r="I464">
        <f>IF(COUNT(F464:H464)&lt;2,"",AVERAGE(F464:H464))</f>
        <v/>
      </c>
      <c r="J464" s="3">
        <f>IF(I464="","",MAX(ABS(F464-I464),ABS(G464-I464),ABS(H464-I464))/I464)</f>
        <v/>
      </c>
      <c r="N464">
        <f>IF(COUNT(K464:M464)&lt;2,"",AVERAGE(K464:M464))</f>
        <v/>
      </c>
      <c r="R464" s="3">
        <f>IF(N464="","",MAX(ABS(K464-N464),ABS(L464-N464),ABS(M464-N464))/N464)</f>
        <v/>
      </c>
      <c r="S464">
        <f>IF(A464="","",IF(AND(F464="",K464=""),"N/A",IF(AND(J464="",R464=""),"Insufficient Load Data",IF(AND(J464&gt;0.03,R464&gt;0.15),"Voltage &amp; Current Imbalance",IF(J464&gt;0.03,"Voltage Imbalance",IF(R464&gt;0.15,"Current Imbalance","No Imbalances Detected")))))</f>
        <v/>
      </c>
      <c r="T464">
        <f>IF(A464="","",IF(AND(F464="",K464=""),"N/A",IF(OR(J464&gt;0.03,R464&gt;0.15),"Imbalance","Pass")))</f>
        <v/>
      </c>
    </row>
    <row r="465">
      <c r="A465">
        <f>IF('Equipment Information'!A465="","", 'Equipment Information'!A465)</f>
        <v/>
      </c>
      <c r="B465">
        <f>IF('Equipment Information'!B465="","", 'Equipment Information'!B465)</f>
        <v/>
      </c>
      <c r="C465">
        <f>IF('Equipment Information'!C465="","", 'Equipment Information'!C465)</f>
        <v/>
      </c>
      <c r="I465">
        <f>IF(COUNT(F465:H465)&lt;2,"",AVERAGE(F465:H465))</f>
        <v/>
      </c>
      <c r="J465" s="3">
        <f>IF(I465="","",MAX(ABS(F465-I465),ABS(G465-I465),ABS(H465-I465))/I465)</f>
        <v/>
      </c>
      <c r="N465">
        <f>IF(COUNT(K465:M465)&lt;2,"",AVERAGE(K465:M465))</f>
        <v/>
      </c>
      <c r="R465" s="3">
        <f>IF(N465="","",MAX(ABS(K465-N465),ABS(L465-N465),ABS(M465-N465))/N465)</f>
        <v/>
      </c>
      <c r="S465">
        <f>IF(A465="","",IF(AND(F465="",K465=""),"N/A",IF(AND(J465="",R465=""),"Insufficient Load Data",IF(AND(J465&gt;0.03,R465&gt;0.15),"Voltage &amp; Current Imbalance",IF(J465&gt;0.03,"Voltage Imbalance",IF(R465&gt;0.15,"Current Imbalance","No Imbalances Detected")))))</f>
        <v/>
      </c>
      <c r="T465">
        <f>IF(A465="","",IF(AND(F465="",K465=""),"N/A",IF(OR(J465&gt;0.03,R465&gt;0.15),"Imbalance","Pass")))</f>
        <v/>
      </c>
    </row>
    <row r="466">
      <c r="A466">
        <f>IF('Equipment Information'!A466="","", 'Equipment Information'!A466)</f>
        <v/>
      </c>
      <c r="B466">
        <f>IF('Equipment Information'!B466="","", 'Equipment Information'!B466)</f>
        <v/>
      </c>
      <c r="C466">
        <f>IF('Equipment Information'!C466="","", 'Equipment Information'!C466)</f>
        <v/>
      </c>
      <c r="I466">
        <f>IF(COUNT(F466:H466)&lt;2,"",AVERAGE(F466:H466))</f>
        <v/>
      </c>
      <c r="J466" s="3">
        <f>IF(I466="","",MAX(ABS(F466-I466),ABS(G466-I466),ABS(H466-I466))/I466)</f>
        <v/>
      </c>
      <c r="N466">
        <f>IF(COUNT(K466:M466)&lt;2,"",AVERAGE(K466:M466))</f>
        <v/>
      </c>
      <c r="R466" s="3">
        <f>IF(N466="","",MAX(ABS(K466-N466),ABS(L466-N466),ABS(M466-N466))/N466)</f>
        <v/>
      </c>
      <c r="S466">
        <f>IF(A466="","",IF(AND(F466="",K466=""),"N/A",IF(AND(J466="",R466=""),"Insufficient Load Data",IF(AND(J466&gt;0.03,R466&gt;0.15),"Voltage &amp; Current Imbalance",IF(J466&gt;0.03,"Voltage Imbalance",IF(R466&gt;0.15,"Current Imbalance","No Imbalances Detected")))))</f>
        <v/>
      </c>
      <c r="T466">
        <f>IF(A466="","",IF(AND(F466="",K466=""),"N/A",IF(OR(J466&gt;0.03,R466&gt;0.15),"Imbalance","Pass")))</f>
        <v/>
      </c>
    </row>
    <row r="467">
      <c r="A467">
        <f>IF('Equipment Information'!A467="","", 'Equipment Information'!A467)</f>
        <v/>
      </c>
      <c r="B467">
        <f>IF('Equipment Information'!B467="","", 'Equipment Information'!B467)</f>
        <v/>
      </c>
      <c r="C467">
        <f>IF('Equipment Information'!C467="","", 'Equipment Information'!C467)</f>
        <v/>
      </c>
      <c r="I467">
        <f>IF(COUNT(F467:H467)&lt;2,"",AVERAGE(F467:H467))</f>
        <v/>
      </c>
      <c r="J467" s="3">
        <f>IF(I467="","",MAX(ABS(F467-I467),ABS(G467-I467),ABS(H467-I467))/I467)</f>
        <v/>
      </c>
      <c r="N467">
        <f>IF(COUNT(K467:M467)&lt;2,"",AVERAGE(K467:M467))</f>
        <v/>
      </c>
      <c r="R467" s="3">
        <f>IF(N467="","",MAX(ABS(K467-N467),ABS(L467-N467),ABS(M467-N467))/N467)</f>
        <v/>
      </c>
      <c r="S467">
        <f>IF(A467="","",IF(AND(F467="",K467=""),"N/A",IF(AND(J467="",R467=""),"Insufficient Load Data",IF(AND(J467&gt;0.03,R467&gt;0.15),"Voltage &amp; Current Imbalance",IF(J467&gt;0.03,"Voltage Imbalance",IF(R467&gt;0.15,"Current Imbalance","No Imbalances Detected")))))</f>
        <v/>
      </c>
      <c r="T467">
        <f>IF(A467="","",IF(AND(F467="",K467=""),"N/A",IF(OR(J467&gt;0.03,R467&gt;0.15),"Imbalance","Pass")))</f>
        <v/>
      </c>
    </row>
    <row r="468">
      <c r="A468">
        <f>IF('Equipment Information'!A468="","", 'Equipment Information'!A468)</f>
        <v/>
      </c>
      <c r="B468">
        <f>IF('Equipment Information'!B468="","", 'Equipment Information'!B468)</f>
        <v/>
      </c>
      <c r="C468">
        <f>IF('Equipment Information'!C468="","", 'Equipment Information'!C468)</f>
        <v/>
      </c>
      <c r="I468">
        <f>IF(COUNT(F468:H468)&lt;2,"",AVERAGE(F468:H468))</f>
        <v/>
      </c>
      <c r="J468" s="3">
        <f>IF(I468="","",MAX(ABS(F468-I468),ABS(G468-I468),ABS(H468-I468))/I468)</f>
        <v/>
      </c>
      <c r="N468">
        <f>IF(COUNT(K468:M468)&lt;2,"",AVERAGE(K468:M468))</f>
        <v/>
      </c>
      <c r="R468" s="3">
        <f>IF(N468="","",MAX(ABS(K468-N468),ABS(L468-N468),ABS(M468-N468))/N468)</f>
        <v/>
      </c>
      <c r="S468">
        <f>IF(A468="","",IF(AND(F468="",K468=""),"N/A",IF(AND(J468="",R468=""),"Insufficient Load Data",IF(AND(J468&gt;0.03,R468&gt;0.15),"Voltage &amp; Current Imbalance",IF(J468&gt;0.03,"Voltage Imbalance",IF(R468&gt;0.15,"Current Imbalance","No Imbalances Detected")))))</f>
        <v/>
      </c>
      <c r="T468">
        <f>IF(A468="","",IF(AND(F468="",K468=""),"N/A",IF(OR(J468&gt;0.03,R468&gt;0.15),"Imbalance","Pass")))</f>
        <v/>
      </c>
    </row>
    <row r="469">
      <c r="A469">
        <f>IF('Equipment Information'!A469="","", 'Equipment Information'!A469)</f>
        <v/>
      </c>
      <c r="B469">
        <f>IF('Equipment Information'!B469="","", 'Equipment Information'!B469)</f>
        <v/>
      </c>
      <c r="C469">
        <f>IF('Equipment Information'!C469="","", 'Equipment Information'!C469)</f>
        <v/>
      </c>
      <c r="I469">
        <f>IF(COUNT(F469:H469)&lt;2,"",AVERAGE(F469:H469))</f>
        <v/>
      </c>
      <c r="J469" s="3">
        <f>IF(I469="","",MAX(ABS(F469-I469),ABS(G469-I469),ABS(H469-I469))/I469)</f>
        <v/>
      </c>
      <c r="N469">
        <f>IF(COUNT(K469:M469)&lt;2,"",AVERAGE(K469:M469))</f>
        <v/>
      </c>
      <c r="R469" s="3">
        <f>IF(N469="","",MAX(ABS(K469-N469),ABS(L469-N469),ABS(M469-N469))/N469)</f>
        <v/>
      </c>
      <c r="S469">
        <f>IF(A469="","",IF(AND(F469="",K469=""),"N/A",IF(AND(J469="",R469=""),"Insufficient Load Data",IF(AND(J469&gt;0.03,R469&gt;0.15),"Voltage &amp; Current Imbalance",IF(J469&gt;0.03,"Voltage Imbalance",IF(R469&gt;0.15,"Current Imbalance","No Imbalances Detected")))))</f>
        <v/>
      </c>
      <c r="T469">
        <f>IF(A469="","",IF(AND(F469="",K469=""),"N/A",IF(OR(J469&gt;0.03,R469&gt;0.15),"Imbalance","Pass")))</f>
        <v/>
      </c>
    </row>
    <row r="470">
      <c r="A470">
        <f>IF('Equipment Information'!A470="","", 'Equipment Information'!A470)</f>
        <v/>
      </c>
      <c r="B470">
        <f>IF('Equipment Information'!B470="","", 'Equipment Information'!B470)</f>
        <v/>
      </c>
      <c r="C470">
        <f>IF('Equipment Information'!C470="","", 'Equipment Information'!C470)</f>
        <v/>
      </c>
      <c r="I470">
        <f>IF(COUNT(F470:H470)&lt;2,"",AVERAGE(F470:H470))</f>
        <v/>
      </c>
      <c r="J470" s="3">
        <f>IF(I470="","",MAX(ABS(F470-I470),ABS(G470-I470),ABS(H470-I470))/I470)</f>
        <v/>
      </c>
      <c r="N470">
        <f>IF(COUNT(K470:M470)&lt;2,"",AVERAGE(K470:M470))</f>
        <v/>
      </c>
      <c r="R470" s="3">
        <f>IF(N470="","",MAX(ABS(K470-N470),ABS(L470-N470),ABS(M470-N470))/N470)</f>
        <v/>
      </c>
      <c r="S470">
        <f>IF(A470="","",IF(AND(F470="",K470=""),"N/A",IF(AND(J470="",R470=""),"Insufficient Load Data",IF(AND(J470&gt;0.03,R470&gt;0.15),"Voltage &amp; Current Imbalance",IF(J470&gt;0.03,"Voltage Imbalance",IF(R470&gt;0.15,"Current Imbalance","No Imbalances Detected")))))</f>
        <v/>
      </c>
      <c r="T470">
        <f>IF(A470="","",IF(AND(F470="",K470=""),"N/A",IF(OR(J470&gt;0.03,R470&gt;0.15),"Imbalance","Pass")))</f>
        <v/>
      </c>
    </row>
    <row r="471">
      <c r="A471">
        <f>IF('Equipment Information'!A471="","", 'Equipment Information'!A471)</f>
        <v/>
      </c>
      <c r="B471">
        <f>IF('Equipment Information'!B471="","", 'Equipment Information'!B471)</f>
        <v/>
      </c>
      <c r="C471">
        <f>IF('Equipment Information'!C471="","", 'Equipment Information'!C471)</f>
        <v/>
      </c>
      <c r="I471">
        <f>IF(COUNT(F471:H471)&lt;2,"",AVERAGE(F471:H471))</f>
        <v/>
      </c>
      <c r="J471" s="3">
        <f>IF(I471="","",MAX(ABS(F471-I471),ABS(G471-I471),ABS(H471-I471))/I471)</f>
        <v/>
      </c>
      <c r="N471">
        <f>IF(COUNT(K471:M471)&lt;2,"",AVERAGE(K471:M471))</f>
        <v/>
      </c>
      <c r="R471" s="3">
        <f>IF(N471="","",MAX(ABS(K471-N471),ABS(L471-N471),ABS(M471-N471))/N471)</f>
        <v/>
      </c>
      <c r="S471">
        <f>IF(A471="","",IF(AND(F471="",K471=""),"N/A",IF(AND(J471="",R471=""),"Insufficient Load Data",IF(AND(J471&gt;0.03,R471&gt;0.15),"Voltage &amp; Current Imbalance",IF(J471&gt;0.03,"Voltage Imbalance",IF(R471&gt;0.15,"Current Imbalance","No Imbalances Detected")))))</f>
        <v/>
      </c>
      <c r="T471">
        <f>IF(A471="","",IF(AND(F471="",K471=""),"N/A",IF(OR(J471&gt;0.03,R471&gt;0.15),"Imbalance","Pass")))</f>
        <v/>
      </c>
    </row>
    <row r="472">
      <c r="A472">
        <f>IF('Equipment Information'!A472="","", 'Equipment Information'!A472)</f>
        <v/>
      </c>
      <c r="B472">
        <f>IF('Equipment Information'!B472="","", 'Equipment Information'!B472)</f>
        <v/>
      </c>
      <c r="C472">
        <f>IF('Equipment Information'!C472="","", 'Equipment Information'!C472)</f>
        <v/>
      </c>
      <c r="I472">
        <f>IF(COUNT(F472:H472)&lt;2,"",AVERAGE(F472:H472))</f>
        <v/>
      </c>
      <c r="J472" s="3">
        <f>IF(I472="","",MAX(ABS(F472-I472),ABS(G472-I472),ABS(H472-I472))/I472)</f>
        <v/>
      </c>
      <c r="N472">
        <f>IF(COUNT(K472:M472)&lt;2,"",AVERAGE(K472:M472))</f>
        <v/>
      </c>
      <c r="R472" s="3">
        <f>IF(N472="","",MAX(ABS(K472-N472),ABS(L472-N472),ABS(M472-N472))/N472)</f>
        <v/>
      </c>
      <c r="S472">
        <f>IF(A472="","",IF(AND(F472="",K472=""),"N/A",IF(AND(J472="",R472=""),"Insufficient Load Data",IF(AND(J472&gt;0.03,R472&gt;0.15),"Voltage &amp; Current Imbalance",IF(J472&gt;0.03,"Voltage Imbalance",IF(R472&gt;0.15,"Current Imbalance","No Imbalances Detected")))))</f>
        <v/>
      </c>
      <c r="T472">
        <f>IF(A472="","",IF(AND(F472="",K472=""),"N/A",IF(OR(J472&gt;0.03,R472&gt;0.15),"Imbalance","Pass")))</f>
        <v/>
      </c>
    </row>
    <row r="473">
      <c r="A473">
        <f>IF('Equipment Information'!A473="","", 'Equipment Information'!A473)</f>
        <v/>
      </c>
      <c r="B473">
        <f>IF('Equipment Information'!B473="","", 'Equipment Information'!B473)</f>
        <v/>
      </c>
      <c r="C473">
        <f>IF('Equipment Information'!C473="","", 'Equipment Information'!C473)</f>
        <v/>
      </c>
      <c r="I473">
        <f>IF(COUNT(F473:H473)&lt;2,"",AVERAGE(F473:H473))</f>
        <v/>
      </c>
      <c r="J473" s="3">
        <f>IF(I473="","",MAX(ABS(F473-I473),ABS(G473-I473),ABS(H473-I473))/I473)</f>
        <v/>
      </c>
      <c r="N473">
        <f>IF(COUNT(K473:M473)&lt;2,"",AVERAGE(K473:M473))</f>
        <v/>
      </c>
      <c r="R473" s="3">
        <f>IF(N473="","",MAX(ABS(K473-N473),ABS(L473-N473),ABS(M473-N473))/N473)</f>
        <v/>
      </c>
      <c r="S473">
        <f>IF(A473="","",IF(AND(F473="",K473=""),"N/A",IF(AND(J473="",R473=""),"Insufficient Load Data",IF(AND(J473&gt;0.03,R473&gt;0.15),"Voltage &amp; Current Imbalance",IF(J473&gt;0.03,"Voltage Imbalance",IF(R473&gt;0.15,"Current Imbalance","No Imbalances Detected")))))</f>
        <v/>
      </c>
      <c r="T473">
        <f>IF(A473="","",IF(AND(F473="",K473=""),"N/A",IF(OR(J473&gt;0.03,R473&gt;0.15),"Imbalance","Pass")))</f>
        <v/>
      </c>
    </row>
    <row r="474">
      <c r="A474">
        <f>IF('Equipment Information'!A474="","", 'Equipment Information'!A474)</f>
        <v/>
      </c>
      <c r="B474">
        <f>IF('Equipment Information'!B474="","", 'Equipment Information'!B474)</f>
        <v/>
      </c>
      <c r="C474">
        <f>IF('Equipment Information'!C474="","", 'Equipment Information'!C474)</f>
        <v/>
      </c>
      <c r="I474">
        <f>IF(COUNT(F474:H474)&lt;2,"",AVERAGE(F474:H474))</f>
        <v/>
      </c>
      <c r="J474" s="3">
        <f>IF(I474="","",MAX(ABS(F474-I474),ABS(G474-I474),ABS(H474-I474))/I474)</f>
        <v/>
      </c>
      <c r="N474">
        <f>IF(COUNT(K474:M474)&lt;2,"",AVERAGE(K474:M474))</f>
        <v/>
      </c>
      <c r="R474" s="3">
        <f>IF(N474="","",MAX(ABS(K474-N474),ABS(L474-N474),ABS(M474-N474))/N474)</f>
        <v/>
      </c>
      <c r="S474">
        <f>IF(A474="","",IF(AND(F474="",K474=""),"N/A",IF(AND(J474="",R474=""),"Insufficient Load Data",IF(AND(J474&gt;0.03,R474&gt;0.15),"Voltage &amp; Current Imbalance",IF(J474&gt;0.03,"Voltage Imbalance",IF(R474&gt;0.15,"Current Imbalance","No Imbalances Detected")))))</f>
        <v/>
      </c>
      <c r="T474">
        <f>IF(A474="","",IF(AND(F474="",K474=""),"N/A",IF(OR(J474&gt;0.03,R474&gt;0.15),"Imbalance","Pass")))</f>
        <v/>
      </c>
    </row>
    <row r="475">
      <c r="A475">
        <f>IF('Equipment Information'!A475="","", 'Equipment Information'!A475)</f>
        <v/>
      </c>
      <c r="B475">
        <f>IF('Equipment Information'!B475="","", 'Equipment Information'!B475)</f>
        <v/>
      </c>
      <c r="C475">
        <f>IF('Equipment Information'!C475="","", 'Equipment Information'!C475)</f>
        <v/>
      </c>
      <c r="I475">
        <f>IF(COUNT(F475:H475)&lt;2,"",AVERAGE(F475:H475))</f>
        <v/>
      </c>
      <c r="J475" s="3">
        <f>IF(I475="","",MAX(ABS(F475-I475),ABS(G475-I475),ABS(H475-I475))/I475)</f>
        <v/>
      </c>
      <c r="N475">
        <f>IF(COUNT(K475:M475)&lt;2,"",AVERAGE(K475:M475))</f>
        <v/>
      </c>
      <c r="R475" s="3">
        <f>IF(N475="","",MAX(ABS(K475-N475),ABS(L475-N475),ABS(M475-N475))/N475)</f>
        <v/>
      </c>
      <c r="S475">
        <f>IF(A475="","",IF(AND(F475="",K475=""),"N/A",IF(AND(J475="",R475=""),"Insufficient Load Data",IF(AND(J475&gt;0.03,R475&gt;0.15),"Voltage &amp; Current Imbalance",IF(J475&gt;0.03,"Voltage Imbalance",IF(R475&gt;0.15,"Current Imbalance","No Imbalances Detected")))))</f>
        <v/>
      </c>
      <c r="T475">
        <f>IF(A475="","",IF(AND(F475="",K475=""),"N/A",IF(OR(J475&gt;0.03,R475&gt;0.15),"Imbalance","Pass")))</f>
        <v/>
      </c>
    </row>
    <row r="476">
      <c r="A476">
        <f>IF('Equipment Information'!A476="","", 'Equipment Information'!A476)</f>
        <v/>
      </c>
      <c r="B476">
        <f>IF('Equipment Information'!B476="","", 'Equipment Information'!B476)</f>
        <v/>
      </c>
      <c r="C476">
        <f>IF('Equipment Information'!C476="","", 'Equipment Information'!C476)</f>
        <v/>
      </c>
      <c r="I476">
        <f>IF(COUNT(F476:H476)&lt;2,"",AVERAGE(F476:H476))</f>
        <v/>
      </c>
      <c r="J476" s="3">
        <f>IF(I476="","",MAX(ABS(F476-I476),ABS(G476-I476),ABS(H476-I476))/I476)</f>
        <v/>
      </c>
      <c r="N476">
        <f>IF(COUNT(K476:M476)&lt;2,"",AVERAGE(K476:M476))</f>
        <v/>
      </c>
      <c r="R476" s="3">
        <f>IF(N476="","",MAX(ABS(K476-N476),ABS(L476-N476),ABS(M476-N476))/N476)</f>
        <v/>
      </c>
      <c r="S476">
        <f>IF(A476="","",IF(AND(F476="",K476=""),"N/A",IF(AND(J476="",R476=""),"Insufficient Load Data",IF(AND(J476&gt;0.03,R476&gt;0.15),"Voltage &amp; Current Imbalance",IF(J476&gt;0.03,"Voltage Imbalance",IF(R476&gt;0.15,"Current Imbalance","No Imbalances Detected")))))</f>
        <v/>
      </c>
      <c r="T476">
        <f>IF(A476="","",IF(AND(F476="",K476=""),"N/A",IF(OR(J476&gt;0.03,R476&gt;0.15),"Imbalance","Pass")))</f>
        <v/>
      </c>
    </row>
    <row r="477">
      <c r="A477">
        <f>IF('Equipment Information'!A477="","", 'Equipment Information'!A477)</f>
        <v/>
      </c>
      <c r="B477">
        <f>IF('Equipment Information'!B477="","", 'Equipment Information'!B477)</f>
        <v/>
      </c>
      <c r="C477">
        <f>IF('Equipment Information'!C477="","", 'Equipment Information'!C477)</f>
        <v/>
      </c>
      <c r="I477">
        <f>IF(COUNT(F477:H477)&lt;2,"",AVERAGE(F477:H477))</f>
        <v/>
      </c>
      <c r="J477" s="3">
        <f>IF(I477="","",MAX(ABS(F477-I477),ABS(G477-I477),ABS(H477-I477))/I477)</f>
        <v/>
      </c>
      <c r="N477">
        <f>IF(COUNT(K477:M477)&lt;2,"",AVERAGE(K477:M477))</f>
        <v/>
      </c>
      <c r="R477" s="3">
        <f>IF(N477="","",MAX(ABS(K477-N477),ABS(L477-N477),ABS(M477-N477))/N477)</f>
        <v/>
      </c>
      <c r="S477">
        <f>IF(A477="","",IF(AND(F477="",K477=""),"N/A",IF(AND(J477="",R477=""),"Insufficient Load Data",IF(AND(J477&gt;0.03,R477&gt;0.15),"Voltage &amp; Current Imbalance",IF(J477&gt;0.03,"Voltage Imbalance",IF(R477&gt;0.15,"Current Imbalance","No Imbalances Detected")))))</f>
        <v/>
      </c>
      <c r="T477">
        <f>IF(A477="","",IF(AND(F477="",K477=""),"N/A",IF(OR(J477&gt;0.03,R477&gt;0.15),"Imbalance","Pass")))</f>
        <v/>
      </c>
    </row>
    <row r="478">
      <c r="A478">
        <f>IF('Equipment Information'!A478="","", 'Equipment Information'!A478)</f>
        <v/>
      </c>
      <c r="B478">
        <f>IF('Equipment Information'!B478="","", 'Equipment Information'!B478)</f>
        <v/>
      </c>
      <c r="C478">
        <f>IF('Equipment Information'!C478="","", 'Equipment Information'!C478)</f>
        <v/>
      </c>
      <c r="I478">
        <f>IF(COUNT(F478:H478)&lt;2,"",AVERAGE(F478:H478))</f>
        <v/>
      </c>
      <c r="J478" s="3">
        <f>IF(I478="","",MAX(ABS(F478-I478),ABS(G478-I478),ABS(H478-I478))/I478)</f>
        <v/>
      </c>
      <c r="N478">
        <f>IF(COUNT(K478:M478)&lt;2,"",AVERAGE(K478:M478))</f>
        <v/>
      </c>
      <c r="R478" s="3">
        <f>IF(N478="","",MAX(ABS(K478-N478),ABS(L478-N478),ABS(M478-N478))/N478)</f>
        <v/>
      </c>
      <c r="S478">
        <f>IF(A478="","",IF(AND(F478="",K478=""),"N/A",IF(AND(J478="",R478=""),"Insufficient Load Data",IF(AND(J478&gt;0.03,R478&gt;0.15),"Voltage &amp; Current Imbalance",IF(J478&gt;0.03,"Voltage Imbalance",IF(R478&gt;0.15,"Current Imbalance","No Imbalances Detected")))))</f>
        <v/>
      </c>
      <c r="T478">
        <f>IF(A478="","",IF(AND(F478="",K478=""),"N/A",IF(OR(J478&gt;0.03,R478&gt;0.15),"Imbalance","Pass")))</f>
        <v/>
      </c>
    </row>
    <row r="479">
      <c r="A479">
        <f>IF('Equipment Information'!A479="","", 'Equipment Information'!A479)</f>
        <v/>
      </c>
      <c r="B479">
        <f>IF('Equipment Information'!B479="","", 'Equipment Information'!B479)</f>
        <v/>
      </c>
      <c r="C479">
        <f>IF('Equipment Information'!C479="","", 'Equipment Information'!C479)</f>
        <v/>
      </c>
      <c r="I479">
        <f>IF(COUNT(F479:H479)&lt;2,"",AVERAGE(F479:H479))</f>
        <v/>
      </c>
      <c r="J479" s="3">
        <f>IF(I479="","",MAX(ABS(F479-I479),ABS(G479-I479),ABS(H479-I479))/I479)</f>
        <v/>
      </c>
      <c r="N479">
        <f>IF(COUNT(K479:M479)&lt;2,"",AVERAGE(K479:M479))</f>
        <v/>
      </c>
      <c r="R479" s="3">
        <f>IF(N479="","",MAX(ABS(K479-N479),ABS(L479-N479),ABS(M479-N479))/N479)</f>
        <v/>
      </c>
      <c r="S479">
        <f>IF(A479="","",IF(AND(F479="",K479=""),"N/A",IF(AND(J479="",R479=""),"Insufficient Load Data",IF(AND(J479&gt;0.03,R479&gt;0.15),"Voltage &amp; Current Imbalance",IF(J479&gt;0.03,"Voltage Imbalance",IF(R479&gt;0.15,"Current Imbalance","No Imbalances Detected")))))</f>
        <v/>
      </c>
      <c r="T479">
        <f>IF(A479="","",IF(AND(F479="",K479=""),"N/A",IF(OR(J479&gt;0.03,R479&gt;0.15),"Imbalance","Pass")))</f>
        <v/>
      </c>
    </row>
    <row r="480">
      <c r="A480">
        <f>IF('Equipment Information'!A480="","", 'Equipment Information'!A480)</f>
        <v/>
      </c>
      <c r="B480">
        <f>IF('Equipment Information'!B480="","", 'Equipment Information'!B480)</f>
        <v/>
      </c>
      <c r="C480">
        <f>IF('Equipment Information'!C480="","", 'Equipment Information'!C480)</f>
        <v/>
      </c>
      <c r="I480">
        <f>IF(COUNT(F480:H480)&lt;2,"",AVERAGE(F480:H480))</f>
        <v/>
      </c>
      <c r="J480" s="3">
        <f>IF(I480="","",MAX(ABS(F480-I480),ABS(G480-I480),ABS(H480-I480))/I480)</f>
        <v/>
      </c>
      <c r="N480">
        <f>IF(COUNT(K480:M480)&lt;2,"",AVERAGE(K480:M480))</f>
        <v/>
      </c>
      <c r="R480" s="3">
        <f>IF(N480="","",MAX(ABS(K480-N480),ABS(L480-N480),ABS(M480-N480))/N480)</f>
        <v/>
      </c>
      <c r="S480">
        <f>IF(A480="","",IF(AND(F480="",K480=""),"N/A",IF(AND(J480="",R480=""),"Insufficient Load Data",IF(AND(J480&gt;0.03,R480&gt;0.15),"Voltage &amp; Current Imbalance",IF(J480&gt;0.03,"Voltage Imbalance",IF(R480&gt;0.15,"Current Imbalance","No Imbalances Detected")))))</f>
        <v/>
      </c>
      <c r="T480">
        <f>IF(A480="","",IF(AND(F480="",K480=""),"N/A",IF(OR(J480&gt;0.03,R480&gt;0.15),"Imbalance","Pass")))</f>
        <v/>
      </c>
    </row>
    <row r="481">
      <c r="A481">
        <f>IF('Equipment Information'!A481="","", 'Equipment Information'!A481)</f>
        <v/>
      </c>
      <c r="B481">
        <f>IF('Equipment Information'!B481="","", 'Equipment Information'!B481)</f>
        <v/>
      </c>
      <c r="C481">
        <f>IF('Equipment Information'!C481="","", 'Equipment Information'!C481)</f>
        <v/>
      </c>
      <c r="I481">
        <f>IF(COUNT(F481:H481)&lt;2,"",AVERAGE(F481:H481))</f>
        <v/>
      </c>
      <c r="J481" s="3">
        <f>IF(I481="","",MAX(ABS(F481-I481),ABS(G481-I481),ABS(H481-I481))/I481)</f>
        <v/>
      </c>
      <c r="N481">
        <f>IF(COUNT(K481:M481)&lt;2,"",AVERAGE(K481:M481))</f>
        <v/>
      </c>
      <c r="R481" s="3">
        <f>IF(N481="","",MAX(ABS(K481-N481),ABS(L481-N481),ABS(M481-N481))/N481)</f>
        <v/>
      </c>
      <c r="S481">
        <f>IF(A481="","",IF(AND(F481="",K481=""),"N/A",IF(AND(J481="",R481=""),"Insufficient Load Data",IF(AND(J481&gt;0.03,R481&gt;0.15),"Voltage &amp; Current Imbalance",IF(J481&gt;0.03,"Voltage Imbalance",IF(R481&gt;0.15,"Current Imbalance","No Imbalances Detected")))))</f>
        <v/>
      </c>
      <c r="T481">
        <f>IF(A481="","",IF(AND(F481="",K481=""),"N/A",IF(OR(J481&gt;0.03,R481&gt;0.15),"Imbalance","Pass")))</f>
        <v/>
      </c>
    </row>
    <row r="482">
      <c r="A482">
        <f>IF('Equipment Information'!A482="","", 'Equipment Information'!A482)</f>
        <v/>
      </c>
      <c r="B482">
        <f>IF('Equipment Information'!B482="","", 'Equipment Information'!B482)</f>
        <v/>
      </c>
      <c r="C482">
        <f>IF('Equipment Information'!C482="","", 'Equipment Information'!C482)</f>
        <v/>
      </c>
      <c r="I482">
        <f>IF(COUNT(F482:H482)&lt;2,"",AVERAGE(F482:H482))</f>
        <v/>
      </c>
      <c r="J482" s="3">
        <f>IF(I482="","",MAX(ABS(F482-I482),ABS(G482-I482),ABS(H482-I482))/I482)</f>
        <v/>
      </c>
      <c r="N482">
        <f>IF(COUNT(K482:M482)&lt;2,"",AVERAGE(K482:M482))</f>
        <v/>
      </c>
      <c r="R482" s="3">
        <f>IF(N482="","",MAX(ABS(K482-N482),ABS(L482-N482),ABS(M482-N482))/N482)</f>
        <v/>
      </c>
      <c r="S482">
        <f>IF(A482="","",IF(AND(F482="",K482=""),"N/A",IF(AND(J482="",R482=""),"Insufficient Load Data",IF(AND(J482&gt;0.03,R482&gt;0.15),"Voltage &amp; Current Imbalance",IF(J482&gt;0.03,"Voltage Imbalance",IF(R482&gt;0.15,"Current Imbalance","No Imbalances Detected")))))</f>
        <v/>
      </c>
      <c r="T482">
        <f>IF(A482="","",IF(AND(F482="",K482=""),"N/A",IF(OR(J482&gt;0.03,R482&gt;0.15),"Imbalance","Pass")))</f>
        <v/>
      </c>
    </row>
    <row r="483">
      <c r="A483">
        <f>IF('Equipment Information'!A483="","", 'Equipment Information'!A483)</f>
        <v/>
      </c>
      <c r="B483">
        <f>IF('Equipment Information'!B483="","", 'Equipment Information'!B483)</f>
        <v/>
      </c>
      <c r="C483">
        <f>IF('Equipment Information'!C483="","", 'Equipment Information'!C483)</f>
        <v/>
      </c>
      <c r="I483">
        <f>IF(COUNT(F483:H483)&lt;2,"",AVERAGE(F483:H483))</f>
        <v/>
      </c>
      <c r="J483" s="3">
        <f>IF(I483="","",MAX(ABS(F483-I483),ABS(G483-I483),ABS(H483-I483))/I483)</f>
        <v/>
      </c>
      <c r="N483">
        <f>IF(COUNT(K483:M483)&lt;2,"",AVERAGE(K483:M483))</f>
        <v/>
      </c>
      <c r="R483" s="3">
        <f>IF(N483="","",MAX(ABS(K483-N483),ABS(L483-N483),ABS(M483-N483))/N483)</f>
        <v/>
      </c>
      <c r="S483">
        <f>IF(A483="","",IF(AND(F483="",K483=""),"N/A",IF(AND(J483="",R483=""),"Insufficient Load Data",IF(AND(J483&gt;0.03,R483&gt;0.15),"Voltage &amp; Current Imbalance",IF(J483&gt;0.03,"Voltage Imbalance",IF(R483&gt;0.15,"Current Imbalance","No Imbalances Detected")))))</f>
        <v/>
      </c>
      <c r="T483">
        <f>IF(A483="","",IF(AND(F483="",K483=""),"N/A",IF(OR(J483&gt;0.03,R483&gt;0.15),"Imbalance","Pass")))</f>
        <v/>
      </c>
    </row>
    <row r="484">
      <c r="A484">
        <f>IF('Equipment Information'!A484="","", 'Equipment Information'!A484)</f>
        <v/>
      </c>
      <c r="B484">
        <f>IF('Equipment Information'!B484="","", 'Equipment Information'!B484)</f>
        <v/>
      </c>
      <c r="C484">
        <f>IF('Equipment Information'!C484="","", 'Equipment Information'!C484)</f>
        <v/>
      </c>
      <c r="I484">
        <f>IF(COUNT(F484:H484)&lt;2,"",AVERAGE(F484:H484))</f>
        <v/>
      </c>
      <c r="J484" s="3">
        <f>IF(I484="","",MAX(ABS(F484-I484),ABS(G484-I484),ABS(H484-I484))/I484)</f>
        <v/>
      </c>
      <c r="N484">
        <f>IF(COUNT(K484:M484)&lt;2,"",AVERAGE(K484:M484))</f>
        <v/>
      </c>
      <c r="R484" s="3">
        <f>IF(N484="","",MAX(ABS(K484-N484),ABS(L484-N484),ABS(M484-N484))/N484)</f>
        <v/>
      </c>
      <c r="S484">
        <f>IF(A484="","",IF(AND(F484="",K484=""),"N/A",IF(AND(J484="",R484=""),"Insufficient Load Data",IF(AND(J484&gt;0.03,R484&gt;0.15),"Voltage &amp; Current Imbalance",IF(J484&gt;0.03,"Voltage Imbalance",IF(R484&gt;0.15,"Current Imbalance","No Imbalances Detected")))))</f>
        <v/>
      </c>
      <c r="T484">
        <f>IF(A484="","",IF(AND(F484="",K484=""),"N/A",IF(OR(J484&gt;0.03,R484&gt;0.15),"Imbalance","Pass")))</f>
        <v/>
      </c>
    </row>
    <row r="485">
      <c r="A485">
        <f>IF('Equipment Information'!A485="","", 'Equipment Information'!A485)</f>
        <v/>
      </c>
      <c r="B485">
        <f>IF('Equipment Information'!B485="","", 'Equipment Information'!B485)</f>
        <v/>
      </c>
      <c r="C485">
        <f>IF('Equipment Information'!C485="","", 'Equipment Information'!C485)</f>
        <v/>
      </c>
      <c r="I485">
        <f>IF(COUNT(F485:H485)&lt;2,"",AVERAGE(F485:H485))</f>
        <v/>
      </c>
      <c r="J485" s="3">
        <f>IF(I485="","",MAX(ABS(F485-I485),ABS(G485-I485),ABS(H485-I485))/I485)</f>
        <v/>
      </c>
      <c r="N485">
        <f>IF(COUNT(K485:M485)&lt;2,"",AVERAGE(K485:M485))</f>
        <v/>
      </c>
      <c r="R485" s="3">
        <f>IF(N485="","",MAX(ABS(K485-N485),ABS(L485-N485),ABS(M485-N485))/N485)</f>
        <v/>
      </c>
      <c r="S485">
        <f>IF(A485="","",IF(AND(F485="",K485=""),"N/A",IF(AND(J485="",R485=""),"Insufficient Load Data",IF(AND(J485&gt;0.03,R485&gt;0.15),"Voltage &amp; Current Imbalance",IF(J485&gt;0.03,"Voltage Imbalance",IF(R485&gt;0.15,"Current Imbalance","No Imbalances Detected")))))</f>
        <v/>
      </c>
      <c r="T485">
        <f>IF(A485="","",IF(AND(F485="",K485=""),"N/A",IF(OR(J485&gt;0.03,R485&gt;0.15),"Imbalance","Pass")))</f>
        <v/>
      </c>
    </row>
    <row r="486">
      <c r="A486">
        <f>IF('Equipment Information'!A486="","", 'Equipment Information'!A486)</f>
        <v/>
      </c>
      <c r="B486">
        <f>IF('Equipment Information'!B486="","", 'Equipment Information'!B486)</f>
        <v/>
      </c>
      <c r="C486">
        <f>IF('Equipment Information'!C486="","", 'Equipment Information'!C486)</f>
        <v/>
      </c>
      <c r="I486">
        <f>IF(COUNT(F486:H486)&lt;2,"",AVERAGE(F486:H486))</f>
        <v/>
      </c>
      <c r="J486" s="3">
        <f>IF(I486="","",MAX(ABS(F486-I486),ABS(G486-I486),ABS(H486-I486))/I486)</f>
        <v/>
      </c>
      <c r="N486">
        <f>IF(COUNT(K486:M486)&lt;2,"",AVERAGE(K486:M486))</f>
        <v/>
      </c>
      <c r="R486" s="3">
        <f>IF(N486="","",MAX(ABS(K486-N486),ABS(L486-N486),ABS(M486-N486))/N486)</f>
        <v/>
      </c>
      <c r="S486">
        <f>IF(A486="","",IF(AND(F486="",K486=""),"N/A",IF(AND(J486="",R486=""),"Insufficient Load Data",IF(AND(J486&gt;0.03,R486&gt;0.15),"Voltage &amp; Current Imbalance",IF(J486&gt;0.03,"Voltage Imbalance",IF(R486&gt;0.15,"Current Imbalance","No Imbalances Detected")))))</f>
        <v/>
      </c>
      <c r="T486">
        <f>IF(A486="","",IF(AND(F486="",K486=""),"N/A",IF(OR(J486&gt;0.03,R486&gt;0.15),"Imbalance","Pass")))</f>
        <v/>
      </c>
    </row>
    <row r="487">
      <c r="A487">
        <f>IF('Equipment Information'!A487="","", 'Equipment Information'!A487)</f>
        <v/>
      </c>
      <c r="B487">
        <f>IF('Equipment Information'!B487="","", 'Equipment Information'!B487)</f>
        <v/>
      </c>
      <c r="C487">
        <f>IF('Equipment Information'!C487="","", 'Equipment Information'!C487)</f>
        <v/>
      </c>
      <c r="I487">
        <f>IF(COUNT(F487:H487)&lt;2,"",AVERAGE(F487:H487))</f>
        <v/>
      </c>
      <c r="J487" s="3">
        <f>IF(I487="","",MAX(ABS(F487-I487),ABS(G487-I487),ABS(H487-I487))/I487)</f>
        <v/>
      </c>
      <c r="N487">
        <f>IF(COUNT(K487:M487)&lt;2,"",AVERAGE(K487:M487))</f>
        <v/>
      </c>
      <c r="R487" s="3">
        <f>IF(N487="","",MAX(ABS(K487-N487),ABS(L487-N487),ABS(M487-N487))/N487)</f>
        <v/>
      </c>
      <c r="S487">
        <f>IF(A487="","",IF(AND(F487="",K487=""),"N/A",IF(AND(J487="",R487=""),"Insufficient Load Data",IF(AND(J487&gt;0.03,R487&gt;0.15),"Voltage &amp; Current Imbalance",IF(J487&gt;0.03,"Voltage Imbalance",IF(R487&gt;0.15,"Current Imbalance","No Imbalances Detected")))))</f>
        <v/>
      </c>
      <c r="T487">
        <f>IF(A487="","",IF(AND(F487="",K487=""),"N/A",IF(OR(J487&gt;0.03,R487&gt;0.15),"Imbalance","Pass")))</f>
        <v/>
      </c>
    </row>
    <row r="488">
      <c r="A488">
        <f>IF('Equipment Information'!A488="","", 'Equipment Information'!A488)</f>
        <v/>
      </c>
      <c r="B488">
        <f>IF('Equipment Information'!B488="","", 'Equipment Information'!B488)</f>
        <v/>
      </c>
      <c r="C488">
        <f>IF('Equipment Information'!C488="","", 'Equipment Information'!C488)</f>
        <v/>
      </c>
      <c r="I488">
        <f>IF(COUNT(F488:H488)&lt;2,"",AVERAGE(F488:H488))</f>
        <v/>
      </c>
      <c r="J488" s="3">
        <f>IF(I488="","",MAX(ABS(F488-I488),ABS(G488-I488),ABS(H488-I488))/I488)</f>
        <v/>
      </c>
      <c r="N488">
        <f>IF(COUNT(K488:M488)&lt;2,"",AVERAGE(K488:M488))</f>
        <v/>
      </c>
      <c r="R488" s="3">
        <f>IF(N488="","",MAX(ABS(K488-N488),ABS(L488-N488),ABS(M488-N488))/N488)</f>
        <v/>
      </c>
      <c r="S488">
        <f>IF(A488="","",IF(AND(F488="",K488=""),"N/A",IF(AND(J488="",R488=""),"Insufficient Load Data",IF(AND(J488&gt;0.03,R488&gt;0.15),"Voltage &amp; Current Imbalance",IF(J488&gt;0.03,"Voltage Imbalance",IF(R488&gt;0.15,"Current Imbalance","No Imbalances Detected")))))</f>
        <v/>
      </c>
      <c r="T488">
        <f>IF(A488="","",IF(AND(F488="",K488=""),"N/A",IF(OR(J488&gt;0.03,R488&gt;0.15),"Imbalance","Pass")))</f>
        <v/>
      </c>
    </row>
    <row r="489">
      <c r="A489">
        <f>IF('Equipment Information'!A489="","", 'Equipment Information'!A489)</f>
        <v/>
      </c>
      <c r="B489">
        <f>IF('Equipment Information'!B489="","", 'Equipment Information'!B489)</f>
        <v/>
      </c>
      <c r="C489">
        <f>IF('Equipment Information'!C489="","", 'Equipment Information'!C489)</f>
        <v/>
      </c>
      <c r="I489">
        <f>IF(COUNT(F489:H489)&lt;2,"",AVERAGE(F489:H489))</f>
        <v/>
      </c>
      <c r="J489" s="3">
        <f>IF(I489="","",MAX(ABS(F489-I489),ABS(G489-I489),ABS(H489-I489))/I489)</f>
        <v/>
      </c>
      <c r="N489">
        <f>IF(COUNT(K489:M489)&lt;2,"",AVERAGE(K489:M489))</f>
        <v/>
      </c>
      <c r="R489" s="3">
        <f>IF(N489="","",MAX(ABS(K489-N489),ABS(L489-N489),ABS(M489-N489))/N489)</f>
        <v/>
      </c>
      <c r="S489">
        <f>IF(A489="","",IF(AND(F489="",K489=""),"N/A",IF(AND(J489="",R489=""),"Insufficient Load Data",IF(AND(J489&gt;0.03,R489&gt;0.15),"Voltage &amp; Current Imbalance",IF(J489&gt;0.03,"Voltage Imbalance",IF(R489&gt;0.15,"Current Imbalance","No Imbalances Detected")))))</f>
        <v/>
      </c>
      <c r="T489">
        <f>IF(A489="","",IF(AND(F489="",K489=""),"N/A",IF(OR(J489&gt;0.03,R489&gt;0.15),"Imbalance","Pass")))</f>
        <v/>
      </c>
    </row>
    <row r="490">
      <c r="A490">
        <f>IF('Equipment Information'!A490="","", 'Equipment Information'!A490)</f>
        <v/>
      </c>
      <c r="B490">
        <f>IF('Equipment Information'!B490="","", 'Equipment Information'!B490)</f>
        <v/>
      </c>
      <c r="C490">
        <f>IF('Equipment Information'!C490="","", 'Equipment Information'!C490)</f>
        <v/>
      </c>
      <c r="I490">
        <f>IF(COUNT(F490:H490)&lt;2,"",AVERAGE(F490:H490))</f>
        <v/>
      </c>
      <c r="J490" s="3">
        <f>IF(I490="","",MAX(ABS(F490-I490),ABS(G490-I490),ABS(H490-I490))/I490)</f>
        <v/>
      </c>
      <c r="N490">
        <f>IF(COUNT(K490:M490)&lt;2,"",AVERAGE(K490:M490))</f>
        <v/>
      </c>
      <c r="R490" s="3">
        <f>IF(N490="","",MAX(ABS(K490-N490),ABS(L490-N490),ABS(M490-N490))/N490)</f>
        <v/>
      </c>
      <c r="S490">
        <f>IF(A490="","",IF(AND(F490="",K490=""),"N/A",IF(AND(J490="",R490=""),"Insufficient Load Data",IF(AND(J490&gt;0.03,R490&gt;0.15),"Voltage &amp; Current Imbalance",IF(J490&gt;0.03,"Voltage Imbalance",IF(R490&gt;0.15,"Current Imbalance","No Imbalances Detected")))))</f>
        <v/>
      </c>
      <c r="T490">
        <f>IF(A490="","",IF(AND(F490="",K490=""),"N/A",IF(OR(J490&gt;0.03,R490&gt;0.15),"Imbalance","Pass")))</f>
        <v/>
      </c>
    </row>
    <row r="491">
      <c r="A491">
        <f>IF('Equipment Information'!A491="","", 'Equipment Information'!A491)</f>
        <v/>
      </c>
      <c r="B491">
        <f>IF('Equipment Information'!B491="","", 'Equipment Information'!B491)</f>
        <v/>
      </c>
      <c r="C491">
        <f>IF('Equipment Information'!C491="","", 'Equipment Information'!C491)</f>
        <v/>
      </c>
      <c r="I491">
        <f>IF(COUNT(F491:H491)&lt;2,"",AVERAGE(F491:H491))</f>
        <v/>
      </c>
      <c r="J491" s="3">
        <f>IF(I491="","",MAX(ABS(F491-I491),ABS(G491-I491),ABS(H491-I491))/I491)</f>
        <v/>
      </c>
      <c r="N491">
        <f>IF(COUNT(K491:M491)&lt;2,"",AVERAGE(K491:M491))</f>
        <v/>
      </c>
      <c r="R491" s="3">
        <f>IF(N491="","",MAX(ABS(K491-N491),ABS(L491-N491),ABS(M491-N491))/N491)</f>
        <v/>
      </c>
      <c r="S491">
        <f>IF(A491="","",IF(AND(F491="",K491=""),"N/A",IF(AND(J491="",R491=""),"Insufficient Load Data",IF(AND(J491&gt;0.03,R491&gt;0.15),"Voltage &amp; Current Imbalance",IF(J491&gt;0.03,"Voltage Imbalance",IF(R491&gt;0.15,"Current Imbalance","No Imbalances Detected")))))</f>
        <v/>
      </c>
      <c r="T491">
        <f>IF(A491="","",IF(AND(F491="",K491=""),"N/A",IF(OR(J491&gt;0.03,R491&gt;0.15),"Imbalance","Pass")))</f>
        <v/>
      </c>
    </row>
    <row r="492">
      <c r="A492">
        <f>IF('Equipment Information'!A492="","", 'Equipment Information'!A492)</f>
        <v/>
      </c>
      <c r="B492">
        <f>IF('Equipment Information'!B492="","", 'Equipment Information'!B492)</f>
        <v/>
      </c>
      <c r="C492">
        <f>IF('Equipment Information'!C492="","", 'Equipment Information'!C492)</f>
        <v/>
      </c>
      <c r="I492">
        <f>IF(COUNT(F492:H492)&lt;2,"",AVERAGE(F492:H492))</f>
        <v/>
      </c>
      <c r="J492" s="3">
        <f>IF(I492="","",MAX(ABS(F492-I492),ABS(G492-I492),ABS(H492-I492))/I492)</f>
        <v/>
      </c>
      <c r="N492">
        <f>IF(COUNT(K492:M492)&lt;2,"",AVERAGE(K492:M492))</f>
        <v/>
      </c>
      <c r="R492" s="3">
        <f>IF(N492="","",MAX(ABS(K492-N492),ABS(L492-N492),ABS(M492-N492))/N492)</f>
        <v/>
      </c>
      <c r="S492">
        <f>IF(A492="","",IF(AND(F492="",K492=""),"N/A",IF(AND(J492="",R492=""),"Insufficient Load Data",IF(AND(J492&gt;0.03,R492&gt;0.15),"Voltage &amp; Current Imbalance",IF(J492&gt;0.03,"Voltage Imbalance",IF(R492&gt;0.15,"Current Imbalance","No Imbalances Detected")))))</f>
        <v/>
      </c>
      <c r="T492">
        <f>IF(A492="","",IF(AND(F492="",K492=""),"N/A",IF(OR(J492&gt;0.03,R492&gt;0.15),"Imbalance","Pass")))</f>
        <v/>
      </c>
    </row>
    <row r="493">
      <c r="A493">
        <f>IF('Equipment Information'!A493="","", 'Equipment Information'!A493)</f>
        <v/>
      </c>
      <c r="B493">
        <f>IF('Equipment Information'!B493="","", 'Equipment Information'!B493)</f>
        <v/>
      </c>
      <c r="C493">
        <f>IF('Equipment Information'!C493="","", 'Equipment Information'!C493)</f>
        <v/>
      </c>
      <c r="I493">
        <f>IF(COUNT(F493:H493)&lt;2,"",AVERAGE(F493:H493))</f>
        <v/>
      </c>
      <c r="J493" s="3">
        <f>IF(I493="","",MAX(ABS(F493-I493),ABS(G493-I493),ABS(H493-I493))/I493)</f>
        <v/>
      </c>
      <c r="N493">
        <f>IF(COUNT(K493:M493)&lt;2,"",AVERAGE(K493:M493))</f>
        <v/>
      </c>
      <c r="R493" s="3">
        <f>IF(N493="","",MAX(ABS(K493-N493),ABS(L493-N493),ABS(M493-N493))/N493)</f>
        <v/>
      </c>
      <c r="S493">
        <f>IF(A493="","",IF(AND(F493="",K493=""),"N/A",IF(AND(J493="",R493=""),"Insufficient Load Data",IF(AND(J493&gt;0.03,R493&gt;0.15),"Voltage &amp; Current Imbalance",IF(J493&gt;0.03,"Voltage Imbalance",IF(R493&gt;0.15,"Current Imbalance","No Imbalances Detected")))))</f>
        <v/>
      </c>
      <c r="T493">
        <f>IF(A493="","",IF(AND(F493="",K493=""),"N/A",IF(OR(J493&gt;0.03,R493&gt;0.15),"Imbalance","Pass")))</f>
        <v/>
      </c>
    </row>
    <row r="494">
      <c r="A494">
        <f>IF('Equipment Information'!A494="","", 'Equipment Information'!A494)</f>
        <v/>
      </c>
      <c r="B494">
        <f>IF('Equipment Information'!B494="","", 'Equipment Information'!B494)</f>
        <v/>
      </c>
      <c r="C494">
        <f>IF('Equipment Information'!C494="","", 'Equipment Information'!C494)</f>
        <v/>
      </c>
      <c r="I494">
        <f>IF(COUNT(F494:H494)&lt;2,"",AVERAGE(F494:H494))</f>
        <v/>
      </c>
      <c r="J494" s="3">
        <f>IF(I494="","",MAX(ABS(F494-I494),ABS(G494-I494),ABS(H494-I494))/I494)</f>
        <v/>
      </c>
      <c r="N494">
        <f>IF(COUNT(K494:M494)&lt;2,"",AVERAGE(K494:M494))</f>
        <v/>
      </c>
      <c r="R494" s="3">
        <f>IF(N494="","",MAX(ABS(K494-N494),ABS(L494-N494),ABS(M494-N494))/N494)</f>
        <v/>
      </c>
      <c r="S494">
        <f>IF(A494="","",IF(AND(F494="",K494=""),"N/A",IF(AND(J494="",R494=""),"Insufficient Load Data",IF(AND(J494&gt;0.03,R494&gt;0.15),"Voltage &amp; Current Imbalance",IF(J494&gt;0.03,"Voltage Imbalance",IF(R494&gt;0.15,"Current Imbalance","No Imbalances Detected")))))</f>
        <v/>
      </c>
      <c r="T494">
        <f>IF(A494="","",IF(AND(F494="",K494=""),"N/A",IF(OR(J494&gt;0.03,R494&gt;0.15),"Imbalance","Pass")))</f>
        <v/>
      </c>
    </row>
    <row r="495">
      <c r="A495">
        <f>IF('Equipment Information'!A495="","", 'Equipment Information'!A495)</f>
        <v/>
      </c>
      <c r="B495">
        <f>IF('Equipment Information'!B495="","", 'Equipment Information'!B495)</f>
        <v/>
      </c>
      <c r="C495">
        <f>IF('Equipment Information'!C495="","", 'Equipment Information'!C495)</f>
        <v/>
      </c>
      <c r="I495">
        <f>IF(COUNT(F495:H495)&lt;2,"",AVERAGE(F495:H495))</f>
        <v/>
      </c>
      <c r="J495" s="3">
        <f>IF(I495="","",MAX(ABS(F495-I495),ABS(G495-I495),ABS(H495-I495))/I495)</f>
        <v/>
      </c>
      <c r="N495">
        <f>IF(COUNT(K495:M495)&lt;2,"",AVERAGE(K495:M495))</f>
        <v/>
      </c>
      <c r="R495" s="3">
        <f>IF(N495="","",MAX(ABS(K495-N495),ABS(L495-N495),ABS(M495-N495))/N495)</f>
        <v/>
      </c>
      <c r="S495">
        <f>IF(A495="","",IF(AND(F495="",K495=""),"N/A",IF(AND(J495="",R495=""),"Insufficient Load Data",IF(AND(J495&gt;0.03,R495&gt;0.15),"Voltage &amp; Current Imbalance",IF(J495&gt;0.03,"Voltage Imbalance",IF(R495&gt;0.15,"Current Imbalance","No Imbalances Detected")))))</f>
        <v/>
      </c>
      <c r="T495">
        <f>IF(A495="","",IF(AND(F495="",K495=""),"N/A",IF(OR(J495&gt;0.03,R495&gt;0.15),"Imbalance","Pass")))</f>
        <v/>
      </c>
    </row>
    <row r="496">
      <c r="A496">
        <f>IF('Equipment Information'!A496="","", 'Equipment Information'!A496)</f>
        <v/>
      </c>
      <c r="B496">
        <f>IF('Equipment Information'!B496="","", 'Equipment Information'!B496)</f>
        <v/>
      </c>
      <c r="C496">
        <f>IF('Equipment Information'!C496="","", 'Equipment Information'!C496)</f>
        <v/>
      </c>
      <c r="I496">
        <f>IF(COUNT(F496:H496)&lt;2,"",AVERAGE(F496:H496))</f>
        <v/>
      </c>
      <c r="J496" s="3">
        <f>IF(I496="","",MAX(ABS(F496-I496),ABS(G496-I496),ABS(H496-I496))/I496)</f>
        <v/>
      </c>
      <c r="N496">
        <f>IF(COUNT(K496:M496)&lt;2,"",AVERAGE(K496:M496))</f>
        <v/>
      </c>
      <c r="R496" s="3">
        <f>IF(N496="","",MAX(ABS(K496-N496),ABS(L496-N496),ABS(M496-N496))/N496)</f>
        <v/>
      </c>
      <c r="S496">
        <f>IF(A496="","",IF(AND(F496="",K496=""),"N/A",IF(AND(J496="",R496=""),"Insufficient Load Data",IF(AND(J496&gt;0.03,R496&gt;0.15),"Voltage &amp; Current Imbalance",IF(J496&gt;0.03,"Voltage Imbalance",IF(R496&gt;0.15,"Current Imbalance","No Imbalances Detected")))))</f>
        <v/>
      </c>
      <c r="T496">
        <f>IF(A496="","",IF(AND(F496="",K496=""),"N/A",IF(OR(J496&gt;0.03,R496&gt;0.15),"Imbalance","Pass")))</f>
        <v/>
      </c>
    </row>
    <row r="497">
      <c r="A497">
        <f>IF('Equipment Information'!A497="","", 'Equipment Information'!A497)</f>
        <v/>
      </c>
      <c r="B497">
        <f>IF('Equipment Information'!B497="","", 'Equipment Information'!B497)</f>
        <v/>
      </c>
      <c r="C497">
        <f>IF('Equipment Information'!C497="","", 'Equipment Information'!C497)</f>
        <v/>
      </c>
      <c r="I497">
        <f>IF(COUNT(F497:H497)&lt;2,"",AVERAGE(F497:H497))</f>
        <v/>
      </c>
      <c r="J497" s="3">
        <f>IF(I497="","",MAX(ABS(F497-I497),ABS(G497-I497),ABS(H497-I497))/I497)</f>
        <v/>
      </c>
      <c r="N497">
        <f>IF(COUNT(K497:M497)&lt;2,"",AVERAGE(K497:M497))</f>
        <v/>
      </c>
      <c r="R497" s="3">
        <f>IF(N497="","",MAX(ABS(K497-N497),ABS(L497-N497),ABS(M497-N497))/N497)</f>
        <v/>
      </c>
      <c r="S497">
        <f>IF(A497="","",IF(AND(F497="",K497=""),"N/A",IF(AND(J497="",R497=""),"Insufficient Load Data",IF(AND(J497&gt;0.03,R497&gt;0.15),"Voltage &amp; Current Imbalance",IF(J497&gt;0.03,"Voltage Imbalance",IF(R497&gt;0.15,"Current Imbalance","No Imbalances Detected")))))</f>
        <v/>
      </c>
      <c r="T497">
        <f>IF(A497="","",IF(AND(F497="",K497=""),"N/A",IF(OR(J497&gt;0.03,R497&gt;0.15),"Imbalance","Pass")))</f>
        <v/>
      </c>
    </row>
    <row r="498">
      <c r="A498">
        <f>IF('Equipment Information'!A498="","", 'Equipment Information'!A498)</f>
        <v/>
      </c>
      <c r="B498">
        <f>IF('Equipment Information'!B498="","", 'Equipment Information'!B498)</f>
        <v/>
      </c>
      <c r="C498">
        <f>IF('Equipment Information'!C498="","", 'Equipment Information'!C498)</f>
        <v/>
      </c>
      <c r="I498">
        <f>IF(COUNT(F498:H498)&lt;2,"",AVERAGE(F498:H498))</f>
        <v/>
      </c>
      <c r="J498" s="3">
        <f>IF(I498="","",MAX(ABS(F498-I498),ABS(G498-I498),ABS(H498-I498))/I498)</f>
        <v/>
      </c>
      <c r="N498">
        <f>IF(COUNT(K498:M498)&lt;2,"",AVERAGE(K498:M498))</f>
        <v/>
      </c>
      <c r="R498" s="3">
        <f>IF(N498="","",MAX(ABS(K498-N498),ABS(L498-N498),ABS(M498-N498))/N498)</f>
        <v/>
      </c>
      <c r="S498">
        <f>IF(A498="","",IF(AND(F498="",K498=""),"N/A",IF(AND(J498="",R498=""),"Insufficient Load Data",IF(AND(J498&gt;0.03,R498&gt;0.15),"Voltage &amp; Current Imbalance",IF(J498&gt;0.03,"Voltage Imbalance",IF(R498&gt;0.15,"Current Imbalance","No Imbalances Detected")))))</f>
        <v/>
      </c>
      <c r="T498">
        <f>IF(A498="","",IF(AND(F498="",K498=""),"N/A",IF(OR(J498&gt;0.03,R498&gt;0.15),"Imbalance","Pass")))</f>
        <v/>
      </c>
    </row>
    <row r="499">
      <c r="A499">
        <f>IF('Equipment Information'!A499="","", 'Equipment Information'!A499)</f>
        <v/>
      </c>
      <c r="B499">
        <f>IF('Equipment Information'!B499="","", 'Equipment Information'!B499)</f>
        <v/>
      </c>
      <c r="C499">
        <f>IF('Equipment Information'!C499="","", 'Equipment Information'!C499)</f>
        <v/>
      </c>
      <c r="I499">
        <f>IF(COUNT(F499:H499)&lt;2,"",AVERAGE(F499:H499))</f>
        <v/>
      </c>
      <c r="J499" s="3">
        <f>IF(I499="","",MAX(ABS(F499-I499),ABS(G499-I499),ABS(H499-I499))/I499)</f>
        <v/>
      </c>
      <c r="N499">
        <f>IF(COUNT(K499:M499)&lt;2,"",AVERAGE(K499:M499))</f>
        <v/>
      </c>
      <c r="R499" s="3">
        <f>IF(N499="","",MAX(ABS(K499-N499),ABS(L499-N499),ABS(M499-N499))/N499)</f>
        <v/>
      </c>
      <c r="S499">
        <f>IF(A499="","",IF(AND(F499="",K499=""),"N/A",IF(AND(J499="",R499=""),"Insufficient Load Data",IF(AND(J499&gt;0.03,R499&gt;0.15),"Voltage &amp; Current Imbalance",IF(J499&gt;0.03,"Voltage Imbalance",IF(R499&gt;0.15,"Current Imbalance","No Imbalances Detected")))))</f>
        <v/>
      </c>
      <c r="T499">
        <f>IF(A499="","",IF(AND(F499="",K499=""),"N/A",IF(OR(J499&gt;0.03,R499&gt;0.15),"Imbalance","Pass")))</f>
        <v/>
      </c>
    </row>
  </sheetData>
  <dataValidations count="2">
    <dataValidation sqref="D2:D500" showDropDown="0" showInputMessage="0" showErrorMessage="0" allowBlank="1" type="list">
      <formula1>List_Phase</formula1>
    </dataValidation>
    <dataValidation sqref="E2:E500" showDropDown="0" showInputMessage="0" showErrorMessage="0" allowBlank="1" type="list">
      <formula1>List_Wire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480V Primary Transformer - Oil Filled &lt;5000kVA</t>
        </is>
      </c>
      <c r="B1" t="inlineStr">
        <is>
          <t>PASS</t>
        </is>
      </c>
      <c r="C1" t="inlineStr">
        <is>
          <t>Yes</t>
        </is>
      </c>
      <c r="D1" t="inlineStr">
        <is>
          <t>Life Safety (High)</t>
        </is>
      </c>
      <c r="E1" t="inlineStr">
        <is>
          <t>Verified (Current)</t>
        </is>
      </c>
      <c r="H1" t="inlineStr">
        <is>
          <t>Single Phase</t>
        </is>
      </c>
      <c r="I1" t="inlineStr">
        <is>
          <t>2-Wire</t>
        </is>
      </c>
      <c r="J1" t="inlineStr">
        <is>
          <t>Breaker (Line)</t>
        </is>
      </c>
      <c r="K1" t="inlineStr">
        <is>
          <t>Arcing</t>
        </is>
      </c>
      <c r="L1" t="inlineStr">
        <is>
          <t>A-Phase</t>
        </is>
      </c>
      <c r="M1" t="inlineStr">
        <is>
          <t>Condition of Maintenance / AF Labeling and IR Loading</t>
        </is>
      </c>
      <c r="N1" t="inlineStr">
        <is>
          <t>Critical (5pts)</t>
        </is>
      </c>
    </row>
    <row r="2">
      <c r="A2" t="inlineStr">
        <is>
          <t>480V/208V/120V Transformer - Dry &lt;250 kva</t>
        </is>
      </c>
      <c r="B2" t="inlineStr">
        <is>
          <t>FAIL</t>
        </is>
      </c>
      <c r="C2" t="inlineStr">
        <is>
          <t>No</t>
        </is>
      </c>
      <c r="D2" t="inlineStr">
        <is>
          <t>Production Critical (High)</t>
        </is>
      </c>
      <c r="E2" t="inlineStr">
        <is>
          <t>Overdue (&lt;2 Cycles)</t>
        </is>
      </c>
      <c r="H2" t="inlineStr">
        <is>
          <t>Three Phase</t>
        </is>
      </c>
      <c r="I2" t="inlineStr">
        <is>
          <t>3-Wire</t>
        </is>
      </c>
      <c r="J2" t="inlineStr">
        <is>
          <t>Breaker (Load)</t>
        </is>
      </c>
      <c r="K2" t="inlineStr">
        <is>
          <t>Tracking</t>
        </is>
      </c>
      <c r="L2" t="inlineStr">
        <is>
          <t>B-Phase</t>
        </is>
      </c>
      <c r="M2" t="inlineStr">
        <is>
          <t>NEC 110.16 &amp; NFPA 70E 130.5(H) Arc Flash Labeling &amp; Study Validation</t>
        </is>
      </c>
      <c r="N2" t="inlineStr">
        <is>
          <t>Critical (5pts)</t>
        </is>
      </c>
    </row>
    <row r="3">
      <c r="A3" t="inlineStr">
        <is>
          <t>480V/208V/120V Transformer - Dry &gt;=250 kva</t>
        </is>
      </c>
      <c r="B3" t="inlineStr">
        <is>
          <t>MONITOR</t>
        </is>
      </c>
      <c r="D3" t="inlineStr">
        <is>
          <t>Support/Utility (Med)</t>
        </is>
      </c>
      <c r="E3" t="inlineStr">
        <is>
          <t>Critical (&gt;2 Cycles/Unknown)</t>
        </is>
      </c>
      <c r="H3" t="inlineStr">
        <is>
          <t>DC</t>
        </is>
      </c>
      <c r="I3" t="inlineStr">
        <is>
          <t>4-Wire</t>
        </is>
      </c>
      <c r="J3" t="inlineStr">
        <is>
          <t>Bus Joint</t>
        </is>
      </c>
      <c r="K3" t="inlineStr">
        <is>
          <t>Corona</t>
        </is>
      </c>
      <c r="L3" t="inlineStr">
        <is>
          <t>C-Phase</t>
        </is>
      </c>
      <c r="M3" t="inlineStr">
        <is>
          <t>XFMR Cond. of Maint. / AF Labeling and IR Loading</t>
        </is>
      </c>
      <c r="N3" t="inlineStr">
        <is>
          <t>Critical (5pts)</t>
        </is>
      </c>
    </row>
    <row r="4">
      <c r="A4" t="inlineStr">
        <is>
          <t>Auto Transfer Switch &lt;=400A</t>
        </is>
      </c>
      <c r="B4" t="inlineStr">
        <is>
          <t>N/A</t>
        </is>
      </c>
      <c r="D4" t="inlineStr">
        <is>
          <t>General/Comfort (Low)</t>
        </is>
      </c>
      <c r="J4" t="inlineStr">
        <is>
          <t>Cable Term</t>
        </is>
      </c>
      <c r="K4" t="inlineStr">
        <is>
          <t>Vibration</t>
        </is>
      </c>
      <c r="L4" t="inlineStr">
        <is>
          <t>Neutral</t>
        </is>
      </c>
      <c r="M4" t="inlineStr">
        <is>
          <t>Equipment Cleanliness and Maintenance Condition</t>
        </is>
      </c>
      <c r="N4" t="inlineStr">
        <is>
          <t>Major (3pts)</t>
        </is>
      </c>
    </row>
    <row r="5">
      <c r="A5" t="inlineStr">
        <is>
          <t>Auto Transfer Switch &gt;400A</t>
        </is>
      </c>
      <c r="D5" t="inlineStr">
        <is>
          <t>Unknown</t>
        </is>
      </c>
      <c r="J5" t="inlineStr">
        <is>
          <t>Fuse Clip</t>
        </is>
      </c>
      <c r="K5" t="inlineStr">
        <is>
          <t>Mech Loose</t>
        </is>
      </c>
      <c r="L5" t="inlineStr">
        <is>
          <t>Multi-Phase</t>
        </is>
      </c>
      <c r="M5" t="inlineStr">
        <is>
          <t>VFD with Undefeatable Interlock Handle</t>
        </is>
      </c>
      <c r="N5" t="inlineStr">
        <is>
          <t>Minor (1pt)</t>
        </is>
      </c>
    </row>
    <row r="6">
      <c r="A6" t="inlineStr">
        <is>
          <t>Branch Circuit Panel &lt;=400A</t>
        </is>
      </c>
      <c r="J6" t="inlineStr">
        <is>
          <t>Lug/Term</t>
        </is>
      </c>
      <c r="K6" t="inlineStr">
        <is>
          <t>Motor Bearing</t>
        </is>
      </c>
      <c r="L6" t="inlineStr">
        <is>
          <t>Ground</t>
        </is>
      </c>
      <c r="M6" t="inlineStr">
        <is>
          <t>NEC 110.3(B) - (Screws/Clips) Listing and Labeling</t>
        </is>
      </c>
      <c r="N6" t="inlineStr">
        <is>
          <t>Minor (1pt)</t>
        </is>
      </c>
    </row>
    <row r="7">
      <c r="A7" t="inlineStr">
        <is>
          <t>Bus Duct - Vertical or Horizontal (Per 10ft)</t>
        </is>
      </c>
      <c r="J7" t="inlineStr">
        <is>
          <t>Switchgear/Bus</t>
        </is>
      </c>
      <c r="M7" t="inlineStr">
        <is>
          <t>NEC 110.3(B) / 408.7 - Combined Hardware/KO Seal</t>
        </is>
      </c>
      <c r="N7" t="inlineStr">
        <is>
          <t>Major (3pts)</t>
        </is>
      </c>
    </row>
    <row r="8">
      <c r="A8" t="inlineStr">
        <is>
          <t>Distribution Panel Single Front &gt;=600A</t>
        </is>
      </c>
      <c r="J8" t="inlineStr">
        <is>
          <t>Transformer</t>
        </is>
      </c>
      <c r="M8" t="inlineStr">
        <is>
          <t>NEC 110.12 - Mechanical Execution of Work</t>
        </is>
      </c>
      <c r="N8" t="inlineStr">
        <is>
          <t>Minor (1pt)</t>
        </is>
      </c>
    </row>
    <row r="9">
      <c r="A9" t="inlineStr">
        <is>
          <t>Distribution Switchboard Multi Cover (Per Section)</t>
        </is>
      </c>
      <c r="J9" t="inlineStr">
        <is>
          <t>VFD</t>
        </is>
      </c>
      <c r="M9" t="inlineStr">
        <is>
          <t>NEC 110.14(A) - Terminations</t>
        </is>
      </c>
      <c r="N9" t="inlineStr">
        <is>
          <t>Major (3pts)</t>
        </is>
      </c>
    </row>
    <row r="10">
      <c r="A10" t="inlineStr">
        <is>
          <t>Individual Motor Starter</t>
        </is>
      </c>
      <c r="M10" t="inlineStr">
        <is>
          <t>NEC 110.16(B) - Arc Flash Hazard Labeling (2026 Expansion)</t>
        </is>
      </c>
      <c r="N10" t="inlineStr">
        <is>
          <t>Critical (5pts)</t>
        </is>
      </c>
    </row>
    <row r="11">
      <c r="A11" t="inlineStr">
        <is>
          <t>Individual Combination Motor Starter</t>
        </is>
      </c>
      <c r="M11" t="inlineStr">
        <is>
          <t>NEC 110.14(D) - Torque Requirements</t>
        </is>
      </c>
      <c r="N11" t="inlineStr">
        <is>
          <t>Major (3pts)</t>
        </is>
      </c>
    </row>
    <row r="12">
      <c r="A12" t="inlineStr">
        <is>
          <t>Individual Disconnect Switch</t>
        </is>
      </c>
      <c r="M12" t="inlineStr">
        <is>
          <t>NEC 110.21(B) - Labeling Methods &amp; Durability</t>
        </is>
      </c>
      <c r="N12" t="inlineStr">
        <is>
          <t>Minor (1pt)</t>
        </is>
      </c>
    </row>
    <row r="13">
      <c r="A13" t="inlineStr">
        <is>
          <t>Individual Molded Case Breaker &gt;=600A</t>
        </is>
      </c>
      <c r="M13" t="inlineStr">
        <is>
          <t>NEC 110.22(A) - ID of Disconnecting Means</t>
        </is>
      </c>
      <c r="N13" t="inlineStr">
        <is>
          <t>Minor (1pt)</t>
        </is>
      </c>
    </row>
    <row r="14">
      <c r="A14" t="inlineStr">
        <is>
          <t>Lighting Contactor &lt;=50 hp</t>
        </is>
      </c>
      <c r="M14" t="inlineStr">
        <is>
          <t>NEC 110.24 - Available Fault Current Labeling</t>
        </is>
      </c>
      <c r="N14" t="inlineStr">
        <is>
          <t>Major (3pts)</t>
        </is>
      </c>
    </row>
    <row r="15">
      <c r="A15" t="inlineStr">
        <is>
          <t>MCC: Combination Motor Starters</t>
        </is>
      </c>
      <c r="M15" t="inlineStr">
        <is>
          <t>NEC 110.26 - Working Space</t>
        </is>
      </c>
      <c r="N15" t="inlineStr">
        <is>
          <t>Critical (5pts)</t>
        </is>
      </c>
    </row>
    <row r="16">
      <c r="A16" t="inlineStr">
        <is>
          <t>MCC: Individual Disconnect Switch</t>
        </is>
      </c>
      <c r="M16" t="inlineStr">
        <is>
          <t>NEC 110.26(A)(4) - Working Space &amp; Egress (90-Degree Door)</t>
        </is>
      </c>
      <c r="N16" t="inlineStr">
        <is>
          <t>Critical (5pts)</t>
        </is>
      </c>
    </row>
    <row r="17">
      <c r="A17" t="inlineStr">
        <is>
          <t>MCC: Molded Case Breaker</t>
        </is>
      </c>
      <c r="M17" t="inlineStr">
        <is>
          <t>NEC 110.26(E) Dedicated Electrical Equipment Space</t>
        </is>
      </c>
      <c r="N17" t="inlineStr">
        <is>
          <t>Major (3pts)</t>
        </is>
      </c>
    </row>
    <row r="18">
      <c r="A18" t="inlineStr">
        <is>
          <t>MCC: Motor Starters</t>
        </is>
      </c>
      <c r="M18" t="inlineStr">
        <is>
          <t>NEC 110.26(C)(2),(3) - Elec Rm Panic Hardware</t>
        </is>
      </c>
      <c r="N18" t="inlineStr">
        <is>
          <t>Critical (5pts)</t>
        </is>
      </c>
    </row>
    <row r="19">
      <c r="A19" t="inlineStr">
        <is>
          <t>Motor Control Center (Per vertical section)</t>
        </is>
      </c>
      <c r="M19" t="inlineStr">
        <is>
          <t>NEC 110.26(C)(2),(3) - Small Electric Room Egress</t>
        </is>
      </c>
      <c r="N19" t="inlineStr">
        <is>
          <t>Major (3pts)</t>
        </is>
      </c>
    </row>
    <row r="20">
      <c r="A20" t="inlineStr">
        <is>
          <t>Switchboard Molded Case Breakers &gt;=600A</t>
        </is>
      </c>
      <c r="M20" t="inlineStr">
        <is>
          <t>NFPA 70E 130.4 / NEC 110.27(A) - Exposed Live Parts</t>
        </is>
      </c>
      <c r="N20" t="inlineStr">
        <is>
          <t>Critical (5pts)</t>
        </is>
      </c>
    </row>
    <row r="21">
      <c r="A21" t="inlineStr">
        <is>
          <t>Switchgear - Incoming Main Service (Per Section)</t>
        </is>
      </c>
      <c r="M21" t="inlineStr">
        <is>
          <t>NEC 240.4 / 240.6(A) - OCPD Sizing /Stand Ratings</t>
        </is>
      </c>
      <c r="N21" t="inlineStr">
        <is>
          <t>Critical (5pts)</t>
        </is>
      </c>
    </row>
    <row r="22">
      <c r="A22" t="inlineStr">
        <is>
          <t>Switchgear Safety Disconnects</t>
        </is>
      </c>
      <c r="M22" t="inlineStr">
        <is>
          <t>NEC 240.21(C) - Tap Rules (10-ft, 25-ft, Outside Taps)</t>
        </is>
      </c>
      <c r="N22" t="inlineStr">
        <is>
          <t>Major (3pts)</t>
        </is>
      </c>
    </row>
    <row r="23">
      <c r="A23" t="inlineStr">
        <is>
          <t>Uninterruptible Power Supply (UPS) &lt;50kVA</t>
        </is>
      </c>
      <c r="M23" t="inlineStr">
        <is>
          <t>NEC 250.6(A) - Objectionable Current on Ground</t>
        </is>
      </c>
      <c r="N23" t="inlineStr">
        <is>
          <t>Major (3pts)</t>
        </is>
      </c>
    </row>
    <row r="24">
      <c r="A24" t="inlineStr">
        <is>
          <t>Uninterruptible Power Supply (UPS) &gt;=50kVA</t>
        </is>
      </c>
      <c r="M24" t="inlineStr">
        <is>
          <t>NEC 250.30(A)(1) - SDS/XFMR Bonding Jumper</t>
        </is>
      </c>
      <c r="N24" t="inlineStr">
        <is>
          <t>Critical (5pts)</t>
        </is>
      </c>
    </row>
    <row r="25">
      <c r="A25" t="inlineStr">
        <is>
          <t>Variable Frequency Drives 51-200hp</t>
        </is>
      </c>
      <c r="M25" t="inlineStr">
        <is>
          <t>NEC 250.97 - Bonding for Over 250 Volts (Bushings)</t>
        </is>
      </c>
      <c r="N25" t="inlineStr">
        <is>
          <t>Critical (5pts)</t>
        </is>
      </c>
    </row>
    <row r="26">
      <c r="A26" t="inlineStr">
        <is>
          <t>Variable Frequency Drives &lt;=50hp</t>
        </is>
      </c>
      <c r="M26" t="inlineStr">
        <is>
          <t>NEC 250.102(C) Bond Jumper Sz / Parallel Raceways</t>
        </is>
      </c>
      <c r="N26" t="inlineStr">
        <is>
          <t>Major (3pts)</t>
        </is>
      </c>
    </row>
    <row r="27">
      <c r="A27" t="inlineStr">
        <is>
          <t>Wire Trough/Large Junction Boxes</t>
        </is>
      </c>
      <c r="M27" t="inlineStr">
        <is>
          <t>NEC 250.122 Equipment Grounding Conductor Sizing</t>
        </is>
      </c>
      <c r="N27" t="inlineStr">
        <is>
          <t>Major (3pts)</t>
        </is>
      </c>
    </row>
    <row r="28">
      <c r="M28" t="inlineStr">
        <is>
          <t>NEC 300.4 Protect Phys Dmg (Bush/Sleeve/Edge)</t>
        </is>
      </c>
      <c r="N28" t="inlineStr">
        <is>
          <t>Major (3pts)</t>
        </is>
      </c>
    </row>
    <row r="29">
      <c r="M29" t="inlineStr">
        <is>
          <t>NEC 300.5(D) - Underground Raceway / Cover Depth</t>
        </is>
      </c>
      <c r="N29" t="inlineStr">
        <is>
          <t>Major (3pts)</t>
        </is>
      </c>
    </row>
    <row r="30">
      <c r="M30" t="inlineStr">
        <is>
          <t>NEC 300.11 Support Race &amp; Cables / Ceiling Grid</t>
        </is>
      </c>
      <c r="N30" t="inlineStr">
        <is>
          <t>Minor (1pt)</t>
        </is>
      </c>
    </row>
    <row r="31">
      <c r="M31" t="inlineStr">
        <is>
          <t>NEC 300.14 - Free Conductor Length</t>
        </is>
      </c>
      <c r="N31" t="inlineStr">
        <is>
          <t>Minor (1pt)</t>
        </is>
      </c>
    </row>
    <row r="32">
      <c r="M32" t="inlineStr">
        <is>
          <t>NEC 312.5(C) - Cable Entry (NM/MC into Panels)</t>
        </is>
      </c>
      <c r="N32" t="inlineStr">
        <is>
          <t>Major (3pts)</t>
        </is>
      </c>
    </row>
    <row r="33">
      <c r="M33" t="inlineStr">
        <is>
          <t>NEC 312.8 Panelboard Wire Fill / Splicing in Cabinets</t>
        </is>
      </c>
      <c r="N33" t="inlineStr">
        <is>
          <t>Major (3pts)</t>
        </is>
      </c>
    </row>
    <row r="34">
      <c r="M34" t="inlineStr">
        <is>
          <t>NEC 348.30(A) - FMC Support and Securement</t>
        </is>
      </c>
      <c r="N34" t="inlineStr">
        <is>
          <t>Minor (1pt)</t>
        </is>
      </c>
    </row>
    <row r="35">
      <c r="M35" t="inlineStr">
        <is>
          <t>NEC 350.30(A) - LFMC Support and Securement</t>
        </is>
      </c>
      <c r="N35" t="inlineStr">
        <is>
          <t>Minor (1pt)</t>
        </is>
      </c>
    </row>
    <row r="36">
      <c r="M36" t="inlineStr">
        <is>
          <t>NEC 358.30(A) - EMT Support and Securement</t>
        </is>
      </c>
      <c r="N36" t="inlineStr">
        <is>
          <t>Minor (1pt)</t>
        </is>
      </c>
    </row>
    <row r="37">
      <c r="M37" t="inlineStr">
        <is>
          <t>NEC 404.8 - Switch Mounting</t>
        </is>
      </c>
      <c r="N37" t="inlineStr">
        <is>
          <t>Major (3pts)</t>
        </is>
      </c>
    </row>
    <row r="38">
      <c r="M38" t="inlineStr">
        <is>
          <t>NEC 406.5 - Receptacle Faceplate / Mounting</t>
        </is>
      </c>
      <c r="N38" t="inlineStr">
        <is>
          <t>Minor (1pt)</t>
        </is>
      </c>
    </row>
    <row r="39">
      <c r="M39" t="inlineStr">
        <is>
          <t>NEC 408.4(A) - Circuit Identification</t>
        </is>
      </c>
      <c r="N39" t="inlineStr">
        <is>
          <t>Minor (1pt)</t>
        </is>
      </c>
    </row>
    <row r="40">
      <c r="M40" t="inlineStr">
        <is>
          <t>NEC 408.7 - Unused Openings</t>
        </is>
      </c>
      <c r="N40" t="inlineStr">
        <is>
          <t>Major (3pts)</t>
        </is>
      </c>
    </row>
    <row r="41">
      <c r="M41" t="inlineStr">
        <is>
          <t>NEC 408.43 Grounding and Bonding of Panelboards</t>
        </is>
      </c>
      <c r="N41" t="inlineStr">
        <is>
          <t>Critical (5pts)</t>
        </is>
      </c>
    </row>
    <row r="42">
      <c r="M42" t="inlineStr">
        <is>
          <t>NEC 430.8 - Marking on Motor Controllers</t>
        </is>
      </c>
      <c r="N42" t="inlineStr">
        <is>
          <t>Minor (1pt)</t>
        </is>
      </c>
    </row>
    <row r="43">
      <c r="M43" t="inlineStr">
        <is>
          <t>NEC 430.98 - Motor Control Center (MCC) Disconnect Marking</t>
        </is>
      </c>
      <c r="N43" t="inlineStr">
        <is>
          <t>Minor (1pt)</t>
        </is>
      </c>
    </row>
    <row r="44">
      <c r="M44" t="inlineStr">
        <is>
          <t>NEC 430.102(B) Local Disco. Means for Motors</t>
        </is>
      </c>
      <c r="N44" t="inlineStr">
        <is>
          <t>Critical (5pts)</t>
        </is>
      </c>
    </row>
    <row r="45">
      <c r="M45" t="inlineStr">
        <is>
          <t>NEC 430.250 / 430.52 Motor FLC &amp; OCP Sizing</t>
        </is>
      </c>
      <c r="N45" t="inlineStr">
        <is>
          <t>Major (3pts)</t>
        </is>
      </c>
    </row>
    <row r="46">
      <c r="M46" t="inlineStr">
        <is>
          <t>NEC 450.3(B) - Transformer OCPD Protection</t>
        </is>
      </c>
      <c r="N46" t="inlineStr">
        <is>
          <t>Major (3pts)</t>
        </is>
      </c>
    </row>
    <row r="47">
      <c r="M47" t="inlineStr">
        <is>
          <t>NEC 700.7 - Emergency System Labeling</t>
        </is>
      </c>
      <c r="N47" t="inlineStr">
        <is>
          <t>Major (3pts)</t>
        </is>
      </c>
    </row>
    <row r="48">
      <c r="M48" t="inlineStr">
        <is>
          <t>NEC 700.10(D) - Emergency System Wiring Separation</t>
        </is>
      </c>
      <c r="N48" t="inlineStr">
        <is>
          <t>Critical (5pts)</t>
        </is>
      </c>
    </row>
    <row r="49">
      <c r="M49" t="inlineStr">
        <is>
          <t>NEC 701.10 - Legally Req. Standby Wiring Separation</t>
        </is>
      </c>
      <c r="N49" t="inlineStr">
        <is>
          <t>Major (3pts)</t>
        </is>
      </c>
    </row>
    <row r="50">
      <c r="M50" t="inlineStr">
        <is>
          <t>NEC 708 - COPS</t>
        </is>
      </c>
      <c r="N50" t="inlineStr">
        <is>
          <t>Critical (5pts)</t>
        </is>
      </c>
    </row>
    <row r="51">
      <c r="M51" t="inlineStr">
        <is>
          <t>NFPA 70B 6.2 - Electrical Maintenance Program (EMP) Implementation</t>
        </is>
      </c>
      <c r="N51" t="inlineStr">
        <is>
          <t>Critical (5pts)</t>
        </is>
      </c>
    </row>
    <row r="52">
      <c r="M52" t="inlineStr">
        <is>
          <t>NFPA 70B 9.3.2 / NEC 310.15 - IR Thermography Phase Imbalance</t>
        </is>
      </c>
      <c r="N52" t="inlineStr">
        <is>
          <t>Major (3pts)</t>
        </is>
      </c>
    </row>
    <row r="53">
      <c r="M53" t="inlineStr">
        <is>
          <t>NFPA 70E 130.5(B) - Condition of Maintenance Impact on Arc Flash</t>
        </is>
      </c>
      <c r="N53" t="inlineStr">
        <is>
          <t>Critical (5pts)</t>
        </is>
      </c>
    </row>
    <row r="54">
      <c r="M54" t="inlineStr">
        <is>
          <t>NFPA 72 10.6.5.2 - Fire Alarm Disconnect Marking and Access</t>
        </is>
      </c>
      <c r="N54" t="inlineStr">
        <is>
          <t>Critical (5pts)</t>
        </is>
      </c>
    </row>
    <row r="55">
      <c r="M55" t="inlineStr">
        <is>
          <t>NFPA 72 10.4.1 - Fire Alarm Device Physical Damage</t>
        </is>
      </c>
      <c r="N55" t="inlineStr">
        <is>
          <t>Major (3pts)</t>
        </is>
      </c>
    </row>
    <row r="56">
      <c r="M56" t="inlineStr">
        <is>
          <t>NFPA 110 8.3.7 - Starting Battery Maintenance</t>
        </is>
      </c>
      <c r="N56" t="inlineStr">
        <is>
          <t>Critical (5pts)</t>
        </is>
      </c>
    </row>
    <row r="57">
      <c r="M57" t="inlineStr">
        <is>
          <t>NFPA 110 8.3.4 - Maint./Test of Life Safety Equipment</t>
        </is>
      </c>
      <c r="N57" t="inlineStr">
        <is>
          <t>Critical (5pts)</t>
        </is>
      </c>
    </row>
    <row r="58">
      <c r="M58" t="inlineStr">
        <is>
          <t>NFPA 70E Article 120.2/OSHA 1910.333(b)(2): LOTO</t>
        </is>
      </c>
      <c r="N58" t="inlineStr">
        <is>
          <t>Critical (5pts)</t>
        </is>
      </c>
    </row>
    <row r="59">
      <c r="M59" t="inlineStr">
        <is>
          <t>OSHA 1910.303(b)(2) - Approval/Listing of Equip</t>
        </is>
      </c>
      <c r="N59" t="inlineStr">
        <is>
          <t>Major (3pts)</t>
        </is>
      </c>
    </row>
    <row r="60">
      <c r="M60" t="inlineStr">
        <is>
          <t>OSHA 1910.305(G) - Flexible Cords Misuse</t>
        </is>
      </c>
      <c r="N60" t="inlineStr">
        <is>
          <t>Major (3pts)</t>
        </is>
      </c>
    </row>
    <row r="61">
      <c r="M61" t="inlineStr">
        <is>
          <t>NEC 110.12 - Damaged Enclosure / Structural Integrity</t>
        </is>
      </c>
      <c r="N61" t="inlineStr">
        <is>
          <t>Major (3pts)</t>
        </is>
      </c>
    </row>
    <row r="62">
      <c r="M62" t="inlineStr">
        <is>
          <t>NEC 110.12 - Cracked / Broken Insulation or Bushing</t>
        </is>
      </c>
      <c r="N62" t="inlineStr">
        <is>
          <t>Critical (5pts)</t>
        </is>
      </c>
    </row>
    <row r="63">
      <c r="M63" t="inlineStr">
        <is>
          <t>NEC 230.62(B) - Damaged or Deteriorated Service Conductors</t>
        </is>
      </c>
      <c r="N63" t="inlineStr">
        <is>
          <t>Critical (5pts)</t>
        </is>
      </c>
    </row>
    <row r="64">
      <c r="M64" t="inlineStr">
        <is>
          <t>NFPA 70B 5.1.3 - Equipment Deterioration Requiring Immediate Action</t>
        </is>
      </c>
      <c r="N64" t="inlineStr">
        <is>
          <t>Critical (5pts)</t>
        </is>
      </c>
    </row>
    <row r="65">
      <c r="M65" t="inlineStr">
        <is>
          <t>NFPA 70B 11.3 - Evidence of Overheating / Discoloration (Thermal Damage)</t>
        </is>
      </c>
      <c r="N65" t="inlineStr">
        <is>
          <t>Critical (5pts)</t>
        </is>
      </c>
    </row>
    <row r="66">
      <c r="M66" t="inlineStr">
        <is>
          <t>NFPA 70B 11.3 - Corrosion on Bus / Connections Requiring Remediation</t>
        </is>
      </c>
      <c r="N66" t="inlineStr">
        <is>
          <t>Major (3pts)</t>
        </is>
      </c>
    </row>
    <row r="67">
      <c r="M67" t="inlineStr">
        <is>
          <t>NFPA 70B 11.3 - Contamination / Carbon Tracking on Insulation</t>
        </is>
      </c>
      <c r="N67" t="inlineStr">
        <is>
          <t>Major (3pts)</t>
        </is>
      </c>
    </row>
    <row r="68">
      <c r="M68" t="inlineStr">
        <is>
          <t>NEC 312.5(A) - Missing or Improper Enclosure Cover</t>
        </is>
      </c>
      <c r="N68" t="inlineStr">
        <is>
          <t>Critical (5pts)</t>
        </is>
      </c>
    </row>
    <row r="69">
      <c r="M69" t="inlineStr">
        <is>
          <t>NEC 110.9 - Interrupting Rating (kAIC)</t>
        </is>
      </c>
      <c r="N69" t="inlineStr">
        <is>
          <t>Critical (5pts)</t>
        </is>
      </c>
    </row>
    <row r="70">
      <c r="M70" t="inlineStr">
        <is>
          <t>NEC 110.3(B) / 240.7 - Wrong or Non-Listed Breaker Installed</t>
        </is>
      </c>
      <c r="N70" t="inlineStr">
        <is>
          <t>Critical (5pts)</t>
        </is>
      </c>
    </row>
    <row r="71">
      <c r="M71" t="inlineStr">
        <is>
          <t>NEC 110.3(B) / 210.4(B) - Breaker Handle Tie Not Listed/Approved</t>
        </is>
      </c>
      <c r="N71" t="inlineStr">
        <is>
          <t>Major (3pts)</t>
        </is>
      </c>
    </row>
    <row r="72">
      <c r="M72" t="inlineStr">
        <is>
          <t>NEC 110.15 / 200.6 / 200.7 / 210.5 / 215.12(C) - Conductor ID / Color Coding</t>
        </is>
      </c>
      <c r="N72" t="inlineStr">
        <is>
          <t>Major (3pts)</t>
        </is>
      </c>
    </row>
    <row r="73">
      <c r="M73" t="inlineStr">
        <is>
          <t>NEC 240.60(B)(C) / 240.11 - Fuse Type Mismatch / Noninterchangeable</t>
        </is>
      </c>
      <c r="N73" t="inlineStr">
        <is>
          <t>Major (3pts)</t>
        </is>
      </c>
    </row>
    <row r="74">
      <c r="M74" t="inlineStr">
        <is>
          <t>NEC 250.12 - Grounding / Bonding Surface Not Cleaned of Paint or Coatings</t>
        </is>
      </c>
      <c r="N74" t="inlineStr">
        <is>
          <t>Major (3pts)</t>
        </is>
      </c>
    </row>
    <row r="75">
      <c r="M75" t="inlineStr">
        <is>
          <t>NEC 300.4(G) - Conduit Bushing / Conductor Protection at Fittings</t>
        </is>
      </c>
      <c r="N75" t="inlineStr">
        <is>
          <t>Major (3pts)</t>
        </is>
      </c>
    </row>
    <row r="76">
      <c r="M76" t="inlineStr">
        <is>
          <t>NEC 314.15 - Covers for Damp or Wet Locations</t>
        </is>
      </c>
      <c r="N76" t="inlineStr">
        <is>
          <t>Major (3pts)</t>
        </is>
      </c>
    </row>
    <row r="77">
      <c r="M77" t="inlineStr">
        <is>
          <t>NEC 110.21(A) / 450.11 - Missing or Damaged Equipment Nameplate</t>
        </is>
      </c>
      <c r="N77" t="inlineStr">
        <is>
          <t>Minor (1pt)</t>
        </is>
      </c>
    </row>
    <row r="78">
      <c r="M78" t="inlineStr">
        <is>
          <t>NEC 110.13 / 450.9 / 450.21 - Transformer Ventilation Clearance</t>
        </is>
      </c>
      <c r="N78" t="inlineStr">
        <is>
          <t>Major (3pts)</t>
        </is>
      </c>
    </row>
    <row r="79">
      <c r="M79" t="inlineStr">
        <is>
          <t>NFPA 70B 4.2.7 / 4.3 / 6.1-6.7 / 9.3 / 9.4 - EMP Administration Deficiencies</t>
        </is>
      </c>
      <c r="N79" t="inlineStr">
        <is>
          <t>Critical (5pts)</t>
        </is>
      </c>
    </row>
    <row r="80">
      <c r="M80" t="inlineStr">
        <is>
          <t>NFPA 70E 110.3 / 110.4 / 105.3 / 130.7 - Electrical Safety Program, Training &amp; PPE</t>
        </is>
      </c>
      <c r="N80" t="inlineStr">
        <is>
          <t>Critical (5pts)</t>
        </is>
      </c>
    </row>
    <row r="81">
      <c r="M81" t="inlineStr">
        <is>
          <t>NEC 110.28 - Enclosure Not Suitable for Environment (NEMA Rating)</t>
        </is>
      </c>
      <c r="N81" t="inlineStr">
        <is>
          <t>Major (3pts)</t>
        </is>
      </c>
    </row>
    <row r="82">
      <c r="M82" t="inlineStr">
        <is>
          <t>NEC 312.7 - Damp/Wet Location Enclosure / Drainage Provisions</t>
        </is>
      </c>
      <c r="N82" t="inlineStr">
        <is>
          <t>Major (3pts)</t>
        </is>
      </c>
    </row>
    <row r="83">
      <c r="M83" t="inlineStr">
        <is>
          <t>NEC 110.3(B) - Unapproved Field Modification / Non-Listed Assembly</t>
        </is>
      </c>
      <c r="N83" t="inlineStr">
        <is>
          <t>Major (3pts)</t>
        </is>
      </c>
    </row>
    <row r="84">
      <c r="M84" t="inlineStr">
        <is>
          <t>NEC 110.14(B) - Splices Not in Approved Junction / Pull Box</t>
        </is>
      </c>
      <c r="N84" t="inlineStr">
        <is>
          <t>Major (3pts)</t>
        </is>
      </c>
    </row>
    <row r="85">
      <c r="M85" t="inlineStr">
        <is>
          <t>NEC 240.83 - Breaker Ampere Rating Illegibly Marked / Defaced</t>
        </is>
      </c>
      <c r="N85" t="inlineStr">
        <is>
          <t>Minor (1pt)</t>
        </is>
      </c>
    </row>
    <row r="86">
      <c r="M86" t="inlineStr">
        <is>
          <t>NEC 408.36 - Unauthorized Back-Fed Breaker (No Retaining Clip)</t>
        </is>
      </c>
      <c r="N86" t="inlineStr">
        <is>
          <t>Critical (5pts)</t>
        </is>
      </c>
    </row>
    <row r="87">
      <c r="M87" t="inlineStr">
        <is>
          <t>NEC 408.36 - Tandem / Double-Tap Breaker in Non-CTL Panel</t>
        </is>
      </c>
      <c r="N87" t="inlineStr">
        <is>
          <t>Major (3pts)</t>
        </is>
      </c>
    </row>
    <row r="88">
      <c r="M88" t="inlineStr">
        <is>
          <t>NEC 230.71 - More Than 6 Service Disconnecting Means</t>
        </is>
      </c>
      <c r="N88" t="inlineStr">
        <is>
          <t>Critical (5pts)</t>
        </is>
      </c>
    </row>
    <row r="89">
      <c r="M89" t="inlineStr">
        <is>
          <t>NEC 110.26(A)(1) - Insufficient Working Space Depth (&lt; 3ft)</t>
        </is>
      </c>
      <c r="N89" t="inlineStr">
        <is>
          <t>Critical (5pts)</t>
        </is>
      </c>
    </row>
    <row r="90">
      <c r="M90" t="inlineStr">
        <is>
          <t>NEC 110.26(A)(2) - Insufficient Working Space Width (&lt; 30in)</t>
        </is>
      </c>
      <c r="N90" t="inlineStr">
        <is>
          <t>Critical (5pts)</t>
        </is>
      </c>
    </row>
    <row r="91">
      <c r="M91" t="inlineStr">
        <is>
          <t>NEC 110.26(A)(3) - Insufficient Working Space Height (&lt; 6.5ft)</t>
        </is>
      </c>
      <c r="N91" t="inlineStr">
        <is>
          <t>Major (3pts)</t>
        </is>
      </c>
    </row>
    <row r="92">
      <c r="M92" t="inlineStr">
        <is>
          <t>NEC 110.26(B) - Working Space Obstructed / Used for Storage</t>
        </is>
      </c>
      <c r="N92" t="inlineStr">
        <is>
          <t>Critical (5pts)</t>
        </is>
      </c>
    </row>
    <row r="93">
      <c r="M93" t="inlineStr">
        <is>
          <t>NEC 110.26(D) - Illumination Not Provided for Working Space</t>
        </is>
      </c>
      <c r="N93" t="inlineStr">
        <is>
          <t>Minor (1pt)</t>
        </is>
      </c>
    </row>
    <row r="94">
      <c r="M94" t="inlineStr">
        <is>
          <t>NEC 110.26(F) - Dedicated Equipment Space Violation (Outdoor)</t>
        </is>
      </c>
      <c r="N94" t="inlineStr">
        <is>
          <t>Major (3pts)</t>
        </is>
      </c>
    </row>
    <row r="95">
      <c r="M95" t="inlineStr">
        <is>
          <t>NEC 250.4(A)(1) - Grounding of Electrical System Not Maintained</t>
        </is>
      </c>
      <c r="N95" t="inlineStr">
        <is>
          <t>Critical (5pts)</t>
        </is>
      </c>
    </row>
    <row r="96">
      <c r="M96" t="inlineStr">
        <is>
          <t>NEC 250.8 - Improper Connection of Grounding / Bonding Conductors</t>
        </is>
      </c>
      <c r="N96" t="inlineStr">
        <is>
          <t>Major (3pts)</t>
        </is>
      </c>
    </row>
    <row r="97">
      <c r="M97" t="inlineStr">
        <is>
          <t>NEC 250.10 - Protection of Ground Clamps / Fittings</t>
        </is>
      </c>
      <c r="N97" t="inlineStr">
        <is>
          <t>Minor (1pt)</t>
        </is>
      </c>
    </row>
    <row r="98">
      <c r="M98" t="inlineStr">
        <is>
          <t>NEC 250.28 - Main Bonding Jumper Missing or Undersized</t>
        </is>
      </c>
      <c r="N98" t="inlineStr">
        <is>
          <t>Critical (5pts)</t>
        </is>
      </c>
    </row>
    <row r="99">
      <c r="M99" t="inlineStr">
        <is>
          <t>NEC 250.50 - Grounding Electrode System Incomplete</t>
        </is>
      </c>
      <c r="N99" t="inlineStr">
        <is>
          <t>Critical (5pts)</t>
        </is>
      </c>
    </row>
    <row r="100">
      <c r="M100" t="inlineStr">
        <is>
          <t>NEC 250.53 - Grounding Electrode Conductor Installation</t>
        </is>
      </c>
      <c r="N100" t="inlineStr">
        <is>
          <t>Major (3pts)</t>
        </is>
      </c>
    </row>
    <row r="101">
      <c r="M101" t="inlineStr">
        <is>
          <t>NEC 250.64 - Grounding Electrode Conductor Size / Protection</t>
        </is>
      </c>
      <c r="N101" t="inlineStr">
        <is>
          <t>Major (3pts)</t>
        </is>
      </c>
    </row>
    <row r="102">
      <c r="M102" t="inlineStr">
        <is>
          <t>NEC 250.119 - EGC Not Identified / Green or Bare Required</t>
        </is>
      </c>
      <c r="N102" t="inlineStr">
        <is>
          <t>Minor (1pt)</t>
        </is>
      </c>
    </row>
    <row r="103">
      <c r="M103" t="inlineStr">
        <is>
          <t>NEC 250.148 - EGC Continuity in Junction / Pull Box</t>
        </is>
      </c>
      <c r="N103" t="inlineStr">
        <is>
          <t>Major (3pts)</t>
        </is>
      </c>
    </row>
    <row r="104">
      <c r="M104" t="inlineStr">
        <is>
          <t>NEC 240.4(B) - Small Conductor OCPD Oversized</t>
        </is>
      </c>
      <c r="N104" t="inlineStr">
        <is>
          <t>Critical (5pts)</t>
        </is>
      </c>
    </row>
    <row r="105">
      <c r="M105" t="inlineStr">
        <is>
          <t>NEC 240.15(A) - Single-Pole Breaker on Multi-Wire Branch Circuit</t>
        </is>
      </c>
      <c r="N105" t="inlineStr">
        <is>
          <t>Critical (5pts)</t>
        </is>
      </c>
    </row>
    <row r="106">
      <c r="M106" t="inlineStr">
        <is>
          <t>NEC 240.24(A) - OCPD Not Readily Accessible</t>
        </is>
      </c>
      <c r="N106" t="inlineStr">
        <is>
          <t>Major (3pts)</t>
        </is>
      </c>
    </row>
    <row r="107">
      <c r="M107" t="inlineStr">
        <is>
          <t>NEC 240.24(B) - OCPD Near Easily Ignitable Material</t>
        </is>
      </c>
      <c r="N107" t="inlineStr">
        <is>
          <t>Critical (5pts)</t>
        </is>
      </c>
    </row>
    <row r="108">
      <c r="M108" t="inlineStr">
        <is>
          <t>NEC 240.24(D) - OCPD Located in Bathroom</t>
        </is>
      </c>
      <c r="N108" t="inlineStr">
        <is>
          <t>Critical (5pts)</t>
        </is>
      </c>
    </row>
    <row r="109">
      <c r="M109" t="inlineStr">
        <is>
          <t>NEC 240.60(B) - Cartridge Fuse Class / Rejection Feature Missing</t>
        </is>
      </c>
      <c r="N109" t="inlineStr">
        <is>
          <t>Major (3pts)</t>
        </is>
      </c>
    </row>
    <row r="110">
      <c r="M110" t="inlineStr">
        <is>
          <t>NFPA 70B 5.2.1 - Water Intrusion / Moisture Damage Evidence</t>
        </is>
      </c>
      <c r="N110" t="inlineStr">
        <is>
          <t>Critical (5pts)</t>
        </is>
      </c>
    </row>
    <row r="111">
      <c r="M111" t="inlineStr">
        <is>
          <t>NFPA 70B 5.2.1 - Active Water / Condensation Inside Enclosure</t>
        </is>
      </c>
      <c r="N111" t="inlineStr">
        <is>
          <t>Critical (5pts)</t>
        </is>
      </c>
    </row>
    <row r="112">
      <c r="M112" t="inlineStr">
        <is>
          <t>NFPA 70B 5.2.2 - Pest / Rodent Intrusion and Nesting Evidence</t>
        </is>
      </c>
      <c r="N112" t="inlineStr">
        <is>
          <t>Critical (5pts)</t>
        </is>
      </c>
    </row>
    <row r="113">
      <c r="M113" t="inlineStr">
        <is>
          <t>NFPA 70B 5.2.3 - Excessive Dust / Debris Accumulation in Enclosure</t>
        </is>
      </c>
      <c r="N113" t="inlineStr">
        <is>
          <t>Major (3pts)</t>
        </is>
      </c>
    </row>
    <row r="114">
      <c r="M114" t="inlineStr">
        <is>
          <t>NFPA 70B 5.2.3 - Chemical / Oil Contamination on Equipment</t>
        </is>
      </c>
      <c r="N114" t="inlineStr">
        <is>
          <t>Major (3pts)</t>
        </is>
      </c>
    </row>
    <row r="115">
      <c r="M115" t="inlineStr">
        <is>
          <t>NEC 110.11 - Deteriorating Agents (Chemical / Environmental Exposure)</t>
        </is>
      </c>
      <c r="N115" t="inlineStr">
        <is>
          <t>Major (3pts)</t>
        </is>
      </c>
    </row>
    <row r="116">
      <c r="M116" t="inlineStr">
        <is>
          <t>NEC 408.3(A) - Switchboard Not Accessible from Front Only</t>
        </is>
      </c>
      <c r="N116" t="inlineStr">
        <is>
          <t>Major (3pts)</t>
        </is>
      </c>
    </row>
    <row r="117">
      <c r="M117" t="inlineStr">
        <is>
          <t>NEC 408.3(B) - Switchboard Installed in Damp / Wet Location</t>
        </is>
      </c>
      <c r="N117" t="inlineStr">
        <is>
          <t>Major (3pts)</t>
        </is>
      </c>
    </row>
    <row r="118">
      <c r="M118" t="inlineStr">
        <is>
          <t>NEC 408.3(F) - Switchboard Overcurrent Protection Missing</t>
        </is>
      </c>
      <c r="N118" t="inlineStr">
        <is>
          <t>Critical (5pts)</t>
        </is>
      </c>
    </row>
    <row r="119">
      <c r="M119" t="inlineStr">
        <is>
          <t>NEC 230.66 - Service Equipment Not Marked / Approved as Such</t>
        </is>
      </c>
      <c r="N119" t="inlineStr">
        <is>
          <t>Major (3pts)</t>
        </is>
      </c>
    </row>
    <row r="120">
      <c r="M120" t="inlineStr">
        <is>
          <t>NEC 230.70(A) - Service Disconnect Not Readily Accessible</t>
        </is>
      </c>
      <c r="N120" t="inlineStr">
        <is>
          <t>Critical (5pts)</t>
        </is>
      </c>
    </row>
    <row r="121">
      <c r="M121" t="inlineStr">
        <is>
          <t>NEC 450.9 - Transformer Ventilation Obstructed</t>
        </is>
      </c>
      <c r="N121" t="inlineStr">
        <is>
          <t>Major (3pts)</t>
        </is>
      </c>
    </row>
    <row r="122">
      <c r="M122" t="inlineStr">
        <is>
          <t>NEC 450.11 - Transformer Marking Missing or Damaged</t>
        </is>
      </c>
      <c r="N122" t="inlineStr">
        <is>
          <t>Minor (1pt)</t>
        </is>
      </c>
    </row>
    <row r="123">
      <c r="M123" t="inlineStr">
        <is>
          <t>NEC 450.13 - Transformer Not Accessible / Properly Guarded</t>
        </is>
      </c>
      <c r="N123" t="inlineStr">
        <is>
          <t>Major (3pts)</t>
        </is>
      </c>
    </row>
    <row r="124">
      <c r="M124" t="inlineStr">
        <is>
          <t>NEC 450.21(A) - Dry-Type XFMR Clearance from Combustibles</t>
        </is>
      </c>
      <c r="N124" t="inlineStr">
        <is>
          <t>Critical (5pts)</t>
        </is>
      </c>
    </row>
    <row r="125">
      <c r="M125" t="inlineStr">
        <is>
          <t>NEC 450.27 - Oil-Insulated XFMR Vault / Containment Required</t>
        </is>
      </c>
      <c r="N125" t="inlineStr">
        <is>
          <t>Critical (5pts)</t>
        </is>
      </c>
    </row>
    <row r="126">
      <c r="M126" t="inlineStr">
        <is>
          <t>NFPA 70B 11.9 - Transformer Oil Level / Condition (Oil-Filled)</t>
        </is>
      </c>
      <c r="N126" t="inlineStr">
        <is>
          <t>Critical (5pts)</t>
        </is>
      </c>
    </row>
    <row r="127">
      <c r="M127" t="inlineStr">
        <is>
          <t>NFPA 70B 11.9 - Transformer Oil Leak Evidence</t>
        </is>
      </c>
      <c r="N127" t="inlineStr">
        <is>
          <t>Critical (5pts)</t>
        </is>
      </c>
    </row>
    <row r="128">
      <c r="M128" t="inlineStr">
        <is>
          <t>NEC 430.9(B) - Motor Control Devices Not Properly Marked</t>
        </is>
      </c>
      <c r="N128" t="inlineStr">
        <is>
          <t>Minor (1pt)</t>
        </is>
      </c>
    </row>
    <row r="129">
      <c r="M129" t="inlineStr">
        <is>
          <t>NEC 430.14(A) - Motor Location / Ventilation Inadequate</t>
        </is>
      </c>
      <c r="N129" t="inlineStr">
        <is>
          <t>Major (3pts)</t>
        </is>
      </c>
    </row>
    <row r="130">
      <c r="M130" t="inlineStr">
        <is>
          <t>NEC 430.51 - Motor Branch Circuit OCPD Type Not Suitable</t>
        </is>
      </c>
      <c r="N130" t="inlineStr">
        <is>
          <t>Major (3pts)</t>
        </is>
      </c>
    </row>
    <row r="131">
      <c r="M131" t="inlineStr">
        <is>
          <t>NEC 430.109 - Motor Disconnect Type Not Suitable for Application</t>
        </is>
      </c>
      <c r="N131" t="inlineStr">
        <is>
          <t>Major (3pts)</t>
        </is>
      </c>
    </row>
    <row r="132">
      <c r="M132" t="inlineStr">
        <is>
          <t>NEC 430.110 - Motor Disconnect Ampere Rating Insufficient</t>
        </is>
      </c>
      <c r="N132" t="inlineStr">
        <is>
          <t>Major (3pts)</t>
        </is>
      </c>
    </row>
    <row r="133">
      <c r="M133" t="inlineStr">
        <is>
          <t>NEC 430.232 - Motor Not Protected Against Overload</t>
        </is>
      </c>
      <c r="N133" t="inlineStr">
        <is>
          <t>Critical (5pts)</t>
        </is>
      </c>
    </row>
    <row r="134">
      <c r="M134" t="inlineStr">
        <is>
          <t>NFPA 110 7.2 - Generator Visual Inspection Deficiency</t>
        </is>
      </c>
      <c r="N134" t="inlineStr">
        <is>
          <t>Major (3pts)</t>
        </is>
      </c>
    </row>
    <row r="135">
      <c r="M135" t="inlineStr">
        <is>
          <t>NFPA 110 7.3 - Generator Coolant / Fluid Level Issue</t>
        </is>
      </c>
      <c r="N135" t="inlineStr">
        <is>
          <t>Major (3pts)</t>
        </is>
      </c>
    </row>
    <row r="136">
      <c r="M136" t="inlineStr">
        <is>
          <t>NFPA 110 7.9 - Generator Exercising / Load Test Not Current</t>
        </is>
      </c>
      <c r="N136" t="inlineStr">
        <is>
          <t>Critical (5pts)</t>
        </is>
      </c>
    </row>
    <row r="137">
      <c r="M137" t="inlineStr">
        <is>
          <t>NFPA 110 8.4.2 - ATS Failure to Transfer (Functional Test)</t>
        </is>
      </c>
      <c r="N137" t="inlineStr">
        <is>
          <t>Critical (5pts)</t>
        </is>
      </c>
    </row>
    <row r="138">
      <c r="M138" t="inlineStr">
        <is>
          <t>NEC 700.5(A) - Transfer Equipment Not Listed / Approved</t>
        </is>
      </c>
      <c r="N138" t="inlineStr">
        <is>
          <t>Critical (5pts)</t>
        </is>
      </c>
    </row>
    <row r="139">
      <c r="M139" t="inlineStr">
        <is>
          <t>NEC 700.12 - Emergency Source Capacity Insufficient</t>
        </is>
      </c>
      <c r="N139" t="inlineStr">
        <is>
          <t>Critical (5pts)</t>
        </is>
      </c>
    </row>
    <row r="140">
      <c r="M140" t="inlineStr">
        <is>
          <t>NEC 702.5 - Optional Standby OCPD Accessibility</t>
        </is>
      </c>
      <c r="N140" t="inlineStr">
        <is>
          <t>Major (3pts)</t>
        </is>
      </c>
    </row>
    <row r="141">
      <c r="M141" t="inlineStr">
        <is>
          <t>NEC 430.122 - VFD Branch Circuit Conductor Sizing</t>
        </is>
      </c>
      <c r="N141" t="inlineStr">
        <is>
          <t>Major (3pts)</t>
        </is>
      </c>
    </row>
    <row r="142">
      <c r="M142" t="inlineStr">
        <is>
          <t>NEC 430.131 - VFD Bypass Overcurrent Protection</t>
        </is>
      </c>
      <c r="N142" t="inlineStr">
        <is>
          <t>Major (3pts)</t>
        </is>
      </c>
    </row>
    <row r="143">
      <c r="M143" t="inlineStr">
        <is>
          <t>NFPA 70B 17.2 - VFD Filter / Capacitor Condition</t>
        </is>
      </c>
      <c r="N143" t="inlineStr">
        <is>
          <t>Major (3pts)</t>
        </is>
      </c>
    </row>
    <row r="144">
      <c r="M144" t="inlineStr">
        <is>
          <t>NFPA 70B 17.2 - VFD Cooling Fan Inoperable / Clogged</t>
        </is>
      </c>
      <c r="N144" t="inlineStr">
        <is>
          <t>Major (3pts)</t>
        </is>
      </c>
    </row>
    <row r="145">
      <c r="M145" t="inlineStr">
        <is>
          <t>NEC 300.15 - Box / Fitting Required at Each Conductor Splice</t>
        </is>
      </c>
      <c r="N145" t="inlineStr">
        <is>
          <t>Major (3pts)</t>
        </is>
      </c>
    </row>
    <row r="146">
      <c r="M146" t="inlineStr">
        <is>
          <t>NEC 300.17 - Raceway Overfill / Conductor Fill Exceeded</t>
        </is>
      </c>
      <c r="N146" t="inlineStr">
        <is>
          <t>Major (3pts)</t>
        </is>
      </c>
    </row>
    <row r="147">
      <c r="M147" t="inlineStr">
        <is>
          <t>NEC 300.22 - Wiring in Ducts / Plenum Spaces Not Permitted</t>
        </is>
      </c>
      <c r="N147" t="inlineStr">
        <is>
          <t>Critical (5pts)</t>
        </is>
      </c>
    </row>
    <row r="148">
      <c r="M148" t="inlineStr">
        <is>
          <t>NEC 310.15(B) - Conductor Ampacity Derate Required</t>
        </is>
      </c>
      <c r="N148" t="inlineStr">
        <is>
          <t>Major (3pts)</t>
        </is>
      </c>
    </row>
    <row r="149">
      <c r="M149" t="inlineStr">
        <is>
          <t>NEC 358.10 - EMT Use Not Permitted in This Location</t>
        </is>
      </c>
      <c r="N149" t="inlineStr">
        <is>
          <t>Major (3pts)</t>
        </is>
      </c>
    </row>
    <row r="150">
      <c r="M150" t="inlineStr">
        <is>
          <t>NEC 334.15 - NM Cable Not Protected / Exposed Run</t>
        </is>
      </c>
      <c r="N150" t="inlineStr">
        <is>
          <t>Minor (1pt)</t>
        </is>
      </c>
    </row>
    <row r="151">
      <c r="M151" t="inlineStr">
        <is>
          <t>NEC 362.10 - ENT Use Not Permitted in This Location</t>
        </is>
      </c>
      <c r="N151" t="inlineStr">
        <is>
          <t>Major (3pts)</t>
        </is>
      </c>
    </row>
    <row r="152">
      <c r="M152" t="inlineStr">
        <is>
          <t>NEC 460.8(A) - Capacitor Conductor Ampacity Insufficient</t>
        </is>
      </c>
      <c r="N152" t="inlineStr">
        <is>
          <t>Major (3pts)</t>
        </is>
      </c>
    </row>
    <row r="153">
      <c r="M153" t="inlineStr">
        <is>
          <t>NEC 460.8(B) - Capacitor OCPD Rating Incorrect</t>
        </is>
      </c>
      <c r="N153" t="inlineStr">
        <is>
          <t>Major (3pts)</t>
        </is>
      </c>
    </row>
    <row r="154">
      <c r="M154" t="inlineStr">
        <is>
          <t>NEC 460.9 - Capacitor Discharge Method Not Provided</t>
        </is>
      </c>
      <c r="N154" t="inlineStr">
        <is>
          <t>Critical (5pts)</t>
        </is>
      </c>
    </row>
    <row r="155">
      <c r="M155" t="inlineStr">
        <is>
          <t>NEC 368.17 - Bus Duct Overcurrent Protection at Tap Points</t>
        </is>
      </c>
      <c r="N155" t="inlineStr">
        <is>
          <t>Critical (5pts)</t>
        </is>
      </c>
    </row>
    <row r="156">
      <c r="M156" t="inlineStr">
        <is>
          <t>NEC 368.12 - Bus Duct Use Not Permitted in This Location</t>
        </is>
      </c>
      <c r="N156" t="inlineStr">
        <is>
          <t>Major (3pts)</t>
        </is>
      </c>
    </row>
    <row r="157">
      <c r="M157" t="inlineStr">
        <is>
          <t>NFPA 70B 16.1 - UPS Battery Condition / Maintenance Overdue</t>
        </is>
      </c>
      <c r="N157" t="inlineStr">
        <is>
          <t>Critical (5pts)</t>
        </is>
      </c>
    </row>
    <row r="158">
      <c r="M158" t="inlineStr">
        <is>
          <t>NFPA 70B 16.1 - UPS Bypass / Transfer Issue</t>
        </is>
      </c>
      <c r="N158" t="inlineStr">
        <is>
          <t>Critical (5pts)</t>
        </is>
      </c>
    </row>
    <row r="159">
      <c r="M159" t="inlineStr">
        <is>
          <t>NFPA 70B 5.1.2 - Equipment Past Recommended Service Interval</t>
        </is>
      </c>
      <c r="N159" t="inlineStr">
        <is>
          <t>Major (3pts)</t>
        </is>
      </c>
    </row>
    <row r="160">
      <c r="M160" t="inlineStr">
        <is>
          <t>NFPA 70B 9.2.1 - Loose Connection Found During Inspection</t>
        </is>
      </c>
      <c r="N160" t="inlineStr">
        <is>
          <t>Critical (5pts)</t>
        </is>
      </c>
    </row>
    <row r="161">
      <c r="M161" t="inlineStr">
        <is>
          <t>NFPA 70B 9.2.2 - Evidence of Arcing / Pitting on Contacts</t>
        </is>
      </c>
      <c r="N161" t="inlineStr">
        <is>
          <t>Critical (5pts)</t>
        </is>
      </c>
    </row>
    <row r="162">
      <c r="M162" t="inlineStr">
        <is>
          <t>NFPA 70B 9.3.1 - Contact / Insulation Resistance Below Minimum</t>
        </is>
      </c>
      <c r="N162" t="inlineStr">
        <is>
          <t>Critical (5pts)</t>
        </is>
      </c>
    </row>
    <row r="163">
      <c r="M163" t="inlineStr">
        <is>
          <t>NFPA 70B 9.7 - Circuit Breaker Trip Test Overdue / Failed</t>
        </is>
      </c>
      <c r="N163" t="inlineStr">
        <is>
          <t>Critical (5pts)</t>
        </is>
      </c>
    </row>
    <row r="164">
      <c r="M164" t="inlineStr">
        <is>
          <t>NFPA 70B 9.7 - Breaker Mechanism Binding / Inoperable</t>
        </is>
      </c>
      <c r="N164" t="inlineStr">
        <is>
          <t>Critical (5pts)</t>
        </is>
      </c>
    </row>
    <row r="165">
      <c r="M165" t="inlineStr">
        <is>
          <t>NFPA 70B 12.2 - Switchgear / Switchboard Interlock Defeated</t>
        </is>
      </c>
      <c r="N165" t="inlineStr">
        <is>
          <t>Critical (5pts)</t>
        </is>
      </c>
    </row>
    <row r="166">
      <c r="M166" t="inlineStr">
        <is>
          <t>NFPA 70B 12.2 - Draw-Out Element Racking Mechanism Defective</t>
        </is>
      </c>
      <c r="N166" t="inlineStr">
        <is>
          <t>Critical (5pts)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Loc</t>
        </is>
      </c>
      <c r="D1" s="1" t="inlineStr">
        <is>
          <t>TestV</t>
        </is>
      </c>
      <c r="E1" s="1" t="inlineStr">
        <is>
          <t>Ph-Ph</t>
        </is>
      </c>
      <c r="F1" s="1" t="inlineStr">
        <is>
          <t>Ph-G</t>
        </is>
      </c>
      <c r="G1" s="1" t="inlineStr">
        <is>
          <t>PI</t>
        </is>
      </c>
      <c r="H1" s="1" t="inlineStr">
        <is>
          <t>Temp</t>
        </is>
      </c>
      <c r="I1" s="1" t="inlineStr">
        <is>
          <t>Result</t>
        </is>
      </c>
      <c r="J1" s="1" t="inlineStr">
        <is>
          <t>Notes</t>
        </is>
      </c>
    </row>
    <row r="2">
      <c r="A2">
        <f>IF('Equipment Information'!A2="","", 'Equipment Information'!A2)</f>
        <v/>
      </c>
      <c r="B2">
        <f>IF('Equipment Information'!B2="","", 'Equipment Information'!B2)</f>
        <v/>
      </c>
      <c r="C2">
        <f>IF('Equipment Information'!C2="","", 'Equipment Information'!C2)</f>
        <v/>
      </c>
      <c r="I2">
        <f>IF(A2="","","N/A")</f>
        <v/>
      </c>
    </row>
    <row r="3">
      <c r="A3">
        <f>IF('Equipment Information'!A3="","", 'Equipment Information'!A3)</f>
        <v/>
      </c>
      <c r="B3">
        <f>IF('Equipment Information'!B3="","", 'Equipment Information'!B3)</f>
        <v/>
      </c>
      <c r="C3">
        <f>IF('Equipment Information'!C3="","", 'Equipment Information'!C3)</f>
        <v/>
      </c>
      <c r="I3">
        <f>IF(A3="","","N/A")</f>
        <v/>
      </c>
    </row>
    <row r="4">
      <c r="A4">
        <f>IF('Equipment Information'!A4="","", 'Equipment Information'!A4)</f>
        <v/>
      </c>
      <c r="B4">
        <f>IF('Equipment Information'!B4="","", 'Equipment Information'!B4)</f>
        <v/>
      </c>
      <c r="C4">
        <f>IF('Equipment Information'!C4="","", 'Equipment Information'!C4)</f>
        <v/>
      </c>
      <c r="I4">
        <f>IF(A4="","","N/A")</f>
        <v/>
      </c>
    </row>
    <row r="5">
      <c r="A5">
        <f>IF('Equipment Information'!A5="","", 'Equipment Information'!A5)</f>
        <v/>
      </c>
      <c r="B5">
        <f>IF('Equipment Information'!B5="","", 'Equipment Information'!B5)</f>
        <v/>
      </c>
      <c r="C5">
        <f>IF('Equipment Information'!C5="","", 'Equipment Information'!C5)</f>
        <v/>
      </c>
      <c r="I5">
        <f>IF(A5="","","N/A")</f>
        <v/>
      </c>
    </row>
    <row r="6">
      <c r="A6">
        <f>IF('Equipment Information'!A6="","", 'Equipment Information'!A6)</f>
        <v/>
      </c>
      <c r="B6">
        <f>IF('Equipment Information'!B6="","", 'Equipment Information'!B6)</f>
        <v/>
      </c>
      <c r="C6">
        <f>IF('Equipment Information'!C6="","", 'Equipment Information'!C6)</f>
        <v/>
      </c>
      <c r="I6">
        <f>IF(A6="","","N/A")</f>
        <v/>
      </c>
    </row>
    <row r="7">
      <c r="A7">
        <f>IF('Equipment Information'!A7="","", 'Equipment Information'!A7)</f>
        <v/>
      </c>
      <c r="B7">
        <f>IF('Equipment Information'!B7="","", 'Equipment Information'!B7)</f>
        <v/>
      </c>
      <c r="C7">
        <f>IF('Equipment Information'!C7="","", 'Equipment Information'!C7)</f>
        <v/>
      </c>
      <c r="I7">
        <f>IF(A7="","","N/A")</f>
        <v/>
      </c>
    </row>
    <row r="8">
      <c r="A8">
        <f>IF('Equipment Information'!A8="","", 'Equipment Information'!A8)</f>
        <v/>
      </c>
      <c r="B8">
        <f>IF('Equipment Information'!B8="","", 'Equipment Information'!B8)</f>
        <v/>
      </c>
      <c r="C8">
        <f>IF('Equipment Information'!C8="","", 'Equipment Information'!C8)</f>
        <v/>
      </c>
      <c r="I8">
        <f>IF(A8="","","N/A")</f>
        <v/>
      </c>
    </row>
    <row r="9">
      <c r="A9">
        <f>IF('Equipment Information'!A9="","", 'Equipment Information'!A9)</f>
        <v/>
      </c>
      <c r="B9">
        <f>IF('Equipment Information'!B9="","", 'Equipment Information'!B9)</f>
        <v/>
      </c>
      <c r="C9">
        <f>IF('Equipment Information'!C9="","", 'Equipment Information'!C9)</f>
        <v/>
      </c>
      <c r="I9">
        <f>IF(A9="","","N/A")</f>
        <v/>
      </c>
    </row>
    <row r="10">
      <c r="A10">
        <f>IF('Equipment Information'!A10="","", 'Equipment Information'!A10)</f>
        <v/>
      </c>
      <c r="B10">
        <f>IF('Equipment Information'!B10="","", 'Equipment Information'!B10)</f>
        <v/>
      </c>
      <c r="C10">
        <f>IF('Equipment Information'!C10="","", 'Equipment Information'!C10)</f>
        <v/>
      </c>
      <c r="I10">
        <f>IF(A10="","","N/A")</f>
        <v/>
      </c>
    </row>
    <row r="11">
      <c r="A11">
        <f>IF('Equipment Information'!A11="","", 'Equipment Information'!A11)</f>
        <v/>
      </c>
      <c r="B11">
        <f>IF('Equipment Information'!B11="","", 'Equipment Information'!B11)</f>
        <v/>
      </c>
      <c r="C11">
        <f>IF('Equipment Information'!C11="","", 'Equipment Information'!C11)</f>
        <v/>
      </c>
      <c r="I11">
        <f>IF(A11="","","N/A")</f>
        <v/>
      </c>
    </row>
    <row r="12">
      <c r="A12">
        <f>IF('Equipment Information'!A12="","", 'Equipment Information'!A12)</f>
        <v/>
      </c>
      <c r="B12">
        <f>IF('Equipment Information'!B12="","", 'Equipment Information'!B12)</f>
        <v/>
      </c>
      <c r="C12">
        <f>IF('Equipment Information'!C12="","", 'Equipment Information'!C12)</f>
        <v/>
      </c>
      <c r="I12">
        <f>IF(A12="","","N/A")</f>
        <v/>
      </c>
    </row>
    <row r="13">
      <c r="A13">
        <f>IF('Equipment Information'!A13="","", 'Equipment Information'!A13)</f>
        <v/>
      </c>
      <c r="B13">
        <f>IF('Equipment Information'!B13="","", 'Equipment Information'!B13)</f>
        <v/>
      </c>
      <c r="C13">
        <f>IF('Equipment Information'!C13="","", 'Equipment Information'!C13)</f>
        <v/>
      </c>
      <c r="I13">
        <f>IF(A13="","","N/A")</f>
        <v/>
      </c>
    </row>
    <row r="14">
      <c r="A14">
        <f>IF('Equipment Information'!A14="","", 'Equipment Information'!A14)</f>
        <v/>
      </c>
      <c r="B14">
        <f>IF('Equipment Information'!B14="","", 'Equipment Information'!B14)</f>
        <v/>
      </c>
      <c r="C14">
        <f>IF('Equipment Information'!C14="","", 'Equipment Information'!C14)</f>
        <v/>
      </c>
      <c r="I14">
        <f>IF(A14="","","N/A")</f>
        <v/>
      </c>
    </row>
    <row r="15">
      <c r="A15">
        <f>IF('Equipment Information'!A15="","", 'Equipment Information'!A15)</f>
        <v/>
      </c>
      <c r="B15">
        <f>IF('Equipment Information'!B15="","", 'Equipment Information'!B15)</f>
        <v/>
      </c>
      <c r="C15">
        <f>IF('Equipment Information'!C15="","", 'Equipment Information'!C15)</f>
        <v/>
      </c>
      <c r="I15">
        <f>IF(A15="","","N/A")</f>
        <v/>
      </c>
    </row>
    <row r="16">
      <c r="A16">
        <f>IF('Equipment Information'!A16="","", 'Equipment Information'!A16)</f>
        <v/>
      </c>
      <c r="B16">
        <f>IF('Equipment Information'!B16="","", 'Equipment Information'!B16)</f>
        <v/>
      </c>
      <c r="C16">
        <f>IF('Equipment Information'!C16="","", 'Equipment Information'!C16)</f>
        <v/>
      </c>
      <c r="I16">
        <f>IF(A16="","","N/A")</f>
        <v/>
      </c>
    </row>
    <row r="17">
      <c r="A17">
        <f>IF('Equipment Information'!A17="","", 'Equipment Information'!A17)</f>
        <v/>
      </c>
      <c r="B17">
        <f>IF('Equipment Information'!B17="","", 'Equipment Information'!B17)</f>
        <v/>
      </c>
      <c r="C17">
        <f>IF('Equipment Information'!C17="","", 'Equipment Information'!C17)</f>
        <v/>
      </c>
      <c r="I17">
        <f>IF(A17="","","N/A")</f>
        <v/>
      </c>
    </row>
    <row r="18">
      <c r="A18">
        <f>IF('Equipment Information'!A18="","", 'Equipment Information'!A18)</f>
        <v/>
      </c>
      <c r="B18">
        <f>IF('Equipment Information'!B18="","", 'Equipment Information'!B18)</f>
        <v/>
      </c>
      <c r="C18">
        <f>IF('Equipment Information'!C18="","", 'Equipment Information'!C18)</f>
        <v/>
      </c>
      <c r="I18">
        <f>IF(A18="","","N/A")</f>
        <v/>
      </c>
    </row>
    <row r="19">
      <c r="A19">
        <f>IF('Equipment Information'!A19="","", 'Equipment Information'!A19)</f>
        <v/>
      </c>
      <c r="B19">
        <f>IF('Equipment Information'!B19="","", 'Equipment Information'!B19)</f>
        <v/>
      </c>
      <c r="C19">
        <f>IF('Equipment Information'!C19="","", 'Equipment Information'!C19)</f>
        <v/>
      </c>
      <c r="I19">
        <f>IF(A19="","","N/A")</f>
        <v/>
      </c>
    </row>
    <row r="20">
      <c r="A20">
        <f>IF('Equipment Information'!A20="","", 'Equipment Information'!A20)</f>
        <v/>
      </c>
      <c r="B20">
        <f>IF('Equipment Information'!B20="","", 'Equipment Information'!B20)</f>
        <v/>
      </c>
      <c r="C20">
        <f>IF('Equipment Information'!C20="","", 'Equipment Information'!C20)</f>
        <v/>
      </c>
      <c r="I20">
        <f>IF(A20="","","N/A")</f>
        <v/>
      </c>
    </row>
    <row r="21">
      <c r="A21">
        <f>IF('Equipment Information'!A21="","", 'Equipment Information'!A21)</f>
        <v/>
      </c>
      <c r="B21">
        <f>IF('Equipment Information'!B21="","", 'Equipment Information'!B21)</f>
        <v/>
      </c>
      <c r="C21">
        <f>IF('Equipment Information'!C21="","", 'Equipment Information'!C21)</f>
        <v/>
      </c>
      <c r="I21">
        <f>IF(A21="","","N/A")</f>
        <v/>
      </c>
    </row>
    <row r="22">
      <c r="A22">
        <f>IF('Equipment Information'!A22="","", 'Equipment Information'!A22)</f>
        <v/>
      </c>
      <c r="B22">
        <f>IF('Equipment Information'!B22="","", 'Equipment Information'!B22)</f>
        <v/>
      </c>
      <c r="C22">
        <f>IF('Equipment Information'!C22="","", 'Equipment Information'!C22)</f>
        <v/>
      </c>
      <c r="I22">
        <f>IF(A22="","","N/A")</f>
        <v/>
      </c>
    </row>
    <row r="23">
      <c r="A23">
        <f>IF('Equipment Information'!A23="","", 'Equipment Information'!A23)</f>
        <v/>
      </c>
      <c r="B23">
        <f>IF('Equipment Information'!B23="","", 'Equipment Information'!B23)</f>
        <v/>
      </c>
      <c r="C23">
        <f>IF('Equipment Information'!C23="","", 'Equipment Information'!C23)</f>
        <v/>
      </c>
      <c r="I23">
        <f>IF(A23="","","N/A")</f>
        <v/>
      </c>
    </row>
    <row r="24">
      <c r="A24">
        <f>IF('Equipment Information'!A24="","", 'Equipment Information'!A24)</f>
        <v/>
      </c>
      <c r="B24">
        <f>IF('Equipment Information'!B24="","", 'Equipment Information'!B24)</f>
        <v/>
      </c>
      <c r="C24">
        <f>IF('Equipment Information'!C24="","", 'Equipment Information'!C24)</f>
        <v/>
      </c>
      <c r="I24">
        <f>IF(A24="","","N/A")</f>
        <v/>
      </c>
    </row>
    <row r="25">
      <c r="A25">
        <f>IF('Equipment Information'!A25="","", 'Equipment Information'!A25)</f>
        <v/>
      </c>
      <c r="B25">
        <f>IF('Equipment Information'!B25="","", 'Equipment Information'!B25)</f>
        <v/>
      </c>
      <c r="C25">
        <f>IF('Equipment Information'!C25="","", 'Equipment Information'!C25)</f>
        <v/>
      </c>
      <c r="I25">
        <f>IF(A25="","","N/A")</f>
        <v/>
      </c>
    </row>
    <row r="26">
      <c r="A26">
        <f>IF('Equipment Information'!A26="","", 'Equipment Information'!A26)</f>
        <v/>
      </c>
      <c r="B26">
        <f>IF('Equipment Information'!B26="","", 'Equipment Information'!B26)</f>
        <v/>
      </c>
      <c r="C26">
        <f>IF('Equipment Information'!C26="","", 'Equipment Information'!C26)</f>
        <v/>
      </c>
      <c r="I26">
        <f>IF(A26="","","N/A")</f>
        <v/>
      </c>
    </row>
    <row r="27">
      <c r="A27">
        <f>IF('Equipment Information'!A27="","", 'Equipment Information'!A27)</f>
        <v/>
      </c>
      <c r="B27">
        <f>IF('Equipment Information'!B27="","", 'Equipment Information'!B27)</f>
        <v/>
      </c>
      <c r="C27">
        <f>IF('Equipment Information'!C27="","", 'Equipment Information'!C27)</f>
        <v/>
      </c>
      <c r="I27">
        <f>IF(A27="","","N/A")</f>
        <v/>
      </c>
    </row>
    <row r="28">
      <c r="A28">
        <f>IF('Equipment Information'!A28="","", 'Equipment Information'!A28)</f>
        <v/>
      </c>
      <c r="B28">
        <f>IF('Equipment Information'!B28="","", 'Equipment Information'!B28)</f>
        <v/>
      </c>
      <c r="C28">
        <f>IF('Equipment Information'!C28="","", 'Equipment Information'!C28)</f>
        <v/>
      </c>
      <c r="I28">
        <f>IF(A28="","","N/A")</f>
        <v/>
      </c>
    </row>
    <row r="29">
      <c r="A29">
        <f>IF('Equipment Information'!A29="","", 'Equipment Information'!A29)</f>
        <v/>
      </c>
      <c r="B29">
        <f>IF('Equipment Information'!B29="","", 'Equipment Information'!B29)</f>
        <v/>
      </c>
      <c r="C29">
        <f>IF('Equipment Information'!C29="","", 'Equipment Information'!C29)</f>
        <v/>
      </c>
      <c r="I29">
        <f>IF(A29="","","N/A")</f>
        <v/>
      </c>
    </row>
    <row r="30">
      <c r="A30">
        <f>IF('Equipment Information'!A30="","", 'Equipment Information'!A30)</f>
        <v/>
      </c>
      <c r="B30">
        <f>IF('Equipment Information'!B30="","", 'Equipment Information'!B30)</f>
        <v/>
      </c>
      <c r="C30">
        <f>IF('Equipment Information'!C30="","", 'Equipment Information'!C30)</f>
        <v/>
      </c>
      <c r="I30">
        <f>IF(A30="","","N/A")</f>
        <v/>
      </c>
    </row>
    <row r="31">
      <c r="A31">
        <f>IF('Equipment Information'!A31="","", 'Equipment Information'!A31)</f>
        <v/>
      </c>
      <c r="B31">
        <f>IF('Equipment Information'!B31="","", 'Equipment Information'!B31)</f>
        <v/>
      </c>
      <c r="C31">
        <f>IF('Equipment Information'!C31="","", 'Equipment Information'!C31)</f>
        <v/>
      </c>
      <c r="I31">
        <f>IF(A31="","","N/A")</f>
        <v/>
      </c>
    </row>
    <row r="32">
      <c r="A32">
        <f>IF('Equipment Information'!A32="","", 'Equipment Information'!A32)</f>
        <v/>
      </c>
      <c r="B32">
        <f>IF('Equipment Information'!B32="","", 'Equipment Information'!B32)</f>
        <v/>
      </c>
      <c r="C32">
        <f>IF('Equipment Information'!C32="","", 'Equipment Information'!C32)</f>
        <v/>
      </c>
      <c r="I32">
        <f>IF(A32="","","N/A")</f>
        <v/>
      </c>
    </row>
    <row r="33">
      <c r="A33">
        <f>IF('Equipment Information'!A33="","", 'Equipment Information'!A33)</f>
        <v/>
      </c>
      <c r="B33">
        <f>IF('Equipment Information'!B33="","", 'Equipment Information'!B33)</f>
        <v/>
      </c>
      <c r="C33">
        <f>IF('Equipment Information'!C33="","", 'Equipment Information'!C33)</f>
        <v/>
      </c>
      <c r="I33">
        <f>IF(A33="","","N/A")</f>
        <v/>
      </c>
    </row>
    <row r="34">
      <c r="A34">
        <f>IF('Equipment Information'!A34="","", 'Equipment Information'!A34)</f>
        <v/>
      </c>
      <c r="B34">
        <f>IF('Equipment Information'!B34="","", 'Equipment Information'!B34)</f>
        <v/>
      </c>
      <c r="C34">
        <f>IF('Equipment Information'!C34="","", 'Equipment Information'!C34)</f>
        <v/>
      </c>
      <c r="I34">
        <f>IF(A34="","","N/A")</f>
        <v/>
      </c>
    </row>
    <row r="35">
      <c r="A35">
        <f>IF('Equipment Information'!A35="","", 'Equipment Information'!A35)</f>
        <v/>
      </c>
      <c r="B35">
        <f>IF('Equipment Information'!B35="","", 'Equipment Information'!B35)</f>
        <v/>
      </c>
      <c r="C35">
        <f>IF('Equipment Information'!C35="","", 'Equipment Information'!C35)</f>
        <v/>
      </c>
      <c r="I35">
        <f>IF(A35="","","N/A")</f>
        <v/>
      </c>
    </row>
    <row r="36">
      <c r="A36">
        <f>IF('Equipment Information'!A36="","", 'Equipment Information'!A36)</f>
        <v/>
      </c>
      <c r="B36">
        <f>IF('Equipment Information'!B36="","", 'Equipment Information'!B36)</f>
        <v/>
      </c>
      <c r="C36">
        <f>IF('Equipment Information'!C36="","", 'Equipment Information'!C36)</f>
        <v/>
      </c>
      <c r="I36">
        <f>IF(A36="","","N/A")</f>
        <v/>
      </c>
    </row>
    <row r="37">
      <c r="A37">
        <f>IF('Equipment Information'!A37="","", 'Equipment Information'!A37)</f>
        <v/>
      </c>
      <c r="B37">
        <f>IF('Equipment Information'!B37="","", 'Equipment Information'!B37)</f>
        <v/>
      </c>
      <c r="C37">
        <f>IF('Equipment Information'!C37="","", 'Equipment Information'!C37)</f>
        <v/>
      </c>
      <c r="I37">
        <f>IF(A37="","","N/A")</f>
        <v/>
      </c>
    </row>
    <row r="38">
      <c r="A38">
        <f>IF('Equipment Information'!A38="","", 'Equipment Information'!A38)</f>
        <v/>
      </c>
      <c r="B38">
        <f>IF('Equipment Information'!B38="","", 'Equipment Information'!B38)</f>
        <v/>
      </c>
      <c r="C38">
        <f>IF('Equipment Information'!C38="","", 'Equipment Information'!C38)</f>
        <v/>
      </c>
      <c r="I38">
        <f>IF(A38="","","N/A")</f>
        <v/>
      </c>
    </row>
    <row r="39">
      <c r="A39">
        <f>IF('Equipment Information'!A39="","", 'Equipment Information'!A39)</f>
        <v/>
      </c>
      <c r="B39">
        <f>IF('Equipment Information'!B39="","", 'Equipment Information'!B39)</f>
        <v/>
      </c>
      <c r="C39">
        <f>IF('Equipment Information'!C39="","", 'Equipment Information'!C39)</f>
        <v/>
      </c>
      <c r="I39">
        <f>IF(A39="","","N/A")</f>
        <v/>
      </c>
    </row>
    <row r="40">
      <c r="A40">
        <f>IF('Equipment Information'!A40="","", 'Equipment Information'!A40)</f>
        <v/>
      </c>
      <c r="B40">
        <f>IF('Equipment Information'!B40="","", 'Equipment Information'!B40)</f>
        <v/>
      </c>
      <c r="C40">
        <f>IF('Equipment Information'!C40="","", 'Equipment Information'!C40)</f>
        <v/>
      </c>
      <c r="I40">
        <f>IF(A40="","","N/A")</f>
        <v/>
      </c>
    </row>
    <row r="41">
      <c r="A41">
        <f>IF('Equipment Information'!A41="","", 'Equipment Information'!A41)</f>
        <v/>
      </c>
      <c r="B41">
        <f>IF('Equipment Information'!B41="","", 'Equipment Information'!B41)</f>
        <v/>
      </c>
      <c r="C41">
        <f>IF('Equipment Information'!C41="","", 'Equipment Information'!C41)</f>
        <v/>
      </c>
      <c r="I41">
        <f>IF(A41="","","N/A")</f>
        <v/>
      </c>
    </row>
    <row r="42">
      <c r="A42">
        <f>IF('Equipment Information'!A42="","", 'Equipment Information'!A42)</f>
        <v/>
      </c>
      <c r="B42">
        <f>IF('Equipment Information'!B42="","", 'Equipment Information'!B42)</f>
        <v/>
      </c>
      <c r="C42">
        <f>IF('Equipment Information'!C42="","", 'Equipment Information'!C42)</f>
        <v/>
      </c>
      <c r="I42">
        <f>IF(A42="","","N/A")</f>
        <v/>
      </c>
    </row>
    <row r="43">
      <c r="A43">
        <f>IF('Equipment Information'!A43="","", 'Equipment Information'!A43)</f>
        <v/>
      </c>
      <c r="B43">
        <f>IF('Equipment Information'!B43="","", 'Equipment Information'!B43)</f>
        <v/>
      </c>
      <c r="C43">
        <f>IF('Equipment Information'!C43="","", 'Equipment Information'!C43)</f>
        <v/>
      </c>
      <c r="I43">
        <f>IF(A43="","","N/A")</f>
        <v/>
      </c>
    </row>
    <row r="44">
      <c r="A44">
        <f>IF('Equipment Information'!A44="","", 'Equipment Information'!A44)</f>
        <v/>
      </c>
      <c r="B44">
        <f>IF('Equipment Information'!B44="","", 'Equipment Information'!B44)</f>
        <v/>
      </c>
      <c r="C44">
        <f>IF('Equipment Information'!C44="","", 'Equipment Information'!C44)</f>
        <v/>
      </c>
      <c r="I44">
        <f>IF(A44="","","N/A")</f>
        <v/>
      </c>
    </row>
    <row r="45">
      <c r="A45">
        <f>IF('Equipment Information'!A45="","", 'Equipment Information'!A45)</f>
        <v/>
      </c>
      <c r="B45">
        <f>IF('Equipment Information'!B45="","", 'Equipment Information'!B45)</f>
        <v/>
      </c>
      <c r="C45">
        <f>IF('Equipment Information'!C45="","", 'Equipment Information'!C45)</f>
        <v/>
      </c>
      <c r="I45">
        <f>IF(A45="","","N/A")</f>
        <v/>
      </c>
    </row>
    <row r="46">
      <c r="A46">
        <f>IF('Equipment Information'!A46="","", 'Equipment Information'!A46)</f>
        <v/>
      </c>
      <c r="B46">
        <f>IF('Equipment Information'!B46="","", 'Equipment Information'!B46)</f>
        <v/>
      </c>
      <c r="C46">
        <f>IF('Equipment Information'!C46="","", 'Equipment Information'!C46)</f>
        <v/>
      </c>
      <c r="I46">
        <f>IF(A46="","","N/A")</f>
        <v/>
      </c>
    </row>
    <row r="47">
      <c r="A47">
        <f>IF('Equipment Information'!A47="","", 'Equipment Information'!A47)</f>
        <v/>
      </c>
      <c r="B47">
        <f>IF('Equipment Information'!B47="","", 'Equipment Information'!B47)</f>
        <v/>
      </c>
      <c r="C47">
        <f>IF('Equipment Information'!C47="","", 'Equipment Information'!C47)</f>
        <v/>
      </c>
      <c r="I47">
        <f>IF(A47="","","N/A")</f>
        <v/>
      </c>
    </row>
    <row r="48">
      <c r="A48">
        <f>IF('Equipment Information'!A48="","", 'Equipment Information'!A48)</f>
        <v/>
      </c>
      <c r="B48">
        <f>IF('Equipment Information'!B48="","", 'Equipment Information'!B48)</f>
        <v/>
      </c>
      <c r="C48">
        <f>IF('Equipment Information'!C48="","", 'Equipment Information'!C48)</f>
        <v/>
      </c>
      <c r="I48">
        <f>IF(A48="","","N/A")</f>
        <v/>
      </c>
    </row>
    <row r="49">
      <c r="A49">
        <f>IF('Equipment Information'!A49="","", 'Equipment Information'!A49)</f>
        <v/>
      </c>
      <c r="B49">
        <f>IF('Equipment Information'!B49="","", 'Equipment Information'!B49)</f>
        <v/>
      </c>
      <c r="C49">
        <f>IF('Equipment Information'!C49="","", 'Equipment Information'!C49)</f>
        <v/>
      </c>
      <c r="I49">
        <f>IF(A49="","","N/A")</f>
        <v/>
      </c>
    </row>
    <row r="50">
      <c r="A50">
        <f>IF('Equipment Information'!A50="","", 'Equipment Information'!A50)</f>
        <v/>
      </c>
      <c r="B50">
        <f>IF('Equipment Information'!B50="","", 'Equipment Information'!B50)</f>
        <v/>
      </c>
      <c r="C50">
        <f>IF('Equipment Information'!C50="","", 'Equipment Information'!C50)</f>
        <v/>
      </c>
      <c r="I50">
        <f>IF(A50="","","N/A")</f>
        <v/>
      </c>
    </row>
    <row r="51">
      <c r="A51">
        <f>IF('Equipment Information'!A51="","", 'Equipment Information'!A51)</f>
        <v/>
      </c>
      <c r="B51">
        <f>IF('Equipment Information'!B51="","", 'Equipment Information'!B51)</f>
        <v/>
      </c>
      <c r="C51">
        <f>IF('Equipment Information'!C51="","", 'Equipment Information'!C51)</f>
        <v/>
      </c>
      <c r="I51">
        <f>IF(A51="","","N/A")</f>
        <v/>
      </c>
    </row>
    <row r="52">
      <c r="A52">
        <f>IF('Equipment Information'!A52="","", 'Equipment Information'!A52)</f>
        <v/>
      </c>
      <c r="B52">
        <f>IF('Equipment Information'!B52="","", 'Equipment Information'!B52)</f>
        <v/>
      </c>
      <c r="C52">
        <f>IF('Equipment Information'!C52="","", 'Equipment Information'!C52)</f>
        <v/>
      </c>
      <c r="I52">
        <f>IF(A52="","","N/A")</f>
        <v/>
      </c>
    </row>
    <row r="53">
      <c r="A53">
        <f>IF('Equipment Information'!A53="","", 'Equipment Information'!A53)</f>
        <v/>
      </c>
      <c r="B53">
        <f>IF('Equipment Information'!B53="","", 'Equipment Information'!B53)</f>
        <v/>
      </c>
      <c r="C53">
        <f>IF('Equipment Information'!C53="","", 'Equipment Information'!C53)</f>
        <v/>
      </c>
      <c r="I53">
        <f>IF(A53="","","N/A")</f>
        <v/>
      </c>
    </row>
    <row r="54">
      <c r="A54">
        <f>IF('Equipment Information'!A54="","", 'Equipment Information'!A54)</f>
        <v/>
      </c>
      <c r="B54">
        <f>IF('Equipment Information'!B54="","", 'Equipment Information'!B54)</f>
        <v/>
      </c>
      <c r="C54">
        <f>IF('Equipment Information'!C54="","", 'Equipment Information'!C54)</f>
        <v/>
      </c>
      <c r="I54">
        <f>IF(A54="","","N/A")</f>
        <v/>
      </c>
    </row>
    <row r="55">
      <c r="A55">
        <f>IF('Equipment Information'!A55="","", 'Equipment Information'!A55)</f>
        <v/>
      </c>
      <c r="B55">
        <f>IF('Equipment Information'!B55="","", 'Equipment Information'!B55)</f>
        <v/>
      </c>
      <c r="C55">
        <f>IF('Equipment Information'!C55="","", 'Equipment Information'!C55)</f>
        <v/>
      </c>
      <c r="I55">
        <f>IF(A55="","","N/A")</f>
        <v/>
      </c>
    </row>
    <row r="56">
      <c r="A56">
        <f>IF('Equipment Information'!A56="","", 'Equipment Information'!A56)</f>
        <v/>
      </c>
      <c r="B56">
        <f>IF('Equipment Information'!B56="","", 'Equipment Information'!B56)</f>
        <v/>
      </c>
      <c r="C56">
        <f>IF('Equipment Information'!C56="","", 'Equipment Information'!C56)</f>
        <v/>
      </c>
      <c r="I56">
        <f>IF(A56="","","N/A")</f>
        <v/>
      </c>
    </row>
    <row r="57">
      <c r="A57">
        <f>IF('Equipment Information'!A57="","", 'Equipment Information'!A57)</f>
        <v/>
      </c>
      <c r="B57">
        <f>IF('Equipment Information'!B57="","", 'Equipment Information'!B57)</f>
        <v/>
      </c>
      <c r="C57">
        <f>IF('Equipment Information'!C57="","", 'Equipment Information'!C57)</f>
        <v/>
      </c>
      <c r="I57">
        <f>IF(A57="","","N/A")</f>
        <v/>
      </c>
    </row>
    <row r="58">
      <c r="A58">
        <f>IF('Equipment Information'!A58="","", 'Equipment Information'!A58)</f>
        <v/>
      </c>
      <c r="B58">
        <f>IF('Equipment Information'!B58="","", 'Equipment Information'!B58)</f>
        <v/>
      </c>
      <c r="C58">
        <f>IF('Equipment Information'!C58="","", 'Equipment Information'!C58)</f>
        <v/>
      </c>
      <c r="I58">
        <f>IF(A58="","","N/A")</f>
        <v/>
      </c>
    </row>
    <row r="59">
      <c r="A59">
        <f>IF('Equipment Information'!A59="","", 'Equipment Information'!A59)</f>
        <v/>
      </c>
      <c r="B59">
        <f>IF('Equipment Information'!B59="","", 'Equipment Information'!B59)</f>
        <v/>
      </c>
      <c r="C59">
        <f>IF('Equipment Information'!C59="","", 'Equipment Information'!C59)</f>
        <v/>
      </c>
      <c r="I59">
        <f>IF(A59="","","N/A")</f>
        <v/>
      </c>
    </row>
    <row r="60">
      <c r="A60">
        <f>IF('Equipment Information'!A60="","", 'Equipment Information'!A60)</f>
        <v/>
      </c>
      <c r="B60">
        <f>IF('Equipment Information'!B60="","", 'Equipment Information'!B60)</f>
        <v/>
      </c>
      <c r="C60">
        <f>IF('Equipment Information'!C60="","", 'Equipment Information'!C60)</f>
        <v/>
      </c>
      <c r="I60">
        <f>IF(A60="","","N/A")</f>
        <v/>
      </c>
    </row>
    <row r="61">
      <c r="A61">
        <f>IF('Equipment Information'!A61="","", 'Equipment Information'!A61)</f>
        <v/>
      </c>
      <c r="B61">
        <f>IF('Equipment Information'!B61="","", 'Equipment Information'!B61)</f>
        <v/>
      </c>
      <c r="C61">
        <f>IF('Equipment Information'!C61="","", 'Equipment Information'!C61)</f>
        <v/>
      </c>
      <c r="I61">
        <f>IF(A61="","","N/A")</f>
        <v/>
      </c>
    </row>
    <row r="62">
      <c r="A62">
        <f>IF('Equipment Information'!A62="","", 'Equipment Information'!A62)</f>
        <v/>
      </c>
      <c r="B62">
        <f>IF('Equipment Information'!B62="","", 'Equipment Information'!B62)</f>
        <v/>
      </c>
      <c r="C62">
        <f>IF('Equipment Information'!C62="","", 'Equipment Information'!C62)</f>
        <v/>
      </c>
      <c r="I62">
        <f>IF(A62="","","N/A")</f>
        <v/>
      </c>
    </row>
    <row r="63">
      <c r="A63">
        <f>IF('Equipment Information'!A63="","", 'Equipment Information'!A63)</f>
        <v/>
      </c>
      <c r="B63">
        <f>IF('Equipment Information'!B63="","", 'Equipment Information'!B63)</f>
        <v/>
      </c>
      <c r="C63">
        <f>IF('Equipment Information'!C63="","", 'Equipment Information'!C63)</f>
        <v/>
      </c>
      <c r="I63">
        <f>IF(A63="","","N/A")</f>
        <v/>
      </c>
    </row>
    <row r="64">
      <c r="A64">
        <f>IF('Equipment Information'!A64="","", 'Equipment Information'!A64)</f>
        <v/>
      </c>
      <c r="B64">
        <f>IF('Equipment Information'!B64="","", 'Equipment Information'!B64)</f>
        <v/>
      </c>
      <c r="C64">
        <f>IF('Equipment Information'!C64="","", 'Equipment Information'!C64)</f>
        <v/>
      </c>
      <c r="I64">
        <f>IF(A64="","","N/A")</f>
        <v/>
      </c>
    </row>
    <row r="65">
      <c r="A65">
        <f>IF('Equipment Information'!A65="","", 'Equipment Information'!A65)</f>
        <v/>
      </c>
      <c r="B65">
        <f>IF('Equipment Information'!B65="","", 'Equipment Information'!B65)</f>
        <v/>
      </c>
      <c r="C65">
        <f>IF('Equipment Information'!C65="","", 'Equipment Information'!C65)</f>
        <v/>
      </c>
      <c r="I65">
        <f>IF(A65="","","N/A")</f>
        <v/>
      </c>
    </row>
    <row r="66">
      <c r="A66">
        <f>IF('Equipment Information'!A66="","", 'Equipment Information'!A66)</f>
        <v/>
      </c>
      <c r="B66">
        <f>IF('Equipment Information'!B66="","", 'Equipment Information'!B66)</f>
        <v/>
      </c>
      <c r="C66">
        <f>IF('Equipment Information'!C66="","", 'Equipment Information'!C66)</f>
        <v/>
      </c>
      <c r="I66">
        <f>IF(A66="","","N/A")</f>
        <v/>
      </c>
    </row>
    <row r="67">
      <c r="A67">
        <f>IF('Equipment Information'!A67="","", 'Equipment Information'!A67)</f>
        <v/>
      </c>
      <c r="B67">
        <f>IF('Equipment Information'!B67="","", 'Equipment Information'!B67)</f>
        <v/>
      </c>
      <c r="C67">
        <f>IF('Equipment Information'!C67="","", 'Equipment Information'!C67)</f>
        <v/>
      </c>
      <c r="I67">
        <f>IF(A67="","","N/A")</f>
        <v/>
      </c>
    </row>
    <row r="68">
      <c r="A68">
        <f>IF('Equipment Information'!A68="","", 'Equipment Information'!A68)</f>
        <v/>
      </c>
      <c r="B68">
        <f>IF('Equipment Information'!B68="","", 'Equipment Information'!B68)</f>
        <v/>
      </c>
      <c r="C68">
        <f>IF('Equipment Information'!C68="","", 'Equipment Information'!C68)</f>
        <v/>
      </c>
      <c r="I68">
        <f>IF(A68="","","N/A")</f>
        <v/>
      </c>
    </row>
    <row r="69">
      <c r="A69">
        <f>IF('Equipment Information'!A69="","", 'Equipment Information'!A69)</f>
        <v/>
      </c>
      <c r="B69">
        <f>IF('Equipment Information'!B69="","", 'Equipment Information'!B69)</f>
        <v/>
      </c>
      <c r="C69">
        <f>IF('Equipment Information'!C69="","", 'Equipment Information'!C69)</f>
        <v/>
      </c>
      <c r="I69">
        <f>IF(A69="","","N/A")</f>
        <v/>
      </c>
    </row>
    <row r="70">
      <c r="A70">
        <f>IF('Equipment Information'!A70="","", 'Equipment Information'!A70)</f>
        <v/>
      </c>
      <c r="B70">
        <f>IF('Equipment Information'!B70="","", 'Equipment Information'!B70)</f>
        <v/>
      </c>
      <c r="C70">
        <f>IF('Equipment Information'!C70="","", 'Equipment Information'!C70)</f>
        <v/>
      </c>
      <c r="I70">
        <f>IF(A70="","","N/A")</f>
        <v/>
      </c>
    </row>
    <row r="71">
      <c r="A71">
        <f>IF('Equipment Information'!A71="","", 'Equipment Information'!A71)</f>
        <v/>
      </c>
      <c r="B71">
        <f>IF('Equipment Information'!B71="","", 'Equipment Information'!B71)</f>
        <v/>
      </c>
      <c r="C71">
        <f>IF('Equipment Information'!C71="","", 'Equipment Information'!C71)</f>
        <v/>
      </c>
      <c r="I71">
        <f>IF(A71="","","N/A")</f>
        <v/>
      </c>
    </row>
    <row r="72">
      <c r="A72">
        <f>IF('Equipment Information'!A72="","", 'Equipment Information'!A72)</f>
        <v/>
      </c>
      <c r="B72">
        <f>IF('Equipment Information'!B72="","", 'Equipment Information'!B72)</f>
        <v/>
      </c>
      <c r="C72">
        <f>IF('Equipment Information'!C72="","", 'Equipment Information'!C72)</f>
        <v/>
      </c>
      <c r="I72">
        <f>IF(A72="","","N/A")</f>
        <v/>
      </c>
    </row>
    <row r="73">
      <c r="A73">
        <f>IF('Equipment Information'!A73="","", 'Equipment Information'!A73)</f>
        <v/>
      </c>
      <c r="B73">
        <f>IF('Equipment Information'!B73="","", 'Equipment Information'!B73)</f>
        <v/>
      </c>
      <c r="C73">
        <f>IF('Equipment Information'!C73="","", 'Equipment Information'!C73)</f>
        <v/>
      </c>
      <c r="I73">
        <f>IF(A73="","","N/A")</f>
        <v/>
      </c>
    </row>
    <row r="74">
      <c r="A74">
        <f>IF('Equipment Information'!A74="","", 'Equipment Information'!A74)</f>
        <v/>
      </c>
      <c r="B74">
        <f>IF('Equipment Information'!B74="","", 'Equipment Information'!B74)</f>
        <v/>
      </c>
      <c r="C74">
        <f>IF('Equipment Information'!C74="","", 'Equipment Information'!C74)</f>
        <v/>
      </c>
      <c r="I74">
        <f>IF(A74="","","N/A")</f>
        <v/>
      </c>
    </row>
    <row r="75">
      <c r="A75">
        <f>IF('Equipment Information'!A75="","", 'Equipment Information'!A75)</f>
        <v/>
      </c>
      <c r="B75">
        <f>IF('Equipment Information'!B75="","", 'Equipment Information'!B75)</f>
        <v/>
      </c>
      <c r="C75">
        <f>IF('Equipment Information'!C75="","", 'Equipment Information'!C75)</f>
        <v/>
      </c>
      <c r="I75">
        <f>IF(A75="","","N/A")</f>
        <v/>
      </c>
    </row>
    <row r="76">
      <c r="A76">
        <f>IF('Equipment Information'!A76="","", 'Equipment Information'!A76)</f>
        <v/>
      </c>
      <c r="B76">
        <f>IF('Equipment Information'!B76="","", 'Equipment Information'!B76)</f>
        <v/>
      </c>
      <c r="C76">
        <f>IF('Equipment Information'!C76="","", 'Equipment Information'!C76)</f>
        <v/>
      </c>
      <c r="I76">
        <f>IF(A76="","","N/A")</f>
        <v/>
      </c>
    </row>
    <row r="77">
      <c r="A77">
        <f>IF('Equipment Information'!A77="","", 'Equipment Information'!A77)</f>
        <v/>
      </c>
      <c r="B77">
        <f>IF('Equipment Information'!B77="","", 'Equipment Information'!B77)</f>
        <v/>
      </c>
      <c r="C77">
        <f>IF('Equipment Information'!C77="","", 'Equipment Information'!C77)</f>
        <v/>
      </c>
      <c r="I77">
        <f>IF(A77="","","N/A")</f>
        <v/>
      </c>
    </row>
    <row r="78">
      <c r="A78">
        <f>IF('Equipment Information'!A78="","", 'Equipment Information'!A78)</f>
        <v/>
      </c>
      <c r="B78">
        <f>IF('Equipment Information'!B78="","", 'Equipment Information'!B78)</f>
        <v/>
      </c>
      <c r="C78">
        <f>IF('Equipment Information'!C78="","", 'Equipment Information'!C78)</f>
        <v/>
      </c>
      <c r="I78">
        <f>IF(A78="","","N/A")</f>
        <v/>
      </c>
    </row>
    <row r="79">
      <c r="A79">
        <f>IF('Equipment Information'!A79="","", 'Equipment Information'!A79)</f>
        <v/>
      </c>
      <c r="B79">
        <f>IF('Equipment Information'!B79="","", 'Equipment Information'!B79)</f>
        <v/>
      </c>
      <c r="C79">
        <f>IF('Equipment Information'!C79="","", 'Equipment Information'!C79)</f>
        <v/>
      </c>
      <c r="I79">
        <f>IF(A79="","","N/A")</f>
        <v/>
      </c>
    </row>
    <row r="80">
      <c r="A80">
        <f>IF('Equipment Information'!A80="","", 'Equipment Information'!A80)</f>
        <v/>
      </c>
      <c r="B80">
        <f>IF('Equipment Information'!B80="","", 'Equipment Information'!B80)</f>
        <v/>
      </c>
      <c r="C80">
        <f>IF('Equipment Information'!C80="","", 'Equipment Information'!C80)</f>
        <v/>
      </c>
      <c r="I80">
        <f>IF(A80="","","N/A")</f>
        <v/>
      </c>
    </row>
    <row r="81">
      <c r="A81">
        <f>IF('Equipment Information'!A81="","", 'Equipment Information'!A81)</f>
        <v/>
      </c>
      <c r="B81">
        <f>IF('Equipment Information'!B81="","", 'Equipment Information'!B81)</f>
        <v/>
      </c>
      <c r="C81">
        <f>IF('Equipment Information'!C81="","", 'Equipment Information'!C81)</f>
        <v/>
      </c>
      <c r="I81">
        <f>IF(A81="","","N/A")</f>
        <v/>
      </c>
    </row>
    <row r="82">
      <c r="A82">
        <f>IF('Equipment Information'!A82="","", 'Equipment Information'!A82)</f>
        <v/>
      </c>
      <c r="B82">
        <f>IF('Equipment Information'!B82="","", 'Equipment Information'!B82)</f>
        <v/>
      </c>
      <c r="C82">
        <f>IF('Equipment Information'!C82="","", 'Equipment Information'!C82)</f>
        <v/>
      </c>
      <c r="I82">
        <f>IF(A82="","","N/A")</f>
        <v/>
      </c>
    </row>
    <row r="83">
      <c r="A83">
        <f>IF('Equipment Information'!A83="","", 'Equipment Information'!A83)</f>
        <v/>
      </c>
      <c r="B83">
        <f>IF('Equipment Information'!B83="","", 'Equipment Information'!B83)</f>
        <v/>
      </c>
      <c r="C83">
        <f>IF('Equipment Information'!C83="","", 'Equipment Information'!C83)</f>
        <v/>
      </c>
      <c r="I83">
        <f>IF(A83="","","N/A")</f>
        <v/>
      </c>
    </row>
    <row r="84">
      <c r="A84">
        <f>IF('Equipment Information'!A84="","", 'Equipment Information'!A84)</f>
        <v/>
      </c>
      <c r="B84">
        <f>IF('Equipment Information'!B84="","", 'Equipment Information'!B84)</f>
        <v/>
      </c>
      <c r="C84">
        <f>IF('Equipment Information'!C84="","", 'Equipment Information'!C84)</f>
        <v/>
      </c>
      <c r="I84">
        <f>IF(A84="","","N/A")</f>
        <v/>
      </c>
    </row>
    <row r="85">
      <c r="A85">
        <f>IF('Equipment Information'!A85="","", 'Equipment Information'!A85)</f>
        <v/>
      </c>
      <c r="B85">
        <f>IF('Equipment Information'!B85="","", 'Equipment Information'!B85)</f>
        <v/>
      </c>
      <c r="C85">
        <f>IF('Equipment Information'!C85="","", 'Equipment Information'!C85)</f>
        <v/>
      </c>
      <c r="I85">
        <f>IF(A85="","","N/A")</f>
        <v/>
      </c>
    </row>
    <row r="86">
      <c r="A86">
        <f>IF('Equipment Information'!A86="","", 'Equipment Information'!A86)</f>
        <v/>
      </c>
      <c r="B86">
        <f>IF('Equipment Information'!B86="","", 'Equipment Information'!B86)</f>
        <v/>
      </c>
      <c r="C86">
        <f>IF('Equipment Information'!C86="","", 'Equipment Information'!C86)</f>
        <v/>
      </c>
      <c r="I86">
        <f>IF(A86="","","N/A")</f>
        <v/>
      </c>
    </row>
    <row r="87">
      <c r="A87">
        <f>IF('Equipment Information'!A87="","", 'Equipment Information'!A87)</f>
        <v/>
      </c>
      <c r="B87">
        <f>IF('Equipment Information'!B87="","", 'Equipment Information'!B87)</f>
        <v/>
      </c>
      <c r="C87">
        <f>IF('Equipment Information'!C87="","", 'Equipment Information'!C87)</f>
        <v/>
      </c>
      <c r="I87">
        <f>IF(A87="","","N/A")</f>
        <v/>
      </c>
    </row>
    <row r="88">
      <c r="A88">
        <f>IF('Equipment Information'!A88="","", 'Equipment Information'!A88)</f>
        <v/>
      </c>
      <c r="B88">
        <f>IF('Equipment Information'!B88="","", 'Equipment Information'!B88)</f>
        <v/>
      </c>
      <c r="C88">
        <f>IF('Equipment Information'!C88="","", 'Equipment Information'!C88)</f>
        <v/>
      </c>
      <c r="I88">
        <f>IF(A88="","","N/A")</f>
        <v/>
      </c>
    </row>
    <row r="89">
      <c r="A89">
        <f>IF('Equipment Information'!A89="","", 'Equipment Information'!A89)</f>
        <v/>
      </c>
      <c r="B89">
        <f>IF('Equipment Information'!B89="","", 'Equipment Information'!B89)</f>
        <v/>
      </c>
      <c r="C89">
        <f>IF('Equipment Information'!C89="","", 'Equipment Information'!C89)</f>
        <v/>
      </c>
      <c r="I89">
        <f>IF(A89="","","N/A")</f>
        <v/>
      </c>
    </row>
    <row r="90">
      <c r="A90">
        <f>IF('Equipment Information'!A90="","", 'Equipment Information'!A90)</f>
        <v/>
      </c>
      <c r="B90">
        <f>IF('Equipment Information'!B90="","", 'Equipment Information'!B90)</f>
        <v/>
      </c>
      <c r="C90">
        <f>IF('Equipment Information'!C90="","", 'Equipment Information'!C90)</f>
        <v/>
      </c>
      <c r="I90">
        <f>IF(A90="","","N/A")</f>
        <v/>
      </c>
    </row>
    <row r="91">
      <c r="A91">
        <f>IF('Equipment Information'!A91="","", 'Equipment Information'!A91)</f>
        <v/>
      </c>
      <c r="B91">
        <f>IF('Equipment Information'!B91="","", 'Equipment Information'!B91)</f>
        <v/>
      </c>
      <c r="C91">
        <f>IF('Equipment Information'!C91="","", 'Equipment Information'!C91)</f>
        <v/>
      </c>
      <c r="I91">
        <f>IF(A91="","","N/A")</f>
        <v/>
      </c>
    </row>
    <row r="92">
      <c r="A92">
        <f>IF('Equipment Information'!A92="","", 'Equipment Information'!A92)</f>
        <v/>
      </c>
      <c r="B92">
        <f>IF('Equipment Information'!B92="","", 'Equipment Information'!B92)</f>
        <v/>
      </c>
      <c r="C92">
        <f>IF('Equipment Information'!C92="","", 'Equipment Information'!C92)</f>
        <v/>
      </c>
      <c r="I92">
        <f>IF(A92="","","N/A")</f>
        <v/>
      </c>
    </row>
    <row r="93">
      <c r="A93">
        <f>IF('Equipment Information'!A93="","", 'Equipment Information'!A93)</f>
        <v/>
      </c>
      <c r="B93">
        <f>IF('Equipment Information'!B93="","", 'Equipment Information'!B93)</f>
        <v/>
      </c>
      <c r="C93">
        <f>IF('Equipment Information'!C93="","", 'Equipment Information'!C93)</f>
        <v/>
      </c>
      <c r="I93">
        <f>IF(A93="","","N/A")</f>
        <v/>
      </c>
    </row>
    <row r="94">
      <c r="A94">
        <f>IF('Equipment Information'!A94="","", 'Equipment Information'!A94)</f>
        <v/>
      </c>
      <c r="B94">
        <f>IF('Equipment Information'!B94="","", 'Equipment Information'!B94)</f>
        <v/>
      </c>
      <c r="C94">
        <f>IF('Equipment Information'!C94="","", 'Equipment Information'!C94)</f>
        <v/>
      </c>
      <c r="I94">
        <f>IF(A94="","","N/A")</f>
        <v/>
      </c>
    </row>
    <row r="95">
      <c r="A95">
        <f>IF('Equipment Information'!A95="","", 'Equipment Information'!A95)</f>
        <v/>
      </c>
      <c r="B95">
        <f>IF('Equipment Information'!B95="","", 'Equipment Information'!B95)</f>
        <v/>
      </c>
      <c r="C95">
        <f>IF('Equipment Information'!C95="","", 'Equipment Information'!C95)</f>
        <v/>
      </c>
      <c r="I95">
        <f>IF(A95="","","N/A")</f>
        <v/>
      </c>
    </row>
    <row r="96">
      <c r="A96">
        <f>IF('Equipment Information'!A96="","", 'Equipment Information'!A96)</f>
        <v/>
      </c>
      <c r="B96">
        <f>IF('Equipment Information'!B96="","", 'Equipment Information'!B96)</f>
        <v/>
      </c>
      <c r="C96">
        <f>IF('Equipment Information'!C96="","", 'Equipment Information'!C96)</f>
        <v/>
      </c>
      <c r="I96">
        <f>IF(A96="","","N/A")</f>
        <v/>
      </c>
    </row>
    <row r="97">
      <c r="A97">
        <f>IF('Equipment Information'!A97="","", 'Equipment Information'!A97)</f>
        <v/>
      </c>
      <c r="B97">
        <f>IF('Equipment Information'!B97="","", 'Equipment Information'!B97)</f>
        <v/>
      </c>
      <c r="C97">
        <f>IF('Equipment Information'!C97="","", 'Equipment Information'!C97)</f>
        <v/>
      </c>
      <c r="I97">
        <f>IF(A97="","","N/A")</f>
        <v/>
      </c>
    </row>
    <row r="98">
      <c r="A98">
        <f>IF('Equipment Information'!A98="","", 'Equipment Information'!A98)</f>
        <v/>
      </c>
      <c r="B98">
        <f>IF('Equipment Information'!B98="","", 'Equipment Information'!B98)</f>
        <v/>
      </c>
      <c r="C98">
        <f>IF('Equipment Information'!C98="","", 'Equipment Information'!C98)</f>
        <v/>
      </c>
      <c r="I98">
        <f>IF(A98="","","N/A")</f>
        <v/>
      </c>
    </row>
    <row r="99">
      <c r="A99">
        <f>IF('Equipment Information'!A99="","", 'Equipment Information'!A99)</f>
        <v/>
      </c>
      <c r="B99">
        <f>IF('Equipment Information'!B99="","", 'Equipment Information'!B99)</f>
        <v/>
      </c>
      <c r="C99">
        <f>IF('Equipment Information'!C99="","", 'Equipment Information'!C99)</f>
        <v/>
      </c>
      <c r="I99">
        <f>IF(A99="","","N/A")</f>
        <v/>
      </c>
    </row>
    <row r="100">
      <c r="A100">
        <f>IF('Equipment Information'!A100="","", 'Equipment Information'!A100)</f>
        <v/>
      </c>
      <c r="B100">
        <f>IF('Equipment Information'!B100="","", 'Equipment Information'!B100)</f>
        <v/>
      </c>
      <c r="C100">
        <f>IF('Equipment Information'!C100="","", 'Equipment Information'!C100)</f>
        <v/>
      </c>
      <c r="I100">
        <f>IF(A100="","","N/A")</f>
        <v/>
      </c>
    </row>
    <row r="101">
      <c r="A101">
        <f>IF('Equipment Information'!A101="","", 'Equipment Information'!A101)</f>
        <v/>
      </c>
      <c r="B101">
        <f>IF('Equipment Information'!B101="","", 'Equipment Information'!B101)</f>
        <v/>
      </c>
      <c r="C101">
        <f>IF('Equipment Information'!C101="","", 'Equipment Information'!C101)</f>
        <v/>
      </c>
      <c r="I101">
        <f>IF(A101="","","N/A")</f>
        <v/>
      </c>
    </row>
    <row r="102">
      <c r="A102">
        <f>IF('Equipment Information'!A102="","", 'Equipment Information'!A102)</f>
        <v/>
      </c>
      <c r="B102">
        <f>IF('Equipment Information'!B102="","", 'Equipment Information'!B102)</f>
        <v/>
      </c>
      <c r="C102">
        <f>IF('Equipment Information'!C102="","", 'Equipment Information'!C102)</f>
        <v/>
      </c>
      <c r="I102">
        <f>IF(A102="","","N/A")</f>
        <v/>
      </c>
    </row>
    <row r="103">
      <c r="A103">
        <f>IF('Equipment Information'!A103="","", 'Equipment Information'!A103)</f>
        <v/>
      </c>
      <c r="B103">
        <f>IF('Equipment Information'!B103="","", 'Equipment Information'!B103)</f>
        <v/>
      </c>
      <c r="C103">
        <f>IF('Equipment Information'!C103="","", 'Equipment Information'!C103)</f>
        <v/>
      </c>
      <c r="I103">
        <f>IF(A103="","","N/A")</f>
        <v/>
      </c>
    </row>
    <row r="104">
      <c r="A104">
        <f>IF('Equipment Information'!A104="","", 'Equipment Information'!A104)</f>
        <v/>
      </c>
      <c r="B104">
        <f>IF('Equipment Information'!B104="","", 'Equipment Information'!B104)</f>
        <v/>
      </c>
      <c r="C104">
        <f>IF('Equipment Information'!C104="","", 'Equipment Information'!C104)</f>
        <v/>
      </c>
      <c r="I104">
        <f>IF(A104="","","N/A")</f>
        <v/>
      </c>
    </row>
    <row r="105">
      <c r="A105">
        <f>IF('Equipment Information'!A105="","", 'Equipment Information'!A105)</f>
        <v/>
      </c>
      <c r="B105">
        <f>IF('Equipment Information'!B105="","", 'Equipment Information'!B105)</f>
        <v/>
      </c>
      <c r="C105">
        <f>IF('Equipment Information'!C105="","", 'Equipment Information'!C105)</f>
        <v/>
      </c>
      <c r="I105">
        <f>IF(A105="","","N/A")</f>
        <v/>
      </c>
    </row>
    <row r="106">
      <c r="A106">
        <f>IF('Equipment Information'!A106="","", 'Equipment Information'!A106)</f>
        <v/>
      </c>
      <c r="B106">
        <f>IF('Equipment Information'!B106="","", 'Equipment Information'!B106)</f>
        <v/>
      </c>
      <c r="C106">
        <f>IF('Equipment Information'!C106="","", 'Equipment Information'!C106)</f>
        <v/>
      </c>
      <c r="I106">
        <f>IF(A106="","","N/A")</f>
        <v/>
      </c>
    </row>
    <row r="107">
      <c r="A107">
        <f>IF('Equipment Information'!A107="","", 'Equipment Information'!A107)</f>
        <v/>
      </c>
      <c r="B107">
        <f>IF('Equipment Information'!B107="","", 'Equipment Information'!B107)</f>
        <v/>
      </c>
      <c r="C107">
        <f>IF('Equipment Information'!C107="","", 'Equipment Information'!C107)</f>
        <v/>
      </c>
      <c r="I107">
        <f>IF(A107="","","N/A")</f>
        <v/>
      </c>
    </row>
    <row r="108">
      <c r="A108">
        <f>IF('Equipment Information'!A108="","", 'Equipment Information'!A108)</f>
        <v/>
      </c>
      <c r="B108">
        <f>IF('Equipment Information'!B108="","", 'Equipment Information'!B108)</f>
        <v/>
      </c>
      <c r="C108">
        <f>IF('Equipment Information'!C108="","", 'Equipment Information'!C108)</f>
        <v/>
      </c>
      <c r="I108">
        <f>IF(A108="","","N/A")</f>
        <v/>
      </c>
    </row>
    <row r="109">
      <c r="A109">
        <f>IF('Equipment Information'!A109="","", 'Equipment Information'!A109)</f>
        <v/>
      </c>
      <c r="B109">
        <f>IF('Equipment Information'!B109="","", 'Equipment Information'!B109)</f>
        <v/>
      </c>
      <c r="C109">
        <f>IF('Equipment Information'!C109="","", 'Equipment Information'!C109)</f>
        <v/>
      </c>
      <c r="I109">
        <f>IF(A109="","","N/A")</f>
        <v/>
      </c>
    </row>
    <row r="110">
      <c r="A110">
        <f>IF('Equipment Information'!A110="","", 'Equipment Information'!A110)</f>
        <v/>
      </c>
      <c r="B110">
        <f>IF('Equipment Information'!B110="","", 'Equipment Information'!B110)</f>
        <v/>
      </c>
      <c r="C110">
        <f>IF('Equipment Information'!C110="","", 'Equipment Information'!C110)</f>
        <v/>
      </c>
      <c r="I110">
        <f>IF(A110="","","N/A")</f>
        <v/>
      </c>
    </row>
    <row r="111">
      <c r="A111">
        <f>IF('Equipment Information'!A111="","", 'Equipment Information'!A111)</f>
        <v/>
      </c>
      <c r="B111">
        <f>IF('Equipment Information'!B111="","", 'Equipment Information'!B111)</f>
        <v/>
      </c>
      <c r="C111">
        <f>IF('Equipment Information'!C111="","", 'Equipment Information'!C111)</f>
        <v/>
      </c>
      <c r="I111">
        <f>IF(A111="","","N/A")</f>
        <v/>
      </c>
    </row>
    <row r="112">
      <c r="A112">
        <f>IF('Equipment Information'!A112="","", 'Equipment Information'!A112)</f>
        <v/>
      </c>
      <c r="B112">
        <f>IF('Equipment Information'!B112="","", 'Equipment Information'!B112)</f>
        <v/>
      </c>
      <c r="C112">
        <f>IF('Equipment Information'!C112="","", 'Equipment Information'!C112)</f>
        <v/>
      </c>
      <c r="I112">
        <f>IF(A112="","","N/A")</f>
        <v/>
      </c>
    </row>
    <row r="113">
      <c r="A113">
        <f>IF('Equipment Information'!A113="","", 'Equipment Information'!A113)</f>
        <v/>
      </c>
      <c r="B113">
        <f>IF('Equipment Information'!B113="","", 'Equipment Information'!B113)</f>
        <v/>
      </c>
      <c r="C113">
        <f>IF('Equipment Information'!C113="","", 'Equipment Information'!C113)</f>
        <v/>
      </c>
      <c r="I113">
        <f>IF(A113="","","N/A")</f>
        <v/>
      </c>
    </row>
    <row r="114">
      <c r="A114">
        <f>IF('Equipment Information'!A114="","", 'Equipment Information'!A114)</f>
        <v/>
      </c>
      <c r="B114">
        <f>IF('Equipment Information'!B114="","", 'Equipment Information'!B114)</f>
        <v/>
      </c>
      <c r="C114">
        <f>IF('Equipment Information'!C114="","", 'Equipment Information'!C114)</f>
        <v/>
      </c>
      <c r="I114">
        <f>IF(A114="","","N/A")</f>
        <v/>
      </c>
    </row>
    <row r="115">
      <c r="A115">
        <f>IF('Equipment Information'!A115="","", 'Equipment Information'!A115)</f>
        <v/>
      </c>
      <c r="B115">
        <f>IF('Equipment Information'!B115="","", 'Equipment Information'!B115)</f>
        <v/>
      </c>
      <c r="C115">
        <f>IF('Equipment Information'!C115="","", 'Equipment Information'!C115)</f>
        <v/>
      </c>
      <c r="I115">
        <f>IF(A115="","","N/A")</f>
        <v/>
      </c>
    </row>
    <row r="116">
      <c r="A116">
        <f>IF('Equipment Information'!A116="","", 'Equipment Information'!A116)</f>
        <v/>
      </c>
      <c r="B116">
        <f>IF('Equipment Information'!B116="","", 'Equipment Information'!B116)</f>
        <v/>
      </c>
      <c r="C116">
        <f>IF('Equipment Information'!C116="","", 'Equipment Information'!C116)</f>
        <v/>
      </c>
      <c r="I116">
        <f>IF(A116="","","N/A")</f>
        <v/>
      </c>
    </row>
    <row r="117">
      <c r="A117">
        <f>IF('Equipment Information'!A117="","", 'Equipment Information'!A117)</f>
        <v/>
      </c>
      <c r="B117">
        <f>IF('Equipment Information'!B117="","", 'Equipment Information'!B117)</f>
        <v/>
      </c>
      <c r="C117">
        <f>IF('Equipment Information'!C117="","", 'Equipment Information'!C117)</f>
        <v/>
      </c>
      <c r="I117">
        <f>IF(A117="","","N/A")</f>
        <v/>
      </c>
    </row>
    <row r="118">
      <c r="A118">
        <f>IF('Equipment Information'!A118="","", 'Equipment Information'!A118)</f>
        <v/>
      </c>
      <c r="B118">
        <f>IF('Equipment Information'!B118="","", 'Equipment Information'!B118)</f>
        <v/>
      </c>
      <c r="C118">
        <f>IF('Equipment Information'!C118="","", 'Equipment Information'!C118)</f>
        <v/>
      </c>
      <c r="I118">
        <f>IF(A118="","","N/A")</f>
        <v/>
      </c>
    </row>
    <row r="119">
      <c r="A119">
        <f>IF('Equipment Information'!A119="","", 'Equipment Information'!A119)</f>
        <v/>
      </c>
      <c r="B119">
        <f>IF('Equipment Information'!B119="","", 'Equipment Information'!B119)</f>
        <v/>
      </c>
      <c r="C119">
        <f>IF('Equipment Information'!C119="","", 'Equipment Information'!C119)</f>
        <v/>
      </c>
      <c r="I119">
        <f>IF(A119="","","N/A")</f>
        <v/>
      </c>
    </row>
    <row r="120">
      <c r="A120">
        <f>IF('Equipment Information'!A120="","", 'Equipment Information'!A120)</f>
        <v/>
      </c>
      <c r="B120">
        <f>IF('Equipment Information'!B120="","", 'Equipment Information'!B120)</f>
        <v/>
      </c>
      <c r="C120">
        <f>IF('Equipment Information'!C120="","", 'Equipment Information'!C120)</f>
        <v/>
      </c>
      <c r="I120">
        <f>IF(A120="","","N/A")</f>
        <v/>
      </c>
    </row>
    <row r="121">
      <c r="A121">
        <f>IF('Equipment Information'!A121="","", 'Equipment Information'!A121)</f>
        <v/>
      </c>
      <c r="B121">
        <f>IF('Equipment Information'!B121="","", 'Equipment Information'!B121)</f>
        <v/>
      </c>
      <c r="C121">
        <f>IF('Equipment Information'!C121="","", 'Equipment Information'!C121)</f>
        <v/>
      </c>
      <c r="I121">
        <f>IF(A121="","","N/A")</f>
        <v/>
      </c>
    </row>
    <row r="122">
      <c r="A122">
        <f>IF('Equipment Information'!A122="","", 'Equipment Information'!A122)</f>
        <v/>
      </c>
      <c r="B122">
        <f>IF('Equipment Information'!B122="","", 'Equipment Information'!B122)</f>
        <v/>
      </c>
      <c r="C122">
        <f>IF('Equipment Information'!C122="","", 'Equipment Information'!C122)</f>
        <v/>
      </c>
      <c r="I122">
        <f>IF(A122="","","N/A")</f>
        <v/>
      </c>
    </row>
    <row r="123">
      <c r="A123">
        <f>IF('Equipment Information'!A123="","", 'Equipment Information'!A123)</f>
        <v/>
      </c>
      <c r="B123">
        <f>IF('Equipment Information'!B123="","", 'Equipment Information'!B123)</f>
        <v/>
      </c>
      <c r="C123">
        <f>IF('Equipment Information'!C123="","", 'Equipment Information'!C123)</f>
        <v/>
      </c>
      <c r="I123">
        <f>IF(A123="","","N/A")</f>
        <v/>
      </c>
    </row>
    <row r="124">
      <c r="A124">
        <f>IF('Equipment Information'!A124="","", 'Equipment Information'!A124)</f>
        <v/>
      </c>
      <c r="B124">
        <f>IF('Equipment Information'!B124="","", 'Equipment Information'!B124)</f>
        <v/>
      </c>
      <c r="C124">
        <f>IF('Equipment Information'!C124="","", 'Equipment Information'!C124)</f>
        <v/>
      </c>
      <c r="I124">
        <f>IF(A124="","","N/A")</f>
        <v/>
      </c>
    </row>
    <row r="125">
      <c r="A125">
        <f>IF('Equipment Information'!A125="","", 'Equipment Information'!A125)</f>
        <v/>
      </c>
      <c r="B125">
        <f>IF('Equipment Information'!B125="","", 'Equipment Information'!B125)</f>
        <v/>
      </c>
      <c r="C125">
        <f>IF('Equipment Information'!C125="","", 'Equipment Information'!C125)</f>
        <v/>
      </c>
      <c r="I125">
        <f>IF(A125="","","N/A")</f>
        <v/>
      </c>
    </row>
    <row r="126">
      <c r="A126">
        <f>IF('Equipment Information'!A126="","", 'Equipment Information'!A126)</f>
        <v/>
      </c>
      <c r="B126">
        <f>IF('Equipment Information'!B126="","", 'Equipment Information'!B126)</f>
        <v/>
      </c>
      <c r="C126">
        <f>IF('Equipment Information'!C126="","", 'Equipment Information'!C126)</f>
        <v/>
      </c>
      <c r="I126">
        <f>IF(A126="","","N/A")</f>
        <v/>
      </c>
    </row>
    <row r="127">
      <c r="A127">
        <f>IF('Equipment Information'!A127="","", 'Equipment Information'!A127)</f>
        <v/>
      </c>
      <c r="B127">
        <f>IF('Equipment Information'!B127="","", 'Equipment Information'!B127)</f>
        <v/>
      </c>
      <c r="C127">
        <f>IF('Equipment Information'!C127="","", 'Equipment Information'!C127)</f>
        <v/>
      </c>
      <c r="I127">
        <f>IF(A127="","","N/A")</f>
        <v/>
      </c>
    </row>
    <row r="128">
      <c r="A128">
        <f>IF('Equipment Information'!A128="","", 'Equipment Information'!A128)</f>
        <v/>
      </c>
      <c r="B128">
        <f>IF('Equipment Information'!B128="","", 'Equipment Information'!B128)</f>
        <v/>
      </c>
      <c r="C128">
        <f>IF('Equipment Information'!C128="","", 'Equipment Information'!C128)</f>
        <v/>
      </c>
      <c r="I128">
        <f>IF(A128="","","N/A")</f>
        <v/>
      </c>
    </row>
    <row r="129">
      <c r="A129">
        <f>IF('Equipment Information'!A129="","", 'Equipment Information'!A129)</f>
        <v/>
      </c>
      <c r="B129">
        <f>IF('Equipment Information'!B129="","", 'Equipment Information'!B129)</f>
        <v/>
      </c>
      <c r="C129">
        <f>IF('Equipment Information'!C129="","", 'Equipment Information'!C129)</f>
        <v/>
      </c>
      <c r="I129">
        <f>IF(A129="","","N/A")</f>
        <v/>
      </c>
    </row>
    <row r="130">
      <c r="A130">
        <f>IF('Equipment Information'!A130="","", 'Equipment Information'!A130)</f>
        <v/>
      </c>
      <c r="B130">
        <f>IF('Equipment Information'!B130="","", 'Equipment Information'!B130)</f>
        <v/>
      </c>
      <c r="C130">
        <f>IF('Equipment Information'!C130="","", 'Equipment Information'!C130)</f>
        <v/>
      </c>
      <c r="I130">
        <f>IF(A130="","","N/A")</f>
        <v/>
      </c>
    </row>
    <row r="131">
      <c r="A131">
        <f>IF('Equipment Information'!A131="","", 'Equipment Information'!A131)</f>
        <v/>
      </c>
      <c r="B131">
        <f>IF('Equipment Information'!B131="","", 'Equipment Information'!B131)</f>
        <v/>
      </c>
      <c r="C131">
        <f>IF('Equipment Information'!C131="","", 'Equipment Information'!C131)</f>
        <v/>
      </c>
      <c r="I131">
        <f>IF(A131="","","N/A")</f>
        <v/>
      </c>
    </row>
    <row r="132">
      <c r="A132">
        <f>IF('Equipment Information'!A132="","", 'Equipment Information'!A132)</f>
        <v/>
      </c>
      <c r="B132">
        <f>IF('Equipment Information'!B132="","", 'Equipment Information'!B132)</f>
        <v/>
      </c>
      <c r="C132">
        <f>IF('Equipment Information'!C132="","", 'Equipment Information'!C132)</f>
        <v/>
      </c>
      <c r="I132">
        <f>IF(A132="","","N/A")</f>
        <v/>
      </c>
    </row>
    <row r="133">
      <c r="A133">
        <f>IF('Equipment Information'!A133="","", 'Equipment Information'!A133)</f>
        <v/>
      </c>
      <c r="B133">
        <f>IF('Equipment Information'!B133="","", 'Equipment Information'!B133)</f>
        <v/>
      </c>
      <c r="C133">
        <f>IF('Equipment Information'!C133="","", 'Equipment Information'!C133)</f>
        <v/>
      </c>
      <c r="I133">
        <f>IF(A133="","","N/A")</f>
        <v/>
      </c>
    </row>
    <row r="134">
      <c r="A134">
        <f>IF('Equipment Information'!A134="","", 'Equipment Information'!A134)</f>
        <v/>
      </c>
      <c r="B134">
        <f>IF('Equipment Information'!B134="","", 'Equipment Information'!B134)</f>
        <v/>
      </c>
      <c r="C134">
        <f>IF('Equipment Information'!C134="","", 'Equipment Information'!C134)</f>
        <v/>
      </c>
      <c r="I134">
        <f>IF(A134="","","N/A")</f>
        <v/>
      </c>
    </row>
    <row r="135">
      <c r="A135">
        <f>IF('Equipment Information'!A135="","", 'Equipment Information'!A135)</f>
        <v/>
      </c>
      <c r="B135">
        <f>IF('Equipment Information'!B135="","", 'Equipment Information'!B135)</f>
        <v/>
      </c>
      <c r="C135">
        <f>IF('Equipment Information'!C135="","", 'Equipment Information'!C135)</f>
        <v/>
      </c>
      <c r="I135">
        <f>IF(A135="","","N/A")</f>
        <v/>
      </c>
    </row>
    <row r="136">
      <c r="A136">
        <f>IF('Equipment Information'!A136="","", 'Equipment Information'!A136)</f>
        <v/>
      </c>
      <c r="B136">
        <f>IF('Equipment Information'!B136="","", 'Equipment Information'!B136)</f>
        <v/>
      </c>
      <c r="C136">
        <f>IF('Equipment Information'!C136="","", 'Equipment Information'!C136)</f>
        <v/>
      </c>
      <c r="I136">
        <f>IF(A136="","","N/A")</f>
        <v/>
      </c>
    </row>
    <row r="137">
      <c r="A137">
        <f>IF('Equipment Information'!A137="","", 'Equipment Information'!A137)</f>
        <v/>
      </c>
      <c r="B137">
        <f>IF('Equipment Information'!B137="","", 'Equipment Information'!B137)</f>
        <v/>
      </c>
      <c r="C137">
        <f>IF('Equipment Information'!C137="","", 'Equipment Information'!C137)</f>
        <v/>
      </c>
      <c r="I137">
        <f>IF(A137="","","N/A")</f>
        <v/>
      </c>
    </row>
    <row r="138">
      <c r="A138">
        <f>IF('Equipment Information'!A138="","", 'Equipment Information'!A138)</f>
        <v/>
      </c>
      <c r="B138">
        <f>IF('Equipment Information'!B138="","", 'Equipment Information'!B138)</f>
        <v/>
      </c>
      <c r="C138">
        <f>IF('Equipment Information'!C138="","", 'Equipment Information'!C138)</f>
        <v/>
      </c>
      <c r="I138">
        <f>IF(A138="","","N/A")</f>
        <v/>
      </c>
    </row>
    <row r="139">
      <c r="A139">
        <f>IF('Equipment Information'!A139="","", 'Equipment Information'!A139)</f>
        <v/>
      </c>
      <c r="B139">
        <f>IF('Equipment Information'!B139="","", 'Equipment Information'!B139)</f>
        <v/>
      </c>
      <c r="C139">
        <f>IF('Equipment Information'!C139="","", 'Equipment Information'!C139)</f>
        <v/>
      </c>
      <c r="I139">
        <f>IF(A139="","","N/A")</f>
        <v/>
      </c>
    </row>
    <row r="140">
      <c r="A140">
        <f>IF('Equipment Information'!A140="","", 'Equipment Information'!A140)</f>
        <v/>
      </c>
      <c r="B140">
        <f>IF('Equipment Information'!B140="","", 'Equipment Information'!B140)</f>
        <v/>
      </c>
      <c r="C140">
        <f>IF('Equipment Information'!C140="","", 'Equipment Information'!C140)</f>
        <v/>
      </c>
      <c r="I140">
        <f>IF(A140="","","N/A")</f>
        <v/>
      </c>
    </row>
    <row r="141">
      <c r="A141">
        <f>IF('Equipment Information'!A141="","", 'Equipment Information'!A141)</f>
        <v/>
      </c>
      <c r="B141">
        <f>IF('Equipment Information'!B141="","", 'Equipment Information'!B141)</f>
        <v/>
      </c>
      <c r="C141">
        <f>IF('Equipment Information'!C141="","", 'Equipment Information'!C141)</f>
        <v/>
      </c>
      <c r="I141">
        <f>IF(A141="","","N/A")</f>
        <v/>
      </c>
    </row>
    <row r="142">
      <c r="A142">
        <f>IF('Equipment Information'!A142="","", 'Equipment Information'!A142)</f>
        <v/>
      </c>
      <c r="B142">
        <f>IF('Equipment Information'!B142="","", 'Equipment Information'!B142)</f>
        <v/>
      </c>
      <c r="C142">
        <f>IF('Equipment Information'!C142="","", 'Equipment Information'!C142)</f>
        <v/>
      </c>
      <c r="I142">
        <f>IF(A142="","","N/A")</f>
        <v/>
      </c>
    </row>
    <row r="143">
      <c r="A143">
        <f>IF('Equipment Information'!A143="","", 'Equipment Information'!A143)</f>
        <v/>
      </c>
      <c r="B143">
        <f>IF('Equipment Information'!B143="","", 'Equipment Information'!B143)</f>
        <v/>
      </c>
      <c r="C143">
        <f>IF('Equipment Information'!C143="","", 'Equipment Information'!C143)</f>
        <v/>
      </c>
      <c r="I143">
        <f>IF(A143="","","N/A")</f>
        <v/>
      </c>
    </row>
    <row r="144">
      <c r="A144">
        <f>IF('Equipment Information'!A144="","", 'Equipment Information'!A144)</f>
        <v/>
      </c>
      <c r="B144">
        <f>IF('Equipment Information'!B144="","", 'Equipment Information'!B144)</f>
        <v/>
      </c>
      <c r="C144">
        <f>IF('Equipment Information'!C144="","", 'Equipment Information'!C144)</f>
        <v/>
      </c>
      <c r="I144">
        <f>IF(A144="","","N/A")</f>
        <v/>
      </c>
    </row>
    <row r="145">
      <c r="A145">
        <f>IF('Equipment Information'!A145="","", 'Equipment Information'!A145)</f>
        <v/>
      </c>
      <c r="B145">
        <f>IF('Equipment Information'!B145="","", 'Equipment Information'!B145)</f>
        <v/>
      </c>
      <c r="C145">
        <f>IF('Equipment Information'!C145="","", 'Equipment Information'!C145)</f>
        <v/>
      </c>
      <c r="I145">
        <f>IF(A145="","","N/A")</f>
        <v/>
      </c>
    </row>
    <row r="146">
      <c r="A146">
        <f>IF('Equipment Information'!A146="","", 'Equipment Information'!A146)</f>
        <v/>
      </c>
      <c r="B146">
        <f>IF('Equipment Information'!B146="","", 'Equipment Information'!B146)</f>
        <v/>
      </c>
      <c r="C146">
        <f>IF('Equipment Information'!C146="","", 'Equipment Information'!C146)</f>
        <v/>
      </c>
      <c r="I146">
        <f>IF(A146="","","N/A")</f>
        <v/>
      </c>
    </row>
    <row r="147">
      <c r="A147">
        <f>IF('Equipment Information'!A147="","", 'Equipment Information'!A147)</f>
        <v/>
      </c>
      <c r="B147">
        <f>IF('Equipment Information'!B147="","", 'Equipment Information'!B147)</f>
        <v/>
      </c>
      <c r="C147">
        <f>IF('Equipment Information'!C147="","", 'Equipment Information'!C147)</f>
        <v/>
      </c>
      <c r="I147">
        <f>IF(A147="","","N/A")</f>
        <v/>
      </c>
    </row>
    <row r="148">
      <c r="A148">
        <f>IF('Equipment Information'!A148="","", 'Equipment Information'!A148)</f>
        <v/>
      </c>
      <c r="B148">
        <f>IF('Equipment Information'!B148="","", 'Equipment Information'!B148)</f>
        <v/>
      </c>
      <c r="C148">
        <f>IF('Equipment Information'!C148="","", 'Equipment Information'!C148)</f>
        <v/>
      </c>
      <c r="I148">
        <f>IF(A148="","","N/A")</f>
        <v/>
      </c>
    </row>
    <row r="149">
      <c r="A149">
        <f>IF('Equipment Information'!A149="","", 'Equipment Information'!A149)</f>
        <v/>
      </c>
      <c r="B149">
        <f>IF('Equipment Information'!B149="","", 'Equipment Information'!B149)</f>
        <v/>
      </c>
      <c r="C149">
        <f>IF('Equipment Information'!C149="","", 'Equipment Information'!C149)</f>
        <v/>
      </c>
      <c r="I149">
        <f>IF(A149="","","N/A")</f>
        <v/>
      </c>
    </row>
    <row r="150">
      <c r="A150">
        <f>IF('Equipment Information'!A150="","", 'Equipment Information'!A150)</f>
        <v/>
      </c>
      <c r="B150">
        <f>IF('Equipment Information'!B150="","", 'Equipment Information'!B150)</f>
        <v/>
      </c>
      <c r="C150">
        <f>IF('Equipment Information'!C150="","", 'Equipment Information'!C150)</f>
        <v/>
      </c>
      <c r="I150">
        <f>IF(A150="","","N/A")</f>
        <v/>
      </c>
    </row>
    <row r="151">
      <c r="A151">
        <f>IF('Equipment Information'!A151="","", 'Equipment Information'!A151)</f>
        <v/>
      </c>
      <c r="B151">
        <f>IF('Equipment Information'!B151="","", 'Equipment Information'!B151)</f>
        <v/>
      </c>
      <c r="C151">
        <f>IF('Equipment Information'!C151="","", 'Equipment Information'!C151)</f>
        <v/>
      </c>
      <c r="I151">
        <f>IF(A151="","","N/A")</f>
        <v/>
      </c>
    </row>
    <row r="152">
      <c r="A152">
        <f>IF('Equipment Information'!A152="","", 'Equipment Information'!A152)</f>
        <v/>
      </c>
      <c r="B152">
        <f>IF('Equipment Information'!B152="","", 'Equipment Information'!B152)</f>
        <v/>
      </c>
      <c r="C152">
        <f>IF('Equipment Information'!C152="","", 'Equipment Information'!C152)</f>
        <v/>
      </c>
      <c r="I152">
        <f>IF(A152="","","N/A")</f>
        <v/>
      </c>
    </row>
    <row r="153">
      <c r="A153">
        <f>IF('Equipment Information'!A153="","", 'Equipment Information'!A153)</f>
        <v/>
      </c>
      <c r="B153">
        <f>IF('Equipment Information'!B153="","", 'Equipment Information'!B153)</f>
        <v/>
      </c>
      <c r="C153">
        <f>IF('Equipment Information'!C153="","", 'Equipment Information'!C153)</f>
        <v/>
      </c>
      <c r="I153">
        <f>IF(A153="","","N/A")</f>
        <v/>
      </c>
    </row>
    <row r="154">
      <c r="A154">
        <f>IF('Equipment Information'!A154="","", 'Equipment Information'!A154)</f>
        <v/>
      </c>
      <c r="B154">
        <f>IF('Equipment Information'!B154="","", 'Equipment Information'!B154)</f>
        <v/>
      </c>
      <c r="C154">
        <f>IF('Equipment Information'!C154="","", 'Equipment Information'!C154)</f>
        <v/>
      </c>
      <c r="I154">
        <f>IF(A154="","","N/A")</f>
        <v/>
      </c>
    </row>
    <row r="155">
      <c r="A155">
        <f>IF('Equipment Information'!A155="","", 'Equipment Information'!A155)</f>
        <v/>
      </c>
      <c r="B155">
        <f>IF('Equipment Information'!B155="","", 'Equipment Information'!B155)</f>
        <v/>
      </c>
      <c r="C155">
        <f>IF('Equipment Information'!C155="","", 'Equipment Information'!C155)</f>
        <v/>
      </c>
      <c r="I155">
        <f>IF(A155="","","N/A")</f>
        <v/>
      </c>
    </row>
    <row r="156">
      <c r="A156">
        <f>IF('Equipment Information'!A156="","", 'Equipment Information'!A156)</f>
        <v/>
      </c>
      <c r="B156">
        <f>IF('Equipment Information'!B156="","", 'Equipment Information'!B156)</f>
        <v/>
      </c>
      <c r="C156">
        <f>IF('Equipment Information'!C156="","", 'Equipment Information'!C156)</f>
        <v/>
      </c>
      <c r="I156">
        <f>IF(A156="","","N/A")</f>
        <v/>
      </c>
    </row>
    <row r="157">
      <c r="A157">
        <f>IF('Equipment Information'!A157="","", 'Equipment Information'!A157)</f>
        <v/>
      </c>
      <c r="B157">
        <f>IF('Equipment Information'!B157="","", 'Equipment Information'!B157)</f>
        <v/>
      </c>
      <c r="C157">
        <f>IF('Equipment Information'!C157="","", 'Equipment Information'!C157)</f>
        <v/>
      </c>
      <c r="I157">
        <f>IF(A157="","","N/A")</f>
        <v/>
      </c>
    </row>
    <row r="158">
      <c r="A158">
        <f>IF('Equipment Information'!A158="","", 'Equipment Information'!A158)</f>
        <v/>
      </c>
      <c r="B158">
        <f>IF('Equipment Information'!B158="","", 'Equipment Information'!B158)</f>
        <v/>
      </c>
      <c r="C158">
        <f>IF('Equipment Information'!C158="","", 'Equipment Information'!C158)</f>
        <v/>
      </c>
      <c r="I158">
        <f>IF(A158="","","N/A")</f>
        <v/>
      </c>
    </row>
    <row r="159">
      <c r="A159">
        <f>IF('Equipment Information'!A159="","", 'Equipment Information'!A159)</f>
        <v/>
      </c>
      <c r="B159">
        <f>IF('Equipment Information'!B159="","", 'Equipment Information'!B159)</f>
        <v/>
      </c>
      <c r="C159">
        <f>IF('Equipment Information'!C159="","", 'Equipment Information'!C159)</f>
        <v/>
      </c>
      <c r="I159">
        <f>IF(A159="","","N/A")</f>
        <v/>
      </c>
    </row>
    <row r="160">
      <c r="A160">
        <f>IF('Equipment Information'!A160="","", 'Equipment Information'!A160)</f>
        <v/>
      </c>
      <c r="B160">
        <f>IF('Equipment Information'!B160="","", 'Equipment Information'!B160)</f>
        <v/>
      </c>
      <c r="C160">
        <f>IF('Equipment Information'!C160="","", 'Equipment Information'!C160)</f>
        <v/>
      </c>
      <c r="I160">
        <f>IF(A160="","","N/A")</f>
        <v/>
      </c>
    </row>
    <row r="161">
      <c r="A161">
        <f>IF('Equipment Information'!A161="","", 'Equipment Information'!A161)</f>
        <v/>
      </c>
      <c r="B161">
        <f>IF('Equipment Information'!B161="","", 'Equipment Information'!B161)</f>
        <v/>
      </c>
      <c r="C161">
        <f>IF('Equipment Information'!C161="","", 'Equipment Information'!C161)</f>
        <v/>
      </c>
      <c r="I161">
        <f>IF(A161="","","N/A")</f>
        <v/>
      </c>
    </row>
    <row r="162">
      <c r="A162">
        <f>IF('Equipment Information'!A162="","", 'Equipment Information'!A162)</f>
        <v/>
      </c>
      <c r="B162">
        <f>IF('Equipment Information'!B162="","", 'Equipment Information'!B162)</f>
        <v/>
      </c>
      <c r="C162">
        <f>IF('Equipment Information'!C162="","", 'Equipment Information'!C162)</f>
        <v/>
      </c>
      <c r="I162">
        <f>IF(A162="","","N/A")</f>
        <v/>
      </c>
    </row>
    <row r="163">
      <c r="A163">
        <f>IF('Equipment Information'!A163="","", 'Equipment Information'!A163)</f>
        <v/>
      </c>
      <c r="B163">
        <f>IF('Equipment Information'!B163="","", 'Equipment Information'!B163)</f>
        <v/>
      </c>
      <c r="C163">
        <f>IF('Equipment Information'!C163="","", 'Equipment Information'!C163)</f>
        <v/>
      </c>
      <c r="I163">
        <f>IF(A163="","","N/A")</f>
        <v/>
      </c>
    </row>
    <row r="164">
      <c r="A164">
        <f>IF('Equipment Information'!A164="","", 'Equipment Information'!A164)</f>
        <v/>
      </c>
      <c r="B164">
        <f>IF('Equipment Information'!B164="","", 'Equipment Information'!B164)</f>
        <v/>
      </c>
      <c r="C164">
        <f>IF('Equipment Information'!C164="","", 'Equipment Information'!C164)</f>
        <v/>
      </c>
      <c r="I164">
        <f>IF(A164="","","N/A")</f>
        <v/>
      </c>
    </row>
    <row r="165">
      <c r="A165">
        <f>IF('Equipment Information'!A165="","", 'Equipment Information'!A165)</f>
        <v/>
      </c>
      <c r="B165">
        <f>IF('Equipment Information'!B165="","", 'Equipment Information'!B165)</f>
        <v/>
      </c>
      <c r="C165">
        <f>IF('Equipment Information'!C165="","", 'Equipment Information'!C165)</f>
        <v/>
      </c>
      <c r="I165">
        <f>IF(A165="","","N/A")</f>
        <v/>
      </c>
    </row>
    <row r="166">
      <c r="A166">
        <f>IF('Equipment Information'!A166="","", 'Equipment Information'!A166)</f>
        <v/>
      </c>
      <c r="B166">
        <f>IF('Equipment Information'!B166="","", 'Equipment Information'!B166)</f>
        <v/>
      </c>
      <c r="C166">
        <f>IF('Equipment Information'!C166="","", 'Equipment Information'!C166)</f>
        <v/>
      </c>
      <c r="I166">
        <f>IF(A166="","","N/A")</f>
        <v/>
      </c>
    </row>
    <row r="167">
      <c r="A167">
        <f>IF('Equipment Information'!A167="","", 'Equipment Information'!A167)</f>
        <v/>
      </c>
      <c r="B167">
        <f>IF('Equipment Information'!B167="","", 'Equipment Information'!B167)</f>
        <v/>
      </c>
      <c r="C167">
        <f>IF('Equipment Information'!C167="","", 'Equipment Information'!C167)</f>
        <v/>
      </c>
      <c r="I167">
        <f>IF(A167="","","N/A")</f>
        <v/>
      </c>
    </row>
    <row r="168">
      <c r="A168">
        <f>IF('Equipment Information'!A168="","", 'Equipment Information'!A168)</f>
        <v/>
      </c>
      <c r="B168">
        <f>IF('Equipment Information'!B168="","", 'Equipment Information'!B168)</f>
        <v/>
      </c>
      <c r="C168">
        <f>IF('Equipment Information'!C168="","", 'Equipment Information'!C168)</f>
        <v/>
      </c>
      <c r="I168">
        <f>IF(A168="","","N/A")</f>
        <v/>
      </c>
    </row>
    <row r="169">
      <c r="A169">
        <f>IF('Equipment Information'!A169="","", 'Equipment Information'!A169)</f>
        <v/>
      </c>
      <c r="B169">
        <f>IF('Equipment Information'!B169="","", 'Equipment Information'!B169)</f>
        <v/>
      </c>
      <c r="C169">
        <f>IF('Equipment Information'!C169="","", 'Equipment Information'!C169)</f>
        <v/>
      </c>
      <c r="I169">
        <f>IF(A169="","","N/A")</f>
        <v/>
      </c>
    </row>
    <row r="170">
      <c r="A170">
        <f>IF('Equipment Information'!A170="","", 'Equipment Information'!A170)</f>
        <v/>
      </c>
      <c r="B170">
        <f>IF('Equipment Information'!B170="","", 'Equipment Information'!B170)</f>
        <v/>
      </c>
      <c r="C170">
        <f>IF('Equipment Information'!C170="","", 'Equipment Information'!C170)</f>
        <v/>
      </c>
      <c r="I170">
        <f>IF(A170="","","N/A")</f>
        <v/>
      </c>
    </row>
    <row r="171">
      <c r="A171">
        <f>IF('Equipment Information'!A171="","", 'Equipment Information'!A171)</f>
        <v/>
      </c>
      <c r="B171">
        <f>IF('Equipment Information'!B171="","", 'Equipment Information'!B171)</f>
        <v/>
      </c>
      <c r="C171">
        <f>IF('Equipment Information'!C171="","", 'Equipment Information'!C171)</f>
        <v/>
      </c>
      <c r="I171">
        <f>IF(A171="","","N/A")</f>
        <v/>
      </c>
    </row>
    <row r="172">
      <c r="A172">
        <f>IF('Equipment Information'!A172="","", 'Equipment Information'!A172)</f>
        <v/>
      </c>
      <c r="B172">
        <f>IF('Equipment Information'!B172="","", 'Equipment Information'!B172)</f>
        <v/>
      </c>
      <c r="C172">
        <f>IF('Equipment Information'!C172="","", 'Equipment Information'!C172)</f>
        <v/>
      </c>
      <c r="I172">
        <f>IF(A172="","","N/A")</f>
        <v/>
      </c>
    </row>
    <row r="173">
      <c r="A173">
        <f>IF('Equipment Information'!A173="","", 'Equipment Information'!A173)</f>
        <v/>
      </c>
      <c r="B173">
        <f>IF('Equipment Information'!B173="","", 'Equipment Information'!B173)</f>
        <v/>
      </c>
      <c r="C173">
        <f>IF('Equipment Information'!C173="","", 'Equipment Information'!C173)</f>
        <v/>
      </c>
      <c r="I173">
        <f>IF(A173="","","N/A")</f>
        <v/>
      </c>
    </row>
    <row r="174">
      <c r="A174">
        <f>IF('Equipment Information'!A174="","", 'Equipment Information'!A174)</f>
        <v/>
      </c>
      <c r="B174">
        <f>IF('Equipment Information'!B174="","", 'Equipment Information'!B174)</f>
        <v/>
      </c>
      <c r="C174">
        <f>IF('Equipment Information'!C174="","", 'Equipment Information'!C174)</f>
        <v/>
      </c>
      <c r="I174">
        <f>IF(A174="","","N/A")</f>
        <v/>
      </c>
    </row>
    <row r="175">
      <c r="A175">
        <f>IF('Equipment Information'!A175="","", 'Equipment Information'!A175)</f>
        <v/>
      </c>
      <c r="B175">
        <f>IF('Equipment Information'!B175="","", 'Equipment Information'!B175)</f>
        <v/>
      </c>
      <c r="C175">
        <f>IF('Equipment Information'!C175="","", 'Equipment Information'!C175)</f>
        <v/>
      </c>
      <c r="I175">
        <f>IF(A175="","","N/A")</f>
        <v/>
      </c>
    </row>
    <row r="176">
      <c r="A176">
        <f>IF('Equipment Information'!A176="","", 'Equipment Information'!A176)</f>
        <v/>
      </c>
      <c r="B176">
        <f>IF('Equipment Information'!B176="","", 'Equipment Information'!B176)</f>
        <v/>
      </c>
      <c r="C176">
        <f>IF('Equipment Information'!C176="","", 'Equipment Information'!C176)</f>
        <v/>
      </c>
      <c r="I176">
        <f>IF(A176="","","N/A")</f>
        <v/>
      </c>
    </row>
    <row r="177">
      <c r="A177">
        <f>IF('Equipment Information'!A177="","", 'Equipment Information'!A177)</f>
        <v/>
      </c>
      <c r="B177">
        <f>IF('Equipment Information'!B177="","", 'Equipment Information'!B177)</f>
        <v/>
      </c>
      <c r="C177">
        <f>IF('Equipment Information'!C177="","", 'Equipment Information'!C177)</f>
        <v/>
      </c>
      <c r="I177">
        <f>IF(A177="","","N/A")</f>
        <v/>
      </c>
    </row>
    <row r="178">
      <c r="A178">
        <f>IF('Equipment Information'!A178="","", 'Equipment Information'!A178)</f>
        <v/>
      </c>
      <c r="B178">
        <f>IF('Equipment Information'!B178="","", 'Equipment Information'!B178)</f>
        <v/>
      </c>
      <c r="C178">
        <f>IF('Equipment Information'!C178="","", 'Equipment Information'!C178)</f>
        <v/>
      </c>
      <c r="I178">
        <f>IF(A178="","","N/A")</f>
        <v/>
      </c>
    </row>
    <row r="179">
      <c r="A179">
        <f>IF('Equipment Information'!A179="","", 'Equipment Information'!A179)</f>
        <v/>
      </c>
      <c r="B179">
        <f>IF('Equipment Information'!B179="","", 'Equipment Information'!B179)</f>
        <v/>
      </c>
      <c r="C179">
        <f>IF('Equipment Information'!C179="","", 'Equipment Information'!C179)</f>
        <v/>
      </c>
      <c r="I179">
        <f>IF(A179="","","N/A")</f>
        <v/>
      </c>
    </row>
    <row r="180">
      <c r="A180">
        <f>IF('Equipment Information'!A180="","", 'Equipment Information'!A180)</f>
        <v/>
      </c>
      <c r="B180">
        <f>IF('Equipment Information'!B180="","", 'Equipment Information'!B180)</f>
        <v/>
      </c>
      <c r="C180">
        <f>IF('Equipment Information'!C180="","", 'Equipment Information'!C180)</f>
        <v/>
      </c>
      <c r="I180">
        <f>IF(A180="","","N/A")</f>
        <v/>
      </c>
    </row>
    <row r="181">
      <c r="A181">
        <f>IF('Equipment Information'!A181="","", 'Equipment Information'!A181)</f>
        <v/>
      </c>
      <c r="B181">
        <f>IF('Equipment Information'!B181="","", 'Equipment Information'!B181)</f>
        <v/>
      </c>
      <c r="C181">
        <f>IF('Equipment Information'!C181="","", 'Equipment Information'!C181)</f>
        <v/>
      </c>
      <c r="I181">
        <f>IF(A181="","","N/A")</f>
        <v/>
      </c>
    </row>
    <row r="182">
      <c r="A182">
        <f>IF('Equipment Information'!A182="","", 'Equipment Information'!A182)</f>
        <v/>
      </c>
      <c r="B182">
        <f>IF('Equipment Information'!B182="","", 'Equipment Information'!B182)</f>
        <v/>
      </c>
      <c r="C182">
        <f>IF('Equipment Information'!C182="","", 'Equipment Information'!C182)</f>
        <v/>
      </c>
      <c r="I182">
        <f>IF(A182="","","N/A")</f>
        <v/>
      </c>
    </row>
    <row r="183">
      <c r="A183">
        <f>IF('Equipment Information'!A183="","", 'Equipment Information'!A183)</f>
        <v/>
      </c>
      <c r="B183">
        <f>IF('Equipment Information'!B183="","", 'Equipment Information'!B183)</f>
        <v/>
      </c>
      <c r="C183">
        <f>IF('Equipment Information'!C183="","", 'Equipment Information'!C183)</f>
        <v/>
      </c>
      <c r="I183">
        <f>IF(A183="","","N/A")</f>
        <v/>
      </c>
    </row>
    <row r="184">
      <c r="A184">
        <f>IF('Equipment Information'!A184="","", 'Equipment Information'!A184)</f>
        <v/>
      </c>
      <c r="B184">
        <f>IF('Equipment Information'!B184="","", 'Equipment Information'!B184)</f>
        <v/>
      </c>
      <c r="C184">
        <f>IF('Equipment Information'!C184="","", 'Equipment Information'!C184)</f>
        <v/>
      </c>
      <c r="I184">
        <f>IF(A184="","","N/A")</f>
        <v/>
      </c>
    </row>
    <row r="185">
      <c r="A185">
        <f>IF('Equipment Information'!A185="","", 'Equipment Information'!A185)</f>
        <v/>
      </c>
      <c r="B185">
        <f>IF('Equipment Information'!B185="","", 'Equipment Information'!B185)</f>
        <v/>
      </c>
      <c r="C185">
        <f>IF('Equipment Information'!C185="","", 'Equipment Information'!C185)</f>
        <v/>
      </c>
      <c r="I185">
        <f>IF(A185="","","N/A")</f>
        <v/>
      </c>
    </row>
    <row r="186">
      <c r="A186">
        <f>IF('Equipment Information'!A186="","", 'Equipment Information'!A186)</f>
        <v/>
      </c>
      <c r="B186">
        <f>IF('Equipment Information'!B186="","", 'Equipment Information'!B186)</f>
        <v/>
      </c>
      <c r="C186">
        <f>IF('Equipment Information'!C186="","", 'Equipment Information'!C186)</f>
        <v/>
      </c>
      <c r="I186">
        <f>IF(A186="","","N/A")</f>
        <v/>
      </c>
    </row>
    <row r="187">
      <c r="A187">
        <f>IF('Equipment Information'!A187="","", 'Equipment Information'!A187)</f>
        <v/>
      </c>
      <c r="B187">
        <f>IF('Equipment Information'!B187="","", 'Equipment Information'!B187)</f>
        <v/>
      </c>
      <c r="C187">
        <f>IF('Equipment Information'!C187="","", 'Equipment Information'!C187)</f>
        <v/>
      </c>
      <c r="I187">
        <f>IF(A187="","","N/A")</f>
        <v/>
      </c>
    </row>
    <row r="188">
      <c r="A188">
        <f>IF('Equipment Information'!A188="","", 'Equipment Information'!A188)</f>
        <v/>
      </c>
      <c r="B188">
        <f>IF('Equipment Information'!B188="","", 'Equipment Information'!B188)</f>
        <v/>
      </c>
      <c r="C188">
        <f>IF('Equipment Information'!C188="","", 'Equipment Information'!C188)</f>
        <v/>
      </c>
      <c r="I188">
        <f>IF(A188="","","N/A")</f>
        <v/>
      </c>
    </row>
    <row r="189">
      <c r="A189">
        <f>IF('Equipment Information'!A189="","", 'Equipment Information'!A189)</f>
        <v/>
      </c>
      <c r="B189">
        <f>IF('Equipment Information'!B189="","", 'Equipment Information'!B189)</f>
        <v/>
      </c>
      <c r="C189">
        <f>IF('Equipment Information'!C189="","", 'Equipment Information'!C189)</f>
        <v/>
      </c>
      <c r="I189">
        <f>IF(A189="","","N/A")</f>
        <v/>
      </c>
    </row>
    <row r="190">
      <c r="A190">
        <f>IF('Equipment Information'!A190="","", 'Equipment Information'!A190)</f>
        <v/>
      </c>
      <c r="B190">
        <f>IF('Equipment Information'!B190="","", 'Equipment Information'!B190)</f>
        <v/>
      </c>
      <c r="C190">
        <f>IF('Equipment Information'!C190="","", 'Equipment Information'!C190)</f>
        <v/>
      </c>
      <c r="I190">
        <f>IF(A190="","","N/A")</f>
        <v/>
      </c>
    </row>
    <row r="191">
      <c r="A191">
        <f>IF('Equipment Information'!A191="","", 'Equipment Information'!A191)</f>
        <v/>
      </c>
      <c r="B191">
        <f>IF('Equipment Information'!B191="","", 'Equipment Information'!B191)</f>
        <v/>
      </c>
      <c r="C191">
        <f>IF('Equipment Information'!C191="","", 'Equipment Information'!C191)</f>
        <v/>
      </c>
      <c r="I191">
        <f>IF(A191="","","N/A")</f>
        <v/>
      </c>
    </row>
    <row r="192">
      <c r="A192">
        <f>IF('Equipment Information'!A192="","", 'Equipment Information'!A192)</f>
        <v/>
      </c>
      <c r="B192">
        <f>IF('Equipment Information'!B192="","", 'Equipment Information'!B192)</f>
        <v/>
      </c>
      <c r="C192">
        <f>IF('Equipment Information'!C192="","", 'Equipment Information'!C192)</f>
        <v/>
      </c>
      <c r="I192">
        <f>IF(A192="","","N/A")</f>
        <v/>
      </c>
    </row>
    <row r="193">
      <c r="A193">
        <f>IF('Equipment Information'!A193="","", 'Equipment Information'!A193)</f>
        <v/>
      </c>
      <c r="B193">
        <f>IF('Equipment Information'!B193="","", 'Equipment Information'!B193)</f>
        <v/>
      </c>
      <c r="C193">
        <f>IF('Equipment Information'!C193="","", 'Equipment Information'!C193)</f>
        <v/>
      </c>
      <c r="I193">
        <f>IF(A193="","","N/A")</f>
        <v/>
      </c>
    </row>
    <row r="194">
      <c r="A194">
        <f>IF('Equipment Information'!A194="","", 'Equipment Information'!A194)</f>
        <v/>
      </c>
      <c r="B194">
        <f>IF('Equipment Information'!B194="","", 'Equipment Information'!B194)</f>
        <v/>
      </c>
      <c r="C194">
        <f>IF('Equipment Information'!C194="","", 'Equipment Information'!C194)</f>
        <v/>
      </c>
      <c r="I194">
        <f>IF(A194="","","N/A")</f>
        <v/>
      </c>
    </row>
    <row r="195">
      <c r="A195">
        <f>IF('Equipment Information'!A195="","", 'Equipment Information'!A195)</f>
        <v/>
      </c>
      <c r="B195">
        <f>IF('Equipment Information'!B195="","", 'Equipment Information'!B195)</f>
        <v/>
      </c>
      <c r="C195">
        <f>IF('Equipment Information'!C195="","", 'Equipment Information'!C195)</f>
        <v/>
      </c>
      <c r="I195">
        <f>IF(A195="","","N/A")</f>
        <v/>
      </c>
    </row>
    <row r="196">
      <c r="A196">
        <f>IF('Equipment Information'!A196="","", 'Equipment Information'!A196)</f>
        <v/>
      </c>
      <c r="B196">
        <f>IF('Equipment Information'!B196="","", 'Equipment Information'!B196)</f>
        <v/>
      </c>
      <c r="C196">
        <f>IF('Equipment Information'!C196="","", 'Equipment Information'!C196)</f>
        <v/>
      </c>
      <c r="I196">
        <f>IF(A196="","","N/A")</f>
        <v/>
      </c>
    </row>
    <row r="197">
      <c r="A197">
        <f>IF('Equipment Information'!A197="","", 'Equipment Information'!A197)</f>
        <v/>
      </c>
      <c r="B197">
        <f>IF('Equipment Information'!B197="","", 'Equipment Information'!B197)</f>
        <v/>
      </c>
      <c r="C197">
        <f>IF('Equipment Information'!C197="","", 'Equipment Information'!C197)</f>
        <v/>
      </c>
      <c r="I197">
        <f>IF(A197="","","N/A")</f>
        <v/>
      </c>
    </row>
    <row r="198">
      <c r="A198">
        <f>IF('Equipment Information'!A198="","", 'Equipment Information'!A198)</f>
        <v/>
      </c>
      <c r="B198">
        <f>IF('Equipment Information'!B198="","", 'Equipment Information'!B198)</f>
        <v/>
      </c>
      <c r="C198">
        <f>IF('Equipment Information'!C198="","", 'Equipment Information'!C198)</f>
        <v/>
      </c>
      <c r="I198">
        <f>IF(A198="","","N/A")</f>
        <v/>
      </c>
    </row>
    <row r="199">
      <c r="A199">
        <f>IF('Equipment Information'!A199="","", 'Equipment Information'!A199)</f>
        <v/>
      </c>
      <c r="B199">
        <f>IF('Equipment Information'!B199="","", 'Equipment Information'!B199)</f>
        <v/>
      </c>
      <c r="C199">
        <f>IF('Equipment Information'!C199="","", 'Equipment Information'!C199)</f>
        <v/>
      </c>
      <c r="I199">
        <f>IF(A199="","","N/A")</f>
        <v/>
      </c>
    </row>
    <row r="200">
      <c r="A200">
        <f>IF('Equipment Information'!A200="","", 'Equipment Information'!A200)</f>
        <v/>
      </c>
      <c r="B200">
        <f>IF('Equipment Information'!B200="","", 'Equipment Information'!B200)</f>
        <v/>
      </c>
      <c r="C200">
        <f>IF('Equipment Information'!C200="","", 'Equipment Information'!C200)</f>
        <v/>
      </c>
      <c r="I200">
        <f>IF(A200="","","N/A")</f>
        <v/>
      </c>
    </row>
    <row r="201">
      <c r="A201">
        <f>IF('Equipment Information'!A201="","", 'Equipment Information'!A201)</f>
        <v/>
      </c>
      <c r="B201">
        <f>IF('Equipment Information'!B201="","", 'Equipment Information'!B201)</f>
        <v/>
      </c>
      <c r="C201">
        <f>IF('Equipment Information'!C201="","", 'Equipment Information'!C201)</f>
        <v/>
      </c>
      <c r="I201">
        <f>IF(A201="","","N/A")</f>
        <v/>
      </c>
    </row>
    <row r="202">
      <c r="A202">
        <f>IF('Equipment Information'!A202="","", 'Equipment Information'!A202)</f>
        <v/>
      </c>
      <c r="B202">
        <f>IF('Equipment Information'!B202="","", 'Equipment Information'!B202)</f>
        <v/>
      </c>
      <c r="C202">
        <f>IF('Equipment Information'!C202="","", 'Equipment Information'!C202)</f>
        <v/>
      </c>
      <c r="I202">
        <f>IF(A202="","","N/A")</f>
        <v/>
      </c>
    </row>
    <row r="203">
      <c r="A203">
        <f>IF('Equipment Information'!A203="","", 'Equipment Information'!A203)</f>
        <v/>
      </c>
      <c r="B203">
        <f>IF('Equipment Information'!B203="","", 'Equipment Information'!B203)</f>
        <v/>
      </c>
      <c r="C203">
        <f>IF('Equipment Information'!C203="","", 'Equipment Information'!C203)</f>
        <v/>
      </c>
      <c r="I203">
        <f>IF(A203="","","N/A")</f>
        <v/>
      </c>
    </row>
    <row r="204">
      <c r="A204">
        <f>IF('Equipment Information'!A204="","", 'Equipment Information'!A204)</f>
        <v/>
      </c>
      <c r="B204">
        <f>IF('Equipment Information'!B204="","", 'Equipment Information'!B204)</f>
        <v/>
      </c>
      <c r="C204">
        <f>IF('Equipment Information'!C204="","", 'Equipment Information'!C204)</f>
        <v/>
      </c>
      <c r="I204">
        <f>IF(A204="","","N/A")</f>
        <v/>
      </c>
    </row>
    <row r="205">
      <c r="A205">
        <f>IF('Equipment Information'!A205="","", 'Equipment Information'!A205)</f>
        <v/>
      </c>
      <c r="B205">
        <f>IF('Equipment Information'!B205="","", 'Equipment Information'!B205)</f>
        <v/>
      </c>
      <c r="C205">
        <f>IF('Equipment Information'!C205="","", 'Equipment Information'!C205)</f>
        <v/>
      </c>
      <c r="I205">
        <f>IF(A205="","","N/A")</f>
        <v/>
      </c>
    </row>
    <row r="206">
      <c r="A206">
        <f>IF('Equipment Information'!A206="","", 'Equipment Information'!A206)</f>
        <v/>
      </c>
      <c r="B206">
        <f>IF('Equipment Information'!B206="","", 'Equipment Information'!B206)</f>
        <v/>
      </c>
      <c r="C206">
        <f>IF('Equipment Information'!C206="","", 'Equipment Information'!C206)</f>
        <v/>
      </c>
      <c r="I206">
        <f>IF(A206="","","N/A")</f>
        <v/>
      </c>
    </row>
    <row r="207">
      <c r="A207">
        <f>IF('Equipment Information'!A207="","", 'Equipment Information'!A207)</f>
        <v/>
      </c>
      <c r="B207">
        <f>IF('Equipment Information'!B207="","", 'Equipment Information'!B207)</f>
        <v/>
      </c>
      <c r="C207">
        <f>IF('Equipment Information'!C207="","", 'Equipment Information'!C207)</f>
        <v/>
      </c>
      <c r="I207">
        <f>IF(A207="","","N/A")</f>
        <v/>
      </c>
    </row>
    <row r="208">
      <c r="A208">
        <f>IF('Equipment Information'!A208="","", 'Equipment Information'!A208)</f>
        <v/>
      </c>
      <c r="B208">
        <f>IF('Equipment Information'!B208="","", 'Equipment Information'!B208)</f>
        <v/>
      </c>
      <c r="C208">
        <f>IF('Equipment Information'!C208="","", 'Equipment Information'!C208)</f>
        <v/>
      </c>
      <c r="I208">
        <f>IF(A208="","","N/A")</f>
        <v/>
      </c>
    </row>
    <row r="209">
      <c r="A209">
        <f>IF('Equipment Information'!A209="","", 'Equipment Information'!A209)</f>
        <v/>
      </c>
      <c r="B209">
        <f>IF('Equipment Information'!B209="","", 'Equipment Information'!B209)</f>
        <v/>
      </c>
      <c r="C209">
        <f>IF('Equipment Information'!C209="","", 'Equipment Information'!C209)</f>
        <v/>
      </c>
      <c r="I209">
        <f>IF(A209="","","N/A")</f>
        <v/>
      </c>
    </row>
    <row r="210">
      <c r="A210">
        <f>IF('Equipment Information'!A210="","", 'Equipment Information'!A210)</f>
        <v/>
      </c>
      <c r="B210">
        <f>IF('Equipment Information'!B210="","", 'Equipment Information'!B210)</f>
        <v/>
      </c>
      <c r="C210">
        <f>IF('Equipment Information'!C210="","", 'Equipment Information'!C210)</f>
        <v/>
      </c>
      <c r="I210">
        <f>IF(A210="","","N/A")</f>
        <v/>
      </c>
    </row>
    <row r="211">
      <c r="A211">
        <f>IF('Equipment Information'!A211="","", 'Equipment Information'!A211)</f>
        <v/>
      </c>
      <c r="B211">
        <f>IF('Equipment Information'!B211="","", 'Equipment Information'!B211)</f>
        <v/>
      </c>
      <c r="C211">
        <f>IF('Equipment Information'!C211="","", 'Equipment Information'!C211)</f>
        <v/>
      </c>
      <c r="I211">
        <f>IF(A211="","","N/A")</f>
        <v/>
      </c>
    </row>
    <row r="212">
      <c r="A212">
        <f>IF('Equipment Information'!A212="","", 'Equipment Information'!A212)</f>
        <v/>
      </c>
      <c r="B212">
        <f>IF('Equipment Information'!B212="","", 'Equipment Information'!B212)</f>
        <v/>
      </c>
      <c r="C212">
        <f>IF('Equipment Information'!C212="","", 'Equipment Information'!C212)</f>
        <v/>
      </c>
      <c r="I212">
        <f>IF(A212="","","N/A")</f>
        <v/>
      </c>
    </row>
    <row r="213">
      <c r="A213">
        <f>IF('Equipment Information'!A213="","", 'Equipment Information'!A213)</f>
        <v/>
      </c>
      <c r="B213">
        <f>IF('Equipment Information'!B213="","", 'Equipment Information'!B213)</f>
        <v/>
      </c>
      <c r="C213">
        <f>IF('Equipment Information'!C213="","", 'Equipment Information'!C213)</f>
        <v/>
      </c>
      <c r="I213">
        <f>IF(A213="","","N/A")</f>
        <v/>
      </c>
    </row>
    <row r="214">
      <c r="A214">
        <f>IF('Equipment Information'!A214="","", 'Equipment Information'!A214)</f>
        <v/>
      </c>
      <c r="B214">
        <f>IF('Equipment Information'!B214="","", 'Equipment Information'!B214)</f>
        <v/>
      </c>
      <c r="C214">
        <f>IF('Equipment Information'!C214="","", 'Equipment Information'!C214)</f>
        <v/>
      </c>
      <c r="I214">
        <f>IF(A214="","","N/A")</f>
        <v/>
      </c>
    </row>
    <row r="215">
      <c r="A215">
        <f>IF('Equipment Information'!A215="","", 'Equipment Information'!A215)</f>
        <v/>
      </c>
      <c r="B215">
        <f>IF('Equipment Information'!B215="","", 'Equipment Information'!B215)</f>
        <v/>
      </c>
      <c r="C215">
        <f>IF('Equipment Information'!C215="","", 'Equipment Information'!C215)</f>
        <v/>
      </c>
      <c r="I215">
        <f>IF(A215="","","N/A")</f>
        <v/>
      </c>
    </row>
    <row r="216">
      <c r="A216">
        <f>IF('Equipment Information'!A216="","", 'Equipment Information'!A216)</f>
        <v/>
      </c>
      <c r="B216">
        <f>IF('Equipment Information'!B216="","", 'Equipment Information'!B216)</f>
        <v/>
      </c>
      <c r="C216">
        <f>IF('Equipment Information'!C216="","", 'Equipment Information'!C216)</f>
        <v/>
      </c>
      <c r="I216">
        <f>IF(A216="","","N/A")</f>
        <v/>
      </c>
    </row>
    <row r="217">
      <c r="A217">
        <f>IF('Equipment Information'!A217="","", 'Equipment Information'!A217)</f>
        <v/>
      </c>
      <c r="B217">
        <f>IF('Equipment Information'!B217="","", 'Equipment Information'!B217)</f>
        <v/>
      </c>
      <c r="C217">
        <f>IF('Equipment Information'!C217="","", 'Equipment Information'!C217)</f>
        <v/>
      </c>
      <c r="I217">
        <f>IF(A217="","","N/A")</f>
        <v/>
      </c>
    </row>
    <row r="218">
      <c r="A218">
        <f>IF('Equipment Information'!A218="","", 'Equipment Information'!A218)</f>
        <v/>
      </c>
      <c r="B218">
        <f>IF('Equipment Information'!B218="","", 'Equipment Information'!B218)</f>
        <v/>
      </c>
      <c r="C218">
        <f>IF('Equipment Information'!C218="","", 'Equipment Information'!C218)</f>
        <v/>
      </c>
      <c r="I218">
        <f>IF(A218="","","N/A")</f>
        <v/>
      </c>
    </row>
    <row r="219">
      <c r="A219">
        <f>IF('Equipment Information'!A219="","", 'Equipment Information'!A219)</f>
        <v/>
      </c>
      <c r="B219">
        <f>IF('Equipment Information'!B219="","", 'Equipment Information'!B219)</f>
        <v/>
      </c>
      <c r="C219">
        <f>IF('Equipment Information'!C219="","", 'Equipment Information'!C219)</f>
        <v/>
      </c>
      <c r="I219">
        <f>IF(A219="","","N/A")</f>
        <v/>
      </c>
    </row>
    <row r="220">
      <c r="A220">
        <f>IF('Equipment Information'!A220="","", 'Equipment Information'!A220)</f>
        <v/>
      </c>
      <c r="B220">
        <f>IF('Equipment Information'!B220="","", 'Equipment Information'!B220)</f>
        <v/>
      </c>
      <c r="C220">
        <f>IF('Equipment Information'!C220="","", 'Equipment Information'!C220)</f>
        <v/>
      </c>
      <c r="I220">
        <f>IF(A220="","","N/A")</f>
        <v/>
      </c>
    </row>
    <row r="221">
      <c r="A221">
        <f>IF('Equipment Information'!A221="","", 'Equipment Information'!A221)</f>
        <v/>
      </c>
      <c r="B221">
        <f>IF('Equipment Information'!B221="","", 'Equipment Information'!B221)</f>
        <v/>
      </c>
      <c r="C221">
        <f>IF('Equipment Information'!C221="","", 'Equipment Information'!C221)</f>
        <v/>
      </c>
      <c r="I221">
        <f>IF(A221="","","N/A")</f>
        <v/>
      </c>
    </row>
    <row r="222">
      <c r="A222">
        <f>IF('Equipment Information'!A222="","", 'Equipment Information'!A222)</f>
        <v/>
      </c>
      <c r="B222">
        <f>IF('Equipment Information'!B222="","", 'Equipment Information'!B222)</f>
        <v/>
      </c>
      <c r="C222">
        <f>IF('Equipment Information'!C222="","", 'Equipment Information'!C222)</f>
        <v/>
      </c>
      <c r="I222">
        <f>IF(A222="","","N/A")</f>
        <v/>
      </c>
    </row>
    <row r="223">
      <c r="A223">
        <f>IF('Equipment Information'!A223="","", 'Equipment Information'!A223)</f>
        <v/>
      </c>
      <c r="B223">
        <f>IF('Equipment Information'!B223="","", 'Equipment Information'!B223)</f>
        <v/>
      </c>
      <c r="C223">
        <f>IF('Equipment Information'!C223="","", 'Equipment Information'!C223)</f>
        <v/>
      </c>
      <c r="I223">
        <f>IF(A223="","","N/A")</f>
        <v/>
      </c>
    </row>
    <row r="224">
      <c r="A224">
        <f>IF('Equipment Information'!A224="","", 'Equipment Information'!A224)</f>
        <v/>
      </c>
      <c r="B224">
        <f>IF('Equipment Information'!B224="","", 'Equipment Information'!B224)</f>
        <v/>
      </c>
      <c r="C224">
        <f>IF('Equipment Information'!C224="","", 'Equipment Information'!C224)</f>
        <v/>
      </c>
      <c r="I224">
        <f>IF(A224="","","N/A")</f>
        <v/>
      </c>
    </row>
    <row r="225">
      <c r="A225">
        <f>IF('Equipment Information'!A225="","", 'Equipment Information'!A225)</f>
        <v/>
      </c>
      <c r="B225">
        <f>IF('Equipment Information'!B225="","", 'Equipment Information'!B225)</f>
        <v/>
      </c>
      <c r="C225">
        <f>IF('Equipment Information'!C225="","", 'Equipment Information'!C225)</f>
        <v/>
      </c>
      <c r="I225">
        <f>IF(A225="","","N/A")</f>
        <v/>
      </c>
    </row>
    <row r="226">
      <c r="A226">
        <f>IF('Equipment Information'!A226="","", 'Equipment Information'!A226)</f>
        <v/>
      </c>
      <c r="B226">
        <f>IF('Equipment Information'!B226="","", 'Equipment Information'!B226)</f>
        <v/>
      </c>
      <c r="C226">
        <f>IF('Equipment Information'!C226="","", 'Equipment Information'!C226)</f>
        <v/>
      </c>
      <c r="I226">
        <f>IF(A226="","","N/A")</f>
        <v/>
      </c>
    </row>
    <row r="227">
      <c r="A227">
        <f>IF('Equipment Information'!A227="","", 'Equipment Information'!A227)</f>
        <v/>
      </c>
      <c r="B227">
        <f>IF('Equipment Information'!B227="","", 'Equipment Information'!B227)</f>
        <v/>
      </c>
      <c r="C227">
        <f>IF('Equipment Information'!C227="","", 'Equipment Information'!C227)</f>
        <v/>
      </c>
      <c r="I227">
        <f>IF(A227="","","N/A")</f>
        <v/>
      </c>
    </row>
    <row r="228">
      <c r="A228">
        <f>IF('Equipment Information'!A228="","", 'Equipment Information'!A228)</f>
        <v/>
      </c>
      <c r="B228">
        <f>IF('Equipment Information'!B228="","", 'Equipment Information'!B228)</f>
        <v/>
      </c>
      <c r="C228">
        <f>IF('Equipment Information'!C228="","", 'Equipment Information'!C228)</f>
        <v/>
      </c>
      <c r="I228">
        <f>IF(A228="","","N/A")</f>
        <v/>
      </c>
    </row>
    <row r="229">
      <c r="A229">
        <f>IF('Equipment Information'!A229="","", 'Equipment Information'!A229)</f>
        <v/>
      </c>
      <c r="B229">
        <f>IF('Equipment Information'!B229="","", 'Equipment Information'!B229)</f>
        <v/>
      </c>
      <c r="C229">
        <f>IF('Equipment Information'!C229="","", 'Equipment Information'!C229)</f>
        <v/>
      </c>
      <c r="I229">
        <f>IF(A229="","","N/A")</f>
        <v/>
      </c>
    </row>
    <row r="230">
      <c r="A230">
        <f>IF('Equipment Information'!A230="","", 'Equipment Information'!A230)</f>
        <v/>
      </c>
      <c r="B230">
        <f>IF('Equipment Information'!B230="","", 'Equipment Information'!B230)</f>
        <v/>
      </c>
      <c r="C230">
        <f>IF('Equipment Information'!C230="","", 'Equipment Information'!C230)</f>
        <v/>
      </c>
      <c r="I230">
        <f>IF(A230="","","N/A")</f>
        <v/>
      </c>
    </row>
    <row r="231">
      <c r="A231">
        <f>IF('Equipment Information'!A231="","", 'Equipment Information'!A231)</f>
        <v/>
      </c>
      <c r="B231">
        <f>IF('Equipment Information'!B231="","", 'Equipment Information'!B231)</f>
        <v/>
      </c>
      <c r="C231">
        <f>IF('Equipment Information'!C231="","", 'Equipment Information'!C231)</f>
        <v/>
      </c>
      <c r="I231">
        <f>IF(A231="","","N/A")</f>
        <v/>
      </c>
    </row>
    <row r="232">
      <c r="A232">
        <f>IF('Equipment Information'!A232="","", 'Equipment Information'!A232)</f>
        <v/>
      </c>
      <c r="B232">
        <f>IF('Equipment Information'!B232="","", 'Equipment Information'!B232)</f>
        <v/>
      </c>
      <c r="C232">
        <f>IF('Equipment Information'!C232="","", 'Equipment Information'!C232)</f>
        <v/>
      </c>
      <c r="I232">
        <f>IF(A232="","","N/A")</f>
        <v/>
      </c>
    </row>
    <row r="233">
      <c r="A233">
        <f>IF('Equipment Information'!A233="","", 'Equipment Information'!A233)</f>
        <v/>
      </c>
      <c r="B233">
        <f>IF('Equipment Information'!B233="","", 'Equipment Information'!B233)</f>
        <v/>
      </c>
      <c r="C233">
        <f>IF('Equipment Information'!C233="","", 'Equipment Information'!C233)</f>
        <v/>
      </c>
      <c r="I233">
        <f>IF(A233="","","N/A")</f>
        <v/>
      </c>
    </row>
    <row r="234">
      <c r="A234">
        <f>IF('Equipment Information'!A234="","", 'Equipment Information'!A234)</f>
        <v/>
      </c>
      <c r="B234">
        <f>IF('Equipment Information'!B234="","", 'Equipment Information'!B234)</f>
        <v/>
      </c>
      <c r="C234">
        <f>IF('Equipment Information'!C234="","", 'Equipment Information'!C234)</f>
        <v/>
      </c>
      <c r="I234">
        <f>IF(A234="","","N/A")</f>
        <v/>
      </c>
    </row>
    <row r="235">
      <c r="A235">
        <f>IF('Equipment Information'!A235="","", 'Equipment Information'!A235)</f>
        <v/>
      </c>
      <c r="B235">
        <f>IF('Equipment Information'!B235="","", 'Equipment Information'!B235)</f>
        <v/>
      </c>
      <c r="C235">
        <f>IF('Equipment Information'!C235="","", 'Equipment Information'!C235)</f>
        <v/>
      </c>
      <c r="I235">
        <f>IF(A235="","","N/A")</f>
        <v/>
      </c>
    </row>
    <row r="236">
      <c r="A236">
        <f>IF('Equipment Information'!A236="","", 'Equipment Information'!A236)</f>
        <v/>
      </c>
      <c r="B236">
        <f>IF('Equipment Information'!B236="","", 'Equipment Information'!B236)</f>
        <v/>
      </c>
      <c r="C236">
        <f>IF('Equipment Information'!C236="","", 'Equipment Information'!C236)</f>
        <v/>
      </c>
      <c r="I236">
        <f>IF(A236="","","N/A")</f>
        <v/>
      </c>
    </row>
    <row r="237">
      <c r="A237">
        <f>IF('Equipment Information'!A237="","", 'Equipment Information'!A237)</f>
        <v/>
      </c>
      <c r="B237">
        <f>IF('Equipment Information'!B237="","", 'Equipment Information'!B237)</f>
        <v/>
      </c>
      <c r="C237">
        <f>IF('Equipment Information'!C237="","", 'Equipment Information'!C237)</f>
        <v/>
      </c>
      <c r="I237">
        <f>IF(A237="","","N/A")</f>
        <v/>
      </c>
    </row>
    <row r="238">
      <c r="A238">
        <f>IF('Equipment Information'!A238="","", 'Equipment Information'!A238)</f>
        <v/>
      </c>
      <c r="B238">
        <f>IF('Equipment Information'!B238="","", 'Equipment Information'!B238)</f>
        <v/>
      </c>
      <c r="C238">
        <f>IF('Equipment Information'!C238="","", 'Equipment Information'!C238)</f>
        <v/>
      </c>
      <c r="I238">
        <f>IF(A238="","","N/A")</f>
        <v/>
      </c>
    </row>
    <row r="239">
      <c r="A239">
        <f>IF('Equipment Information'!A239="","", 'Equipment Information'!A239)</f>
        <v/>
      </c>
      <c r="B239">
        <f>IF('Equipment Information'!B239="","", 'Equipment Information'!B239)</f>
        <v/>
      </c>
      <c r="C239">
        <f>IF('Equipment Information'!C239="","", 'Equipment Information'!C239)</f>
        <v/>
      </c>
      <c r="I239">
        <f>IF(A239="","","N/A")</f>
        <v/>
      </c>
    </row>
    <row r="240">
      <c r="A240">
        <f>IF('Equipment Information'!A240="","", 'Equipment Information'!A240)</f>
        <v/>
      </c>
      <c r="B240">
        <f>IF('Equipment Information'!B240="","", 'Equipment Information'!B240)</f>
        <v/>
      </c>
      <c r="C240">
        <f>IF('Equipment Information'!C240="","", 'Equipment Information'!C240)</f>
        <v/>
      </c>
      <c r="I240">
        <f>IF(A240="","","N/A")</f>
        <v/>
      </c>
    </row>
    <row r="241">
      <c r="A241">
        <f>IF('Equipment Information'!A241="","", 'Equipment Information'!A241)</f>
        <v/>
      </c>
      <c r="B241">
        <f>IF('Equipment Information'!B241="","", 'Equipment Information'!B241)</f>
        <v/>
      </c>
      <c r="C241">
        <f>IF('Equipment Information'!C241="","", 'Equipment Information'!C241)</f>
        <v/>
      </c>
      <c r="I241">
        <f>IF(A241="","","N/A")</f>
        <v/>
      </c>
    </row>
    <row r="242">
      <c r="A242">
        <f>IF('Equipment Information'!A242="","", 'Equipment Information'!A242)</f>
        <v/>
      </c>
      <c r="B242">
        <f>IF('Equipment Information'!B242="","", 'Equipment Information'!B242)</f>
        <v/>
      </c>
      <c r="C242">
        <f>IF('Equipment Information'!C242="","", 'Equipment Information'!C242)</f>
        <v/>
      </c>
      <c r="I242">
        <f>IF(A242="","","N/A")</f>
        <v/>
      </c>
    </row>
    <row r="243">
      <c r="A243">
        <f>IF('Equipment Information'!A243="","", 'Equipment Information'!A243)</f>
        <v/>
      </c>
      <c r="B243">
        <f>IF('Equipment Information'!B243="","", 'Equipment Information'!B243)</f>
        <v/>
      </c>
      <c r="C243">
        <f>IF('Equipment Information'!C243="","", 'Equipment Information'!C243)</f>
        <v/>
      </c>
      <c r="I243">
        <f>IF(A243="","","N/A")</f>
        <v/>
      </c>
    </row>
    <row r="244">
      <c r="A244">
        <f>IF('Equipment Information'!A244="","", 'Equipment Information'!A244)</f>
        <v/>
      </c>
      <c r="B244">
        <f>IF('Equipment Information'!B244="","", 'Equipment Information'!B244)</f>
        <v/>
      </c>
      <c r="C244">
        <f>IF('Equipment Information'!C244="","", 'Equipment Information'!C244)</f>
        <v/>
      </c>
      <c r="I244">
        <f>IF(A244="","","N/A")</f>
        <v/>
      </c>
    </row>
    <row r="245">
      <c r="A245">
        <f>IF('Equipment Information'!A245="","", 'Equipment Information'!A245)</f>
        <v/>
      </c>
      <c r="B245">
        <f>IF('Equipment Information'!B245="","", 'Equipment Information'!B245)</f>
        <v/>
      </c>
      <c r="C245">
        <f>IF('Equipment Information'!C245="","", 'Equipment Information'!C245)</f>
        <v/>
      </c>
      <c r="I245">
        <f>IF(A245="","","N/A")</f>
        <v/>
      </c>
    </row>
    <row r="246">
      <c r="A246">
        <f>IF('Equipment Information'!A246="","", 'Equipment Information'!A246)</f>
        <v/>
      </c>
      <c r="B246">
        <f>IF('Equipment Information'!B246="","", 'Equipment Information'!B246)</f>
        <v/>
      </c>
      <c r="C246">
        <f>IF('Equipment Information'!C246="","", 'Equipment Information'!C246)</f>
        <v/>
      </c>
      <c r="I246">
        <f>IF(A246="","","N/A")</f>
        <v/>
      </c>
    </row>
    <row r="247">
      <c r="A247">
        <f>IF('Equipment Information'!A247="","", 'Equipment Information'!A247)</f>
        <v/>
      </c>
      <c r="B247">
        <f>IF('Equipment Information'!B247="","", 'Equipment Information'!B247)</f>
        <v/>
      </c>
      <c r="C247">
        <f>IF('Equipment Information'!C247="","", 'Equipment Information'!C247)</f>
        <v/>
      </c>
      <c r="I247">
        <f>IF(A247="","","N/A")</f>
        <v/>
      </c>
    </row>
    <row r="248">
      <c r="A248">
        <f>IF('Equipment Information'!A248="","", 'Equipment Information'!A248)</f>
        <v/>
      </c>
      <c r="B248">
        <f>IF('Equipment Information'!B248="","", 'Equipment Information'!B248)</f>
        <v/>
      </c>
      <c r="C248">
        <f>IF('Equipment Information'!C248="","", 'Equipment Information'!C248)</f>
        <v/>
      </c>
      <c r="I248">
        <f>IF(A248="","","N/A")</f>
        <v/>
      </c>
    </row>
    <row r="249">
      <c r="A249">
        <f>IF('Equipment Information'!A249="","", 'Equipment Information'!A249)</f>
        <v/>
      </c>
      <c r="B249">
        <f>IF('Equipment Information'!B249="","", 'Equipment Information'!B249)</f>
        <v/>
      </c>
      <c r="C249">
        <f>IF('Equipment Information'!C249="","", 'Equipment Information'!C249)</f>
        <v/>
      </c>
      <c r="I249">
        <f>IF(A249="","","N/A")</f>
        <v/>
      </c>
    </row>
    <row r="250">
      <c r="A250">
        <f>IF('Equipment Information'!A250="","", 'Equipment Information'!A250)</f>
        <v/>
      </c>
      <c r="B250">
        <f>IF('Equipment Information'!B250="","", 'Equipment Information'!B250)</f>
        <v/>
      </c>
      <c r="C250">
        <f>IF('Equipment Information'!C250="","", 'Equipment Information'!C250)</f>
        <v/>
      </c>
      <c r="I250">
        <f>IF(A250="","","N/A")</f>
        <v/>
      </c>
    </row>
    <row r="251">
      <c r="A251">
        <f>IF('Equipment Information'!A251="","", 'Equipment Information'!A251)</f>
        <v/>
      </c>
      <c r="B251">
        <f>IF('Equipment Information'!B251="","", 'Equipment Information'!B251)</f>
        <v/>
      </c>
      <c r="C251">
        <f>IF('Equipment Information'!C251="","", 'Equipment Information'!C251)</f>
        <v/>
      </c>
      <c r="I251">
        <f>IF(A251="","","N/A")</f>
        <v/>
      </c>
    </row>
    <row r="252">
      <c r="A252">
        <f>IF('Equipment Information'!A252="","", 'Equipment Information'!A252)</f>
        <v/>
      </c>
      <c r="B252">
        <f>IF('Equipment Information'!B252="","", 'Equipment Information'!B252)</f>
        <v/>
      </c>
      <c r="C252">
        <f>IF('Equipment Information'!C252="","", 'Equipment Information'!C252)</f>
        <v/>
      </c>
      <c r="I252">
        <f>IF(A252="","","N/A")</f>
        <v/>
      </c>
    </row>
    <row r="253">
      <c r="A253">
        <f>IF('Equipment Information'!A253="","", 'Equipment Information'!A253)</f>
        <v/>
      </c>
      <c r="B253">
        <f>IF('Equipment Information'!B253="","", 'Equipment Information'!B253)</f>
        <v/>
      </c>
      <c r="C253">
        <f>IF('Equipment Information'!C253="","", 'Equipment Information'!C253)</f>
        <v/>
      </c>
      <c r="I253">
        <f>IF(A253="","","N/A")</f>
        <v/>
      </c>
    </row>
    <row r="254">
      <c r="A254">
        <f>IF('Equipment Information'!A254="","", 'Equipment Information'!A254)</f>
        <v/>
      </c>
      <c r="B254">
        <f>IF('Equipment Information'!B254="","", 'Equipment Information'!B254)</f>
        <v/>
      </c>
      <c r="C254">
        <f>IF('Equipment Information'!C254="","", 'Equipment Information'!C254)</f>
        <v/>
      </c>
      <c r="I254">
        <f>IF(A254="","","N/A")</f>
        <v/>
      </c>
    </row>
    <row r="255">
      <c r="A255">
        <f>IF('Equipment Information'!A255="","", 'Equipment Information'!A255)</f>
        <v/>
      </c>
      <c r="B255">
        <f>IF('Equipment Information'!B255="","", 'Equipment Information'!B255)</f>
        <v/>
      </c>
      <c r="C255">
        <f>IF('Equipment Information'!C255="","", 'Equipment Information'!C255)</f>
        <v/>
      </c>
      <c r="I255">
        <f>IF(A255="","","N/A")</f>
        <v/>
      </c>
    </row>
    <row r="256">
      <c r="A256">
        <f>IF('Equipment Information'!A256="","", 'Equipment Information'!A256)</f>
        <v/>
      </c>
      <c r="B256">
        <f>IF('Equipment Information'!B256="","", 'Equipment Information'!B256)</f>
        <v/>
      </c>
      <c r="C256">
        <f>IF('Equipment Information'!C256="","", 'Equipment Information'!C256)</f>
        <v/>
      </c>
      <c r="I256">
        <f>IF(A256="","","N/A")</f>
        <v/>
      </c>
    </row>
    <row r="257">
      <c r="A257">
        <f>IF('Equipment Information'!A257="","", 'Equipment Information'!A257)</f>
        <v/>
      </c>
      <c r="B257">
        <f>IF('Equipment Information'!B257="","", 'Equipment Information'!B257)</f>
        <v/>
      </c>
      <c r="C257">
        <f>IF('Equipment Information'!C257="","", 'Equipment Information'!C257)</f>
        <v/>
      </c>
      <c r="I257">
        <f>IF(A257="","","N/A")</f>
        <v/>
      </c>
    </row>
    <row r="258">
      <c r="A258">
        <f>IF('Equipment Information'!A258="","", 'Equipment Information'!A258)</f>
        <v/>
      </c>
      <c r="B258">
        <f>IF('Equipment Information'!B258="","", 'Equipment Information'!B258)</f>
        <v/>
      </c>
      <c r="C258">
        <f>IF('Equipment Information'!C258="","", 'Equipment Information'!C258)</f>
        <v/>
      </c>
      <c r="I258">
        <f>IF(A258="","","N/A")</f>
        <v/>
      </c>
    </row>
    <row r="259">
      <c r="A259">
        <f>IF('Equipment Information'!A259="","", 'Equipment Information'!A259)</f>
        <v/>
      </c>
      <c r="B259">
        <f>IF('Equipment Information'!B259="","", 'Equipment Information'!B259)</f>
        <v/>
      </c>
      <c r="C259">
        <f>IF('Equipment Information'!C259="","", 'Equipment Information'!C259)</f>
        <v/>
      </c>
      <c r="I259">
        <f>IF(A259="","","N/A")</f>
        <v/>
      </c>
    </row>
    <row r="260">
      <c r="A260">
        <f>IF('Equipment Information'!A260="","", 'Equipment Information'!A260)</f>
        <v/>
      </c>
      <c r="B260">
        <f>IF('Equipment Information'!B260="","", 'Equipment Information'!B260)</f>
        <v/>
      </c>
      <c r="C260">
        <f>IF('Equipment Information'!C260="","", 'Equipment Information'!C260)</f>
        <v/>
      </c>
      <c r="I260">
        <f>IF(A260="","","N/A")</f>
        <v/>
      </c>
    </row>
    <row r="261">
      <c r="A261">
        <f>IF('Equipment Information'!A261="","", 'Equipment Information'!A261)</f>
        <v/>
      </c>
      <c r="B261">
        <f>IF('Equipment Information'!B261="","", 'Equipment Information'!B261)</f>
        <v/>
      </c>
      <c r="C261">
        <f>IF('Equipment Information'!C261="","", 'Equipment Information'!C261)</f>
        <v/>
      </c>
      <c r="I261">
        <f>IF(A261="","","N/A")</f>
        <v/>
      </c>
    </row>
    <row r="262">
      <c r="A262">
        <f>IF('Equipment Information'!A262="","", 'Equipment Information'!A262)</f>
        <v/>
      </c>
      <c r="B262">
        <f>IF('Equipment Information'!B262="","", 'Equipment Information'!B262)</f>
        <v/>
      </c>
      <c r="C262">
        <f>IF('Equipment Information'!C262="","", 'Equipment Information'!C262)</f>
        <v/>
      </c>
      <c r="I262">
        <f>IF(A262="","","N/A")</f>
        <v/>
      </c>
    </row>
    <row r="263">
      <c r="A263">
        <f>IF('Equipment Information'!A263="","", 'Equipment Information'!A263)</f>
        <v/>
      </c>
      <c r="B263">
        <f>IF('Equipment Information'!B263="","", 'Equipment Information'!B263)</f>
        <v/>
      </c>
      <c r="C263">
        <f>IF('Equipment Information'!C263="","", 'Equipment Information'!C263)</f>
        <v/>
      </c>
      <c r="I263">
        <f>IF(A263="","","N/A")</f>
        <v/>
      </c>
    </row>
    <row r="264">
      <c r="A264">
        <f>IF('Equipment Information'!A264="","", 'Equipment Information'!A264)</f>
        <v/>
      </c>
      <c r="B264">
        <f>IF('Equipment Information'!B264="","", 'Equipment Information'!B264)</f>
        <v/>
      </c>
      <c r="C264">
        <f>IF('Equipment Information'!C264="","", 'Equipment Information'!C264)</f>
        <v/>
      </c>
      <c r="I264">
        <f>IF(A264="","","N/A")</f>
        <v/>
      </c>
    </row>
    <row r="265">
      <c r="A265">
        <f>IF('Equipment Information'!A265="","", 'Equipment Information'!A265)</f>
        <v/>
      </c>
      <c r="B265">
        <f>IF('Equipment Information'!B265="","", 'Equipment Information'!B265)</f>
        <v/>
      </c>
      <c r="C265">
        <f>IF('Equipment Information'!C265="","", 'Equipment Information'!C265)</f>
        <v/>
      </c>
      <c r="I265">
        <f>IF(A265="","","N/A")</f>
        <v/>
      </c>
    </row>
    <row r="266">
      <c r="A266">
        <f>IF('Equipment Information'!A266="","", 'Equipment Information'!A266)</f>
        <v/>
      </c>
      <c r="B266">
        <f>IF('Equipment Information'!B266="","", 'Equipment Information'!B266)</f>
        <v/>
      </c>
      <c r="C266">
        <f>IF('Equipment Information'!C266="","", 'Equipment Information'!C266)</f>
        <v/>
      </c>
      <c r="I266">
        <f>IF(A266="","","N/A")</f>
        <v/>
      </c>
    </row>
    <row r="267">
      <c r="A267">
        <f>IF('Equipment Information'!A267="","", 'Equipment Information'!A267)</f>
        <v/>
      </c>
      <c r="B267">
        <f>IF('Equipment Information'!B267="","", 'Equipment Information'!B267)</f>
        <v/>
      </c>
      <c r="C267">
        <f>IF('Equipment Information'!C267="","", 'Equipment Information'!C267)</f>
        <v/>
      </c>
      <c r="I267">
        <f>IF(A267="","","N/A")</f>
        <v/>
      </c>
    </row>
    <row r="268">
      <c r="A268">
        <f>IF('Equipment Information'!A268="","", 'Equipment Information'!A268)</f>
        <v/>
      </c>
      <c r="B268">
        <f>IF('Equipment Information'!B268="","", 'Equipment Information'!B268)</f>
        <v/>
      </c>
      <c r="C268">
        <f>IF('Equipment Information'!C268="","", 'Equipment Information'!C268)</f>
        <v/>
      </c>
      <c r="I268">
        <f>IF(A268="","","N/A")</f>
        <v/>
      </c>
    </row>
    <row r="269">
      <c r="A269">
        <f>IF('Equipment Information'!A269="","", 'Equipment Information'!A269)</f>
        <v/>
      </c>
      <c r="B269">
        <f>IF('Equipment Information'!B269="","", 'Equipment Information'!B269)</f>
        <v/>
      </c>
      <c r="C269">
        <f>IF('Equipment Information'!C269="","", 'Equipment Information'!C269)</f>
        <v/>
      </c>
      <c r="I269">
        <f>IF(A269="","","N/A")</f>
        <v/>
      </c>
    </row>
    <row r="270">
      <c r="A270">
        <f>IF('Equipment Information'!A270="","", 'Equipment Information'!A270)</f>
        <v/>
      </c>
      <c r="B270">
        <f>IF('Equipment Information'!B270="","", 'Equipment Information'!B270)</f>
        <v/>
      </c>
      <c r="C270">
        <f>IF('Equipment Information'!C270="","", 'Equipment Information'!C270)</f>
        <v/>
      </c>
      <c r="I270">
        <f>IF(A270="","","N/A")</f>
        <v/>
      </c>
    </row>
    <row r="271">
      <c r="A271">
        <f>IF('Equipment Information'!A271="","", 'Equipment Information'!A271)</f>
        <v/>
      </c>
      <c r="B271">
        <f>IF('Equipment Information'!B271="","", 'Equipment Information'!B271)</f>
        <v/>
      </c>
      <c r="C271">
        <f>IF('Equipment Information'!C271="","", 'Equipment Information'!C271)</f>
        <v/>
      </c>
      <c r="I271">
        <f>IF(A271="","","N/A")</f>
        <v/>
      </c>
    </row>
    <row r="272">
      <c r="A272">
        <f>IF('Equipment Information'!A272="","", 'Equipment Information'!A272)</f>
        <v/>
      </c>
      <c r="B272">
        <f>IF('Equipment Information'!B272="","", 'Equipment Information'!B272)</f>
        <v/>
      </c>
      <c r="C272">
        <f>IF('Equipment Information'!C272="","", 'Equipment Information'!C272)</f>
        <v/>
      </c>
      <c r="I272">
        <f>IF(A272="","","N/A")</f>
        <v/>
      </c>
    </row>
    <row r="273">
      <c r="A273">
        <f>IF('Equipment Information'!A273="","", 'Equipment Information'!A273)</f>
        <v/>
      </c>
      <c r="B273">
        <f>IF('Equipment Information'!B273="","", 'Equipment Information'!B273)</f>
        <v/>
      </c>
      <c r="C273">
        <f>IF('Equipment Information'!C273="","", 'Equipment Information'!C273)</f>
        <v/>
      </c>
      <c r="I273">
        <f>IF(A273="","","N/A")</f>
        <v/>
      </c>
    </row>
    <row r="274">
      <c r="A274">
        <f>IF('Equipment Information'!A274="","", 'Equipment Information'!A274)</f>
        <v/>
      </c>
      <c r="B274">
        <f>IF('Equipment Information'!B274="","", 'Equipment Information'!B274)</f>
        <v/>
      </c>
      <c r="C274">
        <f>IF('Equipment Information'!C274="","", 'Equipment Information'!C274)</f>
        <v/>
      </c>
      <c r="I274">
        <f>IF(A274="","","N/A")</f>
        <v/>
      </c>
    </row>
    <row r="275">
      <c r="A275">
        <f>IF('Equipment Information'!A275="","", 'Equipment Information'!A275)</f>
        <v/>
      </c>
      <c r="B275">
        <f>IF('Equipment Information'!B275="","", 'Equipment Information'!B275)</f>
        <v/>
      </c>
      <c r="C275">
        <f>IF('Equipment Information'!C275="","", 'Equipment Information'!C275)</f>
        <v/>
      </c>
      <c r="I275">
        <f>IF(A275="","","N/A")</f>
        <v/>
      </c>
    </row>
    <row r="276">
      <c r="A276">
        <f>IF('Equipment Information'!A276="","", 'Equipment Information'!A276)</f>
        <v/>
      </c>
      <c r="B276">
        <f>IF('Equipment Information'!B276="","", 'Equipment Information'!B276)</f>
        <v/>
      </c>
      <c r="C276">
        <f>IF('Equipment Information'!C276="","", 'Equipment Information'!C276)</f>
        <v/>
      </c>
      <c r="I276">
        <f>IF(A276="","","N/A")</f>
        <v/>
      </c>
    </row>
    <row r="277">
      <c r="A277">
        <f>IF('Equipment Information'!A277="","", 'Equipment Information'!A277)</f>
        <v/>
      </c>
      <c r="B277">
        <f>IF('Equipment Information'!B277="","", 'Equipment Information'!B277)</f>
        <v/>
      </c>
      <c r="C277">
        <f>IF('Equipment Information'!C277="","", 'Equipment Information'!C277)</f>
        <v/>
      </c>
      <c r="I277">
        <f>IF(A277="","","N/A")</f>
        <v/>
      </c>
    </row>
    <row r="278">
      <c r="A278">
        <f>IF('Equipment Information'!A278="","", 'Equipment Information'!A278)</f>
        <v/>
      </c>
      <c r="B278">
        <f>IF('Equipment Information'!B278="","", 'Equipment Information'!B278)</f>
        <v/>
      </c>
      <c r="C278">
        <f>IF('Equipment Information'!C278="","", 'Equipment Information'!C278)</f>
        <v/>
      </c>
      <c r="I278">
        <f>IF(A278="","","N/A")</f>
        <v/>
      </c>
    </row>
    <row r="279">
      <c r="A279">
        <f>IF('Equipment Information'!A279="","", 'Equipment Information'!A279)</f>
        <v/>
      </c>
      <c r="B279">
        <f>IF('Equipment Information'!B279="","", 'Equipment Information'!B279)</f>
        <v/>
      </c>
      <c r="C279">
        <f>IF('Equipment Information'!C279="","", 'Equipment Information'!C279)</f>
        <v/>
      </c>
      <c r="I279">
        <f>IF(A279="","","N/A")</f>
        <v/>
      </c>
    </row>
    <row r="280">
      <c r="A280">
        <f>IF('Equipment Information'!A280="","", 'Equipment Information'!A280)</f>
        <v/>
      </c>
      <c r="B280">
        <f>IF('Equipment Information'!B280="","", 'Equipment Information'!B280)</f>
        <v/>
      </c>
      <c r="C280">
        <f>IF('Equipment Information'!C280="","", 'Equipment Information'!C280)</f>
        <v/>
      </c>
      <c r="I280">
        <f>IF(A280="","","N/A")</f>
        <v/>
      </c>
    </row>
    <row r="281">
      <c r="A281">
        <f>IF('Equipment Information'!A281="","", 'Equipment Information'!A281)</f>
        <v/>
      </c>
      <c r="B281">
        <f>IF('Equipment Information'!B281="","", 'Equipment Information'!B281)</f>
        <v/>
      </c>
      <c r="C281">
        <f>IF('Equipment Information'!C281="","", 'Equipment Information'!C281)</f>
        <v/>
      </c>
      <c r="I281">
        <f>IF(A281="","","N/A")</f>
        <v/>
      </c>
    </row>
    <row r="282">
      <c r="A282">
        <f>IF('Equipment Information'!A282="","", 'Equipment Information'!A282)</f>
        <v/>
      </c>
      <c r="B282">
        <f>IF('Equipment Information'!B282="","", 'Equipment Information'!B282)</f>
        <v/>
      </c>
      <c r="C282">
        <f>IF('Equipment Information'!C282="","", 'Equipment Information'!C282)</f>
        <v/>
      </c>
      <c r="I282">
        <f>IF(A282="","","N/A")</f>
        <v/>
      </c>
    </row>
    <row r="283">
      <c r="A283">
        <f>IF('Equipment Information'!A283="","", 'Equipment Information'!A283)</f>
        <v/>
      </c>
      <c r="B283">
        <f>IF('Equipment Information'!B283="","", 'Equipment Information'!B283)</f>
        <v/>
      </c>
      <c r="C283">
        <f>IF('Equipment Information'!C283="","", 'Equipment Information'!C283)</f>
        <v/>
      </c>
      <c r="I283">
        <f>IF(A283="","","N/A")</f>
        <v/>
      </c>
    </row>
    <row r="284">
      <c r="A284">
        <f>IF('Equipment Information'!A284="","", 'Equipment Information'!A284)</f>
        <v/>
      </c>
      <c r="B284">
        <f>IF('Equipment Information'!B284="","", 'Equipment Information'!B284)</f>
        <v/>
      </c>
      <c r="C284">
        <f>IF('Equipment Information'!C284="","", 'Equipment Information'!C284)</f>
        <v/>
      </c>
      <c r="I284">
        <f>IF(A284="","","N/A")</f>
        <v/>
      </c>
    </row>
    <row r="285">
      <c r="A285">
        <f>IF('Equipment Information'!A285="","", 'Equipment Information'!A285)</f>
        <v/>
      </c>
      <c r="B285">
        <f>IF('Equipment Information'!B285="","", 'Equipment Information'!B285)</f>
        <v/>
      </c>
      <c r="C285">
        <f>IF('Equipment Information'!C285="","", 'Equipment Information'!C285)</f>
        <v/>
      </c>
      <c r="I285">
        <f>IF(A285="","","N/A")</f>
        <v/>
      </c>
    </row>
    <row r="286">
      <c r="A286">
        <f>IF('Equipment Information'!A286="","", 'Equipment Information'!A286)</f>
        <v/>
      </c>
      <c r="B286">
        <f>IF('Equipment Information'!B286="","", 'Equipment Information'!B286)</f>
        <v/>
      </c>
      <c r="C286">
        <f>IF('Equipment Information'!C286="","", 'Equipment Information'!C286)</f>
        <v/>
      </c>
      <c r="I286">
        <f>IF(A286="","","N/A")</f>
        <v/>
      </c>
    </row>
    <row r="287">
      <c r="A287">
        <f>IF('Equipment Information'!A287="","", 'Equipment Information'!A287)</f>
        <v/>
      </c>
      <c r="B287">
        <f>IF('Equipment Information'!B287="","", 'Equipment Information'!B287)</f>
        <v/>
      </c>
      <c r="C287">
        <f>IF('Equipment Information'!C287="","", 'Equipment Information'!C287)</f>
        <v/>
      </c>
      <c r="I287">
        <f>IF(A287="","","N/A")</f>
        <v/>
      </c>
    </row>
    <row r="288">
      <c r="A288">
        <f>IF('Equipment Information'!A288="","", 'Equipment Information'!A288)</f>
        <v/>
      </c>
      <c r="B288">
        <f>IF('Equipment Information'!B288="","", 'Equipment Information'!B288)</f>
        <v/>
      </c>
      <c r="C288">
        <f>IF('Equipment Information'!C288="","", 'Equipment Information'!C288)</f>
        <v/>
      </c>
      <c r="I288">
        <f>IF(A288="","","N/A")</f>
        <v/>
      </c>
    </row>
    <row r="289">
      <c r="A289">
        <f>IF('Equipment Information'!A289="","", 'Equipment Information'!A289)</f>
        <v/>
      </c>
      <c r="B289">
        <f>IF('Equipment Information'!B289="","", 'Equipment Information'!B289)</f>
        <v/>
      </c>
      <c r="C289">
        <f>IF('Equipment Information'!C289="","", 'Equipment Information'!C289)</f>
        <v/>
      </c>
      <c r="I289">
        <f>IF(A289="","","N/A")</f>
        <v/>
      </c>
    </row>
    <row r="290">
      <c r="A290">
        <f>IF('Equipment Information'!A290="","", 'Equipment Information'!A290)</f>
        <v/>
      </c>
      <c r="B290">
        <f>IF('Equipment Information'!B290="","", 'Equipment Information'!B290)</f>
        <v/>
      </c>
      <c r="C290">
        <f>IF('Equipment Information'!C290="","", 'Equipment Information'!C290)</f>
        <v/>
      </c>
      <c r="I290">
        <f>IF(A290="","","N/A")</f>
        <v/>
      </c>
    </row>
    <row r="291">
      <c r="A291">
        <f>IF('Equipment Information'!A291="","", 'Equipment Information'!A291)</f>
        <v/>
      </c>
      <c r="B291">
        <f>IF('Equipment Information'!B291="","", 'Equipment Information'!B291)</f>
        <v/>
      </c>
      <c r="C291">
        <f>IF('Equipment Information'!C291="","", 'Equipment Information'!C291)</f>
        <v/>
      </c>
      <c r="I291">
        <f>IF(A291="","","N/A")</f>
        <v/>
      </c>
    </row>
    <row r="292">
      <c r="A292">
        <f>IF('Equipment Information'!A292="","", 'Equipment Information'!A292)</f>
        <v/>
      </c>
      <c r="B292">
        <f>IF('Equipment Information'!B292="","", 'Equipment Information'!B292)</f>
        <v/>
      </c>
      <c r="C292">
        <f>IF('Equipment Information'!C292="","", 'Equipment Information'!C292)</f>
        <v/>
      </c>
      <c r="I292">
        <f>IF(A292="","","N/A")</f>
        <v/>
      </c>
    </row>
    <row r="293">
      <c r="A293">
        <f>IF('Equipment Information'!A293="","", 'Equipment Information'!A293)</f>
        <v/>
      </c>
      <c r="B293">
        <f>IF('Equipment Information'!B293="","", 'Equipment Information'!B293)</f>
        <v/>
      </c>
      <c r="C293">
        <f>IF('Equipment Information'!C293="","", 'Equipment Information'!C293)</f>
        <v/>
      </c>
      <c r="I293">
        <f>IF(A293="","","N/A")</f>
        <v/>
      </c>
    </row>
    <row r="294">
      <c r="A294">
        <f>IF('Equipment Information'!A294="","", 'Equipment Information'!A294)</f>
        <v/>
      </c>
      <c r="B294">
        <f>IF('Equipment Information'!B294="","", 'Equipment Information'!B294)</f>
        <v/>
      </c>
      <c r="C294">
        <f>IF('Equipment Information'!C294="","", 'Equipment Information'!C294)</f>
        <v/>
      </c>
      <c r="I294">
        <f>IF(A294="","","N/A")</f>
        <v/>
      </c>
    </row>
    <row r="295">
      <c r="A295">
        <f>IF('Equipment Information'!A295="","", 'Equipment Information'!A295)</f>
        <v/>
      </c>
      <c r="B295">
        <f>IF('Equipment Information'!B295="","", 'Equipment Information'!B295)</f>
        <v/>
      </c>
      <c r="C295">
        <f>IF('Equipment Information'!C295="","", 'Equipment Information'!C295)</f>
        <v/>
      </c>
      <c r="I295">
        <f>IF(A295="","","N/A")</f>
        <v/>
      </c>
    </row>
    <row r="296">
      <c r="A296">
        <f>IF('Equipment Information'!A296="","", 'Equipment Information'!A296)</f>
        <v/>
      </c>
      <c r="B296">
        <f>IF('Equipment Information'!B296="","", 'Equipment Information'!B296)</f>
        <v/>
      </c>
      <c r="C296">
        <f>IF('Equipment Information'!C296="","", 'Equipment Information'!C296)</f>
        <v/>
      </c>
      <c r="I296">
        <f>IF(A296="","","N/A")</f>
        <v/>
      </c>
    </row>
    <row r="297">
      <c r="A297">
        <f>IF('Equipment Information'!A297="","", 'Equipment Information'!A297)</f>
        <v/>
      </c>
      <c r="B297">
        <f>IF('Equipment Information'!B297="","", 'Equipment Information'!B297)</f>
        <v/>
      </c>
      <c r="C297">
        <f>IF('Equipment Information'!C297="","", 'Equipment Information'!C297)</f>
        <v/>
      </c>
      <c r="I297">
        <f>IF(A297="","","N/A")</f>
        <v/>
      </c>
    </row>
    <row r="298">
      <c r="A298">
        <f>IF('Equipment Information'!A298="","", 'Equipment Information'!A298)</f>
        <v/>
      </c>
      <c r="B298">
        <f>IF('Equipment Information'!B298="","", 'Equipment Information'!B298)</f>
        <v/>
      </c>
      <c r="C298">
        <f>IF('Equipment Information'!C298="","", 'Equipment Information'!C298)</f>
        <v/>
      </c>
      <c r="I298">
        <f>IF(A298="","","N/A")</f>
        <v/>
      </c>
    </row>
    <row r="299">
      <c r="A299">
        <f>IF('Equipment Information'!A299="","", 'Equipment Information'!A299)</f>
        <v/>
      </c>
      <c r="B299">
        <f>IF('Equipment Information'!B299="","", 'Equipment Information'!B299)</f>
        <v/>
      </c>
      <c r="C299">
        <f>IF('Equipment Information'!C299="","", 'Equipment Information'!C299)</f>
        <v/>
      </c>
      <c r="I299">
        <f>IF(A299="","","N/A")</f>
        <v/>
      </c>
    </row>
    <row r="300">
      <c r="A300">
        <f>IF('Equipment Information'!A300="","", 'Equipment Information'!A300)</f>
        <v/>
      </c>
      <c r="B300">
        <f>IF('Equipment Information'!B300="","", 'Equipment Information'!B300)</f>
        <v/>
      </c>
      <c r="C300">
        <f>IF('Equipment Information'!C300="","", 'Equipment Information'!C300)</f>
        <v/>
      </c>
      <c r="I300">
        <f>IF(A300="","","N/A")</f>
        <v/>
      </c>
    </row>
    <row r="301">
      <c r="A301">
        <f>IF('Equipment Information'!A301="","", 'Equipment Information'!A301)</f>
        <v/>
      </c>
      <c r="B301">
        <f>IF('Equipment Information'!B301="","", 'Equipment Information'!B301)</f>
        <v/>
      </c>
      <c r="C301">
        <f>IF('Equipment Information'!C301="","", 'Equipment Information'!C301)</f>
        <v/>
      </c>
      <c r="I301">
        <f>IF(A301="","","N/A")</f>
        <v/>
      </c>
    </row>
    <row r="302">
      <c r="A302">
        <f>IF('Equipment Information'!A302="","", 'Equipment Information'!A302)</f>
        <v/>
      </c>
      <c r="B302">
        <f>IF('Equipment Information'!B302="","", 'Equipment Information'!B302)</f>
        <v/>
      </c>
      <c r="C302">
        <f>IF('Equipment Information'!C302="","", 'Equipment Information'!C302)</f>
        <v/>
      </c>
      <c r="I302">
        <f>IF(A302="","","N/A")</f>
        <v/>
      </c>
    </row>
    <row r="303">
      <c r="A303">
        <f>IF('Equipment Information'!A303="","", 'Equipment Information'!A303)</f>
        <v/>
      </c>
      <c r="B303">
        <f>IF('Equipment Information'!B303="","", 'Equipment Information'!B303)</f>
        <v/>
      </c>
      <c r="C303">
        <f>IF('Equipment Information'!C303="","", 'Equipment Information'!C303)</f>
        <v/>
      </c>
      <c r="I303">
        <f>IF(A303="","","N/A")</f>
        <v/>
      </c>
    </row>
    <row r="304">
      <c r="A304">
        <f>IF('Equipment Information'!A304="","", 'Equipment Information'!A304)</f>
        <v/>
      </c>
      <c r="B304">
        <f>IF('Equipment Information'!B304="","", 'Equipment Information'!B304)</f>
        <v/>
      </c>
      <c r="C304">
        <f>IF('Equipment Information'!C304="","", 'Equipment Information'!C304)</f>
        <v/>
      </c>
      <c r="I304">
        <f>IF(A304="","","N/A")</f>
        <v/>
      </c>
    </row>
    <row r="305">
      <c r="A305">
        <f>IF('Equipment Information'!A305="","", 'Equipment Information'!A305)</f>
        <v/>
      </c>
      <c r="B305">
        <f>IF('Equipment Information'!B305="","", 'Equipment Information'!B305)</f>
        <v/>
      </c>
      <c r="C305">
        <f>IF('Equipment Information'!C305="","", 'Equipment Information'!C305)</f>
        <v/>
      </c>
      <c r="I305">
        <f>IF(A305="","","N/A")</f>
        <v/>
      </c>
    </row>
    <row r="306">
      <c r="A306">
        <f>IF('Equipment Information'!A306="","", 'Equipment Information'!A306)</f>
        <v/>
      </c>
      <c r="B306">
        <f>IF('Equipment Information'!B306="","", 'Equipment Information'!B306)</f>
        <v/>
      </c>
      <c r="C306">
        <f>IF('Equipment Information'!C306="","", 'Equipment Information'!C306)</f>
        <v/>
      </c>
      <c r="I306">
        <f>IF(A306="","","N/A")</f>
        <v/>
      </c>
    </row>
    <row r="307">
      <c r="A307">
        <f>IF('Equipment Information'!A307="","", 'Equipment Information'!A307)</f>
        <v/>
      </c>
      <c r="B307">
        <f>IF('Equipment Information'!B307="","", 'Equipment Information'!B307)</f>
        <v/>
      </c>
      <c r="C307">
        <f>IF('Equipment Information'!C307="","", 'Equipment Information'!C307)</f>
        <v/>
      </c>
      <c r="I307">
        <f>IF(A307="","","N/A")</f>
        <v/>
      </c>
    </row>
    <row r="308">
      <c r="A308">
        <f>IF('Equipment Information'!A308="","", 'Equipment Information'!A308)</f>
        <v/>
      </c>
      <c r="B308">
        <f>IF('Equipment Information'!B308="","", 'Equipment Information'!B308)</f>
        <v/>
      </c>
      <c r="C308">
        <f>IF('Equipment Information'!C308="","", 'Equipment Information'!C308)</f>
        <v/>
      </c>
      <c r="I308">
        <f>IF(A308="","","N/A")</f>
        <v/>
      </c>
    </row>
    <row r="309">
      <c r="A309">
        <f>IF('Equipment Information'!A309="","", 'Equipment Information'!A309)</f>
        <v/>
      </c>
      <c r="B309">
        <f>IF('Equipment Information'!B309="","", 'Equipment Information'!B309)</f>
        <v/>
      </c>
      <c r="C309">
        <f>IF('Equipment Information'!C309="","", 'Equipment Information'!C309)</f>
        <v/>
      </c>
      <c r="I309">
        <f>IF(A309="","","N/A")</f>
        <v/>
      </c>
    </row>
    <row r="310">
      <c r="A310">
        <f>IF('Equipment Information'!A310="","", 'Equipment Information'!A310)</f>
        <v/>
      </c>
      <c r="B310">
        <f>IF('Equipment Information'!B310="","", 'Equipment Information'!B310)</f>
        <v/>
      </c>
      <c r="C310">
        <f>IF('Equipment Information'!C310="","", 'Equipment Information'!C310)</f>
        <v/>
      </c>
      <c r="I310">
        <f>IF(A310="","","N/A")</f>
        <v/>
      </c>
    </row>
    <row r="311">
      <c r="A311">
        <f>IF('Equipment Information'!A311="","", 'Equipment Information'!A311)</f>
        <v/>
      </c>
      <c r="B311">
        <f>IF('Equipment Information'!B311="","", 'Equipment Information'!B311)</f>
        <v/>
      </c>
      <c r="C311">
        <f>IF('Equipment Information'!C311="","", 'Equipment Information'!C311)</f>
        <v/>
      </c>
      <c r="I311">
        <f>IF(A311="","","N/A")</f>
        <v/>
      </c>
    </row>
    <row r="312">
      <c r="A312">
        <f>IF('Equipment Information'!A312="","", 'Equipment Information'!A312)</f>
        <v/>
      </c>
      <c r="B312">
        <f>IF('Equipment Information'!B312="","", 'Equipment Information'!B312)</f>
        <v/>
      </c>
      <c r="C312">
        <f>IF('Equipment Information'!C312="","", 'Equipment Information'!C312)</f>
        <v/>
      </c>
      <c r="I312">
        <f>IF(A312="","","N/A")</f>
        <v/>
      </c>
    </row>
    <row r="313">
      <c r="A313">
        <f>IF('Equipment Information'!A313="","", 'Equipment Information'!A313)</f>
        <v/>
      </c>
      <c r="B313">
        <f>IF('Equipment Information'!B313="","", 'Equipment Information'!B313)</f>
        <v/>
      </c>
      <c r="C313">
        <f>IF('Equipment Information'!C313="","", 'Equipment Information'!C313)</f>
        <v/>
      </c>
      <c r="I313">
        <f>IF(A313="","","N/A")</f>
        <v/>
      </c>
    </row>
    <row r="314">
      <c r="A314">
        <f>IF('Equipment Information'!A314="","", 'Equipment Information'!A314)</f>
        <v/>
      </c>
      <c r="B314">
        <f>IF('Equipment Information'!B314="","", 'Equipment Information'!B314)</f>
        <v/>
      </c>
      <c r="C314">
        <f>IF('Equipment Information'!C314="","", 'Equipment Information'!C314)</f>
        <v/>
      </c>
      <c r="I314">
        <f>IF(A314="","","N/A")</f>
        <v/>
      </c>
    </row>
    <row r="315">
      <c r="A315">
        <f>IF('Equipment Information'!A315="","", 'Equipment Information'!A315)</f>
        <v/>
      </c>
      <c r="B315">
        <f>IF('Equipment Information'!B315="","", 'Equipment Information'!B315)</f>
        <v/>
      </c>
      <c r="C315">
        <f>IF('Equipment Information'!C315="","", 'Equipment Information'!C315)</f>
        <v/>
      </c>
      <c r="I315">
        <f>IF(A315="","","N/A")</f>
        <v/>
      </c>
    </row>
    <row r="316">
      <c r="A316">
        <f>IF('Equipment Information'!A316="","", 'Equipment Information'!A316)</f>
        <v/>
      </c>
      <c r="B316">
        <f>IF('Equipment Information'!B316="","", 'Equipment Information'!B316)</f>
        <v/>
      </c>
      <c r="C316">
        <f>IF('Equipment Information'!C316="","", 'Equipment Information'!C316)</f>
        <v/>
      </c>
      <c r="I316">
        <f>IF(A316="","","N/A")</f>
        <v/>
      </c>
    </row>
    <row r="317">
      <c r="A317">
        <f>IF('Equipment Information'!A317="","", 'Equipment Information'!A317)</f>
        <v/>
      </c>
      <c r="B317">
        <f>IF('Equipment Information'!B317="","", 'Equipment Information'!B317)</f>
        <v/>
      </c>
      <c r="C317">
        <f>IF('Equipment Information'!C317="","", 'Equipment Information'!C317)</f>
        <v/>
      </c>
      <c r="I317">
        <f>IF(A317="","","N/A")</f>
        <v/>
      </c>
    </row>
    <row r="318">
      <c r="A318">
        <f>IF('Equipment Information'!A318="","", 'Equipment Information'!A318)</f>
        <v/>
      </c>
      <c r="B318">
        <f>IF('Equipment Information'!B318="","", 'Equipment Information'!B318)</f>
        <v/>
      </c>
      <c r="C318">
        <f>IF('Equipment Information'!C318="","", 'Equipment Information'!C318)</f>
        <v/>
      </c>
      <c r="I318">
        <f>IF(A318="","","N/A")</f>
        <v/>
      </c>
    </row>
    <row r="319">
      <c r="A319">
        <f>IF('Equipment Information'!A319="","", 'Equipment Information'!A319)</f>
        <v/>
      </c>
      <c r="B319">
        <f>IF('Equipment Information'!B319="","", 'Equipment Information'!B319)</f>
        <v/>
      </c>
      <c r="C319">
        <f>IF('Equipment Information'!C319="","", 'Equipment Information'!C319)</f>
        <v/>
      </c>
      <c r="I319">
        <f>IF(A319="","","N/A")</f>
        <v/>
      </c>
    </row>
    <row r="320">
      <c r="A320">
        <f>IF('Equipment Information'!A320="","", 'Equipment Information'!A320)</f>
        <v/>
      </c>
      <c r="B320">
        <f>IF('Equipment Information'!B320="","", 'Equipment Information'!B320)</f>
        <v/>
      </c>
      <c r="C320">
        <f>IF('Equipment Information'!C320="","", 'Equipment Information'!C320)</f>
        <v/>
      </c>
      <c r="I320">
        <f>IF(A320="","","N/A")</f>
        <v/>
      </c>
    </row>
    <row r="321">
      <c r="A321">
        <f>IF('Equipment Information'!A321="","", 'Equipment Information'!A321)</f>
        <v/>
      </c>
      <c r="B321">
        <f>IF('Equipment Information'!B321="","", 'Equipment Information'!B321)</f>
        <v/>
      </c>
      <c r="C321">
        <f>IF('Equipment Information'!C321="","", 'Equipment Information'!C321)</f>
        <v/>
      </c>
      <c r="I321">
        <f>IF(A321="","","N/A")</f>
        <v/>
      </c>
    </row>
    <row r="322">
      <c r="A322">
        <f>IF('Equipment Information'!A322="","", 'Equipment Information'!A322)</f>
        <v/>
      </c>
      <c r="B322">
        <f>IF('Equipment Information'!B322="","", 'Equipment Information'!B322)</f>
        <v/>
      </c>
      <c r="C322">
        <f>IF('Equipment Information'!C322="","", 'Equipment Information'!C322)</f>
        <v/>
      </c>
      <c r="I322">
        <f>IF(A322="","","N/A")</f>
        <v/>
      </c>
    </row>
    <row r="323">
      <c r="A323">
        <f>IF('Equipment Information'!A323="","", 'Equipment Information'!A323)</f>
        <v/>
      </c>
      <c r="B323">
        <f>IF('Equipment Information'!B323="","", 'Equipment Information'!B323)</f>
        <v/>
      </c>
      <c r="C323">
        <f>IF('Equipment Information'!C323="","", 'Equipment Information'!C323)</f>
        <v/>
      </c>
      <c r="I323">
        <f>IF(A323="","","N/A")</f>
        <v/>
      </c>
    </row>
    <row r="324">
      <c r="A324">
        <f>IF('Equipment Information'!A324="","", 'Equipment Information'!A324)</f>
        <v/>
      </c>
      <c r="B324">
        <f>IF('Equipment Information'!B324="","", 'Equipment Information'!B324)</f>
        <v/>
      </c>
      <c r="C324">
        <f>IF('Equipment Information'!C324="","", 'Equipment Information'!C324)</f>
        <v/>
      </c>
      <c r="I324">
        <f>IF(A324="","","N/A")</f>
        <v/>
      </c>
    </row>
    <row r="325">
      <c r="A325">
        <f>IF('Equipment Information'!A325="","", 'Equipment Information'!A325)</f>
        <v/>
      </c>
      <c r="B325">
        <f>IF('Equipment Information'!B325="","", 'Equipment Information'!B325)</f>
        <v/>
      </c>
      <c r="C325">
        <f>IF('Equipment Information'!C325="","", 'Equipment Information'!C325)</f>
        <v/>
      </c>
      <c r="I325">
        <f>IF(A325="","","N/A")</f>
        <v/>
      </c>
    </row>
    <row r="326">
      <c r="A326">
        <f>IF('Equipment Information'!A326="","", 'Equipment Information'!A326)</f>
        <v/>
      </c>
      <c r="B326">
        <f>IF('Equipment Information'!B326="","", 'Equipment Information'!B326)</f>
        <v/>
      </c>
      <c r="C326">
        <f>IF('Equipment Information'!C326="","", 'Equipment Information'!C326)</f>
        <v/>
      </c>
      <c r="I326">
        <f>IF(A326="","","N/A")</f>
        <v/>
      </c>
    </row>
    <row r="327">
      <c r="A327">
        <f>IF('Equipment Information'!A327="","", 'Equipment Information'!A327)</f>
        <v/>
      </c>
      <c r="B327">
        <f>IF('Equipment Information'!B327="","", 'Equipment Information'!B327)</f>
        <v/>
      </c>
      <c r="C327">
        <f>IF('Equipment Information'!C327="","", 'Equipment Information'!C327)</f>
        <v/>
      </c>
      <c r="I327">
        <f>IF(A327="","","N/A")</f>
        <v/>
      </c>
    </row>
    <row r="328">
      <c r="A328">
        <f>IF('Equipment Information'!A328="","", 'Equipment Information'!A328)</f>
        <v/>
      </c>
      <c r="B328">
        <f>IF('Equipment Information'!B328="","", 'Equipment Information'!B328)</f>
        <v/>
      </c>
      <c r="C328">
        <f>IF('Equipment Information'!C328="","", 'Equipment Information'!C328)</f>
        <v/>
      </c>
      <c r="I328">
        <f>IF(A328="","","N/A")</f>
        <v/>
      </c>
    </row>
    <row r="329">
      <c r="A329">
        <f>IF('Equipment Information'!A329="","", 'Equipment Information'!A329)</f>
        <v/>
      </c>
      <c r="B329">
        <f>IF('Equipment Information'!B329="","", 'Equipment Information'!B329)</f>
        <v/>
      </c>
      <c r="C329">
        <f>IF('Equipment Information'!C329="","", 'Equipment Information'!C329)</f>
        <v/>
      </c>
      <c r="I329">
        <f>IF(A329="","","N/A")</f>
        <v/>
      </c>
    </row>
    <row r="330">
      <c r="A330">
        <f>IF('Equipment Information'!A330="","", 'Equipment Information'!A330)</f>
        <v/>
      </c>
      <c r="B330">
        <f>IF('Equipment Information'!B330="","", 'Equipment Information'!B330)</f>
        <v/>
      </c>
      <c r="C330">
        <f>IF('Equipment Information'!C330="","", 'Equipment Information'!C330)</f>
        <v/>
      </c>
      <c r="I330">
        <f>IF(A330="","","N/A")</f>
        <v/>
      </c>
    </row>
    <row r="331">
      <c r="A331">
        <f>IF('Equipment Information'!A331="","", 'Equipment Information'!A331)</f>
        <v/>
      </c>
      <c r="B331">
        <f>IF('Equipment Information'!B331="","", 'Equipment Information'!B331)</f>
        <v/>
      </c>
      <c r="C331">
        <f>IF('Equipment Information'!C331="","", 'Equipment Information'!C331)</f>
        <v/>
      </c>
      <c r="I331">
        <f>IF(A331="","","N/A")</f>
        <v/>
      </c>
    </row>
    <row r="332">
      <c r="A332">
        <f>IF('Equipment Information'!A332="","", 'Equipment Information'!A332)</f>
        <v/>
      </c>
      <c r="B332">
        <f>IF('Equipment Information'!B332="","", 'Equipment Information'!B332)</f>
        <v/>
      </c>
      <c r="C332">
        <f>IF('Equipment Information'!C332="","", 'Equipment Information'!C332)</f>
        <v/>
      </c>
      <c r="I332">
        <f>IF(A332="","","N/A")</f>
        <v/>
      </c>
    </row>
    <row r="333">
      <c r="A333">
        <f>IF('Equipment Information'!A333="","", 'Equipment Information'!A333)</f>
        <v/>
      </c>
      <c r="B333">
        <f>IF('Equipment Information'!B333="","", 'Equipment Information'!B333)</f>
        <v/>
      </c>
      <c r="C333">
        <f>IF('Equipment Information'!C333="","", 'Equipment Information'!C333)</f>
        <v/>
      </c>
      <c r="I333">
        <f>IF(A333="","","N/A")</f>
        <v/>
      </c>
    </row>
    <row r="334">
      <c r="A334">
        <f>IF('Equipment Information'!A334="","", 'Equipment Information'!A334)</f>
        <v/>
      </c>
      <c r="B334">
        <f>IF('Equipment Information'!B334="","", 'Equipment Information'!B334)</f>
        <v/>
      </c>
      <c r="C334">
        <f>IF('Equipment Information'!C334="","", 'Equipment Information'!C334)</f>
        <v/>
      </c>
      <c r="I334">
        <f>IF(A334="","","N/A")</f>
        <v/>
      </c>
    </row>
    <row r="335">
      <c r="A335">
        <f>IF('Equipment Information'!A335="","", 'Equipment Information'!A335)</f>
        <v/>
      </c>
      <c r="B335">
        <f>IF('Equipment Information'!B335="","", 'Equipment Information'!B335)</f>
        <v/>
      </c>
      <c r="C335">
        <f>IF('Equipment Information'!C335="","", 'Equipment Information'!C335)</f>
        <v/>
      </c>
      <c r="I335">
        <f>IF(A335="","","N/A")</f>
        <v/>
      </c>
    </row>
    <row r="336">
      <c r="A336">
        <f>IF('Equipment Information'!A336="","", 'Equipment Information'!A336)</f>
        <v/>
      </c>
      <c r="B336">
        <f>IF('Equipment Information'!B336="","", 'Equipment Information'!B336)</f>
        <v/>
      </c>
      <c r="C336">
        <f>IF('Equipment Information'!C336="","", 'Equipment Information'!C336)</f>
        <v/>
      </c>
      <c r="I336">
        <f>IF(A336="","","N/A")</f>
        <v/>
      </c>
    </row>
    <row r="337">
      <c r="A337">
        <f>IF('Equipment Information'!A337="","", 'Equipment Information'!A337)</f>
        <v/>
      </c>
      <c r="B337">
        <f>IF('Equipment Information'!B337="","", 'Equipment Information'!B337)</f>
        <v/>
      </c>
      <c r="C337">
        <f>IF('Equipment Information'!C337="","", 'Equipment Information'!C337)</f>
        <v/>
      </c>
      <c r="I337">
        <f>IF(A337="","","N/A")</f>
        <v/>
      </c>
    </row>
    <row r="338">
      <c r="A338">
        <f>IF('Equipment Information'!A338="","", 'Equipment Information'!A338)</f>
        <v/>
      </c>
      <c r="B338">
        <f>IF('Equipment Information'!B338="","", 'Equipment Information'!B338)</f>
        <v/>
      </c>
      <c r="C338">
        <f>IF('Equipment Information'!C338="","", 'Equipment Information'!C338)</f>
        <v/>
      </c>
      <c r="I338">
        <f>IF(A338="","","N/A")</f>
        <v/>
      </c>
    </row>
    <row r="339">
      <c r="A339">
        <f>IF('Equipment Information'!A339="","", 'Equipment Information'!A339)</f>
        <v/>
      </c>
      <c r="B339">
        <f>IF('Equipment Information'!B339="","", 'Equipment Information'!B339)</f>
        <v/>
      </c>
      <c r="C339">
        <f>IF('Equipment Information'!C339="","", 'Equipment Information'!C339)</f>
        <v/>
      </c>
      <c r="I339">
        <f>IF(A339="","","N/A")</f>
        <v/>
      </c>
    </row>
    <row r="340">
      <c r="A340">
        <f>IF('Equipment Information'!A340="","", 'Equipment Information'!A340)</f>
        <v/>
      </c>
      <c r="B340">
        <f>IF('Equipment Information'!B340="","", 'Equipment Information'!B340)</f>
        <v/>
      </c>
      <c r="C340">
        <f>IF('Equipment Information'!C340="","", 'Equipment Information'!C340)</f>
        <v/>
      </c>
      <c r="I340">
        <f>IF(A340="","","N/A")</f>
        <v/>
      </c>
    </row>
    <row r="341">
      <c r="A341">
        <f>IF('Equipment Information'!A341="","", 'Equipment Information'!A341)</f>
        <v/>
      </c>
      <c r="B341">
        <f>IF('Equipment Information'!B341="","", 'Equipment Information'!B341)</f>
        <v/>
      </c>
      <c r="C341">
        <f>IF('Equipment Information'!C341="","", 'Equipment Information'!C341)</f>
        <v/>
      </c>
      <c r="I341">
        <f>IF(A341="","","N/A")</f>
        <v/>
      </c>
    </row>
    <row r="342">
      <c r="A342">
        <f>IF('Equipment Information'!A342="","", 'Equipment Information'!A342)</f>
        <v/>
      </c>
      <c r="B342">
        <f>IF('Equipment Information'!B342="","", 'Equipment Information'!B342)</f>
        <v/>
      </c>
      <c r="C342">
        <f>IF('Equipment Information'!C342="","", 'Equipment Information'!C342)</f>
        <v/>
      </c>
      <c r="I342">
        <f>IF(A342="","","N/A")</f>
        <v/>
      </c>
    </row>
    <row r="343">
      <c r="A343">
        <f>IF('Equipment Information'!A343="","", 'Equipment Information'!A343)</f>
        <v/>
      </c>
      <c r="B343">
        <f>IF('Equipment Information'!B343="","", 'Equipment Information'!B343)</f>
        <v/>
      </c>
      <c r="C343">
        <f>IF('Equipment Information'!C343="","", 'Equipment Information'!C343)</f>
        <v/>
      </c>
      <c r="I343">
        <f>IF(A343="","","N/A")</f>
        <v/>
      </c>
    </row>
    <row r="344">
      <c r="A344">
        <f>IF('Equipment Information'!A344="","", 'Equipment Information'!A344)</f>
        <v/>
      </c>
      <c r="B344">
        <f>IF('Equipment Information'!B344="","", 'Equipment Information'!B344)</f>
        <v/>
      </c>
      <c r="C344">
        <f>IF('Equipment Information'!C344="","", 'Equipment Information'!C344)</f>
        <v/>
      </c>
      <c r="I344">
        <f>IF(A344="","","N/A")</f>
        <v/>
      </c>
    </row>
    <row r="345">
      <c r="A345">
        <f>IF('Equipment Information'!A345="","", 'Equipment Information'!A345)</f>
        <v/>
      </c>
      <c r="B345">
        <f>IF('Equipment Information'!B345="","", 'Equipment Information'!B345)</f>
        <v/>
      </c>
      <c r="C345">
        <f>IF('Equipment Information'!C345="","", 'Equipment Information'!C345)</f>
        <v/>
      </c>
      <c r="I345">
        <f>IF(A345="","","N/A")</f>
        <v/>
      </c>
    </row>
    <row r="346">
      <c r="A346">
        <f>IF('Equipment Information'!A346="","", 'Equipment Information'!A346)</f>
        <v/>
      </c>
      <c r="B346">
        <f>IF('Equipment Information'!B346="","", 'Equipment Information'!B346)</f>
        <v/>
      </c>
      <c r="C346">
        <f>IF('Equipment Information'!C346="","", 'Equipment Information'!C346)</f>
        <v/>
      </c>
      <c r="I346">
        <f>IF(A346="","","N/A")</f>
        <v/>
      </c>
    </row>
    <row r="347">
      <c r="A347">
        <f>IF('Equipment Information'!A347="","", 'Equipment Information'!A347)</f>
        <v/>
      </c>
      <c r="B347">
        <f>IF('Equipment Information'!B347="","", 'Equipment Information'!B347)</f>
        <v/>
      </c>
      <c r="C347">
        <f>IF('Equipment Information'!C347="","", 'Equipment Information'!C347)</f>
        <v/>
      </c>
      <c r="I347">
        <f>IF(A347="","","N/A")</f>
        <v/>
      </c>
    </row>
    <row r="348">
      <c r="A348">
        <f>IF('Equipment Information'!A348="","", 'Equipment Information'!A348)</f>
        <v/>
      </c>
      <c r="B348">
        <f>IF('Equipment Information'!B348="","", 'Equipment Information'!B348)</f>
        <v/>
      </c>
      <c r="C348">
        <f>IF('Equipment Information'!C348="","", 'Equipment Information'!C348)</f>
        <v/>
      </c>
      <c r="I348">
        <f>IF(A348="","","N/A")</f>
        <v/>
      </c>
    </row>
    <row r="349">
      <c r="A349">
        <f>IF('Equipment Information'!A349="","", 'Equipment Information'!A349)</f>
        <v/>
      </c>
      <c r="B349">
        <f>IF('Equipment Information'!B349="","", 'Equipment Information'!B349)</f>
        <v/>
      </c>
      <c r="C349">
        <f>IF('Equipment Information'!C349="","", 'Equipment Information'!C349)</f>
        <v/>
      </c>
      <c r="I349">
        <f>IF(A349="","","N/A")</f>
        <v/>
      </c>
    </row>
    <row r="350">
      <c r="A350">
        <f>IF('Equipment Information'!A350="","", 'Equipment Information'!A350)</f>
        <v/>
      </c>
      <c r="B350">
        <f>IF('Equipment Information'!B350="","", 'Equipment Information'!B350)</f>
        <v/>
      </c>
      <c r="C350">
        <f>IF('Equipment Information'!C350="","", 'Equipment Information'!C350)</f>
        <v/>
      </c>
      <c r="I350">
        <f>IF(A350="","","N/A")</f>
        <v/>
      </c>
    </row>
    <row r="351">
      <c r="A351">
        <f>IF('Equipment Information'!A351="","", 'Equipment Information'!A351)</f>
        <v/>
      </c>
      <c r="B351">
        <f>IF('Equipment Information'!B351="","", 'Equipment Information'!B351)</f>
        <v/>
      </c>
      <c r="C351">
        <f>IF('Equipment Information'!C351="","", 'Equipment Information'!C351)</f>
        <v/>
      </c>
      <c r="I351">
        <f>IF(A351="","","N/A")</f>
        <v/>
      </c>
    </row>
    <row r="352">
      <c r="A352">
        <f>IF('Equipment Information'!A352="","", 'Equipment Information'!A352)</f>
        <v/>
      </c>
      <c r="B352">
        <f>IF('Equipment Information'!B352="","", 'Equipment Information'!B352)</f>
        <v/>
      </c>
      <c r="C352">
        <f>IF('Equipment Information'!C352="","", 'Equipment Information'!C352)</f>
        <v/>
      </c>
      <c r="I352">
        <f>IF(A352="","","N/A")</f>
        <v/>
      </c>
    </row>
    <row r="353">
      <c r="A353">
        <f>IF('Equipment Information'!A353="","", 'Equipment Information'!A353)</f>
        <v/>
      </c>
      <c r="B353">
        <f>IF('Equipment Information'!B353="","", 'Equipment Information'!B353)</f>
        <v/>
      </c>
      <c r="C353">
        <f>IF('Equipment Information'!C353="","", 'Equipment Information'!C353)</f>
        <v/>
      </c>
      <c r="I353">
        <f>IF(A353="","","N/A")</f>
        <v/>
      </c>
    </row>
    <row r="354">
      <c r="A354">
        <f>IF('Equipment Information'!A354="","", 'Equipment Information'!A354)</f>
        <v/>
      </c>
      <c r="B354">
        <f>IF('Equipment Information'!B354="","", 'Equipment Information'!B354)</f>
        <v/>
      </c>
      <c r="C354">
        <f>IF('Equipment Information'!C354="","", 'Equipment Information'!C354)</f>
        <v/>
      </c>
      <c r="I354">
        <f>IF(A354="","","N/A")</f>
        <v/>
      </c>
    </row>
    <row r="355">
      <c r="A355">
        <f>IF('Equipment Information'!A355="","", 'Equipment Information'!A355)</f>
        <v/>
      </c>
      <c r="B355">
        <f>IF('Equipment Information'!B355="","", 'Equipment Information'!B355)</f>
        <v/>
      </c>
      <c r="C355">
        <f>IF('Equipment Information'!C355="","", 'Equipment Information'!C355)</f>
        <v/>
      </c>
      <c r="I355">
        <f>IF(A355="","","N/A")</f>
        <v/>
      </c>
    </row>
    <row r="356">
      <c r="A356">
        <f>IF('Equipment Information'!A356="","", 'Equipment Information'!A356)</f>
        <v/>
      </c>
      <c r="B356">
        <f>IF('Equipment Information'!B356="","", 'Equipment Information'!B356)</f>
        <v/>
      </c>
      <c r="C356">
        <f>IF('Equipment Information'!C356="","", 'Equipment Information'!C356)</f>
        <v/>
      </c>
      <c r="I356">
        <f>IF(A356="","","N/A")</f>
        <v/>
      </c>
    </row>
    <row r="357">
      <c r="A357">
        <f>IF('Equipment Information'!A357="","", 'Equipment Information'!A357)</f>
        <v/>
      </c>
      <c r="B357">
        <f>IF('Equipment Information'!B357="","", 'Equipment Information'!B357)</f>
        <v/>
      </c>
      <c r="C357">
        <f>IF('Equipment Information'!C357="","", 'Equipment Information'!C357)</f>
        <v/>
      </c>
      <c r="I357">
        <f>IF(A357="","","N/A")</f>
        <v/>
      </c>
    </row>
    <row r="358">
      <c r="A358">
        <f>IF('Equipment Information'!A358="","", 'Equipment Information'!A358)</f>
        <v/>
      </c>
      <c r="B358">
        <f>IF('Equipment Information'!B358="","", 'Equipment Information'!B358)</f>
        <v/>
      </c>
      <c r="C358">
        <f>IF('Equipment Information'!C358="","", 'Equipment Information'!C358)</f>
        <v/>
      </c>
      <c r="I358">
        <f>IF(A358="","","N/A")</f>
        <v/>
      </c>
    </row>
    <row r="359">
      <c r="A359">
        <f>IF('Equipment Information'!A359="","", 'Equipment Information'!A359)</f>
        <v/>
      </c>
      <c r="B359">
        <f>IF('Equipment Information'!B359="","", 'Equipment Information'!B359)</f>
        <v/>
      </c>
      <c r="C359">
        <f>IF('Equipment Information'!C359="","", 'Equipment Information'!C359)</f>
        <v/>
      </c>
      <c r="I359">
        <f>IF(A359="","","N/A")</f>
        <v/>
      </c>
    </row>
    <row r="360">
      <c r="A360">
        <f>IF('Equipment Information'!A360="","", 'Equipment Information'!A360)</f>
        <v/>
      </c>
      <c r="B360">
        <f>IF('Equipment Information'!B360="","", 'Equipment Information'!B360)</f>
        <v/>
      </c>
      <c r="C360">
        <f>IF('Equipment Information'!C360="","", 'Equipment Information'!C360)</f>
        <v/>
      </c>
      <c r="I360">
        <f>IF(A360="","","N/A")</f>
        <v/>
      </c>
    </row>
    <row r="361">
      <c r="A361">
        <f>IF('Equipment Information'!A361="","", 'Equipment Information'!A361)</f>
        <v/>
      </c>
      <c r="B361">
        <f>IF('Equipment Information'!B361="","", 'Equipment Information'!B361)</f>
        <v/>
      </c>
      <c r="C361">
        <f>IF('Equipment Information'!C361="","", 'Equipment Information'!C361)</f>
        <v/>
      </c>
      <c r="I361">
        <f>IF(A361="","","N/A")</f>
        <v/>
      </c>
    </row>
    <row r="362">
      <c r="A362">
        <f>IF('Equipment Information'!A362="","", 'Equipment Information'!A362)</f>
        <v/>
      </c>
      <c r="B362">
        <f>IF('Equipment Information'!B362="","", 'Equipment Information'!B362)</f>
        <v/>
      </c>
      <c r="C362">
        <f>IF('Equipment Information'!C362="","", 'Equipment Information'!C362)</f>
        <v/>
      </c>
      <c r="I362">
        <f>IF(A362="","","N/A")</f>
        <v/>
      </c>
    </row>
    <row r="363">
      <c r="A363">
        <f>IF('Equipment Information'!A363="","", 'Equipment Information'!A363)</f>
        <v/>
      </c>
      <c r="B363">
        <f>IF('Equipment Information'!B363="","", 'Equipment Information'!B363)</f>
        <v/>
      </c>
      <c r="C363">
        <f>IF('Equipment Information'!C363="","", 'Equipment Information'!C363)</f>
        <v/>
      </c>
      <c r="I363">
        <f>IF(A363="","","N/A")</f>
        <v/>
      </c>
    </row>
    <row r="364">
      <c r="A364">
        <f>IF('Equipment Information'!A364="","", 'Equipment Information'!A364)</f>
        <v/>
      </c>
      <c r="B364">
        <f>IF('Equipment Information'!B364="","", 'Equipment Information'!B364)</f>
        <v/>
      </c>
      <c r="C364">
        <f>IF('Equipment Information'!C364="","", 'Equipment Information'!C364)</f>
        <v/>
      </c>
      <c r="I364">
        <f>IF(A364="","","N/A")</f>
        <v/>
      </c>
    </row>
    <row r="365">
      <c r="A365">
        <f>IF('Equipment Information'!A365="","", 'Equipment Information'!A365)</f>
        <v/>
      </c>
      <c r="B365">
        <f>IF('Equipment Information'!B365="","", 'Equipment Information'!B365)</f>
        <v/>
      </c>
      <c r="C365">
        <f>IF('Equipment Information'!C365="","", 'Equipment Information'!C365)</f>
        <v/>
      </c>
      <c r="I365">
        <f>IF(A365="","","N/A")</f>
        <v/>
      </c>
    </row>
    <row r="366">
      <c r="A366">
        <f>IF('Equipment Information'!A366="","", 'Equipment Information'!A366)</f>
        <v/>
      </c>
      <c r="B366">
        <f>IF('Equipment Information'!B366="","", 'Equipment Information'!B366)</f>
        <v/>
      </c>
      <c r="C366">
        <f>IF('Equipment Information'!C366="","", 'Equipment Information'!C366)</f>
        <v/>
      </c>
      <c r="I366">
        <f>IF(A366="","","N/A")</f>
        <v/>
      </c>
    </row>
    <row r="367">
      <c r="A367">
        <f>IF('Equipment Information'!A367="","", 'Equipment Information'!A367)</f>
        <v/>
      </c>
      <c r="B367">
        <f>IF('Equipment Information'!B367="","", 'Equipment Information'!B367)</f>
        <v/>
      </c>
      <c r="C367">
        <f>IF('Equipment Information'!C367="","", 'Equipment Information'!C367)</f>
        <v/>
      </c>
      <c r="I367">
        <f>IF(A367="","","N/A")</f>
        <v/>
      </c>
    </row>
    <row r="368">
      <c r="A368">
        <f>IF('Equipment Information'!A368="","", 'Equipment Information'!A368)</f>
        <v/>
      </c>
      <c r="B368">
        <f>IF('Equipment Information'!B368="","", 'Equipment Information'!B368)</f>
        <v/>
      </c>
      <c r="C368">
        <f>IF('Equipment Information'!C368="","", 'Equipment Information'!C368)</f>
        <v/>
      </c>
      <c r="I368">
        <f>IF(A368="","","N/A")</f>
        <v/>
      </c>
    </row>
    <row r="369">
      <c r="A369">
        <f>IF('Equipment Information'!A369="","", 'Equipment Information'!A369)</f>
        <v/>
      </c>
      <c r="B369">
        <f>IF('Equipment Information'!B369="","", 'Equipment Information'!B369)</f>
        <v/>
      </c>
      <c r="C369">
        <f>IF('Equipment Information'!C369="","", 'Equipment Information'!C369)</f>
        <v/>
      </c>
      <c r="I369">
        <f>IF(A369="","","N/A")</f>
        <v/>
      </c>
    </row>
    <row r="370">
      <c r="A370">
        <f>IF('Equipment Information'!A370="","", 'Equipment Information'!A370)</f>
        <v/>
      </c>
      <c r="B370">
        <f>IF('Equipment Information'!B370="","", 'Equipment Information'!B370)</f>
        <v/>
      </c>
      <c r="C370">
        <f>IF('Equipment Information'!C370="","", 'Equipment Information'!C370)</f>
        <v/>
      </c>
      <c r="I370">
        <f>IF(A370="","","N/A")</f>
        <v/>
      </c>
    </row>
    <row r="371">
      <c r="A371">
        <f>IF('Equipment Information'!A371="","", 'Equipment Information'!A371)</f>
        <v/>
      </c>
      <c r="B371">
        <f>IF('Equipment Information'!B371="","", 'Equipment Information'!B371)</f>
        <v/>
      </c>
      <c r="C371">
        <f>IF('Equipment Information'!C371="","", 'Equipment Information'!C371)</f>
        <v/>
      </c>
      <c r="I371">
        <f>IF(A371="","","N/A")</f>
        <v/>
      </c>
    </row>
    <row r="372">
      <c r="A372">
        <f>IF('Equipment Information'!A372="","", 'Equipment Information'!A372)</f>
        <v/>
      </c>
      <c r="B372">
        <f>IF('Equipment Information'!B372="","", 'Equipment Information'!B372)</f>
        <v/>
      </c>
      <c r="C372">
        <f>IF('Equipment Information'!C372="","", 'Equipment Information'!C372)</f>
        <v/>
      </c>
      <c r="I372">
        <f>IF(A372="","","N/A")</f>
        <v/>
      </c>
    </row>
    <row r="373">
      <c r="A373">
        <f>IF('Equipment Information'!A373="","", 'Equipment Information'!A373)</f>
        <v/>
      </c>
      <c r="B373">
        <f>IF('Equipment Information'!B373="","", 'Equipment Information'!B373)</f>
        <v/>
      </c>
      <c r="C373">
        <f>IF('Equipment Information'!C373="","", 'Equipment Information'!C373)</f>
        <v/>
      </c>
      <c r="I373">
        <f>IF(A373="","","N/A")</f>
        <v/>
      </c>
    </row>
    <row r="374">
      <c r="A374">
        <f>IF('Equipment Information'!A374="","", 'Equipment Information'!A374)</f>
        <v/>
      </c>
      <c r="B374">
        <f>IF('Equipment Information'!B374="","", 'Equipment Information'!B374)</f>
        <v/>
      </c>
      <c r="C374">
        <f>IF('Equipment Information'!C374="","", 'Equipment Information'!C374)</f>
        <v/>
      </c>
      <c r="I374">
        <f>IF(A374="","","N/A")</f>
        <v/>
      </c>
    </row>
    <row r="375">
      <c r="A375">
        <f>IF('Equipment Information'!A375="","", 'Equipment Information'!A375)</f>
        <v/>
      </c>
      <c r="B375">
        <f>IF('Equipment Information'!B375="","", 'Equipment Information'!B375)</f>
        <v/>
      </c>
      <c r="C375">
        <f>IF('Equipment Information'!C375="","", 'Equipment Information'!C375)</f>
        <v/>
      </c>
      <c r="I375">
        <f>IF(A375="","","N/A")</f>
        <v/>
      </c>
    </row>
    <row r="376">
      <c r="A376">
        <f>IF('Equipment Information'!A376="","", 'Equipment Information'!A376)</f>
        <v/>
      </c>
      <c r="B376">
        <f>IF('Equipment Information'!B376="","", 'Equipment Information'!B376)</f>
        <v/>
      </c>
      <c r="C376">
        <f>IF('Equipment Information'!C376="","", 'Equipment Information'!C376)</f>
        <v/>
      </c>
      <c r="I376">
        <f>IF(A376="","","N/A")</f>
        <v/>
      </c>
    </row>
    <row r="377">
      <c r="A377">
        <f>IF('Equipment Information'!A377="","", 'Equipment Information'!A377)</f>
        <v/>
      </c>
      <c r="B377">
        <f>IF('Equipment Information'!B377="","", 'Equipment Information'!B377)</f>
        <v/>
      </c>
      <c r="C377">
        <f>IF('Equipment Information'!C377="","", 'Equipment Information'!C377)</f>
        <v/>
      </c>
      <c r="I377">
        <f>IF(A377="","","N/A")</f>
        <v/>
      </c>
    </row>
    <row r="378">
      <c r="A378">
        <f>IF('Equipment Information'!A378="","", 'Equipment Information'!A378)</f>
        <v/>
      </c>
      <c r="B378">
        <f>IF('Equipment Information'!B378="","", 'Equipment Information'!B378)</f>
        <v/>
      </c>
      <c r="C378">
        <f>IF('Equipment Information'!C378="","", 'Equipment Information'!C378)</f>
        <v/>
      </c>
      <c r="I378">
        <f>IF(A378="","","N/A")</f>
        <v/>
      </c>
    </row>
    <row r="379">
      <c r="A379">
        <f>IF('Equipment Information'!A379="","", 'Equipment Information'!A379)</f>
        <v/>
      </c>
      <c r="B379">
        <f>IF('Equipment Information'!B379="","", 'Equipment Information'!B379)</f>
        <v/>
      </c>
      <c r="C379">
        <f>IF('Equipment Information'!C379="","", 'Equipment Information'!C379)</f>
        <v/>
      </c>
      <c r="I379">
        <f>IF(A379="","","N/A")</f>
        <v/>
      </c>
    </row>
    <row r="380">
      <c r="A380">
        <f>IF('Equipment Information'!A380="","", 'Equipment Information'!A380)</f>
        <v/>
      </c>
      <c r="B380">
        <f>IF('Equipment Information'!B380="","", 'Equipment Information'!B380)</f>
        <v/>
      </c>
      <c r="C380">
        <f>IF('Equipment Information'!C380="","", 'Equipment Information'!C380)</f>
        <v/>
      </c>
      <c r="I380">
        <f>IF(A380="","","N/A")</f>
        <v/>
      </c>
    </row>
    <row r="381">
      <c r="A381">
        <f>IF('Equipment Information'!A381="","", 'Equipment Information'!A381)</f>
        <v/>
      </c>
      <c r="B381">
        <f>IF('Equipment Information'!B381="","", 'Equipment Information'!B381)</f>
        <v/>
      </c>
      <c r="C381">
        <f>IF('Equipment Information'!C381="","", 'Equipment Information'!C381)</f>
        <v/>
      </c>
      <c r="I381">
        <f>IF(A381="","","N/A")</f>
        <v/>
      </c>
    </row>
    <row r="382">
      <c r="A382">
        <f>IF('Equipment Information'!A382="","", 'Equipment Information'!A382)</f>
        <v/>
      </c>
      <c r="B382">
        <f>IF('Equipment Information'!B382="","", 'Equipment Information'!B382)</f>
        <v/>
      </c>
      <c r="C382">
        <f>IF('Equipment Information'!C382="","", 'Equipment Information'!C382)</f>
        <v/>
      </c>
      <c r="I382">
        <f>IF(A382="","","N/A")</f>
        <v/>
      </c>
    </row>
    <row r="383">
      <c r="A383">
        <f>IF('Equipment Information'!A383="","", 'Equipment Information'!A383)</f>
        <v/>
      </c>
      <c r="B383">
        <f>IF('Equipment Information'!B383="","", 'Equipment Information'!B383)</f>
        <v/>
      </c>
      <c r="C383">
        <f>IF('Equipment Information'!C383="","", 'Equipment Information'!C383)</f>
        <v/>
      </c>
      <c r="I383">
        <f>IF(A383="","","N/A")</f>
        <v/>
      </c>
    </row>
    <row r="384">
      <c r="A384">
        <f>IF('Equipment Information'!A384="","", 'Equipment Information'!A384)</f>
        <v/>
      </c>
      <c r="B384">
        <f>IF('Equipment Information'!B384="","", 'Equipment Information'!B384)</f>
        <v/>
      </c>
      <c r="C384">
        <f>IF('Equipment Information'!C384="","", 'Equipment Information'!C384)</f>
        <v/>
      </c>
      <c r="I384">
        <f>IF(A384="","","N/A")</f>
        <v/>
      </c>
    </row>
    <row r="385">
      <c r="A385">
        <f>IF('Equipment Information'!A385="","", 'Equipment Information'!A385)</f>
        <v/>
      </c>
      <c r="B385">
        <f>IF('Equipment Information'!B385="","", 'Equipment Information'!B385)</f>
        <v/>
      </c>
      <c r="C385">
        <f>IF('Equipment Information'!C385="","", 'Equipment Information'!C385)</f>
        <v/>
      </c>
      <c r="I385">
        <f>IF(A385="","","N/A")</f>
        <v/>
      </c>
    </row>
    <row r="386">
      <c r="A386">
        <f>IF('Equipment Information'!A386="","", 'Equipment Information'!A386)</f>
        <v/>
      </c>
      <c r="B386">
        <f>IF('Equipment Information'!B386="","", 'Equipment Information'!B386)</f>
        <v/>
      </c>
      <c r="C386">
        <f>IF('Equipment Information'!C386="","", 'Equipment Information'!C386)</f>
        <v/>
      </c>
      <c r="I386">
        <f>IF(A386="","","N/A")</f>
        <v/>
      </c>
    </row>
    <row r="387">
      <c r="A387">
        <f>IF('Equipment Information'!A387="","", 'Equipment Information'!A387)</f>
        <v/>
      </c>
      <c r="B387">
        <f>IF('Equipment Information'!B387="","", 'Equipment Information'!B387)</f>
        <v/>
      </c>
      <c r="C387">
        <f>IF('Equipment Information'!C387="","", 'Equipment Information'!C387)</f>
        <v/>
      </c>
      <c r="I387">
        <f>IF(A387="","","N/A")</f>
        <v/>
      </c>
    </row>
    <row r="388">
      <c r="A388">
        <f>IF('Equipment Information'!A388="","", 'Equipment Information'!A388)</f>
        <v/>
      </c>
      <c r="B388">
        <f>IF('Equipment Information'!B388="","", 'Equipment Information'!B388)</f>
        <v/>
      </c>
      <c r="C388">
        <f>IF('Equipment Information'!C388="","", 'Equipment Information'!C388)</f>
        <v/>
      </c>
      <c r="I388">
        <f>IF(A388="","","N/A")</f>
        <v/>
      </c>
    </row>
    <row r="389">
      <c r="A389">
        <f>IF('Equipment Information'!A389="","", 'Equipment Information'!A389)</f>
        <v/>
      </c>
      <c r="B389">
        <f>IF('Equipment Information'!B389="","", 'Equipment Information'!B389)</f>
        <v/>
      </c>
      <c r="C389">
        <f>IF('Equipment Information'!C389="","", 'Equipment Information'!C389)</f>
        <v/>
      </c>
      <c r="I389">
        <f>IF(A389="","","N/A")</f>
        <v/>
      </c>
    </row>
    <row r="390">
      <c r="A390">
        <f>IF('Equipment Information'!A390="","", 'Equipment Information'!A390)</f>
        <v/>
      </c>
      <c r="B390">
        <f>IF('Equipment Information'!B390="","", 'Equipment Information'!B390)</f>
        <v/>
      </c>
      <c r="C390">
        <f>IF('Equipment Information'!C390="","", 'Equipment Information'!C390)</f>
        <v/>
      </c>
      <c r="I390">
        <f>IF(A390="","","N/A")</f>
        <v/>
      </c>
    </row>
    <row r="391">
      <c r="A391">
        <f>IF('Equipment Information'!A391="","", 'Equipment Information'!A391)</f>
        <v/>
      </c>
      <c r="B391">
        <f>IF('Equipment Information'!B391="","", 'Equipment Information'!B391)</f>
        <v/>
      </c>
      <c r="C391">
        <f>IF('Equipment Information'!C391="","", 'Equipment Information'!C391)</f>
        <v/>
      </c>
      <c r="I391">
        <f>IF(A391="","","N/A")</f>
        <v/>
      </c>
    </row>
    <row r="392">
      <c r="A392">
        <f>IF('Equipment Information'!A392="","", 'Equipment Information'!A392)</f>
        <v/>
      </c>
      <c r="B392">
        <f>IF('Equipment Information'!B392="","", 'Equipment Information'!B392)</f>
        <v/>
      </c>
      <c r="C392">
        <f>IF('Equipment Information'!C392="","", 'Equipment Information'!C392)</f>
        <v/>
      </c>
      <c r="I392">
        <f>IF(A392="","","N/A")</f>
        <v/>
      </c>
    </row>
    <row r="393">
      <c r="A393">
        <f>IF('Equipment Information'!A393="","", 'Equipment Information'!A393)</f>
        <v/>
      </c>
      <c r="B393">
        <f>IF('Equipment Information'!B393="","", 'Equipment Information'!B393)</f>
        <v/>
      </c>
      <c r="C393">
        <f>IF('Equipment Information'!C393="","", 'Equipment Information'!C393)</f>
        <v/>
      </c>
      <c r="I393">
        <f>IF(A393="","","N/A")</f>
        <v/>
      </c>
    </row>
    <row r="394">
      <c r="A394">
        <f>IF('Equipment Information'!A394="","", 'Equipment Information'!A394)</f>
        <v/>
      </c>
      <c r="B394">
        <f>IF('Equipment Information'!B394="","", 'Equipment Information'!B394)</f>
        <v/>
      </c>
      <c r="C394">
        <f>IF('Equipment Information'!C394="","", 'Equipment Information'!C394)</f>
        <v/>
      </c>
      <c r="I394">
        <f>IF(A394="","","N/A")</f>
        <v/>
      </c>
    </row>
    <row r="395">
      <c r="A395">
        <f>IF('Equipment Information'!A395="","", 'Equipment Information'!A395)</f>
        <v/>
      </c>
      <c r="B395">
        <f>IF('Equipment Information'!B395="","", 'Equipment Information'!B395)</f>
        <v/>
      </c>
      <c r="C395">
        <f>IF('Equipment Information'!C395="","", 'Equipment Information'!C395)</f>
        <v/>
      </c>
      <c r="I395">
        <f>IF(A395="","","N/A")</f>
        <v/>
      </c>
    </row>
    <row r="396">
      <c r="A396">
        <f>IF('Equipment Information'!A396="","", 'Equipment Information'!A396)</f>
        <v/>
      </c>
      <c r="B396">
        <f>IF('Equipment Information'!B396="","", 'Equipment Information'!B396)</f>
        <v/>
      </c>
      <c r="C396">
        <f>IF('Equipment Information'!C396="","", 'Equipment Information'!C396)</f>
        <v/>
      </c>
      <c r="I396">
        <f>IF(A396="","","N/A")</f>
        <v/>
      </c>
    </row>
    <row r="397">
      <c r="A397">
        <f>IF('Equipment Information'!A397="","", 'Equipment Information'!A397)</f>
        <v/>
      </c>
      <c r="B397">
        <f>IF('Equipment Information'!B397="","", 'Equipment Information'!B397)</f>
        <v/>
      </c>
      <c r="C397">
        <f>IF('Equipment Information'!C397="","", 'Equipment Information'!C397)</f>
        <v/>
      </c>
      <c r="I397">
        <f>IF(A397="","","N/A")</f>
        <v/>
      </c>
    </row>
    <row r="398">
      <c r="A398">
        <f>IF('Equipment Information'!A398="","", 'Equipment Information'!A398)</f>
        <v/>
      </c>
      <c r="B398">
        <f>IF('Equipment Information'!B398="","", 'Equipment Information'!B398)</f>
        <v/>
      </c>
      <c r="C398">
        <f>IF('Equipment Information'!C398="","", 'Equipment Information'!C398)</f>
        <v/>
      </c>
      <c r="I398">
        <f>IF(A398="","","N/A")</f>
        <v/>
      </c>
    </row>
    <row r="399">
      <c r="A399">
        <f>IF('Equipment Information'!A399="","", 'Equipment Information'!A399)</f>
        <v/>
      </c>
      <c r="B399">
        <f>IF('Equipment Information'!B399="","", 'Equipment Information'!B399)</f>
        <v/>
      </c>
      <c r="C399">
        <f>IF('Equipment Information'!C399="","", 'Equipment Information'!C399)</f>
        <v/>
      </c>
      <c r="I399">
        <f>IF(A399="","","N/A")</f>
        <v/>
      </c>
    </row>
    <row r="400">
      <c r="A400">
        <f>IF('Equipment Information'!A400="","", 'Equipment Information'!A400)</f>
        <v/>
      </c>
      <c r="B400">
        <f>IF('Equipment Information'!B400="","", 'Equipment Information'!B400)</f>
        <v/>
      </c>
      <c r="C400">
        <f>IF('Equipment Information'!C400="","", 'Equipment Information'!C400)</f>
        <v/>
      </c>
      <c r="I400">
        <f>IF(A400="","","N/A")</f>
        <v/>
      </c>
    </row>
    <row r="401">
      <c r="A401">
        <f>IF('Equipment Information'!A401="","", 'Equipment Information'!A401)</f>
        <v/>
      </c>
      <c r="B401">
        <f>IF('Equipment Information'!B401="","", 'Equipment Information'!B401)</f>
        <v/>
      </c>
      <c r="C401">
        <f>IF('Equipment Information'!C401="","", 'Equipment Information'!C401)</f>
        <v/>
      </c>
      <c r="I401">
        <f>IF(A401="","","N/A")</f>
        <v/>
      </c>
    </row>
    <row r="402">
      <c r="A402">
        <f>IF('Equipment Information'!A402="","", 'Equipment Information'!A402)</f>
        <v/>
      </c>
      <c r="B402">
        <f>IF('Equipment Information'!B402="","", 'Equipment Information'!B402)</f>
        <v/>
      </c>
      <c r="C402">
        <f>IF('Equipment Information'!C402="","", 'Equipment Information'!C402)</f>
        <v/>
      </c>
      <c r="I402">
        <f>IF(A402="","","N/A")</f>
        <v/>
      </c>
    </row>
    <row r="403">
      <c r="A403">
        <f>IF('Equipment Information'!A403="","", 'Equipment Information'!A403)</f>
        <v/>
      </c>
      <c r="B403">
        <f>IF('Equipment Information'!B403="","", 'Equipment Information'!B403)</f>
        <v/>
      </c>
      <c r="C403">
        <f>IF('Equipment Information'!C403="","", 'Equipment Information'!C403)</f>
        <v/>
      </c>
      <c r="I403">
        <f>IF(A403="","","N/A")</f>
        <v/>
      </c>
    </row>
    <row r="404">
      <c r="A404">
        <f>IF('Equipment Information'!A404="","", 'Equipment Information'!A404)</f>
        <v/>
      </c>
      <c r="B404">
        <f>IF('Equipment Information'!B404="","", 'Equipment Information'!B404)</f>
        <v/>
      </c>
      <c r="C404">
        <f>IF('Equipment Information'!C404="","", 'Equipment Information'!C404)</f>
        <v/>
      </c>
      <c r="I404">
        <f>IF(A404="","","N/A")</f>
        <v/>
      </c>
    </row>
    <row r="405">
      <c r="A405">
        <f>IF('Equipment Information'!A405="","", 'Equipment Information'!A405)</f>
        <v/>
      </c>
      <c r="B405">
        <f>IF('Equipment Information'!B405="","", 'Equipment Information'!B405)</f>
        <v/>
      </c>
      <c r="C405">
        <f>IF('Equipment Information'!C405="","", 'Equipment Information'!C405)</f>
        <v/>
      </c>
      <c r="I405">
        <f>IF(A405="","","N/A")</f>
        <v/>
      </c>
    </row>
    <row r="406">
      <c r="A406">
        <f>IF('Equipment Information'!A406="","", 'Equipment Information'!A406)</f>
        <v/>
      </c>
      <c r="B406">
        <f>IF('Equipment Information'!B406="","", 'Equipment Information'!B406)</f>
        <v/>
      </c>
      <c r="C406">
        <f>IF('Equipment Information'!C406="","", 'Equipment Information'!C406)</f>
        <v/>
      </c>
      <c r="I406">
        <f>IF(A406="","","N/A")</f>
        <v/>
      </c>
    </row>
    <row r="407">
      <c r="A407">
        <f>IF('Equipment Information'!A407="","", 'Equipment Information'!A407)</f>
        <v/>
      </c>
      <c r="B407">
        <f>IF('Equipment Information'!B407="","", 'Equipment Information'!B407)</f>
        <v/>
      </c>
      <c r="C407">
        <f>IF('Equipment Information'!C407="","", 'Equipment Information'!C407)</f>
        <v/>
      </c>
      <c r="I407">
        <f>IF(A407="","","N/A")</f>
        <v/>
      </c>
    </row>
    <row r="408">
      <c r="A408">
        <f>IF('Equipment Information'!A408="","", 'Equipment Information'!A408)</f>
        <v/>
      </c>
      <c r="B408">
        <f>IF('Equipment Information'!B408="","", 'Equipment Information'!B408)</f>
        <v/>
      </c>
      <c r="C408">
        <f>IF('Equipment Information'!C408="","", 'Equipment Information'!C408)</f>
        <v/>
      </c>
      <c r="I408">
        <f>IF(A408="","","N/A")</f>
        <v/>
      </c>
    </row>
    <row r="409">
      <c r="A409">
        <f>IF('Equipment Information'!A409="","", 'Equipment Information'!A409)</f>
        <v/>
      </c>
      <c r="B409">
        <f>IF('Equipment Information'!B409="","", 'Equipment Information'!B409)</f>
        <v/>
      </c>
      <c r="C409">
        <f>IF('Equipment Information'!C409="","", 'Equipment Information'!C409)</f>
        <v/>
      </c>
      <c r="I409">
        <f>IF(A409="","","N/A")</f>
        <v/>
      </c>
    </row>
    <row r="410">
      <c r="A410">
        <f>IF('Equipment Information'!A410="","", 'Equipment Information'!A410)</f>
        <v/>
      </c>
      <c r="B410">
        <f>IF('Equipment Information'!B410="","", 'Equipment Information'!B410)</f>
        <v/>
      </c>
      <c r="C410">
        <f>IF('Equipment Information'!C410="","", 'Equipment Information'!C410)</f>
        <v/>
      </c>
      <c r="I410">
        <f>IF(A410="","","N/A")</f>
        <v/>
      </c>
    </row>
    <row r="411">
      <c r="A411">
        <f>IF('Equipment Information'!A411="","", 'Equipment Information'!A411)</f>
        <v/>
      </c>
      <c r="B411">
        <f>IF('Equipment Information'!B411="","", 'Equipment Information'!B411)</f>
        <v/>
      </c>
      <c r="C411">
        <f>IF('Equipment Information'!C411="","", 'Equipment Information'!C411)</f>
        <v/>
      </c>
      <c r="I411">
        <f>IF(A411="","","N/A")</f>
        <v/>
      </c>
    </row>
    <row r="412">
      <c r="A412">
        <f>IF('Equipment Information'!A412="","", 'Equipment Information'!A412)</f>
        <v/>
      </c>
      <c r="B412">
        <f>IF('Equipment Information'!B412="","", 'Equipment Information'!B412)</f>
        <v/>
      </c>
      <c r="C412">
        <f>IF('Equipment Information'!C412="","", 'Equipment Information'!C412)</f>
        <v/>
      </c>
      <c r="I412">
        <f>IF(A412="","","N/A")</f>
        <v/>
      </c>
    </row>
    <row r="413">
      <c r="A413">
        <f>IF('Equipment Information'!A413="","", 'Equipment Information'!A413)</f>
        <v/>
      </c>
      <c r="B413">
        <f>IF('Equipment Information'!B413="","", 'Equipment Information'!B413)</f>
        <v/>
      </c>
      <c r="C413">
        <f>IF('Equipment Information'!C413="","", 'Equipment Information'!C413)</f>
        <v/>
      </c>
      <c r="I413">
        <f>IF(A413="","","N/A")</f>
        <v/>
      </c>
    </row>
    <row r="414">
      <c r="A414">
        <f>IF('Equipment Information'!A414="","", 'Equipment Information'!A414)</f>
        <v/>
      </c>
      <c r="B414">
        <f>IF('Equipment Information'!B414="","", 'Equipment Information'!B414)</f>
        <v/>
      </c>
      <c r="C414">
        <f>IF('Equipment Information'!C414="","", 'Equipment Information'!C414)</f>
        <v/>
      </c>
      <c r="I414">
        <f>IF(A414="","","N/A")</f>
        <v/>
      </c>
    </row>
    <row r="415">
      <c r="A415">
        <f>IF('Equipment Information'!A415="","", 'Equipment Information'!A415)</f>
        <v/>
      </c>
      <c r="B415">
        <f>IF('Equipment Information'!B415="","", 'Equipment Information'!B415)</f>
        <v/>
      </c>
      <c r="C415">
        <f>IF('Equipment Information'!C415="","", 'Equipment Information'!C415)</f>
        <v/>
      </c>
      <c r="I415">
        <f>IF(A415="","","N/A")</f>
        <v/>
      </c>
    </row>
    <row r="416">
      <c r="A416">
        <f>IF('Equipment Information'!A416="","", 'Equipment Information'!A416)</f>
        <v/>
      </c>
      <c r="B416">
        <f>IF('Equipment Information'!B416="","", 'Equipment Information'!B416)</f>
        <v/>
      </c>
      <c r="C416">
        <f>IF('Equipment Information'!C416="","", 'Equipment Information'!C416)</f>
        <v/>
      </c>
      <c r="I416">
        <f>IF(A416="","","N/A")</f>
        <v/>
      </c>
    </row>
    <row r="417">
      <c r="A417">
        <f>IF('Equipment Information'!A417="","", 'Equipment Information'!A417)</f>
        <v/>
      </c>
      <c r="B417">
        <f>IF('Equipment Information'!B417="","", 'Equipment Information'!B417)</f>
        <v/>
      </c>
      <c r="C417">
        <f>IF('Equipment Information'!C417="","", 'Equipment Information'!C417)</f>
        <v/>
      </c>
      <c r="I417">
        <f>IF(A417="","","N/A")</f>
        <v/>
      </c>
    </row>
    <row r="418">
      <c r="A418">
        <f>IF('Equipment Information'!A418="","", 'Equipment Information'!A418)</f>
        <v/>
      </c>
      <c r="B418">
        <f>IF('Equipment Information'!B418="","", 'Equipment Information'!B418)</f>
        <v/>
      </c>
      <c r="C418">
        <f>IF('Equipment Information'!C418="","", 'Equipment Information'!C418)</f>
        <v/>
      </c>
      <c r="I418">
        <f>IF(A418="","","N/A")</f>
        <v/>
      </c>
    </row>
    <row r="419">
      <c r="A419">
        <f>IF('Equipment Information'!A419="","", 'Equipment Information'!A419)</f>
        <v/>
      </c>
      <c r="B419">
        <f>IF('Equipment Information'!B419="","", 'Equipment Information'!B419)</f>
        <v/>
      </c>
      <c r="C419">
        <f>IF('Equipment Information'!C419="","", 'Equipment Information'!C419)</f>
        <v/>
      </c>
      <c r="I419">
        <f>IF(A419="","","N/A")</f>
        <v/>
      </c>
    </row>
    <row r="420">
      <c r="A420">
        <f>IF('Equipment Information'!A420="","", 'Equipment Information'!A420)</f>
        <v/>
      </c>
      <c r="B420">
        <f>IF('Equipment Information'!B420="","", 'Equipment Information'!B420)</f>
        <v/>
      </c>
      <c r="C420">
        <f>IF('Equipment Information'!C420="","", 'Equipment Information'!C420)</f>
        <v/>
      </c>
      <c r="I420">
        <f>IF(A420="","","N/A")</f>
        <v/>
      </c>
    </row>
    <row r="421">
      <c r="A421">
        <f>IF('Equipment Information'!A421="","", 'Equipment Information'!A421)</f>
        <v/>
      </c>
      <c r="B421">
        <f>IF('Equipment Information'!B421="","", 'Equipment Information'!B421)</f>
        <v/>
      </c>
      <c r="C421">
        <f>IF('Equipment Information'!C421="","", 'Equipment Information'!C421)</f>
        <v/>
      </c>
      <c r="I421">
        <f>IF(A421="","","N/A")</f>
        <v/>
      </c>
    </row>
    <row r="422">
      <c r="A422">
        <f>IF('Equipment Information'!A422="","", 'Equipment Information'!A422)</f>
        <v/>
      </c>
      <c r="B422">
        <f>IF('Equipment Information'!B422="","", 'Equipment Information'!B422)</f>
        <v/>
      </c>
      <c r="C422">
        <f>IF('Equipment Information'!C422="","", 'Equipment Information'!C422)</f>
        <v/>
      </c>
      <c r="I422">
        <f>IF(A422="","","N/A")</f>
        <v/>
      </c>
    </row>
    <row r="423">
      <c r="A423">
        <f>IF('Equipment Information'!A423="","", 'Equipment Information'!A423)</f>
        <v/>
      </c>
      <c r="B423">
        <f>IF('Equipment Information'!B423="","", 'Equipment Information'!B423)</f>
        <v/>
      </c>
      <c r="C423">
        <f>IF('Equipment Information'!C423="","", 'Equipment Information'!C423)</f>
        <v/>
      </c>
      <c r="I423">
        <f>IF(A423="","","N/A")</f>
        <v/>
      </c>
    </row>
    <row r="424">
      <c r="A424">
        <f>IF('Equipment Information'!A424="","", 'Equipment Information'!A424)</f>
        <v/>
      </c>
      <c r="B424">
        <f>IF('Equipment Information'!B424="","", 'Equipment Information'!B424)</f>
        <v/>
      </c>
      <c r="C424">
        <f>IF('Equipment Information'!C424="","", 'Equipment Information'!C424)</f>
        <v/>
      </c>
      <c r="I424">
        <f>IF(A424="","","N/A")</f>
        <v/>
      </c>
    </row>
    <row r="425">
      <c r="A425">
        <f>IF('Equipment Information'!A425="","", 'Equipment Information'!A425)</f>
        <v/>
      </c>
      <c r="B425">
        <f>IF('Equipment Information'!B425="","", 'Equipment Information'!B425)</f>
        <v/>
      </c>
      <c r="C425">
        <f>IF('Equipment Information'!C425="","", 'Equipment Information'!C425)</f>
        <v/>
      </c>
      <c r="I425">
        <f>IF(A425="","","N/A")</f>
        <v/>
      </c>
    </row>
    <row r="426">
      <c r="A426">
        <f>IF('Equipment Information'!A426="","", 'Equipment Information'!A426)</f>
        <v/>
      </c>
      <c r="B426">
        <f>IF('Equipment Information'!B426="","", 'Equipment Information'!B426)</f>
        <v/>
      </c>
      <c r="C426">
        <f>IF('Equipment Information'!C426="","", 'Equipment Information'!C426)</f>
        <v/>
      </c>
      <c r="I426">
        <f>IF(A426="","","N/A")</f>
        <v/>
      </c>
    </row>
    <row r="427">
      <c r="A427">
        <f>IF('Equipment Information'!A427="","", 'Equipment Information'!A427)</f>
        <v/>
      </c>
      <c r="B427">
        <f>IF('Equipment Information'!B427="","", 'Equipment Information'!B427)</f>
        <v/>
      </c>
      <c r="C427">
        <f>IF('Equipment Information'!C427="","", 'Equipment Information'!C427)</f>
        <v/>
      </c>
      <c r="I427">
        <f>IF(A427="","","N/A")</f>
        <v/>
      </c>
    </row>
    <row r="428">
      <c r="A428">
        <f>IF('Equipment Information'!A428="","", 'Equipment Information'!A428)</f>
        <v/>
      </c>
      <c r="B428">
        <f>IF('Equipment Information'!B428="","", 'Equipment Information'!B428)</f>
        <v/>
      </c>
      <c r="C428">
        <f>IF('Equipment Information'!C428="","", 'Equipment Information'!C428)</f>
        <v/>
      </c>
      <c r="I428">
        <f>IF(A428="","","N/A")</f>
        <v/>
      </c>
    </row>
    <row r="429">
      <c r="A429">
        <f>IF('Equipment Information'!A429="","", 'Equipment Information'!A429)</f>
        <v/>
      </c>
      <c r="B429">
        <f>IF('Equipment Information'!B429="","", 'Equipment Information'!B429)</f>
        <v/>
      </c>
      <c r="C429">
        <f>IF('Equipment Information'!C429="","", 'Equipment Information'!C429)</f>
        <v/>
      </c>
      <c r="I429">
        <f>IF(A429="","","N/A")</f>
        <v/>
      </c>
    </row>
    <row r="430">
      <c r="A430">
        <f>IF('Equipment Information'!A430="","", 'Equipment Information'!A430)</f>
        <v/>
      </c>
      <c r="B430">
        <f>IF('Equipment Information'!B430="","", 'Equipment Information'!B430)</f>
        <v/>
      </c>
      <c r="C430">
        <f>IF('Equipment Information'!C430="","", 'Equipment Information'!C430)</f>
        <v/>
      </c>
      <c r="I430">
        <f>IF(A430="","","N/A")</f>
        <v/>
      </c>
    </row>
    <row r="431">
      <c r="A431">
        <f>IF('Equipment Information'!A431="","", 'Equipment Information'!A431)</f>
        <v/>
      </c>
      <c r="B431">
        <f>IF('Equipment Information'!B431="","", 'Equipment Information'!B431)</f>
        <v/>
      </c>
      <c r="C431">
        <f>IF('Equipment Information'!C431="","", 'Equipment Information'!C431)</f>
        <v/>
      </c>
      <c r="I431">
        <f>IF(A431="","","N/A")</f>
        <v/>
      </c>
    </row>
    <row r="432">
      <c r="A432">
        <f>IF('Equipment Information'!A432="","", 'Equipment Information'!A432)</f>
        <v/>
      </c>
      <c r="B432">
        <f>IF('Equipment Information'!B432="","", 'Equipment Information'!B432)</f>
        <v/>
      </c>
      <c r="C432">
        <f>IF('Equipment Information'!C432="","", 'Equipment Information'!C432)</f>
        <v/>
      </c>
      <c r="I432">
        <f>IF(A432="","","N/A")</f>
        <v/>
      </c>
    </row>
    <row r="433">
      <c r="A433">
        <f>IF('Equipment Information'!A433="","", 'Equipment Information'!A433)</f>
        <v/>
      </c>
      <c r="B433">
        <f>IF('Equipment Information'!B433="","", 'Equipment Information'!B433)</f>
        <v/>
      </c>
      <c r="C433">
        <f>IF('Equipment Information'!C433="","", 'Equipment Information'!C433)</f>
        <v/>
      </c>
      <c r="I433">
        <f>IF(A433="","","N/A")</f>
        <v/>
      </c>
    </row>
    <row r="434">
      <c r="A434">
        <f>IF('Equipment Information'!A434="","", 'Equipment Information'!A434)</f>
        <v/>
      </c>
      <c r="B434">
        <f>IF('Equipment Information'!B434="","", 'Equipment Information'!B434)</f>
        <v/>
      </c>
      <c r="C434">
        <f>IF('Equipment Information'!C434="","", 'Equipment Information'!C434)</f>
        <v/>
      </c>
      <c r="I434">
        <f>IF(A434="","","N/A")</f>
        <v/>
      </c>
    </row>
    <row r="435">
      <c r="A435">
        <f>IF('Equipment Information'!A435="","", 'Equipment Information'!A435)</f>
        <v/>
      </c>
      <c r="B435">
        <f>IF('Equipment Information'!B435="","", 'Equipment Information'!B435)</f>
        <v/>
      </c>
      <c r="C435">
        <f>IF('Equipment Information'!C435="","", 'Equipment Information'!C435)</f>
        <v/>
      </c>
      <c r="I435">
        <f>IF(A435="","","N/A")</f>
        <v/>
      </c>
    </row>
    <row r="436">
      <c r="A436">
        <f>IF('Equipment Information'!A436="","", 'Equipment Information'!A436)</f>
        <v/>
      </c>
      <c r="B436">
        <f>IF('Equipment Information'!B436="","", 'Equipment Information'!B436)</f>
        <v/>
      </c>
      <c r="C436">
        <f>IF('Equipment Information'!C436="","", 'Equipment Information'!C436)</f>
        <v/>
      </c>
      <c r="I436">
        <f>IF(A436="","","N/A")</f>
        <v/>
      </c>
    </row>
    <row r="437">
      <c r="A437">
        <f>IF('Equipment Information'!A437="","", 'Equipment Information'!A437)</f>
        <v/>
      </c>
      <c r="B437">
        <f>IF('Equipment Information'!B437="","", 'Equipment Information'!B437)</f>
        <v/>
      </c>
      <c r="C437">
        <f>IF('Equipment Information'!C437="","", 'Equipment Information'!C437)</f>
        <v/>
      </c>
      <c r="I437">
        <f>IF(A437="","","N/A")</f>
        <v/>
      </c>
    </row>
    <row r="438">
      <c r="A438">
        <f>IF('Equipment Information'!A438="","", 'Equipment Information'!A438)</f>
        <v/>
      </c>
      <c r="B438">
        <f>IF('Equipment Information'!B438="","", 'Equipment Information'!B438)</f>
        <v/>
      </c>
      <c r="C438">
        <f>IF('Equipment Information'!C438="","", 'Equipment Information'!C438)</f>
        <v/>
      </c>
      <c r="I438">
        <f>IF(A438="","","N/A")</f>
        <v/>
      </c>
    </row>
    <row r="439">
      <c r="A439">
        <f>IF('Equipment Information'!A439="","", 'Equipment Information'!A439)</f>
        <v/>
      </c>
      <c r="B439">
        <f>IF('Equipment Information'!B439="","", 'Equipment Information'!B439)</f>
        <v/>
      </c>
      <c r="C439">
        <f>IF('Equipment Information'!C439="","", 'Equipment Information'!C439)</f>
        <v/>
      </c>
      <c r="I439">
        <f>IF(A439="","","N/A")</f>
        <v/>
      </c>
    </row>
    <row r="440">
      <c r="A440">
        <f>IF('Equipment Information'!A440="","", 'Equipment Information'!A440)</f>
        <v/>
      </c>
      <c r="B440">
        <f>IF('Equipment Information'!B440="","", 'Equipment Information'!B440)</f>
        <v/>
      </c>
      <c r="C440">
        <f>IF('Equipment Information'!C440="","", 'Equipment Information'!C440)</f>
        <v/>
      </c>
      <c r="I440">
        <f>IF(A440="","","N/A")</f>
        <v/>
      </c>
    </row>
    <row r="441">
      <c r="A441">
        <f>IF('Equipment Information'!A441="","", 'Equipment Information'!A441)</f>
        <v/>
      </c>
      <c r="B441">
        <f>IF('Equipment Information'!B441="","", 'Equipment Information'!B441)</f>
        <v/>
      </c>
      <c r="C441">
        <f>IF('Equipment Information'!C441="","", 'Equipment Information'!C441)</f>
        <v/>
      </c>
      <c r="I441">
        <f>IF(A441="","","N/A")</f>
        <v/>
      </c>
    </row>
    <row r="442">
      <c r="A442">
        <f>IF('Equipment Information'!A442="","", 'Equipment Information'!A442)</f>
        <v/>
      </c>
      <c r="B442">
        <f>IF('Equipment Information'!B442="","", 'Equipment Information'!B442)</f>
        <v/>
      </c>
      <c r="C442">
        <f>IF('Equipment Information'!C442="","", 'Equipment Information'!C442)</f>
        <v/>
      </c>
      <c r="I442">
        <f>IF(A442="","","N/A")</f>
        <v/>
      </c>
    </row>
    <row r="443">
      <c r="A443">
        <f>IF('Equipment Information'!A443="","", 'Equipment Information'!A443)</f>
        <v/>
      </c>
      <c r="B443">
        <f>IF('Equipment Information'!B443="","", 'Equipment Information'!B443)</f>
        <v/>
      </c>
      <c r="C443">
        <f>IF('Equipment Information'!C443="","", 'Equipment Information'!C443)</f>
        <v/>
      </c>
      <c r="I443">
        <f>IF(A443="","","N/A")</f>
        <v/>
      </c>
    </row>
    <row r="444">
      <c r="A444">
        <f>IF('Equipment Information'!A444="","", 'Equipment Information'!A444)</f>
        <v/>
      </c>
      <c r="B444">
        <f>IF('Equipment Information'!B444="","", 'Equipment Information'!B444)</f>
        <v/>
      </c>
      <c r="C444">
        <f>IF('Equipment Information'!C444="","", 'Equipment Information'!C444)</f>
        <v/>
      </c>
      <c r="I444">
        <f>IF(A444="","","N/A")</f>
        <v/>
      </c>
    </row>
    <row r="445">
      <c r="A445">
        <f>IF('Equipment Information'!A445="","", 'Equipment Information'!A445)</f>
        <v/>
      </c>
      <c r="B445">
        <f>IF('Equipment Information'!B445="","", 'Equipment Information'!B445)</f>
        <v/>
      </c>
      <c r="C445">
        <f>IF('Equipment Information'!C445="","", 'Equipment Information'!C445)</f>
        <v/>
      </c>
      <c r="I445">
        <f>IF(A445="","","N/A")</f>
        <v/>
      </c>
    </row>
    <row r="446">
      <c r="A446">
        <f>IF('Equipment Information'!A446="","", 'Equipment Information'!A446)</f>
        <v/>
      </c>
      <c r="B446">
        <f>IF('Equipment Information'!B446="","", 'Equipment Information'!B446)</f>
        <v/>
      </c>
      <c r="C446">
        <f>IF('Equipment Information'!C446="","", 'Equipment Information'!C446)</f>
        <v/>
      </c>
      <c r="I446">
        <f>IF(A446="","","N/A")</f>
        <v/>
      </c>
    </row>
    <row r="447">
      <c r="A447">
        <f>IF('Equipment Information'!A447="","", 'Equipment Information'!A447)</f>
        <v/>
      </c>
      <c r="B447">
        <f>IF('Equipment Information'!B447="","", 'Equipment Information'!B447)</f>
        <v/>
      </c>
      <c r="C447">
        <f>IF('Equipment Information'!C447="","", 'Equipment Information'!C447)</f>
        <v/>
      </c>
      <c r="I447">
        <f>IF(A447="","","N/A")</f>
        <v/>
      </c>
    </row>
    <row r="448">
      <c r="A448">
        <f>IF('Equipment Information'!A448="","", 'Equipment Information'!A448)</f>
        <v/>
      </c>
      <c r="B448">
        <f>IF('Equipment Information'!B448="","", 'Equipment Information'!B448)</f>
        <v/>
      </c>
      <c r="C448">
        <f>IF('Equipment Information'!C448="","", 'Equipment Information'!C448)</f>
        <v/>
      </c>
      <c r="I448">
        <f>IF(A448="","","N/A")</f>
        <v/>
      </c>
    </row>
    <row r="449">
      <c r="A449">
        <f>IF('Equipment Information'!A449="","", 'Equipment Information'!A449)</f>
        <v/>
      </c>
      <c r="B449">
        <f>IF('Equipment Information'!B449="","", 'Equipment Information'!B449)</f>
        <v/>
      </c>
      <c r="C449">
        <f>IF('Equipment Information'!C449="","", 'Equipment Information'!C449)</f>
        <v/>
      </c>
      <c r="I449">
        <f>IF(A449="","","N/A")</f>
        <v/>
      </c>
    </row>
    <row r="450">
      <c r="A450">
        <f>IF('Equipment Information'!A450="","", 'Equipment Information'!A450)</f>
        <v/>
      </c>
      <c r="B450">
        <f>IF('Equipment Information'!B450="","", 'Equipment Information'!B450)</f>
        <v/>
      </c>
      <c r="C450">
        <f>IF('Equipment Information'!C450="","", 'Equipment Information'!C450)</f>
        <v/>
      </c>
      <c r="I450">
        <f>IF(A450="","","N/A")</f>
        <v/>
      </c>
    </row>
    <row r="451">
      <c r="A451">
        <f>IF('Equipment Information'!A451="","", 'Equipment Information'!A451)</f>
        <v/>
      </c>
      <c r="B451">
        <f>IF('Equipment Information'!B451="","", 'Equipment Information'!B451)</f>
        <v/>
      </c>
      <c r="C451">
        <f>IF('Equipment Information'!C451="","", 'Equipment Information'!C451)</f>
        <v/>
      </c>
      <c r="I451">
        <f>IF(A451="","","N/A")</f>
        <v/>
      </c>
    </row>
    <row r="452">
      <c r="A452">
        <f>IF('Equipment Information'!A452="","", 'Equipment Information'!A452)</f>
        <v/>
      </c>
      <c r="B452">
        <f>IF('Equipment Information'!B452="","", 'Equipment Information'!B452)</f>
        <v/>
      </c>
      <c r="C452">
        <f>IF('Equipment Information'!C452="","", 'Equipment Information'!C452)</f>
        <v/>
      </c>
      <c r="I452">
        <f>IF(A452="","","N/A")</f>
        <v/>
      </c>
    </row>
    <row r="453">
      <c r="A453">
        <f>IF('Equipment Information'!A453="","", 'Equipment Information'!A453)</f>
        <v/>
      </c>
      <c r="B453">
        <f>IF('Equipment Information'!B453="","", 'Equipment Information'!B453)</f>
        <v/>
      </c>
      <c r="C453">
        <f>IF('Equipment Information'!C453="","", 'Equipment Information'!C453)</f>
        <v/>
      </c>
      <c r="I453">
        <f>IF(A453="","","N/A")</f>
        <v/>
      </c>
    </row>
    <row r="454">
      <c r="A454">
        <f>IF('Equipment Information'!A454="","", 'Equipment Information'!A454)</f>
        <v/>
      </c>
      <c r="B454">
        <f>IF('Equipment Information'!B454="","", 'Equipment Information'!B454)</f>
        <v/>
      </c>
      <c r="C454">
        <f>IF('Equipment Information'!C454="","", 'Equipment Information'!C454)</f>
        <v/>
      </c>
      <c r="I454">
        <f>IF(A454="","","N/A")</f>
        <v/>
      </c>
    </row>
    <row r="455">
      <c r="A455">
        <f>IF('Equipment Information'!A455="","", 'Equipment Information'!A455)</f>
        <v/>
      </c>
      <c r="B455">
        <f>IF('Equipment Information'!B455="","", 'Equipment Information'!B455)</f>
        <v/>
      </c>
      <c r="C455">
        <f>IF('Equipment Information'!C455="","", 'Equipment Information'!C455)</f>
        <v/>
      </c>
      <c r="I455">
        <f>IF(A455="","","N/A")</f>
        <v/>
      </c>
    </row>
    <row r="456">
      <c r="A456">
        <f>IF('Equipment Information'!A456="","", 'Equipment Information'!A456)</f>
        <v/>
      </c>
      <c r="B456">
        <f>IF('Equipment Information'!B456="","", 'Equipment Information'!B456)</f>
        <v/>
      </c>
      <c r="C456">
        <f>IF('Equipment Information'!C456="","", 'Equipment Information'!C456)</f>
        <v/>
      </c>
      <c r="I456">
        <f>IF(A456="","","N/A")</f>
        <v/>
      </c>
    </row>
    <row r="457">
      <c r="A457">
        <f>IF('Equipment Information'!A457="","", 'Equipment Information'!A457)</f>
        <v/>
      </c>
      <c r="B457">
        <f>IF('Equipment Information'!B457="","", 'Equipment Information'!B457)</f>
        <v/>
      </c>
      <c r="C457">
        <f>IF('Equipment Information'!C457="","", 'Equipment Information'!C457)</f>
        <v/>
      </c>
      <c r="I457">
        <f>IF(A457="","","N/A")</f>
        <v/>
      </c>
    </row>
    <row r="458">
      <c r="A458">
        <f>IF('Equipment Information'!A458="","", 'Equipment Information'!A458)</f>
        <v/>
      </c>
      <c r="B458">
        <f>IF('Equipment Information'!B458="","", 'Equipment Information'!B458)</f>
        <v/>
      </c>
      <c r="C458">
        <f>IF('Equipment Information'!C458="","", 'Equipment Information'!C458)</f>
        <v/>
      </c>
      <c r="I458">
        <f>IF(A458="","","N/A")</f>
        <v/>
      </c>
    </row>
    <row r="459">
      <c r="A459">
        <f>IF('Equipment Information'!A459="","", 'Equipment Information'!A459)</f>
        <v/>
      </c>
      <c r="B459">
        <f>IF('Equipment Information'!B459="","", 'Equipment Information'!B459)</f>
        <v/>
      </c>
      <c r="C459">
        <f>IF('Equipment Information'!C459="","", 'Equipment Information'!C459)</f>
        <v/>
      </c>
      <c r="I459">
        <f>IF(A459="","","N/A")</f>
        <v/>
      </c>
    </row>
    <row r="460">
      <c r="A460">
        <f>IF('Equipment Information'!A460="","", 'Equipment Information'!A460)</f>
        <v/>
      </c>
      <c r="B460">
        <f>IF('Equipment Information'!B460="","", 'Equipment Information'!B460)</f>
        <v/>
      </c>
      <c r="C460">
        <f>IF('Equipment Information'!C460="","", 'Equipment Information'!C460)</f>
        <v/>
      </c>
      <c r="I460">
        <f>IF(A460="","","N/A")</f>
        <v/>
      </c>
    </row>
    <row r="461">
      <c r="A461">
        <f>IF('Equipment Information'!A461="","", 'Equipment Information'!A461)</f>
        <v/>
      </c>
      <c r="B461">
        <f>IF('Equipment Information'!B461="","", 'Equipment Information'!B461)</f>
        <v/>
      </c>
      <c r="C461">
        <f>IF('Equipment Information'!C461="","", 'Equipment Information'!C461)</f>
        <v/>
      </c>
      <c r="I461">
        <f>IF(A461="","","N/A")</f>
        <v/>
      </c>
    </row>
    <row r="462">
      <c r="A462">
        <f>IF('Equipment Information'!A462="","", 'Equipment Information'!A462)</f>
        <v/>
      </c>
      <c r="B462">
        <f>IF('Equipment Information'!B462="","", 'Equipment Information'!B462)</f>
        <v/>
      </c>
      <c r="C462">
        <f>IF('Equipment Information'!C462="","", 'Equipment Information'!C462)</f>
        <v/>
      </c>
      <c r="I462">
        <f>IF(A462="","","N/A")</f>
        <v/>
      </c>
    </row>
    <row r="463">
      <c r="A463">
        <f>IF('Equipment Information'!A463="","", 'Equipment Information'!A463)</f>
        <v/>
      </c>
      <c r="B463">
        <f>IF('Equipment Information'!B463="","", 'Equipment Information'!B463)</f>
        <v/>
      </c>
      <c r="C463">
        <f>IF('Equipment Information'!C463="","", 'Equipment Information'!C463)</f>
        <v/>
      </c>
      <c r="I463">
        <f>IF(A463="","","N/A")</f>
        <v/>
      </c>
    </row>
    <row r="464">
      <c r="A464">
        <f>IF('Equipment Information'!A464="","", 'Equipment Information'!A464)</f>
        <v/>
      </c>
      <c r="B464">
        <f>IF('Equipment Information'!B464="","", 'Equipment Information'!B464)</f>
        <v/>
      </c>
      <c r="C464">
        <f>IF('Equipment Information'!C464="","", 'Equipment Information'!C464)</f>
        <v/>
      </c>
      <c r="I464">
        <f>IF(A464="","","N/A")</f>
        <v/>
      </c>
    </row>
    <row r="465">
      <c r="A465">
        <f>IF('Equipment Information'!A465="","", 'Equipment Information'!A465)</f>
        <v/>
      </c>
      <c r="B465">
        <f>IF('Equipment Information'!B465="","", 'Equipment Information'!B465)</f>
        <v/>
      </c>
      <c r="C465">
        <f>IF('Equipment Information'!C465="","", 'Equipment Information'!C465)</f>
        <v/>
      </c>
      <c r="I465">
        <f>IF(A465="","","N/A")</f>
        <v/>
      </c>
    </row>
    <row r="466">
      <c r="A466">
        <f>IF('Equipment Information'!A466="","", 'Equipment Information'!A466)</f>
        <v/>
      </c>
      <c r="B466">
        <f>IF('Equipment Information'!B466="","", 'Equipment Information'!B466)</f>
        <v/>
      </c>
      <c r="C466">
        <f>IF('Equipment Information'!C466="","", 'Equipment Information'!C466)</f>
        <v/>
      </c>
      <c r="I466">
        <f>IF(A466="","","N/A")</f>
        <v/>
      </c>
    </row>
    <row r="467">
      <c r="A467">
        <f>IF('Equipment Information'!A467="","", 'Equipment Information'!A467)</f>
        <v/>
      </c>
      <c r="B467">
        <f>IF('Equipment Information'!B467="","", 'Equipment Information'!B467)</f>
        <v/>
      </c>
      <c r="C467">
        <f>IF('Equipment Information'!C467="","", 'Equipment Information'!C467)</f>
        <v/>
      </c>
      <c r="I467">
        <f>IF(A467="","","N/A")</f>
        <v/>
      </c>
    </row>
    <row r="468">
      <c r="A468">
        <f>IF('Equipment Information'!A468="","", 'Equipment Information'!A468)</f>
        <v/>
      </c>
      <c r="B468">
        <f>IF('Equipment Information'!B468="","", 'Equipment Information'!B468)</f>
        <v/>
      </c>
      <c r="C468">
        <f>IF('Equipment Information'!C468="","", 'Equipment Information'!C468)</f>
        <v/>
      </c>
      <c r="I468">
        <f>IF(A468="","","N/A")</f>
        <v/>
      </c>
    </row>
    <row r="469">
      <c r="A469">
        <f>IF('Equipment Information'!A469="","", 'Equipment Information'!A469)</f>
        <v/>
      </c>
      <c r="B469">
        <f>IF('Equipment Information'!B469="","", 'Equipment Information'!B469)</f>
        <v/>
      </c>
      <c r="C469">
        <f>IF('Equipment Information'!C469="","", 'Equipment Information'!C469)</f>
        <v/>
      </c>
      <c r="I469">
        <f>IF(A469="","","N/A")</f>
        <v/>
      </c>
    </row>
    <row r="470">
      <c r="A470">
        <f>IF('Equipment Information'!A470="","", 'Equipment Information'!A470)</f>
        <v/>
      </c>
      <c r="B470">
        <f>IF('Equipment Information'!B470="","", 'Equipment Information'!B470)</f>
        <v/>
      </c>
      <c r="C470">
        <f>IF('Equipment Information'!C470="","", 'Equipment Information'!C470)</f>
        <v/>
      </c>
      <c r="I470">
        <f>IF(A470="","","N/A")</f>
        <v/>
      </c>
    </row>
    <row r="471">
      <c r="A471">
        <f>IF('Equipment Information'!A471="","", 'Equipment Information'!A471)</f>
        <v/>
      </c>
      <c r="B471">
        <f>IF('Equipment Information'!B471="","", 'Equipment Information'!B471)</f>
        <v/>
      </c>
      <c r="C471">
        <f>IF('Equipment Information'!C471="","", 'Equipment Information'!C471)</f>
        <v/>
      </c>
      <c r="I471">
        <f>IF(A471="","","N/A")</f>
        <v/>
      </c>
    </row>
    <row r="472">
      <c r="A472">
        <f>IF('Equipment Information'!A472="","", 'Equipment Information'!A472)</f>
        <v/>
      </c>
      <c r="B472">
        <f>IF('Equipment Information'!B472="","", 'Equipment Information'!B472)</f>
        <v/>
      </c>
      <c r="C472">
        <f>IF('Equipment Information'!C472="","", 'Equipment Information'!C472)</f>
        <v/>
      </c>
      <c r="I472">
        <f>IF(A472="","","N/A")</f>
        <v/>
      </c>
    </row>
    <row r="473">
      <c r="A473">
        <f>IF('Equipment Information'!A473="","", 'Equipment Information'!A473)</f>
        <v/>
      </c>
      <c r="B473">
        <f>IF('Equipment Information'!B473="","", 'Equipment Information'!B473)</f>
        <v/>
      </c>
      <c r="C473">
        <f>IF('Equipment Information'!C473="","", 'Equipment Information'!C473)</f>
        <v/>
      </c>
      <c r="I473">
        <f>IF(A473="","","N/A")</f>
        <v/>
      </c>
    </row>
    <row r="474">
      <c r="A474">
        <f>IF('Equipment Information'!A474="","", 'Equipment Information'!A474)</f>
        <v/>
      </c>
      <c r="B474">
        <f>IF('Equipment Information'!B474="","", 'Equipment Information'!B474)</f>
        <v/>
      </c>
      <c r="C474">
        <f>IF('Equipment Information'!C474="","", 'Equipment Information'!C474)</f>
        <v/>
      </c>
      <c r="I474">
        <f>IF(A474="","","N/A")</f>
        <v/>
      </c>
    </row>
    <row r="475">
      <c r="A475">
        <f>IF('Equipment Information'!A475="","", 'Equipment Information'!A475)</f>
        <v/>
      </c>
      <c r="B475">
        <f>IF('Equipment Information'!B475="","", 'Equipment Information'!B475)</f>
        <v/>
      </c>
      <c r="C475">
        <f>IF('Equipment Information'!C475="","", 'Equipment Information'!C475)</f>
        <v/>
      </c>
      <c r="I475">
        <f>IF(A475="","","N/A")</f>
        <v/>
      </c>
    </row>
    <row r="476">
      <c r="A476">
        <f>IF('Equipment Information'!A476="","", 'Equipment Information'!A476)</f>
        <v/>
      </c>
      <c r="B476">
        <f>IF('Equipment Information'!B476="","", 'Equipment Information'!B476)</f>
        <v/>
      </c>
      <c r="C476">
        <f>IF('Equipment Information'!C476="","", 'Equipment Information'!C476)</f>
        <v/>
      </c>
      <c r="I476">
        <f>IF(A476="","","N/A")</f>
        <v/>
      </c>
    </row>
    <row r="477">
      <c r="A477">
        <f>IF('Equipment Information'!A477="","", 'Equipment Information'!A477)</f>
        <v/>
      </c>
      <c r="B477">
        <f>IF('Equipment Information'!B477="","", 'Equipment Information'!B477)</f>
        <v/>
      </c>
      <c r="C477">
        <f>IF('Equipment Information'!C477="","", 'Equipment Information'!C477)</f>
        <v/>
      </c>
      <c r="I477">
        <f>IF(A477="","","N/A")</f>
        <v/>
      </c>
    </row>
    <row r="478">
      <c r="A478">
        <f>IF('Equipment Information'!A478="","", 'Equipment Information'!A478)</f>
        <v/>
      </c>
      <c r="B478">
        <f>IF('Equipment Information'!B478="","", 'Equipment Information'!B478)</f>
        <v/>
      </c>
      <c r="C478">
        <f>IF('Equipment Information'!C478="","", 'Equipment Information'!C478)</f>
        <v/>
      </c>
      <c r="I478">
        <f>IF(A478="","","N/A")</f>
        <v/>
      </c>
    </row>
    <row r="479">
      <c r="A479">
        <f>IF('Equipment Information'!A479="","", 'Equipment Information'!A479)</f>
        <v/>
      </c>
      <c r="B479">
        <f>IF('Equipment Information'!B479="","", 'Equipment Information'!B479)</f>
        <v/>
      </c>
      <c r="C479">
        <f>IF('Equipment Information'!C479="","", 'Equipment Information'!C479)</f>
        <v/>
      </c>
      <c r="I479">
        <f>IF(A479="","","N/A")</f>
        <v/>
      </c>
    </row>
    <row r="480">
      <c r="A480">
        <f>IF('Equipment Information'!A480="","", 'Equipment Information'!A480)</f>
        <v/>
      </c>
      <c r="B480">
        <f>IF('Equipment Information'!B480="","", 'Equipment Information'!B480)</f>
        <v/>
      </c>
      <c r="C480">
        <f>IF('Equipment Information'!C480="","", 'Equipment Information'!C480)</f>
        <v/>
      </c>
      <c r="I480">
        <f>IF(A480="","","N/A")</f>
        <v/>
      </c>
    </row>
    <row r="481">
      <c r="A481">
        <f>IF('Equipment Information'!A481="","", 'Equipment Information'!A481)</f>
        <v/>
      </c>
      <c r="B481">
        <f>IF('Equipment Information'!B481="","", 'Equipment Information'!B481)</f>
        <v/>
      </c>
      <c r="C481">
        <f>IF('Equipment Information'!C481="","", 'Equipment Information'!C481)</f>
        <v/>
      </c>
      <c r="I481">
        <f>IF(A481="","","N/A")</f>
        <v/>
      </c>
    </row>
    <row r="482">
      <c r="A482">
        <f>IF('Equipment Information'!A482="","", 'Equipment Information'!A482)</f>
        <v/>
      </c>
      <c r="B482">
        <f>IF('Equipment Information'!B482="","", 'Equipment Information'!B482)</f>
        <v/>
      </c>
      <c r="C482">
        <f>IF('Equipment Information'!C482="","", 'Equipment Information'!C482)</f>
        <v/>
      </c>
      <c r="I482">
        <f>IF(A482="","","N/A")</f>
        <v/>
      </c>
    </row>
    <row r="483">
      <c r="A483">
        <f>IF('Equipment Information'!A483="","", 'Equipment Information'!A483)</f>
        <v/>
      </c>
      <c r="B483">
        <f>IF('Equipment Information'!B483="","", 'Equipment Information'!B483)</f>
        <v/>
      </c>
      <c r="C483">
        <f>IF('Equipment Information'!C483="","", 'Equipment Information'!C483)</f>
        <v/>
      </c>
      <c r="I483">
        <f>IF(A483="","","N/A")</f>
        <v/>
      </c>
    </row>
    <row r="484">
      <c r="A484">
        <f>IF('Equipment Information'!A484="","", 'Equipment Information'!A484)</f>
        <v/>
      </c>
      <c r="B484">
        <f>IF('Equipment Information'!B484="","", 'Equipment Information'!B484)</f>
        <v/>
      </c>
      <c r="C484">
        <f>IF('Equipment Information'!C484="","", 'Equipment Information'!C484)</f>
        <v/>
      </c>
      <c r="I484">
        <f>IF(A484="","","N/A")</f>
        <v/>
      </c>
    </row>
    <row r="485">
      <c r="A485">
        <f>IF('Equipment Information'!A485="","", 'Equipment Information'!A485)</f>
        <v/>
      </c>
      <c r="B485">
        <f>IF('Equipment Information'!B485="","", 'Equipment Information'!B485)</f>
        <v/>
      </c>
      <c r="C485">
        <f>IF('Equipment Information'!C485="","", 'Equipment Information'!C485)</f>
        <v/>
      </c>
      <c r="I485">
        <f>IF(A485="","","N/A")</f>
        <v/>
      </c>
    </row>
    <row r="486">
      <c r="A486">
        <f>IF('Equipment Information'!A486="","", 'Equipment Information'!A486)</f>
        <v/>
      </c>
      <c r="B486">
        <f>IF('Equipment Information'!B486="","", 'Equipment Information'!B486)</f>
        <v/>
      </c>
      <c r="C486">
        <f>IF('Equipment Information'!C486="","", 'Equipment Information'!C486)</f>
        <v/>
      </c>
      <c r="I486">
        <f>IF(A486="","","N/A")</f>
        <v/>
      </c>
    </row>
    <row r="487">
      <c r="A487">
        <f>IF('Equipment Information'!A487="","", 'Equipment Information'!A487)</f>
        <v/>
      </c>
      <c r="B487">
        <f>IF('Equipment Information'!B487="","", 'Equipment Information'!B487)</f>
        <v/>
      </c>
      <c r="C487">
        <f>IF('Equipment Information'!C487="","", 'Equipment Information'!C487)</f>
        <v/>
      </c>
      <c r="I487">
        <f>IF(A487="","","N/A")</f>
        <v/>
      </c>
    </row>
    <row r="488">
      <c r="A488">
        <f>IF('Equipment Information'!A488="","", 'Equipment Information'!A488)</f>
        <v/>
      </c>
      <c r="B488">
        <f>IF('Equipment Information'!B488="","", 'Equipment Information'!B488)</f>
        <v/>
      </c>
      <c r="C488">
        <f>IF('Equipment Information'!C488="","", 'Equipment Information'!C488)</f>
        <v/>
      </c>
      <c r="I488">
        <f>IF(A488="","","N/A")</f>
        <v/>
      </c>
    </row>
    <row r="489">
      <c r="A489">
        <f>IF('Equipment Information'!A489="","", 'Equipment Information'!A489)</f>
        <v/>
      </c>
      <c r="B489">
        <f>IF('Equipment Information'!B489="","", 'Equipment Information'!B489)</f>
        <v/>
      </c>
      <c r="C489">
        <f>IF('Equipment Information'!C489="","", 'Equipment Information'!C489)</f>
        <v/>
      </c>
      <c r="I489">
        <f>IF(A489="","","N/A")</f>
        <v/>
      </c>
    </row>
    <row r="490">
      <c r="A490">
        <f>IF('Equipment Information'!A490="","", 'Equipment Information'!A490)</f>
        <v/>
      </c>
      <c r="B490">
        <f>IF('Equipment Information'!B490="","", 'Equipment Information'!B490)</f>
        <v/>
      </c>
      <c r="C490">
        <f>IF('Equipment Information'!C490="","", 'Equipment Information'!C490)</f>
        <v/>
      </c>
      <c r="I490">
        <f>IF(A490="","","N/A")</f>
        <v/>
      </c>
    </row>
    <row r="491">
      <c r="A491">
        <f>IF('Equipment Information'!A491="","", 'Equipment Information'!A491)</f>
        <v/>
      </c>
      <c r="B491">
        <f>IF('Equipment Information'!B491="","", 'Equipment Information'!B491)</f>
        <v/>
      </c>
      <c r="C491">
        <f>IF('Equipment Information'!C491="","", 'Equipment Information'!C491)</f>
        <v/>
      </c>
      <c r="I491">
        <f>IF(A491="","","N/A")</f>
        <v/>
      </c>
    </row>
    <row r="492">
      <c r="A492">
        <f>IF('Equipment Information'!A492="","", 'Equipment Information'!A492)</f>
        <v/>
      </c>
      <c r="B492">
        <f>IF('Equipment Information'!B492="","", 'Equipment Information'!B492)</f>
        <v/>
      </c>
      <c r="C492">
        <f>IF('Equipment Information'!C492="","", 'Equipment Information'!C492)</f>
        <v/>
      </c>
      <c r="I492">
        <f>IF(A492="","","N/A")</f>
        <v/>
      </c>
    </row>
    <row r="493">
      <c r="A493">
        <f>IF('Equipment Information'!A493="","", 'Equipment Information'!A493)</f>
        <v/>
      </c>
      <c r="B493">
        <f>IF('Equipment Information'!B493="","", 'Equipment Information'!B493)</f>
        <v/>
      </c>
      <c r="C493">
        <f>IF('Equipment Information'!C493="","", 'Equipment Information'!C493)</f>
        <v/>
      </c>
      <c r="I493">
        <f>IF(A493="","","N/A")</f>
        <v/>
      </c>
    </row>
    <row r="494">
      <c r="A494">
        <f>IF('Equipment Information'!A494="","", 'Equipment Information'!A494)</f>
        <v/>
      </c>
      <c r="B494">
        <f>IF('Equipment Information'!B494="","", 'Equipment Information'!B494)</f>
        <v/>
      </c>
      <c r="C494">
        <f>IF('Equipment Information'!C494="","", 'Equipment Information'!C494)</f>
        <v/>
      </c>
      <c r="I494">
        <f>IF(A494="","","N/A")</f>
        <v/>
      </c>
    </row>
    <row r="495">
      <c r="A495">
        <f>IF('Equipment Information'!A495="","", 'Equipment Information'!A495)</f>
        <v/>
      </c>
      <c r="B495">
        <f>IF('Equipment Information'!B495="","", 'Equipment Information'!B495)</f>
        <v/>
      </c>
      <c r="C495">
        <f>IF('Equipment Information'!C495="","", 'Equipment Information'!C495)</f>
        <v/>
      </c>
      <c r="I495">
        <f>IF(A495="","","N/A")</f>
        <v/>
      </c>
    </row>
    <row r="496">
      <c r="A496">
        <f>IF('Equipment Information'!A496="","", 'Equipment Information'!A496)</f>
        <v/>
      </c>
      <c r="B496">
        <f>IF('Equipment Information'!B496="","", 'Equipment Information'!B496)</f>
        <v/>
      </c>
      <c r="C496">
        <f>IF('Equipment Information'!C496="","", 'Equipment Information'!C496)</f>
        <v/>
      </c>
      <c r="I496">
        <f>IF(A496="","","N/A")</f>
        <v/>
      </c>
    </row>
    <row r="497">
      <c r="A497">
        <f>IF('Equipment Information'!A497="","", 'Equipment Information'!A497)</f>
        <v/>
      </c>
      <c r="B497">
        <f>IF('Equipment Information'!B497="","", 'Equipment Information'!B497)</f>
        <v/>
      </c>
      <c r="C497">
        <f>IF('Equipment Information'!C497="","", 'Equipment Information'!C497)</f>
        <v/>
      </c>
      <c r="I497">
        <f>IF(A497="","","N/A")</f>
        <v/>
      </c>
    </row>
    <row r="498">
      <c r="A498">
        <f>IF('Equipment Information'!A498="","", 'Equipment Information'!A498)</f>
        <v/>
      </c>
      <c r="B498">
        <f>IF('Equipment Information'!B498="","", 'Equipment Information'!B498)</f>
        <v/>
      </c>
      <c r="C498">
        <f>IF('Equipment Information'!C498="","", 'Equipment Information'!C498)</f>
        <v/>
      </c>
      <c r="I498">
        <f>IF(A498="","","N/A")</f>
        <v/>
      </c>
    </row>
    <row r="499">
      <c r="A499">
        <f>IF('Equipment Information'!A499="","", 'Equipment Information'!A499)</f>
        <v/>
      </c>
      <c r="B499">
        <f>IF('Equipment Information'!B499="","", 'Equipment Information'!B499)</f>
        <v/>
      </c>
      <c r="C499">
        <f>IF('Equipment Information'!C499="","", 'Equipment Information'!C499)</f>
        <v/>
      </c>
      <c r="I499">
        <f>IF(A499="","","N/A")</f>
        <v/>
      </c>
    </row>
  </sheetData>
  <dataValidations count="1">
    <dataValidation sqref="I2:I500" showDropDown="0" showInputMessage="0" showErrorMessage="0" allowBlank="1" type="list">
      <formula1>List_PF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Loc</t>
        </is>
      </c>
      <c r="D1" s="1" t="inlineStr">
        <is>
          <t>Ph-A</t>
        </is>
      </c>
      <c r="E1" s="1" t="inlineStr">
        <is>
          <t>Ph-B</t>
        </is>
      </c>
      <c r="F1" s="1" t="inlineStr">
        <is>
          <t>Ph-C</t>
        </is>
      </c>
      <c r="G1" s="1" t="inlineStr">
        <is>
          <t>Dev%</t>
        </is>
      </c>
      <c r="H1" s="1" t="inlineStr">
        <is>
          <t>Result</t>
        </is>
      </c>
      <c r="I1" s="1" t="inlineStr">
        <is>
          <t>Notes</t>
        </is>
      </c>
    </row>
    <row r="2">
      <c r="A2">
        <f>IF('Equipment Information'!A2="","", 'Equipment Information'!A2)</f>
        <v/>
      </c>
      <c r="B2">
        <f>IF('Equipment Information'!B2="","", 'Equipment Information'!B2)</f>
        <v/>
      </c>
      <c r="C2">
        <f>IF('Equipment Information'!C2="","", 'Equipment Information'!C2)</f>
        <v/>
      </c>
      <c r="H2">
        <f>IF(A2="","","N/A")</f>
        <v/>
      </c>
    </row>
    <row r="3">
      <c r="A3">
        <f>IF('Equipment Information'!A3="","", 'Equipment Information'!A3)</f>
        <v/>
      </c>
      <c r="B3">
        <f>IF('Equipment Information'!B3="","", 'Equipment Information'!B3)</f>
        <v/>
      </c>
      <c r="C3">
        <f>IF('Equipment Information'!C3="","", 'Equipment Information'!C3)</f>
        <v/>
      </c>
      <c r="H3">
        <f>IF(A3="","","N/A")</f>
        <v/>
      </c>
    </row>
    <row r="4">
      <c r="A4">
        <f>IF('Equipment Information'!A4="","", 'Equipment Information'!A4)</f>
        <v/>
      </c>
      <c r="B4">
        <f>IF('Equipment Information'!B4="","", 'Equipment Information'!B4)</f>
        <v/>
      </c>
      <c r="C4">
        <f>IF('Equipment Information'!C4="","", 'Equipment Information'!C4)</f>
        <v/>
      </c>
      <c r="H4">
        <f>IF(A4="","","N/A")</f>
        <v/>
      </c>
    </row>
    <row r="5">
      <c r="A5">
        <f>IF('Equipment Information'!A5="","", 'Equipment Information'!A5)</f>
        <v/>
      </c>
      <c r="B5">
        <f>IF('Equipment Information'!B5="","", 'Equipment Information'!B5)</f>
        <v/>
      </c>
      <c r="C5">
        <f>IF('Equipment Information'!C5="","", 'Equipment Information'!C5)</f>
        <v/>
      </c>
      <c r="H5">
        <f>IF(A5="","","N/A")</f>
        <v/>
      </c>
    </row>
    <row r="6">
      <c r="A6">
        <f>IF('Equipment Information'!A6="","", 'Equipment Information'!A6)</f>
        <v/>
      </c>
      <c r="B6">
        <f>IF('Equipment Information'!B6="","", 'Equipment Information'!B6)</f>
        <v/>
      </c>
      <c r="C6">
        <f>IF('Equipment Information'!C6="","", 'Equipment Information'!C6)</f>
        <v/>
      </c>
      <c r="H6">
        <f>IF(A6="","","N/A")</f>
        <v/>
      </c>
    </row>
    <row r="7">
      <c r="A7">
        <f>IF('Equipment Information'!A7="","", 'Equipment Information'!A7)</f>
        <v/>
      </c>
      <c r="B7">
        <f>IF('Equipment Information'!B7="","", 'Equipment Information'!B7)</f>
        <v/>
      </c>
      <c r="C7">
        <f>IF('Equipment Information'!C7="","", 'Equipment Information'!C7)</f>
        <v/>
      </c>
      <c r="H7">
        <f>IF(A7="","","N/A")</f>
        <v/>
      </c>
    </row>
    <row r="8">
      <c r="A8">
        <f>IF('Equipment Information'!A8="","", 'Equipment Information'!A8)</f>
        <v/>
      </c>
      <c r="B8">
        <f>IF('Equipment Information'!B8="","", 'Equipment Information'!B8)</f>
        <v/>
      </c>
      <c r="C8">
        <f>IF('Equipment Information'!C8="","", 'Equipment Information'!C8)</f>
        <v/>
      </c>
      <c r="H8">
        <f>IF(A8="","","N/A")</f>
        <v/>
      </c>
    </row>
    <row r="9">
      <c r="A9">
        <f>IF('Equipment Information'!A9="","", 'Equipment Information'!A9)</f>
        <v/>
      </c>
      <c r="B9">
        <f>IF('Equipment Information'!B9="","", 'Equipment Information'!B9)</f>
        <v/>
      </c>
      <c r="C9">
        <f>IF('Equipment Information'!C9="","", 'Equipment Information'!C9)</f>
        <v/>
      </c>
      <c r="H9">
        <f>IF(A9="","","N/A")</f>
        <v/>
      </c>
    </row>
    <row r="10">
      <c r="A10">
        <f>IF('Equipment Information'!A10="","", 'Equipment Information'!A10)</f>
        <v/>
      </c>
      <c r="B10">
        <f>IF('Equipment Information'!B10="","", 'Equipment Information'!B10)</f>
        <v/>
      </c>
      <c r="C10">
        <f>IF('Equipment Information'!C10="","", 'Equipment Information'!C10)</f>
        <v/>
      </c>
      <c r="H10">
        <f>IF(A10="","","N/A")</f>
        <v/>
      </c>
    </row>
    <row r="11">
      <c r="A11">
        <f>IF('Equipment Information'!A11="","", 'Equipment Information'!A11)</f>
        <v/>
      </c>
      <c r="B11">
        <f>IF('Equipment Information'!B11="","", 'Equipment Information'!B11)</f>
        <v/>
      </c>
      <c r="C11">
        <f>IF('Equipment Information'!C11="","", 'Equipment Information'!C11)</f>
        <v/>
      </c>
      <c r="H11">
        <f>IF(A11="","","N/A")</f>
        <v/>
      </c>
    </row>
    <row r="12">
      <c r="A12">
        <f>IF('Equipment Information'!A12="","", 'Equipment Information'!A12)</f>
        <v/>
      </c>
      <c r="B12">
        <f>IF('Equipment Information'!B12="","", 'Equipment Information'!B12)</f>
        <v/>
      </c>
      <c r="C12">
        <f>IF('Equipment Information'!C12="","", 'Equipment Information'!C12)</f>
        <v/>
      </c>
      <c r="H12">
        <f>IF(A12="","","N/A")</f>
        <v/>
      </c>
    </row>
    <row r="13">
      <c r="A13">
        <f>IF('Equipment Information'!A13="","", 'Equipment Information'!A13)</f>
        <v/>
      </c>
      <c r="B13">
        <f>IF('Equipment Information'!B13="","", 'Equipment Information'!B13)</f>
        <v/>
      </c>
      <c r="C13">
        <f>IF('Equipment Information'!C13="","", 'Equipment Information'!C13)</f>
        <v/>
      </c>
      <c r="H13">
        <f>IF(A13="","","N/A")</f>
        <v/>
      </c>
    </row>
    <row r="14">
      <c r="A14">
        <f>IF('Equipment Information'!A14="","", 'Equipment Information'!A14)</f>
        <v/>
      </c>
      <c r="B14">
        <f>IF('Equipment Information'!B14="","", 'Equipment Information'!B14)</f>
        <v/>
      </c>
      <c r="C14">
        <f>IF('Equipment Information'!C14="","", 'Equipment Information'!C14)</f>
        <v/>
      </c>
      <c r="H14">
        <f>IF(A14="","","N/A")</f>
        <v/>
      </c>
    </row>
    <row r="15">
      <c r="A15">
        <f>IF('Equipment Information'!A15="","", 'Equipment Information'!A15)</f>
        <v/>
      </c>
      <c r="B15">
        <f>IF('Equipment Information'!B15="","", 'Equipment Information'!B15)</f>
        <v/>
      </c>
      <c r="C15">
        <f>IF('Equipment Information'!C15="","", 'Equipment Information'!C15)</f>
        <v/>
      </c>
      <c r="H15">
        <f>IF(A15="","","N/A")</f>
        <v/>
      </c>
    </row>
    <row r="16">
      <c r="A16">
        <f>IF('Equipment Information'!A16="","", 'Equipment Information'!A16)</f>
        <v/>
      </c>
      <c r="B16">
        <f>IF('Equipment Information'!B16="","", 'Equipment Information'!B16)</f>
        <v/>
      </c>
      <c r="C16">
        <f>IF('Equipment Information'!C16="","", 'Equipment Information'!C16)</f>
        <v/>
      </c>
      <c r="H16">
        <f>IF(A16="","","N/A")</f>
        <v/>
      </c>
    </row>
    <row r="17">
      <c r="A17">
        <f>IF('Equipment Information'!A17="","", 'Equipment Information'!A17)</f>
        <v/>
      </c>
      <c r="B17">
        <f>IF('Equipment Information'!B17="","", 'Equipment Information'!B17)</f>
        <v/>
      </c>
      <c r="C17">
        <f>IF('Equipment Information'!C17="","", 'Equipment Information'!C17)</f>
        <v/>
      </c>
      <c r="H17">
        <f>IF(A17="","","N/A")</f>
        <v/>
      </c>
    </row>
    <row r="18">
      <c r="A18">
        <f>IF('Equipment Information'!A18="","", 'Equipment Information'!A18)</f>
        <v/>
      </c>
      <c r="B18">
        <f>IF('Equipment Information'!B18="","", 'Equipment Information'!B18)</f>
        <v/>
      </c>
      <c r="C18">
        <f>IF('Equipment Information'!C18="","", 'Equipment Information'!C18)</f>
        <v/>
      </c>
      <c r="H18">
        <f>IF(A18="","","N/A")</f>
        <v/>
      </c>
    </row>
    <row r="19">
      <c r="A19">
        <f>IF('Equipment Information'!A19="","", 'Equipment Information'!A19)</f>
        <v/>
      </c>
      <c r="B19">
        <f>IF('Equipment Information'!B19="","", 'Equipment Information'!B19)</f>
        <v/>
      </c>
      <c r="C19">
        <f>IF('Equipment Information'!C19="","", 'Equipment Information'!C19)</f>
        <v/>
      </c>
      <c r="H19">
        <f>IF(A19="","","N/A")</f>
        <v/>
      </c>
    </row>
    <row r="20">
      <c r="A20">
        <f>IF('Equipment Information'!A20="","", 'Equipment Information'!A20)</f>
        <v/>
      </c>
      <c r="B20">
        <f>IF('Equipment Information'!B20="","", 'Equipment Information'!B20)</f>
        <v/>
      </c>
      <c r="C20">
        <f>IF('Equipment Information'!C20="","", 'Equipment Information'!C20)</f>
        <v/>
      </c>
      <c r="H20">
        <f>IF(A20="","","N/A")</f>
        <v/>
      </c>
    </row>
    <row r="21">
      <c r="A21">
        <f>IF('Equipment Information'!A21="","", 'Equipment Information'!A21)</f>
        <v/>
      </c>
      <c r="B21">
        <f>IF('Equipment Information'!B21="","", 'Equipment Information'!B21)</f>
        <v/>
      </c>
      <c r="C21">
        <f>IF('Equipment Information'!C21="","", 'Equipment Information'!C21)</f>
        <v/>
      </c>
      <c r="H21">
        <f>IF(A21="","","N/A")</f>
        <v/>
      </c>
    </row>
    <row r="22">
      <c r="A22">
        <f>IF('Equipment Information'!A22="","", 'Equipment Information'!A22)</f>
        <v/>
      </c>
      <c r="B22">
        <f>IF('Equipment Information'!B22="","", 'Equipment Information'!B22)</f>
        <v/>
      </c>
      <c r="C22">
        <f>IF('Equipment Information'!C22="","", 'Equipment Information'!C22)</f>
        <v/>
      </c>
      <c r="H22">
        <f>IF(A22="","","N/A")</f>
        <v/>
      </c>
    </row>
    <row r="23">
      <c r="A23">
        <f>IF('Equipment Information'!A23="","", 'Equipment Information'!A23)</f>
        <v/>
      </c>
      <c r="B23">
        <f>IF('Equipment Information'!B23="","", 'Equipment Information'!B23)</f>
        <v/>
      </c>
      <c r="C23">
        <f>IF('Equipment Information'!C23="","", 'Equipment Information'!C23)</f>
        <v/>
      </c>
      <c r="H23">
        <f>IF(A23="","","N/A")</f>
        <v/>
      </c>
    </row>
    <row r="24">
      <c r="A24">
        <f>IF('Equipment Information'!A24="","", 'Equipment Information'!A24)</f>
        <v/>
      </c>
      <c r="B24">
        <f>IF('Equipment Information'!B24="","", 'Equipment Information'!B24)</f>
        <v/>
      </c>
      <c r="C24">
        <f>IF('Equipment Information'!C24="","", 'Equipment Information'!C24)</f>
        <v/>
      </c>
      <c r="H24">
        <f>IF(A24="","","N/A")</f>
        <v/>
      </c>
    </row>
    <row r="25">
      <c r="A25">
        <f>IF('Equipment Information'!A25="","", 'Equipment Information'!A25)</f>
        <v/>
      </c>
      <c r="B25">
        <f>IF('Equipment Information'!B25="","", 'Equipment Information'!B25)</f>
        <v/>
      </c>
      <c r="C25">
        <f>IF('Equipment Information'!C25="","", 'Equipment Information'!C25)</f>
        <v/>
      </c>
      <c r="H25">
        <f>IF(A25="","","N/A")</f>
        <v/>
      </c>
    </row>
    <row r="26">
      <c r="A26">
        <f>IF('Equipment Information'!A26="","", 'Equipment Information'!A26)</f>
        <v/>
      </c>
      <c r="B26">
        <f>IF('Equipment Information'!B26="","", 'Equipment Information'!B26)</f>
        <v/>
      </c>
      <c r="C26">
        <f>IF('Equipment Information'!C26="","", 'Equipment Information'!C26)</f>
        <v/>
      </c>
      <c r="H26">
        <f>IF(A26="","","N/A")</f>
        <v/>
      </c>
    </row>
    <row r="27">
      <c r="A27">
        <f>IF('Equipment Information'!A27="","", 'Equipment Information'!A27)</f>
        <v/>
      </c>
      <c r="B27">
        <f>IF('Equipment Information'!B27="","", 'Equipment Information'!B27)</f>
        <v/>
      </c>
      <c r="C27">
        <f>IF('Equipment Information'!C27="","", 'Equipment Information'!C27)</f>
        <v/>
      </c>
      <c r="H27">
        <f>IF(A27="","","N/A")</f>
        <v/>
      </c>
    </row>
    <row r="28">
      <c r="A28">
        <f>IF('Equipment Information'!A28="","", 'Equipment Information'!A28)</f>
        <v/>
      </c>
      <c r="B28">
        <f>IF('Equipment Information'!B28="","", 'Equipment Information'!B28)</f>
        <v/>
      </c>
      <c r="C28">
        <f>IF('Equipment Information'!C28="","", 'Equipment Information'!C28)</f>
        <v/>
      </c>
      <c r="H28">
        <f>IF(A28="","","N/A")</f>
        <v/>
      </c>
    </row>
    <row r="29">
      <c r="A29">
        <f>IF('Equipment Information'!A29="","", 'Equipment Information'!A29)</f>
        <v/>
      </c>
      <c r="B29">
        <f>IF('Equipment Information'!B29="","", 'Equipment Information'!B29)</f>
        <v/>
      </c>
      <c r="C29">
        <f>IF('Equipment Information'!C29="","", 'Equipment Information'!C29)</f>
        <v/>
      </c>
      <c r="H29">
        <f>IF(A29="","","N/A")</f>
        <v/>
      </c>
    </row>
    <row r="30">
      <c r="A30">
        <f>IF('Equipment Information'!A30="","", 'Equipment Information'!A30)</f>
        <v/>
      </c>
      <c r="B30">
        <f>IF('Equipment Information'!B30="","", 'Equipment Information'!B30)</f>
        <v/>
      </c>
      <c r="C30">
        <f>IF('Equipment Information'!C30="","", 'Equipment Information'!C30)</f>
        <v/>
      </c>
      <c r="H30">
        <f>IF(A30="","","N/A")</f>
        <v/>
      </c>
    </row>
    <row r="31">
      <c r="A31">
        <f>IF('Equipment Information'!A31="","", 'Equipment Information'!A31)</f>
        <v/>
      </c>
      <c r="B31">
        <f>IF('Equipment Information'!B31="","", 'Equipment Information'!B31)</f>
        <v/>
      </c>
      <c r="C31">
        <f>IF('Equipment Information'!C31="","", 'Equipment Information'!C31)</f>
        <v/>
      </c>
      <c r="H31">
        <f>IF(A31="","","N/A")</f>
        <v/>
      </c>
    </row>
    <row r="32">
      <c r="A32">
        <f>IF('Equipment Information'!A32="","", 'Equipment Information'!A32)</f>
        <v/>
      </c>
      <c r="B32">
        <f>IF('Equipment Information'!B32="","", 'Equipment Information'!B32)</f>
        <v/>
      </c>
      <c r="C32">
        <f>IF('Equipment Information'!C32="","", 'Equipment Information'!C32)</f>
        <v/>
      </c>
      <c r="H32">
        <f>IF(A32="","","N/A")</f>
        <v/>
      </c>
    </row>
    <row r="33">
      <c r="A33">
        <f>IF('Equipment Information'!A33="","", 'Equipment Information'!A33)</f>
        <v/>
      </c>
      <c r="B33">
        <f>IF('Equipment Information'!B33="","", 'Equipment Information'!B33)</f>
        <v/>
      </c>
      <c r="C33">
        <f>IF('Equipment Information'!C33="","", 'Equipment Information'!C33)</f>
        <v/>
      </c>
      <c r="H33">
        <f>IF(A33="","","N/A")</f>
        <v/>
      </c>
    </row>
    <row r="34">
      <c r="A34">
        <f>IF('Equipment Information'!A34="","", 'Equipment Information'!A34)</f>
        <v/>
      </c>
      <c r="B34">
        <f>IF('Equipment Information'!B34="","", 'Equipment Information'!B34)</f>
        <v/>
      </c>
      <c r="C34">
        <f>IF('Equipment Information'!C34="","", 'Equipment Information'!C34)</f>
        <v/>
      </c>
      <c r="H34">
        <f>IF(A34="","","N/A")</f>
        <v/>
      </c>
    </row>
    <row r="35">
      <c r="A35">
        <f>IF('Equipment Information'!A35="","", 'Equipment Information'!A35)</f>
        <v/>
      </c>
      <c r="B35">
        <f>IF('Equipment Information'!B35="","", 'Equipment Information'!B35)</f>
        <v/>
      </c>
      <c r="C35">
        <f>IF('Equipment Information'!C35="","", 'Equipment Information'!C35)</f>
        <v/>
      </c>
      <c r="H35">
        <f>IF(A35="","","N/A")</f>
        <v/>
      </c>
    </row>
    <row r="36">
      <c r="A36">
        <f>IF('Equipment Information'!A36="","", 'Equipment Information'!A36)</f>
        <v/>
      </c>
      <c r="B36">
        <f>IF('Equipment Information'!B36="","", 'Equipment Information'!B36)</f>
        <v/>
      </c>
      <c r="C36">
        <f>IF('Equipment Information'!C36="","", 'Equipment Information'!C36)</f>
        <v/>
      </c>
      <c r="H36">
        <f>IF(A36="","","N/A")</f>
        <v/>
      </c>
    </row>
    <row r="37">
      <c r="A37">
        <f>IF('Equipment Information'!A37="","", 'Equipment Information'!A37)</f>
        <v/>
      </c>
      <c r="B37">
        <f>IF('Equipment Information'!B37="","", 'Equipment Information'!B37)</f>
        <v/>
      </c>
      <c r="C37">
        <f>IF('Equipment Information'!C37="","", 'Equipment Information'!C37)</f>
        <v/>
      </c>
      <c r="H37">
        <f>IF(A37="","","N/A")</f>
        <v/>
      </c>
    </row>
    <row r="38">
      <c r="A38">
        <f>IF('Equipment Information'!A38="","", 'Equipment Information'!A38)</f>
        <v/>
      </c>
      <c r="B38">
        <f>IF('Equipment Information'!B38="","", 'Equipment Information'!B38)</f>
        <v/>
      </c>
      <c r="C38">
        <f>IF('Equipment Information'!C38="","", 'Equipment Information'!C38)</f>
        <v/>
      </c>
      <c r="H38">
        <f>IF(A38="","","N/A")</f>
        <v/>
      </c>
    </row>
    <row r="39">
      <c r="A39">
        <f>IF('Equipment Information'!A39="","", 'Equipment Information'!A39)</f>
        <v/>
      </c>
      <c r="B39">
        <f>IF('Equipment Information'!B39="","", 'Equipment Information'!B39)</f>
        <v/>
      </c>
      <c r="C39">
        <f>IF('Equipment Information'!C39="","", 'Equipment Information'!C39)</f>
        <v/>
      </c>
      <c r="H39">
        <f>IF(A39="","","N/A")</f>
        <v/>
      </c>
    </row>
    <row r="40">
      <c r="A40">
        <f>IF('Equipment Information'!A40="","", 'Equipment Information'!A40)</f>
        <v/>
      </c>
      <c r="B40">
        <f>IF('Equipment Information'!B40="","", 'Equipment Information'!B40)</f>
        <v/>
      </c>
      <c r="C40">
        <f>IF('Equipment Information'!C40="","", 'Equipment Information'!C40)</f>
        <v/>
      </c>
      <c r="H40">
        <f>IF(A40="","","N/A")</f>
        <v/>
      </c>
    </row>
    <row r="41">
      <c r="A41">
        <f>IF('Equipment Information'!A41="","", 'Equipment Information'!A41)</f>
        <v/>
      </c>
      <c r="B41">
        <f>IF('Equipment Information'!B41="","", 'Equipment Information'!B41)</f>
        <v/>
      </c>
      <c r="C41">
        <f>IF('Equipment Information'!C41="","", 'Equipment Information'!C41)</f>
        <v/>
      </c>
      <c r="H41">
        <f>IF(A41="","","N/A")</f>
        <v/>
      </c>
    </row>
    <row r="42">
      <c r="A42">
        <f>IF('Equipment Information'!A42="","", 'Equipment Information'!A42)</f>
        <v/>
      </c>
      <c r="B42">
        <f>IF('Equipment Information'!B42="","", 'Equipment Information'!B42)</f>
        <v/>
      </c>
      <c r="C42">
        <f>IF('Equipment Information'!C42="","", 'Equipment Information'!C42)</f>
        <v/>
      </c>
      <c r="H42">
        <f>IF(A42="","","N/A")</f>
        <v/>
      </c>
    </row>
    <row r="43">
      <c r="A43">
        <f>IF('Equipment Information'!A43="","", 'Equipment Information'!A43)</f>
        <v/>
      </c>
      <c r="B43">
        <f>IF('Equipment Information'!B43="","", 'Equipment Information'!B43)</f>
        <v/>
      </c>
      <c r="C43">
        <f>IF('Equipment Information'!C43="","", 'Equipment Information'!C43)</f>
        <v/>
      </c>
      <c r="H43">
        <f>IF(A43="","","N/A")</f>
        <v/>
      </c>
    </row>
    <row r="44">
      <c r="A44">
        <f>IF('Equipment Information'!A44="","", 'Equipment Information'!A44)</f>
        <v/>
      </c>
      <c r="B44">
        <f>IF('Equipment Information'!B44="","", 'Equipment Information'!B44)</f>
        <v/>
      </c>
      <c r="C44">
        <f>IF('Equipment Information'!C44="","", 'Equipment Information'!C44)</f>
        <v/>
      </c>
      <c r="H44">
        <f>IF(A44="","","N/A")</f>
        <v/>
      </c>
    </row>
    <row r="45">
      <c r="A45">
        <f>IF('Equipment Information'!A45="","", 'Equipment Information'!A45)</f>
        <v/>
      </c>
      <c r="B45">
        <f>IF('Equipment Information'!B45="","", 'Equipment Information'!B45)</f>
        <v/>
      </c>
      <c r="C45">
        <f>IF('Equipment Information'!C45="","", 'Equipment Information'!C45)</f>
        <v/>
      </c>
      <c r="H45">
        <f>IF(A45="","","N/A")</f>
        <v/>
      </c>
    </row>
    <row r="46">
      <c r="A46">
        <f>IF('Equipment Information'!A46="","", 'Equipment Information'!A46)</f>
        <v/>
      </c>
      <c r="B46">
        <f>IF('Equipment Information'!B46="","", 'Equipment Information'!B46)</f>
        <v/>
      </c>
      <c r="C46">
        <f>IF('Equipment Information'!C46="","", 'Equipment Information'!C46)</f>
        <v/>
      </c>
      <c r="H46">
        <f>IF(A46="","","N/A")</f>
        <v/>
      </c>
    </row>
    <row r="47">
      <c r="A47">
        <f>IF('Equipment Information'!A47="","", 'Equipment Information'!A47)</f>
        <v/>
      </c>
      <c r="B47">
        <f>IF('Equipment Information'!B47="","", 'Equipment Information'!B47)</f>
        <v/>
      </c>
      <c r="C47">
        <f>IF('Equipment Information'!C47="","", 'Equipment Information'!C47)</f>
        <v/>
      </c>
      <c r="H47">
        <f>IF(A47="","","N/A")</f>
        <v/>
      </c>
    </row>
    <row r="48">
      <c r="A48">
        <f>IF('Equipment Information'!A48="","", 'Equipment Information'!A48)</f>
        <v/>
      </c>
      <c r="B48">
        <f>IF('Equipment Information'!B48="","", 'Equipment Information'!B48)</f>
        <v/>
      </c>
      <c r="C48">
        <f>IF('Equipment Information'!C48="","", 'Equipment Information'!C48)</f>
        <v/>
      </c>
      <c r="H48">
        <f>IF(A48="","","N/A")</f>
        <v/>
      </c>
    </row>
    <row r="49">
      <c r="A49">
        <f>IF('Equipment Information'!A49="","", 'Equipment Information'!A49)</f>
        <v/>
      </c>
      <c r="B49">
        <f>IF('Equipment Information'!B49="","", 'Equipment Information'!B49)</f>
        <v/>
      </c>
      <c r="C49">
        <f>IF('Equipment Information'!C49="","", 'Equipment Information'!C49)</f>
        <v/>
      </c>
      <c r="H49">
        <f>IF(A49="","","N/A")</f>
        <v/>
      </c>
    </row>
    <row r="50">
      <c r="A50">
        <f>IF('Equipment Information'!A50="","", 'Equipment Information'!A50)</f>
        <v/>
      </c>
      <c r="B50">
        <f>IF('Equipment Information'!B50="","", 'Equipment Information'!B50)</f>
        <v/>
      </c>
      <c r="C50">
        <f>IF('Equipment Information'!C50="","", 'Equipment Information'!C50)</f>
        <v/>
      </c>
      <c r="H50">
        <f>IF(A50="","","N/A")</f>
        <v/>
      </c>
    </row>
    <row r="51">
      <c r="A51">
        <f>IF('Equipment Information'!A51="","", 'Equipment Information'!A51)</f>
        <v/>
      </c>
      <c r="B51">
        <f>IF('Equipment Information'!B51="","", 'Equipment Information'!B51)</f>
        <v/>
      </c>
      <c r="C51">
        <f>IF('Equipment Information'!C51="","", 'Equipment Information'!C51)</f>
        <v/>
      </c>
      <c r="H51">
        <f>IF(A51="","","N/A")</f>
        <v/>
      </c>
    </row>
    <row r="52">
      <c r="A52">
        <f>IF('Equipment Information'!A52="","", 'Equipment Information'!A52)</f>
        <v/>
      </c>
      <c r="B52">
        <f>IF('Equipment Information'!B52="","", 'Equipment Information'!B52)</f>
        <v/>
      </c>
      <c r="C52">
        <f>IF('Equipment Information'!C52="","", 'Equipment Information'!C52)</f>
        <v/>
      </c>
      <c r="H52">
        <f>IF(A52="","","N/A")</f>
        <v/>
      </c>
    </row>
    <row r="53">
      <c r="A53">
        <f>IF('Equipment Information'!A53="","", 'Equipment Information'!A53)</f>
        <v/>
      </c>
      <c r="B53">
        <f>IF('Equipment Information'!B53="","", 'Equipment Information'!B53)</f>
        <v/>
      </c>
      <c r="C53">
        <f>IF('Equipment Information'!C53="","", 'Equipment Information'!C53)</f>
        <v/>
      </c>
      <c r="H53">
        <f>IF(A53="","","N/A")</f>
        <v/>
      </c>
    </row>
    <row r="54">
      <c r="A54">
        <f>IF('Equipment Information'!A54="","", 'Equipment Information'!A54)</f>
        <v/>
      </c>
      <c r="B54">
        <f>IF('Equipment Information'!B54="","", 'Equipment Information'!B54)</f>
        <v/>
      </c>
      <c r="C54">
        <f>IF('Equipment Information'!C54="","", 'Equipment Information'!C54)</f>
        <v/>
      </c>
      <c r="H54">
        <f>IF(A54="","","N/A")</f>
        <v/>
      </c>
    </row>
    <row r="55">
      <c r="A55">
        <f>IF('Equipment Information'!A55="","", 'Equipment Information'!A55)</f>
        <v/>
      </c>
      <c r="B55">
        <f>IF('Equipment Information'!B55="","", 'Equipment Information'!B55)</f>
        <v/>
      </c>
      <c r="C55">
        <f>IF('Equipment Information'!C55="","", 'Equipment Information'!C55)</f>
        <v/>
      </c>
      <c r="H55">
        <f>IF(A55="","","N/A")</f>
        <v/>
      </c>
    </row>
    <row r="56">
      <c r="A56">
        <f>IF('Equipment Information'!A56="","", 'Equipment Information'!A56)</f>
        <v/>
      </c>
      <c r="B56">
        <f>IF('Equipment Information'!B56="","", 'Equipment Information'!B56)</f>
        <v/>
      </c>
      <c r="C56">
        <f>IF('Equipment Information'!C56="","", 'Equipment Information'!C56)</f>
        <v/>
      </c>
      <c r="H56">
        <f>IF(A56="","","N/A")</f>
        <v/>
      </c>
    </row>
    <row r="57">
      <c r="A57">
        <f>IF('Equipment Information'!A57="","", 'Equipment Information'!A57)</f>
        <v/>
      </c>
      <c r="B57">
        <f>IF('Equipment Information'!B57="","", 'Equipment Information'!B57)</f>
        <v/>
      </c>
      <c r="C57">
        <f>IF('Equipment Information'!C57="","", 'Equipment Information'!C57)</f>
        <v/>
      </c>
      <c r="H57">
        <f>IF(A57="","","N/A")</f>
        <v/>
      </c>
    </row>
    <row r="58">
      <c r="A58">
        <f>IF('Equipment Information'!A58="","", 'Equipment Information'!A58)</f>
        <v/>
      </c>
      <c r="B58">
        <f>IF('Equipment Information'!B58="","", 'Equipment Information'!B58)</f>
        <v/>
      </c>
      <c r="C58">
        <f>IF('Equipment Information'!C58="","", 'Equipment Information'!C58)</f>
        <v/>
      </c>
      <c r="H58">
        <f>IF(A58="","","N/A")</f>
        <v/>
      </c>
    </row>
    <row r="59">
      <c r="A59">
        <f>IF('Equipment Information'!A59="","", 'Equipment Information'!A59)</f>
        <v/>
      </c>
      <c r="B59">
        <f>IF('Equipment Information'!B59="","", 'Equipment Information'!B59)</f>
        <v/>
      </c>
      <c r="C59">
        <f>IF('Equipment Information'!C59="","", 'Equipment Information'!C59)</f>
        <v/>
      </c>
      <c r="H59">
        <f>IF(A59="","","N/A")</f>
        <v/>
      </c>
    </row>
    <row r="60">
      <c r="A60">
        <f>IF('Equipment Information'!A60="","", 'Equipment Information'!A60)</f>
        <v/>
      </c>
      <c r="B60">
        <f>IF('Equipment Information'!B60="","", 'Equipment Information'!B60)</f>
        <v/>
      </c>
      <c r="C60">
        <f>IF('Equipment Information'!C60="","", 'Equipment Information'!C60)</f>
        <v/>
      </c>
      <c r="H60">
        <f>IF(A60="","","N/A")</f>
        <v/>
      </c>
    </row>
    <row r="61">
      <c r="A61">
        <f>IF('Equipment Information'!A61="","", 'Equipment Information'!A61)</f>
        <v/>
      </c>
      <c r="B61">
        <f>IF('Equipment Information'!B61="","", 'Equipment Information'!B61)</f>
        <v/>
      </c>
      <c r="C61">
        <f>IF('Equipment Information'!C61="","", 'Equipment Information'!C61)</f>
        <v/>
      </c>
      <c r="H61">
        <f>IF(A61="","","N/A")</f>
        <v/>
      </c>
    </row>
    <row r="62">
      <c r="A62">
        <f>IF('Equipment Information'!A62="","", 'Equipment Information'!A62)</f>
        <v/>
      </c>
      <c r="B62">
        <f>IF('Equipment Information'!B62="","", 'Equipment Information'!B62)</f>
        <v/>
      </c>
      <c r="C62">
        <f>IF('Equipment Information'!C62="","", 'Equipment Information'!C62)</f>
        <v/>
      </c>
      <c r="H62">
        <f>IF(A62="","","N/A")</f>
        <v/>
      </c>
    </row>
    <row r="63">
      <c r="A63">
        <f>IF('Equipment Information'!A63="","", 'Equipment Information'!A63)</f>
        <v/>
      </c>
      <c r="B63">
        <f>IF('Equipment Information'!B63="","", 'Equipment Information'!B63)</f>
        <v/>
      </c>
      <c r="C63">
        <f>IF('Equipment Information'!C63="","", 'Equipment Information'!C63)</f>
        <v/>
      </c>
      <c r="H63">
        <f>IF(A63="","","N/A")</f>
        <v/>
      </c>
    </row>
    <row r="64">
      <c r="A64">
        <f>IF('Equipment Information'!A64="","", 'Equipment Information'!A64)</f>
        <v/>
      </c>
      <c r="B64">
        <f>IF('Equipment Information'!B64="","", 'Equipment Information'!B64)</f>
        <v/>
      </c>
      <c r="C64">
        <f>IF('Equipment Information'!C64="","", 'Equipment Information'!C64)</f>
        <v/>
      </c>
      <c r="H64">
        <f>IF(A64="","","N/A")</f>
        <v/>
      </c>
    </row>
    <row r="65">
      <c r="A65">
        <f>IF('Equipment Information'!A65="","", 'Equipment Information'!A65)</f>
        <v/>
      </c>
      <c r="B65">
        <f>IF('Equipment Information'!B65="","", 'Equipment Information'!B65)</f>
        <v/>
      </c>
      <c r="C65">
        <f>IF('Equipment Information'!C65="","", 'Equipment Information'!C65)</f>
        <v/>
      </c>
      <c r="H65">
        <f>IF(A65="","","N/A")</f>
        <v/>
      </c>
    </row>
    <row r="66">
      <c r="A66">
        <f>IF('Equipment Information'!A66="","", 'Equipment Information'!A66)</f>
        <v/>
      </c>
      <c r="B66">
        <f>IF('Equipment Information'!B66="","", 'Equipment Information'!B66)</f>
        <v/>
      </c>
      <c r="C66">
        <f>IF('Equipment Information'!C66="","", 'Equipment Information'!C66)</f>
        <v/>
      </c>
      <c r="H66">
        <f>IF(A66="","","N/A")</f>
        <v/>
      </c>
    </row>
    <row r="67">
      <c r="A67">
        <f>IF('Equipment Information'!A67="","", 'Equipment Information'!A67)</f>
        <v/>
      </c>
      <c r="B67">
        <f>IF('Equipment Information'!B67="","", 'Equipment Information'!B67)</f>
        <v/>
      </c>
      <c r="C67">
        <f>IF('Equipment Information'!C67="","", 'Equipment Information'!C67)</f>
        <v/>
      </c>
      <c r="H67">
        <f>IF(A67="","","N/A")</f>
        <v/>
      </c>
    </row>
    <row r="68">
      <c r="A68">
        <f>IF('Equipment Information'!A68="","", 'Equipment Information'!A68)</f>
        <v/>
      </c>
      <c r="B68">
        <f>IF('Equipment Information'!B68="","", 'Equipment Information'!B68)</f>
        <v/>
      </c>
      <c r="C68">
        <f>IF('Equipment Information'!C68="","", 'Equipment Information'!C68)</f>
        <v/>
      </c>
      <c r="H68">
        <f>IF(A68="","","N/A")</f>
        <v/>
      </c>
    </row>
    <row r="69">
      <c r="A69">
        <f>IF('Equipment Information'!A69="","", 'Equipment Information'!A69)</f>
        <v/>
      </c>
      <c r="B69">
        <f>IF('Equipment Information'!B69="","", 'Equipment Information'!B69)</f>
        <v/>
      </c>
      <c r="C69">
        <f>IF('Equipment Information'!C69="","", 'Equipment Information'!C69)</f>
        <v/>
      </c>
      <c r="H69">
        <f>IF(A69="","","N/A")</f>
        <v/>
      </c>
    </row>
    <row r="70">
      <c r="A70">
        <f>IF('Equipment Information'!A70="","", 'Equipment Information'!A70)</f>
        <v/>
      </c>
      <c r="B70">
        <f>IF('Equipment Information'!B70="","", 'Equipment Information'!B70)</f>
        <v/>
      </c>
      <c r="C70">
        <f>IF('Equipment Information'!C70="","", 'Equipment Information'!C70)</f>
        <v/>
      </c>
      <c r="H70">
        <f>IF(A70="","","N/A")</f>
        <v/>
      </c>
    </row>
    <row r="71">
      <c r="A71">
        <f>IF('Equipment Information'!A71="","", 'Equipment Information'!A71)</f>
        <v/>
      </c>
      <c r="B71">
        <f>IF('Equipment Information'!B71="","", 'Equipment Information'!B71)</f>
        <v/>
      </c>
      <c r="C71">
        <f>IF('Equipment Information'!C71="","", 'Equipment Information'!C71)</f>
        <v/>
      </c>
      <c r="H71">
        <f>IF(A71="","","N/A")</f>
        <v/>
      </c>
    </row>
    <row r="72">
      <c r="A72">
        <f>IF('Equipment Information'!A72="","", 'Equipment Information'!A72)</f>
        <v/>
      </c>
      <c r="B72">
        <f>IF('Equipment Information'!B72="","", 'Equipment Information'!B72)</f>
        <v/>
      </c>
      <c r="C72">
        <f>IF('Equipment Information'!C72="","", 'Equipment Information'!C72)</f>
        <v/>
      </c>
      <c r="H72">
        <f>IF(A72="","","N/A")</f>
        <v/>
      </c>
    </row>
    <row r="73">
      <c r="A73">
        <f>IF('Equipment Information'!A73="","", 'Equipment Information'!A73)</f>
        <v/>
      </c>
      <c r="B73">
        <f>IF('Equipment Information'!B73="","", 'Equipment Information'!B73)</f>
        <v/>
      </c>
      <c r="C73">
        <f>IF('Equipment Information'!C73="","", 'Equipment Information'!C73)</f>
        <v/>
      </c>
      <c r="H73">
        <f>IF(A73="","","N/A")</f>
        <v/>
      </c>
    </row>
    <row r="74">
      <c r="A74">
        <f>IF('Equipment Information'!A74="","", 'Equipment Information'!A74)</f>
        <v/>
      </c>
      <c r="B74">
        <f>IF('Equipment Information'!B74="","", 'Equipment Information'!B74)</f>
        <v/>
      </c>
      <c r="C74">
        <f>IF('Equipment Information'!C74="","", 'Equipment Information'!C74)</f>
        <v/>
      </c>
      <c r="H74">
        <f>IF(A74="","","N/A")</f>
        <v/>
      </c>
    </row>
    <row r="75">
      <c r="A75">
        <f>IF('Equipment Information'!A75="","", 'Equipment Information'!A75)</f>
        <v/>
      </c>
      <c r="B75">
        <f>IF('Equipment Information'!B75="","", 'Equipment Information'!B75)</f>
        <v/>
      </c>
      <c r="C75">
        <f>IF('Equipment Information'!C75="","", 'Equipment Information'!C75)</f>
        <v/>
      </c>
      <c r="H75">
        <f>IF(A75="","","N/A")</f>
        <v/>
      </c>
    </row>
    <row r="76">
      <c r="A76">
        <f>IF('Equipment Information'!A76="","", 'Equipment Information'!A76)</f>
        <v/>
      </c>
      <c r="B76">
        <f>IF('Equipment Information'!B76="","", 'Equipment Information'!B76)</f>
        <v/>
      </c>
      <c r="C76">
        <f>IF('Equipment Information'!C76="","", 'Equipment Information'!C76)</f>
        <v/>
      </c>
      <c r="H76">
        <f>IF(A76="","","N/A")</f>
        <v/>
      </c>
    </row>
    <row r="77">
      <c r="A77">
        <f>IF('Equipment Information'!A77="","", 'Equipment Information'!A77)</f>
        <v/>
      </c>
      <c r="B77">
        <f>IF('Equipment Information'!B77="","", 'Equipment Information'!B77)</f>
        <v/>
      </c>
      <c r="C77">
        <f>IF('Equipment Information'!C77="","", 'Equipment Information'!C77)</f>
        <v/>
      </c>
      <c r="H77">
        <f>IF(A77="","","N/A")</f>
        <v/>
      </c>
    </row>
    <row r="78">
      <c r="A78">
        <f>IF('Equipment Information'!A78="","", 'Equipment Information'!A78)</f>
        <v/>
      </c>
      <c r="B78">
        <f>IF('Equipment Information'!B78="","", 'Equipment Information'!B78)</f>
        <v/>
      </c>
      <c r="C78">
        <f>IF('Equipment Information'!C78="","", 'Equipment Information'!C78)</f>
        <v/>
      </c>
      <c r="H78">
        <f>IF(A78="","","N/A")</f>
        <v/>
      </c>
    </row>
    <row r="79">
      <c r="A79">
        <f>IF('Equipment Information'!A79="","", 'Equipment Information'!A79)</f>
        <v/>
      </c>
      <c r="B79">
        <f>IF('Equipment Information'!B79="","", 'Equipment Information'!B79)</f>
        <v/>
      </c>
      <c r="C79">
        <f>IF('Equipment Information'!C79="","", 'Equipment Information'!C79)</f>
        <v/>
      </c>
      <c r="H79">
        <f>IF(A79="","","N/A")</f>
        <v/>
      </c>
    </row>
    <row r="80">
      <c r="A80">
        <f>IF('Equipment Information'!A80="","", 'Equipment Information'!A80)</f>
        <v/>
      </c>
      <c r="B80">
        <f>IF('Equipment Information'!B80="","", 'Equipment Information'!B80)</f>
        <v/>
      </c>
      <c r="C80">
        <f>IF('Equipment Information'!C80="","", 'Equipment Information'!C80)</f>
        <v/>
      </c>
      <c r="H80">
        <f>IF(A80="","","N/A")</f>
        <v/>
      </c>
    </row>
    <row r="81">
      <c r="A81">
        <f>IF('Equipment Information'!A81="","", 'Equipment Information'!A81)</f>
        <v/>
      </c>
      <c r="B81">
        <f>IF('Equipment Information'!B81="","", 'Equipment Information'!B81)</f>
        <v/>
      </c>
      <c r="C81">
        <f>IF('Equipment Information'!C81="","", 'Equipment Information'!C81)</f>
        <v/>
      </c>
      <c r="H81">
        <f>IF(A81="","","N/A")</f>
        <v/>
      </c>
    </row>
    <row r="82">
      <c r="A82">
        <f>IF('Equipment Information'!A82="","", 'Equipment Information'!A82)</f>
        <v/>
      </c>
      <c r="B82">
        <f>IF('Equipment Information'!B82="","", 'Equipment Information'!B82)</f>
        <v/>
      </c>
      <c r="C82">
        <f>IF('Equipment Information'!C82="","", 'Equipment Information'!C82)</f>
        <v/>
      </c>
      <c r="H82">
        <f>IF(A82="","","N/A")</f>
        <v/>
      </c>
    </row>
    <row r="83">
      <c r="A83">
        <f>IF('Equipment Information'!A83="","", 'Equipment Information'!A83)</f>
        <v/>
      </c>
      <c r="B83">
        <f>IF('Equipment Information'!B83="","", 'Equipment Information'!B83)</f>
        <v/>
      </c>
      <c r="C83">
        <f>IF('Equipment Information'!C83="","", 'Equipment Information'!C83)</f>
        <v/>
      </c>
      <c r="H83">
        <f>IF(A83="","","N/A")</f>
        <v/>
      </c>
    </row>
    <row r="84">
      <c r="A84">
        <f>IF('Equipment Information'!A84="","", 'Equipment Information'!A84)</f>
        <v/>
      </c>
      <c r="B84">
        <f>IF('Equipment Information'!B84="","", 'Equipment Information'!B84)</f>
        <v/>
      </c>
      <c r="C84">
        <f>IF('Equipment Information'!C84="","", 'Equipment Information'!C84)</f>
        <v/>
      </c>
      <c r="H84">
        <f>IF(A84="","","N/A")</f>
        <v/>
      </c>
    </row>
    <row r="85">
      <c r="A85">
        <f>IF('Equipment Information'!A85="","", 'Equipment Information'!A85)</f>
        <v/>
      </c>
      <c r="B85">
        <f>IF('Equipment Information'!B85="","", 'Equipment Information'!B85)</f>
        <v/>
      </c>
      <c r="C85">
        <f>IF('Equipment Information'!C85="","", 'Equipment Information'!C85)</f>
        <v/>
      </c>
      <c r="H85">
        <f>IF(A85="","","N/A")</f>
        <v/>
      </c>
    </row>
    <row r="86">
      <c r="A86">
        <f>IF('Equipment Information'!A86="","", 'Equipment Information'!A86)</f>
        <v/>
      </c>
      <c r="B86">
        <f>IF('Equipment Information'!B86="","", 'Equipment Information'!B86)</f>
        <v/>
      </c>
      <c r="C86">
        <f>IF('Equipment Information'!C86="","", 'Equipment Information'!C86)</f>
        <v/>
      </c>
      <c r="H86">
        <f>IF(A86="","","N/A")</f>
        <v/>
      </c>
    </row>
    <row r="87">
      <c r="A87">
        <f>IF('Equipment Information'!A87="","", 'Equipment Information'!A87)</f>
        <v/>
      </c>
      <c r="B87">
        <f>IF('Equipment Information'!B87="","", 'Equipment Information'!B87)</f>
        <v/>
      </c>
      <c r="C87">
        <f>IF('Equipment Information'!C87="","", 'Equipment Information'!C87)</f>
        <v/>
      </c>
      <c r="H87">
        <f>IF(A87="","","N/A")</f>
        <v/>
      </c>
    </row>
    <row r="88">
      <c r="A88">
        <f>IF('Equipment Information'!A88="","", 'Equipment Information'!A88)</f>
        <v/>
      </c>
      <c r="B88">
        <f>IF('Equipment Information'!B88="","", 'Equipment Information'!B88)</f>
        <v/>
      </c>
      <c r="C88">
        <f>IF('Equipment Information'!C88="","", 'Equipment Information'!C88)</f>
        <v/>
      </c>
      <c r="H88">
        <f>IF(A88="","","N/A")</f>
        <v/>
      </c>
    </row>
    <row r="89">
      <c r="A89">
        <f>IF('Equipment Information'!A89="","", 'Equipment Information'!A89)</f>
        <v/>
      </c>
      <c r="B89">
        <f>IF('Equipment Information'!B89="","", 'Equipment Information'!B89)</f>
        <v/>
      </c>
      <c r="C89">
        <f>IF('Equipment Information'!C89="","", 'Equipment Information'!C89)</f>
        <v/>
      </c>
      <c r="H89">
        <f>IF(A89="","","N/A")</f>
        <v/>
      </c>
    </row>
    <row r="90">
      <c r="A90">
        <f>IF('Equipment Information'!A90="","", 'Equipment Information'!A90)</f>
        <v/>
      </c>
      <c r="B90">
        <f>IF('Equipment Information'!B90="","", 'Equipment Information'!B90)</f>
        <v/>
      </c>
      <c r="C90">
        <f>IF('Equipment Information'!C90="","", 'Equipment Information'!C90)</f>
        <v/>
      </c>
      <c r="H90">
        <f>IF(A90="","","N/A")</f>
        <v/>
      </c>
    </row>
    <row r="91">
      <c r="A91">
        <f>IF('Equipment Information'!A91="","", 'Equipment Information'!A91)</f>
        <v/>
      </c>
      <c r="B91">
        <f>IF('Equipment Information'!B91="","", 'Equipment Information'!B91)</f>
        <v/>
      </c>
      <c r="C91">
        <f>IF('Equipment Information'!C91="","", 'Equipment Information'!C91)</f>
        <v/>
      </c>
      <c r="H91">
        <f>IF(A91="","","N/A")</f>
        <v/>
      </c>
    </row>
    <row r="92">
      <c r="A92">
        <f>IF('Equipment Information'!A92="","", 'Equipment Information'!A92)</f>
        <v/>
      </c>
      <c r="B92">
        <f>IF('Equipment Information'!B92="","", 'Equipment Information'!B92)</f>
        <v/>
      </c>
      <c r="C92">
        <f>IF('Equipment Information'!C92="","", 'Equipment Information'!C92)</f>
        <v/>
      </c>
      <c r="H92">
        <f>IF(A92="","","N/A")</f>
        <v/>
      </c>
    </row>
    <row r="93">
      <c r="A93">
        <f>IF('Equipment Information'!A93="","", 'Equipment Information'!A93)</f>
        <v/>
      </c>
      <c r="B93">
        <f>IF('Equipment Information'!B93="","", 'Equipment Information'!B93)</f>
        <v/>
      </c>
      <c r="C93">
        <f>IF('Equipment Information'!C93="","", 'Equipment Information'!C93)</f>
        <v/>
      </c>
      <c r="H93">
        <f>IF(A93="","","N/A")</f>
        <v/>
      </c>
    </row>
    <row r="94">
      <c r="A94">
        <f>IF('Equipment Information'!A94="","", 'Equipment Information'!A94)</f>
        <v/>
      </c>
      <c r="B94">
        <f>IF('Equipment Information'!B94="","", 'Equipment Information'!B94)</f>
        <v/>
      </c>
      <c r="C94">
        <f>IF('Equipment Information'!C94="","", 'Equipment Information'!C94)</f>
        <v/>
      </c>
      <c r="H94">
        <f>IF(A94="","","N/A")</f>
        <v/>
      </c>
    </row>
    <row r="95">
      <c r="A95">
        <f>IF('Equipment Information'!A95="","", 'Equipment Information'!A95)</f>
        <v/>
      </c>
      <c r="B95">
        <f>IF('Equipment Information'!B95="","", 'Equipment Information'!B95)</f>
        <v/>
      </c>
      <c r="C95">
        <f>IF('Equipment Information'!C95="","", 'Equipment Information'!C95)</f>
        <v/>
      </c>
      <c r="H95">
        <f>IF(A95="","","N/A")</f>
        <v/>
      </c>
    </row>
    <row r="96">
      <c r="A96">
        <f>IF('Equipment Information'!A96="","", 'Equipment Information'!A96)</f>
        <v/>
      </c>
      <c r="B96">
        <f>IF('Equipment Information'!B96="","", 'Equipment Information'!B96)</f>
        <v/>
      </c>
      <c r="C96">
        <f>IF('Equipment Information'!C96="","", 'Equipment Information'!C96)</f>
        <v/>
      </c>
      <c r="H96">
        <f>IF(A96="","","N/A")</f>
        <v/>
      </c>
    </row>
    <row r="97">
      <c r="A97">
        <f>IF('Equipment Information'!A97="","", 'Equipment Information'!A97)</f>
        <v/>
      </c>
      <c r="B97">
        <f>IF('Equipment Information'!B97="","", 'Equipment Information'!B97)</f>
        <v/>
      </c>
      <c r="C97">
        <f>IF('Equipment Information'!C97="","", 'Equipment Information'!C97)</f>
        <v/>
      </c>
      <c r="H97">
        <f>IF(A97="","","N/A")</f>
        <v/>
      </c>
    </row>
    <row r="98">
      <c r="A98">
        <f>IF('Equipment Information'!A98="","", 'Equipment Information'!A98)</f>
        <v/>
      </c>
      <c r="B98">
        <f>IF('Equipment Information'!B98="","", 'Equipment Information'!B98)</f>
        <v/>
      </c>
      <c r="C98">
        <f>IF('Equipment Information'!C98="","", 'Equipment Information'!C98)</f>
        <v/>
      </c>
      <c r="H98">
        <f>IF(A98="","","N/A")</f>
        <v/>
      </c>
    </row>
    <row r="99">
      <c r="A99">
        <f>IF('Equipment Information'!A99="","", 'Equipment Information'!A99)</f>
        <v/>
      </c>
      <c r="B99">
        <f>IF('Equipment Information'!B99="","", 'Equipment Information'!B99)</f>
        <v/>
      </c>
      <c r="C99">
        <f>IF('Equipment Information'!C99="","", 'Equipment Information'!C99)</f>
        <v/>
      </c>
      <c r="H99">
        <f>IF(A99="","","N/A")</f>
        <v/>
      </c>
    </row>
    <row r="100">
      <c r="A100">
        <f>IF('Equipment Information'!A100="","", 'Equipment Information'!A100)</f>
        <v/>
      </c>
      <c r="B100">
        <f>IF('Equipment Information'!B100="","", 'Equipment Information'!B100)</f>
        <v/>
      </c>
      <c r="C100">
        <f>IF('Equipment Information'!C100="","", 'Equipment Information'!C100)</f>
        <v/>
      </c>
      <c r="H100">
        <f>IF(A100="","","N/A")</f>
        <v/>
      </c>
    </row>
    <row r="101">
      <c r="A101">
        <f>IF('Equipment Information'!A101="","", 'Equipment Information'!A101)</f>
        <v/>
      </c>
      <c r="B101">
        <f>IF('Equipment Information'!B101="","", 'Equipment Information'!B101)</f>
        <v/>
      </c>
      <c r="C101">
        <f>IF('Equipment Information'!C101="","", 'Equipment Information'!C101)</f>
        <v/>
      </c>
      <c r="H101">
        <f>IF(A101="","","N/A")</f>
        <v/>
      </c>
    </row>
    <row r="102">
      <c r="A102">
        <f>IF('Equipment Information'!A102="","", 'Equipment Information'!A102)</f>
        <v/>
      </c>
      <c r="B102">
        <f>IF('Equipment Information'!B102="","", 'Equipment Information'!B102)</f>
        <v/>
      </c>
      <c r="C102">
        <f>IF('Equipment Information'!C102="","", 'Equipment Information'!C102)</f>
        <v/>
      </c>
      <c r="H102">
        <f>IF(A102="","","N/A")</f>
        <v/>
      </c>
    </row>
    <row r="103">
      <c r="A103">
        <f>IF('Equipment Information'!A103="","", 'Equipment Information'!A103)</f>
        <v/>
      </c>
      <c r="B103">
        <f>IF('Equipment Information'!B103="","", 'Equipment Information'!B103)</f>
        <v/>
      </c>
      <c r="C103">
        <f>IF('Equipment Information'!C103="","", 'Equipment Information'!C103)</f>
        <v/>
      </c>
      <c r="H103">
        <f>IF(A103="","","N/A")</f>
        <v/>
      </c>
    </row>
    <row r="104">
      <c r="A104">
        <f>IF('Equipment Information'!A104="","", 'Equipment Information'!A104)</f>
        <v/>
      </c>
      <c r="B104">
        <f>IF('Equipment Information'!B104="","", 'Equipment Information'!B104)</f>
        <v/>
      </c>
      <c r="C104">
        <f>IF('Equipment Information'!C104="","", 'Equipment Information'!C104)</f>
        <v/>
      </c>
      <c r="H104">
        <f>IF(A104="","","N/A")</f>
        <v/>
      </c>
    </row>
    <row r="105">
      <c r="A105">
        <f>IF('Equipment Information'!A105="","", 'Equipment Information'!A105)</f>
        <v/>
      </c>
      <c r="B105">
        <f>IF('Equipment Information'!B105="","", 'Equipment Information'!B105)</f>
        <v/>
      </c>
      <c r="C105">
        <f>IF('Equipment Information'!C105="","", 'Equipment Information'!C105)</f>
        <v/>
      </c>
      <c r="H105">
        <f>IF(A105="","","N/A")</f>
        <v/>
      </c>
    </row>
    <row r="106">
      <c r="A106">
        <f>IF('Equipment Information'!A106="","", 'Equipment Information'!A106)</f>
        <v/>
      </c>
      <c r="B106">
        <f>IF('Equipment Information'!B106="","", 'Equipment Information'!B106)</f>
        <v/>
      </c>
      <c r="C106">
        <f>IF('Equipment Information'!C106="","", 'Equipment Information'!C106)</f>
        <v/>
      </c>
      <c r="H106">
        <f>IF(A106="","","N/A")</f>
        <v/>
      </c>
    </row>
    <row r="107">
      <c r="A107">
        <f>IF('Equipment Information'!A107="","", 'Equipment Information'!A107)</f>
        <v/>
      </c>
      <c r="B107">
        <f>IF('Equipment Information'!B107="","", 'Equipment Information'!B107)</f>
        <v/>
      </c>
      <c r="C107">
        <f>IF('Equipment Information'!C107="","", 'Equipment Information'!C107)</f>
        <v/>
      </c>
      <c r="H107">
        <f>IF(A107="","","N/A")</f>
        <v/>
      </c>
    </row>
    <row r="108">
      <c r="A108">
        <f>IF('Equipment Information'!A108="","", 'Equipment Information'!A108)</f>
        <v/>
      </c>
      <c r="B108">
        <f>IF('Equipment Information'!B108="","", 'Equipment Information'!B108)</f>
        <v/>
      </c>
      <c r="C108">
        <f>IF('Equipment Information'!C108="","", 'Equipment Information'!C108)</f>
        <v/>
      </c>
      <c r="H108">
        <f>IF(A108="","","N/A")</f>
        <v/>
      </c>
    </row>
    <row r="109">
      <c r="A109">
        <f>IF('Equipment Information'!A109="","", 'Equipment Information'!A109)</f>
        <v/>
      </c>
      <c r="B109">
        <f>IF('Equipment Information'!B109="","", 'Equipment Information'!B109)</f>
        <v/>
      </c>
      <c r="C109">
        <f>IF('Equipment Information'!C109="","", 'Equipment Information'!C109)</f>
        <v/>
      </c>
      <c r="H109">
        <f>IF(A109="","","N/A")</f>
        <v/>
      </c>
    </row>
    <row r="110">
      <c r="A110">
        <f>IF('Equipment Information'!A110="","", 'Equipment Information'!A110)</f>
        <v/>
      </c>
      <c r="B110">
        <f>IF('Equipment Information'!B110="","", 'Equipment Information'!B110)</f>
        <v/>
      </c>
      <c r="C110">
        <f>IF('Equipment Information'!C110="","", 'Equipment Information'!C110)</f>
        <v/>
      </c>
      <c r="H110">
        <f>IF(A110="","","N/A")</f>
        <v/>
      </c>
    </row>
    <row r="111">
      <c r="A111">
        <f>IF('Equipment Information'!A111="","", 'Equipment Information'!A111)</f>
        <v/>
      </c>
      <c r="B111">
        <f>IF('Equipment Information'!B111="","", 'Equipment Information'!B111)</f>
        <v/>
      </c>
      <c r="C111">
        <f>IF('Equipment Information'!C111="","", 'Equipment Information'!C111)</f>
        <v/>
      </c>
      <c r="H111">
        <f>IF(A111="","","N/A")</f>
        <v/>
      </c>
    </row>
    <row r="112">
      <c r="A112">
        <f>IF('Equipment Information'!A112="","", 'Equipment Information'!A112)</f>
        <v/>
      </c>
      <c r="B112">
        <f>IF('Equipment Information'!B112="","", 'Equipment Information'!B112)</f>
        <v/>
      </c>
      <c r="C112">
        <f>IF('Equipment Information'!C112="","", 'Equipment Information'!C112)</f>
        <v/>
      </c>
      <c r="H112">
        <f>IF(A112="","","N/A")</f>
        <v/>
      </c>
    </row>
    <row r="113">
      <c r="A113">
        <f>IF('Equipment Information'!A113="","", 'Equipment Information'!A113)</f>
        <v/>
      </c>
      <c r="B113">
        <f>IF('Equipment Information'!B113="","", 'Equipment Information'!B113)</f>
        <v/>
      </c>
      <c r="C113">
        <f>IF('Equipment Information'!C113="","", 'Equipment Information'!C113)</f>
        <v/>
      </c>
      <c r="H113">
        <f>IF(A113="","","N/A")</f>
        <v/>
      </c>
    </row>
    <row r="114">
      <c r="A114">
        <f>IF('Equipment Information'!A114="","", 'Equipment Information'!A114)</f>
        <v/>
      </c>
      <c r="B114">
        <f>IF('Equipment Information'!B114="","", 'Equipment Information'!B114)</f>
        <v/>
      </c>
      <c r="C114">
        <f>IF('Equipment Information'!C114="","", 'Equipment Information'!C114)</f>
        <v/>
      </c>
      <c r="H114">
        <f>IF(A114="","","N/A")</f>
        <v/>
      </c>
    </row>
    <row r="115">
      <c r="A115">
        <f>IF('Equipment Information'!A115="","", 'Equipment Information'!A115)</f>
        <v/>
      </c>
      <c r="B115">
        <f>IF('Equipment Information'!B115="","", 'Equipment Information'!B115)</f>
        <v/>
      </c>
      <c r="C115">
        <f>IF('Equipment Information'!C115="","", 'Equipment Information'!C115)</f>
        <v/>
      </c>
      <c r="H115">
        <f>IF(A115="","","N/A")</f>
        <v/>
      </c>
    </row>
    <row r="116">
      <c r="A116">
        <f>IF('Equipment Information'!A116="","", 'Equipment Information'!A116)</f>
        <v/>
      </c>
      <c r="B116">
        <f>IF('Equipment Information'!B116="","", 'Equipment Information'!B116)</f>
        <v/>
      </c>
      <c r="C116">
        <f>IF('Equipment Information'!C116="","", 'Equipment Information'!C116)</f>
        <v/>
      </c>
      <c r="H116">
        <f>IF(A116="","","N/A")</f>
        <v/>
      </c>
    </row>
    <row r="117">
      <c r="A117">
        <f>IF('Equipment Information'!A117="","", 'Equipment Information'!A117)</f>
        <v/>
      </c>
      <c r="B117">
        <f>IF('Equipment Information'!B117="","", 'Equipment Information'!B117)</f>
        <v/>
      </c>
      <c r="C117">
        <f>IF('Equipment Information'!C117="","", 'Equipment Information'!C117)</f>
        <v/>
      </c>
      <c r="H117">
        <f>IF(A117="","","N/A")</f>
        <v/>
      </c>
    </row>
    <row r="118">
      <c r="A118">
        <f>IF('Equipment Information'!A118="","", 'Equipment Information'!A118)</f>
        <v/>
      </c>
      <c r="B118">
        <f>IF('Equipment Information'!B118="","", 'Equipment Information'!B118)</f>
        <v/>
      </c>
      <c r="C118">
        <f>IF('Equipment Information'!C118="","", 'Equipment Information'!C118)</f>
        <v/>
      </c>
      <c r="H118">
        <f>IF(A118="","","N/A")</f>
        <v/>
      </c>
    </row>
    <row r="119">
      <c r="A119">
        <f>IF('Equipment Information'!A119="","", 'Equipment Information'!A119)</f>
        <v/>
      </c>
      <c r="B119">
        <f>IF('Equipment Information'!B119="","", 'Equipment Information'!B119)</f>
        <v/>
      </c>
      <c r="C119">
        <f>IF('Equipment Information'!C119="","", 'Equipment Information'!C119)</f>
        <v/>
      </c>
      <c r="H119">
        <f>IF(A119="","","N/A")</f>
        <v/>
      </c>
    </row>
    <row r="120">
      <c r="A120">
        <f>IF('Equipment Information'!A120="","", 'Equipment Information'!A120)</f>
        <v/>
      </c>
      <c r="B120">
        <f>IF('Equipment Information'!B120="","", 'Equipment Information'!B120)</f>
        <v/>
      </c>
      <c r="C120">
        <f>IF('Equipment Information'!C120="","", 'Equipment Information'!C120)</f>
        <v/>
      </c>
      <c r="H120">
        <f>IF(A120="","","N/A")</f>
        <v/>
      </c>
    </row>
    <row r="121">
      <c r="A121">
        <f>IF('Equipment Information'!A121="","", 'Equipment Information'!A121)</f>
        <v/>
      </c>
      <c r="B121">
        <f>IF('Equipment Information'!B121="","", 'Equipment Information'!B121)</f>
        <v/>
      </c>
      <c r="C121">
        <f>IF('Equipment Information'!C121="","", 'Equipment Information'!C121)</f>
        <v/>
      </c>
      <c r="H121">
        <f>IF(A121="","","N/A")</f>
        <v/>
      </c>
    </row>
    <row r="122">
      <c r="A122">
        <f>IF('Equipment Information'!A122="","", 'Equipment Information'!A122)</f>
        <v/>
      </c>
      <c r="B122">
        <f>IF('Equipment Information'!B122="","", 'Equipment Information'!B122)</f>
        <v/>
      </c>
      <c r="C122">
        <f>IF('Equipment Information'!C122="","", 'Equipment Information'!C122)</f>
        <v/>
      </c>
      <c r="H122">
        <f>IF(A122="","","N/A")</f>
        <v/>
      </c>
    </row>
    <row r="123">
      <c r="A123">
        <f>IF('Equipment Information'!A123="","", 'Equipment Information'!A123)</f>
        <v/>
      </c>
      <c r="B123">
        <f>IF('Equipment Information'!B123="","", 'Equipment Information'!B123)</f>
        <v/>
      </c>
      <c r="C123">
        <f>IF('Equipment Information'!C123="","", 'Equipment Information'!C123)</f>
        <v/>
      </c>
      <c r="H123">
        <f>IF(A123="","","N/A")</f>
        <v/>
      </c>
    </row>
    <row r="124">
      <c r="A124">
        <f>IF('Equipment Information'!A124="","", 'Equipment Information'!A124)</f>
        <v/>
      </c>
      <c r="B124">
        <f>IF('Equipment Information'!B124="","", 'Equipment Information'!B124)</f>
        <v/>
      </c>
      <c r="C124">
        <f>IF('Equipment Information'!C124="","", 'Equipment Information'!C124)</f>
        <v/>
      </c>
      <c r="H124">
        <f>IF(A124="","","N/A")</f>
        <v/>
      </c>
    </row>
    <row r="125">
      <c r="A125">
        <f>IF('Equipment Information'!A125="","", 'Equipment Information'!A125)</f>
        <v/>
      </c>
      <c r="B125">
        <f>IF('Equipment Information'!B125="","", 'Equipment Information'!B125)</f>
        <v/>
      </c>
      <c r="C125">
        <f>IF('Equipment Information'!C125="","", 'Equipment Information'!C125)</f>
        <v/>
      </c>
      <c r="H125">
        <f>IF(A125="","","N/A")</f>
        <v/>
      </c>
    </row>
    <row r="126">
      <c r="A126">
        <f>IF('Equipment Information'!A126="","", 'Equipment Information'!A126)</f>
        <v/>
      </c>
      <c r="B126">
        <f>IF('Equipment Information'!B126="","", 'Equipment Information'!B126)</f>
        <v/>
      </c>
      <c r="C126">
        <f>IF('Equipment Information'!C126="","", 'Equipment Information'!C126)</f>
        <v/>
      </c>
      <c r="H126">
        <f>IF(A126="","","N/A")</f>
        <v/>
      </c>
    </row>
    <row r="127">
      <c r="A127">
        <f>IF('Equipment Information'!A127="","", 'Equipment Information'!A127)</f>
        <v/>
      </c>
      <c r="B127">
        <f>IF('Equipment Information'!B127="","", 'Equipment Information'!B127)</f>
        <v/>
      </c>
      <c r="C127">
        <f>IF('Equipment Information'!C127="","", 'Equipment Information'!C127)</f>
        <v/>
      </c>
      <c r="H127">
        <f>IF(A127="","","N/A")</f>
        <v/>
      </c>
    </row>
    <row r="128">
      <c r="A128">
        <f>IF('Equipment Information'!A128="","", 'Equipment Information'!A128)</f>
        <v/>
      </c>
      <c r="B128">
        <f>IF('Equipment Information'!B128="","", 'Equipment Information'!B128)</f>
        <v/>
      </c>
      <c r="C128">
        <f>IF('Equipment Information'!C128="","", 'Equipment Information'!C128)</f>
        <v/>
      </c>
      <c r="H128">
        <f>IF(A128="","","N/A")</f>
        <v/>
      </c>
    </row>
    <row r="129">
      <c r="A129">
        <f>IF('Equipment Information'!A129="","", 'Equipment Information'!A129)</f>
        <v/>
      </c>
      <c r="B129">
        <f>IF('Equipment Information'!B129="","", 'Equipment Information'!B129)</f>
        <v/>
      </c>
      <c r="C129">
        <f>IF('Equipment Information'!C129="","", 'Equipment Information'!C129)</f>
        <v/>
      </c>
      <c r="H129">
        <f>IF(A129="","","N/A")</f>
        <v/>
      </c>
    </row>
    <row r="130">
      <c r="A130">
        <f>IF('Equipment Information'!A130="","", 'Equipment Information'!A130)</f>
        <v/>
      </c>
      <c r="B130">
        <f>IF('Equipment Information'!B130="","", 'Equipment Information'!B130)</f>
        <v/>
      </c>
      <c r="C130">
        <f>IF('Equipment Information'!C130="","", 'Equipment Information'!C130)</f>
        <v/>
      </c>
      <c r="H130">
        <f>IF(A130="","","N/A")</f>
        <v/>
      </c>
    </row>
    <row r="131">
      <c r="A131">
        <f>IF('Equipment Information'!A131="","", 'Equipment Information'!A131)</f>
        <v/>
      </c>
      <c r="B131">
        <f>IF('Equipment Information'!B131="","", 'Equipment Information'!B131)</f>
        <v/>
      </c>
      <c r="C131">
        <f>IF('Equipment Information'!C131="","", 'Equipment Information'!C131)</f>
        <v/>
      </c>
      <c r="H131">
        <f>IF(A131="","","N/A")</f>
        <v/>
      </c>
    </row>
    <row r="132">
      <c r="A132">
        <f>IF('Equipment Information'!A132="","", 'Equipment Information'!A132)</f>
        <v/>
      </c>
      <c r="B132">
        <f>IF('Equipment Information'!B132="","", 'Equipment Information'!B132)</f>
        <v/>
      </c>
      <c r="C132">
        <f>IF('Equipment Information'!C132="","", 'Equipment Information'!C132)</f>
        <v/>
      </c>
      <c r="H132">
        <f>IF(A132="","","N/A")</f>
        <v/>
      </c>
    </row>
    <row r="133">
      <c r="A133">
        <f>IF('Equipment Information'!A133="","", 'Equipment Information'!A133)</f>
        <v/>
      </c>
      <c r="B133">
        <f>IF('Equipment Information'!B133="","", 'Equipment Information'!B133)</f>
        <v/>
      </c>
      <c r="C133">
        <f>IF('Equipment Information'!C133="","", 'Equipment Information'!C133)</f>
        <v/>
      </c>
      <c r="H133">
        <f>IF(A133="","","N/A")</f>
        <v/>
      </c>
    </row>
    <row r="134">
      <c r="A134">
        <f>IF('Equipment Information'!A134="","", 'Equipment Information'!A134)</f>
        <v/>
      </c>
      <c r="B134">
        <f>IF('Equipment Information'!B134="","", 'Equipment Information'!B134)</f>
        <v/>
      </c>
      <c r="C134">
        <f>IF('Equipment Information'!C134="","", 'Equipment Information'!C134)</f>
        <v/>
      </c>
      <c r="H134">
        <f>IF(A134="","","N/A")</f>
        <v/>
      </c>
    </row>
    <row r="135">
      <c r="A135">
        <f>IF('Equipment Information'!A135="","", 'Equipment Information'!A135)</f>
        <v/>
      </c>
      <c r="B135">
        <f>IF('Equipment Information'!B135="","", 'Equipment Information'!B135)</f>
        <v/>
      </c>
      <c r="C135">
        <f>IF('Equipment Information'!C135="","", 'Equipment Information'!C135)</f>
        <v/>
      </c>
      <c r="H135">
        <f>IF(A135="","","N/A")</f>
        <v/>
      </c>
    </row>
    <row r="136">
      <c r="A136">
        <f>IF('Equipment Information'!A136="","", 'Equipment Information'!A136)</f>
        <v/>
      </c>
      <c r="B136">
        <f>IF('Equipment Information'!B136="","", 'Equipment Information'!B136)</f>
        <v/>
      </c>
      <c r="C136">
        <f>IF('Equipment Information'!C136="","", 'Equipment Information'!C136)</f>
        <v/>
      </c>
      <c r="H136">
        <f>IF(A136="","","N/A")</f>
        <v/>
      </c>
    </row>
    <row r="137">
      <c r="A137">
        <f>IF('Equipment Information'!A137="","", 'Equipment Information'!A137)</f>
        <v/>
      </c>
      <c r="B137">
        <f>IF('Equipment Information'!B137="","", 'Equipment Information'!B137)</f>
        <v/>
      </c>
      <c r="C137">
        <f>IF('Equipment Information'!C137="","", 'Equipment Information'!C137)</f>
        <v/>
      </c>
      <c r="H137">
        <f>IF(A137="","","N/A")</f>
        <v/>
      </c>
    </row>
    <row r="138">
      <c r="A138">
        <f>IF('Equipment Information'!A138="","", 'Equipment Information'!A138)</f>
        <v/>
      </c>
      <c r="B138">
        <f>IF('Equipment Information'!B138="","", 'Equipment Information'!B138)</f>
        <v/>
      </c>
      <c r="C138">
        <f>IF('Equipment Information'!C138="","", 'Equipment Information'!C138)</f>
        <v/>
      </c>
      <c r="H138">
        <f>IF(A138="","","N/A")</f>
        <v/>
      </c>
    </row>
    <row r="139">
      <c r="A139">
        <f>IF('Equipment Information'!A139="","", 'Equipment Information'!A139)</f>
        <v/>
      </c>
      <c r="B139">
        <f>IF('Equipment Information'!B139="","", 'Equipment Information'!B139)</f>
        <v/>
      </c>
      <c r="C139">
        <f>IF('Equipment Information'!C139="","", 'Equipment Information'!C139)</f>
        <v/>
      </c>
      <c r="H139">
        <f>IF(A139="","","N/A")</f>
        <v/>
      </c>
    </row>
    <row r="140">
      <c r="A140">
        <f>IF('Equipment Information'!A140="","", 'Equipment Information'!A140)</f>
        <v/>
      </c>
      <c r="B140">
        <f>IF('Equipment Information'!B140="","", 'Equipment Information'!B140)</f>
        <v/>
      </c>
      <c r="C140">
        <f>IF('Equipment Information'!C140="","", 'Equipment Information'!C140)</f>
        <v/>
      </c>
      <c r="H140">
        <f>IF(A140="","","N/A")</f>
        <v/>
      </c>
    </row>
    <row r="141">
      <c r="A141">
        <f>IF('Equipment Information'!A141="","", 'Equipment Information'!A141)</f>
        <v/>
      </c>
      <c r="B141">
        <f>IF('Equipment Information'!B141="","", 'Equipment Information'!B141)</f>
        <v/>
      </c>
      <c r="C141">
        <f>IF('Equipment Information'!C141="","", 'Equipment Information'!C141)</f>
        <v/>
      </c>
      <c r="H141">
        <f>IF(A141="","","N/A")</f>
        <v/>
      </c>
    </row>
    <row r="142">
      <c r="A142">
        <f>IF('Equipment Information'!A142="","", 'Equipment Information'!A142)</f>
        <v/>
      </c>
      <c r="B142">
        <f>IF('Equipment Information'!B142="","", 'Equipment Information'!B142)</f>
        <v/>
      </c>
      <c r="C142">
        <f>IF('Equipment Information'!C142="","", 'Equipment Information'!C142)</f>
        <v/>
      </c>
      <c r="H142">
        <f>IF(A142="","","N/A")</f>
        <v/>
      </c>
    </row>
    <row r="143">
      <c r="A143">
        <f>IF('Equipment Information'!A143="","", 'Equipment Information'!A143)</f>
        <v/>
      </c>
      <c r="B143">
        <f>IF('Equipment Information'!B143="","", 'Equipment Information'!B143)</f>
        <v/>
      </c>
      <c r="C143">
        <f>IF('Equipment Information'!C143="","", 'Equipment Information'!C143)</f>
        <v/>
      </c>
      <c r="H143">
        <f>IF(A143="","","N/A")</f>
        <v/>
      </c>
    </row>
    <row r="144">
      <c r="A144">
        <f>IF('Equipment Information'!A144="","", 'Equipment Information'!A144)</f>
        <v/>
      </c>
      <c r="B144">
        <f>IF('Equipment Information'!B144="","", 'Equipment Information'!B144)</f>
        <v/>
      </c>
      <c r="C144">
        <f>IF('Equipment Information'!C144="","", 'Equipment Information'!C144)</f>
        <v/>
      </c>
      <c r="H144">
        <f>IF(A144="","","N/A")</f>
        <v/>
      </c>
    </row>
    <row r="145">
      <c r="A145">
        <f>IF('Equipment Information'!A145="","", 'Equipment Information'!A145)</f>
        <v/>
      </c>
      <c r="B145">
        <f>IF('Equipment Information'!B145="","", 'Equipment Information'!B145)</f>
        <v/>
      </c>
      <c r="C145">
        <f>IF('Equipment Information'!C145="","", 'Equipment Information'!C145)</f>
        <v/>
      </c>
      <c r="H145">
        <f>IF(A145="","","N/A")</f>
        <v/>
      </c>
    </row>
    <row r="146">
      <c r="A146">
        <f>IF('Equipment Information'!A146="","", 'Equipment Information'!A146)</f>
        <v/>
      </c>
      <c r="B146">
        <f>IF('Equipment Information'!B146="","", 'Equipment Information'!B146)</f>
        <v/>
      </c>
      <c r="C146">
        <f>IF('Equipment Information'!C146="","", 'Equipment Information'!C146)</f>
        <v/>
      </c>
      <c r="H146">
        <f>IF(A146="","","N/A")</f>
        <v/>
      </c>
    </row>
    <row r="147">
      <c r="A147">
        <f>IF('Equipment Information'!A147="","", 'Equipment Information'!A147)</f>
        <v/>
      </c>
      <c r="B147">
        <f>IF('Equipment Information'!B147="","", 'Equipment Information'!B147)</f>
        <v/>
      </c>
      <c r="C147">
        <f>IF('Equipment Information'!C147="","", 'Equipment Information'!C147)</f>
        <v/>
      </c>
      <c r="H147">
        <f>IF(A147="","","N/A")</f>
        <v/>
      </c>
    </row>
    <row r="148">
      <c r="A148">
        <f>IF('Equipment Information'!A148="","", 'Equipment Information'!A148)</f>
        <v/>
      </c>
      <c r="B148">
        <f>IF('Equipment Information'!B148="","", 'Equipment Information'!B148)</f>
        <v/>
      </c>
      <c r="C148">
        <f>IF('Equipment Information'!C148="","", 'Equipment Information'!C148)</f>
        <v/>
      </c>
      <c r="H148">
        <f>IF(A148="","","N/A")</f>
        <v/>
      </c>
    </row>
    <row r="149">
      <c r="A149">
        <f>IF('Equipment Information'!A149="","", 'Equipment Information'!A149)</f>
        <v/>
      </c>
      <c r="B149">
        <f>IF('Equipment Information'!B149="","", 'Equipment Information'!B149)</f>
        <v/>
      </c>
      <c r="C149">
        <f>IF('Equipment Information'!C149="","", 'Equipment Information'!C149)</f>
        <v/>
      </c>
      <c r="H149">
        <f>IF(A149="","","N/A")</f>
        <v/>
      </c>
    </row>
    <row r="150">
      <c r="A150">
        <f>IF('Equipment Information'!A150="","", 'Equipment Information'!A150)</f>
        <v/>
      </c>
      <c r="B150">
        <f>IF('Equipment Information'!B150="","", 'Equipment Information'!B150)</f>
        <v/>
      </c>
      <c r="C150">
        <f>IF('Equipment Information'!C150="","", 'Equipment Information'!C150)</f>
        <v/>
      </c>
      <c r="H150">
        <f>IF(A150="","","N/A")</f>
        <v/>
      </c>
    </row>
    <row r="151">
      <c r="A151">
        <f>IF('Equipment Information'!A151="","", 'Equipment Information'!A151)</f>
        <v/>
      </c>
      <c r="B151">
        <f>IF('Equipment Information'!B151="","", 'Equipment Information'!B151)</f>
        <v/>
      </c>
      <c r="C151">
        <f>IF('Equipment Information'!C151="","", 'Equipment Information'!C151)</f>
        <v/>
      </c>
      <c r="H151">
        <f>IF(A151="","","N/A")</f>
        <v/>
      </c>
    </row>
    <row r="152">
      <c r="A152">
        <f>IF('Equipment Information'!A152="","", 'Equipment Information'!A152)</f>
        <v/>
      </c>
      <c r="B152">
        <f>IF('Equipment Information'!B152="","", 'Equipment Information'!B152)</f>
        <v/>
      </c>
      <c r="C152">
        <f>IF('Equipment Information'!C152="","", 'Equipment Information'!C152)</f>
        <v/>
      </c>
      <c r="H152">
        <f>IF(A152="","","N/A")</f>
        <v/>
      </c>
    </row>
    <row r="153">
      <c r="A153">
        <f>IF('Equipment Information'!A153="","", 'Equipment Information'!A153)</f>
        <v/>
      </c>
      <c r="B153">
        <f>IF('Equipment Information'!B153="","", 'Equipment Information'!B153)</f>
        <v/>
      </c>
      <c r="C153">
        <f>IF('Equipment Information'!C153="","", 'Equipment Information'!C153)</f>
        <v/>
      </c>
      <c r="H153">
        <f>IF(A153="","","N/A")</f>
        <v/>
      </c>
    </row>
    <row r="154">
      <c r="A154">
        <f>IF('Equipment Information'!A154="","", 'Equipment Information'!A154)</f>
        <v/>
      </c>
      <c r="B154">
        <f>IF('Equipment Information'!B154="","", 'Equipment Information'!B154)</f>
        <v/>
      </c>
      <c r="C154">
        <f>IF('Equipment Information'!C154="","", 'Equipment Information'!C154)</f>
        <v/>
      </c>
      <c r="H154">
        <f>IF(A154="","","N/A")</f>
        <v/>
      </c>
    </row>
    <row r="155">
      <c r="A155">
        <f>IF('Equipment Information'!A155="","", 'Equipment Information'!A155)</f>
        <v/>
      </c>
      <c r="B155">
        <f>IF('Equipment Information'!B155="","", 'Equipment Information'!B155)</f>
        <v/>
      </c>
      <c r="C155">
        <f>IF('Equipment Information'!C155="","", 'Equipment Information'!C155)</f>
        <v/>
      </c>
      <c r="H155">
        <f>IF(A155="","","N/A")</f>
        <v/>
      </c>
    </row>
    <row r="156">
      <c r="A156">
        <f>IF('Equipment Information'!A156="","", 'Equipment Information'!A156)</f>
        <v/>
      </c>
      <c r="B156">
        <f>IF('Equipment Information'!B156="","", 'Equipment Information'!B156)</f>
        <v/>
      </c>
      <c r="C156">
        <f>IF('Equipment Information'!C156="","", 'Equipment Information'!C156)</f>
        <v/>
      </c>
      <c r="H156">
        <f>IF(A156="","","N/A")</f>
        <v/>
      </c>
    </row>
    <row r="157">
      <c r="A157">
        <f>IF('Equipment Information'!A157="","", 'Equipment Information'!A157)</f>
        <v/>
      </c>
      <c r="B157">
        <f>IF('Equipment Information'!B157="","", 'Equipment Information'!B157)</f>
        <v/>
      </c>
      <c r="C157">
        <f>IF('Equipment Information'!C157="","", 'Equipment Information'!C157)</f>
        <v/>
      </c>
      <c r="H157">
        <f>IF(A157="","","N/A")</f>
        <v/>
      </c>
    </row>
    <row r="158">
      <c r="A158">
        <f>IF('Equipment Information'!A158="","", 'Equipment Information'!A158)</f>
        <v/>
      </c>
      <c r="B158">
        <f>IF('Equipment Information'!B158="","", 'Equipment Information'!B158)</f>
        <v/>
      </c>
      <c r="C158">
        <f>IF('Equipment Information'!C158="","", 'Equipment Information'!C158)</f>
        <v/>
      </c>
      <c r="H158">
        <f>IF(A158="","","N/A")</f>
        <v/>
      </c>
    </row>
    <row r="159">
      <c r="A159">
        <f>IF('Equipment Information'!A159="","", 'Equipment Information'!A159)</f>
        <v/>
      </c>
      <c r="B159">
        <f>IF('Equipment Information'!B159="","", 'Equipment Information'!B159)</f>
        <v/>
      </c>
      <c r="C159">
        <f>IF('Equipment Information'!C159="","", 'Equipment Information'!C159)</f>
        <v/>
      </c>
      <c r="H159">
        <f>IF(A159="","","N/A")</f>
        <v/>
      </c>
    </row>
    <row r="160">
      <c r="A160">
        <f>IF('Equipment Information'!A160="","", 'Equipment Information'!A160)</f>
        <v/>
      </c>
      <c r="B160">
        <f>IF('Equipment Information'!B160="","", 'Equipment Information'!B160)</f>
        <v/>
      </c>
      <c r="C160">
        <f>IF('Equipment Information'!C160="","", 'Equipment Information'!C160)</f>
        <v/>
      </c>
      <c r="H160">
        <f>IF(A160="","","N/A")</f>
        <v/>
      </c>
    </row>
    <row r="161">
      <c r="A161">
        <f>IF('Equipment Information'!A161="","", 'Equipment Information'!A161)</f>
        <v/>
      </c>
      <c r="B161">
        <f>IF('Equipment Information'!B161="","", 'Equipment Information'!B161)</f>
        <v/>
      </c>
      <c r="C161">
        <f>IF('Equipment Information'!C161="","", 'Equipment Information'!C161)</f>
        <v/>
      </c>
      <c r="H161">
        <f>IF(A161="","","N/A")</f>
        <v/>
      </c>
    </row>
    <row r="162">
      <c r="A162">
        <f>IF('Equipment Information'!A162="","", 'Equipment Information'!A162)</f>
        <v/>
      </c>
      <c r="B162">
        <f>IF('Equipment Information'!B162="","", 'Equipment Information'!B162)</f>
        <v/>
      </c>
      <c r="C162">
        <f>IF('Equipment Information'!C162="","", 'Equipment Information'!C162)</f>
        <v/>
      </c>
      <c r="H162">
        <f>IF(A162="","","N/A")</f>
        <v/>
      </c>
    </row>
    <row r="163">
      <c r="A163">
        <f>IF('Equipment Information'!A163="","", 'Equipment Information'!A163)</f>
        <v/>
      </c>
      <c r="B163">
        <f>IF('Equipment Information'!B163="","", 'Equipment Information'!B163)</f>
        <v/>
      </c>
      <c r="C163">
        <f>IF('Equipment Information'!C163="","", 'Equipment Information'!C163)</f>
        <v/>
      </c>
      <c r="H163">
        <f>IF(A163="","","N/A")</f>
        <v/>
      </c>
    </row>
    <row r="164">
      <c r="A164">
        <f>IF('Equipment Information'!A164="","", 'Equipment Information'!A164)</f>
        <v/>
      </c>
      <c r="B164">
        <f>IF('Equipment Information'!B164="","", 'Equipment Information'!B164)</f>
        <v/>
      </c>
      <c r="C164">
        <f>IF('Equipment Information'!C164="","", 'Equipment Information'!C164)</f>
        <v/>
      </c>
      <c r="H164">
        <f>IF(A164="","","N/A")</f>
        <v/>
      </c>
    </row>
    <row r="165">
      <c r="A165">
        <f>IF('Equipment Information'!A165="","", 'Equipment Information'!A165)</f>
        <v/>
      </c>
      <c r="B165">
        <f>IF('Equipment Information'!B165="","", 'Equipment Information'!B165)</f>
        <v/>
      </c>
      <c r="C165">
        <f>IF('Equipment Information'!C165="","", 'Equipment Information'!C165)</f>
        <v/>
      </c>
      <c r="H165">
        <f>IF(A165="","","N/A")</f>
        <v/>
      </c>
    </row>
    <row r="166">
      <c r="A166">
        <f>IF('Equipment Information'!A166="","", 'Equipment Information'!A166)</f>
        <v/>
      </c>
      <c r="B166">
        <f>IF('Equipment Information'!B166="","", 'Equipment Information'!B166)</f>
        <v/>
      </c>
      <c r="C166">
        <f>IF('Equipment Information'!C166="","", 'Equipment Information'!C166)</f>
        <v/>
      </c>
      <c r="H166">
        <f>IF(A166="","","N/A")</f>
        <v/>
      </c>
    </row>
    <row r="167">
      <c r="A167">
        <f>IF('Equipment Information'!A167="","", 'Equipment Information'!A167)</f>
        <v/>
      </c>
      <c r="B167">
        <f>IF('Equipment Information'!B167="","", 'Equipment Information'!B167)</f>
        <v/>
      </c>
      <c r="C167">
        <f>IF('Equipment Information'!C167="","", 'Equipment Information'!C167)</f>
        <v/>
      </c>
      <c r="H167">
        <f>IF(A167="","","N/A")</f>
        <v/>
      </c>
    </row>
    <row r="168">
      <c r="A168">
        <f>IF('Equipment Information'!A168="","", 'Equipment Information'!A168)</f>
        <v/>
      </c>
      <c r="B168">
        <f>IF('Equipment Information'!B168="","", 'Equipment Information'!B168)</f>
        <v/>
      </c>
      <c r="C168">
        <f>IF('Equipment Information'!C168="","", 'Equipment Information'!C168)</f>
        <v/>
      </c>
      <c r="H168">
        <f>IF(A168="","","N/A")</f>
        <v/>
      </c>
    </row>
    <row r="169">
      <c r="A169">
        <f>IF('Equipment Information'!A169="","", 'Equipment Information'!A169)</f>
        <v/>
      </c>
      <c r="B169">
        <f>IF('Equipment Information'!B169="","", 'Equipment Information'!B169)</f>
        <v/>
      </c>
      <c r="C169">
        <f>IF('Equipment Information'!C169="","", 'Equipment Information'!C169)</f>
        <v/>
      </c>
      <c r="H169">
        <f>IF(A169="","","N/A")</f>
        <v/>
      </c>
    </row>
    <row r="170">
      <c r="A170">
        <f>IF('Equipment Information'!A170="","", 'Equipment Information'!A170)</f>
        <v/>
      </c>
      <c r="B170">
        <f>IF('Equipment Information'!B170="","", 'Equipment Information'!B170)</f>
        <v/>
      </c>
      <c r="C170">
        <f>IF('Equipment Information'!C170="","", 'Equipment Information'!C170)</f>
        <v/>
      </c>
      <c r="H170">
        <f>IF(A170="","","N/A")</f>
        <v/>
      </c>
    </row>
    <row r="171">
      <c r="A171">
        <f>IF('Equipment Information'!A171="","", 'Equipment Information'!A171)</f>
        <v/>
      </c>
      <c r="B171">
        <f>IF('Equipment Information'!B171="","", 'Equipment Information'!B171)</f>
        <v/>
      </c>
      <c r="C171">
        <f>IF('Equipment Information'!C171="","", 'Equipment Information'!C171)</f>
        <v/>
      </c>
      <c r="H171">
        <f>IF(A171="","","N/A")</f>
        <v/>
      </c>
    </row>
    <row r="172">
      <c r="A172">
        <f>IF('Equipment Information'!A172="","", 'Equipment Information'!A172)</f>
        <v/>
      </c>
      <c r="B172">
        <f>IF('Equipment Information'!B172="","", 'Equipment Information'!B172)</f>
        <v/>
      </c>
      <c r="C172">
        <f>IF('Equipment Information'!C172="","", 'Equipment Information'!C172)</f>
        <v/>
      </c>
      <c r="H172">
        <f>IF(A172="","","N/A")</f>
        <v/>
      </c>
    </row>
    <row r="173">
      <c r="A173">
        <f>IF('Equipment Information'!A173="","", 'Equipment Information'!A173)</f>
        <v/>
      </c>
      <c r="B173">
        <f>IF('Equipment Information'!B173="","", 'Equipment Information'!B173)</f>
        <v/>
      </c>
      <c r="C173">
        <f>IF('Equipment Information'!C173="","", 'Equipment Information'!C173)</f>
        <v/>
      </c>
      <c r="H173">
        <f>IF(A173="","","N/A")</f>
        <v/>
      </c>
    </row>
    <row r="174">
      <c r="A174">
        <f>IF('Equipment Information'!A174="","", 'Equipment Information'!A174)</f>
        <v/>
      </c>
      <c r="B174">
        <f>IF('Equipment Information'!B174="","", 'Equipment Information'!B174)</f>
        <v/>
      </c>
      <c r="C174">
        <f>IF('Equipment Information'!C174="","", 'Equipment Information'!C174)</f>
        <v/>
      </c>
      <c r="H174">
        <f>IF(A174="","","N/A")</f>
        <v/>
      </c>
    </row>
    <row r="175">
      <c r="A175">
        <f>IF('Equipment Information'!A175="","", 'Equipment Information'!A175)</f>
        <v/>
      </c>
      <c r="B175">
        <f>IF('Equipment Information'!B175="","", 'Equipment Information'!B175)</f>
        <v/>
      </c>
      <c r="C175">
        <f>IF('Equipment Information'!C175="","", 'Equipment Information'!C175)</f>
        <v/>
      </c>
      <c r="H175">
        <f>IF(A175="","","N/A")</f>
        <v/>
      </c>
    </row>
    <row r="176">
      <c r="A176">
        <f>IF('Equipment Information'!A176="","", 'Equipment Information'!A176)</f>
        <v/>
      </c>
      <c r="B176">
        <f>IF('Equipment Information'!B176="","", 'Equipment Information'!B176)</f>
        <v/>
      </c>
      <c r="C176">
        <f>IF('Equipment Information'!C176="","", 'Equipment Information'!C176)</f>
        <v/>
      </c>
      <c r="H176">
        <f>IF(A176="","","N/A")</f>
        <v/>
      </c>
    </row>
    <row r="177">
      <c r="A177">
        <f>IF('Equipment Information'!A177="","", 'Equipment Information'!A177)</f>
        <v/>
      </c>
      <c r="B177">
        <f>IF('Equipment Information'!B177="","", 'Equipment Information'!B177)</f>
        <v/>
      </c>
      <c r="C177">
        <f>IF('Equipment Information'!C177="","", 'Equipment Information'!C177)</f>
        <v/>
      </c>
      <c r="H177">
        <f>IF(A177="","","N/A")</f>
        <v/>
      </c>
    </row>
    <row r="178">
      <c r="A178">
        <f>IF('Equipment Information'!A178="","", 'Equipment Information'!A178)</f>
        <v/>
      </c>
      <c r="B178">
        <f>IF('Equipment Information'!B178="","", 'Equipment Information'!B178)</f>
        <v/>
      </c>
      <c r="C178">
        <f>IF('Equipment Information'!C178="","", 'Equipment Information'!C178)</f>
        <v/>
      </c>
      <c r="H178">
        <f>IF(A178="","","N/A")</f>
        <v/>
      </c>
    </row>
    <row r="179">
      <c r="A179">
        <f>IF('Equipment Information'!A179="","", 'Equipment Information'!A179)</f>
        <v/>
      </c>
      <c r="B179">
        <f>IF('Equipment Information'!B179="","", 'Equipment Information'!B179)</f>
        <v/>
      </c>
      <c r="C179">
        <f>IF('Equipment Information'!C179="","", 'Equipment Information'!C179)</f>
        <v/>
      </c>
      <c r="H179">
        <f>IF(A179="","","N/A")</f>
        <v/>
      </c>
    </row>
    <row r="180">
      <c r="A180">
        <f>IF('Equipment Information'!A180="","", 'Equipment Information'!A180)</f>
        <v/>
      </c>
      <c r="B180">
        <f>IF('Equipment Information'!B180="","", 'Equipment Information'!B180)</f>
        <v/>
      </c>
      <c r="C180">
        <f>IF('Equipment Information'!C180="","", 'Equipment Information'!C180)</f>
        <v/>
      </c>
      <c r="H180">
        <f>IF(A180="","","N/A")</f>
        <v/>
      </c>
    </row>
    <row r="181">
      <c r="A181">
        <f>IF('Equipment Information'!A181="","", 'Equipment Information'!A181)</f>
        <v/>
      </c>
      <c r="B181">
        <f>IF('Equipment Information'!B181="","", 'Equipment Information'!B181)</f>
        <v/>
      </c>
      <c r="C181">
        <f>IF('Equipment Information'!C181="","", 'Equipment Information'!C181)</f>
        <v/>
      </c>
      <c r="H181">
        <f>IF(A181="","","N/A")</f>
        <v/>
      </c>
    </row>
    <row r="182">
      <c r="A182">
        <f>IF('Equipment Information'!A182="","", 'Equipment Information'!A182)</f>
        <v/>
      </c>
      <c r="B182">
        <f>IF('Equipment Information'!B182="","", 'Equipment Information'!B182)</f>
        <v/>
      </c>
      <c r="C182">
        <f>IF('Equipment Information'!C182="","", 'Equipment Information'!C182)</f>
        <v/>
      </c>
      <c r="H182">
        <f>IF(A182="","","N/A")</f>
        <v/>
      </c>
    </row>
    <row r="183">
      <c r="A183">
        <f>IF('Equipment Information'!A183="","", 'Equipment Information'!A183)</f>
        <v/>
      </c>
      <c r="B183">
        <f>IF('Equipment Information'!B183="","", 'Equipment Information'!B183)</f>
        <v/>
      </c>
      <c r="C183">
        <f>IF('Equipment Information'!C183="","", 'Equipment Information'!C183)</f>
        <v/>
      </c>
      <c r="H183">
        <f>IF(A183="","","N/A")</f>
        <v/>
      </c>
    </row>
    <row r="184">
      <c r="A184">
        <f>IF('Equipment Information'!A184="","", 'Equipment Information'!A184)</f>
        <v/>
      </c>
      <c r="B184">
        <f>IF('Equipment Information'!B184="","", 'Equipment Information'!B184)</f>
        <v/>
      </c>
      <c r="C184">
        <f>IF('Equipment Information'!C184="","", 'Equipment Information'!C184)</f>
        <v/>
      </c>
      <c r="H184">
        <f>IF(A184="","","N/A")</f>
        <v/>
      </c>
    </row>
    <row r="185">
      <c r="A185">
        <f>IF('Equipment Information'!A185="","", 'Equipment Information'!A185)</f>
        <v/>
      </c>
      <c r="B185">
        <f>IF('Equipment Information'!B185="","", 'Equipment Information'!B185)</f>
        <v/>
      </c>
      <c r="C185">
        <f>IF('Equipment Information'!C185="","", 'Equipment Information'!C185)</f>
        <v/>
      </c>
      <c r="H185">
        <f>IF(A185="","","N/A")</f>
        <v/>
      </c>
    </row>
    <row r="186">
      <c r="A186">
        <f>IF('Equipment Information'!A186="","", 'Equipment Information'!A186)</f>
        <v/>
      </c>
      <c r="B186">
        <f>IF('Equipment Information'!B186="","", 'Equipment Information'!B186)</f>
        <v/>
      </c>
      <c r="C186">
        <f>IF('Equipment Information'!C186="","", 'Equipment Information'!C186)</f>
        <v/>
      </c>
      <c r="H186">
        <f>IF(A186="","","N/A")</f>
        <v/>
      </c>
    </row>
    <row r="187">
      <c r="A187">
        <f>IF('Equipment Information'!A187="","", 'Equipment Information'!A187)</f>
        <v/>
      </c>
      <c r="B187">
        <f>IF('Equipment Information'!B187="","", 'Equipment Information'!B187)</f>
        <v/>
      </c>
      <c r="C187">
        <f>IF('Equipment Information'!C187="","", 'Equipment Information'!C187)</f>
        <v/>
      </c>
      <c r="H187">
        <f>IF(A187="","","N/A")</f>
        <v/>
      </c>
    </row>
    <row r="188">
      <c r="A188">
        <f>IF('Equipment Information'!A188="","", 'Equipment Information'!A188)</f>
        <v/>
      </c>
      <c r="B188">
        <f>IF('Equipment Information'!B188="","", 'Equipment Information'!B188)</f>
        <v/>
      </c>
      <c r="C188">
        <f>IF('Equipment Information'!C188="","", 'Equipment Information'!C188)</f>
        <v/>
      </c>
      <c r="H188">
        <f>IF(A188="","","N/A")</f>
        <v/>
      </c>
    </row>
    <row r="189">
      <c r="A189">
        <f>IF('Equipment Information'!A189="","", 'Equipment Information'!A189)</f>
        <v/>
      </c>
      <c r="B189">
        <f>IF('Equipment Information'!B189="","", 'Equipment Information'!B189)</f>
        <v/>
      </c>
      <c r="C189">
        <f>IF('Equipment Information'!C189="","", 'Equipment Information'!C189)</f>
        <v/>
      </c>
      <c r="H189">
        <f>IF(A189="","","N/A")</f>
        <v/>
      </c>
    </row>
    <row r="190">
      <c r="A190">
        <f>IF('Equipment Information'!A190="","", 'Equipment Information'!A190)</f>
        <v/>
      </c>
      <c r="B190">
        <f>IF('Equipment Information'!B190="","", 'Equipment Information'!B190)</f>
        <v/>
      </c>
      <c r="C190">
        <f>IF('Equipment Information'!C190="","", 'Equipment Information'!C190)</f>
        <v/>
      </c>
      <c r="H190">
        <f>IF(A190="","","N/A")</f>
        <v/>
      </c>
    </row>
    <row r="191">
      <c r="A191">
        <f>IF('Equipment Information'!A191="","", 'Equipment Information'!A191)</f>
        <v/>
      </c>
      <c r="B191">
        <f>IF('Equipment Information'!B191="","", 'Equipment Information'!B191)</f>
        <v/>
      </c>
      <c r="C191">
        <f>IF('Equipment Information'!C191="","", 'Equipment Information'!C191)</f>
        <v/>
      </c>
      <c r="H191">
        <f>IF(A191="","","N/A")</f>
        <v/>
      </c>
    </row>
    <row r="192">
      <c r="A192">
        <f>IF('Equipment Information'!A192="","", 'Equipment Information'!A192)</f>
        <v/>
      </c>
      <c r="B192">
        <f>IF('Equipment Information'!B192="","", 'Equipment Information'!B192)</f>
        <v/>
      </c>
      <c r="C192">
        <f>IF('Equipment Information'!C192="","", 'Equipment Information'!C192)</f>
        <v/>
      </c>
      <c r="H192">
        <f>IF(A192="","","N/A")</f>
        <v/>
      </c>
    </row>
    <row r="193">
      <c r="A193">
        <f>IF('Equipment Information'!A193="","", 'Equipment Information'!A193)</f>
        <v/>
      </c>
      <c r="B193">
        <f>IF('Equipment Information'!B193="","", 'Equipment Information'!B193)</f>
        <v/>
      </c>
      <c r="C193">
        <f>IF('Equipment Information'!C193="","", 'Equipment Information'!C193)</f>
        <v/>
      </c>
      <c r="H193">
        <f>IF(A193="","","N/A")</f>
        <v/>
      </c>
    </row>
    <row r="194">
      <c r="A194">
        <f>IF('Equipment Information'!A194="","", 'Equipment Information'!A194)</f>
        <v/>
      </c>
      <c r="B194">
        <f>IF('Equipment Information'!B194="","", 'Equipment Information'!B194)</f>
        <v/>
      </c>
      <c r="C194">
        <f>IF('Equipment Information'!C194="","", 'Equipment Information'!C194)</f>
        <v/>
      </c>
      <c r="H194">
        <f>IF(A194="","","N/A")</f>
        <v/>
      </c>
    </row>
    <row r="195">
      <c r="A195">
        <f>IF('Equipment Information'!A195="","", 'Equipment Information'!A195)</f>
        <v/>
      </c>
      <c r="B195">
        <f>IF('Equipment Information'!B195="","", 'Equipment Information'!B195)</f>
        <v/>
      </c>
      <c r="C195">
        <f>IF('Equipment Information'!C195="","", 'Equipment Information'!C195)</f>
        <v/>
      </c>
      <c r="H195">
        <f>IF(A195="","","N/A")</f>
        <v/>
      </c>
    </row>
    <row r="196">
      <c r="A196">
        <f>IF('Equipment Information'!A196="","", 'Equipment Information'!A196)</f>
        <v/>
      </c>
      <c r="B196">
        <f>IF('Equipment Information'!B196="","", 'Equipment Information'!B196)</f>
        <v/>
      </c>
      <c r="C196">
        <f>IF('Equipment Information'!C196="","", 'Equipment Information'!C196)</f>
        <v/>
      </c>
      <c r="H196">
        <f>IF(A196="","","N/A")</f>
        <v/>
      </c>
    </row>
    <row r="197">
      <c r="A197">
        <f>IF('Equipment Information'!A197="","", 'Equipment Information'!A197)</f>
        <v/>
      </c>
      <c r="B197">
        <f>IF('Equipment Information'!B197="","", 'Equipment Information'!B197)</f>
        <v/>
      </c>
      <c r="C197">
        <f>IF('Equipment Information'!C197="","", 'Equipment Information'!C197)</f>
        <v/>
      </c>
      <c r="H197">
        <f>IF(A197="","","N/A")</f>
        <v/>
      </c>
    </row>
    <row r="198">
      <c r="A198">
        <f>IF('Equipment Information'!A198="","", 'Equipment Information'!A198)</f>
        <v/>
      </c>
      <c r="B198">
        <f>IF('Equipment Information'!B198="","", 'Equipment Information'!B198)</f>
        <v/>
      </c>
      <c r="C198">
        <f>IF('Equipment Information'!C198="","", 'Equipment Information'!C198)</f>
        <v/>
      </c>
      <c r="H198">
        <f>IF(A198="","","N/A")</f>
        <v/>
      </c>
    </row>
    <row r="199">
      <c r="A199">
        <f>IF('Equipment Information'!A199="","", 'Equipment Information'!A199)</f>
        <v/>
      </c>
      <c r="B199">
        <f>IF('Equipment Information'!B199="","", 'Equipment Information'!B199)</f>
        <v/>
      </c>
      <c r="C199">
        <f>IF('Equipment Information'!C199="","", 'Equipment Information'!C199)</f>
        <v/>
      </c>
      <c r="H199">
        <f>IF(A199="","","N/A")</f>
        <v/>
      </c>
    </row>
    <row r="200">
      <c r="A200">
        <f>IF('Equipment Information'!A200="","", 'Equipment Information'!A200)</f>
        <v/>
      </c>
      <c r="B200">
        <f>IF('Equipment Information'!B200="","", 'Equipment Information'!B200)</f>
        <v/>
      </c>
      <c r="C200">
        <f>IF('Equipment Information'!C200="","", 'Equipment Information'!C200)</f>
        <v/>
      </c>
      <c r="H200">
        <f>IF(A200="","","N/A")</f>
        <v/>
      </c>
    </row>
    <row r="201">
      <c r="A201">
        <f>IF('Equipment Information'!A201="","", 'Equipment Information'!A201)</f>
        <v/>
      </c>
      <c r="B201">
        <f>IF('Equipment Information'!B201="","", 'Equipment Information'!B201)</f>
        <v/>
      </c>
      <c r="C201">
        <f>IF('Equipment Information'!C201="","", 'Equipment Information'!C201)</f>
        <v/>
      </c>
      <c r="H201">
        <f>IF(A201="","","N/A")</f>
        <v/>
      </c>
    </row>
    <row r="202">
      <c r="A202">
        <f>IF('Equipment Information'!A202="","", 'Equipment Information'!A202)</f>
        <v/>
      </c>
      <c r="B202">
        <f>IF('Equipment Information'!B202="","", 'Equipment Information'!B202)</f>
        <v/>
      </c>
      <c r="C202">
        <f>IF('Equipment Information'!C202="","", 'Equipment Information'!C202)</f>
        <v/>
      </c>
      <c r="H202">
        <f>IF(A202="","","N/A")</f>
        <v/>
      </c>
    </row>
    <row r="203">
      <c r="A203">
        <f>IF('Equipment Information'!A203="","", 'Equipment Information'!A203)</f>
        <v/>
      </c>
      <c r="B203">
        <f>IF('Equipment Information'!B203="","", 'Equipment Information'!B203)</f>
        <v/>
      </c>
      <c r="C203">
        <f>IF('Equipment Information'!C203="","", 'Equipment Information'!C203)</f>
        <v/>
      </c>
      <c r="H203">
        <f>IF(A203="","","N/A")</f>
        <v/>
      </c>
    </row>
    <row r="204">
      <c r="A204">
        <f>IF('Equipment Information'!A204="","", 'Equipment Information'!A204)</f>
        <v/>
      </c>
      <c r="B204">
        <f>IF('Equipment Information'!B204="","", 'Equipment Information'!B204)</f>
        <v/>
      </c>
      <c r="C204">
        <f>IF('Equipment Information'!C204="","", 'Equipment Information'!C204)</f>
        <v/>
      </c>
      <c r="H204">
        <f>IF(A204="","","N/A")</f>
        <v/>
      </c>
    </row>
    <row r="205">
      <c r="A205">
        <f>IF('Equipment Information'!A205="","", 'Equipment Information'!A205)</f>
        <v/>
      </c>
      <c r="B205">
        <f>IF('Equipment Information'!B205="","", 'Equipment Information'!B205)</f>
        <v/>
      </c>
      <c r="C205">
        <f>IF('Equipment Information'!C205="","", 'Equipment Information'!C205)</f>
        <v/>
      </c>
      <c r="H205">
        <f>IF(A205="","","N/A")</f>
        <v/>
      </c>
    </row>
    <row r="206">
      <c r="A206">
        <f>IF('Equipment Information'!A206="","", 'Equipment Information'!A206)</f>
        <v/>
      </c>
      <c r="B206">
        <f>IF('Equipment Information'!B206="","", 'Equipment Information'!B206)</f>
        <v/>
      </c>
      <c r="C206">
        <f>IF('Equipment Information'!C206="","", 'Equipment Information'!C206)</f>
        <v/>
      </c>
      <c r="H206">
        <f>IF(A206="","","N/A")</f>
        <v/>
      </c>
    </row>
    <row r="207">
      <c r="A207">
        <f>IF('Equipment Information'!A207="","", 'Equipment Information'!A207)</f>
        <v/>
      </c>
      <c r="B207">
        <f>IF('Equipment Information'!B207="","", 'Equipment Information'!B207)</f>
        <v/>
      </c>
      <c r="C207">
        <f>IF('Equipment Information'!C207="","", 'Equipment Information'!C207)</f>
        <v/>
      </c>
      <c r="H207">
        <f>IF(A207="","","N/A")</f>
        <v/>
      </c>
    </row>
    <row r="208">
      <c r="A208">
        <f>IF('Equipment Information'!A208="","", 'Equipment Information'!A208)</f>
        <v/>
      </c>
      <c r="B208">
        <f>IF('Equipment Information'!B208="","", 'Equipment Information'!B208)</f>
        <v/>
      </c>
      <c r="C208">
        <f>IF('Equipment Information'!C208="","", 'Equipment Information'!C208)</f>
        <v/>
      </c>
      <c r="H208">
        <f>IF(A208="","","N/A")</f>
        <v/>
      </c>
    </row>
    <row r="209">
      <c r="A209">
        <f>IF('Equipment Information'!A209="","", 'Equipment Information'!A209)</f>
        <v/>
      </c>
      <c r="B209">
        <f>IF('Equipment Information'!B209="","", 'Equipment Information'!B209)</f>
        <v/>
      </c>
      <c r="C209">
        <f>IF('Equipment Information'!C209="","", 'Equipment Information'!C209)</f>
        <v/>
      </c>
      <c r="H209">
        <f>IF(A209="","","N/A")</f>
        <v/>
      </c>
    </row>
    <row r="210">
      <c r="A210">
        <f>IF('Equipment Information'!A210="","", 'Equipment Information'!A210)</f>
        <v/>
      </c>
      <c r="B210">
        <f>IF('Equipment Information'!B210="","", 'Equipment Information'!B210)</f>
        <v/>
      </c>
      <c r="C210">
        <f>IF('Equipment Information'!C210="","", 'Equipment Information'!C210)</f>
        <v/>
      </c>
      <c r="H210">
        <f>IF(A210="","","N/A")</f>
        <v/>
      </c>
    </row>
    <row r="211">
      <c r="A211">
        <f>IF('Equipment Information'!A211="","", 'Equipment Information'!A211)</f>
        <v/>
      </c>
      <c r="B211">
        <f>IF('Equipment Information'!B211="","", 'Equipment Information'!B211)</f>
        <v/>
      </c>
      <c r="C211">
        <f>IF('Equipment Information'!C211="","", 'Equipment Information'!C211)</f>
        <v/>
      </c>
      <c r="H211">
        <f>IF(A211="","","N/A")</f>
        <v/>
      </c>
    </row>
    <row r="212">
      <c r="A212">
        <f>IF('Equipment Information'!A212="","", 'Equipment Information'!A212)</f>
        <v/>
      </c>
      <c r="B212">
        <f>IF('Equipment Information'!B212="","", 'Equipment Information'!B212)</f>
        <v/>
      </c>
      <c r="C212">
        <f>IF('Equipment Information'!C212="","", 'Equipment Information'!C212)</f>
        <v/>
      </c>
      <c r="H212">
        <f>IF(A212="","","N/A")</f>
        <v/>
      </c>
    </row>
    <row r="213">
      <c r="A213">
        <f>IF('Equipment Information'!A213="","", 'Equipment Information'!A213)</f>
        <v/>
      </c>
      <c r="B213">
        <f>IF('Equipment Information'!B213="","", 'Equipment Information'!B213)</f>
        <v/>
      </c>
      <c r="C213">
        <f>IF('Equipment Information'!C213="","", 'Equipment Information'!C213)</f>
        <v/>
      </c>
      <c r="H213">
        <f>IF(A213="","","N/A")</f>
        <v/>
      </c>
    </row>
    <row r="214">
      <c r="A214">
        <f>IF('Equipment Information'!A214="","", 'Equipment Information'!A214)</f>
        <v/>
      </c>
      <c r="B214">
        <f>IF('Equipment Information'!B214="","", 'Equipment Information'!B214)</f>
        <v/>
      </c>
      <c r="C214">
        <f>IF('Equipment Information'!C214="","", 'Equipment Information'!C214)</f>
        <v/>
      </c>
      <c r="H214">
        <f>IF(A214="","","N/A")</f>
        <v/>
      </c>
    </row>
    <row r="215">
      <c r="A215">
        <f>IF('Equipment Information'!A215="","", 'Equipment Information'!A215)</f>
        <v/>
      </c>
      <c r="B215">
        <f>IF('Equipment Information'!B215="","", 'Equipment Information'!B215)</f>
        <v/>
      </c>
      <c r="C215">
        <f>IF('Equipment Information'!C215="","", 'Equipment Information'!C215)</f>
        <v/>
      </c>
      <c r="H215">
        <f>IF(A215="","","N/A")</f>
        <v/>
      </c>
    </row>
    <row r="216">
      <c r="A216">
        <f>IF('Equipment Information'!A216="","", 'Equipment Information'!A216)</f>
        <v/>
      </c>
      <c r="B216">
        <f>IF('Equipment Information'!B216="","", 'Equipment Information'!B216)</f>
        <v/>
      </c>
      <c r="C216">
        <f>IF('Equipment Information'!C216="","", 'Equipment Information'!C216)</f>
        <v/>
      </c>
      <c r="H216">
        <f>IF(A216="","","N/A")</f>
        <v/>
      </c>
    </row>
    <row r="217">
      <c r="A217">
        <f>IF('Equipment Information'!A217="","", 'Equipment Information'!A217)</f>
        <v/>
      </c>
      <c r="B217">
        <f>IF('Equipment Information'!B217="","", 'Equipment Information'!B217)</f>
        <v/>
      </c>
      <c r="C217">
        <f>IF('Equipment Information'!C217="","", 'Equipment Information'!C217)</f>
        <v/>
      </c>
      <c r="H217">
        <f>IF(A217="","","N/A")</f>
        <v/>
      </c>
    </row>
    <row r="218">
      <c r="A218">
        <f>IF('Equipment Information'!A218="","", 'Equipment Information'!A218)</f>
        <v/>
      </c>
      <c r="B218">
        <f>IF('Equipment Information'!B218="","", 'Equipment Information'!B218)</f>
        <v/>
      </c>
      <c r="C218">
        <f>IF('Equipment Information'!C218="","", 'Equipment Information'!C218)</f>
        <v/>
      </c>
      <c r="H218">
        <f>IF(A218="","","N/A")</f>
        <v/>
      </c>
    </row>
    <row r="219">
      <c r="A219">
        <f>IF('Equipment Information'!A219="","", 'Equipment Information'!A219)</f>
        <v/>
      </c>
      <c r="B219">
        <f>IF('Equipment Information'!B219="","", 'Equipment Information'!B219)</f>
        <v/>
      </c>
      <c r="C219">
        <f>IF('Equipment Information'!C219="","", 'Equipment Information'!C219)</f>
        <v/>
      </c>
      <c r="H219">
        <f>IF(A219="","","N/A")</f>
        <v/>
      </c>
    </row>
    <row r="220">
      <c r="A220">
        <f>IF('Equipment Information'!A220="","", 'Equipment Information'!A220)</f>
        <v/>
      </c>
      <c r="B220">
        <f>IF('Equipment Information'!B220="","", 'Equipment Information'!B220)</f>
        <v/>
      </c>
      <c r="C220">
        <f>IF('Equipment Information'!C220="","", 'Equipment Information'!C220)</f>
        <v/>
      </c>
      <c r="H220">
        <f>IF(A220="","","N/A")</f>
        <v/>
      </c>
    </row>
    <row r="221">
      <c r="A221">
        <f>IF('Equipment Information'!A221="","", 'Equipment Information'!A221)</f>
        <v/>
      </c>
      <c r="B221">
        <f>IF('Equipment Information'!B221="","", 'Equipment Information'!B221)</f>
        <v/>
      </c>
      <c r="C221">
        <f>IF('Equipment Information'!C221="","", 'Equipment Information'!C221)</f>
        <v/>
      </c>
      <c r="H221">
        <f>IF(A221="","","N/A")</f>
        <v/>
      </c>
    </row>
    <row r="222">
      <c r="A222">
        <f>IF('Equipment Information'!A222="","", 'Equipment Information'!A222)</f>
        <v/>
      </c>
      <c r="B222">
        <f>IF('Equipment Information'!B222="","", 'Equipment Information'!B222)</f>
        <v/>
      </c>
      <c r="C222">
        <f>IF('Equipment Information'!C222="","", 'Equipment Information'!C222)</f>
        <v/>
      </c>
      <c r="H222">
        <f>IF(A222="","","N/A")</f>
        <v/>
      </c>
    </row>
    <row r="223">
      <c r="A223">
        <f>IF('Equipment Information'!A223="","", 'Equipment Information'!A223)</f>
        <v/>
      </c>
      <c r="B223">
        <f>IF('Equipment Information'!B223="","", 'Equipment Information'!B223)</f>
        <v/>
      </c>
      <c r="C223">
        <f>IF('Equipment Information'!C223="","", 'Equipment Information'!C223)</f>
        <v/>
      </c>
      <c r="H223">
        <f>IF(A223="","","N/A")</f>
        <v/>
      </c>
    </row>
    <row r="224">
      <c r="A224">
        <f>IF('Equipment Information'!A224="","", 'Equipment Information'!A224)</f>
        <v/>
      </c>
      <c r="B224">
        <f>IF('Equipment Information'!B224="","", 'Equipment Information'!B224)</f>
        <v/>
      </c>
      <c r="C224">
        <f>IF('Equipment Information'!C224="","", 'Equipment Information'!C224)</f>
        <v/>
      </c>
      <c r="H224">
        <f>IF(A224="","","N/A")</f>
        <v/>
      </c>
    </row>
    <row r="225">
      <c r="A225">
        <f>IF('Equipment Information'!A225="","", 'Equipment Information'!A225)</f>
        <v/>
      </c>
      <c r="B225">
        <f>IF('Equipment Information'!B225="","", 'Equipment Information'!B225)</f>
        <v/>
      </c>
      <c r="C225">
        <f>IF('Equipment Information'!C225="","", 'Equipment Information'!C225)</f>
        <v/>
      </c>
      <c r="H225">
        <f>IF(A225="","","N/A")</f>
        <v/>
      </c>
    </row>
    <row r="226">
      <c r="A226">
        <f>IF('Equipment Information'!A226="","", 'Equipment Information'!A226)</f>
        <v/>
      </c>
      <c r="B226">
        <f>IF('Equipment Information'!B226="","", 'Equipment Information'!B226)</f>
        <v/>
      </c>
      <c r="C226">
        <f>IF('Equipment Information'!C226="","", 'Equipment Information'!C226)</f>
        <v/>
      </c>
      <c r="H226">
        <f>IF(A226="","","N/A")</f>
        <v/>
      </c>
    </row>
    <row r="227">
      <c r="A227">
        <f>IF('Equipment Information'!A227="","", 'Equipment Information'!A227)</f>
        <v/>
      </c>
      <c r="B227">
        <f>IF('Equipment Information'!B227="","", 'Equipment Information'!B227)</f>
        <v/>
      </c>
      <c r="C227">
        <f>IF('Equipment Information'!C227="","", 'Equipment Information'!C227)</f>
        <v/>
      </c>
      <c r="H227">
        <f>IF(A227="","","N/A")</f>
        <v/>
      </c>
    </row>
    <row r="228">
      <c r="A228">
        <f>IF('Equipment Information'!A228="","", 'Equipment Information'!A228)</f>
        <v/>
      </c>
      <c r="B228">
        <f>IF('Equipment Information'!B228="","", 'Equipment Information'!B228)</f>
        <v/>
      </c>
      <c r="C228">
        <f>IF('Equipment Information'!C228="","", 'Equipment Information'!C228)</f>
        <v/>
      </c>
      <c r="H228">
        <f>IF(A228="","","N/A")</f>
        <v/>
      </c>
    </row>
    <row r="229">
      <c r="A229">
        <f>IF('Equipment Information'!A229="","", 'Equipment Information'!A229)</f>
        <v/>
      </c>
      <c r="B229">
        <f>IF('Equipment Information'!B229="","", 'Equipment Information'!B229)</f>
        <v/>
      </c>
      <c r="C229">
        <f>IF('Equipment Information'!C229="","", 'Equipment Information'!C229)</f>
        <v/>
      </c>
      <c r="H229">
        <f>IF(A229="","","N/A")</f>
        <v/>
      </c>
    </row>
    <row r="230">
      <c r="A230">
        <f>IF('Equipment Information'!A230="","", 'Equipment Information'!A230)</f>
        <v/>
      </c>
      <c r="B230">
        <f>IF('Equipment Information'!B230="","", 'Equipment Information'!B230)</f>
        <v/>
      </c>
      <c r="C230">
        <f>IF('Equipment Information'!C230="","", 'Equipment Information'!C230)</f>
        <v/>
      </c>
      <c r="H230">
        <f>IF(A230="","","N/A")</f>
        <v/>
      </c>
    </row>
    <row r="231">
      <c r="A231">
        <f>IF('Equipment Information'!A231="","", 'Equipment Information'!A231)</f>
        <v/>
      </c>
      <c r="B231">
        <f>IF('Equipment Information'!B231="","", 'Equipment Information'!B231)</f>
        <v/>
      </c>
      <c r="C231">
        <f>IF('Equipment Information'!C231="","", 'Equipment Information'!C231)</f>
        <v/>
      </c>
      <c r="H231">
        <f>IF(A231="","","N/A")</f>
        <v/>
      </c>
    </row>
    <row r="232">
      <c r="A232">
        <f>IF('Equipment Information'!A232="","", 'Equipment Information'!A232)</f>
        <v/>
      </c>
      <c r="B232">
        <f>IF('Equipment Information'!B232="","", 'Equipment Information'!B232)</f>
        <v/>
      </c>
      <c r="C232">
        <f>IF('Equipment Information'!C232="","", 'Equipment Information'!C232)</f>
        <v/>
      </c>
      <c r="H232">
        <f>IF(A232="","","N/A")</f>
        <v/>
      </c>
    </row>
    <row r="233">
      <c r="A233">
        <f>IF('Equipment Information'!A233="","", 'Equipment Information'!A233)</f>
        <v/>
      </c>
      <c r="B233">
        <f>IF('Equipment Information'!B233="","", 'Equipment Information'!B233)</f>
        <v/>
      </c>
      <c r="C233">
        <f>IF('Equipment Information'!C233="","", 'Equipment Information'!C233)</f>
        <v/>
      </c>
      <c r="H233">
        <f>IF(A233="","","N/A")</f>
        <v/>
      </c>
    </row>
    <row r="234">
      <c r="A234">
        <f>IF('Equipment Information'!A234="","", 'Equipment Information'!A234)</f>
        <v/>
      </c>
      <c r="B234">
        <f>IF('Equipment Information'!B234="","", 'Equipment Information'!B234)</f>
        <v/>
      </c>
      <c r="C234">
        <f>IF('Equipment Information'!C234="","", 'Equipment Information'!C234)</f>
        <v/>
      </c>
      <c r="H234">
        <f>IF(A234="","","N/A")</f>
        <v/>
      </c>
    </row>
    <row r="235">
      <c r="A235">
        <f>IF('Equipment Information'!A235="","", 'Equipment Information'!A235)</f>
        <v/>
      </c>
      <c r="B235">
        <f>IF('Equipment Information'!B235="","", 'Equipment Information'!B235)</f>
        <v/>
      </c>
      <c r="C235">
        <f>IF('Equipment Information'!C235="","", 'Equipment Information'!C235)</f>
        <v/>
      </c>
      <c r="H235">
        <f>IF(A235="","","N/A")</f>
        <v/>
      </c>
    </row>
    <row r="236">
      <c r="A236">
        <f>IF('Equipment Information'!A236="","", 'Equipment Information'!A236)</f>
        <v/>
      </c>
      <c r="B236">
        <f>IF('Equipment Information'!B236="","", 'Equipment Information'!B236)</f>
        <v/>
      </c>
      <c r="C236">
        <f>IF('Equipment Information'!C236="","", 'Equipment Information'!C236)</f>
        <v/>
      </c>
      <c r="H236">
        <f>IF(A236="","","N/A")</f>
        <v/>
      </c>
    </row>
    <row r="237">
      <c r="A237">
        <f>IF('Equipment Information'!A237="","", 'Equipment Information'!A237)</f>
        <v/>
      </c>
      <c r="B237">
        <f>IF('Equipment Information'!B237="","", 'Equipment Information'!B237)</f>
        <v/>
      </c>
      <c r="C237">
        <f>IF('Equipment Information'!C237="","", 'Equipment Information'!C237)</f>
        <v/>
      </c>
      <c r="H237">
        <f>IF(A237="","","N/A")</f>
        <v/>
      </c>
    </row>
    <row r="238">
      <c r="A238">
        <f>IF('Equipment Information'!A238="","", 'Equipment Information'!A238)</f>
        <v/>
      </c>
      <c r="B238">
        <f>IF('Equipment Information'!B238="","", 'Equipment Information'!B238)</f>
        <v/>
      </c>
      <c r="C238">
        <f>IF('Equipment Information'!C238="","", 'Equipment Information'!C238)</f>
        <v/>
      </c>
      <c r="H238">
        <f>IF(A238="","","N/A")</f>
        <v/>
      </c>
    </row>
    <row r="239">
      <c r="A239">
        <f>IF('Equipment Information'!A239="","", 'Equipment Information'!A239)</f>
        <v/>
      </c>
      <c r="B239">
        <f>IF('Equipment Information'!B239="","", 'Equipment Information'!B239)</f>
        <v/>
      </c>
      <c r="C239">
        <f>IF('Equipment Information'!C239="","", 'Equipment Information'!C239)</f>
        <v/>
      </c>
      <c r="H239">
        <f>IF(A239="","","N/A")</f>
        <v/>
      </c>
    </row>
    <row r="240">
      <c r="A240">
        <f>IF('Equipment Information'!A240="","", 'Equipment Information'!A240)</f>
        <v/>
      </c>
      <c r="B240">
        <f>IF('Equipment Information'!B240="","", 'Equipment Information'!B240)</f>
        <v/>
      </c>
      <c r="C240">
        <f>IF('Equipment Information'!C240="","", 'Equipment Information'!C240)</f>
        <v/>
      </c>
      <c r="H240">
        <f>IF(A240="","","N/A")</f>
        <v/>
      </c>
    </row>
    <row r="241">
      <c r="A241">
        <f>IF('Equipment Information'!A241="","", 'Equipment Information'!A241)</f>
        <v/>
      </c>
      <c r="B241">
        <f>IF('Equipment Information'!B241="","", 'Equipment Information'!B241)</f>
        <v/>
      </c>
      <c r="C241">
        <f>IF('Equipment Information'!C241="","", 'Equipment Information'!C241)</f>
        <v/>
      </c>
      <c r="H241">
        <f>IF(A241="","","N/A")</f>
        <v/>
      </c>
    </row>
    <row r="242">
      <c r="A242">
        <f>IF('Equipment Information'!A242="","", 'Equipment Information'!A242)</f>
        <v/>
      </c>
      <c r="B242">
        <f>IF('Equipment Information'!B242="","", 'Equipment Information'!B242)</f>
        <v/>
      </c>
      <c r="C242">
        <f>IF('Equipment Information'!C242="","", 'Equipment Information'!C242)</f>
        <v/>
      </c>
      <c r="H242">
        <f>IF(A242="","","N/A")</f>
        <v/>
      </c>
    </row>
    <row r="243">
      <c r="A243">
        <f>IF('Equipment Information'!A243="","", 'Equipment Information'!A243)</f>
        <v/>
      </c>
      <c r="B243">
        <f>IF('Equipment Information'!B243="","", 'Equipment Information'!B243)</f>
        <v/>
      </c>
      <c r="C243">
        <f>IF('Equipment Information'!C243="","", 'Equipment Information'!C243)</f>
        <v/>
      </c>
      <c r="H243">
        <f>IF(A243="","","N/A")</f>
        <v/>
      </c>
    </row>
    <row r="244">
      <c r="A244">
        <f>IF('Equipment Information'!A244="","", 'Equipment Information'!A244)</f>
        <v/>
      </c>
      <c r="B244">
        <f>IF('Equipment Information'!B244="","", 'Equipment Information'!B244)</f>
        <v/>
      </c>
      <c r="C244">
        <f>IF('Equipment Information'!C244="","", 'Equipment Information'!C244)</f>
        <v/>
      </c>
      <c r="H244">
        <f>IF(A244="","","N/A")</f>
        <v/>
      </c>
    </row>
    <row r="245">
      <c r="A245">
        <f>IF('Equipment Information'!A245="","", 'Equipment Information'!A245)</f>
        <v/>
      </c>
      <c r="B245">
        <f>IF('Equipment Information'!B245="","", 'Equipment Information'!B245)</f>
        <v/>
      </c>
      <c r="C245">
        <f>IF('Equipment Information'!C245="","", 'Equipment Information'!C245)</f>
        <v/>
      </c>
      <c r="H245">
        <f>IF(A245="","","N/A")</f>
        <v/>
      </c>
    </row>
    <row r="246">
      <c r="A246">
        <f>IF('Equipment Information'!A246="","", 'Equipment Information'!A246)</f>
        <v/>
      </c>
      <c r="B246">
        <f>IF('Equipment Information'!B246="","", 'Equipment Information'!B246)</f>
        <v/>
      </c>
      <c r="C246">
        <f>IF('Equipment Information'!C246="","", 'Equipment Information'!C246)</f>
        <v/>
      </c>
      <c r="H246">
        <f>IF(A246="","","N/A")</f>
        <v/>
      </c>
    </row>
    <row r="247">
      <c r="A247">
        <f>IF('Equipment Information'!A247="","", 'Equipment Information'!A247)</f>
        <v/>
      </c>
      <c r="B247">
        <f>IF('Equipment Information'!B247="","", 'Equipment Information'!B247)</f>
        <v/>
      </c>
      <c r="C247">
        <f>IF('Equipment Information'!C247="","", 'Equipment Information'!C247)</f>
        <v/>
      </c>
      <c r="H247">
        <f>IF(A247="","","N/A")</f>
        <v/>
      </c>
    </row>
    <row r="248">
      <c r="A248">
        <f>IF('Equipment Information'!A248="","", 'Equipment Information'!A248)</f>
        <v/>
      </c>
      <c r="B248">
        <f>IF('Equipment Information'!B248="","", 'Equipment Information'!B248)</f>
        <v/>
      </c>
      <c r="C248">
        <f>IF('Equipment Information'!C248="","", 'Equipment Information'!C248)</f>
        <v/>
      </c>
      <c r="H248">
        <f>IF(A248="","","N/A")</f>
        <v/>
      </c>
    </row>
    <row r="249">
      <c r="A249">
        <f>IF('Equipment Information'!A249="","", 'Equipment Information'!A249)</f>
        <v/>
      </c>
      <c r="B249">
        <f>IF('Equipment Information'!B249="","", 'Equipment Information'!B249)</f>
        <v/>
      </c>
      <c r="C249">
        <f>IF('Equipment Information'!C249="","", 'Equipment Information'!C249)</f>
        <v/>
      </c>
      <c r="H249">
        <f>IF(A249="","","N/A")</f>
        <v/>
      </c>
    </row>
    <row r="250">
      <c r="A250">
        <f>IF('Equipment Information'!A250="","", 'Equipment Information'!A250)</f>
        <v/>
      </c>
      <c r="B250">
        <f>IF('Equipment Information'!B250="","", 'Equipment Information'!B250)</f>
        <v/>
      </c>
      <c r="C250">
        <f>IF('Equipment Information'!C250="","", 'Equipment Information'!C250)</f>
        <v/>
      </c>
      <c r="H250">
        <f>IF(A250="","","N/A")</f>
        <v/>
      </c>
    </row>
    <row r="251">
      <c r="A251">
        <f>IF('Equipment Information'!A251="","", 'Equipment Information'!A251)</f>
        <v/>
      </c>
      <c r="B251">
        <f>IF('Equipment Information'!B251="","", 'Equipment Information'!B251)</f>
        <v/>
      </c>
      <c r="C251">
        <f>IF('Equipment Information'!C251="","", 'Equipment Information'!C251)</f>
        <v/>
      </c>
      <c r="H251">
        <f>IF(A251="","","N/A")</f>
        <v/>
      </c>
    </row>
    <row r="252">
      <c r="A252">
        <f>IF('Equipment Information'!A252="","", 'Equipment Information'!A252)</f>
        <v/>
      </c>
      <c r="B252">
        <f>IF('Equipment Information'!B252="","", 'Equipment Information'!B252)</f>
        <v/>
      </c>
      <c r="C252">
        <f>IF('Equipment Information'!C252="","", 'Equipment Information'!C252)</f>
        <v/>
      </c>
      <c r="H252">
        <f>IF(A252="","","N/A")</f>
        <v/>
      </c>
    </row>
    <row r="253">
      <c r="A253">
        <f>IF('Equipment Information'!A253="","", 'Equipment Information'!A253)</f>
        <v/>
      </c>
      <c r="B253">
        <f>IF('Equipment Information'!B253="","", 'Equipment Information'!B253)</f>
        <v/>
      </c>
      <c r="C253">
        <f>IF('Equipment Information'!C253="","", 'Equipment Information'!C253)</f>
        <v/>
      </c>
      <c r="H253">
        <f>IF(A253="","","N/A")</f>
        <v/>
      </c>
    </row>
    <row r="254">
      <c r="A254">
        <f>IF('Equipment Information'!A254="","", 'Equipment Information'!A254)</f>
        <v/>
      </c>
      <c r="B254">
        <f>IF('Equipment Information'!B254="","", 'Equipment Information'!B254)</f>
        <v/>
      </c>
      <c r="C254">
        <f>IF('Equipment Information'!C254="","", 'Equipment Information'!C254)</f>
        <v/>
      </c>
      <c r="H254">
        <f>IF(A254="","","N/A")</f>
        <v/>
      </c>
    </row>
    <row r="255">
      <c r="A255">
        <f>IF('Equipment Information'!A255="","", 'Equipment Information'!A255)</f>
        <v/>
      </c>
      <c r="B255">
        <f>IF('Equipment Information'!B255="","", 'Equipment Information'!B255)</f>
        <v/>
      </c>
      <c r="C255">
        <f>IF('Equipment Information'!C255="","", 'Equipment Information'!C255)</f>
        <v/>
      </c>
      <c r="H255">
        <f>IF(A255="","","N/A")</f>
        <v/>
      </c>
    </row>
    <row r="256">
      <c r="A256">
        <f>IF('Equipment Information'!A256="","", 'Equipment Information'!A256)</f>
        <v/>
      </c>
      <c r="B256">
        <f>IF('Equipment Information'!B256="","", 'Equipment Information'!B256)</f>
        <v/>
      </c>
      <c r="C256">
        <f>IF('Equipment Information'!C256="","", 'Equipment Information'!C256)</f>
        <v/>
      </c>
      <c r="H256">
        <f>IF(A256="","","N/A")</f>
        <v/>
      </c>
    </row>
    <row r="257">
      <c r="A257">
        <f>IF('Equipment Information'!A257="","", 'Equipment Information'!A257)</f>
        <v/>
      </c>
      <c r="B257">
        <f>IF('Equipment Information'!B257="","", 'Equipment Information'!B257)</f>
        <v/>
      </c>
      <c r="C257">
        <f>IF('Equipment Information'!C257="","", 'Equipment Information'!C257)</f>
        <v/>
      </c>
      <c r="H257">
        <f>IF(A257="","","N/A")</f>
        <v/>
      </c>
    </row>
    <row r="258">
      <c r="A258">
        <f>IF('Equipment Information'!A258="","", 'Equipment Information'!A258)</f>
        <v/>
      </c>
      <c r="B258">
        <f>IF('Equipment Information'!B258="","", 'Equipment Information'!B258)</f>
        <v/>
      </c>
      <c r="C258">
        <f>IF('Equipment Information'!C258="","", 'Equipment Information'!C258)</f>
        <v/>
      </c>
      <c r="H258">
        <f>IF(A258="","","N/A")</f>
        <v/>
      </c>
    </row>
    <row r="259">
      <c r="A259">
        <f>IF('Equipment Information'!A259="","", 'Equipment Information'!A259)</f>
        <v/>
      </c>
      <c r="B259">
        <f>IF('Equipment Information'!B259="","", 'Equipment Information'!B259)</f>
        <v/>
      </c>
      <c r="C259">
        <f>IF('Equipment Information'!C259="","", 'Equipment Information'!C259)</f>
        <v/>
      </c>
      <c r="H259">
        <f>IF(A259="","","N/A")</f>
        <v/>
      </c>
    </row>
    <row r="260">
      <c r="A260">
        <f>IF('Equipment Information'!A260="","", 'Equipment Information'!A260)</f>
        <v/>
      </c>
      <c r="B260">
        <f>IF('Equipment Information'!B260="","", 'Equipment Information'!B260)</f>
        <v/>
      </c>
      <c r="C260">
        <f>IF('Equipment Information'!C260="","", 'Equipment Information'!C260)</f>
        <v/>
      </c>
      <c r="H260">
        <f>IF(A260="","","N/A")</f>
        <v/>
      </c>
    </row>
    <row r="261">
      <c r="A261">
        <f>IF('Equipment Information'!A261="","", 'Equipment Information'!A261)</f>
        <v/>
      </c>
      <c r="B261">
        <f>IF('Equipment Information'!B261="","", 'Equipment Information'!B261)</f>
        <v/>
      </c>
      <c r="C261">
        <f>IF('Equipment Information'!C261="","", 'Equipment Information'!C261)</f>
        <v/>
      </c>
      <c r="H261">
        <f>IF(A261="","","N/A")</f>
        <v/>
      </c>
    </row>
    <row r="262">
      <c r="A262">
        <f>IF('Equipment Information'!A262="","", 'Equipment Information'!A262)</f>
        <v/>
      </c>
      <c r="B262">
        <f>IF('Equipment Information'!B262="","", 'Equipment Information'!B262)</f>
        <v/>
      </c>
      <c r="C262">
        <f>IF('Equipment Information'!C262="","", 'Equipment Information'!C262)</f>
        <v/>
      </c>
      <c r="H262">
        <f>IF(A262="","","N/A")</f>
        <v/>
      </c>
    </row>
    <row r="263">
      <c r="A263">
        <f>IF('Equipment Information'!A263="","", 'Equipment Information'!A263)</f>
        <v/>
      </c>
      <c r="B263">
        <f>IF('Equipment Information'!B263="","", 'Equipment Information'!B263)</f>
        <v/>
      </c>
      <c r="C263">
        <f>IF('Equipment Information'!C263="","", 'Equipment Information'!C263)</f>
        <v/>
      </c>
      <c r="H263">
        <f>IF(A263="","","N/A")</f>
        <v/>
      </c>
    </row>
    <row r="264">
      <c r="A264">
        <f>IF('Equipment Information'!A264="","", 'Equipment Information'!A264)</f>
        <v/>
      </c>
      <c r="B264">
        <f>IF('Equipment Information'!B264="","", 'Equipment Information'!B264)</f>
        <v/>
      </c>
      <c r="C264">
        <f>IF('Equipment Information'!C264="","", 'Equipment Information'!C264)</f>
        <v/>
      </c>
      <c r="H264">
        <f>IF(A264="","","N/A")</f>
        <v/>
      </c>
    </row>
    <row r="265">
      <c r="A265">
        <f>IF('Equipment Information'!A265="","", 'Equipment Information'!A265)</f>
        <v/>
      </c>
      <c r="B265">
        <f>IF('Equipment Information'!B265="","", 'Equipment Information'!B265)</f>
        <v/>
      </c>
      <c r="C265">
        <f>IF('Equipment Information'!C265="","", 'Equipment Information'!C265)</f>
        <v/>
      </c>
      <c r="H265">
        <f>IF(A265="","","N/A")</f>
        <v/>
      </c>
    </row>
    <row r="266">
      <c r="A266">
        <f>IF('Equipment Information'!A266="","", 'Equipment Information'!A266)</f>
        <v/>
      </c>
      <c r="B266">
        <f>IF('Equipment Information'!B266="","", 'Equipment Information'!B266)</f>
        <v/>
      </c>
      <c r="C266">
        <f>IF('Equipment Information'!C266="","", 'Equipment Information'!C266)</f>
        <v/>
      </c>
      <c r="H266">
        <f>IF(A266="","","N/A")</f>
        <v/>
      </c>
    </row>
    <row r="267">
      <c r="A267">
        <f>IF('Equipment Information'!A267="","", 'Equipment Information'!A267)</f>
        <v/>
      </c>
      <c r="B267">
        <f>IF('Equipment Information'!B267="","", 'Equipment Information'!B267)</f>
        <v/>
      </c>
      <c r="C267">
        <f>IF('Equipment Information'!C267="","", 'Equipment Information'!C267)</f>
        <v/>
      </c>
      <c r="H267">
        <f>IF(A267="","","N/A")</f>
        <v/>
      </c>
    </row>
    <row r="268">
      <c r="A268">
        <f>IF('Equipment Information'!A268="","", 'Equipment Information'!A268)</f>
        <v/>
      </c>
      <c r="B268">
        <f>IF('Equipment Information'!B268="","", 'Equipment Information'!B268)</f>
        <v/>
      </c>
      <c r="C268">
        <f>IF('Equipment Information'!C268="","", 'Equipment Information'!C268)</f>
        <v/>
      </c>
      <c r="H268">
        <f>IF(A268="","","N/A")</f>
        <v/>
      </c>
    </row>
    <row r="269">
      <c r="A269">
        <f>IF('Equipment Information'!A269="","", 'Equipment Information'!A269)</f>
        <v/>
      </c>
      <c r="B269">
        <f>IF('Equipment Information'!B269="","", 'Equipment Information'!B269)</f>
        <v/>
      </c>
      <c r="C269">
        <f>IF('Equipment Information'!C269="","", 'Equipment Information'!C269)</f>
        <v/>
      </c>
      <c r="H269">
        <f>IF(A269="","","N/A")</f>
        <v/>
      </c>
    </row>
    <row r="270">
      <c r="A270">
        <f>IF('Equipment Information'!A270="","", 'Equipment Information'!A270)</f>
        <v/>
      </c>
      <c r="B270">
        <f>IF('Equipment Information'!B270="","", 'Equipment Information'!B270)</f>
        <v/>
      </c>
      <c r="C270">
        <f>IF('Equipment Information'!C270="","", 'Equipment Information'!C270)</f>
        <v/>
      </c>
      <c r="H270">
        <f>IF(A270="","","N/A")</f>
        <v/>
      </c>
    </row>
    <row r="271">
      <c r="A271">
        <f>IF('Equipment Information'!A271="","", 'Equipment Information'!A271)</f>
        <v/>
      </c>
      <c r="B271">
        <f>IF('Equipment Information'!B271="","", 'Equipment Information'!B271)</f>
        <v/>
      </c>
      <c r="C271">
        <f>IF('Equipment Information'!C271="","", 'Equipment Information'!C271)</f>
        <v/>
      </c>
      <c r="H271">
        <f>IF(A271="","","N/A")</f>
        <v/>
      </c>
    </row>
    <row r="272">
      <c r="A272">
        <f>IF('Equipment Information'!A272="","", 'Equipment Information'!A272)</f>
        <v/>
      </c>
      <c r="B272">
        <f>IF('Equipment Information'!B272="","", 'Equipment Information'!B272)</f>
        <v/>
      </c>
      <c r="C272">
        <f>IF('Equipment Information'!C272="","", 'Equipment Information'!C272)</f>
        <v/>
      </c>
      <c r="H272">
        <f>IF(A272="","","N/A")</f>
        <v/>
      </c>
    </row>
    <row r="273">
      <c r="A273">
        <f>IF('Equipment Information'!A273="","", 'Equipment Information'!A273)</f>
        <v/>
      </c>
      <c r="B273">
        <f>IF('Equipment Information'!B273="","", 'Equipment Information'!B273)</f>
        <v/>
      </c>
      <c r="C273">
        <f>IF('Equipment Information'!C273="","", 'Equipment Information'!C273)</f>
        <v/>
      </c>
      <c r="H273">
        <f>IF(A273="","","N/A")</f>
        <v/>
      </c>
    </row>
    <row r="274">
      <c r="A274">
        <f>IF('Equipment Information'!A274="","", 'Equipment Information'!A274)</f>
        <v/>
      </c>
      <c r="B274">
        <f>IF('Equipment Information'!B274="","", 'Equipment Information'!B274)</f>
        <v/>
      </c>
      <c r="C274">
        <f>IF('Equipment Information'!C274="","", 'Equipment Information'!C274)</f>
        <v/>
      </c>
      <c r="H274">
        <f>IF(A274="","","N/A")</f>
        <v/>
      </c>
    </row>
    <row r="275">
      <c r="A275">
        <f>IF('Equipment Information'!A275="","", 'Equipment Information'!A275)</f>
        <v/>
      </c>
      <c r="B275">
        <f>IF('Equipment Information'!B275="","", 'Equipment Information'!B275)</f>
        <v/>
      </c>
      <c r="C275">
        <f>IF('Equipment Information'!C275="","", 'Equipment Information'!C275)</f>
        <v/>
      </c>
      <c r="H275">
        <f>IF(A275="","","N/A")</f>
        <v/>
      </c>
    </row>
    <row r="276">
      <c r="A276">
        <f>IF('Equipment Information'!A276="","", 'Equipment Information'!A276)</f>
        <v/>
      </c>
      <c r="B276">
        <f>IF('Equipment Information'!B276="","", 'Equipment Information'!B276)</f>
        <v/>
      </c>
      <c r="C276">
        <f>IF('Equipment Information'!C276="","", 'Equipment Information'!C276)</f>
        <v/>
      </c>
      <c r="H276">
        <f>IF(A276="","","N/A")</f>
        <v/>
      </c>
    </row>
    <row r="277">
      <c r="A277">
        <f>IF('Equipment Information'!A277="","", 'Equipment Information'!A277)</f>
        <v/>
      </c>
      <c r="B277">
        <f>IF('Equipment Information'!B277="","", 'Equipment Information'!B277)</f>
        <v/>
      </c>
      <c r="C277">
        <f>IF('Equipment Information'!C277="","", 'Equipment Information'!C277)</f>
        <v/>
      </c>
      <c r="H277">
        <f>IF(A277="","","N/A")</f>
        <v/>
      </c>
    </row>
    <row r="278">
      <c r="A278">
        <f>IF('Equipment Information'!A278="","", 'Equipment Information'!A278)</f>
        <v/>
      </c>
      <c r="B278">
        <f>IF('Equipment Information'!B278="","", 'Equipment Information'!B278)</f>
        <v/>
      </c>
      <c r="C278">
        <f>IF('Equipment Information'!C278="","", 'Equipment Information'!C278)</f>
        <v/>
      </c>
      <c r="H278">
        <f>IF(A278="","","N/A")</f>
        <v/>
      </c>
    </row>
    <row r="279">
      <c r="A279">
        <f>IF('Equipment Information'!A279="","", 'Equipment Information'!A279)</f>
        <v/>
      </c>
      <c r="B279">
        <f>IF('Equipment Information'!B279="","", 'Equipment Information'!B279)</f>
        <v/>
      </c>
      <c r="C279">
        <f>IF('Equipment Information'!C279="","", 'Equipment Information'!C279)</f>
        <v/>
      </c>
      <c r="H279">
        <f>IF(A279="","","N/A")</f>
        <v/>
      </c>
    </row>
    <row r="280">
      <c r="A280">
        <f>IF('Equipment Information'!A280="","", 'Equipment Information'!A280)</f>
        <v/>
      </c>
      <c r="B280">
        <f>IF('Equipment Information'!B280="","", 'Equipment Information'!B280)</f>
        <v/>
      </c>
      <c r="C280">
        <f>IF('Equipment Information'!C280="","", 'Equipment Information'!C280)</f>
        <v/>
      </c>
      <c r="H280">
        <f>IF(A280="","","N/A")</f>
        <v/>
      </c>
    </row>
    <row r="281">
      <c r="A281">
        <f>IF('Equipment Information'!A281="","", 'Equipment Information'!A281)</f>
        <v/>
      </c>
      <c r="B281">
        <f>IF('Equipment Information'!B281="","", 'Equipment Information'!B281)</f>
        <v/>
      </c>
      <c r="C281">
        <f>IF('Equipment Information'!C281="","", 'Equipment Information'!C281)</f>
        <v/>
      </c>
      <c r="H281">
        <f>IF(A281="","","N/A")</f>
        <v/>
      </c>
    </row>
    <row r="282">
      <c r="A282">
        <f>IF('Equipment Information'!A282="","", 'Equipment Information'!A282)</f>
        <v/>
      </c>
      <c r="B282">
        <f>IF('Equipment Information'!B282="","", 'Equipment Information'!B282)</f>
        <v/>
      </c>
      <c r="C282">
        <f>IF('Equipment Information'!C282="","", 'Equipment Information'!C282)</f>
        <v/>
      </c>
      <c r="H282">
        <f>IF(A282="","","N/A")</f>
        <v/>
      </c>
    </row>
    <row r="283">
      <c r="A283">
        <f>IF('Equipment Information'!A283="","", 'Equipment Information'!A283)</f>
        <v/>
      </c>
      <c r="B283">
        <f>IF('Equipment Information'!B283="","", 'Equipment Information'!B283)</f>
        <v/>
      </c>
      <c r="C283">
        <f>IF('Equipment Information'!C283="","", 'Equipment Information'!C283)</f>
        <v/>
      </c>
      <c r="H283">
        <f>IF(A283="","","N/A")</f>
        <v/>
      </c>
    </row>
    <row r="284">
      <c r="A284">
        <f>IF('Equipment Information'!A284="","", 'Equipment Information'!A284)</f>
        <v/>
      </c>
      <c r="B284">
        <f>IF('Equipment Information'!B284="","", 'Equipment Information'!B284)</f>
        <v/>
      </c>
      <c r="C284">
        <f>IF('Equipment Information'!C284="","", 'Equipment Information'!C284)</f>
        <v/>
      </c>
      <c r="H284">
        <f>IF(A284="","","N/A")</f>
        <v/>
      </c>
    </row>
    <row r="285">
      <c r="A285">
        <f>IF('Equipment Information'!A285="","", 'Equipment Information'!A285)</f>
        <v/>
      </c>
      <c r="B285">
        <f>IF('Equipment Information'!B285="","", 'Equipment Information'!B285)</f>
        <v/>
      </c>
      <c r="C285">
        <f>IF('Equipment Information'!C285="","", 'Equipment Information'!C285)</f>
        <v/>
      </c>
      <c r="H285">
        <f>IF(A285="","","N/A")</f>
        <v/>
      </c>
    </row>
    <row r="286">
      <c r="A286">
        <f>IF('Equipment Information'!A286="","", 'Equipment Information'!A286)</f>
        <v/>
      </c>
      <c r="B286">
        <f>IF('Equipment Information'!B286="","", 'Equipment Information'!B286)</f>
        <v/>
      </c>
      <c r="C286">
        <f>IF('Equipment Information'!C286="","", 'Equipment Information'!C286)</f>
        <v/>
      </c>
      <c r="H286">
        <f>IF(A286="","","N/A")</f>
        <v/>
      </c>
    </row>
    <row r="287">
      <c r="A287">
        <f>IF('Equipment Information'!A287="","", 'Equipment Information'!A287)</f>
        <v/>
      </c>
      <c r="B287">
        <f>IF('Equipment Information'!B287="","", 'Equipment Information'!B287)</f>
        <v/>
      </c>
      <c r="C287">
        <f>IF('Equipment Information'!C287="","", 'Equipment Information'!C287)</f>
        <v/>
      </c>
      <c r="H287">
        <f>IF(A287="","","N/A")</f>
        <v/>
      </c>
    </row>
    <row r="288">
      <c r="A288">
        <f>IF('Equipment Information'!A288="","", 'Equipment Information'!A288)</f>
        <v/>
      </c>
      <c r="B288">
        <f>IF('Equipment Information'!B288="","", 'Equipment Information'!B288)</f>
        <v/>
      </c>
      <c r="C288">
        <f>IF('Equipment Information'!C288="","", 'Equipment Information'!C288)</f>
        <v/>
      </c>
      <c r="H288">
        <f>IF(A288="","","N/A")</f>
        <v/>
      </c>
    </row>
    <row r="289">
      <c r="A289">
        <f>IF('Equipment Information'!A289="","", 'Equipment Information'!A289)</f>
        <v/>
      </c>
      <c r="B289">
        <f>IF('Equipment Information'!B289="","", 'Equipment Information'!B289)</f>
        <v/>
      </c>
      <c r="C289">
        <f>IF('Equipment Information'!C289="","", 'Equipment Information'!C289)</f>
        <v/>
      </c>
      <c r="H289">
        <f>IF(A289="","","N/A")</f>
        <v/>
      </c>
    </row>
    <row r="290">
      <c r="A290">
        <f>IF('Equipment Information'!A290="","", 'Equipment Information'!A290)</f>
        <v/>
      </c>
      <c r="B290">
        <f>IF('Equipment Information'!B290="","", 'Equipment Information'!B290)</f>
        <v/>
      </c>
      <c r="C290">
        <f>IF('Equipment Information'!C290="","", 'Equipment Information'!C290)</f>
        <v/>
      </c>
      <c r="H290">
        <f>IF(A290="","","N/A")</f>
        <v/>
      </c>
    </row>
    <row r="291">
      <c r="A291">
        <f>IF('Equipment Information'!A291="","", 'Equipment Information'!A291)</f>
        <v/>
      </c>
      <c r="B291">
        <f>IF('Equipment Information'!B291="","", 'Equipment Information'!B291)</f>
        <v/>
      </c>
      <c r="C291">
        <f>IF('Equipment Information'!C291="","", 'Equipment Information'!C291)</f>
        <v/>
      </c>
      <c r="H291">
        <f>IF(A291="","","N/A")</f>
        <v/>
      </c>
    </row>
    <row r="292">
      <c r="A292">
        <f>IF('Equipment Information'!A292="","", 'Equipment Information'!A292)</f>
        <v/>
      </c>
      <c r="B292">
        <f>IF('Equipment Information'!B292="","", 'Equipment Information'!B292)</f>
        <v/>
      </c>
      <c r="C292">
        <f>IF('Equipment Information'!C292="","", 'Equipment Information'!C292)</f>
        <v/>
      </c>
      <c r="H292">
        <f>IF(A292="","","N/A")</f>
        <v/>
      </c>
    </row>
    <row r="293">
      <c r="A293">
        <f>IF('Equipment Information'!A293="","", 'Equipment Information'!A293)</f>
        <v/>
      </c>
      <c r="B293">
        <f>IF('Equipment Information'!B293="","", 'Equipment Information'!B293)</f>
        <v/>
      </c>
      <c r="C293">
        <f>IF('Equipment Information'!C293="","", 'Equipment Information'!C293)</f>
        <v/>
      </c>
      <c r="H293">
        <f>IF(A293="","","N/A")</f>
        <v/>
      </c>
    </row>
    <row r="294">
      <c r="A294">
        <f>IF('Equipment Information'!A294="","", 'Equipment Information'!A294)</f>
        <v/>
      </c>
      <c r="B294">
        <f>IF('Equipment Information'!B294="","", 'Equipment Information'!B294)</f>
        <v/>
      </c>
      <c r="C294">
        <f>IF('Equipment Information'!C294="","", 'Equipment Information'!C294)</f>
        <v/>
      </c>
      <c r="H294">
        <f>IF(A294="","","N/A")</f>
        <v/>
      </c>
    </row>
    <row r="295">
      <c r="A295">
        <f>IF('Equipment Information'!A295="","", 'Equipment Information'!A295)</f>
        <v/>
      </c>
      <c r="B295">
        <f>IF('Equipment Information'!B295="","", 'Equipment Information'!B295)</f>
        <v/>
      </c>
      <c r="C295">
        <f>IF('Equipment Information'!C295="","", 'Equipment Information'!C295)</f>
        <v/>
      </c>
      <c r="H295">
        <f>IF(A295="","","N/A")</f>
        <v/>
      </c>
    </row>
    <row r="296">
      <c r="A296">
        <f>IF('Equipment Information'!A296="","", 'Equipment Information'!A296)</f>
        <v/>
      </c>
      <c r="B296">
        <f>IF('Equipment Information'!B296="","", 'Equipment Information'!B296)</f>
        <v/>
      </c>
      <c r="C296">
        <f>IF('Equipment Information'!C296="","", 'Equipment Information'!C296)</f>
        <v/>
      </c>
      <c r="H296">
        <f>IF(A296="","","N/A")</f>
        <v/>
      </c>
    </row>
    <row r="297">
      <c r="A297">
        <f>IF('Equipment Information'!A297="","", 'Equipment Information'!A297)</f>
        <v/>
      </c>
      <c r="B297">
        <f>IF('Equipment Information'!B297="","", 'Equipment Information'!B297)</f>
        <v/>
      </c>
      <c r="C297">
        <f>IF('Equipment Information'!C297="","", 'Equipment Information'!C297)</f>
        <v/>
      </c>
      <c r="H297">
        <f>IF(A297="","","N/A")</f>
        <v/>
      </c>
    </row>
    <row r="298">
      <c r="A298">
        <f>IF('Equipment Information'!A298="","", 'Equipment Information'!A298)</f>
        <v/>
      </c>
      <c r="B298">
        <f>IF('Equipment Information'!B298="","", 'Equipment Information'!B298)</f>
        <v/>
      </c>
      <c r="C298">
        <f>IF('Equipment Information'!C298="","", 'Equipment Information'!C298)</f>
        <v/>
      </c>
      <c r="H298">
        <f>IF(A298="","","N/A")</f>
        <v/>
      </c>
    </row>
    <row r="299">
      <c r="A299">
        <f>IF('Equipment Information'!A299="","", 'Equipment Information'!A299)</f>
        <v/>
      </c>
      <c r="B299">
        <f>IF('Equipment Information'!B299="","", 'Equipment Information'!B299)</f>
        <v/>
      </c>
      <c r="C299">
        <f>IF('Equipment Information'!C299="","", 'Equipment Information'!C299)</f>
        <v/>
      </c>
      <c r="H299">
        <f>IF(A299="","","N/A")</f>
        <v/>
      </c>
    </row>
    <row r="300">
      <c r="A300">
        <f>IF('Equipment Information'!A300="","", 'Equipment Information'!A300)</f>
        <v/>
      </c>
      <c r="B300">
        <f>IF('Equipment Information'!B300="","", 'Equipment Information'!B300)</f>
        <v/>
      </c>
      <c r="C300">
        <f>IF('Equipment Information'!C300="","", 'Equipment Information'!C300)</f>
        <v/>
      </c>
      <c r="H300">
        <f>IF(A300="","","N/A")</f>
        <v/>
      </c>
    </row>
    <row r="301">
      <c r="A301">
        <f>IF('Equipment Information'!A301="","", 'Equipment Information'!A301)</f>
        <v/>
      </c>
      <c r="B301">
        <f>IF('Equipment Information'!B301="","", 'Equipment Information'!B301)</f>
        <v/>
      </c>
      <c r="C301">
        <f>IF('Equipment Information'!C301="","", 'Equipment Information'!C301)</f>
        <v/>
      </c>
      <c r="H301">
        <f>IF(A301="","","N/A")</f>
        <v/>
      </c>
    </row>
    <row r="302">
      <c r="A302">
        <f>IF('Equipment Information'!A302="","", 'Equipment Information'!A302)</f>
        <v/>
      </c>
      <c r="B302">
        <f>IF('Equipment Information'!B302="","", 'Equipment Information'!B302)</f>
        <v/>
      </c>
      <c r="C302">
        <f>IF('Equipment Information'!C302="","", 'Equipment Information'!C302)</f>
        <v/>
      </c>
      <c r="H302">
        <f>IF(A302="","","N/A")</f>
        <v/>
      </c>
    </row>
    <row r="303">
      <c r="A303">
        <f>IF('Equipment Information'!A303="","", 'Equipment Information'!A303)</f>
        <v/>
      </c>
      <c r="B303">
        <f>IF('Equipment Information'!B303="","", 'Equipment Information'!B303)</f>
        <v/>
      </c>
      <c r="C303">
        <f>IF('Equipment Information'!C303="","", 'Equipment Information'!C303)</f>
        <v/>
      </c>
      <c r="H303">
        <f>IF(A303="","","N/A")</f>
        <v/>
      </c>
    </row>
    <row r="304">
      <c r="A304">
        <f>IF('Equipment Information'!A304="","", 'Equipment Information'!A304)</f>
        <v/>
      </c>
      <c r="B304">
        <f>IF('Equipment Information'!B304="","", 'Equipment Information'!B304)</f>
        <v/>
      </c>
      <c r="C304">
        <f>IF('Equipment Information'!C304="","", 'Equipment Information'!C304)</f>
        <v/>
      </c>
      <c r="H304">
        <f>IF(A304="","","N/A")</f>
        <v/>
      </c>
    </row>
    <row r="305">
      <c r="A305">
        <f>IF('Equipment Information'!A305="","", 'Equipment Information'!A305)</f>
        <v/>
      </c>
      <c r="B305">
        <f>IF('Equipment Information'!B305="","", 'Equipment Information'!B305)</f>
        <v/>
      </c>
      <c r="C305">
        <f>IF('Equipment Information'!C305="","", 'Equipment Information'!C305)</f>
        <v/>
      </c>
      <c r="H305">
        <f>IF(A305="","","N/A")</f>
        <v/>
      </c>
    </row>
    <row r="306">
      <c r="A306">
        <f>IF('Equipment Information'!A306="","", 'Equipment Information'!A306)</f>
        <v/>
      </c>
      <c r="B306">
        <f>IF('Equipment Information'!B306="","", 'Equipment Information'!B306)</f>
        <v/>
      </c>
      <c r="C306">
        <f>IF('Equipment Information'!C306="","", 'Equipment Information'!C306)</f>
        <v/>
      </c>
      <c r="H306">
        <f>IF(A306="","","N/A")</f>
        <v/>
      </c>
    </row>
    <row r="307">
      <c r="A307">
        <f>IF('Equipment Information'!A307="","", 'Equipment Information'!A307)</f>
        <v/>
      </c>
      <c r="B307">
        <f>IF('Equipment Information'!B307="","", 'Equipment Information'!B307)</f>
        <v/>
      </c>
      <c r="C307">
        <f>IF('Equipment Information'!C307="","", 'Equipment Information'!C307)</f>
        <v/>
      </c>
      <c r="H307">
        <f>IF(A307="","","N/A")</f>
        <v/>
      </c>
    </row>
    <row r="308">
      <c r="A308">
        <f>IF('Equipment Information'!A308="","", 'Equipment Information'!A308)</f>
        <v/>
      </c>
      <c r="B308">
        <f>IF('Equipment Information'!B308="","", 'Equipment Information'!B308)</f>
        <v/>
      </c>
      <c r="C308">
        <f>IF('Equipment Information'!C308="","", 'Equipment Information'!C308)</f>
        <v/>
      </c>
      <c r="H308">
        <f>IF(A308="","","N/A")</f>
        <v/>
      </c>
    </row>
    <row r="309">
      <c r="A309">
        <f>IF('Equipment Information'!A309="","", 'Equipment Information'!A309)</f>
        <v/>
      </c>
      <c r="B309">
        <f>IF('Equipment Information'!B309="","", 'Equipment Information'!B309)</f>
        <v/>
      </c>
      <c r="C309">
        <f>IF('Equipment Information'!C309="","", 'Equipment Information'!C309)</f>
        <v/>
      </c>
      <c r="H309">
        <f>IF(A309="","","N/A")</f>
        <v/>
      </c>
    </row>
    <row r="310">
      <c r="A310">
        <f>IF('Equipment Information'!A310="","", 'Equipment Information'!A310)</f>
        <v/>
      </c>
      <c r="B310">
        <f>IF('Equipment Information'!B310="","", 'Equipment Information'!B310)</f>
        <v/>
      </c>
      <c r="C310">
        <f>IF('Equipment Information'!C310="","", 'Equipment Information'!C310)</f>
        <v/>
      </c>
      <c r="H310">
        <f>IF(A310="","","N/A")</f>
        <v/>
      </c>
    </row>
    <row r="311">
      <c r="A311">
        <f>IF('Equipment Information'!A311="","", 'Equipment Information'!A311)</f>
        <v/>
      </c>
      <c r="B311">
        <f>IF('Equipment Information'!B311="","", 'Equipment Information'!B311)</f>
        <v/>
      </c>
      <c r="C311">
        <f>IF('Equipment Information'!C311="","", 'Equipment Information'!C311)</f>
        <v/>
      </c>
      <c r="H311">
        <f>IF(A311="","","N/A")</f>
        <v/>
      </c>
    </row>
    <row r="312">
      <c r="A312">
        <f>IF('Equipment Information'!A312="","", 'Equipment Information'!A312)</f>
        <v/>
      </c>
      <c r="B312">
        <f>IF('Equipment Information'!B312="","", 'Equipment Information'!B312)</f>
        <v/>
      </c>
      <c r="C312">
        <f>IF('Equipment Information'!C312="","", 'Equipment Information'!C312)</f>
        <v/>
      </c>
      <c r="H312">
        <f>IF(A312="","","N/A")</f>
        <v/>
      </c>
    </row>
    <row r="313">
      <c r="A313">
        <f>IF('Equipment Information'!A313="","", 'Equipment Information'!A313)</f>
        <v/>
      </c>
      <c r="B313">
        <f>IF('Equipment Information'!B313="","", 'Equipment Information'!B313)</f>
        <v/>
      </c>
      <c r="C313">
        <f>IF('Equipment Information'!C313="","", 'Equipment Information'!C313)</f>
        <v/>
      </c>
      <c r="H313">
        <f>IF(A313="","","N/A")</f>
        <v/>
      </c>
    </row>
    <row r="314">
      <c r="A314">
        <f>IF('Equipment Information'!A314="","", 'Equipment Information'!A314)</f>
        <v/>
      </c>
      <c r="B314">
        <f>IF('Equipment Information'!B314="","", 'Equipment Information'!B314)</f>
        <v/>
      </c>
      <c r="C314">
        <f>IF('Equipment Information'!C314="","", 'Equipment Information'!C314)</f>
        <v/>
      </c>
      <c r="H314">
        <f>IF(A314="","","N/A")</f>
        <v/>
      </c>
    </row>
    <row r="315">
      <c r="A315">
        <f>IF('Equipment Information'!A315="","", 'Equipment Information'!A315)</f>
        <v/>
      </c>
      <c r="B315">
        <f>IF('Equipment Information'!B315="","", 'Equipment Information'!B315)</f>
        <v/>
      </c>
      <c r="C315">
        <f>IF('Equipment Information'!C315="","", 'Equipment Information'!C315)</f>
        <v/>
      </c>
      <c r="H315">
        <f>IF(A315="","","N/A")</f>
        <v/>
      </c>
    </row>
    <row r="316">
      <c r="A316">
        <f>IF('Equipment Information'!A316="","", 'Equipment Information'!A316)</f>
        <v/>
      </c>
      <c r="B316">
        <f>IF('Equipment Information'!B316="","", 'Equipment Information'!B316)</f>
        <v/>
      </c>
      <c r="C316">
        <f>IF('Equipment Information'!C316="","", 'Equipment Information'!C316)</f>
        <v/>
      </c>
      <c r="H316">
        <f>IF(A316="","","N/A")</f>
        <v/>
      </c>
    </row>
    <row r="317">
      <c r="A317">
        <f>IF('Equipment Information'!A317="","", 'Equipment Information'!A317)</f>
        <v/>
      </c>
      <c r="B317">
        <f>IF('Equipment Information'!B317="","", 'Equipment Information'!B317)</f>
        <v/>
      </c>
      <c r="C317">
        <f>IF('Equipment Information'!C317="","", 'Equipment Information'!C317)</f>
        <v/>
      </c>
      <c r="H317">
        <f>IF(A317="","","N/A")</f>
        <v/>
      </c>
    </row>
    <row r="318">
      <c r="A318">
        <f>IF('Equipment Information'!A318="","", 'Equipment Information'!A318)</f>
        <v/>
      </c>
      <c r="B318">
        <f>IF('Equipment Information'!B318="","", 'Equipment Information'!B318)</f>
        <v/>
      </c>
      <c r="C318">
        <f>IF('Equipment Information'!C318="","", 'Equipment Information'!C318)</f>
        <v/>
      </c>
      <c r="H318">
        <f>IF(A318="","","N/A")</f>
        <v/>
      </c>
    </row>
    <row r="319">
      <c r="A319">
        <f>IF('Equipment Information'!A319="","", 'Equipment Information'!A319)</f>
        <v/>
      </c>
      <c r="B319">
        <f>IF('Equipment Information'!B319="","", 'Equipment Information'!B319)</f>
        <v/>
      </c>
      <c r="C319">
        <f>IF('Equipment Information'!C319="","", 'Equipment Information'!C319)</f>
        <v/>
      </c>
      <c r="H319">
        <f>IF(A319="","","N/A")</f>
        <v/>
      </c>
    </row>
    <row r="320">
      <c r="A320">
        <f>IF('Equipment Information'!A320="","", 'Equipment Information'!A320)</f>
        <v/>
      </c>
      <c r="B320">
        <f>IF('Equipment Information'!B320="","", 'Equipment Information'!B320)</f>
        <v/>
      </c>
      <c r="C320">
        <f>IF('Equipment Information'!C320="","", 'Equipment Information'!C320)</f>
        <v/>
      </c>
      <c r="H320">
        <f>IF(A320="","","N/A")</f>
        <v/>
      </c>
    </row>
    <row r="321">
      <c r="A321">
        <f>IF('Equipment Information'!A321="","", 'Equipment Information'!A321)</f>
        <v/>
      </c>
      <c r="B321">
        <f>IF('Equipment Information'!B321="","", 'Equipment Information'!B321)</f>
        <v/>
      </c>
      <c r="C321">
        <f>IF('Equipment Information'!C321="","", 'Equipment Information'!C321)</f>
        <v/>
      </c>
      <c r="H321">
        <f>IF(A321="","","N/A")</f>
        <v/>
      </c>
    </row>
    <row r="322">
      <c r="A322">
        <f>IF('Equipment Information'!A322="","", 'Equipment Information'!A322)</f>
        <v/>
      </c>
      <c r="B322">
        <f>IF('Equipment Information'!B322="","", 'Equipment Information'!B322)</f>
        <v/>
      </c>
      <c r="C322">
        <f>IF('Equipment Information'!C322="","", 'Equipment Information'!C322)</f>
        <v/>
      </c>
      <c r="H322">
        <f>IF(A322="","","N/A")</f>
        <v/>
      </c>
    </row>
    <row r="323">
      <c r="A323">
        <f>IF('Equipment Information'!A323="","", 'Equipment Information'!A323)</f>
        <v/>
      </c>
      <c r="B323">
        <f>IF('Equipment Information'!B323="","", 'Equipment Information'!B323)</f>
        <v/>
      </c>
      <c r="C323">
        <f>IF('Equipment Information'!C323="","", 'Equipment Information'!C323)</f>
        <v/>
      </c>
      <c r="H323">
        <f>IF(A323="","","N/A")</f>
        <v/>
      </c>
    </row>
    <row r="324">
      <c r="A324">
        <f>IF('Equipment Information'!A324="","", 'Equipment Information'!A324)</f>
        <v/>
      </c>
      <c r="B324">
        <f>IF('Equipment Information'!B324="","", 'Equipment Information'!B324)</f>
        <v/>
      </c>
      <c r="C324">
        <f>IF('Equipment Information'!C324="","", 'Equipment Information'!C324)</f>
        <v/>
      </c>
      <c r="H324">
        <f>IF(A324="","","N/A")</f>
        <v/>
      </c>
    </row>
    <row r="325">
      <c r="A325">
        <f>IF('Equipment Information'!A325="","", 'Equipment Information'!A325)</f>
        <v/>
      </c>
      <c r="B325">
        <f>IF('Equipment Information'!B325="","", 'Equipment Information'!B325)</f>
        <v/>
      </c>
      <c r="C325">
        <f>IF('Equipment Information'!C325="","", 'Equipment Information'!C325)</f>
        <v/>
      </c>
      <c r="H325">
        <f>IF(A325="","","N/A")</f>
        <v/>
      </c>
    </row>
    <row r="326">
      <c r="A326">
        <f>IF('Equipment Information'!A326="","", 'Equipment Information'!A326)</f>
        <v/>
      </c>
      <c r="B326">
        <f>IF('Equipment Information'!B326="","", 'Equipment Information'!B326)</f>
        <v/>
      </c>
      <c r="C326">
        <f>IF('Equipment Information'!C326="","", 'Equipment Information'!C326)</f>
        <v/>
      </c>
      <c r="H326">
        <f>IF(A326="","","N/A")</f>
        <v/>
      </c>
    </row>
    <row r="327">
      <c r="A327">
        <f>IF('Equipment Information'!A327="","", 'Equipment Information'!A327)</f>
        <v/>
      </c>
      <c r="B327">
        <f>IF('Equipment Information'!B327="","", 'Equipment Information'!B327)</f>
        <v/>
      </c>
      <c r="C327">
        <f>IF('Equipment Information'!C327="","", 'Equipment Information'!C327)</f>
        <v/>
      </c>
      <c r="H327">
        <f>IF(A327="","","N/A")</f>
        <v/>
      </c>
    </row>
    <row r="328">
      <c r="A328">
        <f>IF('Equipment Information'!A328="","", 'Equipment Information'!A328)</f>
        <v/>
      </c>
      <c r="B328">
        <f>IF('Equipment Information'!B328="","", 'Equipment Information'!B328)</f>
        <v/>
      </c>
      <c r="C328">
        <f>IF('Equipment Information'!C328="","", 'Equipment Information'!C328)</f>
        <v/>
      </c>
      <c r="H328">
        <f>IF(A328="","","N/A")</f>
        <v/>
      </c>
    </row>
    <row r="329">
      <c r="A329">
        <f>IF('Equipment Information'!A329="","", 'Equipment Information'!A329)</f>
        <v/>
      </c>
      <c r="B329">
        <f>IF('Equipment Information'!B329="","", 'Equipment Information'!B329)</f>
        <v/>
      </c>
      <c r="C329">
        <f>IF('Equipment Information'!C329="","", 'Equipment Information'!C329)</f>
        <v/>
      </c>
      <c r="H329">
        <f>IF(A329="","","N/A")</f>
        <v/>
      </c>
    </row>
    <row r="330">
      <c r="A330">
        <f>IF('Equipment Information'!A330="","", 'Equipment Information'!A330)</f>
        <v/>
      </c>
      <c r="B330">
        <f>IF('Equipment Information'!B330="","", 'Equipment Information'!B330)</f>
        <v/>
      </c>
      <c r="C330">
        <f>IF('Equipment Information'!C330="","", 'Equipment Information'!C330)</f>
        <v/>
      </c>
      <c r="H330">
        <f>IF(A330="","","N/A")</f>
        <v/>
      </c>
    </row>
    <row r="331">
      <c r="A331">
        <f>IF('Equipment Information'!A331="","", 'Equipment Information'!A331)</f>
        <v/>
      </c>
      <c r="B331">
        <f>IF('Equipment Information'!B331="","", 'Equipment Information'!B331)</f>
        <v/>
      </c>
      <c r="C331">
        <f>IF('Equipment Information'!C331="","", 'Equipment Information'!C331)</f>
        <v/>
      </c>
      <c r="H331">
        <f>IF(A331="","","N/A")</f>
        <v/>
      </c>
    </row>
    <row r="332">
      <c r="A332">
        <f>IF('Equipment Information'!A332="","", 'Equipment Information'!A332)</f>
        <v/>
      </c>
      <c r="B332">
        <f>IF('Equipment Information'!B332="","", 'Equipment Information'!B332)</f>
        <v/>
      </c>
      <c r="C332">
        <f>IF('Equipment Information'!C332="","", 'Equipment Information'!C332)</f>
        <v/>
      </c>
      <c r="H332">
        <f>IF(A332="","","N/A")</f>
        <v/>
      </c>
    </row>
    <row r="333">
      <c r="A333">
        <f>IF('Equipment Information'!A333="","", 'Equipment Information'!A333)</f>
        <v/>
      </c>
      <c r="B333">
        <f>IF('Equipment Information'!B333="","", 'Equipment Information'!B333)</f>
        <v/>
      </c>
      <c r="C333">
        <f>IF('Equipment Information'!C333="","", 'Equipment Information'!C333)</f>
        <v/>
      </c>
      <c r="H333">
        <f>IF(A333="","","N/A")</f>
        <v/>
      </c>
    </row>
    <row r="334">
      <c r="A334">
        <f>IF('Equipment Information'!A334="","", 'Equipment Information'!A334)</f>
        <v/>
      </c>
      <c r="B334">
        <f>IF('Equipment Information'!B334="","", 'Equipment Information'!B334)</f>
        <v/>
      </c>
      <c r="C334">
        <f>IF('Equipment Information'!C334="","", 'Equipment Information'!C334)</f>
        <v/>
      </c>
      <c r="H334">
        <f>IF(A334="","","N/A")</f>
        <v/>
      </c>
    </row>
    <row r="335">
      <c r="A335">
        <f>IF('Equipment Information'!A335="","", 'Equipment Information'!A335)</f>
        <v/>
      </c>
      <c r="B335">
        <f>IF('Equipment Information'!B335="","", 'Equipment Information'!B335)</f>
        <v/>
      </c>
      <c r="C335">
        <f>IF('Equipment Information'!C335="","", 'Equipment Information'!C335)</f>
        <v/>
      </c>
      <c r="H335">
        <f>IF(A335="","","N/A")</f>
        <v/>
      </c>
    </row>
    <row r="336">
      <c r="A336">
        <f>IF('Equipment Information'!A336="","", 'Equipment Information'!A336)</f>
        <v/>
      </c>
      <c r="B336">
        <f>IF('Equipment Information'!B336="","", 'Equipment Information'!B336)</f>
        <v/>
      </c>
      <c r="C336">
        <f>IF('Equipment Information'!C336="","", 'Equipment Information'!C336)</f>
        <v/>
      </c>
      <c r="H336">
        <f>IF(A336="","","N/A")</f>
        <v/>
      </c>
    </row>
    <row r="337">
      <c r="A337">
        <f>IF('Equipment Information'!A337="","", 'Equipment Information'!A337)</f>
        <v/>
      </c>
      <c r="B337">
        <f>IF('Equipment Information'!B337="","", 'Equipment Information'!B337)</f>
        <v/>
      </c>
      <c r="C337">
        <f>IF('Equipment Information'!C337="","", 'Equipment Information'!C337)</f>
        <v/>
      </c>
      <c r="H337">
        <f>IF(A337="","","N/A")</f>
        <v/>
      </c>
    </row>
    <row r="338">
      <c r="A338">
        <f>IF('Equipment Information'!A338="","", 'Equipment Information'!A338)</f>
        <v/>
      </c>
      <c r="B338">
        <f>IF('Equipment Information'!B338="","", 'Equipment Information'!B338)</f>
        <v/>
      </c>
      <c r="C338">
        <f>IF('Equipment Information'!C338="","", 'Equipment Information'!C338)</f>
        <v/>
      </c>
      <c r="H338">
        <f>IF(A338="","","N/A")</f>
        <v/>
      </c>
    </row>
    <row r="339">
      <c r="A339">
        <f>IF('Equipment Information'!A339="","", 'Equipment Information'!A339)</f>
        <v/>
      </c>
      <c r="B339">
        <f>IF('Equipment Information'!B339="","", 'Equipment Information'!B339)</f>
        <v/>
      </c>
      <c r="C339">
        <f>IF('Equipment Information'!C339="","", 'Equipment Information'!C339)</f>
        <v/>
      </c>
      <c r="H339">
        <f>IF(A339="","","N/A")</f>
        <v/>
      </c>
    </row>
    <row r="340">
      <c r="A340">
        <f>IF('Equipment Information'!A340="","", 'Equipment Information'!A340)</f>
        <v/>
      </c>
      <c r="B340">
        <f>IF('Equipment Information'!B340="","", 'Equipment Information'!B340)</f>
        <v/>
      </c>
      <c r="C340">
        <f>IF('Equipment Information'!C340="","", 'Equipment Information'!C340)</f>
        <v/>
      </c>
      <c r="H340">
        <f>IF(A340="","","N/A")</f>
        <v/>
      </c>
    </row>
    <row r="341">
      <c r="A341">
        <f>IF('Equipment Information'!A341="","", 'Equipment Information'!A341)</f>
        <v/>
      </c>
      <c r="B341">
        <f>IF('Equipment Information'!B341="","", 'Equipment Information'!B341)</f>
        <v/>
      </c>
      <c r="C341">
        <f>IF('Equipment Information'!C341="","", 'Equipment Information'!C341)</f>
        <v/>
      </c>
      <c r="H341">
        <f>IF(A341="","","N/A")</f>
        <v/>
      </c>
    </row>
    <row r="342">
      <c r="A342">
        <f>IF('Equipment Information'!A342="","", 'Equipment Information'!A342)</f>
        <v/>
      </c>
      <c r="B342">
        <f>IF('Equipment Information'!B342="","", 'Equipment Information'!B342)</f>
        <v/>
      </c>
      <c r="C342">
        <f>IF('Equipment Information'!C342="","", 'Equipment Information'!C342)</f>
        <v/>
      </c>
      <c r="H342">
        <f>IF(A342="","","N/A")</f>
        <v/>
      </c>
    </row>
    <row r="343">
      <c r="A343">
        <f>IF('Equipment Information'!A343="","", 'Equipment Information'!A343)</f>
        <v/>
      </c>
      <c r="B343">
        <f>IF('Equipment Information'!B343="","", 'Equipment Information'!B343)</f>
        <v/>
      </c>
      <c r="C343">
        <f>IF('Equipment Information'!C343="","", 'Equipment Information'!C343)</f>
        <v/>
      </c>
      <c r="H343">
        <f>IF(A343="","","N/A")</f>
        <v/>
      </c>
    </row>
    <row r="344">
      <c r="A344">
        <f>IF('Equipment Information'!A344="","", 'Equipment Information'!A344)</f>
        <v/>
      </c>
      <c r="B344">
        <f>IF('Equipment Information'!B344="","", 'Equipment Information'!B344)</f>
        <v/>
      </c>
      <c r="C344">
        <f>IF('Equipment Information'!C344="","", 'Equipment Information'!C344)</f>
        <v/>
      </c>
      <c r="H344">
        <f>IF(A344="","","N/A")</f>
        <v/>
      </c>
    </row>
    <row r="345">
      <c r="A345">
        <f>IF('Equipment Information'!A345="","", 'Equipment Information'!A345)</f>
        <v/>
      </c>
      <c r="B345">
        <f>IF('Equipment Information'!B345="","", 'Equipment Information'!B345)</f>
        <v/>
      </c>
      <c r="C345">
        <f>IF('Equipment Information'!C345="","", 'Equipment Information'!C345)</f>
        <v/>
      </c>
      <c r="H345">
        <f>IF(A345="","","N/A")</f>
        <v/>
      </c>
    </row>
    <row r="346">
      <c r="A346">
        <f>IF('Equipment Information'!A346="","", 'Equipment Information'!A346)</f>
        <v/>
      </c>
      <c r="B346">
        <f>IF('Equipment Information'!B346="","", 'Equipment Information'!B346)</f>
        <v/>
      </c>
      <c r="C346">
        <f>IF('Equipment Information'!C346="","", 'Equipment Information'!C346)</f>
        <v/>
      </c>
      <c r="H346">
        <f>IF(A346="","","N/A")</f>
        <v/>
      </c>
    </row>
    <row r="347">
      <c r="A347">
        <f>IF('Equipment Information'!A347="","", 'Equipment Information'!A347)</f>
        <v/>
      </c>
      <c r="B347">
        <f>IF('Equipment Information'!B347="","", 'Equipment Information'!B347)</f>
        <v/>
      </c>
      <c r="C347">
        <f>IF('Equipment Information'!C347="","", 'Equipment Information'!C347)</f>
        <v/>
      </c>
      <c r="H347">
        <f>IF(A347="","","N/A")</f>
        <v/>
      </c>
    </row>
    <row r="348">
      <c r="A348">
        <f>IF('Equipment Information'!A348="","", 'Equipment Information'!A348)</f>
        <v/>
      </c>
      <c r="B348">
        <f>IF('Equipment Information'!B348="","", 'Equipment Information'!B348)</f>
        <v/>
      </c>
      <c r="C348">
        <f>IF('Equipment Information'!C348="","", 'Equipment Information'!C348)</f>
        <v/>
      </c>
      <c r="H348">
        <f>IF(A348="","","N/A")</f>
        <v/>
      </c>
    </row>
    <row r="349">
      <c r="A349">
        <f>IF('Equipment Information'!A349="","", 'Equipment Information'!A349)</f>
        <v/>
      </c>
      <c r="B349">
        <f>IF('Equipment Information'!B349="","", 'Equipment Information'!B349)</f>
        <v/>
      </c>
      <c r="C349">
        <f>IF('Equipment Information'!C349="","", 'Equipment Information'!C349)</f>
        <v/>
      </c>
      <c r="H349">
        <f>IF(A349="","","N/A")</f>
        <v/>
      </c>
    </row>
    <row r="350">
      <c r="A350">
        <f>IF('Equipment Information'!A350="","", 'Equipment Information'!A350)</f>
        <v/>
      </c>
      <c r="B350">
        <f>IF('Equipment Information'!B350="","", 'Equipment Information'!B350)</f>
        <v/>
      </c>
      <c r="C350">
        <f>IF('Equipment Information'!C350="","", 'Equipment Information'!C350)</f>
        <v/>
      </c>
      <c r="H350">
        <f>IF(A350="","","N/A")</f>
        <v/>
      </c>
    </row>
    <row r="351">
      <c r="A351">
        <f>IF('Equipment Information'!A351="","", 'Equipment Information'!A351)</f>
        <v/>
      </c>
      <c r="B351">
        <f>IF('Equipment Information'!B351="","", 'Equipment Information'!B351)</f>
        <v/>
      </c>
      <c r="C351">
        <f>IF('Equipment Information'!C351="","", 'Equipment Information'!C351)</f>
        <v/>
      </c>
      <c r="H351">
        <f>IF(A351="","","N/A")</f>
        <v/>
      </c>
    </row>
    <row r="352">
      <c r="A352">
        <f>IF('Equipment Information'!A352="","", 'Equipment Information'!A352)</f>
        <v/>
      </c>
      <c r="B352">
        <f>IF('Equipment Information'!B352="","", 'Equipment Information'!B352)</f>
        <v/>
      </c>
      <c r="C352">
        <f>IF('Equipment Information'!C352="","", 'Equipment Information'!C352)</f>
        <v/>
      </c>
      <c r="H352">
        <f>IF(A352="","","N/A")</f>
        <v/>
      </c>
    </row>
    <row r="353">
      <c r="A353">
        <f>IF('Equipment Information'!A353="","", 'Equipment Information'!A353)</f>
        <v/>
      </c>
      <c r="B353">
        <f>IF('Equipment Information'!B353="","", 'Equipment Information'!B353)</f>
        <v/>
      </c>
      <c r="C353">
        <f>IF('Equipment Information'!C353="","", 'Equipment Information'!C353)</f>
        <v/>
      </c>
      <c r="H353">
        <f>IF(A353="","","N/A")</f>
        <v/>
      </c>
    </row>
    <row r="354">
      <c r="A354">
        <f>IF('Equipment Information'!A354="","", 'Equipment Information'!A354)</f>
        <v/>
      </c>
      <c r="B354">
        <f>IF('Equipment Information'!B354="","", 'Equipment Information'!B354)</f>
        <v/>
      </c>
      <c r="C354">
        <f>IF('Equipment Information'!C354="","", 'Equipment Information'!C354)</f>
        <v/>
      </c>
      <c r="H354">
        <f>IF(A354="","","N/A")</f>
        <v/>
      </c>
    </row>
    <row r="355">
      <c r="A355">
        <f>IF('Equipment Information'!A355="","", 'Equipment Information'!A355)</f>
        <v/>
      </c>
      <c r="B355">
        <f>IF('Equipment Information'!B355="","", 'Equipment Information'!B355)</f>
        <v/>
      </c>
      <c r="C355">
        <f>IF('Equipment Information'!C355="","", 'Equipment Information'!C355)</f>
        <v/>
      </c>
      <c r="H355">
        <f>IF(A355="","","N/A")</f>
        <v/>
      </c>
    </row>
    <row r="356">
      <c r="A356">
        <f>IF('Equipment Information'!A356="","", 'Equipment Information'!A356)</f>
        <v/>
      </c>
      <c r="B356">
        <f>IF('Equipment Information'!B356="","", 'Equipment Information'!B356)</f>
        <v/>
      </c>
      <c r="C356">
        <f>IF('Equipment Information'!C356="","", 'Equipment Information'!C356)</f>
        <v/>
      </c>
      <c r="H356">
        <f>IF(A356="","","N/A")</f>
        <v/>
      </c>
    </row>
    <row r="357">
      <c r="A357">
        <f>IF('Equipment Information'!A357="","", 'Equipment Information'!A357)</f>
        <v/>
      </c>
      <c r="B357">
        <f>IF('Equipment Information'!B357="","", 'Equipment Information'!B357)</f>
        <v/>
      </c>
      <c r="C357">
        <f>IF('Equipment Information'!C357="","", 'Equipment Information'!C357)</f>
        <v/>
      </c>
      <c r="H357">
        <f>IF(A357="","","N/A")</f>
        <v/>
      </c>
    </row>
    <row r="358">
      <c r="A358">
        <f>IF('Equipment Information'!A358="","", 'Equipment Information'!A358)</f>
        <v/>
      </c>
      <c r="B358">
        <f>IF('Equipment Information'!B358="","", 'Equipment Information'!B358)</f>
        <v/>
      </c>
      <c r="C358">
        <f>IF('Equipment Information'!C358="","", 'Equipment Information'!C358)</f>
        <v/>
      </c>
      <c r="H358">
        <f>IF(A358="","","N/A")</f>
        <v/>
      </c>
    </row>
    <row r="359">
      <c r="A359">
        <f>IF('Equipment Information'!A359="","", 'Equipment Information'!A359)</f>
        <v/>
      </c>
      <c r="B359">
        <f>IF('Equipment Information'!B359="","", 'Equipment Information'!B359)</f>
        <v/>
      </c>
      <c r="C359">
        <f>IF('Equipment Information'!C359="","", 'Equipment Information'!C359)</f>
        <v/>
      </c>
      <c r="H359">
        <f>IF(A359="","","N/A")</f>
        <v/>
      </c>
    </row>
    <row r="360">
      <c r="A360">
        <f>IF('Equipment Information'!A360="","", 'Equipment Information'!A360)</f>
        <v/>
      </c>
      <c r="B360">
        <f>IF('Equipment Information'!B360="","", 'Equipment Information'!B360)</f>
        <v/>
      </c>
      <c r="C360">
        <f>IF('Equipment Information'!C360="","", 'Equipment Information'!C360)</f>
        <v/>
      </c>
      <c r="H360">
        <f>IF(A360="","","N/A")</f>
        <v/>
      </c>
    </row>
    <row r="361">
      <c r="A361">
        <f>IF('Equipment Information'!A361="","", 'Equipment Information'!A361)</f>
        <v/>
      </c>
      <c r="B361">
        <f>IF('Equipment Information'!B361="","", 'Equipment Information'!B361)</f>
        <v/>
      </c>
      <c r="C361">
        <f>IF('Equipment Information'!C361="","", 'Equipment Information'!C361)</f>
        <v/>
      </c>
      <c r="H361">
        <f>IF(A361="","","N/A")</f>
        <v/>
      </c>
    </row>
    <row r="362">
      <c r="A362">
        <f>IF('Equipment Information'!A362="","", 'Equipment Information'!A362)</f>
        <v/>
      </c>
      <c r="B362">
        <f>IF('Equipment Information'!B362="","", 'Equipment Information'!B362)</f>
        <v/>
      </c>
      <c r="C362">
        <f>IF('Equipment Information'!C362="","", 'Equipment Information'!C362)</f>
        <v/>
      </c>
      <c r="H362">
        <f>IF(A362="","","N/A")</f>
        <v/>
      </c>
    </row>
    <row r="363">
      <c r="A363">
        <f>IF('Equipment Information'!A363="","", 'Equipment Information'!A363)</f>
        <v/>
      </c>
      <c r="B363">
        <f>IF('Equipment Information'!B363="","", 'Equipment Information'!B363)</f>
        <v/>
      </c>
      <c r="C363">
        <f>IF('Equipment Information'!C363="","", 'Equipment Information'!C363)</f>
        <v/>
      </c>
      <c r="H363">
        <f>IF(A363="","","N/A")</f>
        <v/>
      </c>
    </row>
    <row r="364">
      <c r="A364">
        <f>IF('Equipment Information'!A364="","", 'Equipment Information'!A364)</f>
        <v/>
      </c>
      <c r="B364">
        <f>IF('Equipment Information'!B364="","", 'Equipment Information'!B364)</f>
        <v/>
      </c>
      <c r="C364">
        <f>IF('Equipment Information'!C364="","", 'Equipment Information'!C364)</f>
        <v/>
      </c>
      <c r="H364">
        <f>IF(A364="","","N/A")</f>
        <v/>
      </c>
    </row>
    <row r="365">
      <c r="A365">
        <f>IF('Equipment Information'!A365="","", 'Equipment Information'!A365)</f>
        <v/>
      </c>
      <c r="B365">
        <f>IF('Equipment Information'!B365="","", 'Equipment Information'!B365)</f>
        <v/>
      </c>
      <c r="C365">
        <f>IF('Equipment Information'!C365="","", 'Equipment Information'!C365)</f>
        <v/>
      </c>
      <c r="H365">
        <f>IF(A365="","","N/A")</f>
        <v/>
      </c>
    </row>
    <row r="366">
      <c r="A366">
        <f>IF('Equipment Information'!A366="","", 'Equipment Information'!A366)</f>
        <v/>
      </c>
      <c r="B366">
        <f>IF('Equipment Information'!B366="","", 'Equipment Information'!B366)</f>
        <v/>
      </c>
      <c r="C366">
        <f>IF('Equipment Information'!C366="","", 'Equipment Information'!C366)</f>
        <v/>
      </c>
      <c r="H366">
        <f>IF(A366="","","N/A")</f>
        <v/>
      </c>
    </row>
    <row r="367">
      <c r="A367">
        <f>IF('Equipment Information'!A367="","", 'Equipment Information'!A367)</f>
        <v/>
      </c>
      <c r="B367">
        <f>IF('Equipment Information'!B367="","", 'Equipment Information'!B367)</f>
        <v/>
      </c>
      <c r="C367">
        <f>IF('Equipment Information'!C367="","", 'Equipment Information'!C367)</f>
        <v/>
      </c>
      <c r="H367">
        <f>IF(A367="","","N/A")</f>
        <v/>
      </c>
    </row>
    <row r="368">
      <c r="A368">
        <f>IF('Equipment Information'!A368="","", 'Equipment Information'!A368)</f>
        <v/>
      </c>
      <c r="B368">
        <f>IF('Equipment Information'!B368="","", 'Equipment Information'!B368)</f>
        <v/>
      </c>
      <c r="C368">
        <f>IF('Equipment Information'!C368="","", 'Equipment Information'!C368)</f>
        <v/>
      </c>
      <c r="H368">
        <f>IF(A368="","","N/A")</f>
        <v/>
      </c>
    </row>
    <row r="369">
      <c r="A369">
        <f>IF('Equipment Information'!A369="","", 'Equipment Information'!A369)</f>
        <v/>
      </c>
      <c r="B369">
        <f>IF('Equipment Information'!B369="","", 'Equipment Information'!B369)</f>
        <v/>
      </c>
      <c r="C369">
        <f>IF('Equipment Information'!C369="","", 'Equipment Information'!C369)</f>
        <v/>
      </c>
      <c r="H369">
        <f>IF(A369="","","N/A")</f>
        <v/>
      </c>
    </row>
    <row r="370">
      <c r="A370">
        <f>IF('Equipment Information'!A370="","", 'Equipment Information'!A370)</f>
        <v/>
      </c>
      <c r="B370">
        <f>IF('Equipment Information'!B370="","", 'Equipment Information'!B370)</f>
        <v/>
      </c>
      <c r="C370">
        <f>IF('Equipment Information'!C370="","", 'Equipment Information'!C370)</f>
        <v/>
      </c>
      <c r="H370">
        <f>IF(A370="","","N/A")</f>
        <v/>
      </c>
    </row>
    <row r="371">
      <c r="A371">
        <f>IF('Equipment Information'!A371="","", 'Equipment Information'!A371)</f>
        <v/>
      </c>
      <c r="B371">
        <f>IF('Equipment Information'!B371="","", 'Equipment Information'!B371)</f>
        <v/>
      </c>
      <c r="C371">
        <f>IF('Equipment Information'!C371="","", 'Equipment Information'!C371)</f>
        <v/>
      </c>
      <c r="H371">
        <f>IF(A371="","","N/A")</f>
        <v/>
      </c>
    </row>
    <row r="372">
      <c r="A372">
        <f>IF('Equipment Information'!A372="","", 'Equipment Information'!A372)</f>
        <v/>
      </c>
      <c r="B372">
        <f>IF('Equipment Information'!B372="","", 'Equipment Information'!B372)</f>
        <v/>
      </c>
      <c r="C372">
        <f>IF('Equipment Information'!C372="","", 'Equipment Information'!C372)</f>
        <v/>
      </c>
      <c r="H372">
        <f>IF(A372="","","N/A")</f>
        <v/>
      </c>
    </row>
    <row r="373">
      <c r="A373">
        <f>IF('Equipment Information'!A373="","", 'Equipment Information'!A373)</f>
        <v/>
      </c>
      <c r="B373">
        <f>IF('Equipment Information'!B373="","", 'Equipment Information'!B373)</f>
        <v/>
      </c>
      <c r="C373">
        <f>IF('Equipment Information'!C373="","", 'Equipment Information'!C373)</f>
        <v/>
      </c>
      <c r="H373">
        <f>IF(A373="","","N/A")</f>
        <v/>
      </c>
    </row>
    <row r="374">
      <c r="A374">
        <f>IF('Equipment Information'!A374="","", 'Equipment Information'!A374)</f>
        <v/>
      </c>
      <c r="B374">
        <f>IF('Equipment Information'!B374="","", 'Equipment Information'!B374)</f>
        <v/>
      </c>
      <c r="C374">
        <f>IF('Equipment Information'!C374="","", 'Equipment Information'!C374)</f>
        <v/>
      </c>
      <c r="H374">
        <f>IF(A374="","","N/A")</f>
        <v/>
      </c>
    </row>
    <row r="375">
      <c r="A375">
        <f>IF('Equipment Information'!A375="","", 'Equipment Information'!A375)</f>
        <v/>
      </c>
      <c r="B375">
        <f>IF('Equipment Information'!B375="","", 'Equipment Information'!B375)</f>
        <v/>
      </c>
      <c r="C375">
        <f>IF('Equipment Information'!C375="","", 'Equipment Information'!C375)</f>
        <v/>
      </c>
      <c r="H375">
        <f>IF(A375="","","N/A")</f>
        <v/>
      </c>
    </row>
    <row r="376">
      <c r="A376">
        <f>IF('Equipment Information'!A376="","", 'Equipment Information'!A376)</f>
        <v/>
      </c>
      <c r="B376">
        <f>IF('Equipment Information'!B376="","", 'Equipment Information'!B376)</f>
        <v/>
      </c>
      <c r="C376">
        <f>IF('Equipment Information'!C376="","", 'Equipment Information'!C376)</f>
        <v/>
      </c>
      <c r="H376">
        <f>IF(A376="","","N/A")</f>
        <v/>
      </c>
    </row>
    <row r="377">
      <c r="A377">
        <f>IF('Equipment Information'!A377="","", 'Equipment Information'!A377)</f>
        <v/>
      </c>
      <c r="B377">
        <f>IF('Equipment Information'!B377="","", 'Equipment Information'!B377)</f>
        <v/>
      </c>
      <c r="C377">
        <f>IF('Equipment Information'!C377="","", 'Equipment Information'!C377)</f>
        <v/>
      </c>
      <c r="H377">
        <f>IF(A377="","","N/A")</f>
        <v/>
      </c>
    </row>
    <row r="378">
      <c r="A378">
        <f>IF('Equipment Information'!A378="","", 'Equipment Information'!A378)</f>
        <v/>
      </c>
      <c r="B378">
        <f>IF('Equipment Information'!B378="","", 'Equipment Information'!B378)</f>
        <v/>
      </c>
      <c r="C378">
        <f>IF('Equipment Information'!C378="","", 'Equipment Information'!C378)</f>
        <v/>
      </c>
      <c r="H378">
        <f>IF(A378="","","N/A")</f>
        <v/>
      </c>
    </row>
    <row r="379">
      <c r="A379">
        <f>IF('Equipment Information'!A379="","", 'Equipment Information'!A379)</f>
        <v/>
      </c>
      <c r="B379">
        <f>IF('Equipment Information'!B379="","", 'Equipment Information'!B379)</f>
        <v/>
      </c>
      <c r="C379">
        <f>IF('Equipment Information'!C379="","", 'Equipment Information'!C379)</f>
        <v/>
      </c>
      <c r="H379">
        <f>IF(A379="","","N/A")</f>
        <v/>
      </c>
    </row>
    <row r="380">
      <c r="A380">
        <f>IF('Equipment Information'!A380="","", 'Equipment Information'!A380)</f>
        <v/>
      </c>
      <c r="B380">
        <f>IF('Equipment Information'!B380="","", 'Equipment Information'!B380)</f>
        <v/>
      </c>
      <c r="C380">
        <f>IF('Equipment Information'!C380="","", 'Equipment Information'!C380)</f>
        <v/>
      </c>
      <c r="H380">
        <f>IF(A380="","","N/A")</f>
        <v/>
      </c>
    </row>
    <row r="381">
      <c r="A381">
        <f>IF('Equipment Information'!A381="","", 'Equipment Information'!A381)</f>
        <v/>
      </c>
      <c r="B381">
        <f>IF('Equipment Information'!B381="","", 'Equipment Information'!B381)</f>
        <v/>
      </c>
      <c r="C381">
        <f>IF('Equipment Information'!C381="","", 'Equipment Information'!C381)</f>
        <v/>
      </c>
      <c r="H381">
        <f>IF(A381="","","N/A")</f>
        <v/>
      </c>
    </row>
    <row r="382">
      <c r="A382">
        <f>IF('Equipment Information'!A382="","", 'Equipment Information'!A382)</f>
        <v/>
      </c>
      <c r="B382">
        <f>IF('Equipment Information'!B382="","", 'Equipment Information'!B382)</f>
        <v/>
      </c>
      <c r="C382">
        <f>IF('Equipment Information'!C382="","", 'Equipment Information'!C382)</f>
        <v/>
      </c>
      <c r="H382">
        <f>IF(A382="","","N/A")</f>
        <v/>
      </c>
    </row>
    <row r="383">
      <c r="A383">
        <f>IF('Equipment Information'!A383="","", 'Equipment Information'!A383)</f>
        <v/>
      </c>
      <c r="B383">
        <f>IF('Equipment Information'!B383="","", 'Equipment Information'!B383)</f>
        <v/>
      </c>
      <c r="C383">
        <f>IF('Equipment Information'!C383="","", 'Equipment Information'!C383)</f>
        <v/>
      </c>
      <c r="H383">
        <f>IF(A383="","","N/A")</f>
        <v/>
      </c>
    </row>
    <row r="384">
      <c r="A384">
        <f>IF('Equipment Information'!A384="","", 'Equipment Information'!A384)</f>
        <v/>
      </c>
      <c r="B384">
        <f>IF('Equipment Information'!B384="","", 'Equipment Information'!B384)</f>
        <v/>
      </c>
      <c r="C384">
        <f>IF('Equipment Information'!C384="","", 'Equipment Information'!C384)</f>
        <v/>
      </c>
      <c r="H384">
        <f>IF(A384="","","N/A")</f>
        <v/>
      </c>
    </row>
    <row r="385">
      <c r="A385">
        <f>IF('Equipment Information'!A385="","", 'Equipment Information'!A385)</f>
        <v/>
      </c>
      <c r="B385">
        <f>IF('Equipment Information'!B385="","", 'Equipment Information'!B385)</f>
        <v/>
      </c>
      <c r="C385">
        <f>IF('Equipment Information'!C385="","", 'Equipment Information'!C385)</f>
        <v/>
      </c>
      <c r="H385">
        <f>IF(A385="","","N/A")</f>
        <v/>
      </c>
    </row>
    <row r="386">
      <c r="A386">
        <f>IF('Equipment Information'!A386="","", 'Equipment Information'!A386)</f>
        <v/>
      </c>
      <c r="B386">
        <f>IF('Equipment Information'!B386="","", 'Equipment Information'!B386)</f>
        <v/>
      </c>
      <c r="C386">
        <f>IF('Equipment Information'!C386="","", 'Equipment Information'!C386)</f>
        <v/>
      </c>
      <c r="H386">
        <f>IF(A386="","","N/A")</f>
        <v/>
      </c>
    </row>
    <row r="387">
      <c r="A387">
        <f>IF('Equipment Information'!A387="","", 'Equipment Information'!A387)</f>
        <v/>
      </c>
      <c r="B387">
        <f>IF('Equipment Information'!B387="","", 'Equipment Information'!B387)</f>
        <v/>
      </c>
      <c r="C387">
        <f>IF('Equipment Information'!C387="","", 'Equipment Information'!C387)</f>
        <v/>
      </c>
      <c r="H387">
        <f>IF(A387="","","N/A")</f>
        <v/>
      </c>
    </row>
    <row r="388">
      <c r="A388">
        <f>IF('Equipment Information'!A388="","", 'Equipment Information'!A388)</f>
        <v/>
      </c>
      <c r="B388">
        <f>IF('Equipment Information'!B388="","", 'Equipment Information'!B388)</f>
        <v/>
      </c>
      <c r="C388">
        <f>IF('Equipment Information'!C388="","", 'Equipment Information'!C388)</f>
        <v/>
      </c>
      <c r="H388">
        <f>IF(A388="","","N/A")</f>
        <v/>
      </c>
    </row>
    <row r="389">
      <c r="A389">
        <f>IF('Equipment Information'!A389="","", 'Equipment Information'!A389)</f>
        <v/>
      </c>
      <c r="B389">
        <f>IF('Equipment Information'!B389="","", 'Equipment Information'!B389)</f>
        <v/>
      </c>
      <c r="C389">
        <f>IF('Equipment Information'!C389="","", 'Equipment Information'!C389)</f>
        <v/>
      </c>
      <c r="H389">
        <f>IF(A389="","","N/A")</f>
        <v/>
      </c>
    </row>
    <row r="390">
      <c r="A390">
        <f>IF('Equipment Information'!A390="","", 'Equipment Information'!A390)</f>
        <v/>
      </c>
      <c r="B390">
        <f>IF('Equipment Information'!B390="","", 'Equipment Information'!B390)</f>
        <v/>
      </c>
      <c r="C390">
        <f>IF('Equipment Information'!C390="","", 'Equipment Information'!C390)</f>
        <v/>
      </c>
      <c r="H390">
        <f>IF(A390="","","N/A")</f>
        <v/>
      </c>
    </row>
    <row r="391">
      <c r="A391">
        <f>IF('Equipment Information'!A391="","", 'Equipment Information'!A391)</f>
        <v/>
      </c>
      <c r="B391">
        <f>IF('Equipment Information'!B391="","", 'Equipment Information'!B391)</f>
        <v/>
      </c>
      <c r="C391">
        <f>IF('Equipment Information'!C391="","", 'Equipment Information'!C391)</f>
        <v/>
      </c>
      <c r="H391">
        <f>IF(A391="","","N/A")</f>
        <v/>
      </c>
    </row>
    <row r="392">
      <c r="A392">
        <f>IF('Equipment Information'!A392="","", 'Equipment Information'!A392)</f>
        <v/>
      </c>
      <c r="B392">
        <f>IF('Equipment Information'!B392="","", 'Equipment Information'!B392)</f>
        <v/>
      </c>
      <c r="C392">
        <f>IF('Equipment Information'!C392="","", 'Equipment Information'!C392)</f>
        <v/>
      </c>
      <c r="H392">
        <f>IF(A392="","","N/A")</f>
        <v/>
      </c>
    </row>
    <row r="393">
      <c r="A393">
        <f>IF('Equipment Information'!A393="","", 'Equipment Information'!A393)</f>
        <v/>
      </c>
      <c r="B393">
        <f>IF('Equipment Information'!B393="","", 'Equipment Information'!B393)</f>
        <v/>
      </c>
      <c r="C393">
        <f>IF('Equipment Information'!C393="","", 'Equipment Information'!C393)</f>
        <v/>
      </c>
      <c r="H393">
        <f>IF(A393="","","N/A")</f>
        <v/>
      </c>
    </row>
    <row r="394">
      <c r="A394">
        <f>IF('Equipment Information'!A394="","", 'Equipment Information'!A394)</f>
        <v/>
      </c>
      <c r="B394">
        <f>IF('Equipment Information'!B394="","", 'Equipment Information'!B394)</f>
        <v/>
      </c>
      <c r="C394">
        <f>IF('Equipment Information'!C394="","", 'Equipment Information'!C394)</f>
        <v/>
      </c>
      <c r="H394">
        <f>IF(A394="","","N/A")</f>
        <v/>
      </c>
    </row>
    <row r="395">
      <c r="A395">
        <f>IF('Equipment Information'!A395="","", 'Equipment Information'!A395)</f>
        <v/>
      </c>
      <c r="B395">
        <f>IF('Equipment Information'!B395="","", 'Equipment Information'!B395)</f>
        <v/>
      </c>
      <c r="C395">
        <f>IF('Equipment Information'!C395="","", 'Equipment Information'!C395)</f>
        <v/>
      </c>
      <c r="H395">
        <f>IF(A395="","","N/A")</f>
        <v/>
      </c>
    </row>
    <row r="396">
      <c r="A396">
        <f>IF('Equipment Information'!A396="","", 'Equipment Information'!A396)</f>
        <v/>
      </c>
      <c r="B396">
        <f>IF('Equipment Information'!B396="","", 'Equipment Information'!B396)</f>
        <v/>
      </c>
      <c r="C396">
        <f>IF('Equipment Information'!C396="","", 'Equipment Information'!C396)</f>
        <v/>
      </c>
      <c r="H396">
        <f>IF(A396="","","N/A")</f>
        <v/>
      </c>
    </row>
    <row r="397">
      <c r="A397">
        <f>IF('Equipment Information'!A397="","", 'Equipment Information'!A397)</f>
        <v/>
      </c>
      <c r="B397">
        <f>IF('Equipment Information'!B397="","", 'Equipment Information'!B397)</f>
        <v/>
      </c>
      <c r="C397">
        <f>IF('Equipment Information'!C397="","", 'Equipment Information'!C397)</f>
        <v/>
      </c>
      <c r="H397">
        <f>IF(A397="","","N/A")</f>
        <v/>
      </c>
    </row>
    <row r="398">
      <c r="A398">
        <f>IF('Equipment Information'!A398="","", 'Equipment Information'!A398)</f>
        <v/>
      </c>
      <c r="B398">
        <f>IF('Equipment Information'!B398="","", 'Equipment Information'!B398)</f>
        <v/>
      </c>
      <c r="C398">
        <f>IF('Equipment Information'!C398="","", 'Equipment Information'!C398)</f>
        <v/>
      </c>
      <c r="H398">
        <f>IF(A398="","","N/A")</f>
        <v/>
      </c>
    </row>
    <row r="399">
      <c r="A399">
        <f>IF('Equipment Information'!A399="","", 'Equipment Information'!A399)</f>
        <v/>
      </c>
      <c r="B399">
        <f>IF('Equipment Information'!B399="","", 'Equipment Information'!B399)</f>
        <v/>
      </c>
      <c r="C399">
        <f>IF('Equipment Information'!C399="","", 'Equipment Information'!C399)</f>
        <v/>
      </c>
      <c r="H399">
        <f>IF(A399="","","N/A")</f>
        <v/>
      </c>
    </row>
    <row r="400">
      <c r="A400">
        <f>IF('Equipment Information'!A400="","", 'Equipment Information'!A400)</f>
        <v/>
      </c>
      <c r="B400">
        <f>IF('Equipment Information'!B400="","", 'Equipment Information'!B400)</f>
        <v/>
      </c>
      <c r="C400">
        <f>IF('Equipment Information'!C400="","", 'Equipment Information'!C400)</f>
        <v/>
      </c>
      <c r="H400">
        <f>IF(A400="","","N/A")</f>
        <v/>
      </c>
    </row>
    <row r="401">
      <c r="A401">
        <f>IF('Equipment Information'!A401="","", 'Equipment Information'!A401)</f>
        <v/>
      </c>
      <c r="B401">
        <f>IF('Equipment Information'!B401="","", 'Equipment Information'!B401)</f>
        <v/>
      </c>
      <c r="C401">
        <f>IF('Equipment Information'!C401="","", 'Equipment Information'!C401)</f>
        <v/>
      </c>
      <c r="H401">
        <f>IF(A401="","","N/A")</f>
        <v/>
      </c>
    </row>
    <row r="402">
      <c r="A402">
        <f>IF('Equipment Information'!A402="","", 'Equipment Information'!A402)</f>
        <v/>
      </c>
      <c r="B402">
        <f>IF('Equipment Information'!B402="","", 'Equipment Information'!B402)</f>
        <v/>
      </c>
      <c r="C402">
        <f>IF('Equipment Information'!C402="","", 'Equipment Information'!C402)</f>
        <v/>
      </c>
      <c r="H402">
        <f>IF(A402="","","N/A")</f>
        <v/>
      </c>
    </row>
    <row r="403">
      <c r="A403">
        <f>IF('Equipment Information'!A403="","", 'Equipment Information'!A403)</f>
        <v/>
      </c>
      <c r="B403">
        <f>IF('Equipment Information'!B403="","", 'Equipment Information'!B403)</f>
        <v/>
      </c>
      <c r="C403">
        <f>IF('Equipment Information'!C403="","", 'Equipment Information'!C403)</f>
        <v/>
      </c>
      <c r="H403">
        <f>IF(A403="","","N/A")</f>
        <v/>
      </c>
    </row>
    <row r="404">
      <c r="A404">
        <f>IF('Equipment Information'!A404="","", 'Equipment Information'!A404)</f>
        <v/>
      </c>
      <c r="B404">
        <f>IF('Equipment Information'!B404="","", 'Equipment Information'!B404)</f>
        <v/>
      </c>
      <c r="C404">
        <f>IF('Equipment Information'!C404="","", 'Equipment Information'!C404)</f>
        <v/>
      </c>
      <c r="H404">
        <f>IF(A404="","","N/A")</f>
        <v/>
      </c>
    </row>
    <row r="405">
      <c r="A405">
        <f>IF('Equipment Information'!A405="","", 'Equipment Information'!A405)</f>
        <v/>
      </c>
      <c r="B405">
        <f>IF('Equipment Information'!B405="","", 'Equipment Information'!B405)</f>
        <v/>
      </c>
      <c r="C405">
        <f>IF('Equipment Information'!C405="","", 'Equipment Information'!C405)</f>
        <v/>
      </c>
      <c r="H405">
        <f>IF(A405="","","N/A")</f>
        <v/>
      </c>
    </row>
    <row r="406">
      <c r="A406">
        <f>IF('Equipment Information'!A406="","", 'Equipment Information'!A406)</f>
        <v/>
      </c>
      <c r="B406">
        <f>IF('Equipment Information'!B406="","", 'Equipment Information'!B406)</f>
        <v/>
      </c>
      <c r="C406">
        <f>IF('Equipment Information'!C406="","", 'Equipment Information'!C406)</f>
        <v/>
      </c>
      <c r="H406">
        <f>IF(A406="","","N/A")</f>
        <v/>
      </c>
    </row>
    <row r="407">
      <c r="A407">
        <f>IF('Equipment Information'!A407="","", 'Equipment Information'!A407)</f>
        <v/>
      </c>
      <c r="B407">
        <f>IF('Equipment Information'!B407="","", 'Equipment Information'!B407)</f>
        <v/>
      </c>
      <c r="C407">
        <f>IF('Equipment Information'!C407="","", 'Equipment Information'!C407)</f>
        <v/>
      </c>
      <c r="H407">
        <f>IF(A407="","","N/A")</f>
        <v/>
      </c>
    </row>
    <row r="408">
      <c r="A408">
        <f>IF('Equipment Information'!A408="","", 'Equipment Information'!A408)</f>
        <v/>
      </c>
      <c r="B408">
        <f>IF('Equipment Information'!B408="","", 'Equipment Information'!B408)</f>
        <v/>
      </c>
      <c r="C408">
        <f>IF('Equipment Information'!C408="","", 'Equipment Information'!C408)</f>
        <v/>
      </c>
      <c r="H408">
        <f>IF(A408="","","N/A")</f>
        <v/>
      </c>
    </row>
    <row r="409">
      <c r="A409">
        <f>IF('Equipment Information'!A409="","", 'Equipment Information'!A409)</f>
        <v/>
      </c>
      <c r="B409">
        <f>IF('Equipment Information'!B409="","", 'Equipment Information'!B409)</f>
        <v/>
      </c>
      <c r="C409">
        <f>IF('Equipment Information'!C409="","", 'Equipment Information'!C409)</f>
        <v/>
      </c>
      <c r="H409">
        <f>IF(A409="","","N/A")</f>
        <v/>
      </c>
    </row>
    <row r="410">
      <c r="A410">
        <f>IF('Equipment Information'!A410="","", 'Equipment Information'!A410)</f>
        <v/>
      </c>
      <c r="B410">
        <f>IF('Equipment Information'!B410="","", 'Equipment Information'!B410)</f>
        <v/>
      </c>
      <c r="C410">
        <f>IF('Equipment Information'!C410="","", 'Equipment Information'!C410)</f>
        <v/>
      </c>
      <c r="H410">
        <f>IF(A410="","","N/A")</f>
        <v/>
      </c>
    </row>
    <row r="411">
      <c r="A411">
        <f>IF('Equipment Information'!A411="","", 'Equipment Information'!A411)</f>
        <v/>
      </c>
      <c r="B411">
        <f>IF('Equipment Information'!B411="","", 'Equipment Information'!B411)</f>
        <v/>
      </c>
      <c r="C411">
        <f>IF('Equipment Information'!C411="","", 'Equipment Information'!C411)</f>
        <v/>
      </c>
      <c r="H411">
        <f>IF(A411="","","N/A")</f>
        <v/>
      </c>
    </row>
    <row r="412">
      <c r="A412">
        <f>IF('Equipment Information'!A412="","", 'Equipment Information'!A412)</f>
        <v/>
      </c>
      <c r="B412">
        <f>IF('Equipment Information'!B412="","", 'Equipment Information'!B412)</f>
        <v/>
      </c>
      <c r="C412">
        <f>IF('Equipment Information'!C412="","", 'Equipment Information'!C412)</f>
        <v/>
      </c>
      <c r="H412">
        <f>IF(A412="","","N/A")</f>
        <v/>
      </c>
    </row>
    <row r="413">
      <c r="A413">
        <f>IF('Equipment Information'!A413="","", 'Equipment Information'!A413)</f>
        <v/>
      </c>
      <c r="B413">
        <f>IF('Equipment Information'!B413="","", 'Equipment Information'!B413)</f>
        <v/>
      </c>
      <c r="C413">
        <f>IF('Equipment Information'!C413="","", 'Equipment Information'!C413)</f>
        <v/>
      </c>
      <c r="H413">
        <f>IF(A413="","","N/A")</f>
        <v/>
      </c>
    </row>
    <row r="414">
      <c r="A414">
        <f>IF('Equipment Information'!A414="","", 'Equipment Information'!A414)</f>
        <v/>
      </c>
      <c r="B414">
        <f>IF('Equipment Information'!B414="","", 'Equipment Information'!B414)</f>
        <v/>
      </c>
      <c r="C414">
        <f>IF('Equipment Information'!C414="","", 'Equipment Information'!C414)</f>
        <v/>
      </c>
      <c r="H414">
        <f>IF(A414="","","N/A")</f>
        <v/>
      </c>
    </row>
    <row r="415">
      <c r="A415">
        <f>IF('Equipment Information'!A415="","", 'Equipment Information'!A415)</f>
        <v/>
      </c>
      <c r="B415">
        <f>IF('Equipment Information'!B415="","", 'Equipment Information'!B415)</f>
        <v/>
      </c>
      <c r="C415">
        <f>IF('Equipment Information'!C415="","", 'Equipment Information'!C415)</f>
        <v/>
      </c>
      <c r="H415">
        <f>IF(A415="","","N/A")</f>
        <v/>
      </c>
    </row>
    <row r="416">
      <c r="A416">
        <f>IF('Equipment Information'!A416="","", 'Equipment Information'!A416)</f>
        <v/>
      </c>
      <c r="B416">
        <f>IF('Equipment Information'!B416="","", 'Equipment Information'!B416)</f>
        <v/>
      </c>
      <c r="C416">
        <f>IF('Equipment Information'!C416="","", 'Equipment Information'!C416)</f>
        <v/>
      </c>
      <c r="H416">
        <f>IF(A416="","","N/A")</f>
        <v/>
      </c>
    </row>
    <row r="417">
      <c r="A417">
        <f>IF('Equipment Information'!A417="","", 'Equipment Information'!A417)</f>
        <v/>
      </c>
      <c r="B417">
        <f>IF('Equipment Information'!B417="","", 'Equipment Information'!B417)</f>
        <v/>
      </c>
      <c r="C417">
        <f>IF('Equipment Information'!C417="","", 'Equipment Information'!C417)</f>
        <v/>
      </c>
      <c r="H417">
        <f>IF(A417="","","N/A")</f>
        <v/>
      </c>
    </row>
    <row r="418">
      <c r="A418">
        <f>IF('Equipment Information'!A418="","", 'Equipment Information'!A418)</f>
        <v/>
      </c>
      <c r="B418">
        <f>IF('Equipment Information'!B418="","", 'Equipment Information'!B418)</f>
        <v/>
      </c>
      <c r="C418">
        <f>IF('Equipment Information'!C418="","", 'Equipment Information'!C418)</f>
        <v/>
      </c>
      <c r="H418">
        <f>IF(A418="","","N/A")</f>
        <v/>
      </c>
    </row>
    <row r="419">
      <c r="A419">
        <f>IF('Equipment Information'!A419="","", 'Equipment Information'!A419)</f>
        <v/>
      </c>
      <c r="B419">
        <f>IF('Equipment Information'!B419="","", 'Equipment Information'!B419)</f>
        <v/>
      </c>
      <c r="C419">
        <f>IF('Equipment Information'!C419="","", 'Equipment Information'!C419)</f>
        <v/>
      </c>
      <c r="H419">
        <f>IF(A419="","","N/A")</f>
        <v/>
      </c>
    </row>
    <row r="420">
      <c r="A420">
        <f>IF('Equipment Information'!A420="","", 'Equipment Information'!A420)</f>
        <v/>
      </c>
      <c r="B420">
        <f>IF('Equipment Information'!B420="","", 'Equipment Information'!B420)</f>
        <v/>
      </c>
      <c r="C420">
        <f>IF('Equipment Information'!C420="","", 'Equipment Information'!C420)</f>
        <v/>
      </c>
      <c r="H420">
        <f>IF(A420="","","N/A")</f>
        <v/>
      </c>
    </row>
    <row r="421">
      <c r="A421">
        <f>IF('Equipment Information'!A421="","", 'Equipment Information'!A421)</f>
        <v/>
      </c>
      <c r="B421">
        <f>IF('Equipment Information'!B421="","", 'Equipment Information'!B421)</f>
        <v/>
      </c>
      <c r="C421">
        <f>IF('Equipment Information'!C421="","", 'Equipment Information'!C421)</f>
        <v/>
      </c>
      <c r="H421">
        <f>IF(A421="","","N/A")</f>
        <v/>
      </c>
    </row>
    <row r="422">
      <c r="A422">
        <f>IF('Equipment Information'!A422="","", 'Equipment Information'!A422)</f>
        <v/>
      </c>
      <c r="B422">
        <f>IF('Equipment Information'!B422="","", 'Equipment Information'!B422)</f>
        <v/>
      </c>
      <c r="C422">
        <f>IF('Equipment Information'!C422="","", 'Equipment Information'!C422)</f>
        <v/>
      </c>
      <c r="H422">
        <f>IF(A422="","","N/A")</f>
        <v/>
      </c>
    </row>
    <row r="423">
      <c r="A423">
        <f>IF('Equipment Information'!A423="","", 'Equipment Information'!A423)</f>
        <v/>
      </c>
      <c r="B423">
        <f>IF('Equipment Information'!B423="","", 'Equipment Information'!B423)</f>
        <v/>
      </c>
      <c r="C423">
        <f>IF('Equipment Information'!C423="","", 'Equipment Information'!C423)</f>
        <v/>
      </c>
      <c r="H423">
        <f>IF(A423="","","N/A")</f>
        <v/>
      </c>
    </row>
    <row r="424">
      <c r="A424">
        <f>IF('Equipment Information'!A424="","", 'Equipment Information'!A424)</f>
        <v/>
      </c>
      <c r="B424">
        <f>IF('Equipment Information'!B424="","", 'Equipment Information'!B424)</f>
        <v/>
      </c>
      <c r="C424">
        <f>IF('Equipment Information'!C424="","", 'Equipment Information'!C424)</f>
        <v/>
      </c>
      <c r="H424">
        <f>IF(A424="","","N/A")</f>
        <v/>
      </c>
    </row>
    <row r="425">
      <c r="A425">
        <f>IF('Equipment Information'!A425="","", 'Equipment Information'!A425)</f>
        <v/>
      </c>
      <c r="B425">
        <f>IF('Equipment Information'!B425="","", 'Equipment Information'!B425)</f>
        <v/>
      </c>
      <c r="C425">
        <f>IF('Equipment Information'!C425="","", 'Equipment Information'!C425)</f>
        <v/>
      </c>
      <c r="H425">
        <f>IF(A425="","","N/A")</f>
        <v/>
      </c>
    </row>
    <row r="426">
      <c r="A426">
        <f>IF('Equipment Information'!A426="","", 'Equipment Information'!A426)</f>
        <v/>
      </c>
      <c r="B426">
        <f>IF('Equipment Information'!B426="","", 'Equipment Information'!B426)</f>
        <v/>
      </c>
      <c r="C426">
        <f>IF('Equipment Information'!C426="","", 'Equipment Information'!C426)</f>
        <v/>
      </c>
      <c r="H426">
        <f>IF(A426="","","N/A")</f>
        <v/>
      </c>
    </row>
    <row r="427">
      <c r="A427">
        <f>IF('Equipment Information'!A427="","", 'Equipment Information'!A427)</f>
        <v/>
      </c>
      <c r="B427">
        <f>IF('Equipment Information'!B427="","", 'Equipment Information'!B427)</f>
        <v/>
      </c>
      <c r="C427">
        <f>IF('Equipment Information'!C427="","", 'Equipment Information'!C427)</f>
        <v/>
      </c>
      <c r="H427">
        <f>IF(A427="","","N/A")</f>
        <v/>
      </c>
    </row>
    <row r="428">
      <c r="A428">
        <f>IF('Equipment Information'!A428="","", 'Equipment Information'!A428)</f>
        <v/>
      </c>
      <c r="B428">
        <f>IF('Equipment Information'!B428="","", 'Equipment Information'!B428)</f>
        <v/>
      </c>
      <c r="C428">
        <f>IF('Equipment Information'!C428="","", 'Equipment Information'!C428)</f>
        <v/>
      </c>
      <c r="H428">
        <f>IF(A428="","","N/A")</f>
        <v/>
      </c>
    </row>
    <row r="429">
      <c r="A429">
        <f>IF('Equipment Information'!A429="","", 'Equipment Information'!A429)</f>
        <v/>
      </c>
      <c r="B429">
        <f>IF('Equipment Information'!B429="","", 'Equipment Information'!B429)</f>
        <v/>
      </c>
      <c r="C429">
        <f>IF('Equipment Information'!C429="","", 'Equipment Information'!C429)</f>
        <v/>
      </c>
      <c r="H429">
        <f>IF(A429="","","N/A")</f>
        <v/>
      </c>
    </row>
    <row r="430">
      <c r="A430">
        <f>IF('Equipment Information'!A430="","", 'Equipment Information'!A430)</f>
        <v/>
      </c>
      <c r="B430">
        <f>IF('Equipment Information'!B430="","", 'Equipment Information'!B430)</f>
        <v/>
      </c>
      <c r="C430">
        <f>IF('Equipment Information'!C430="","", 'Equipment Information'!C430)</f>
        <v/>
      </c>
      <c r="H430">
        <f>IF(A430="","","N/A")</f>
        <v/>
      </c>
    </row>
    <row r="431">
      <c r="A431">
        <f>IF('Equipment Information'!A431="","", 'Equipment Information'!A431)</f>
        <v/>
      </c>
      <c r="B431">
        <f>IF('Equipment Information'!B431="","", 'Equipment Information'!B431)</f>
        <v/>
      </c>
      <c r="C431">
        <f>IF('Equipment Information'!C431="","", 'Equipment Information'!C431)</f>
        <v/>
      </c>
      <c r="H431">
        <f>IF(A431="","","N/A")</f>
        <v/>
      </c>
    </row>
    <row r="432">
      <c r="A432">
        <f>IF('Equipment Information'!A432="","", 'Equipment Information'!A432)</f>
        <v/>
      </c>
      <c r="B432">
        <f>IF('Equipment Information'!B432="","", 'Equipment Information'!B432)</f>
        <v/>
      </c>
      <c r="C432">
        <f>IF('Equipment Information'!C432="","", 'Equipment Information'!C432)</f>
        <v/>
      </c>
      <c r="H432">
        <f>IF(A432="","","N/A")</f>
        <v/>
      </c>
    </row>
    <row r="433">
      <c r="A433">
        <f>IF('Equipment Information'!A433="","", 'Equipment Information'!A433)</f>
        <v/>
      </c>
      <c r="B433">
        <f>IF('Equipment Information'!B433="","", 'Equipment Information'!B433)</f>
        <v/>
      </c>
      <c r="C433">
        <f>IF('Equipment Information'!C433="","", 'Equipment Information'!C433)</f>
        <v/>
      </c>
      <c r="H433">
        <f>IF(A433="","","N/A")</f>
        <v/>
      </c>
    </row>
    <row r="434">
      <c r="A434">
        <f>IF('Equipment Information'!A434="","", 'Equipment Information'!A434)</f>
        <v/>
      </c>
      <c r="B434">
        <f>IF('Equipment Information'!B434="","", 'Equipment Information'!B434)</f>
        <v/>
      </c>
      <c r="C434">
        <f>IF('Equipment Information'!C434="","", 'Equipment Information'!C434)</f>
        <v/>
      </c>
      <c r="H434">
        <f>IF(A434="","","N/A")</f>
        <v/>
      </c>
    </row>
    <row r="435">
      <c r="A435">
        <f>IF('Equipment Information'!A435="","", 'Equipment Information'!A435)</f>
        <v/>
      </c>
      <c r="B435">
        <f>IF('Equipment Information'!B435="","", 'Equipment Information'!B435)</f>
        <v/>
      </c>
      <c r="C435">
        <f>IF('Equipment Information'!C435="","", 'Equipment Information'!C435)</f>
        <v/>
      </c>
      <c r="H435">
        <f>IF(A435="","","N/A")</f>
        <v/>
      </c>
    </row>
    <row r="436">
      <c r="A436">
        <f>IF('Equipment Information'!A436="","", 'Equipment Information'!A436)</f>
        <v/>
      </c>
      <c r="B436">
        <f>IF('Equipment Information'!B436="","", 'Equipment Information'!B436)</f>
        <v/>
      </c>
      <c r="C436">
        <f>IF('Equipment Information'!C436="","", 'Equipment Information'!C436)</f>
        <v/>
      </c>
      <c r="H436">
        <f>IF(A436="","","N/A")</f>
        <v/>
      </c>
    </row>
    <row r="437">
      <c r="A437">
        <f>IF('Equipment Information'!A437="","", 'Equipment Information'!A437)</f>
        <v/>
      </c>
      <c r="B437">
        <f>IF('Equipment Information'!B437="","", 'Equipment Information'!B437)</f>
        <v/>
      </c>
      <c r="C437">
        <f>IF('Equipment Information'!C437="","", 'Equipment Information'!C437)</f>
        <v/>
      </c>
      <c r="H437">
        <f>IF(A437="","","N/A")</f>
        <v/>
      </c>
    </row>
    <row r="438">
      <c r="A438">
        <f>IF('Equipment Information'!A438="","", 'Equipment Information'!A438)</f>
        <v/>
      </c>
      <c r="B438">
        <f>IF('Equipment Information'!B438="","", 'Equipment Information'!B438)</f>
        <v/>
      </c>
      <c r="C438">
        <f>IF('Equipment Information'!C438="","", 'Equipment Information'!C438)</f>
        <v/>
      </c>
      <c r="H438">
        <f>IF(A438="","","N/A")</f>
        <v/>
      </c>
    </row>
    <row r="439">
      <c r="A439">
        <f>IF('Equipment Information'!A439="","", 'Equipment Information'!A439)</f>
        <v/>
      </c>
      <c r="B439">
        <f>IF('Equipment Information'!B439="","", 'Equipment Information'!B439)</f>
        <v/>
      </c>
      <c r="C439">
        <f>IF('Equipment Information'!C439="","", 'Equipment Information'!C439)</f>
        <v/>
      </c>
      <c r="H439">
        <f>IF(A439="","","N/A")</f>
        <v/>
      </c>
    </row>
    <row r="440">
      <c r="A440">
        <f>IF('Equipment Information'!A440="","", 'Equipment Information'!A440)</f>
        <v/>
      </c>
      <c r="B440">
        <f>IF('Equipment Information'!B440="","", 'Equipment Information'!B440)</f>
        <v/>
      </c>
      <c r="C440">
        <f>IF('Equipment Information'!C440="","", 'Equipment Information'!C440)</f>
        <v/>
      </c>
      <c r="H440">
        <f>IF(A440="","","N/A")</f>
        <v/>
      </c>
    </row>
    <row r="441">
      <c r="A441">
        <f>IF('Equipment Information'!A441="","", 'Equipment Information'!A441)</f>
        <v/>
      </c>
      <c r="B441">
        <f>IF('Equipment Information'!B441="","", 'Equipment Information'!B441)</f>
        <v/>
      </c>
      <c r="C441">
        <f>IF('Equipment Information'!C441="","", 'Equipment Information'!C441)</f>
        <v/>
      </c>
      <c r="H441">
        <f>IF(A441="","","N/A")</f>
        <v/>
      </c>
    </row>
    <row r="442">
      <c r="A442">
        <f>IF('Equipment Information'!A442="","", 'Equipment Information'!A442)</f>
        <v/>
      </c>
      <c r="B442">
        <f>IF('Equipment Information'!B442="","", 'Equipment Information'!B442)</f>
        <v/>
      </c>
      <c r="C442">
        <f>IF('Equipment Information'!C442="","", 'Equipment Information'!C442)</f>
        <v/>
      </c>
      <c r="H442">
        <f>IF(A442="","","N/A")</f>
        <v/>
      </c>
    </row>
    <row r="443">
      <c r="A443">
        <f>IF('Equipment Information'!A443="","", 'Equipment Information'!A443)</f>
        <v/>
      </c>
      <c r="B443">
        <f>IF('Equipment Information'!B443="","", 'Equipment Information'!B443)</f>
        <v/>
      </c>
      <c r="C443">
        <f>IF('Equipment Information'!C443="","", 'Equipment Information'!C443)</f>
        <v/>
      </c>
      <c r="H443">
        <f>IF(A443="","","N/A")</f>
        <v/>
      </c>
    </row>
    <row r="444">
      <c r="A444">
        <f>IF('Equipment Information'!A444="","", 'Equipment Information'!A444)</f>
        <v/>
      </c>
      <c r="B444">
        <f>IF('Equipment Information'!B444="","", 'Equipment Information'!B444)</f>
        <v/>
      </c>
      <c r="C444">
        <f>IF('Equipment Information'!C444="","", 'Equipment Information'!C444)</f>
        <v/>
      </c>
      <c r="H444">
        <f>IF(A444="","","N/A")</f>
        <v/>
      </c>
    </row>
    <row r="445">
      <c r="A445">
        <f>IF('Equipment Information'!A445="","", 'Equipment Information'!A445)</f>
        <v/>
      </c>
      <c r="B445">
        <f>IF('Equipment Information'!B445="","", 'Equipment Information'!B445)</f>
        <v/>
      </c>
      <c r="C445">
        <f>IF('Equipment Information'!C445="","", 'Equipment Information'!C445)</f>
        <v/>
      </c>
      <c r="H445">
        <f>IF(A445="","","N/A")</f>
        <v/>
      </c>
    </row>
    <row r="446">
      <c r="A446">
        <f>IF('Equipment Information'!A446="","", 'Equipment Information'!A446)</f>
        <v/>
      </c>
      <c r="B446">
        <f>IF('Equipment Information'!B446="","", 'Equipment Information'!B446)</f>
        <v/>
      </c>
      <c r="C446">
        <f>IF('Equipment Information'!C446="","", 'Equipment Information'!C446)</f>
        <v/>
      </c>
      <c r="H446">
        <f>IF(A446="","","N/A")</f>
        <v/>
      </c>
    </row>
    <row r="447">
      <c r="A447">
        <f>IF('Equipment Information'!A447="","", 'Equipment Information'!A447)</f>
        <v/>
      </c>
      <c r="B447">
        <f>IF('Equipment Information'!B447="","", 'Equipment Information'!B447)</f>
        <v/>
      </c>
      <c r="C447">
        <f>IF('Equipment Information'!C447="","", 'Equipment Information'!C447)</f>
        <v/>
      </c>
      <c r="H447">
        <f>IF(A447="","","N/A")</f>
        <v/>
      </c>
    </row>
    <row r="448">
      <c r="A448">
        <f>IF('Equipment Information'!A448="","", 'Equipment Information'!A448)</f>
        <v/>
      </c>
      <c r="B448">
        <f>IF('Equipment Information'!B448="","", 'Equipment Information'!B448)</f>
        <v/>
      </c>
      <c r="C448">
        <f>IF('Equipment Information'!C448="","", 'Equipment Information'!C448)</f>
        <v/>
      </c>
      <c r="H448">
        <f>IF(A448="","","N/A")</f>
        <v/>
      </c>
    </row>
    <row r="449">
      <c r="A449">
        <f>IF('Equipment Information'!A449="","", 'Equipment Information'!A449)</f>
        <v/>
      </c>
      <c r="B449">
        <f>IF('Equipment Information'!B449="","", 'Equipment Information'!B449)</f>
        <v/>
      </c>
      <c r="C449">
        <f>IF('Equipment Information'!C449="","", 'Equipment Information'!C449)</f>
        <v/>
      </c>
      <c r="H449">
        <f>IF(A449="","","N/A")</f>
        <v/>
      </c>
    </row>
    <row r="450">
      <c r="A450">
        <f>IF('Equipment Information'!A450="","", 'Equipment Information'!A450)</f>
        <v/>
      </c>
      <c r="B450">
        <f>IF('Equipment Information'!B450="","", 'Equipment Information'!B450)</f>
        <v/>
      </c>
      <c r="C450">
        <f>IF('Equipment Information'!C450="","", 'Equipment Information'!C450)</f>
        <v/>
      </c>
      <c r="H450">
        <f>IF(A450="","","N/A")</f>
        <v/>
      </c>
    </row>
    <row r="451">
      <c r="A451">
        <f>IF('Equipment Information'!A451="","", 'Equipment Information'!A451)</f>
        <v/>
      </c>
      <c r="B451">
        <f>IF('Equipment Information'!B451="","", 'Equipment Information'!B451)</f>
        <v/>
      </c>
      <c r="C451">
        <f>IF('Equipment Information'!C451="","", 'Equipment Information'!C451)</f>
        <v/>
      </c>
      <c r="H451">
        <f>IF(A451="","","N/A")</f>
        <v/>
      </c>
    </row>
    <row r="452">
      <c r="A452">
        <f>IF('Equipment Information'!A452="","", 'Equipment Information'!A452)</f>
        <v/>
      </c>
      <c r="B452">
        <f>IF('Equipment Information'!B452="","", 'Equipment Information'!B452)</f>
        <v/>
      </c>
      <c r="C452">
        <f>IF('Equipment Information'!C452="","", 'Equipment Information'!C452)</f>
        <v/>
      </c>
      <c r="H452">
        <f>IF(A452="","","N/A")</f>
        <v/>
      </c>
    </row>
    <row r="453">
      <c r="A453">
        <f>IF('Equipment Information'!A453="","", 'Equipment Information'!A453)</f>
        <v/>
      </c>
      <c r="B453">
        <f>IF('Equipment Information'!B453="","", 'Equipment Information'!B453)</f>
        <v/>
      </c>
      <c r="C453">
        <f>IF('Equipment Information'!C453="","", 'Equipment Information'!C453)</f>
        <v/>
      </c>
      <c r="H453">
        <f>IF(A453="","","N/A")</f>
        <v/>
      </c>
    </row>
    <row r="454">
      <c r="A454">
        <f>IF('Equipment Information'!A454="","", 'Equipment Information'!A454)</f>
        <v/>
      </c>
      <c r="B454">
        <f>IF('Equipment Information'!B454="","", 'Equipment Information'!B454)</f>
        <v/>
      </c>
      <c r="C454">
        <f>IF('Equipment Information'!C454="","", 'Equipment Information'!C454)</f>
        <v/>
      </c>
      <c r="H454">
        <f>IF(A454="","","N/A")</f>
        <v/>
      </c>
    </row>
    <row r="455">
      <c r="A455">
        <f>IF('Equipment Information'!A455="","", 'Equipment Information'!A455)</f>
        <v/>
      </c>
      <c r="B455">
        <f>IF('Equipment Information'!B455="","", 'Equipment Information'!B455)</f>
        <v/>
      </c>
      <c r="C455">
        <f>IF('Equipment Information'!C455="","", 'Equipment Information'!C455)</f>
        <v/>
      </c>
      <c r="H455">
        <f>IF(A455="","","N/A")</f>
        <v/>
      </c>
    </row>
    <row r="456">
      <c r="A456">
        <f>IF('Equipment Information'!A456="","", 'Equipment Information'!A456)</f>
        <v/>
      </c>
      <c r="B456">
        <f>IF('Equipment Information'!B456="","", 'Equipment Information'!B456)</f>
        <v/>
      </c>
      <c r="C456">
        <f>IF('Equipment Information'!C456="","", 'Equipment Information'!C456)</f>
        <v/>
      </c>
      <c r="H456">
        <f>IF(A456="","","N/A")</f>
        <v/>
      </c>
    </row>
    <row r="457">
      <c r="A457">
        <f>IF('Equipment Information'!A457="","", 'Equipment Information'!A457)</f>
        <v/>
      </c>
      <c r="B457">
        <f>IF('Equipment Information'!B457="","", 'Equipment Information'!B457)</f>
        <v/>
      </c>
      <c r="C457">
        <f>IF('Equipment Information'!C457="","", 'Equipment Information'!C457)</f>
        <v/>
      </c>
      <c r="H457">
        <f>IF(A457="","","N/A")</f>
        <v/>
      </c>
    </row>
    <row r="458">
      <c r="A458">
        <f>IF('Equipment Information'!A458="","", 'Equipment Information'!A458)</f>
        <v/>
      </c>
      <c r="B458">
        <f>IF('Equipment Information'!B458="","", 'Equipment Information'!B458)</f>
        <v/>
      </c>
      <c r="C458">
        <f>IF('Equipment Information'!C458="","", 'Equipment Information'!C458)</f>
        <v/>
      </c>
      <c r="H458">
        <f>IF(A458="","","N/A")</f>
        <v/>
      </c>
    </row>
    <row r="459">
      <c r="A459">
        <f>IF('Equipment Information'!A459="","", 'Equipment Information'!A459)</f>
        <v/>
      </c>
      <c r="B459">
        <f>IF('Equipment Information'!B459="","", 'Equipment Information'!B459)</f>
        <v/>
      </c>
      <c r="C459">
        <f>IF('Equipment Information'!C459="","", 'Equipment Information'!C459)</f>
        <v/>
      </c>
      <c r="H459">
        <f>IF(A459="","","N/A")</f>
        <v/>
      </c>
    </row>
    <row r="460">
      <c r="A460">
        <f>IF('Equipment Information'!A460="","", 'Equipment Information'!A460)</f>
        <v/>
      </c>
      <c r="B460">
        <f>IF('Equipment Information'!B460="","", 'Equipment Information'!B460)</f>
        <v/>
      </c>
      <c r="C460">
        <f>IF('Equipment Information'!C460="","", 'Equipment Information'!C460)</f>
        <v/>
      </c>
      <c r="H460">
        <f>IF(A460="","","N/A")</f>
        <v/>
      </c>
    </row>
    <row r="461">
      <c r="A461">
        <f>IF('Equipment Information'!A461="","", 'Equipment Information'!A461)</f>
        <v/>
      </c>
      <c r="B461">
        <f>IF('Equipment Information'!B461="","", 'Equipment Information'!B461)</f>
        <v/>
      </c>
      <c r="C461">
        <f>IF('Equipment Information'!C461="","", 'Equipment Information'!C461)</f>
        <v/>
      </c>
      <c r="H461">
        <f>IF(A461="","","N/A")</f>
        <v/>
      </c>
    </row>
    <row r="462">
      <c r="A462">
        <f>IF('Equipment Information'!A462="","", 'Equipment Information'!A462)</f>
        <v/>
      </c>
      <c r="B462">
        <f>IF('Equipment Information'!B462="","", 'Equipment Information'!B462)</f>
        <v/>
      </c>
      <c r="C462">
        <f>IF('Equipment Information'!C462="","", 'Equipment Information'!C462)</f>
        <v/>
      </c>
      <c r="H462">
        <f>IF(A462="","","N/A")</f>
        <v/>
      </c>
    </row>
    <row r="463">
      <c r="A463">
        <f>IF('Equipment Information'!A463="","", 'Equipment Information'!A463)</f>
        <v/>
      </c>
      <c r="B463">
        <f>IF('Equipment Information'!B463="","", 'Equipment Information'!B463)</f>
        <v/>
      </c>
      <c r="C463">
        <f>IF('Equipment Information'!C463="","", 'Equipment Information'!C463)</f>
        <v/>
      </c>
      <c r="H463">
        <f>IF(A463="","","N/A")</f>
        <v/>
      </c>
    </row>
    <row r="464">
      <c r="A464">
        <f>IF('Equipment Information'!A464="","", 'Equipment Information'!A464)</f>
        <v/>
      </c>
      <c r="B464">
        <f>IF('Equipment Information'!B464="","", 'Equipment Information'!B464)</f>
        <v/>
      </c>
      <c r="C464">
        <f>IF('Equipment Information'!C464="","", 'Equipment Information'!C464)</f>
        <v/>
      </c>
      <c r="H464">
        <f>IF(A464="","","N/A")</f>
        <v/>
      </c>
    </row>
    <row r="465">
      <c r="A465">
        <f>IF('Equipment Information'!A465="","", 'Equipment Information'!A465)</f>
        <v/>
      </c>
      <c r="B465">
        <f>IF('Equipment Information'!B465="","", 'Equipment Information'!B465)</f>
        <v/>
      </c>
      <c r="C465">
        <f>IF('Equipment Information'!C465="","", 'Equipment Information'!C465)</f>
        <v/>
      </c>
      <c r="H465">
        <f>IF(A465="","","N/A")</f>
        <v/>
      </c>
    </row>
    <row r="466">
      <c r="A466">
        <f>IF('Equipment Information'!A466="","", 'Equipment Information'!A466)</f>
        <v/>
      </c>
      <c r="B466">
        <f>IF('Equipment Information'!B466="","", 'Equipment Information'!B466)</f>
        <v/>
      </c>
      <c r="C466">
        <f>IF('Equipment Information'!C466="","", 'Equipment Information'!C466)</f>
        <v/>
      </c>
      <c r="H466">
        <f>IF(A466="","","N/A")</f>
        <v/>
      </c>
    </row>
    <row r="467">
      <c r="A467">
        <f>IF('Equipment Information'!A467="","", 'Equipment Information'!A467)</f>
        <v/>
      </c>
      <c r="B467">
        <f>IF('Equipment Information'!B467="","", 'Equipment Information'!B467)</f>
        <v/>
      </c>
      <c r="C467">
        <f>IF('Equipment Information'!C467="","", 'Equipment Information'!C467)</f>
        <v/>
      </c>
      <c r="H467">
        <f>IF(A467="","","N/A")</f>
        <v/>
      </c>
    </row>
    <row r="468">
      <c r="A468">
        <f>IF('Equipment Information'!A468="","", 'Equipment Information'!A468)</f>
        <v/>
      </c>
      <c r="B468">
        <f>IF('Equipment Information'!B468="","", 'Equipment Information'!B468)</f>
        <v/>
      </c>
      <c r="C468">
        <f>IF('Equipment Information'!C468="","", 'Equipment Information'!C468)</f>
        <v/>
      </c>
      <c r="H468">
        <f>IF(A468="","","N/A")</f>
        <v/>
      </c>
    </row>
    <row r="469">
      <c r="A469">
        <f>IF('Equipment Information'!A469="","", 'Equipment Information'!A469)</f>
        <v/>
      </c>
      <c r="B469">
        <f>IF('Equipment Information'!B469="","", 'Equipment Information'!B469)</f>
        <v/>
      </c>
      <c r="C469">
        <f>IF('Equipment Information'!C469="","", 'Equipment Information'!C469)</f>
        <v/>
      </c>
      <c r="H469">
        <f>IF(A469="","","N/A")</f>
        <v/>
      </c>
    </row>
    <row r="470">
      <c r="A470">
        <f>IF('Equipment Information'!A470="","", 'Equipment Information'!A470)</f>
        <v/>
      </c>
      <c r="B470">
        <f>IF('Equipment Information'!B470="","", 'Equipment Information'!B470)</f>
        <v/>
      </c>
      <c r="C470">
        <f>IF('Equipment Information'!C470="","", 'Equipment Information'!C470)</f>
        <v/>
      </c>
      <c r="H470">
        <f>IF(A470="","","N/A")</f>
        <v/>
      </c>
    </row>
    <row r="471">
      <c r="A471">
        <f>IF('Equipment Information'!A471="","", 'Equipment Information'!A471)</f>
        <v/>
      </c>
      <c r="B471">
        <f>IF('Equipment Information'!B471="","", 'Equipment Information'!B471)</f>
        <v/>
      </c>
      <c r="C471">
        <f>IF('Equipment Information'!C471="","", 'Equipment Information'!C471)</f>
        <v/>
      </c>
      <c r="H471">
        <f>IF(A471="","","N/A")</f>
        <v/>
      </c>
    </row>
    <row r="472">
      <c r="A472">
        <f>IF('Equipment Information'!A472="","", 'Equipment Information'!A472)</f>
        <v/>
      </c>
      <c r="B472">
        <f>IF('Equipment Information'!B472="","", 'Equipment Information'!B472)</f>
        <v/>
      </c>
      <c r="C472">
        <f>IF('Equipment Information'!C472="","", 'Equipment Information'!C472)</f>
        <v/>
      </c>
      <c r="H472">
        <f>IF(A472="","","N/A")</f>
        <v/>
      </c>
    </row>
    <row r="473">
      <c r="A473">
        <f>IF('Equipment Information'!A473="","", 'Equipment Information'!A473)</f>
        <v/>
      </c>
      <c r="B473">
        <f>IF('Equipment Information'!B473="","", 'Equipment Information'!B473)</f>
        <v/>
      </c>
      <c r="C473">
        <f>IF('Equipment Information'!C473="","", 'Equipment Information'!C473)</f>
        <v/>
      </c>
      <c r="H473">
        <f>IF(A473="","","N/A")</f>
        <v/>
      </c>
    </row>
    <row r="474">
      <c r="A474">
        <f>IF('Equipment Information'!A474="","", 'Equipment Information'!A474)</f>
        <v/>
      </c>
      <c r="B474">
        <f>IF('Equipment Information'!B474="","", 'Equipment Information'!B474)</f>
        <v/>
      </c>
      <c r="C474">
        <f>IF('Equipment Information'!C474="","", 'Equipment Information'!C474)</f>
        <v/>
      </c>
      <c r="H474">
        <f>IF(A474="","","N/A")</f>
        <v/>
      </c>
    </row>
    <row r="475">
      <c r="A475">
        <f>IF('Equipment Information'!A475="","", 'Equipment Information'!A475)</f>
        <v/>
      </c>
      <c r="B475">
        <f>IF('Equipment Information'!B475="","", 'Equipment Information'!B475)</f>
        <v/>
      </c>
      <c r="C475">
        <f>IF('Equipment Information'!C475="","", 'Equipment Information'!C475)</f>
        <v/>
      </c>
      <c r="H475">
        <f>IF(A475="","","N/A")</f>
        <v/>
      </c>
    </row>
    <row r="476">
      <c r="A476">
        <f>IF('Equipment Information'!A476="","", 'Equipment Information'!A476)</f>
        <v/>
      </c>
      <c r="B476">
        <f>IF('Equipment Information'!B476="","", 'Equipment Information'!B476)</f>
        <v/>
      </c>
      <c r="C476">
        <f>IF('Equipment Information'!C476="","", 'Equipment Information'!C476)</f>
        <v/>
      </c>
      <c r="H476">
        <f>IF(A476="","","N/A")</f>
        <v/>
      </c>
    </row>
    <row r="477">
      <c r="A477">
        <f>IF('Equipment Information'!A477="","", 'Equipment Information'!A477)</f>
        <v/>
      </c>
      <c r="B477">
        <f>IF('Equipment Information'!B477="","", 'Equipment Information'!B477)</f>
        <v/>
      </c>
      <c r="C477">
        <f>IF('Equipment Information'!C477="","", 'Equipment Information'!C477)</f>
        <v/>
      </c>
      <c r="H477">
        <f>IF(A477="","","N/A")</f>
        <v/>
      </c>
    </row>
    <row r="478">
      <c r="A478">
        <f>IF('Equipment Information'!A478="","", 'Equipment Information'!A478)</f>
        <v/>
      </c>
      <c r="B478">
        <f>IF('Equipment Information'!B478="","", 'Equipment Information'!B478)</f>
        <v/>
      </c>
      <c r="C478">
        <f>IF('Equipment Information'!C478="","", 'Equipment Information'!C478)</f>
        <v/>
      </c>
      <c r="H478">
        <f>IF(A478="","","N/A")</f>
        <v/>
      </c>
    </row>
    <row r="479">
      <c r="A479">
        <f>IF('Equipment Information'!A479="","", 'Equipment Information'!A479)</f>
        <v/>
      </c>
      <c r="B479">
        <f>IF('Equipment Information'!B479="","", 'Equipment Information'!B479)</f>
        <v/>
      </c>
      <c r="C479">
        <f>IF('Equipment Information'!C479="","", 'Equipment Information'!C479)</f>
        <v/>
      </c>
      <c r="H479">
        <f>IF(A479="","","N/A")</f>
        <v/>
      </c>
    </row>
    <row r="480">
      <c r="A480">
        <f>IF('Equipment Information'!A480="","", 'Equipment Information'!A480)</f>
        <v/>
      </c>
      <c r="B480">
        <f>IF('Equipment Information'!B480="","", 'Equipment Information'!B480)</f>
        <v/>
      </c>
      <c r="C480">
        <f>IF('Equipment Information'!C480="","", 'Equipment Information'!C480)</f>
        <v/>
      </c>
      <c r="H480">
        <f>IF(A480="","","N/A")</f>
        <v/>
      </c>
    </row>
    <row r="481">
      <c r="A481">
        <f>IF('Equipment Information'!A481="","", 'Equipment Information'!A481)</f>
        <v/>
      </c>
      <c r="B481">
        <f>IF('Equipment Information'!B481="","", 'Equipment Information'!B481)</f>
        <v/>
      </c>
      <c r="C481">
        <f>IF('Equipment Information'!C481="","", 'Equipment Information'!C481)</f>
        <v/>
      </c>
      <c r="H481">
        <f>IF(A481="","","N/A")</f>
        <v/>
      </c>
    </row>
    <row r="482">
      <c r="A482">
        <f>IF('Equipment Information'!A482="","", 'Equipment Information'!A482)</f>
        <v/>
      </c>
      <c r="B482">
        <f>IF('Equipment Information'!B482="","", 'Equipment Information'!B482)</f>
        <v/>
      </c>
      <c r="C482">
        <f>IF('Equipment Information'!C482="","", 'Equipment Information'!C482)</f>
        <v/>
      </c>
      <c r="H482">
        <f>IF(A482="","","N/A")</f>
        <v/>
      </c>
    </row>
    <row r="483">
      <c r="A483">
        <f>IF('Equipment Information'!A483="","", 'Equipment Information'!A483)</f>
        <v/>
      </c>
      <c r="B483">
        <f>IF('Equipment Information'!B483="","", 'Equipment Information'!B483)</f>
        <v/>
      </c>
      <c r="C483">
        <f>IF('Equipment Information'!C483="","", 'Equipment Information'!C483)</f>
        <v/>
      </c>
      <c r="H483">
        <f>IF(A483="","","N/A")</f>
        <v/>
      </c>
    </row>
    <row r="484">
      <c r="A484">
        <f>IF('Equipment Information'!A484="","", 'Equipment Information'!A484)</f>
        <v/>
      </c>
      <c r="B484">
        <f>IF('Equipment Information'!B484="","", 'Equipment Information'!B484)</f>
        <v/>
      </c>
      <c r="C484">
        <f>IF('Equipment Information'!C484="","", 'Equipment Information'!C484)</f>
        <v/>
      </c>
      <c r="H484">
        <f>IF(A484="","","N/A")</f>
        <v/>
      </c>
    </row>
    <row r="485">
      <c r="A485">
        <f>IF('Equipment Information'!A485="","", 'Equipment Information'!A485)</f>
        <v/>
      </c>
      <c r="B485">
        <f>IF('Equipment Information'!B485="","", 'Equipment Information'!B485)</f>
        <v/>
      </c>
      <c r="C485">
        <f>IF('Equipment Information'!C485="","", 'Equipment Information'!C485)</f>
        <v/>
      </c>
      <c r="H485">
        <f>IF(A485="","","N/A")</f>
        <v/>
      </c>
    </row>
    <row r="486">
      <c r="A486">
        <f>IF('Equipment Information'!A486="","", 'Equipment Information'!A486)</f>
        <v/>
      </c>
      <c r="B486">
        <f>IF('Equipment Information'!B486="","", 'Equipment Information'!B486)</f>
        <v/>
      </c>
      <c r="C486">
        <f>IF('Equipment Information'!C486="","", 'Equipment Information'!C486)</f>
        <v/>
      </c>
      <c r="H486">
        <f>IF(A486="","","N/A")</f>
        <v/>
      </c>
    </row>
    <row r="487">
      <c r="A487">
        <f>IF('Equipment Information'!A487="","", 'Equipment Information'!A487)</f>
        <v/>
      </c>
      <c r="B487">
        <f>IF('Equipment Information'!B487="","", 'Equipment Information'!B487)</f>
        <v/>
      </c>
      <c r="C487">
        <f>IF('Equipment Information'!C487="","", 'Equipment Information'!C487)</f>
        <v/>
      </c>
      <c r="H487">
        <f>IF(A487="","","N/A")</f>
        <v/>
      </c>
    </row>
    <row r="488">
      <c r="A488">
        <f>IF('Equipment Information'!A488="","", 'Equipment Information'!A488)</f>
        <v/>
      </c>
      <c r="B488">
        <f>IF('Equipment Information'!B488="","", 'Equipment Information'!B488)</f>
        <v/>
      </c>
      <c r="C488">
        <f>IF('Equipment Information'!C488="","", 'Equipment Information'!C488)</f>
        <v/>
      </c>
      <c r="H488">
        <f>IF(A488="","","N/A")</f>
        <v/>
      </c>
    </row>
    <row r="489">
      <c r="A489">
        <f>IF('Equipment Information'!A489="","", 'Equipment Information'!A489)</f>
        <v/>
      </c>
      <c r="B489">
        <f>IF('Equipment Information'!B489="","", 'Equipment Information'!B489)</f>
        <v/>
      </c>
      <c r="C489">
        <f>IF('Equipment Information'!C489="","", 'Equipment Information'!C489)</f>
        <v/>
      </c>
      <c r="H489">
        <f>IF(A489="","","N/A")</f>
        <v/>
      </c>
    </row>
    <row r="490">
      <c r="A490">
        <f>IF('Equipment Information'!A490="","", 'Equipment Information'!A490)</f>
        <v/>
      </c>
      <c r="B490">
        <f>IF('Equipment Information'!B490="","", 'Equipment Information'!B490)</f>
        <v/>
      </c>
      <c r="C490">
        <f>IF('Equipment Information'!C490="","", 'Equipment Information'!C490)</f>
        <v/>
      </c>
      <c r="H490">
        <f>IF(A490="","","N/A")</f>
        <v/>
      </c>
    </row>
    <row r="491">
      <c r="A491">
        <f>IF('Equipment Information'!A491="","", 'Equipment Information'!A491)</f>
        <v/>
      </c>
      <c r="B491">
        <f>IF('Equipment Information'!B491="","", 'Equipment Information'!B491)</f>
        <v/>
      </c>
      <c r="C491">
        <f>IF('Equipment Information'!C491="","", 'Equipment Information'!C491)</f>
        <v/>
      </c>
      <c r="H491">
        <f>IF(A491="","","N/A")</f>
        <v/>
      </c>
    </row>
    <row r="492">
      <c r="A492">
        <f>IF('Equipment Information'!A492="","", 'Equipment Information'!A492)</f>
        <v/>
      </c>
      <c r="B492">
        <f>IF('Equipment Information'!B492="","", 'Equipment Information'!B492)</f>
        <v/>
      </c>
      <c r="C492">
        <f>IF('Equipment Information'!C492="","", 'Equipment Information'!C492)</f>
        <v/>
      </c>
      <c r="H492">
        <f>IF(A492="","","N/A")</f>
        <v/>
      </c>
    </row>
    <row r="493">
      <c r="A493">
        <f>IF('Equipment Information'!A493="","", 'Equipment Information'!A493)</f>
        <v/>
      </c>
      <c r="B493">
        <f>IF('Equipment Information'!B493="","", 'Equipment Information'!B493)</f>
        <v/>
      </c>
      <c r="C493">
        <f>IF('Equipment Information'!C493="","", 'Equipment Information'!C493)</f>
        <v/>
      </c>
      <c r="H493">
        <f>IF(A493="","","N/A")</f>
        <v/>
      </c>
    </row>
    <row r="494">
      <c r="A494">
        <f>IF('Equipment Information'!A494="","", 'Equipment Information'!A494)</f>
        <v/>
      </c>
      <c r="B494">
        <f>IF('Equipment Information'!B494="","", 'Equipment Information'!B494)</f>
        <v/>
      </c>
      <c r="C494">
        <f>IF('Equipment Information'!C494="","", 'Equipment Information'!C494)</f>
        <v/>
      </c>
      <c r="H494">
        <f>IF(A494="","","N/A")</f>
        <v/>
      </c>
    </row>
    <row r="495">
      <c r="A495">
        <f>IF('Equipment Information'!A495="","", 'Equipment Information'!A495)</f>
        <v/>
      </c>
      <c r="B495">
        <f>IF('Equipment Information'!B495="","", 'Equipment Information'!B495)</f>
        <v/>
      </c>
      <c r="C495">
        <f>IF('Equipment Information'!C495="","", 'Equipment Information'!C495)</f>
        <v/>
      </c>
      <c r="H495">
        <f>IF(A495="","","N/A")</f>
        <v/>
      </c>
    </row>
    <row r="496">
      <c r="A496">
        <f>IF('Equipment Information'!A496="","", 'Equipment Information'!A496)</f>
        <v/>
      </c>
      <c r="B496">
        <f>IF('Equipment Information'!B496="","", 'Equipment Information'!B496)</f>
        <v/>
      </c>
      <c r="C496">
        <f>IF('Equipment Information'!C496="","", 'Equipment Information'!C496)</f>
        <v/>
      </c>
      <c r="H496">
        <f>IF(A496="","","N/A")</f>
        <v/>
      </c>
    </row>
    <row r="497">
      <c r="A497">
        <f>IF('Equipment Information'!A497="","", 'Equipment Information'!A497)</f>
        <v/>
      </c>
      <c r="B497">
        <f>IF('Equipment Information'!B497="","", 'Equipment Information'!B497)</f>
        <v/>
      </c>
      <c r="C497">
        <f>IF('Equipment Information'!C497="","", 'Equipment Information'!C497)</f>
        <v/>
      </c>
      <c r="H497">
        <f>IF(A497="","","N/A")</f>
        <v/>
      </c>
    </row>
    <row r="498">
      <c r="A498">
        <f>IF('Equipment Information'!A498="","", 'Equipment Information'!A498)</f>
        <v/>
      </c>
      <c r="B498">
        <f>IF('Equipment Information'!B498="","", 'Equipment Information'!B498)</f>
        <v/>
      </c>
      <c r="C498">
        <f>IF('Equipment Information'!C498="","", 'Equipment Information'!C498)</f>
        <v/>
      </c>
      <c r="H498">
        <f>IF(A498="","","N/A")</f>
        <v/>
      </c>
    </row>
    <row r="499">
      <c r="A499">
        <f>IF('Equipment Information'!A499="","", 'Equipment Information'!A499)</f>
        <v/>
      </c>
      <c r="B499">
        <f>IF('Equipment Information'!B499="","", 'Equipment Information'!B499)</f>
        <v/>
      </c>
      <c r="C499">
        <f>IF('Equipment Information'!C499="","", 'Equipment Information'!C499)</f>
        <v/>
      </c>
      <c r="H499">
        <f>IF(A499="","","N/A")</f>
        <v/>
      </c>
    </row>
  </sheetData>
  <dataValidations count="1">
    <dataValidation sqref="H2:H500" showDropDown="0" showInputMessage="0" showErrorMessage="0" allowBlank="1" type="list">
      <formula1>List_PF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Tag</t>
        </is>
      </c>
      <c r="B1" s="1" t="inlineStr">
        <is>
          <t>Name</t>
        </is>
      </c>
      <c r="C1" s="1" t="inlineStr">
        <is>
          <t>Loc</t>
        </is>
      </c>
      <c r="D1" s="1" t="inlineStr">
        <is>
          <t>Phase</t>
        </is>
      </c>
      <c r="E1" s="1" t="inlineStr">
        <is>
          <t>Connection Type</t>
        </is>
      </c>
      <c r="F1" s="1" t="inlineStr">
        <is>
          <t>Spec</t>
        </is>
      </c>
      <c r="G1" s="1" t="inlineStr">
        <is>
          <t>Verified?</t>
        </is>
      </c>
      <c r="H1" s="1" t="inlineStr">
        <is>
          <t>Result</t>
        </is>
      </c>
      <c r="I1" s="1" t="inlineStr">
        <is>
          <t>Notes</t>
        </is>
      </c>
    </row>
    <row r="2">
      <c r="A2">
        <f>IF('Equipment Information'!A2="","", 'Equipment Information'!A2)</f>
        <v/>
      </c>
      <c r="B2">
        <f>IF('Equipment Information'!B2="","", 'Equipment Information'!B2)</f>
        <v/>
      </c>
      <c r="C2">
        <f>IF('Equipment Information'!C2="","", 'Equipment Information'!C2)</f>
        <v/>
      </c>
      <c r="H2">
        <f>IF(A2="","","N/A")</f>
        <v/>
      </c>
    </row>
    <row r="3">
      <c r="A3">
        <f>IF('Equipment Information'!A3="","", 'Equipment Information'!A3)</f>
        <v/>
      </c>
      <c r="B3">
        <f>IF('Equipment Information'!B3="","", 'Equipment Information'!B3)</f>
        <v/>
      </c>
      <c r="C3">
        <f>IF('Equipment Information'!C3="","", 'Equipment Information'!C3)</f>
        <v/>
      </c>
      <c r="H3">
        <f>IF(A3="","","N/A")</f>
        <v/>
      </c>
    </row>
    <row r="4">
      <c r="A4">
        <f>IF('Equipment Information'!A4="","", 'Equipment Information'!A4)</f>
        <v/>
      </c>
      <c r="B4">
        <f>IF('Equipment Information'!B4="","", 'Equipment Information'!B4)</f>
        <v/>
      </c>
      <c r="C4">
        <f>IF('Equipment Information'!C4="","", 'Equipment Information'!C4)</f>
        <v/>
      </c>
      <c r="H4">
        <f>IF(A4="","","N/A")</f>
        <v/>
      </c>
    </row>
    <row r="5">
      <c r="A5">
        <f>IF('Equipment Information'!A5="","", 'Equipment Information'!A5)</f>
        <v/>
      </c>
      <c r="B5">
        <f>IF('Equipment Information'!B5="","", 'Equipment Information'!B5)</f>
        <v/>
      </c>
      <c r="C5">
        <f>IF('Equipment Information'!C5="","", 'Equipment Information'!C5)</f>
        <v/>
      </c>
      <c r="H5">
        <f>IF(A5="","","N/A")</f>
        <v/>
      </c>
    </row>
    <row r="6">
      <c r="A6">
        <f>IF('Equipment Information'!A6="","", 'Equipment Information'!A6)</f>
        <v/>
      </c>
      <c r="B6">
        <f>IF('Equipment Information'!B6="","", 'Equipment Information'!B6)</f>
        <v/>
      </c>
      <c r="C6">
        <f>IF('Equipment Information'!C6="","", 'Equipment Information'!C6)</f>
        <v/>
      </c>
      <c r="H6">
        <f>IF(A6="","","N/A")</f>
        <v/>
      </c>
    </row>
    <row r="7">
      <c r="A7">
        <f>IF('Equipment Information'!A7="","", 'Equipment Information'!A7)</f>
        <v/>
      </c>
      <c r="B7">
        <f>IF('Equipment Information'!B7="","", 'Equipment Information'!B7)</f>
        <v/>
      </c>
      <c r="C7">
        <f>IF('Equipment Information'!C7="","", 'Equipment Information'!C7)</f>
        <v/>
      </c>
      <c r="H7">
        <f>IF(A7="","","N/A")</f>
        <v/>
      </c>
    </row>
    <row r="8">
      <c r="A8">
        <f>IF('Equipment Information'!A8="","", 'Equipment Information'!A8)</f>
        <v/>
      </c>
      <c r="B8">
        <f>IF('Equipment Information'!B8="","", 'Equipment Information'!B8)</f>
        <v/>
      </c>
      <c r="C8">
        <f>IF('Equipment Information'!C8="","", 'Equipment Information'!C8)</f>
        <v/>
      </c>
      <c r="H8">
        <f>IF(A8="","","N/A")</f>
        <v/>
      </c>
    </row>
    <row r="9">
      <c r="A9">
        <f>IF('Equipment Information'!A9="","", 'Equipment Information'!A9)</f>
        <v/>
      </c>
      <c r="B9">
        <f>IF('Equipment Information'!B9="","", 'Equipment Information'!B9)</f>
        <v/>
      </c>
      <c r="C9">
        <f>IF('Equipment Information'!C9="","", 'Equipment Information'!C9)</f>
        <v/>
      </c>
      <c r="H9">
        <f>IF(A9="","","N/A")</f>
        <v/>
      </c>
    </row>
    <row r="10">
      <c r="A10">
        <f>IF('Equipment Information'!A10="","", 'Equipment Information'!A10)</f>
        <v/>
      </c>
      <c r="B10">
        <f>IF('Equipment Information'!B10="","", 'Equipment Information'!B10)</f>
        <v/>
      </c>
      <c r="C10">
        <f>IF('Equipment Information'!C10="","", 'Equipment Information'!C10)</f>
        <v/>
      </c>
      <c r="H10">
        <f>IF(A10="","","N/A")</f>
        <v/>
      </c>
    </row>
    <row r="11">
      <c r="A11">
        <f>IF('Equipment Information'!A11="","", 'Equipment Information'!A11)</f>
        <v/>
      </c>
      <c r="B11">
        <f>IF('Equipment Information'!B11="","", 'Equipment Information'!B11)</f>
        <v/>
      </c>
      <c r="C11">
        <f>IF('Equipment Information'!C11="","", 'Equipment Information'!C11)</f>
        <v/>
      </c>
      <c r="H11">
        <f>IF(A11="","","N/A")</f>
        <v/>
      </c>
    </row>
    <row r="12">
      <c r="A12">
        <f>IF('Equipment Information'!A12="","", 'Equipment Information'!A12)</f>
        <v/>
      </c>
      <c r="B12">
        <f>IF('Equipment Information'!B12="","", 'Equipment Information'!B12)</f>
        <v/>
      </c>
      <c r="C12">
        <f>IF('Equipment Information'!C12="","", 'Equipment Information'!C12)</f>
        <v/>
      </c>
      <c r="H12">
        <f>IF(A12="","","N/A")</f>
        <v/>
      </c>
    </row>
    <row r="13">
      <c r="A13">
        <f>IF('Equipment Information'!A13="","", 'Equipment Information'!A13)</f>
        <v/>
      </c>
      <c r="B13">
        <f>IF('Equipment Information'!B13="","", 'Equipment Information'!B13)</f>
        <v/>
      </c>
      <c r="C13">
        <f>IF('Equipment Information'!C13="","", 'Equipment Information'!C13)</f>
        <v/>
      </c>
      <c r="H13">
        <f>IF(A13="","","N/A")</f>
        <v/>
      </c>
    </row>
    <row r="14">
      <c r="A14">
        <f>IF('Equipment Information'!A14="","", 'Equipment Information'!A14)</f>
        <v/>
      </c>
      <c r="B14">
        <f>IF('Equipment Information'!B14="","", 'Equipment Information'!B14)</f>
        <v/>
      </c>
      <c r="C14">
        <f>IF('Equipment Information'!C14="","", 'Equipment Information'!C14)</f>
        <v/>
      </c>
      <c r="H14">
        <f>IF(A14="","","N/A")</f>
        <v/>
      </c>
    </row>
    <row r="15">
      <c r="A15">
        <f>IF('Equipment Information'!A15="","", 'Equipment Information'!A15)</f>
        <v/>
      </c>
      <c r="B15">
        <f>IF('Equipment Information'!B15="","", 'Equipment Information'!B15)</f>
        <v/>
      </c>
      <c r="C15">
        <f>IF('Equipment Information'!C15="","", 'Equipment Information'!C15)</f>
        <v/>
      </c>
      <c r="H15">
        <f>IF(A15="","","N/A")</f>
        <v/>
      </c>
    </row>
    <row r="16">
      <c r="A16">
        <f>IF('Equipment Information'!A16="","", 'Equipment Information'!A16)</f>
        <v/>
      </c>
      <c r="B16">
        <f>IF('Equipment Information'!B16="","", 'Equipment Information'!B16)</f>
        <v/>
      </c>
      <c r="C16">
        <f>IF('Equipment Information'!C16="","", 'Equipment Information'!C16)</f>
        <v/>
      </c>
      <c r="H16">
        <f>IF(A16="","","N/A")</f>
        <v/>
      </c>
    </row>
    <row r="17">
      <c r="A17">
        <f>IF('Equipment Information'!A17="","", 'Equipment Information'!A17)</f>
        <v/>
      </c>
      <c r="B17">
        <f>IF('Equipment Information'!B17="","", 'Equipment Information'!B17)</f>
        <v/>
      </c>
      <c r="C17">
        <f>IF('Equipment Information'!C17="","", 'Equipment Information'!C17)</f>
        <v/>
      </c>
      <c r="H17">
        <f>IF(A17="","","N/A")</f>
        <v/>
      </c>
    </row>
    <row r="18">
      <c r="A18">
        <f>IF('Equipment Information'!A18="","", 'Equipment Information'!A18)</f>
        <v/>
      </c>
      <c r="B18">
        <f>IF('Equipment Information'!B18="","", 'Equipment Information'!B18)</f>
        <v/>
      </c>
      <c r="C18">
        <f>IF('Equipment Information'!C18="","", 'Equipment Information'!C18)</f>
        <v/>
      </c>
      <c r="H18">
        <f>IF(A18="","","N/A")</f>
        <v/>
      </c>
    </row>
    <row r="19">
      <c r="A19">
        <f>IF('Equipment Information'!A19="","", 'Equipment Information'!A19)</f>
        <v/>
      </c>
      <c r="B19">
        <f>IF('Equipment Information'!B19="","", 'Equipment Information'!B19)</f>
        <v/>
      </c>
      <c r="C19">
        <f>IF('Equipment Information'!C19="","", 'Equipment Information'!C19)</f>
        <v/>
      </c>
      <c r="H19">
        <f>IF(A19="","","N/A")</f>
        <v/>
      </c>
    </row>
    <row r="20">
      <c r="A20">
        <f>IF('Equipment Information'!A20="","", 'Equipment Information'!A20)</f>
        <v/>
      </c>
      <c r="B20">
        <f>IF('Equipment Information'!B20="","", 'Equipment Information'!B20)</f>
        <v/>
      </c>
      <c r="C20">
        <f>IF('Equipment Information'!C20="","", 'Equipment Information'!C20)</f>
        <v/>
      </c>
      <c r="H20">
        <f>IF(A20="","","N/A")</f>
        <v/>
      </c>
    </row>
    <row r="21">
      <c r="A21">
        <f>IF('Equipment Information'!A21="","", 'Equipment Information'!A21)</f>
        <v/>
      </c>
      <c r="B21">
        <f>IF('Equipment Information'!B21="","", 'Equipment Information'!B21)</f>
        <v/>
      </c>
      <c r="C21">
        <f>IF('Equipment Information'!C21="","", 'Equipment Information'!C21)</f>
        <v/>
      </c>
      <c r="H21">
        <f>IF(A21="","","N/A")</f>
        <v/>
      </c>
    </row>
    <row r="22">
      <c r="A22">
        <f>IF('Equipment Information'!A22="","", 'Equipment Information'!A22)</f>
        <v/>
      </c>
      <c r="B22">
        <f>IF('Equipment Information'!B22="","", 'Equipment Information'!B22)</f>
        <v/>
      </c>
      <c r="C22">
        <f>IF('Equipment Information'!C22="","", 'Equipment Information'!C22)</f>
        <v/>
      </c>
      <c r="H22">
        <f>IF(A22="","","N/A")</f>
        <v/>
      </c>
    </row>
    <row r="23">
      <c r="A23">
        <f>IF('Equipment Information'!A23="","", 'Equipment Information'!A23)</f>
        <v/>
      </c>
      <c r="B23">
        <f>IF('Equipment Information'!B23="","", 'Equipment Information'!B23)</f>
        <v/>
      </c>
      <c r="C23">
        <f>IF('Equipment Information'!C23="","", 'Equipment Information'!C23)</f>
        <v/>
      </c>
      <c r="H23">
        <f>IF(A23="","","N/A")</f>
        <v/>
      </c>
    </row>
    <row r="24">
      <c r="A24">
        <f>IF('Equipment Information'!A24="","", 'Equipment Information'!A24)</f>
        <v/>
      </c>
      <c r="B24">
        <f>IF('Equipment Information'!B24="","", 'Equipment Information'!B24)</f>
        <v/>
      </c>
      <c r="C24">
        <f>IF('Equipment Information'!C24="","", 'Equipment Information'!C24)</f>
        <v/>
      </c>
      <c r="H24">
        <f>IF(A24="","","N/A")</f>
        <v/>
      </c>
    </row>
    <row r="25">
      <c r="A25">
        <f>IF('Equipment Information'!A25="","", 'Equipment Information'!A25)</f>
        <v/>
      </c>
      <c r="B25">
        <f>IF('Equipment Information'!B25="","", 'Equipment Information'!B25)</f>
        <v/>
      </c>
      <c r="C25">
        <f>IF('Equipment Information'!C25="","", 'Equipment Information'!C25)</f>
        <v/>
      </c>
      <c r="H25">
        <f>IF(A25="","","N/A")</f>
        <v/>
      </c>
    </row>
    <row r="26">
      <c r="A26">
        <f>IF('Equipment Information'!A26="","", 'Equipment Information'!A26)</f>
        <v/>
      </c>
      <c r="B26">
        <f>IF('Equipment Information'!B26="","", 'Equipment Information'!B26)</f>
        <v/>
      </c>
      <c r="C26">
        <f>IF('Equipment Information'!C26="","", 'Equipment Information'!C26)</f>
        <v/>
      </c>
      <c r="H26">
        <f>IF(A26="","","N/A")</f>
        <v/>
      </c>
    </row>
    <row r="27">
      <c r="A27">
        <f>IF('Equipment Information'!A27="","", 'Equipment Information'!A27)</f>
        <v/>
      </c>
      <c r="B27">
        <f>IF('Equipment Information'!B27="","", 'Equipment Information'!B27)</f>
        <v/>
      </c>
      <c r="C27">
        <f>IF('Equipment Information'!C27="","", 'Equipment Information'!C27)</f>
        <v/>
      </c>
      <c r="H27">
        <f>IF(A27="","","N/A")</f>
        <v/>
      </c>
    </row>
    <row r="28">
      <c r="A28">
        <f>IF('Equipment Information'!A28="","", 'Equipment Information'!A28)</f>
        <v/>
      </c>
      <c r="B28">
        <f>IF('Equipment Information'!B28="","", 'Equipment Information'!B28)</f>
        <v/>
      </c>
      <c r="C28">
        <f>IF('Equipment Information'!C28="","", 'Equipment Information'!C28)</f>
        <v/>
      </c>
      <c r="H28">
        <f>IF(A28="","","N/A")</f>
        <v/>
      </c>
    </row>
    <row r="29">
      <c r="A29">
        <f>IF('Equipment Information'!A29="","", 'Equipment Information'!A29)</f>
        <v/>
      </c>
      <c r="B29">
        <f>IF('Equipment Information'!B29="","", 'Equipment Information'!B29)</f>
        <v/>
      </c>
      <c r="C29">
        <f>IF('Equipment Information'!C29="","", 'Equipment Information'!C29)</f>
        <v/>
      </c>
      <c r="H29">
        <f>IF(A29="","","N/A")</f>
        <v/>
      </c>
    </row>
    <row r="30">
      <c r="A30">
        <f>IF('Equipment Information'!A30="","", 'Equipment Information'!A30)</f>
        <v/>
      </c>
      <c r="B30">
        <f>IF('Equipment Information'!B30="","", 'Equipment Information'!B30)</f>
        <v/>
      </c>
      <c r="C30">
        <f>IF('Equipment Information'!C30="","", 'Equipment Information'!C30)</f>
        <v/>
      </c>
      <c r="H30">
        <f>IF(A30="","","N/A")</f>
        <v/>
      </c>
    </row>
    <row r="31">
      <c r="A31">
        <f>IF('Equipment Information'!A31="","", 'Equipment Information'!A31)</f>
        <v/>
      </c>
      <c r="B31">
        <f>IF('Equipment Information'!B31="","", 'Equipment Information'!B31)</f>
        <v/>
      </c>
      <c r="C31">
        <f>IF('Equipment Information'!C31="","", 'Equipment Information'!C31)</f>
        <v/>
      </c>
      <c r="H31">
        <f>IF(A31="","","N/A")</f>
        <v/>
      </c>
    </row>
    <row r="32">
      <c r="A32">
        <f>IF('Equipment Information'!A32="","", 'Equipment Information'!A32)</f>
        <v/>
      </c>
      <c r="B32">
        <f>IF('Equipment Information'!B32="","", 'Equipment Information'!B32)</f>
        <v/>
      </c>
      <c r="C32">
        <f>IF('Equipment Information'!C32="","", 'Equipment Information'!C32)</f>
        <v/>
      </c>
      <c r="H32">
        <f>IF(A32="","","N/A")</f>
        <v/>
      </c>
    </row>
    <row r="33">
      <c r="A33">
        <f>IF('Equipment Information'!A33="","", 'Equipment Information'!A33)</f>
        <v/>
      </c>
      <c r="B33">
        <f>IF('Equipment Information'!B33="","", 'Equipment Information'!B33)</f>
        <v/>
      </c>
      <c r="C33">
        <f>IF('Equipment Information'!C33="","", 'Equipment Information'!C33)</f>
        <v/>
      </c>
      <c r="H33">
        <f>IF(A33="","","N/A")</f>
        <v/>
      </c>
    </row>
    <row r="34">
      <c r="A34">
        <f>IF('Equipment Information'!A34="","", 'Equipment Information'!A34)</f>
        <v/>
      </c>
      <c r="B34">
        <f>IF('Equipment Information'!B34="","", 'Equipment Information'!B34)</f>
        <v/>
      </c>
      <c r="C34">
        <f>IF('Equipment Information'!C34="","", 'Equipment Information'!C34)</f>
        <v/>
      </c>
      <c r="H34">
        <f>IF(A34="","","N/A")</f>
        <v/>
      </c>
    </row>
    <row r="35">
      <c r="A35">
        <f>IF('Equipment Information'!A35="","", 'Equipment Information'!A35)</f>
        <v/>
      </c>
      <c r="B35">
        <f>IF('Equipment Information'!B35="","", 'Equipment Information'!B35)</f>
        <v/>
      </c>
      <c r="C35">
        <f>IF('Equipment Information'!C35="","", 'Equipment Information'!C35)</f>
        <v/>
      </c>
      <c r="H35">
        <f>IF(A35="","","N/A")</f>
        <v/>
      </c>
    </row>
    <row r="36">
      <c r="A36">
        <f>IF('Equipment Information'!A36="","", 'Equipment Information'!A36)</f>
        <v/>
      </c>
      <c r="B36">
        <f>IF('Equipment Information'!B36="","", 'Equipment Information'!B36)</f>
        <v/>
      </c>
      <c r="C36">
        <f>IF('Equipment Information'!C36="","", 'Equipment Information'!C36)</f>
        <v/>
      </c>
      <c r="H36">
        <f>IF(A36="","","N/A")</f>
        <v/>
      </c>
    </row>
    <row r="37">
      <c r="A37">
        <f>IF('Equipment Information'!A37="","", 'Equipment Information'!A37)</f>
        <v/>
      </c>
      <c r="B37">
        <f>IF('Equipment Information'!B37="","", 'Equipment Information'!B37)</f>
        <v/>
      </c>
      <c r="C37">
        <f>IF('Equipment Information'!C37="","", 'Equipment Information'!C37)</f>
        <v/>
      </c>
      <c r="H37">
        <f>IF(A37="","","N/A")</f>
        <v/>
      </c>
    </row>
    <row r="38">
      <c r="A38">
        <f>IF('Equipment Information'!A38="","", 'Equipment Information'!A38)</f>
        <v/>
      </c>
      <c r="B38">
        <f>IF('Equipment Information'!B38="","", 'Equipment Information'!B38)</f>
        <v/>
      </c>
      <c r="C38">
        <f>IF('Equipment Information'!C38="","", 'Equipment Information'!C38)</f>
        <v/>
      </c>
      <c r="H38">
        <f>IF(A38="","","N/A")</f>
        <v/>
      </c>
    </row>
    <row r="39">
      <c r="A39">
        <f>IF('Equipment Information'!A39="","", 'Equipment Information'!A39)</f>
        <v/>
      </c>
      <c r="B39">
        <f>IF('Equipment Information'!B39="","", 'Equipment Information'!B39)</f>
        <v/>
      </c>
      <c r="C39">
        <f>IF('Equipment Information'!C39="","", 'Equipment Information'!C39)</f>
        <v/>
      </c>
      <c r="H39">
        <f>IF(A39="","","N/A")</f>
        <v/>
      </c>
    </row>
    <row r="40">
      <c r="A40">
        <f>IF('Equipment Information'!A40="","", 'Equipment Information'!A40)</f>
        <v/>
      </c>
      <c r="B40">
        <f>IF('Equipment Information'!B40="","", 'Equipment Information'!B40)</f>
        <v/>
      </c>
      <c r="C40">
        <f>IF('Equipment Information'!C40="","", 'Equipment Information'!C40)</f>
        <v/>
      </c>
      <c r="H40">
        <f>IF(A40="","","N/A")</f>
        <v/>
      </c>
    </row>
    <row r="41">
      <c r="A41">
        <f>IF('Equipment Information'!A41="","", 'Equipment Information'!A41)</f>
        <v/>
      </c>
      <c r="B41">
        <f>IF('Equipment Information'!B41="","", 'Equipment Information'!B41)</f>
        <v/>
      </c>
      <c r="C41">
        <f>IF('Equipment Information'!C41="","", 'Equipment Information'!C41)</f>
        <v/>
      </c>
      <c r="H41">
        <f>IF(A41="","","N/A")</f>
        <v/>
      </c>
    </row>
    <row r="42">
      <c r="A42">
        <f>IF('Equipment Information'!A42="","", 'Equipment Information'!A42)</f>
        <v/>
      </c>
      <c r="B42">
        <f>IF('Equipment Information'!B42="","", 'Equipment Information'!B42)</f>
        <v/>
      </c>
      <c r="C42">
        <f>IF('Equipment Information'!C42="","", 'Equipment Information'!C42)</f>
        <v/>
      </c>
      <c r="H42">
        <f>IF(A42="","","N/A")</f>
        <v/>
      </c>
    </row>
    <row r="43">
      <c r="A43">
        <f>IF('Equipment Information'!A43="","", 'Equipment Information'!A43)</f>
        <v/>
      </c>
      <c r="B43">
        <f>IF('Equipment Information'!B43="","", 'Equipment Information'!B43)</f>
        <v/>
      </c>
      <c r="C43">
        <f>IF('Equipment Information'!C43="","", 'Equipment Information'!C43)</f>
        <v/>
      </c>
      <c r="H43">
        <f>IF(A43="","","N/A")</f>
        <v/>
      </c>
    </row>
    <row r="44">
      <c r="A44">
        <f>IF('Equipment Information'!A44="","", 'Equipment Information'!A44)</f>
        <v/>
      </c>
      <c r="B44">
        <f>IF('Equipment Information'!B44="","", 'Equipment Information'!B44)</f>
        <v/>
      </c>
      <c r="C44">
        <f>IF('Equipment Information'!C44="","", 'Equipment Information'!C44)</f>
        <v/>
      </c>
      <c r="H44">
        <f>IF(A44="","","N/A")</f>
        <v/>
      </c>
    </row>
    <row r="45">
      <c r="A45">
        <f>IF('Equipment Information'!A45="","", 'Equipment Information'!A45)</f>
        <v/>
      </c>
      <c r="B45">
        <f>IF('Equipment Information'!B45="","", 'Equipment Information'!B45)</f>
        <v/>
      </c>
      <c r="C45">
        <f>IF('Equipment Information'!C45="","", 'Equipment Information'!C45)</f>
        <v/>
      </c>
      <c r="H45">
        <f>IF(A45="","","N/A")</f>
        <v/>
      </c>
    </row>
    <row r="46">
      <c r="A46">
        <f>IF('Equipment Information'!A46="","", 'Equipment Information'!A46)</f>
        <v/>
      </c>
      <c r="B46">
        <f>IF('Equipment Information'!B46="","", 'Equipment Information'!B46)</f>
        <v/>
      </c>
      <c r="C46">
        <f>IF('Equipment Information'!C46="","", 'Equipment Information'!C46)</f>
        <v/>
      </c>
      <c r="H46">
        <f>IF(A46="","","N/A")</f>
        <v/>
      </c>
    </row>
    <row r="47">
      <c r="A47">
        <f>IF('Equipment Information'!A47="","", 'Equipment Information'!A47)</f>
        <v/>
      </c>
      <c r="B47">
        <f>IF('Equipment Information'!B47="","", 'Equipment Information'!B47)</f>
        <v/>
      </c>
      <c r="C47">
        <f>IF('Equipment Information'!C47="","", 'Equipment Information'!C47)</f>
        <v/>
      </c>
      <c r="H47">
        <f>IF(A47="","","N/A")</f>
        <v/>
      </c>
    </row>
    <row r="48">
      <c r="A48">
        <f>IF('Equipment Information'!A48="","", 'Equipment Information'!A48)</f>
        <v/>
      </c>
      <c r="B48">
        <f>IF('Equipment Information'!B48="","", 'Equipment Information'!B48)</f>
        <v/>
      </c>
      <c r="C48">
        <f>IF('Equipment Information'!C48="","", 'Equipment Information'!C48)</f>
        <v/>
      </c>
      <c r="H48">
        <f>IF(A48="","","N/A")</f>
        <v/>
      </c>
    </row>
    <row r="49">
      <c r="A49">
        <f>IF('Equipment Information'!A49="","", 'Equipment Information'!A49)</f>
        <v/>
      </c>
      <c r="B49">
        <f>IF('Equipment Information'!B49="","", 'Equipment Information'!B49)</f>
        <v/>
      </c>
      <c r="C49">
        <f>IF('Equipment Information'!C49="","", 'Equipment Information'!C49)</f>
        <v/>
      </c>
      <c r="H49">
        <f>IF(A49="","","N/A")</f>
        <v/>
      </c>
    </row>
    <row r="50">
      <c r="A50">
        <f>IF('Equipment Information'!A50="","", 'Equipment Information'!A50)</f>
        <v/>
      </c>
      <c r="B50">
        <f>IF('Equipment Information'!B50="","", 'Equipment Information'!B50)</f>
        <v/>
      </c>
      <c r="C50">
        <f>IF('Equipment Information'!C50="","", 'Equipment Information'!C50)</f>
        <v/>
      </c>
      <c r="H50">
        <f>IF(A50="","","N/A")</f>
        <v/>
      </c>
    </row>
    <row r="51">
      <c r="A51">
        <f>IF('Equipment Information'!A51="","", 'Equipment Information'!A51)</f>
        <v/>
      </c>
      <c r="B51">
        <f>IF('Equipment Information'!B51="","", 'Equipment Information'!B51)</f>
        <v/>
      </c>
      <c r="C51">
        <f>IF('Equipment Information'!C51="","", 'Equipment Information'!C51)</f>
        <v/>
      </c>
      <c r="H51">
        <f>IF(A51="","","N/A")</f>
        <v/>
      </c>
    </row>
    <row r="52">
      <c r="A52">
        <f>IF('Equipment Information'!A52="","", 'Equipment Information'!A52)</f>
        <v/>
      </c>
      <c r="B52">
        <f>IF('Equipment Information'!B52="","", 'Equipment Information'!B52)</f>
        <v/>
      </c>
      <c r="C52">
        <f>IF('Equipment Information'!C52="","", 'Equipment Information'!C52)</f>
        <v/>
      </c>
      <c r="H52">
        <f>IF(A52="","","N/A")</f>
        <v/>
      </c>
    </row>
    <row r="53">
      <c r="A53">
        <f>IF('Equipment Information'!A53="","", 'Equipment Information'!A53)</f>
        <v/>
      </c>
      <c r="B53">
        <f>IF('Equipment Information'!B53="","", 'Equipment Information'!B53)</f>
        <v/>
      </c>
      <c r="C53">
        <f>IF('Equipment Information'!C53="","", 'Equipment Information'!C53)</f>
        <v/>
      </c>
      <c r="H53">
        <f>IF(A53="","","N/A")</f>
        <v/>
      </c>
    </row>
    <row r="54">
      <c r="A54">
        <f>IF('Equipment Information'!A54="","", 'Equipment Information'!A54)</f>
        <v/>
      </c>
      <c r="B54">
        <f>IF('Equipment Information'!B54="","", 'Equipment Information'!B54)</f>
        <v/>
      </c>
      <c r="C54">
        <f>IF('Equipment Information'!C54="","", 'Equipment Information'!C54)</f>
        <v/>
      </c>
      <c r="H54">
        <f>IF(A54="","","N/A")</f>
        <v/>
      </c>
    </row>
    <row r="55">
      <c r="A55">
        <f>IF('Equipment Information'!A55="","", 'Equipment Information'!A55)</f>
        <v/>
      </c>
      <c r="B55">
        <f>IF('Equipment Information'!B55="","", 'Equipment Information'!B55)</f>
        <v/>
      </c>
      <c r="C55">
        <f>IF('Equipment Information'!C55="","", 'Equipment Information'!C55)</f>
        <v/>
      </c>
      <c r="H55">
        <f>IF(A55="","","N/A")</f>
        <v/>
      </c>
    </row>
    <row r="56">
      <c r="A56">
        <f>IF('Equipment Information'!A56="","", 'Equipment Information'!A56)</f>
        <v/>
      </c>
      <c r="B56">
        <f>IF('Equipment Information'!B56="","", 'Equipment Information'!B56)</f>
        <v/>
      </c>
      <c r="C56">
        <f>IF('Equipment Information'!C56="","", 'Equipment Information'!C56)</f>
        <v/>
      </c>
      <c r="H56">
        <f>IF(A56="","","N/A")</f>
        <v/>
      </c>
    </row>
    <row r="57">
      <c r="A57">
        <f>IF('Equipment Information'!A57="","", 'Equipment Information'!A57)</f>
        <v/>
      </c>
      <c r="B57">
        <f>IF('Equipment Information'!B57="","", 'Equipment Information'!B57)</f>
        <v/>
      </c>
      <c r="C57">
        <f>IF('Equipment Information'!C57="","", 'Equipment Information'!C57)</f>
        <v/>
      </c>
      <c r="H57">
        <f>IF(A57="","","N/A")</f>
        <v/>
      </c>
    </row>
    <row r="58">
      <c r="A58">
        <f>IF('Equipment Information'!A58="","", 'Equipment Information'!A58)</f>
        <v/>
      </c>
      <c r="B58">
        <f>IF('Equipment Information'!B58="","", 'Equipment Information'!B58)</f>
        <v/>
      </c>
      <c r="C58">
        <f>IF('Equipment Information'!C58="","", 'Equipment Information'!C58)</f>
        <v/>
      </c>
      <c r="H58">
        <f>IF(A58="","","N/A")</f>
        <v/>
      </c>
    </row>
    <row r="59">
      <c r="A59">
        <f>IF('Equipment Information'!A59="","", 'Equipment Information'!A59)</f>
        <v/>
      </c>
      <c r="B59">
        <f>IF('Equipment Information'!B59="","", 'Equipment Information'!B59)</f>
        <v/>
      </c>
      <c r="C59">
        <f>IF('Equipment Information'!C59="","", 'Equipment Information'!C59)</f>
        <v/>
      </c>
      <c r="H59">
        <f>IF(A59="","","N/A")</f>
        <v/>
      </c>
    </row>
    <row r="60">
      <c r="A60">
        <f>IF('Equipment Information'!A60="","", 'Equipment Information'!A60)</f>
        <v/>
      </c>
      <c r="B60">
        <f>IF('Equipment Information'!B60="","", 'Equipment Information'!B60)</f>
        <v/>
      </c>
      <c r="C60">
        <f>IF('Equipment Information'!C60="","", 'Equipment Information'!C60)</f>
        <v/>
      </c>
      <c r="H60">
        <f>IF(A60="","","N/A")</f>
        <v/>
      </c>
    </row>
    <row r="61">
      <c r="A61">
        <f>IF('Equipment Information'!A61="","", 'Equipment Information'!A61)</f>
        <v/>
      </c>
      <c r="B61">
        <f>IF('Equipment Information'!B61="","", 'Equipment Information'!B61)</f>
        <v/>
      </c>
      <c r="C61">
        <f>IF('Equipment Information'!C61="","", 'Equipment Information'!C61)</f>
        <v/>
      </c>
      <c r="H61">
        <f>IF(A61="","","N/A")</f>
        <v/>
      </c>
    </row>
    <row r="62">
      <c r="A62">
        <f>IF('Equipment Information'!A62="","", 'Equipment Information'!A62)</f>
        <v/>
      </c>
      <c r="B62">
        <f>IF('Equipment Information'!B62="","", 'Equipment Information'!B62)</f>
        <v/>
      </c>
      <c r="C62">
        <f>IF('Equipment Information'!C62="","", 'Equipment Information'!C62)</f>
        <v/>
      </c>
      <c r="H62">
        <f>IF(A62="","","N/A")</f>
        <v/>
      </c>
    </row>
    <row r="63">
      <c r="A63">
        <f>IF('Equipment Information'!A63="","", 'Equipment Information'!A63)</f>
        <v/>
      </c>
      <c r="B63">
        <f>IF('Equipment Information'!B63="","", 'Equipment Information'!B63)</f>
        <v/>
      </c>
      <c r="C63">
        <f>IF('Equipment Information'!C63="","", 'Equipment Information'!C63)</f>
        <v/>
      </c>
      <c r="H63">
        <f>IF(A63="","","N/A")</f>
        <v/>
      </c>
    </row>
    <row r="64">
      <c r="A64">
        <f>IF('Equipment Information'!A64="","", 'Equipment Information'!A64)</f>
        <v/>
      </c>
      <c r="B64">
        <f>IF('Equipment Information'!B64="","", 'Equipment Information'!B64)</f>
        <v/>
      </c>
      <c r="C64">
        <f>IF('Equipment Information'!C64="","", 'Equipment Information'!C64)</f>
        <v/>
      </c>
      <c r="H64">
        <f>IF(A64="","","N/A")</f>
        <v/>
      </c>
    </row>
    <row r="65">
      <c r="A65">
        <f>IF('Equipment Information'!A65="","", 'Equipment Information'!A65)</f>
        <v/>
      </c>
      <c r="B65">
        <f>IF('Equipment Information'!B65="","", 'Equipment Information'!B65)</f>
        <v/>
      </c>
      <c r="C65">
        <f>IF('Equipment Information'!C65="","", 'Equipment Information'!C65)</f>
        <v/>
      </c>
      <c r="H65">
        <f>IF(A65="","","N/A")</f>
        <v/>
      </c>
    </row>
    <row r="66">
      <c r="A66">
        <f>IF('Equipment Information'!A66="","", 'Equipment Information'!A66)</f>
        <v/>
      </c>
      <c r="B66">
        <f>IF('Equipment Information'!B66="","", 'Equipment Information'!B66)</f>
        <v/>
      </c>
      <c r="C66">
        <f>IF('Equipment Information'!C66="","", 'Equipment Information'!C66)</f>
        <v/>
      </c>
      <c r="H66">
        <f>IF(A66="","","N/A")</f>
        <v/>
      </c>
    </row>
    <row r="67">
      <c r="A67">
        <f>IF('Equipment Information'!A67="","", 'Equipment Information'!A67)</f>
        <v/>
      </c>
      <c r="B67">
        <f>IF('Equipment Information'!B67="","", 'Equipment Information'!B67)</f>
        <v/>
      </c>
      <c r="C67">
        <f>IF('Equipment Information'!C67="","", 'Equipment Information'!C67)</f>
        <v/>
      </c>
      <c r="H67">
        <f>IF(A67="","","N/A")</f>
        <v/>
      </c>
    </row>
    <row r="68">
      <c r="A68">
        <f>IF('Equipment Information'!A68="","", 'Equipment Information'!A68)</f>
        <v/>
      </c>
      <c r="B68">
        <f>IF('Equipment Information'!B68="","", 'Equipment Information'!B68)</f>
        <v/>
      </c>
      <c r="C68">
        <f>IF('Equipment Information'!C68="","", 'Equipment Information'!C68)</f>
        <v/>
      </c>
      <c r="H68">
        <f>IF(A68="","","N/A")</f>
        <v/>
      </c>
    </row>
    <row r="69">
      <c r="A69">
        <f>IF('Equipment Information'!A69="","", 'Equipment Information'!A69)</f>
        <v/>
      </c>
      <c r="B69">
        <f>IF('Equipment Information'!B69="","", 'Equipment Information'!B69)</f>
        <v/>
      </c>
      <c r="C69">
        <f>IF('Equipment Information'!C69="","", 'Equipment Information'!C69)</f>
        <v/>
      </c>
      <c r="H69">
        <f>IF(A69="","","N/A")</f>
        <v/>
      </c>
    </row>
    <row r="70">
      <c r="A70">
        <f>IF('Equipment Information'!A70="","", 'Equipment Information'!A70)</f>
        <v/>
      </c>
      <c r="B70">
        <f>IF('Equipment Information'!B70="","", 'Equipment Information'!B70)</f>
        <v/>
      </c>
      <c r="C70">
        <f>IF('Equipment Information'!C70="","", 'Equipment Information'!C70)</f>
        <v/>
      </c>
      <c r="H70">
        <f>IF(A70="","","N/A")</f>
        <v/>
      </c>
    </row>
    <row r="71">
      <c r="A71">
        <f>IF('Equipment Information'!A71="","", 'Equipment Information'!A71)</f>
        <v/>
      </c>
      <c r="B71">
        <f>IF('Equipment Information'!B71="","", 'Equipment Information'!B71)</f>
        <v/>
      </c>
      <c r="C71">
        <f>IF('Equipment Information'!C71="","", 'Equipment Information'!C71)</f>
        <v/>
      </c>
      <c r="H71">
        <f>IF(A71="","","N/A")</f>
        <v/>
      </c>
    </row>
    <row r="72">
      <c r="A72">
        <f>IF('Equipment Information'!A72="","", 'Equipment Information'!A72)</f>
        <v/>
      </c>
      <c r="B72">
        <f>IF('Equipment Information'!B72="","", 'Equipment Information'!B72)</f>
        <v/>
      </c>
      <c r="C72">
        <f>IF('Equipment Information'!C72="","", 'Equipment Information'!C72)</f>
        <v/>
      </c>
      <c r="H72">
        <f>IF(A72="","","N/A")</f>
        <v/>
      </c>
    </row>
    <row r="73">
      <c r="A73">
        <f>IF('Equipment Information'!A73="","", 'Equipment Information'!A73)</f>
        <v/>
      </c>
      <c r="B73">
        <f>IF('Equipment Information'!B73="","", 'Equipment Information'!B73)</f>
        <v/>
      </c>
      <c r="C73">
        <f>IF('Equipment Information'!C73="","", 'Equipment Information'!C73)</f>
        <v/>
      </c>
      <c r="H73">
        <f>IF(A73="","","N/A")</f>
        <v/>
      </c>
    </row>
    <row r="74">
      <c r="A74">
        <f>IF('Equipment Information'!A74="","", 'Equipment Information'!A74)</f>
        <v/>
      </c>
      <c r="B74">
        <f>IF('Equipment Information'!B74="","", 'Equipment Information'!B74)</f>
        <v/>
      </c>
      <c r="C74">
        <f>IF('Equipment Information'!C74="","", 'Equipment Information'!C74)</f>
        <v/>
      </c>
      <c r="H74">
        <f>IF(A74="","","N/A")</f>
        <v/>
      </c>
    </row>
    <row r="75">
      <c r="A75">
        <f>IF('Equipment Information'!A75="","", 'Equipment Information'!A75)</f>
        <v/>
      </c>
      <c r="B75">
        <f>IF('Equipment Information'!B75="","", 'Equipment Information'!B75)</f>
        <v/>
      </c>
      <c r="C75">
        <f>IF('Equipment Information'!C75="","", 'Equipment Information'!C75)</f>
        <v/>
      </c>
      <c r="H75">
        <f>IF(A75="","","N/A")</f>
        <v/>
      </c>
    </row>
    <row r="76">
      <c r="A76">
        <f>IF('Equipment Information'!A76="","", 'Equipment Information'!A76)</f>
        <v/>
      </c>
      <c r="B76">
        <f>IF('Equipment Information'!B76="","", 'Equipment Information'!B76)</f>
        <v/>
      </c>
      <c r="C76">
        <f>IF('Equipment Information'!C76="","", 'Equipment Information'!C76)</f>
        <v/>
      </c>
      <c r="H76">
        <f>IF(A76="","","N/A")</f>
        <v/>
      </c>
    </row>
    <row r="77">
      <c r="A77">
        <f>IF('Equipment Information'!A77="","", 'Equipment Information'!A77)</f>
        <v/>
      </c>
      <c r="B77">
        <f>IF('Equipment Information'!B77="","", 'Equipment Information'!B77)</f>
        <v/>
      </c>
      <c r="C77">
        <f>IF('Equipment Information'!C77="","", 'Equipment Information'!C77)</f>
        <v/>
      </c>
      <c r="H77">
        <f>IF(A77="","","N/A")</f>
        <v/>
      </c>
    </row>
    <row r="78">
      <c r="A78">
        <f>IF('Equipment Information'!A78="","", 'Equipment Information'!A78)</f>
        <v/>
      </c>
      <c r="B78">
        <f>IF('Equipment Information'!B78="","", 'Equipment Information'!B78)</f>
        <v/>
      </c>
      <c r="C78">
        <f>IF('Equipment Information'!C78="","", 'Equipment Information'!C78)</f>
        <v/>
      </c>
      <c r="H78">
        <f>IF(A78="","","N/A")</f>
        <v/>
      </c>
    </row>
    <row r="79">
      <c r="A79">
        <f>IF('Equipment Information'!A79="","", 'Equipment Information'!A79)</f>
        <v/>
      </c>
      <c r="B79">
        <f>IF('Equipment Information'!B79="","", 'Equipment Information'!B79)</f>
        <v/>
      </c>
      <c r="C79">
        <f>IF('Equipment Information'!C79="","", 'Equipment Information'!C79)</f>
        <v/>
      </c>
      <c r="H79">
        <f>IF(A79="","","N/A")</f>
        <v/>
      </c>
    </row>
    <row r="80">
      <c r="A80">
        <f>IF('Equipment Information'!A80="","", 'Equipment Information'!A80)</f>
        <v/>
      </c>
      <c r="B80">
        <f>IF('Equipment Information'!B80="","", 'Equipment Information'!B80)</f>
        <v/>
      </c>
      <c r="C80">
        <f>IF('Equipment Information'!C80="","", 'Equipment Information'!C80)</f>
        <v/>
      </c>
      <c r="H80">
        <f>IF(A80="","","N/A")</f>
        <v/>
      </c>
    </row>
    <row r="81">
      <c r="A81">
        <f>IF('Equipment Information'!A81="","", 'Equipment Information'!A81)</f>
        <v/>
      </c>
      <c r="B81">
        <f>IF('Equipment Information'!B81="","", 'Equipment Information'!B81)</f>
        <v/>
      </c>
      <c r="C81">
        <f>IF('Equipment Information'!C81="","", 'Equipment Information'!C81)</f>
        <v/>
      </c>
      <c r="H81">
        <f>IF(A81="","","N/A")</f>
        <v/>
      </c>
    </row>
    <row r="82">
      <c r="A82">
        <f>IF('Equipment Information'!A82="","", 'Equipment Information'!A82)</f>
        <v/>
      </c>
      <c r="B82">
        <f>IF('Equipment Information'!B82="","", 'Equipment Information'!B82)</f>
        <v/>
      </c>
      <c r="C82">
        <f>IF('Equipment Information'!C82="","", 'Equipment Information'!C82)</f>
        <v/>
      </c>
      <c r="H82">
        <f>IF(A82="","","N/A")</f>
        <v/>
      </c>
    </row>
    <row r="83">
      <c r="A83">
        <f>IF('Equipment Information'!A83="","", 'Equipment Information'!A83)</f>
        <v/>
      </c>
      <c r="B83">
        <f>IF('Equipment Information'!B83="","", 'Equipment Information'!B83)</f>
        <v/>
      </c>
      <c r="C83">
        <f>IF('Equipment Information'!C83="","", 'Equipment Information'!C83)</f>
        <v/>
      </c>
      <c r="H83">
        <f>IF(A83="","","N/A")</f>
        <v/>
      </c>
    </row>
    <row r="84">
      <c r="A84">
        <f>IF('Equipment Information'!A84="","", 'Equipment Information'!A84)</f>
        <v/>
      </c>
      <c r="B84">
        <f>IF('Equipment Information'!B84="","", 'Equipment Information'!B84)</f>
        <v/>
      </c>
      <c r="C84">
        <f>IF('Equipment Information'!C84="","", 'Equipment Information'!C84)</f>
        <v/>
      </c>
      <c r="H84">
        <f>IF(A84="","","N/A")</f>
        <v/>
      </c>
    </row>
    <row r="85">
      <c r="A85">
        <f>IF('Equipment Information'!A85="","", 'Equipment Information'!A85)</f>
        <v/>
      </c>
      <c r="B85">
        <f>IF('Equipment Information'!B85="","", 'Equipment Information'!B85)</f>
        <v/>
      </c>
      <c r="C85">
        <f>IF('Equipment Information'!C85="","", 'Equipment Information'!C85)</f>
        <v/>
      </c>
      <c r="H85">
        <f>IF(A85="","","N/A")</f>
        <v/>
      </c>
    </row>
    <row r="86">
      <c r="A86">
        <f>IF('Equipment Information'!A86="","", 'Equipment Information'!A86)</f>
        <v/>
      </c>
      <c r="B86">
        <f>IF('Equipment Information'!B86="","", 'Equipment Information'!B86)</f>
        <v/>
      </c>
      <c r="C86">
        <f>IF('Equipment Information'!C86="","", 'Equipment Information'!C86)</f>
        <v/>
      </c>
      <c r="H86">
        <f>IF(A86="","","N/A")</f>
        <v/>
      </c>
    </row>
    <row r="87">
      <c r="A87">
        <f>IF('Equipment Information'!A87="","", 'Equipment Information'!A87)</f>
        <v/>
      </c>
      <c r="B87">
        <f>IF('Equipment Information'!B87="","", 'Equipment Information'!B87)</f>
        <v/>
      </c>
      <c r="C87">
        <f>IF('Equipment Information'!C87="","", 'Equipment Information'!C87)</f>
        <v/>
      </c>
      <c r="H87">
        <f>IF(A87="","","N/A")</f>
        <v/>
      </c>
    </row>
    <row r="88">
      <c r="A88">
        <f>IF('Equipment Information'!A88="","", 'Equipment Information'!A88)</f>
        <v/>
      </c>
      <c r="B88">
        <f>IF('Equipment Information'!B88="","", 'Equipment Information'!B88)</f>
        <v/>
      </c>
      <c r="C88">
        <f>IF('Equipment Information'!C88="","", 'Equipment Information'!C88)</f>
        <v/>
      </c>
      <c r="H88">
        <f>IF(A88="","","N/A")</f>
        <v/>
      </c>
    </row>
    <row r="89">
      <c r="A89">
        <f>IF('Equipment Information'!A89="","", 'Equipment Information'!A89)</f>
        <v/>
      </c>
      <c r="B89">
        <f>IF('Equipment Information'!B89="","", 'Equipment Information'!B89)</f>
        <v/>
      </c>
      <c r="C89">
        <f>IF('Equipment Information'!C89="","", 'Equipment Information'!C89)</f>
        <v/>
      </c>
      <c r="H89">
        <f>IF(A89="","","N/A")</f>
        <v/>
      </c>
    </row>
    <row r="90">
      <c r="A90">
        <f>IF('Equipment Information'!A90="","", 'Equipment Information'!A90)</f>
        <v/>
      </c>
      <c r="B90">
        <f>IF('Equipment Information'!B90="","", 'Equipment Information'!B90)</f>
        <v/>
      </c>
      <c r="C90">
        <f>IF('Equipment Information'!C90="","", 'Equipment Information'!C90)</f>
        <v/>
      </c>
      <c r="H90">
        <f>IF(A90="","","N/A")</f>
        <v/>
      </c>
    </row>
    <row r="91">
      <c r="A91">
        <f>IF('Equipment Information'!A91="","", 'Equipment Information'!A91)</f>
        <v/>
      </c>
      <c r="B91">
        <f>IF('Equipment Information'!B91="","", 'Equipment Information'!B91)</f>
        <v/>
      </c>
      <c r="C91">
        <f>IF('Equipment Information'!C91="","", 'Equipment Information'!C91)</f>
        <v/>
      </c>
      <c r="H91">
        <f>IF(A91="","","N/A")</f>
        <v/>
      </c>
    </row>
    <row r="92">
      <c r="A92">
        <f>IF('Equipment Information'!A92="","", 'Equipment Information'!A92)</f>
        <v/>
      </c>
      <c r="B92">
        <f>IF('Equipment Information'!B92="","", 'Equipment Information'!B92)</f>
        <v/>
      </c>
      <c r="C92">
        <f>IF('Equipment Information'!C92="","", 'Equipment Information'!C92)</f>
        <v/>
      </c>
      <c r="H92">
        <f>IF(A92="","","N/A")</f>
        <v/>
      </c>
    </row>
    <row r="93">
      <c r="A93">
        <f>IF('Equipment Information'!A93="","", 'Equipment Information'!A93)</f>
        <v/>
      </c>
      <c r="B93">
        <f>IF('Equipment Information'!B93="","", 'Equipment Information'!B93)</f>
        <v/>
      </c>
      <c r="C93">
        <f>IF('Equipment Information'!C93="","", 'Equipment Information'!C93)</f>
        <v/>
      </c>
      <c r="H93">
        <f>IF(A93="","","N/A")</f>
        <v/>
      </c>
    </row>
    <row r="94">
      <c r="A94">
        <f>IF('Equipment Information'!A94="","", 'Equipment Information'!A94)</f>
        <v/>
      </c>
      <c r="B94">
        <f>IF('Equipment Information'!B94="","", 'Equipment Information'!B94)</f>
        <v/>
      </c>
      <c r="C94">
        <f>IF('Equipment Information'!C94="","", 'Equipment Information'!C94)</f>
        <v/>
      </c>
      <c r="H94">
        <f>IF(A94="","","N/A")</f>
        <v/>
      </c>
    </row>
    <row r="95">
      <c r="A95">
        <f>IF('Equipment Information'!A95="","", 'Equipment Information'!A95)</f>
        <v/>
      </c>
      <c r="B95">
        <f>IF('Equipment Information'!B95="","", 'Equipment Information'!B95)</f>
        <v/>
      </c>
      <c r="C95">
        <f>IF('Equipment Information'!C95="","", 'Equipment Information'!C95)</f>
        <v/>
      </c>
      <c r="H95">
        <f>IF(A95="","","N/A")</f>
        <v/>
      </c>
    </row>
    <row r="96">
      <c r="A96">
        <f>IF('Equipment Information'!A96="","", 'Equipment Information'!A96)</f>
        <v/>
      </c>
      <c r="B96">
        <f>IF('Equipment Information'!B96="","", 'Equipment Information'!B96)</f>
        <v/>
      </c>
      <c r="C96">
        <f>IF('Equipment Information'!C96="","", 'Equipment Information'!C96)</f>
        <v/>
      </c>
      <c r="H96">
        <f>IF(A96="","","N/A")</f>
        <v/>
      </c>
    </row>
    <row r="97">
      <c r="A97">
        <f>IF('Equipment Information'!A97="","", 'Equipment Information'!A97)</f>
        <v/>
      </c>
      <c r="B97">
        <f>IF('Equipment Information'!B97="","", 'Equipment Information'!B97)</f>
        <v/>
      </c>
      <c r="C97">
        <f>IF('Equipment Information'!C97="","", 'Equipment Information'!C97)</f>
        <v/>
      </c>
      <c r="H97">
        <f>IF(A97="","","N/A")</f>
        <v/>
      </c>
    </row>
    <row r="98">
      <c r="A98">
        <f>IF('Equipment Information'!A98="","", 'Equipment Information'!A98)</f>
        <v/>
      </c>
      <c r="B98">
        <f>IF('Equipment Information'!B98="","", 'Equipment Information'!B98)</f>
        <v/>
      </c>
      <c r="C98">
        <f>IF('Equipment Information'!C98="","", 'Equipment Information'!C98)</f>
        <v/>
      </c>
      <c r="H98">
        <f>IF(A98="","","N/A")</f>
        <v/>
      </c>
    </row>
    <row r="99">
      <c r="A99">
        <f>IF('Equipment Information'!A99="","", 'Equipment Information'!A99)</f>
        <v/>
      </c>
      <c r="B99">
        <f>IF('Equipment Information'!B99="","", 'Equipment Information'!B99)</f>
        <v/>
      </c>
      <c r="C99">
        <f>IF('Equipment Information'!C99="","", 'Equipment Information'!C99)</f>
        <v/>
      </c>
      <c r="H99">
        <f>IF(A99="","","N/A")</f>
        <v/>
      </c>
    </row>
    <row r="100">
      <c r="A100">
        <f>IF('Equipment Information'!A100="","", 'Equipment Information'!A100)</f>
        <v/>
      </c>
      <c r="B100">
        <f>IF('Equipment Information'!B100="","", 'Equipment Information'!B100)</f>
        <v/>
      </c>
      <c r="C100">
        <f>IF('Equipment Information'!C100="","", 'Equipment Information'!C100)</f>
        <v/>
      </c>
      <c r="H100">
        <f>IF(A100="","","N/A")</f>
        <v/>
      </c>
    </row>
    <row r="101">
      <c r="A101">
        <f>IF('Equipment Information'!A101="","", 'Equipment Information'!A101)</f>
        <v/>
      </c>
      <c r="B101">
        <f>IF('Equipment Information'!B101="","", 'Equipment Information'!B101)</f>
        <v/>
      </c>
      <c r="C101">
        <f>IF('Equipment Information'!C101="","", 'Equipment Information'!C101)</f>
        <v/>
      </c>
      <c r="H101">
        <f>IF(A101="","","N/A")</f>
        <v/>
      </c>
    </row>
    <row r="102">
      <c r="A102">
        <f>IF('Equipment Information'!A102="","", 'Equipment Information'!A102)</f>
        <v/>
      </c>
      <c r="B102">
        <f>IF('Equipment Information'!B102="","", 'Equipment Information'!B102)</f>
        <v/>
      </c>
      <c r="C102">
        <f>IF('Equipment Information'!C102="","", 'Equipment Information'!C102)</f>
        <v/>
      </c>
      <c r="H102">
        <f>IF(A102="","","N/A")</f>
        <v/>
      </c>
    </row>
    <row r="103">
      <c r="A103">
        <f>IF('Equipment Information'!A103="","", 'Equipment Information'!A103)</f>
        <v/>
      </c>
      <c r="B103">
        <f>IF('Equipment Information'!B103="","", 'Equipment Information'!B103)</f>
        <v/>
      </c>
      <c r="C103">
        <f>IF('Equipment Information'!C103="","", 'Equipment Information'!C103)</f>
        <v/>
      </c>
      <c r="H103">
        <f>IF(A103="","","N/A")</f>
        <v/>
      </c>
    </row>
    <row r="104">
      <c r="A104">
        <f>IF('Equipment Information'!A104="","", 'Equipment Information'!A104)</f>
        <v/>
      </c>
      <c r="B104">
        <f>IF('Equipment Information'!B104="","", 'Equipment Information'!B104)</f>
        <v/>
      </c>
      <c r="C104">
        <f>IF('Equipment Information'!C104="","", 'Equipment Information'!C104)</f>
        <v/>
      </c>
      <c r="H104">
        <f>IF(A104="","","N/A")</f>
        <v/>
      </c>
    </row>
    <row r="105">
      <c r="A105">
        <f>IF('Equipment Information'!A105="","", 'Equipment Information'!A105)</f>
        <v/>
      </c>
      <c r="B105">
        <f>IF('Equipment Information'!B105="","", 'Equipment Information'!B105)</f>
        <v/>
      </c>
      <c r="C105">
        <f>IF('Equipment Information'!C105="","", 'Equipment Information'!C105)</f>
        <v/>
      </c>
      <c r="H105">
        <f>IF(A105="","","N/A")</f>
        <v/>
      </c>
    </row>
    <row r="106">
      <c r="A106">
        <f>IF('Equipment Information'!A106="","", 'Equipment Information'!A106)</f>
        <v/>
      </c>
      <c r="B106">
        <f>IF('Equipment Information'!B106="","", 'Equipment Information'!B106)</f>
        <v/>
      </c>
      <c r="C106">
        <f>IF('Equipment Information'!C106="","", 'Equipment Information'!C106)</f>
        <v/>
      </c>
      <c r="H106">
        <f>IF(A106="","","N/A")</f>
        <v/>
      </c>
    </row>
    <row r="107">
      <c r="A107">
        <f>IF('Equipment Information'!A107="","", 'Equipment Information'!A107)</f>
        <v/>
      </c>
      <c r="B107">
        <f>IF('Equipment Information'!B107="","", 'Equipment Information'!B107)</f>
        <v/>
      </c>
      <c r="C107">
        <f>IF('Equipment Information'!C107="","", 'Equipment Information'!C107)</f>
        <v/>
      </c>
      <c r="H107">
        <f>IF(A107="","","N/A")</f>
        <v/>
      </c>
    </row>
    <row r="108">
      <c r="A108">
        <f>IF('Equipment Information'!A108="","", 'Equipment Information'!A108)</f>
        <v/>
      </c>
      <c r="B108">
        <f>IF('Equipment Information'!B108="","", 'Equipment Information'!B108)</f>
        <v/>
      </c>
      <c r="C108">
        <f>IF('Equipment Information'!C108="","", 'Equipment Information'!C108)</f>
        <v/>
      </c>
      <c r="H108">
        <f>IF(A108="","","N/A")</f>
        <v/>
      </c>
    </row>
    <row r="109">
      <c r="A109">
        <f>IF('Equipment Information'!A109="","", 'Equipment Information'!A109)</f>
        <v/>
      </c>
      <c r="B109">
        <f>IF('Equipment Information'!B109="","", 'Equipment Information'!B109)</f>
        <v/>
      </c>
      <c r="C109">
        <f>IF('Equipment Information'!C109="","", 'Equipment Information'!C109)</f>
        <v/>
      </c>
      <c r="H109">
        <f>IF(A109="","","N/A")</f>
        <v/>
      </c>
    </row>
    <row r="110">
      <c r="A110">
        <f>IF('Equipment Information'!A110="","", 'Equipment Information'!A110)</f>
        <v/>
      </c>
      <c r="B110">
        <f>IF('Equipment Information'!B110="","", 'Equipment Information'!B110)</f>
        <v/>
      </c>
      <c r="C110">
        <f>IF('Equipment Information'!C110="","", 'Equipment Information'!C110)</f>
        <v/>
      </c>
      <c r="H110">
        <f>IF(A110="","","N/A")</f>
        <v/>
      </c>
    </row>
    <row r="111">
      <c r="A111">
        <f>IF('Equipment Information'!A111="","", 'Equipment Information'!A111)</f>
        <v/>
      </c>
      <c r="B111">
        <f>IF('Equipment Information'!B111="","", 'Equipment Information'!B111)</f>
        <v/>
      </c>
      <c r="C111">
        <f>IF('Equipment Information'!C111="","", 'Equipment Information'!C111)</f>
        <v/>
      </c>
      <c r="H111">
        <f>IF(A111="","","N/A")</f>
        <v/>
      </c>
    </row>
    <row r="112">
      <c r="A112">
        <f>IF('Equipment Information'!A112="","", 'Equipment Information'!A112)</f>
        <v/>
      </c>
      <c r="B112">
        <f>IF('Equipment Information'!B112="","", 'Equipment Information'!B112)</f>
        <v/>
      </c>
      <c r="C112">
        <f>IF('Equipment Information'!C112="","", 'Equipment Information'!C112)</f>
        <v/>
      </c>
      <c r="H112">
        <f>IF(A112="","","N/A")</f>
        <v/>
      </c>
    </row>
    <row r="113">
      <c r="A113">
        <f>IF('Equipment Information'!A113="","", 'Equipment Information'!A113)</f>
        <v/>
      </c>
      <c r="B113">
        <f>IF('Equipment Information'!B113="","", 'Equipment Information'!B113)</f>
        <v/>
      </c>
      <c r="C113">
        <f>IF('Equipment Information'!C113="","", 'Equipment Information'!C113)</f>
        <v/>
      </c>
      <c r="H113">
        <f>IF(A113="","","N/A")</f>
        <v/>
      </c>
    </row>
    <row r="114">
      <c r="A114">
        <f>IF('Equipment Information'!A114="","", 'Equipment Information'!A114)</f>
        <v/>
      </c>
      <c r="B114">
        <f>IF('Equipment Information'!B114="","", 'Equipment Information'!B114)</f>
        <v/>
      </c>
      <c r="C114">
        <f>IF('Equipment Information'!C114="","", 'Equipment Information'!C114)</f>
        <v/>
      </c>
      <c r="H114">
        <f>IF(A114="","","N/A")</f>
        <v/>
      </c>
    </row>
    <row r="115">
      <c r="A115">
        <f>IF('Equipment Information'!A115="","", 'Equipment Information'!A115)</f>
        <v/>
      </c>
      <c r="B115">
        <f>IF('Equipment Information'!B115="","", 'Equipment Information'!B115)</f>
        <v/>
      </c>
      <c r="C115">
        <f>IF('Equipment Information'!C115="","", 'Equipment Information'!C115)</f>
        <v/>
      </c>
      <c r="H115">
        <f>IF(A115="","","N/A")</f>
        <v/>
      </c>
    </row>
    <row r="116">
      <c r="A116">
        <f>IF('Equipment Information'!A116="","", 'Equipment Information'!A116)</f>
        <v/>
      </c>
      <c r="B116">
        <f>IF('Equipment Information'!B116="","", 'Equipment Information'!B116)</f>
        <v/>
      </c>
      <c r="C116">
        <f>IF('Equipment Information'!C116="","", 'Equipment Information'!C116)</f>
        <v/>
      </c>
      <c r="H116">
        <f>IF(A116="","","N/A")</f>
        <v/>
      </c>
    </row>
    <row r="117">
      <c r="A117">
        <f>IF('Equipment Information'!A117="","", 'Equipment Information'!A117)</f>
        <v/>
      </c>
      <c r="B117">
        <f>IF('Equipment Information'!B117="","", 'Equipment Information'!B117)</f>
        <v/>
      </c>
      <c r="C117">
        <f>IF('Equipment Information'!C117="","", 'Equipment Information'!C117)</f>
        <v/>
      </c>
      <c r="H117">
        <f>IF(A117="","","N/A")</f>
        <v/>
      </c>
    </row>
    <row r="118">
      <c r="A118">
        <f>IF('Equipment Information'!A118="","", 'Equipment Information'!A118)</f>
        <v/>
      </c>
      <c r="B118">
        <f>IF('Equipment Information'!B118="","", 'Equipment Information'!B118)</f>
        <v/>
      </c>
      <c r="C118">
        <f>IF('Equipment Information'!C118="","", 'Equipment Information'!C118)</f>
        <v/>
      </c>
      <c r="H118">
        <f>IF(A118="","","N/A")</f>
        <v/>
      </c>
    </row>
    <row r="119">
      <c r="A119">
        <f>IF('Equipment Information'!A119="","", 'Equipment Information'!A119)</f>
        <v/>
      </c>
      <c r="B119">
        <f>IF('Equipment Information'!B119="","", 'Equipment Information'!B119)</f>
        <v/>
      </c>
      <c r="C119">
        <f>IF('Equipment Information'!C119="","", 'Equipment Information'!C119)</f>
        <v/>
      </c>
      <c r="H119">
        <f>IF(A119="","","N/A")</f>
        <v/>
      </c>
    </row>
    <row r="120">
      <c r="A120">
        <f>IF('Equipment Information'!A120="","", 'Equipment Information'!A120)</f>
        <v/>
      </c>
      <c r="B120">
        <f>IF('Equipment Information'!B120="","", 'Equipment Information'!B120)</f>
        <v/>
      </c>
      <c r="C120">
        <f>IF('Equipment Information'!C120="","", 'Equipment Information'!C120)</f>
        <v/>
      </c>
      <c r="H120">
        <f>IF(A120="","","N/A")</f>
        <v/>
      </c>
    </row>
    <row r="121">
      <c r="A121">
        <f>IF('Equipment Information'!A121="","", 'Equipment Information'!A121)</f>
        <v/>
      </c>
      <c r="B121">
        <f>IF('Equipment Information'!B121="","", 'Equipment Information'!B121)</f>
        <v/>
      </c>
      <c r="C121">
        <f>IF('Equipment Information'!C121="","", 'Equipment Information'!C121)</f>
        <v/>
      </c>
      <c r="H121">
        <f>IF(A121="","","N/A")</f>
        <v/>
      </c>
    </row>
    <row r="122">
      <c r="A122">
        <f>IF('Equipment Information'!A122="","", 'Equipment Information'!A122)</f>
        <v/>
      </c>
      <c r="B122">
        <f>IF('Equipment Information'!B122="","", 'Equipment Information'!B122)</f>
        <v/>
      </c>
      <c r="C122">
        <f>IF('Equipment Information'!C122="","", 'Equipment Information'!C122)</f>
        <v/>
      </c>
      <c r="H122">
        <f>IF(A122="","","N/A")</f>
        <v/>
      </c>
    </row>
    <row r="123">
      <c r="A123">
        <f>IF('Equipment Information'!A123="","", 'Equipment Information'!A123)</f>
        <v/>
      </c>
      <c r="B123">
        <f>IF('Equipment Information'!B123="","", 'Equipment Information'!B123)</f>
        <v/>
      </c>
      <c r="C123">
        <f>IF('Equipment Information'!C123="","", 'Equipment Information'!C123)</f>
        <v/>
      </c>
      <c r="H123">
        <f>IF(A123="","","N/A")</f>
        <v/>
      </c>
    </row>
    <row r="124">
      <c r="A124">
        <f>IF('Equipment Information'!A124="","", 'Equipment Information'!A124)</f>
        <v/>
      </c>
      <c r="B124">
        <f>IF('Equipment Information'!B124="","", 'Equipment Information'!B124)</f>
        <v/>
      </c>
      <c r="C124">
        <f>IF('Equipment Information'!C124="","", 'Equipment Information'!C124)</f>
        <v/>
      </c>
      <c r="H124">
        <f>IF(A124="","","N/A")</f>
        <v/>
      </c>
    </row>
    <row r="125">
      <c r="A125">
        <f>IF('Equipment Information'!A125="","", 'Equipment Information'!A125)</f>
        <v/>
      </c>
      <c r="B125">
        <f>IF('Equipment Information'!B125="","", 'Equipment Information'!B125)</f>
        <v/>
      </c>
      <c r="C125">
        <f>IF('Equipment Information'!C125="","", 'Equipment Information'!C125)</f>
        <v/>
      </c>
      <c r="H125">
        <f>IF(A125="","","N/A")</f>
        <v/>
      </c>
    </row>
    <row r="126">
      <c r="A126">
        <f>IF('Equipment Information'!A126="","", 'Equipment Information'!A126)</f>
        <v/>
      </c>
      <c r="B126">
        <f>IF('Equipment Information'!B126="","", 'Equipment Information'!B126)</f>
        <v/>
      </c>
      <c r="C126">
        <f>IF('Equipment Information'!C126="","", 'Equipment Information'!C126)</f>
        <v/>
      </c>
      <c r="H126">
        <f>IF(A126="","","N/A")</f>
        <v/>
      </c>
    </row>
    <row r="127">
      <c r="A127">
        <f>IF('Equipment Information'!A127="","", 'Equipment Information'!A127)</f>
        <v/>
      </c>
      <c r="B127">
        <f>IF('Equipment Information'!B127="","", 'Equipment Information'!B127)</f>
        <v/>
      </c>
      <c r="C127">
        <f>IF('Equipment Information'!C127="","", 'Equipment Information'!C127)</f>
        <v/>
      </c>
      <c r="H127">
        <f>IF(A127="","","N/A")</f>
        <v/>
      </c>
    </row>
    <row r="128">
      <c r="A128">
        <f>IF('Equipment Information'!A128="","", 'Equipment Information'!A128)</f>
        <v/>
      </c>
      <c r="B128">
        <f>IF('Equipment Information'!B128="","", 'Equipment Information'!B128)</f>
        <v/>
      </c>
      <c r="C128">
        <f>IF('Equipment Information'!C128="","", 'Equipment Information'!C128)</f>
        <v/>
      </c>
      <c r="H128">
        <f>IF(A128="","","N/A")</f>
        <v/>
      </c>
    </row>
    <row r="129">
      <c r="A129">
        <f>IF('Equipment Information'!A129="","", 'Equipment Information'!A129)</f>
        <v/>
      </c>
      <c r="B129">
        <f>IF('Equipment Information'!B129="","", 'Equipment Information'!B129)</f>
        <v/>
      </c>
      <c r="C129">
        <f>IF('Equipment Information'!C129="","", 'Equipment Information'!C129)</f>
        <v/>
      </c>
      <c r="H129">
        <f>IF(A129="","","N/A")</f>
        <v/>
      </c>
    </row>
    <row r="130">
      <c r="A130">
        <f>IF('Equipment Information'!A130="","", 'Equipment Information'!A130)</f>
        <v/>
      </c>
      <c r="B130">
        <f>IF('Equipment Information'!B130="","", 'Equipment Information'!B130)</f>
        <v/>
      </c>
      <c r="C130">
        <f>IF('Equipment Information'!C130="","", 'Equipment Information'!C130)</f>
        <v/>
      </c>
      <c r="H130">
        <f>IF(A130="","","N/A")</f>
        <v/>
      </c>
    </row>
    <row r="131">
      <c r="A131">
        <f>IF('Equipment Information'!A131="","", 'Equipment Information'!A131)</f>
        <v/>
      </c>
      <c r="B131">
        <f>IF('Equipment Information'!B131="","", 'Equipment Information'!B131)</f>
        <v/>
      </c>
      <c r="C131">
        <f>IF('Equipment Information'!C131="","", 'Equipment Information'!C131)</f>
        <v/>
      </c>
      <c r="H131">
        <f>IF(A131="","","N/A")</f>
        <v/>
      </c>
    </row>
    <row r="132">
      <c r="A132">
        <f>IF('Equipment Information'!A132="","", 'Equipment Information'!A132)</f>
        <v/>
      </c>
      <c r="B132">
        <f>IF('Equipment Information'!B132="","", 'Equipment Information'!B132)</f>
        <v/>
      </c>
      <c r="C132">
        <f>IF('Equipment Information'!C132="","", 'Equipment Information'!C132)</f>
        <v/>
      </c>
      <c r="H132">
        <f>IF(A132="","","N/A")</f>
        <v/>
      </c>
    </row>
    <row r="133">
      <c r="A133">
        <f>IF('Equipment Information'!A133="","", 'Equipment Information'!A133)</f>
        <v/>
      </c>
      <c r="B133">
        <f>IF('Equipment Information'!B133="","", 'Equipment Information'!B133)</f>
        <v/>
      </c>
      <c r="C133">
        <f>IF('Equipment Information'!C133="","", 'Equipment Information'!C133)</f>
        <v/>
      </c>
      <c r="H133">
        <f>IF(A133="","","N/A")</f>
        <v/>
      </c>
    </row>
    <row r="134">
      <c r="A134">
        <f>IF('Equipment Information'!A134="","", 'Equipment Information'!A134)</f>
        <v/>
      </c>
      <c r="B134">
        <f>IF('Equipment Information'!B134="","", 'Equipment Information'!B134)</f>
        <v/>
      </c>
      <c r="C134">
        <f>IF('Equipment Information'!C134="","", 'Equipment Information'!C134)</f>
        <v/>
      </c>
      <c r="H134">
        <f>IF(A134="","","N/A")</f>
        <v/>
      </c>
    </row>
    <row r="135">
      <c r="A135">
        <f>IF('Equipment Information'!A135="","", 'Equipment Information'!A135)</f>
        <v/>
      </c>
      <c r="B135">
        <f>IF('Equipment Information'!B135="","", 'Equipment Information'!B135)</f>
        <v/>
      </c>
      <c r="C135">
        <f>IF('Equipment Information'!C135="","", 'Equipment Information'!C135)</f>
        <v/>
      </c>
      <c r="H135">
        <f>IF(A135="","","N/A")</f>
        <v/>
      </c>
    </row>
    <row r="136">
      <c r="A136">
        <f>IF('Equipment Information'!A136="","", 'Equipment Information'!A136)</f>
        <v/>
      </c>
      <c r="B136">
        <f>IF('Equipment Information'!B136="","", 'Equipment Information'!B136)</f>
        <v/>
      </c>
      <c r="C136">
        <f>IF('Equipment Information'!C136="","", 'Equipment Information'!C136)</f>
        <v/>
      </c>
      <c r="H136">
        <f>IF(A136="","","N/A")</f>
        <v/>
      </c>
    </row>
    <row r="137">
      <c r="A137">
        <f>IF('Equipment Information'!A137="","", 'Equipment Information'!A137)</f>
        <v/>
      </c>
      <c r="B137">
        <f>IF('Equipment Information'!B137="","", 'Equipment Information'!B137)</f>
        <v/>
      </c>
      <c r="C137">
        <f>IF('Equipment Information'!C137="","", 'Equipment Information'!C137)</f>
        <v/>
      </c>
      <c r="H137">
        <f>IF(A137="","","N/A")</f>
        <v/>
      </c>
    </row>
    <row r="138">
      <c r="A138">
        <f>IF('Equipment Information'!A138="","", 'Equipment Information'!A138)</f>
        <v/>
      </c>
      <c r="B138">
        <f>IF('Equipment Information'!B138="","", 'Equipment Information'!B138)</f>
        <v/>
      </c>
      <c r="C138">
        <f>IF('Equipment Information'!C138="","", 'Equipment Information'!C138)</f>
        <v/>
      </c>
      <c r="H138">
        <f>IF(A138="","","N/A")</f>
        <v/>
      </c>
    </row>
    <row r="139">
      <c r="A139">
        <f>IF('Equipment Information'!A139="","", 'Equipment Information'!A139)</f>
        <v/>
      </c>
      <c r="B139">
        <f>IF('Equipment Information'!B139="","", 'Equipment Information'!B139)</f>
        <v/>
      </c>
      <c r="C139">
        <f>IF('Equipment Information'!C139="","", 'Equipment Information'!C139)</f>
        <v/>
      </c>
      <c r="H139">
        <f>IF(A139="","","N/A")</f>
        <v/>
      </c>
    </row>
    <row r="140">
      <c r="A140">
        <f>IF('Equipment Information'!A140="","", 'Equipment Information'!A140)</f>
        <v/>
      </c>
      <c r="B140">
        <f>IF('Equipment Information'!B140="","", 'Equipment Information'!B140)</f>
        <v/>
      </c>
      <c r="C140">
        <f>IF('Equipment Information'!C140="","", 'Equipment Information'!C140)</f>
        <v/>
      </c>
      <c r="H140">
        <f>IF(A140="","","N/A")</f>
        <v/>
      </c>
    </row>
    <row r="141">
      <c r="A141">
        <f>IF('Equipment Information'!A141="","", 'Equipment Information'!A141)</f>
        <v/>
      </c>
      <c r="B141">
        <f>IF('Equipment Information'!B141="","", 'Equipment Information'!B141)</f>
        <v/>
      </c>
      <c r="C141">
        <f>IF('Equipment Information'!C141="","", 'Equipment Information'!C141)</f>
        <v/>
      </c>
      <c r="H141">
        <f>IF(A141="","","N/A")</f>
        <v/>
      </c>
    </row>
    <row r="142">
      <c r="A142">
        <f>IF('Equipment Information'!A142="","", 'Equipment Information'!A142)</f>
        <v/>
      </c>
      <c r="B142">
        <f>IF('Equipment Information'!B142="","", 'Equipment Information'!B142)</f>
        <v/>
      </c>
      <c r="C142">
        <f>IF('Equipment Information'!C142="","", 'Equipment Information'!C142)</f>
        <v/>
      </c>
      <c r="H142">
        <f>IF(A142="","","N/A")</f>
        <v/>
      </c>
    </row>
    <row r="143">
      <c r="A143">
        <f>IF('Equipment Information'!A143="","", 'Equipment Information'!A143)</f>
        <v/>
      </c>
      <c r="B143">
        <f>IF('Equipment Information'!B143="","", 'Equipment Information'!B143)</f>
        <v/>
      </c>
      <c r="C143">
        <f>IF('Equipment Information'!C143="","", 'Equipment Information'!C143)</f>
        <v/>
      </c>
      <c r="H143">
        <f>IF(A143="","","N/A")</f>
        <v/>
      </c>
    </row>
    <row r="144">
      <c r="A144">
        <f>IF('Equipment Information'!A144="","", 'Equipment Information'!A144)</f>
        <v/>
      </c>
      <c r="B144">
        <f>IF('Equipment Information'!B144="","", 'Equipment Information'!B144)</f>
        <v/>
      </c>
      <c r="C144">
        <f>IF('Equipment Information'!C144="","", 'Equipment Information'!C144)</f>
        <v/>
      </c>
      <c r="H144">
        <f>IF(A144="","","N/A")</f>
        <v/>
      </c>
    </row>
    <row r="145">
      <c r="A145">
        <f>IF('Equipment Information'!A145="","", 'Equipment Information'!A145)</f>
        <v/>
      </c>
      <c r="B145">
        <f>IF('Equipment Information'!B145="","", 'Equipment Information'!B145)</f>
        <v/>
      </c>
      <c r="C145">
        <f>IF('Equipment Information'!C145="","", 'Equipment Information'!C145)</f>
        <v/>
      </c>
      <c r="H145">
        <f>IF(A145="","","N/A")</f>
        <v/>
      </c>
    </row>
    <row r="146">
      <c r="A146">
        <f>IF('Equipment Information'!A146="","", 'Equipment Information'!A146)</f>
        <v/>
      </c>
      <c r="B146">
        <f>IF('Equipment Information'!B146="","", 'Equipment Information'!B146)</f>
        <v/>
      </c>
      <c r="C146">
        <f>IF('Equipment Information'!C146="","", 'Equipment Information'!C146)</f>
        <v/>
      </c>
      <c r="H146">
        <f>IF(A146="","","N/A")</f>
        <v/>
      </c>
    </row>
    <row r="147">
      <c r="A147">
        <f>IF('Equipment Information'!A147="","", 'Equipment Information'!A147)</f>
        <v/>
      </c>
      <c r="B147">
        <f>IF('Equipment Information'!B147="","", 'Equipment Information'!B147)</f>
        <v/>
      </c>
      <c r="C147">
        <f>IF('Equipment Information'!C147="","", 'Equipment Information'!C147)</f>
        <v/>
      </c>
      <c r="H147">
        <f>IF(A147="","","N/A")</f>
        <v/>
      </c>
    </row>
    <row r="148">
      <c r="A148">
        <f>IF('Equipment Information'!A148="","", 'Equipment Information'!A148)</f>
        <v/>
      </c>
      <c r="B148">
        <f>IF('Equipment Information'!B148="","", 'Equipment Information'!B148)</f>
        <v/>
      </c>
      <c r="C148">
        <f>IF('Equipment Information'!C148="","", 'Equipment Information'!C148)</f>
        <v/>
      </c>
      <c r="H148">
        <f>IF(A148="","","N/A")</f>
        <v/>
      </c>
    </row>
    <row r="149">
      <c r="A149">
        <f>IF('Equipment Information'!A149="","", 'Equipment Information'!A149)</f>
        <v/>
      </c>
      <c r="B149">
        <f>IF('Equipment Information'!B149="","", 'Equipment Information'!B149)</f>
        <v/>
      </c>
      <c r="C149">
        <f>IF('Equipment Information'!C149="","", 'Equipment Information'!C149)</f>
        <v/>
      </c>
      <c r="H149">
        <f>IF(A149="","","N/A")</f>
        <v/>
      </c>
    </row>
    <row r="150">
      <c r="A150">
        <f>IF('Equipment Information'!A150="","", 'Equipment Information'!A150)</f>
        <v/>
      </c>
      <c r="B150">
        <f>IF('Equipment Information'!B150="","", 'Equipment Information'!B150)</f>
        <v/>
      </c>
      <c r="C150">
        <f>IF('Equipment Information'!C150="","", 'Equipment Information'!C150)</f>
        <v/>
      </c>
      <c r="H150">
        <f>IF(A150="","","N/A")</f>
        <v/>
      </c>
    </row>
    <row r="151">
      <c r="A151">
        <f>IF('Equipment Information'!A151="","", 'Equipment Information'!A151)</f>
        <v/>
      </c>
      <c r="B151">
        <f>IF('Equipment Information'!B151="","", 'Equipment Information'!B151)</f>
        <v/>
      </c>
      <c r="C151">
        <f>IF('Equipment Information'!C151="","", 'Equipment Information'!C151)</f>
        <v/>
      </c>
      <c r="H151">
        <f>IF(A151="","","N/A")</f>
        <v/>
      </c>
    </row>
    <row r="152">
      <c r="A152">
        <f>IF('Equipment Information'!A152="","", 'Equipment Information'!A152)</f>
        <v/>
      </c>
      <c r="B152">
        <f>IF('Equipment Information'!B152="","", 'Equipment Information'!B152)</f>
        <v/>
      </c>
      <c r="C152">
        <f>IF('Equipment Information'!C152="","", 'Equipment Information'!C152)</f>
        <v/>
      </c>
      <c r="H152">
        <f>IF(A152="","","N/A")</f>
        <v/>
      </c>
    </row>
    <row r="153">
      <c r="A153">
        <f>IF('Equipment Information'!A153="","", 'Equipment Information'!A153)</f>
        <v/>
      </c>
      <c r="B153">
        <f>IF('Equipment Information'!B153="","", 'Equipment Information'!B153)</f>
        <v/>
      </c>
      <c r="C153">
        <f>IF('Equipment Information'!C153="","", 'Equipment Information'!C153)</f>
        <v/>
      </c>
      <c r="H153">
        <f>IF(A153="","","N/A")</f>
        <v/>
      </c>
    </row>
    <row r="154">
      <c r="A154">
        <f>IF('Equipment Information'!A154="","", 'Equipment Information'!A154)</f>
        <v/>
      </c>
      <c r="B154">
        <f>IF('Equipment Information'!B154="","", 'Equipment Information'!B154)</f>
        <v/>
      </c>
      <c r="C154">
        <f>IF('Equipment Information'!C154="","", 'Equipment Information'!C154)</f>
        <v/>
      </c>
      <c r="H154">
        <f>IF(A154="","","N/A")</f>
        <v/>
      </c>
    </row>
    <row r="155">
      <c r="A155">
        <f>IF('Equipment Information'!A155="","", 'Equipment Information'!A155)</f>
        <v/>
      </c>
      <c r="B155">
        <f>IF('Equipment Information'!B155="","", 'Equipment Information'!B155)</f>
        <v/>
      </c>
      <c r="C155">
        <f>IF('Equipment Information'!C155="","", 'Equipment Information'!C155)</f>
        <v/>
      </c>
      <c r="H155">
        <f>IF(A155="","","N/A")</f>
        <v/>
      </c>
    </row>
    <row r="156">
      <c r="A156">
        <f>IF('Equipment Information'!A156="","", 'Equipment Information'!A156)</f>
        <v/>
      </c>
      <c r="B156">
        <f>IF('Equipment Information'!B156="","", 'Equipment Information'!B156)</f>
        <v/>
      </c>
      <c r="C156">
        <f>IF('Equipment Information'!C156="","", 'Equipment Information'!C156)</f>
        <v/>
      </c>
      <c r="H156">
        <f>IF(A156="","","N/A")</f>
        <v/>
      </c>
    </row>
    <row r="157">
      <c r="A157">
        <f>IF('Equipment Information'!A157="","", 'Equipment Information'!A157)</f>
        <v/>
      </c>
      <c r="B157">
        <f>IF('Equipment Information'!B157="","", 'Equipment Information'!B157)</f>
        <v/>
      </c>
      <c r="C157">
        <f>IF('Equipment Information'!C157="","", 'Equipment Information'!C157)</f>
        <v/>
      </c>
      <c r="H157">
        <f>IF(A157="","","N/A")</f>
        <v/>
      </c>
    </row>
    <row r="158">
      <c r="A158">
        <f>IF('Equipment Information'!A158="","", 'Equipment Information'!A158)</f>
        <v/>
      </c>
      <c r="B158">
        <f>IF('Equipment Information'!B158="","", 'Equipment Information'!B158)</f>
        <v/>
      </c>
      <c r="C158">
        <f>IF('Equipment Information'!C158="","", 'Equipment Information'!C158)</f>
        <v/>
      </c>
      <c r="H158">
        <f>IF(A158="","","N/A")</f>
        <v/>
      </c>
    </row>
    <row r="159">
      <c r="A159">
        <f>IF('Equipment Information'!A159="","", 'Equipment Information'!A159)</f>
        <v/>
      </c>
      <c r="B159">
        <f>IF('Equipment Information'!B159="","", 'Equipment Information'!B159)</f>
        <v/>
      </c>
      <c r="C159">
        <f>IF('Equipment Information'!C159="","", 'Equipment Information'!C159)</f>
        <v/>
      </c>
      <c r="H159">
        <f>IF(A159="","","N/A")</f>
        <v/>
      </c>
    </row>
    <row r="160">
      <c r="A160">
        <f>IF('Equipment Information'!A160="","", 'Equipment Information'!A160)</f>
        <v/>
      </c>
      <c r="B160">
        <f>IF('Equipment Information'!B160="","", 'Equipment Information'!B160)</f>
        <v/>
      </c>
      <c r="C160">
        <f>IF('Equipment Information'!C160="","", 'Equipment Information'!C160)</f>
        <v/>
      </c>
      <c r="H160">
        <f>IF(A160="","","N/A")</f>
        <v/>
      </c>
    </row>
    <row r="161">
      <c r="A161">
        <f>IF('Equipment Information'!A161="","", 'Equipment Information'!A161)</f>
        <v/>
      </c>
      <c r="B161">
        <f>IF('Equipment Information'!B161="","", 'Equipment Information'!B161)</f>
        <v/>
      </c>
      <c r="C161">
        <f>IF('Equipment Information'!C161="","", 'Equipment Information'!C161)</f>
        <v/>
      </c>
      <c r="H161">
        <f>IF(A161="","","N/A")</f>
        <v/>
      </c>
    </row>
    <row r="162">
      <c r="A162">
        <f>IF('Equipment Information'!A162="","", 'Equipment Information'!A162)</f>
        <v/>
      </c>
      <c r="B162">
        <f>IF('Equipment Information'!B162="","", 'Equipment Information'!B162)</f>
        <v/>
      </c>
      <c r="C162">
        <f>IF('Equipment Information'!C162="","", 'Equipment Information'!C162)</f>
        <v/>
      </c>
      <c r="H162">
        <f>IF(A162="","","N/A")</f>
        <v/>
      </c>
    </row>
    <row r="163">
      <c r="A163">
        <f>IF('Equipment Information'!A163="","", 'Equipment Information'!A163)</f>
        <v/>
      </c>
      <c r="B163">
        <f>IF('Equipment Information'!B163="","", 'Equipment Information'!B163)</f>
        <v/>
      </c>
      <c r="C163">
        <f>IF('Equipment Information'!C163="","", 'Equipment Information'!C163)</f>
        <v/>
      </c>
      <c r="H163">
        <f>IF(A163="","","N/A")</f>
        <v/>
      </c>
    </row>
    <row r="164">
      <c r="A164">
        <f>IF('Equipment Information'!A164="","", 'Equipment Information'!A164)</f>
        <v/>
      </c>
      <c r="B164">
        <f>IF('Equipment Information'!B164="","", 'Equipment Information'!B164)</f>
        <v/>
      </c>
      <c r="C164">
        <f>IF('Equipment Information'!C164="","", 'Equipment Information'!C164)</f>
        <v/>
      </c>
      <c r="H164">
        <f>IF(A164="","","N/A")</f>
        <v/>
      </c>
    </row>
    <row r="165">
      <c r="A165">
        <f>IF('Equipment Information'!A165="","", 'Equipment Information'!A165)</f>
        <v/>
      </c>
      <c r="B165">
        <f>IF('Equipment Information'!B165="","", 'Equipment Information'!B165)</f>
        <v/>
      </c>
      <c r="C165">
        <f>IF('Equipment Information'!C165="","", 'Equipment Information'!C165)</f>
        <v/>
      </c>
      <c r="H165">
        <f>IF(A165="","","N/A")</f>
        <v/>
      </c>
    </row>
    <row r="166">
      <c r="A166">
        <f>IF('Equipment Information'!A166="","", 'Equipment Information'!A166)</f>
        <v/>
      </c>
      <c r="B166">
        <f>IF('Equipment Information'!B166="","", 'Equipment Information'!B166)</f>
        <v/>
      </c>
      <c r="C166">
        <f>IF('Equipment Information'!C166="","", 'Equipment Information'!C166)</f>
        <v/>
      </c>
      <c r="H166">
        <f>IF(A166="","","N/A")</f>
        <v/>
      </c>
    </row>
    <row r="167">
      <c r="A167">
        <f>IF('Equipment Information'!A167="","", 'Equipment Information'!A167)</f>
        <v/>
      </c>
      <c r="B167">
        <f>IF('Equipment Information'!B167="","", 'Equipment Information'!B167)</f>
        <v/>
      </c>
      <c r="C167">
        <f>IF('Equipment Information'!C167="","", 'Equipment Information'!C167)</f>
        <v/>
      </c>
      <c r="H167">
        <f>IF(A167="","","N/A")</f>
        <v/>
      </c>
    </row>
    <row r="168">
      <c r="A168">
        <f>IF('Equipment Information'!A168="","", 'Equipment Information'!A168)</f>
        <v/>
      </c>
      <c r="B168">
        <f>IF('Equipment Information'!B168="","", 'Equipment Information'!B168)</f>
        <v/>
      </c>
      <c r="C168">
        <f>IF('Equipment Information'!C168="","", 'Equipment Information'!C168)</f>
        <v/>
      </c>
      <c r="H168">
        <f>IF(A168="","","N/A")</f>
        <v/>
      </c>
    </row>
    <row r="169">
      <c r="A169">
        <f>IF('Equipment Information'!A169="","", 'Equipment Information'!A169)</f>
        <v/>
      </c>
      <c r="B169">
        <f>IF('Equipment Information'!B169="","", 'Equipment Information'!B169)</f>
        <v/>
      </c>
      <c r="C169">
        <f>IF('Equipment Information'!C169="","", 'Equipment Information'!C169)</f>
        <v/>
      </c>
      <c r="H169">
        <f>IF(A169="","","N/A")</f>
        <v/>
      </c>
    </row>
    <row r="170">
      <c r="A170">
        <f>IF('Equipment Information'!A170="","", 'Equipment Information'!A170)</f>
        <v/>
      </c>
      <c r="B170">
        <f>IF('Equipment Information'!B170="","", 'Equipment Information'!B170)</f>
        <v/>
      </c>
      <c r="C170">
        <f>IF('Equipment Information'!C170="","", 'Equipment Information'!C170)</f>
        <v/>
      </c>
      <c r="H170">
        <f>IF(A170="","","N/A")</f>
        <v/>
      </c>
    </row>
    <row r="171">
      <c r="A171">
        <f>IF('Equipment Information'!A171="","", 'Equipment Information'!A171)</f>
        <v/>
      </c>
      <c r="B171">
        <f>IF('Equipment Information'!B171="","", 'Equipment Information'!B171)</f>
        <v/>
      </c>
      <c r="C171">
        <f>IF('Equipment Information'!C171="","", 'Equipment Information'!C171)</f>
        <v/>
      </c>
      <c r="H171">
        <f>IF(A171="","","N/A")</f>
        <v/>
      </c>
    </row>
    <row r="172">
      <c r="A172">
        <f>IF('Equipment Information'!A172="","", 'Equipment Information'!A172)</f>
        <v/>
      </c>
      <c r="B172">
        <f>IF('Equipment Information'!B172="","", 'Equipment Information'!B172)</f>
        <v/>
      </c>
      <c r="C172">
        <f>IF('Equipment Information'!C172="","", 'Equipment Information'!C172)</f>
        <v/>
      </c>
      <c r="H172">
        <f>IF(A172="","","N/A")</f>
        <v/>
      </c>
    </row>
    <row r="173">
      <c r="A173">
        <f>IF('Equipment Information'!A173="","", 'Equipment Information'!A173)</f>
        <v/>
      </c>
      <c r="B173">
        <f>IF('Equipment Information'!B173="","", 'Equipment Information'!B173)</f>
        <v/>
      </c>
      <c r="C173">
        <f>IF('Equipment Information'!C173="","", 'Equipment Information'!C173)</f>
        <v/>
      </c>
      <c r="H173">
        <f>IF(A173="","","N/A")</f>
        <v/>
      </c>
    </row>
    <row r="174">
      <c r="A174">
        <f>IF('Equipment Information'!A174="","", 'Equipment Information'!A174)</f>
        <v/>
      </c>
      <c r="B174">
        <f>IF('Equipment Information'!B174="","", 'Equipment Information'!B174)</f>
        <v/>
      </c>
      <c r="C174">
        <f>IF('Equipment Information'!C174="","", 'Equipment Information'!C174)</f>
        <v/>
      </c>
      <c r="H174">
        <f>IF(A174="","","N/A")</f>
        <v/>
      </c>
    </row>
    <row r="175">
      <c r="A175">
        <f>IF('Equipment Information'!A175="","", 'Equipment Information'!A175)</f>
        <v/>
      </c>
      <c r="B175">
        <f>IF('Equipment Information'!B175="","", 'Equipment Information'!B175)</f>
        <v/>
      </c>
      <c r="C175">
        <f>IF('Equipment Information'!C175="","", 'Equipment Information'!C175)</f>
        <v/>
      </c>
      <c r="H175">
        <f>IF(A175="","","N/A")</f>
        <v/>
      </c>
    </row>
    <row r="176">
      <c r="A176">
        <f>IF('Equipment Information'!A176="","", 'Equipment Information'!A176)</f>
        <v/>
      </c>
      <c r="B176">
        <f>IF('Equipment Information'!B176="","", 'Equipment Information'!B176)</f>
        <v/>
      </c>
      <c r="C176">
        <f>IF('Equipment Information'!C176="","", 'Equipment Information'!C176)</f>
        <v/>
      </c>
      <c r="H176">
        <f>IF(A176="","","N/A")</f>
        <v/>
      </c>
    </row>
    <row r="177">
      <c r="A177">
        <f>IF('Equipment Information'!A177="","", 'Equipment Information'!A177)</f>
        <v/>
      </c>
      <c r="B177">
        <f>IF('Equipment Information'!B177="","", 'Equipment Information'!B177)</f>
        <v/>
      </c>
      <c r="C177">
        <f>IF('Equipment Information'!C177="","", 'Equipment Information'!C177)</f>
        <v/>
      </c>
      <c r="H177">
        <f>IF(A177="","","N/A")</f>
        <v/>
      </c>
    </row>
    <row r="178">
      <c r="A178">
        <f>IF('Equipment Information'!A178="","", 'Equipment Information'!A178)</f>
        <v/>
      </c>
      <c r="B178">
        <f>IF('Equipment Information'!B178="","", 'Equipment Information'!B178)</f>
        <v/>
      </c>
      <c r="C178">
        <f>IF('Equipment Information'!C178="","", 'Equipment Information'!C178)</f>
        <v/>
      </c>
      <c r="H178">
        <f>IF(A178="","","N/A")</f>
        <v/>
      </c>
    </row>
    <row r="179">
      <c r="A179">
        <f>IF('Equipment Information'!A179="","", 'Equipment Information'!A179)</f>
        <v/>
      </c>
      <c r="B179">
        <f>IF('Equipment Information'!B179="","", 'Equipment Information'!B179)</f>
        <v/>
      </c>
      <c r="C179">
        <f>IF('Equipment Information'!C179="","", 'Equipment Information'!C179)</f>
        <v/>
      </c>
      <c r="H179">
        <f>IF(A179="","","N/A")</f>
        <v/>
      </c>
    </row>
    <row r="180">
      <c r="A180">
        <f>IF('Equipment Information'!A180="","", 'Equipment Information'!A180)</f>
        <v/>
      </c>
      <c r="B180">
        <f>IF('Equipment Information'!B180="","", 'Equipment Information'!B180)</f>
        <v/>
      </c>
      <c r="C180">
        <f>IF('Equipment Information'!C180="","", 'Equipment Information'!C180)</f>
        <v/>
      </c>
      <c r="H180">
        <f>IF(A180="","","N/A")</f>
        <v/>
      </c>
    </row>
    <row r="181">
      <c r="A181">
        <f>IF('Equipment Information'!A181="","", 'Equipment Information'!A181)</f>
        <v/>
      </c>
      <c r="B181">
        <f>IF('Equipment Information'!B181="","", 'Equipment Information'!B181)</f>
        <v/>
      </c>
      <c r="C181">
        <f>IF('Equipment Information'!C181="","", 'Equipment Information'!C181)</f>
        <v/>
      </c>
      <c r="H181">
        <f>IF(A181="","","N/A")</f>
        <v/>
      </c>
    </row>
    <row r="182">
      <c r="A182">
        <f>IF('Equipment Information'!A182="","", 'Equipment Information'!A182)</f>
        <v/>
      </c>
      <c r="B182">
        <f>IF('Equipment Information'!B182="","", 'Equipment Information'!B182)</f>
        <v/>
      </c>
      <c r="C182">
        <f>IF('Equipment Information'!C182="","", 'Equipment Information'!C182)</f>
        <v/>
      </c>
      <c r="H182">
        <f>IF(A182="","","N/A")</f>
        <v/>
      </c>
    </row>
    <row r="183">
      <c r="A183">
        <f>IF('Equipment Information'!A183="","", 'Equipment Information'!A183)</f>
        <v/>
      </c>
      <c r="B183">
        <f>IF('Equipment Information'!B183="","", 'Equipment Information'!B183)</f>
        <v/>
      </c>
      <c r="C183">
        <f>IF('Equipment Information'!C183="","", 'Equipment Information'!C183)</f>
        <v/>
      </c>
      <c r="H183">
        <f>IF(A183="","","N/A")</f>
        <v/>
      </c>
    </row>
    <row r="184">
      <c r="A184">
        <f>IF('Equipment Information'!A184="","", 'Equipment Information'!A184)</f>
        <v/>
      </c>
      <c r="B184">
        <f>IF('Equipment Information'!B184="","", 'Equipment Information'!B184)</f>
        <v/>
      </c>
      <c r="C184">
        <f>IF('Equipment Information'!C184="","", 'Equipment Information'!C184)</f>
        <v/>
      </c>
      <c r="H184">
        <f>IF(A184="","","N/A")</f>
        <v/>
      </c>
    </row>
    <row r="185">
      <c r="A185">
        <f>IF('Equipment Information'!A185="","", 'Equipment Information'!A185)</f>
        <v/>
      </c>
      <c r="B185">
        <f>IF('Equipment Information'!B185="","", 'Equipment Information'!B185)</f>
        <v/>
      </c>
      <c r="C185">
        <f>IF('Equipment Information'!C185="","", 'Equipment Information'!C185)</f>
        <v/>
      </c>
      <c r="H185">
        <f>IF(A185="","","N/A")</f>
        <v/>
      </c>
    </row>
    <row r="186">
      <c r="A186">
        <f>IF('Equipment Information'!A186="","", 'Equipment Information'!A186)</f>
        <v/>
      </c>
      <c r="B186">
        <f>IF('Equipment Information'!B186="","", 'Equipment Information'!B186)</f>
        <v/>
      </c>
      <c r="C186">
        <f>IF('Equipment Information'!C186="","", 'Equipment Information'!C186)</f>
        <v/>
      </c>
      <c r="H186">
        <f>IF(A186="","","N/A")</f>
        <v/>
      </c>
    </row>
    <row r="187">
      <c r="A187">
        <f>IF('Equipment Information'!A187="","", 'Equipment Information'!A187)</f>
        <v/>
      </c>
      <c r="B187">
        <f>IF('Equipment Information'!B187="","", 'Equipment Information'!B187)</f>
        <v/>
      </c>
      <c r="C187">
        <f>IF('Equipment Information'!C187="","", 'Equipment Information'!C187)</f>
        <v/>
      </c>
      <c r="H187">
        <f>IF(A187="","","N/A")</f>
        <v/>
      </c>
    </row>
    <row r="188">
      <c r="A188">
        <f>IF('Equipment Information'!A188="","", 'Equipment Information'!A188)</f>
        <v/>
      </c>
      <c r="B188">
        <f>IF('Equipment Information'!B188="","", 'Equipment Information'!B188)</f>
        <v/>
      </c>
      <c r="C188">
        <f>IF('Equipment Information'!C188="","", 'Equipment Information'!C188)</f>
        <v/>
      </c>
      <c r="H188">
        <f>IF(A188="","","N/A")</f>
        <v/>
      </c>
    </row>
    <row r="189">
      <c r="A189">
        <f>IF('Equipment Information'!A189="","", 'Equipment Information'!A189)</f>
        <v/>
      </c>
      <c r="B189">
        <f>IF('Equipment Information'!B189="","", 'Equipment Information'!B189)</f>
        <v/>
      </c>
      <c r="C189">
        <f>IF('Equipment Information'!C189="","", 'Equipment Information'!C189)</f>
        <v/>
      </c>
      <c r="H189">
        <f>IF(A189="","","N/A")</f>
        <v/>
      </c>
    </row>
    <row r="190">
      <c r="A190">
        <f>IF('Equipment Information'!A190="","", 'Equipment Information'!A190)</f>
        <v/>
      </c>
      <c r="B190">
        <f>IF('Equipment Information'!B190="","", 'Equipment Information'!B190)</f>
        <v/>
      </c>
      <c r="C190">
        <f>IF('Equipment Information'!C190="","", 'Equipment Information'!C190)</f>
        <v/>
      </c>
      <c r="H190">
        <f>IF(A190="","","N/A")</f>
        <v/>
      </c>
    </row>
    <row r="191">
      <c r="A191">
        <f>IF('Equipment Information'!A191="","", 'Equipment Information'!A191)</f>
        <v/>
      </c>
      <c r="B191">
        <f>IF('Equipment Information'!B191="","", 'Equipment Information'!B191)</f>
        <v/>
      </c>
      <c r="C191">
        <f>IF('Equipment Information'!C191="","", 'Equipment Information'!C191)</f>
        <v/>
      </c>
      <c r="H191">
        <f>IF(A191="","","N/A")</f>
        <v/>
      </c>
    </row>
    <row r="192">
      <c r="A192">
        <f>IF('Equipment Information'!A192="","", 'Equipment Information'!A192)</f>
        <v/>
      </c>
      <c r="B192">
        <f>IF('Equipment Information'!B192="","", 'Equipment Information'!B192)</f>
        <v/>
      </c>
      <c r="C192">
        <f>IF('Equipment Information'!C192="","", 'Equipment Information'!C192)</f>
        <v/>
      </c>
      <c r="H192">
        <f>IF(A192="","","N/A")</f>
        <v/>
      </c>
    </row>
    <row r="193">
      <c r="A193">
        <f>IF('Equipment Information'!A193="","", 'Equipment Information'!A193)</f>
        <v/>
      </c>
      <c r="B193">
        <f>IF('Equipment Information'!B193="","", 'Equipment Information'!B193)</f>
        <v/>
      </c>
      <c r="C193">
        <f>IF('Equipment Information'!C193="","", 'Equipment Information'!C193)</f>
        <v/>
      </c>
      <c r="H193">
        <f>IF(A193="","","N/A")</f>
        <v/>
      </c>
    </row>
    <row r="194">
      <c r="A194">
        <f>IF('Equipment Information'!A194="","", 'Equipment Information'!A194)</f>
        <v/>
      </c>
      <c r="B194">
        <f>IF('Equipment Information'!B194="","", 'Equipment Information'!B194)</f>
        <v/>
      </c>
      <c r="C194">
        <f>IF('Equipment Information'!C194="","", 'Equipment Information'!C194)</f>
        <v/>
      </c>
      <c r="H194">
        <f>IF(A194="","","N/A")</f>
        <v/>
      </c>
    </row>
    <row r="195">
      <c r="A195">
        <f>IF('Equipment Information'!A195="","", 'Equipment Information'!A195)</f>
        <v/>
      </c>
      <c r="B195">
        <f>IF('Equipment Information'!B195="","", 'Equipment Information'!B195)</f>
        <v/>
      </c>
      <c r="C195">
        <f>IF('Equipment Information'!C195="","", 'Equipment Information'!C195)</f>
        <v/>
      </c>
      <c r="H195">
        <f>IF(A195="","","N/A")</f>
        <v/>
      </c>
    </row>
    <row r="196">
      <c r="A196">
        <f>IF('Equipment Information'!A196="","", 'Equipment Information'!A196)</f>
        <v/>
      </c>
      <c r="B196">
        <f>IF('Equipment Information'!B196="","", 'Equipment Information'!B196)</f>
        <v/>
      </c>
      <c r="C196">
        <f>IF('Equipment Information'!C196="","", 'Equipment Information'!C196)</f>
        <v/>
      </c>
      <c r="H196">
        <f>IF(A196="","","N/A")</f>
        <v/>
      </c>
    </row>
    <row r="197">
      <c r="A197">
        <f>IF('Equipment Information'!A197="","", 'Equipment Information'!A197)</f>
        <v/>
      </c>
      <c r="B197">
        <f>IF('Equipment Information'!B197="","", 'Equipment Information'!B197)</f>
        <v/>
      </c>
      <c r="C197">
        <f>IF('Equipment Information'!C197="","", 'Equipment Information'!C197)</f>
        <v/>
      </c>
      <c r="H197">
        <f>IF(A197="","","N/A")</f>
        <v/>
      </c>
    </row>
    <row r="198">
      <c r="A198">
        <f>IF('Equipment Information'!A198="","", 'Equipment Information'!A198)</f>
        <v/>
      </c>
      <c r="B198">
        <f>IF('Equipment Information'!B198="","", 'Equipment Information'!B198)</f>
        <v/>
      </c>
      <c r="C198">
        <f>IF('Equipment Information'!C198="","", 'Equipment Information'!C198)</f>
        <v/>
      </c>
      <c r="H198">
        <f>IF(A198="","","N/A")</f>
        <v/>
      </c>
    </row>
    <row r="199">
      <c r="A199">
        <f>IF('Equipment Information'!A199="","", 'Equipment Information'!A199)</f>
        <v/>
      </c>
      <c r="B199">
        <f>IF('Equipment Information'!B199="","", 'Equipment Information'!B199)</f>
        <v/>
      </c>
      <c r="C199">
        <f>IF('Equipment Information'!C199="","", 'Equipment Information'!C199)</f>
        <v/>
      </c>
      <c r="H199">
        <f>IF(A199="","","N/A")</f>
        <v/>
      </c>
    </row>
    <row r="200">
      <c r="A200">
        <f>IF('Equipment Information'!A200="","", 'Equipment Information'!A200)</f>
        <v/>
      </c>
      <c r="B200">
        <f>IF('Equipment Information'!B200="","", 'Equipment Information'!B200)</f>
        <v/>
      </c>
      <c r="C200">
        <f>IF('Equipment Information'!C200="","", 'Equipment Information'!C200)</f>
        <v/>
      </c>
      <c r="H200">
        <f>IF(A200="","","N/A")</f>
        <v/>
      </c>
    </row>
    <row r="201">
      <c r="A201">
        <f>IF('Equipment Information'!A201="","", 'Equipment Information'!A201)</f>
        <v/>
      </c>
      <c r="B201">
        <f>IF('Equipment Information'!B201="","", 'Equipment Information'!B201)</f>
        <v/>
      </c>
      <c r="C201">
        <f>IF('Equipment Information'!C201="","", 'Equipment Information'!C201)</f>
        <v/>
      </c>
      <c r="H201">
        <f>IF(A201="","","N/A")</f>
        <v/>
      </c>
    </row>
    <row r="202">
      <c r="A202">
        <f>IF('Equipment Information'!A202="","", 'Equipment Information'!A202)</f>
        <v/>
      </c>
      <c r="B202">
        <f>IF('Equipment Information'!B202="","", 'Equipment Information'!B202)</f>
        <v/>
      </c>
      <c r="C202">
        <f>IF('Equipment Information'!C202="","", 'Equipment Information'!C202)</f>
        <v/>
      </c>
      <c r="H202">
        <f>IF(A202="","","N/A")</f>
        <v/>
      </c>
    </row>
    <row r="203">
      <c r="A203">
        <f>IF('Equipment Information'!A203="","", 'Equipment Information'!A203)</f>
        <v/>
      </c>
      <c r="B203">
        <f>IF('Equipment Information'!B203="","", 'Equipment Information'!B203)</f>
        <v/>
      </c>
      <c r="C203">
        <f>IF('Equipment Information'!C203="","", 'Equipment Information'!C203)</f>
        <v/>
      </c>
      <c r="H203">
        <f>IF(A203="","","N/A")</f>
        <v/>
      </c>
    </row>
    <row r="204">
      <c r="A204">
        <f>IF('Equipment Information'!A204="","", 'Equipment Information'!A204)</f>
        <v/>
      </c>
      <c r="B204">
        <f>IF('Equipment Information'!B204="","", 'Equipment Information'!B204)</f>
        <v/>
      </c>
      <c r="C204">
        <f>IF('Equipment Information'!C204="","", 'Equipment Information'!C204)</f>
        <v/>
      </c>
      <c r="H204">
        <f>IF(A204="","","N/A")</f>
        <v/>
      </c>
    </row>
    <row r="205">
      <c r="A205">
        <f>IF('Equipment Information'!A205="","", 'Equipment Information'!A205)</f>
        <v/>
      </c>
      <c r="B205">
        <f>IF('Equipment Information'!B205="","", 'Equipment Information'!B205)</f>
        <v/>
      </c>
      <c r="C205">
        <f>IF('Equipment Information'!C205="","", 'Equipment Information'!C205)</f>
        <v/>
      </c>
      <c r="H205">
        <f>IF(A205="","","N/A")</f>
        <v/>
      </c>
    </row>
    <row r="206">
      <c r="A206">
        <f>IF('Equipment Information'!A206="","", 'Equipment Information'!A206)</f>
        <v/>
      </c>
      <c r="B206">
        <f>IF('Equipment Information'!B206="","", 'Equipment Information'!B206)</f>
        <v/>
      </c>
      <c r="C206">
        <f>IF('Equipment Information'!C206="","", 'Equipment Information'!C206)</f>
        <v/>
      </c>
      <c r="H206">
        <f>IF(A206="","","N/A")</f>
        <v/>
      </c>
    </row>
    <row r="207">
      <c r="A207">
        <f>IF('Equipment Information'!A207="","", 'Equipment Information'!A207)</f>
        <v/>
      </c>
      <c r="B207">
        <f>IF('Equipment Information'!B207="","", 'Equipment Information'!B207)</f>
        <v/>
      </c>
      <c r="C207">
        <f>IF('Equipment Information'!C207="","", 'Equipment Information'!C207)</f>
        <v/>
      </c>
      <c r="H207">
        <f>IF(A207="","","N/A")</f>
        <v/>
      </c>
    </row>
    <row r="208">
      <c r="A208">
        <f>IF('Equipment Information'!A208="","", 'Equipment Information'!A208)</f>
        <v/>
      </c>
      <c r="B208">
        <f>IF('Equipment Information'!B208="","", 'Equipment Information'!B208)</f>
        <v/>
      </c>
      <c r="C208">
        <f>IF('Equipment Information'!C208="","", 'Equipment Information'!C208)</f>
        <v/>
      </c>
      <c r="H208">
        <f>IF(A208="","","N/A")</f>
        <v/>
      </c>
    </row>
    <row r="209">
      <c r="A209">
        <f>IF('Equipment Information'!A209="","", 'Equipment Information'!A209)</f>
        <v/>
      </c>
      <c r="B209">
        <f>IF('Equipment Information'!B209="","", 'Equipment Information'!B209)</f>
        <v/>
      </c>
      <c r="C209">
        <f>IF('Equipment Information'!C209="","", 'Equipment Information'!C209)</f>
        <v/>
      </c>
      <c r="H209">
        <f>IF(A209="","","N/A")</f>
        <v/>
      </c>
    </row>
    <row r="210">
      <c r="A210">
        <f>IF('Equipment Information'!A210="","", 'Equipment Information'!A210)</f>
        <v/>
      </c>
      <c r="B210">
        <f>IF('Equipment Information'!B210="","", 'Equipment Information'!B210)</f>
        <v/>
      </c>
      <c r="C210">
        <f>IF('Equipment Information'!C210="","", 'Equipment Information'!C210)</f>
        <v/>
      </c>
      <c r="H210">
        <f>IF(A210="","","N/A")</f>
        <v/>
      </c>
    </row>
    <row r="211">
      <c r="A211">
        <f>IF('Equipment Information'!A211="","", 'Equipment Information'!A211)</f>
        <v/>
      </c>
      <c r="B211">
        <f>IF('Equipment Information'!B211="","", 'Equipment Information'!B211)</f>
        <v/>
      </c>
      <c r="C211">
        <f>IF('Equipment Information'!C211="","", 'Equipment Information'!C211)</f>
        <v/>
      </c>
      <c r="H211">
        <f>IF(A211="","","N/A")</f>
        <v/>
      </c>
    </row>
    <row r="212">
      <c r="A212">
        <f>IF('Equipment Information'!A212="","", 'Equipment Information'!A212)</f>
        <v/>
      </c>
      <c r="B212">
        <f>IF('Equipment Information'!B212="","", 'Equipment Information'!B212)</f>
        <v/>
      </c>
      <c r="C212">
        <f>IF('Equipment Information'!C212="","", 'Equipment Information'!C212)</f>
        <v/>
      </c>
      <c r="H212">
        <f>IF(A212="","","N/A")</f>
        <v/>
      </c>
    </row>
    <row r="213">
      <c r="A213">
        <f>IF('Equipment Information'!A213="","", 'Equipment Information'!A213)</f>
        <v/>
      </c>
      <c r="B213">
        <f>IF('Equipment Information'!B213="","", 'Equipment Information'!B213)</f>
        <v/>
      </c>
      <c r="C213">
        <f>IF('Equipment Information'!C213="","", 'Equipment Information'!C213)</f>
        <v/>
      </c>
      <c r="H213">
        <f>IF(A213="","","N/A")</f>
        <v/>
      </c>
    </row>
    <row r="214">
      <c r="A214">
        <f>IF('Equipment Information'!A214="","", 'Equipment Information'!A214)</f>
        <v/>
      </c>
      <c r="B214">
        <f>IF('Equipment Information'!B214="","", 'Equipment Information'!B214)</f>
        <v/>
      </c>
      <c r="C214">
        <f>IF('Equipment Information'!C214="","", 'Equipment Information'!C214)</f>
        <v/>
      </c>
      <c r="H214">
        <f>IF(A214="","","N/A")</f>
        <v/>
      </c>
    </row>
    <row r="215">
      <c r="A215">
        <f>IF('Equipment Information'!A215="","", 'Equipment Information'!A215)</f>
        <v/>
      </c>
      <c r="B215">
        <f>IF('Equipment Information'!B215="","", 'Equipment Information'!B215)</f>
        <v/>
      </c>
      <c r="C215">
        <f>IF('Equipment Information'!C215="","", 'Equipment Information'!C215)</f>
        <v/>
      </c>
      <c r="H215">
        <f>IF(A215="","","N/A")</f>
        <v/>
      </c>
    </row>
    <row r="216">
      <c r="A216">
        <f>IF('Equipment Information'!A216="","", 'Equipment Information'!A216)</f>
        <v/>
      </c>
      <c r="B216">
        <f>IF('Equipment Information'!B216="","", 'Equipment Information'!B216)</f>
        <v/>
      </c>
      <c r="C216">
        <f>IF('Equipment Information'!C216="","", 'Equipment Information'!C216)</f>
        <v/>
      </c>
      <c r="H216">
        <f>IF(A216="","","N/A")</f>
        <v/>
      </c>
    </row>
    <row r="217">
      <c r="A217">
        <f>IF('Equipment Information'!A217="","", 'Equipment Information'!A217)</f>
        <v/>
      </c>
      <c r="B217">
        <f>IF('Equipment Information'!B217="","", 'Equipment Information'!B217)</f>
        <v/>
      </c>
      <c r="C217">
        <f>IF('Equipment Information'!C217="","", 'Equipment Information'!C217)</f>
        <v/>
      </c>
      <c r="H217">
        <f>IF(A217="","","N/A")</f>
        <v/>
      </c>
    </row>
    <row r="218">
      <c r="A218">
        <f>IF('Equipment Information'!A218="","", 'Equipment Information'!A218)</f>
        <v/>
      </c>
      <c r="B218">
        <f>IF('Equipment Information'!B218="","", 'Equipment Information'!B218)</f>
        <v/>
      </c>
      <c r="C218">
        <f>IF('Equipment Information'!C218="","", 'Equipment Information'!C218)</f>
        <v/>
      </c>
      <c r="H218">
        <f>IF(A218="","","N/A")</f>
        <v/>
      </c>
    </row>
    <row r="219">
      <c r="A219">
        <f>IF('Equipment Information'!A219="","", 'Equipment Information'!A219)</f>
        <v/>
      </c>
      <c r="B219">
        <f>IF('Equipment Information'!B219="","", 'Equipment Information'!B219)</f>
        <v/>
      </c>
      <c r="C219">
        <f>IF('Equipment Information'!C219="","", 'Equipment Information'!C219)</f>
        <v/>
      </c>
      <c r="H219">
        <f>IF(A219="","","N/A")</f>
        <v/>
      </c>
    </row>
    <row r="220">
      <c r="A220">
        <f>IF('Equipment Information'!A220="","", 'Equipment Information'!A220)</f>
        <v/>
      </c>
      <c r="B220">
        <f>IF('Equipment Information'!B220="","", 'Equipment Information'!B220)</f>
        <v/>
      </c>
      <c r="C220">
        <f>IF('Equipment Information'!C220="","", 'Equipment Information'!C220)</f>
        <v/>
      </c>
      <c r="H220">
        <f>IF(A220="","","N/A")</f>
        <v/>
      </c>
    </row>
    <row r="221">
      <c r="A221">
        <f>IF('Equipment Information'!A221="","", 'Equipment Information'!A221)</f>
        <v/>
      </c>
      <c r="B221">
        <f>IF('Equipment Information'!B221="","", 'Equipment Information'!B221)</f>
        <v/>
      </c>
      <c r="C221">
        <f>IF('Equipment Information'!C221="","", 'Equipment Information'!C221)</f>
        <v/>
      </c>
      <c r="H221">
        <f>IF(A221="","","N/A")</f>
        <v/>
      </c>
    </row>
    <row r="222">
      <c r="A222">
        <f>IF('Equipment Information'!A222="","", 'Equipment Information'!A222)</f>
        <v/>
      </c>
      <c r="B222">
        <f>IF('Equipment Information'!B222="","", 'Equipment Information'!B222)</f>
        <v/>
      </c>
      <c r="C222">
        <f>IF('Equipment Information'!C222="","", 'Equipment Information'!C222)</f>
        <v/>
      </c>
      <c r="H222">
        <f>IF(A222="","","N/A")</f>
        <v/>
      </c>
    </row>
    <row r="223">
      <c r="A223">
        <f>IF('Equipment Information'!A223="","", 'Equipment Information'!A223)</f>
        <v/>
      </c>
      <c r="B223">
        <f>IF('Equipment Information'!B223="","", 'Equipment Information'!B223)</f>
        <v/>
      </c>
      <c r="C223">
        <f>IF('Equipment Information'!C223="","", 'Equipment Information'!C223)</f>
        <v/>
      </c>
      <c r="H223">
        <f>IF(A223="","","N/A")</f>
        <v/>
      </c>
    </row>
    <row r="224">
      <c r="A224">
        <f>IF('Equipment Information'!A224="","", 'Equipment Information'!A224)</f>
        <v/>
      </c>
      <c r="B224">
        <f>IF('Equipment Information'!B224="","", 'Equipment Information'!B224)</f>
        <v/>
      </c>
      <c r="C224">
        <f>IF('Equipment Information'!C224="","", 'Equipment Information'!C224)</f>
        <v/>
      </c>
      <c r="H224">
        <f>IF(A224="","","N/A")</f>
        <v/>
      </c>
    </row>
    <row r="225">
      <c r="A225">
        <f>IF('Equipment Information'!A225="","", 'Equipment Information'!A225)</f>
        <v/>
      </c>
      <c r="B225">
        <f>IF('Equipment Information'!B225="","", 'Equipment Information'!B225)</f>
        <v/>
      </c>
      <c r="C225">
        <f>IF('Equipment Information'!C225="","", 'Equipment Information'!C225)</f>
        <v/>
      </c>
      <c r="H225">
        <f>IF(A225="","","N/A")</f>
        <v/>
      </c>
    </row>
    <row r="226">
      <c r="A226">
        <f>IF('Equipment Information'!A226="","", 'Equipment Information'!A226)</f>
        <v/>
      </c>
      <c r="B226">
        <f>IF('Equipment Information'!B226="","", 'Equipment Information'!B226)</f>
        <v/>
      </c>
      <c r="C226">
        <f>IF('Equipment Information'!C226="","", 'Equipment Information'!C226)</f>
        <v/>
      </c>
      <c r="H226">
        <f>IF(A226="","","N/A")</f>
        <v/>
      </c>
    </row>
    <row r="227">
      <c r="A227">
        <f>IF('Equipment Information'!A227="","", 'Equipment Information'!A227)</f>
        <v/>
      </c>
      <c r="B227">
        <f>IF('Equipment Information'!B227="","", 'Equipment Information'!B227)</f>
        <v/>
      </c>
      <c r="C227">
        <f>IF('Equipment Information'!C227="","", 'Equipment Information'!C227)</f>
        <v/>
      </c>
      <c r="H227">
        <f>IF(A227="","","N/A")</f>
        <v/>
      </c>
    </row>
    <row r="228">
      <c r="A228">
        <f>IF('Equipment Information'!A228="","", 'Equipment Information'!A228)</f>
        <v/>
      </c>
      <c r="B228">
        <f>IF('Equipment Information'!B228="","", 'Equipment Information'!B228)</f>
        <v/>
      </c>
      <c r="C228">
        <f>IF('Equipment Information'!C228="","", 'Equipment Information'!C228)</f>
        <v/>
      </c>
      <c r="H228">
        <f>IF(A228="","","N/A")</f>
        <v/>
      </c>
    </row>
    <row r="229">
      <c r="A229">
        <f>IF('Equipment Information'!A229="","", 'Equipment Information'!A229)</f>
        <v/>
      </c>
      <c r="B229">
        <f>IF('Equipment Information'!B229="","", 'Equipment Information'!B229)</f>
        <v/>
      </c>
      <c r="C229">
        <f>IF('Equipment Information'!C229="","", 'Equipment Information'!C229)</f>
        <v/>
      </c>
      <c r="H229">
        <f>IF(A229="","","N/A")</f>
        <v/>
      </c>
    </row>
    <row r="230">
      <c r="A230">
        <f>IF('Equipment Information'!A230="","", 'Equipment Information'!A230)</f>
        <v/>
      </c>
      <c r="B230">
        <f>IF('Equipment Information'!B230="","", 'Equipment Information'!B230)</f>
        <v/>
      </c>
      <c r="C230">
        <f>IF('Equipment Information'!C230="","", 'Equipment Information'!C230)</f>
        <v/>
      </c>
      <c r="H230">
        <f>IF(A230="","","N/A")</f>
        <v/>
      </c>
    </row>
    <row r="231">
      <c r="A231">
        <f>IF('Equipment Information'!A231="","", 'Equipment Information'!A231)</f>
        <v/>
      </c>
      <c r="B231">
        <f>IF('Equipment Information'!B231="","", 'Equipment Information'!B231)</f>
        <v/>
      </c>
      <c r="C231">
        <f>IF('Equipment Information'!C231="","", 'Equipment Information'!C231)</f>
        <v/>
      </c>
      <c r="H231">
        <f>IF(A231="","","N/A")</f>
        <v/>
      </c>
    </row>
    <row r="232">
      <c r="A232">
        <f>IF('Equipment Information'!A232="","", 'Equipment Information'!A232)</f>
        <v/>
      </c>
      <c r="B232">
        <f>IF('Equipment Information'!B232="","", 'Equipment Information'!B232)</f>
        <v/>
      </c>
      <c r="C232">
        <f>IF('Equipment Information'!C232="","", 'Equipment Information'!C232)</f>
        <v/>
      </c>
      <c r="H232">
        <f>IF(A232="","","N/A")</f>
        <v/>
      </c>
    </row>
    <row r="233">
      <c r="A233">
        <f>IF('Equipment Information'!A233="","", 'Equipment Information'!A233)</f>
        <v/>
      </c>
      <c r="B233">
        <f>IF('Equipment Information'!B233="","", 'Equipment Information'!B233)</f>
        <v/>
      </c>
      <c r="C233">
        <f>IF('Equipment Information'!C233="","", 'Equipment Information'!C233)</f>
        <v/>
      </c>
      <c r="H233">
        <f>IF(A233="","","N/A")</f>
        <v/>
      </c>
    </row>
    <row r="234">
      <c r="A234">
        <f>IF('Equipment Information'!A234="","", 'Equipment Information'!A234)</f>
        <v/>
      </c>
      <c r="B234">
        <f>IF('Equipment Information'!B234="","", 'Equipment Information'!B234)</f>
        <v/>
      </c>
      <c r="C234">
        <f>IF('Equipment Information'!C234="","", 'Equipment Information'!C234)</f>
        <v/>
      </c>
      <c r="H234">
        <f>IF(A234="","","N/A")</f>
        <v/>
      </c>
    </row>
    <row r="235">
      <c r="A235">
        <f>IF('Equipment Information'!A235="","", 'Equipment Information'!A235)</f>
        <v/>
      </c>
      <c r="B235">
        <f>IF('Equipment Information'!B235="","", 'Equipment Information'!B235)</f>
        <v/>
      </c>
      <c r="C235">
        <f>IF('Equipment Information'!C235="","", 'Equipment Information'!C235)</f>
        <v/>
      </c>
      <c r="H235">
        <f>IF(A235="","","N/A")</f>
        <v/>
      </c>
    </row>
    <row r="236">
      <c r="A236">
        <f>IF('Equipment Information'!A236="","", 'Equipment Information'!A236)</f>
        <v/>
      </c>
      <c r="B236">
        <f>IF('Equipment Information'!B236="","", 'Equipment Information'!B236)</f>
        <v/>
      </c>
      <c r="C236">
        <f>IF('Equipment Information'!C236="","", 'Equipment Information'!C236)</f>
        <v/>
      </c>
      <c r="H236">
        <f>IF(A236="","","N/A")</f>
        <v/>
      </c>
    </row>
    <row r="237">
      <c r="A237">
        <f>IF('Equipment Information'!A237="","", 'Equipment Information'!A237)</f>
        <v/>
      </c>
      <c r="B237">
        <f>IF('Equipment Information'!B237="","", 'Equipment Information'!B237)</f>
        <v/>
      </c>
      <c r="C237">
        <f>IF('Equipment Information'!C237="","", 'Equipment Information'!C237)</f>
        <v/>
      </c>
      <c r="H237">
        <f>IF(A237="","","N/A")</f>
        <v/>
      </c>
    </row>
    <row r="238">
      <c r="A238">
        <f>IF('Equipment Information'!A238="","", 'Equipment Information'!A238)</f>
        <v/>
      </c>
      <c r="B238">
        <f>IF('Equipment Information'!B238="","", 'Equipment Information'!B238)</f>
        <v/>
      </c>
      <c r="C238">
        <f>IF('Equipment Information'!C238="","", 'Equipment Information'!C238)</f>
        <v/>
      </c>
      <c r="H238">
        <f>IF(A238="","","N/A")</f>
        <v/>
      </c>
    </row>
    <row r="239">
      <c r="A239">
        <f>IF('Equipment Information'!A239="","", 'Equipment Information'!A239)</f>
        <v/>
      </c>
      <c r="B239">
        <f>IF('Equipment Information'!B239="","", 'Equipment Information'!B239)</f>
        <v/>
      </c>
      <c r="C239">
        <f>IF('Equipment Information'!C239="","", 'Equipment Information'!C239)</f>
        <v/>
      </c>
      <c r="H239">
        <f>IF(A239="","","N/A")</f>
        <v/>
      </c>
    </row>
    <row r="240">
      <c r="A240">
        <f>IF('Equipment Information'!A240="","", 'Equipment Information'!A240)</f>
        <v/>
      </c>
      <c r="B240">
        <f>IF('Equipment Information'!B240="","", 'Equipment Information'!B240)</f>
        <v/>
      </c>
      <c r="C240">
        <f>IF('Equipment Information'!C240="","", 'Equipment Information'!C240)</f>
        <v/>
      </c>
      <c r="H240">
        <f>IF(A240="","","N/A")</f>
        <v/>
      </c>
    </row>
    <row r="241">
      <c r="A241">
        <f>IF('Equipment Information'!A241="","", 'Equipment Information'!A241)</f>
        <v/>
      </c>
      <c r="B241">
        <f>IF('Equipment Information'!B241="","", 'Equipment Information'!B241)</f>
        <v/>
      </c>
      <c r="C241">
        <f>IF('Equipment Information'!C241="","", 'Equipment Information'!C241)</f>
        <v/>
      </c>
      <c r="H241">
        <f>IF(A241="","","N/A")</f>
        <v/>
      </c>
    </row>
    <row r="242">
      <c r="A242">
        <f>IF('Equipment Information'!A242="","", 'Equipment Information'!A242)</f>
        <v/>
      </c>
      <c r="B242">
        <f>IF('Equipment Information'!B242="","", 'Equipment Information'!B242)</f>
        <v/>
      </c>
      <c r="C242">
        <f>IF('Equipment Information'!C242="","", 'Equipment Information'!C242)</f>
        <v/>
      </c>
      <c r="H242">
        <f>IF(A242="","","N/A")</f>
        <v/>
      </c>
    </row>
    <row r="243">
      <c r="A243">
        <f>IF('Equipment Information'!A243="","", 'Equipment Information'!A243)</f>
        <v/>
      </c>
      <c r="B243">
        <f>IF('Equipment Information'!B243="","", 'Equipment Information'!B243)</f>
        <v/>
      </c>
      <c r="C243">
        <f>IF('Equipment Information'!C243="","", 'Equipment Information'!C243)</f>
        <v/>
      </c>
      <c r="H243">
        <f>IF(A243="","","N/A")</f>
        <v/>
      </c>
    </row>
    <row r="244">
      <c r="A244">
        <f>IF('Equipment Information'!A244="","", 'Equipment Information'!A244)</f>
        <v/>
      </c>
      <c r="B244">
        <f>IF('Equipment Information'!B244="","", 'Equipment Information'!B244)</f>
        <v/>
      </c>
      <c r="C244">
        <f>IF('Equipment Information'!C244="","", 'Equipment Information'!C244)</f>
        <v/>
      </c>
      <c r="H244">
        <f>IF(A244="","","N/A")</f>
        <v/>
      </c>
    </row>
    <row r="245">
      <c r="A245">
        <f>IF('Equipment Information'!A245="","", 'Equipment Information'!A245)</f>
        <v/>
      </c>
      <c r="B245">
        <f>IF('Equipment Information'!B245="","", 'Equipment Information'!B245)</f>
        <v/>
      </c>
      <c r="C245">
        <f>IF('Equipment Information'!C245="","", 'Equipment Information'!C245)</f>
        <v/>
      </c>
      <c r="H245">
        <f>IF(A245="","","N/A")</f>
        <v/>
      </c>
    </row>
    <row r="246">
      <c r="A246">
        <f>IF('Equipment Information'!A246="","", 'Equipment Information'!A246)</f>
        <v/>
      </c>
      <c r="B246">
        <f>IF('Equipment Information'!B246="","", 'Equipment Information'!B246)</f>
        <v/>
      </c>
      <c r="C246">
        <f>IF('Equipment Information'!C246="","", 'Equipment Information'!C246)</f>
        <v/>
      </c>
      <c r="H246">
        <f>IF(A246="","","N/A")</f>
        <v/>
      </c>
    </row>
    <row r="247">
      <c r="A247">
        <f>IF('Equipment Information'!A247="","", 'Equipment Information'!A247)</f>
        <v/>
      </c>
      <c r="B247">
        <f>IF('Equipment Information'!B247="","", 'Equipment Information'!B247)</f>
        <v/>
      </c>
      <c r="C247">
        <f>IF('Equipment Information'!C247="","", 'Equipment Information'!C247)</f>
        <v/>
      </c>
      <c r="H247">
        <f>IF(A247="","","N/A")</f>
        <v/>
      </c>
    </row>
    <row r="248">
      <c r="A248">
        <f>IF('Equipment Information'!A248="","", 'Equipment Information'!A248)</f>
        <v/>
      </c>
      <c r="B248">
        <f>IF('Equipment Information'!B248="","", 'Equipment Information'!B248)</f>
        <v/>
      </c>
      <c r="C248">
        <f>IF('Equipment Information'!C248="","", 'Equipment Information'!C248)</f>
        <v/>
      </c>
      <c r="H248">
        <f>IF(A248="","","N/A")</f>
        <v/>
      </c>
    </row>
    <row r="249">
      <c r="A249">
        <f>IF('Equipment Information'!A249="","", 'Equipment Information'!A249)</f>
        <v/>
      </c>
      <c r="B249">
        <f>IF('Equipment Information'!B249="","", 'Equipment Information'!B249)</f>
        <v/>
      </c>
      <c r="C249">
        <f>IF('Equipment Information'!C249="","", 'Equipment Information'!C249)</f>
        <v/>
      </c>
      <c r="H249">
        <f>IF(A249="","","N/A")</f>
        <v/>
      </c>
    </row>
    <row r="250">
      <c r="A250">
        <f>IF('Equipment Information'!A250="","", 'Equipment Information'!A250)</f>
        <v/>
      </c>
      <c r="B250">
        <f>IF('Equipment Information'!B250="","", 'Equipment Information'!B250)</f>
        <v/>
      </c>
      <c r="C250">
        <f>IF('Equipment Information'!C250="","", 'Equipment Information'!C250)</f>
        <v/>
      </c>
      <c r="H250">
        <f>IF(A250="","","N/A")</f>
        <v/>
      </c>
    </row>
    <row r="251">
      <c r="A251">
        <f>IF('Equipment Information'!A251="","", 'Equipment Information'!A251)</f>
        <v/>
      </c>
      <c r="B251">
        <f>IF('Equipment Information'!B251="","", 'Equipment Information'!B251)</f>
        <v/>
      </c>
      <c r="C251">
        <f>IF('Equipment Information'!C251="","", 'Equipment Information'!C251)</f>
        <v/>
      </c>
      <c r="H251">
        <f>IF(A251="","","N/A")</f>
        <v/>
      </c>
    </row>
    <row r="252">
      <c r="A252">
        <f>IF('Equipment Information'!A252="","", 'Equipment Information'!A252)</f>
        <v/>
      </c>
      <c r="B252">
        <f>IF('Equipment Information'!B252="","", 'Equipment Information'!B252)</f>
        <v/>
      </c>
      <c r="C252">
        <f>IF('Equipment Information'!C252="","", 'Equipment Information'!C252)</f>
        <v/>
      </c>
      <c r="H252">
        <f>IF(A252="","","N/A")</f>
        <v/>
      </c>
    </row>
    <row r="253">
      <c r="A253">
        <f>IF('Equipment Information'!A253="","", 'Equipment Information'!A253)</f>
        <v/>
      </c>
      <c r="B253">
        <f>IF('Equipment Information'!B253="","", 'Equipment Information'!B253)</f>
        <v/>
      </c>
      <c r="C253">
        <f>IF('Equipment Information'!C253="","", 'Equipment Information'!C253)</f>
        <v/>
      </c>
      <c r="H253">
        <f>IF(A253="","","N/A")</f>
        <v/>
      </c>
    </row>
    <row r="254">
      <c r="A254">
        <f>IF('Equipment Information'!A254="","", 'Equipment Information'!A254)</f>
        <v/>
      </c>
      <c r="B254">
        <f>IF('Equipment Information'!B254="","", 'Equipment Information'!B254)</f>
        <v/>
      </c>
      <c r="C254">
        <f>IF('Equipment Information'!C254="","", 'Equipment Information'!C254)</f>
        <v/>
      </c>
      <c r="H254">
        <f>IF(A254="","","N/A")</f>
        <v/>
      </c>
    </row>
    <row r="255">
      <c r="A255">
        <f>IF('Equipment Information'!A255="","", 'Equipment Information'!A255)</f>
        <v/>
      </c>
      <c r="B255">
        <f>IF('Equipment Information'!B255="","", 'Equipment Information'!B255)</f>
        <v/>
      </c>
      <c r="C255">
        <f>IF('Equipment Information'!C255="","", 'Equipment Information'!C255)</f>
        <v/>
      </c>
      <c r="H255">
        <f>IF(A255="","","N/A")</f>
        <v/>
      </c>
    </row>
    <row r="256">
      <c r="A256">
        <f>IF('Equipment Information'!A256="","", 'Equipment Information'!A256)</f>
        <v/>
      </c>
      <c r="B256">
        <f>IF('Equipment Information'!B256="","", 'Equipment Information'!B256)</f>
        <v/>
      </c>
      <c r="C256">
        <f>IF('Equipment Information'!C256="","", 'Equipment Information'!C256)</f>
        <v/>
      </c>
      <c r="H256">
        <f>IF(A256="","","N/A")</f>
        <v/>
      </c>
    </row>
    <row r="257">
      <c r="A257">
        <f>IF('Equipment Information'!A257="","", 'Equipment Information'!A257)</f>
        <v/>
      </c>
      <c r="B257">
        <f>IF('Equipment Information'!B257="","", 'Equipment Information'!B257)</f>
        <v/>
      </c>
      <c r="C257">
        <f>IF('Equipment Information'!C257="","", 'Equipment Information'!C257)</f>
        <v/>
      </c>
      <c r="H257">
        <f>IF(A257="","","N/A")</f>
        <v/>
      </c>
    </row>
    <row r="258">
      <c r="A258">
        <f>IF('Equipment Information'!A258="","", 'Equipment Information'!A258)</f>
        <v/>
      </c>
      <c r="B258">
        <f>IF('Equipment Information'!B258="","", 'Equipment Information'!B258)</f>
        <v/>
      </c>
      <c r="C258">
        <f>IF('Equipment Information'!C258="","", 'Equipment Information'!C258)</f>
        <v/>
      </c>
      <c r="H258">
        <f>IF(A258="","","N/A")</f>
        <v/>
      </c>
    </row>
    <row r="259">
      <c r="A259">
        <f>IF('Equipment Information'!A259="","", 'Equipment Information'!A259)</f>
        <v/>
      </c>
      <c r="B259">
        <f>IF('Equipment Information'!B259="","", 'Equipment Information'!B259)</f>
        <v/>
      </c>
      <c r="C259">
        <f>IF('Equipment Information'!C259="","", 'Equipment Information'!C259)</f>
        <v/>
      </c>
      <c r="H259">
        <f>IF(A259="","","N/A")</f>
        <v/>
      </c>
    </row>
    <row r="260">
      <c r="A260">
        <f>IF('Equipment Information'!A260="","", 'Equipment Information'!A260)</f>
        <v/>
      </c>
      <c r="B260">
        <f>IF('Equipment Information'!B260="","", 'Equipment Information'!B260)</f>
        <v/>
      </c>
      <c r="C260">
        <f>IF('Equipment Information'!C260="","", 'Equipment Information'!C260)</f>
        <v/>
      </c>
      <c r="H260">
        <f>IF(A260="","","N/A")</f>
        <v/>
      </c>
    </row>
    <row r="261">
      <c r="A261">
        <f>IF('Equipment Information'!A261="","", 'Equipment Information'!A261)</f>
        <v/>
      </c>
      <c r="B261">
        <f>IF('Equipment Information'!B261="","", 'Equipment Information'!B261)</f>
        <v/>
      </c>
      <c r="C261">
        <f>IF('Equipment Information'!C261="","", 'Equipment Information'!C261)</f>
        <v/>
      </c>
      <c r="H261">
        <f>IF(A261="","","N/A")</f>
        <v/>
      </c>
    </row>
    <row r="262">
      <c r="A262">
        <f>IF('Equipment Information'!A262="","", 'Equipment Information'!A262)</f>
        <v/>
      </c>
      <c r="B262">
        <f>IF('Equipment Information'!B262="","", 'Equipment Information'!B262)</f>
        <v/>
      </c>
      <c r="C262">
        <f>IF('Equipment Information'!C262="","", 'Equipment Information'!C262)</f>
        <v/>
      </c>
      <c r="H262">
        <f>IF(A262="","","N/A")</f>
        <v/>
      </c>
    </row>
    <row r="263">
      <c r="A263">
        <f>IF('Equipment Information'!A263="","", 'Equipment Information'!A263)</f>
        <v/>
      </c>
      <c r="B263">
        <f>IF('Equipment Information'!B263="","", 'Equipment Information'!B263)</f>
        <v/>
      </c>
      <c r="C263">
        <f>IF('Equipment Information'!C263="","", 'Equipment Information'!C263)</f>
        <v/>
      </c>
      <c r="H263">
        <f>IF(A263="","","N/A")</f>
        <v/>
      </c>
    </row>
    <row r="264">
      <c r="A264">
        <f>IF('Equipment Information'!A264="","", 'Equipment Information'!A264)</f>
        <v/>
      </c>
      <c r="B264">
        <f>IF('Equipment Information'!B264="","", 'Equipment Information'!B264)</f>
        <v/>
      </c>
      <c r="C264">
        <f>IF('Equipment Information'!C264="","", 'Equipment Information'!C264)</f>
        <v/>
      </c>
      <c r="H264">
        <f>IF(A264="","","N/A")</f>
        <v/>
      </c>
    </row>
    <row r="265">
      <c r="A265">
        <f>IF('Equipment Information'!A265="","", 'Equipment Information'!A265)</f>
        <v/>
      </c>
      <c r="B265">
        <f>IF('Equipment Information'!B265="","", 'Equipment Information'!B265)</f>
        <v/>
      </c>
      <c r="C265">
        <f>IF('Equipment Information'!C265="","", 'Equipment Information'!C265)</f>
        <v/>
      </c>
      <c r="H265">
        <f>IF(A265="","","N/A")</f>
        <v/>
      </c>
    </row>
    <row r="266">
      <c r="A266">
        <f>IF('Equipment Information'!A266="","", 'Equipment Information'!A266)</f>
        <v/>
      </c>
      <c r="B266">
        <f>IF('Equipment Information'!B266="","", 'Equipment Information'!B266)</f>
        <v/>
      </c>
      <c r="C266">
        <f>IF('Equipment Information'!C266="","", 'Equipment Information'!C266)</f>
        <v/>
      </c>
      <c r="H266">
        <f>IF(A266="","","N/A")</f>
        <v/>
      </c>
    </row>
    <row r="267">
      <c r="A267">
        <f>IF('Equipment Information'!A267="","", 'Equipment Information'!A267)</f>
        <v/>
      </c>
      <c r="B267">
        <f>IF('Equipment Information'!B267="","", 'Equipment Information'!B267)</f>
        <v/>
      </c>
      <c r="C267">
        <f>IF('Equipment Information'!C267="","", 'Equipment Information'!C267)</f>
        <v/>
      </c>
      <c r="H267">
        <f>IF(A267="","","N/A")</f>
        <v/>
      </c>
    </row>
    <row r="268">
      <c r="A268">
        <f>IF('Equipment Information'!A268="","", 'Equipment Information'!A268)</f>
        <v/>
      </c>
      <c r="B268">
        <f>IF('Equipment Information'!B268="","", 'Equipment Information'!B268)</f>
        <v/>
      </c>
      <c r="C268">
        <f>IF('Equipment Information'!C268="","", 'Equipment Information'!C268)</f>
        <v/>
      </c>
      <c r="H268">
        <f>IF(A268="","","N/A")</f>
        <v/>
      </c>
    </row>
    <row r="269">
      <c r="A269">
        <f>IF('Equipment Information'!A269="","", 'Equipment Information'!A269)</f>
        <v/>
      </c>
      <c r="B269">
        <f>IF('Equipment Information'!B269="","", 'Equipment Information'!B269)</f>
        <v/>
      </c>
      <c r="C269">
        <f>IF('Equipment Information'!C269="","", 'Equipment Information'!C269)</f>
        <v/>
      </c>
      <c r="H269">
        <f>IF(A269="","","N/A")</f>
        <v/>
      </c>
    </row>
    <row r="270">
      <c r="A270">
        <f>IF('Equipment Information'!A270="","", 'Equipment Information'!A270)</f>
        <v/>
      </c>
      <c r="B270">
        <f>IF('Equipment Information'!B270="","", 'Equipment Information'!B270)</f>
        <v/>
      </c>
      <c r="C270">
        <f>IF('Equipment Information'!C270="","", 'Equipment Information'!C270)</f>
        <v/>
      </c>
      <c r="H270">
        <f>IF(A270="","","N/A")</f>
        <v/>
      </c>
    </row>
    <row r="271">
      <c r="A271">
        <f>IF('Equipment Information'!A271="","", 'Equipment Information'!A271)</f>
        <v/>
      </c>
      <c r="B271">
        <f>IF('Equipment Information'!B271="","", 'Equipment Information'!B271)</f>
        <v/>
      </c>
      <c r="C271">
        <f>IF('Equipment Information'!C271="","", 'Equipment Information'!C271)</f>
        <v/>
      </c>
      <c r="H271">
        <f>IF(A271="","","N/A")</f>
        <v/>
      </c>
    </row>
    <row r="272">
      <c r="A272">
        <f>IF('Equipment Information'!A272="","", 'Equipment Information'!A272)</f>
        <v/>
      </c>
      <c r="B272">
        <f>IF('Equipment Information'!B272="","", 'Equipment Information'!B272)</f>
        <v/>
      </c>
      <c r="C272">
        <f>IF('Equipment Information'!C272="","", 'Equipment Information'!C272)</f>
        <v/>
      </c>
      <c r="H272">
        <f>IF(A272="","","N/A")</f>
        <v/>
      </c>
    </row>
    <row r="273">
      <c r="A273">
        <f>IF('Equipment Information'!A273="","", 'Equipment Information'!A273)</f>
        <v/>
      </c>
      <c r="B273">
        <f>IF('Equipment Information'!B273="","", 'Equipment Information'!B273)</f>
        <v/>
      </c>
      <c r="C273">
        <f>IF('Equipment Information'!C273="","", 'Equipment Information'!C273)</f>
        <v/>
      </c>
      <c r="H273">
        <f>IF(A273="","","N/A")</f>
        <v/>
      </c>
    </row>
    <row r="274">
      <c r="A274">
        <f>IF('Equipment Information'!A274="","", 'Equipment Information'!A274)</f>
        <v/>
      </c>
      <c r="B274">
        <f>IF('Equipment Information'!B274="","", 'Equipment Information'!B274)</f>
        <v/>
      </c>
      <c r="C274">
        <f>IF('Equipment Information'!C274="","", 'Equipment Information'!C274)</f>
        <v/>
      </c>
      <c r="H274">
        <f>IF(A274="","","N/A")</f>
        <v/>
      </c>
    </row>
    <row r="275">
      <c r="A275">
        <f>IF('Equipment Information'!A275="","", 'Equipment Information'!A275)</f>
        <v/>
      </c>
      <c r="B275">
        <f>IF('Equipment Information'!B275="","", 'Equipment Information'!B275)</f>
        <v/>
      </c>
      <c r="C275">
        <f>IF('Equipment Information'!C275="","", 'Equipment Information'!C275)</f>
        <v/>
      </c>
      <c r="H275">
        <f>IF(A275="","","N/A")</f>
        <v/>
      </c>
    </row>
    <row r="276">
      <c r="A276">
        <f>IF('Equipment Information'!A276="","", 'Equipment Information'!A276)</f>
        <v/>
      </c>
      <c r="B276">
        <f>IF('Equipment Information'!B276="","", 'Equipment Information'!B276)</f>
        <v/>
      </c>
      <c r="C276">
        <f>IF('Equipment Information'!C276="","", 'Equipment Information'!C276)</f>
        <v/>
      </c>
      <c r="H276">
        <f>IF(A276="","","N/A")</f>
        <v/>
      </c>
    </row>
    <row r="277">
      <c r="A277">
        <f>IF('Equipment Information'!A277="","", 'Equipment Information'!A277)</f>
        <v/>
      </c>
      <c r="B277">
        <f>IF('Equipment Information'!B277="","", 'Equipment Information'!B277)</f>
        <v/>
      </c>
      <c r="C277">
        <f>IF('Equipment Information'!C277="","", 'Equipment Information'!C277)</f>
        <v/>
      </c>
      <c r="H277">
        <f>IF(A277="","","N/A")</f>
        <v/>
      </c>
    </row>
    <row r="278">
      <c r="A278">
        <f>IF('Equipment Information'!A278="","", 'Equipment Information'!A278)</f>
        <v/>
      </c>
      <c r="B278">
        <f>IF('Equipment Information'!B278="","", 'Equipment Information'!B278)</f>
        <v/>
      </c>
      <c r="C278">
        <f>IF('Equipment Information'!C278="","", 'Equipment Information'!C278)</f>
        <v/>
      </c>
      <c r="H278">
        <f>IF(A278="","","N/A")</f>
        <v/>
      </c>
    </row>
    <row r="279">
      <c r="A279">
        <f>IF('Equipment Information'!A279="","", 'Equipment Information'!A279)</f>
        <v/>
      </c>
      <c r="B279">
        <f>IF('Equipment Information'!B279="","", 'Equipment Information'!B279)</f>
        <v/>
      </c>
      <c r="C279">
        <f>IF('Equipment Information'!C279="","", 'Equipment Information'!C279)</f>
        <v/>
      </c>
      <c r="H279">
        <f>IF(A279="","","N/A")</f>
        <v/>
      </c>
    </row>
    <row r="280">
      <c r="A280">
        <f>IF('Equipment Information'!A280="","", 'Equipment Information'!A280)</f>
        <v/>
      </c>
      <c r="B280">
        <f>IF('Equipment Information'!B280="","", 'Equipment Information'!B280)</f>
        <v/>
      </c>
      <c r="C280">
        <f>IF('Equipment Information'!C280="","", 'Equipment Information'!C280)</f>
        <v/>
      </c>
      <c r="H280">
        <f>IF(A280="","","N/A")</f>
        <v/>
      </c>
    </row>
    <row r="281">
      <c r="A281">
        <f>IF('Equipment Information'!A281="","", 'Equipment Information'!A281)</f>
        <v/>
      </c>
      <c r="B281">
        <f>IF('Equipment Information'!B281="","", 'Equipment Information'!B281)</f>
        <v/>
      </c>
      <c r="C281">
        <f>IF('Equipment Information'!C281="","", 'Equipment Information'!C281)</f>
        <v/>
      </c>
      <c r="H281">
        <f>IF(A281="","","N/A")</f>
        <v/>
      </c>
    </row>
    <row r="282">
      <c r="A282">
        <f>IF('Equipment Information'!A282="","", 'Equipment Information'!A282)</f>
        <v/>
      </c>
      <c r="B282">
        <f>IF('Equipment Information'!B282="","", 'Equipment Information'!B282)</f>
        <v/>
      </c>
      <c r="C282">
        <f>IF('Equipment Information'!C282="","", 'Equipment Information'!C282)</f>
        <v/>
      </c>
      <c r="H282">
        <f>IF(A282="","","N/A")</f>
        <v/>
      </c>
    </row>
    <row r="283">
      <c r="A283">
        <f>IF('Equipment Information'!A283="","", 'Equipment Information'!A283)</f>
        <v/>
      </c>
      <c r="B283">
        <f>IF('Equipment Information'!B283="","", 'Equipment Information'!B283)</f>
        <v/>
      </c>
      <c r="C283">
        <f>IF('Equipment Information'!C283="","", 'Equipment Information'!C283)</f>
        <v/>
      </c>
      <c r="H283">
        <f>IF(A283="","","N/A")</f>
        <v/>
      </c>
    </row>
    <row r="284">
      <c r="A284">
        <f>IF('Equipment Information'!A284="","", 'Equipment Information'!A284)</f>
        <v/>
      </c>
      <c r="B284">
        <f>IF('Equipment Information'!B284="","", 'Equipment Information'!B284)</f>
        <v/>
      </c>
      <c r="C284">
        <f>IF('Equipment Information'!C284="","", 'Equipment Information'!C284)</f>
        <v/>
      </c>
      <c r="H284">
        <f>IF(A284="","","N/A")</f>
        <v/>
      </c>
    </row>
    <row r="285">
      <c r="A285">
        <f>IF('Equipment Information'!A285="","", 'Equipment Information'!A285)</f>
        <v/>
      </c>
      <c r="B285">
        <f>IF('Equipment Information'!B285="","", 'Equipment Information'!B285)</f>
        <v/>
      </c>
      <c r="C285">
        <f>IF('Equipment Information'!C285="","", 'Equipment Information'!C285)</f>
        <v/>
      </c>
      <c r="H285">
        <f>IF(A285="","","N/A")</f>
        <v/>
      </c>
    </row>
    <row r="286">
      <c r="A286">
        <f>IF('Equipment Information'!A286="","", 'Equipment Information'!A286)</f>
        <v/>
      </c>
      <c r="B286">
        <f>IF('Equipment Information'!B286="","", 'Equipment Information'!B286)</f>
        <v/>
      </c>
      <c r="C286">
        <f>IF('Equipment Information'!C286="","", 'Equipment Information'!C286)</f>
        <v/>
      </c>
      <c r="H286">
        <f>IF(A286="","","N/A")</f>
        <v/>
      </c>
    </row>
    <row r="287">
      <c r="A287">
        <f>IF('Equipment Information'!A287="","", 'Equipment Information'!A287)</f>
        <v/>
      </c>
      <c r="B287">
        <f>IF('Equipment Information'!B287="","", 'Equipment Information'!B287)</f>
        <v/>
      </c>
      <c r="C287">
        <f>IF('Equipment Information'!C287="","", 'Equipment Information'!C287)</f>
        <v/>
      </c>
      <c r="H287">
        <f>IF(A287="","","N/A")</f>
        <v/>
      </c>
    </row>
    <row r="288">
      <c r="A288">
        <f>IF('Equipment Information'!A288="","", 'Equipment Information'!A288)</f>
        <v/>
      </c>
      <c r="B288">
        <f>IF('Equipment Information'!B288="","", 'Equipment Information'!B288)</f>
        <v/>
      </c>
      <c r="C288">
        <f>IF('Equipment Information'!C288="","", 'Equipment Information'!C288)</f>
        <v/>
      </c>
      <c r="H288">
        <f>IF(A288="","","N/A")</f>
        <v/>
      </c>
    </row>
    <row r="289">
      <c r="A289">
        <f>IF('Equipment Information'!A289="","", 'Equipment Information'!A289)</f>
        <v/>
      </c>
      <c r="B289">
        <f>IF('Equipment Information'!B289="","", 'Equipment Information'!B289)</f>
        <v/>
      </c>
      <c r="C289">
        <f>IF('Equipment Information'!C289="","", 'Equipment Information'!C289)</f>
        <v/>
      </c>
      <c r="H289">
        <f>IF(A289="","","N/A")</f>
        <v/>
      </c>
    </row>
    <row r="290">
      <c r="A290">
        <f>IF('Equipment Information'!A290="","", 'Equipment Information'!A290)</f>
        <v/>
      </c>
      <c r="B290">
        <f>IF('Equipment Information'!B290="","", 'Equipment Information'!B290)</f>
        <v/>
      </c>
      <c r="C290">
        <f>IF('Equipment Information'!C290="","", 'Equipment Information'!C290)</f>
        <v/>
      </c>
      <c r="H290">
        <f>IF(A290="","","N/A")</f>
        <v/>
      </c>
    </row>
    <row r="291">
      <c r="A291">
        <f>IF('Equipment Information'!A291="","", 'Equipment Information'!A291)</f>
        <v/>
      </c>
      <c r="B291">
        <f>IF('Equipment Information'!B291="","", 'Equipment Information'!B291)</f>
        <v/>
      </c>
      <c r="C291">
        <f>IF('Equipment Information'!C291="","", 'Equipment Information'!C291)</f>
        <v/>
      </c>
      <c r="H291">
        <f>IF(A291="","","N/A")</f>
        <v/>
      </c>
    </row>
    <row r="292">
      <c r="A292">
        <f>IF('Equipment Information'!A292="","", 'Equipment Information'!A292)</f>
        <v/>
      </c>
      <c r="B292">
        <f>IF('Equipment Information'!B292="","", 'Equipment Information'!B292)</f>
        <v/>
      </c>
      <c r="C292">
        <f>IF('Equipment Information'!C292="","", 'Equipment Information'!C292)</f>
        <v/>
      </c>
      <c r="H292">
        <f>IF(A292="","","N/A")</f>
        <v/>
      </c>
    </row>
    <row r="293">
      <c r="A293">
        <f>IF('Equipment Information'!A293="","", 'Equipment Information'!A293)</f>
        <v/>
      </c>
      <c r="B293">
        <f>IF('Equipment Information'!B293="","", 'Equipment Information'!B293)</f>
        <v/>
      </c>
      <c r="C293">
        <f>IF('Equipment Information'!C293="","", 'Equipment Information'!C293)</f>
        <v/>
      </c>
      <c r="H293">
        <f>IF(A293="","","N/A")</f>
        <v/>
      </c>
    </row>
    <row r="294">
      <c r="A294">
        <f>IF('Equipment Information'!A294="","", 'Equipment Information'!A294)</f>
        <v/>
      </c>
      <c r="B294">
        <f>IF('Equipment Information'!B294="","", 'Equipment Information'!B294)</f>
        <v/>
      </c>
      <c r="C294">
        <f>IF('Equipment Information'!C294="","", 'Equipment Information'!C294)</f>
        <v/>
      </c>
      <c r="H294">
        <f>IF(A294="","","N/A")</f>
        <v/>
      </c>
    </row>
    <row r="295">
      <c r="A295">
        <f>IF('Equipment Information'!A295="","", 'Equipment Information'!A295)</f>
        <v/>
      </c>
      <c r="B295">
        <f>IF('Equipment Information'!B295="","", 'Equipment Information'!B295)</f>
        <v/>
      </c>
      <c r="C295">
        <f>IF('Equipment Information'!C295="","", 'Equipment Information'!C295)</f>
        <v/>
      </c>
      <c r="H295">
        <f>IF(A295="","","N/A")</f>
        <v/>
      </c>
    </row>
    <row r="296">
      <c r="A296">
        <f>IF('Equipment Information'!A296="","", 'Equipment Information'!A296)</f>
        <v/>
      </c>
      <c r="B296">
        <f>IF('Equipment Information'!B296="","", 'Equipment Information'!B296)</f>
        <v/>
      </c>
      <c r="C296">
        <f>IF('Equipment Information'!C296="","", 'Equipment Information'!C296)</f>
        <v/>
      </c>
      <c r="H296">
        <f>IF(A296="","","N/A")</f>
        <v/>
      </c>
    </row>
    <row r="297">
      <c r="A297">
        <f>IF('Equipment Information'!A297="","", 'Equipment Information'!A297)</f>
        <v/>
      </c>
      <c r="B297">
        <f>IF('Equipment Information'!B297="","", 'Equipment Information'!B297)</f>
        <v/>
      </c>
      <c r="C297">
        <f>IF('Equipment Information'!C297="","", 'Equipment Information'!C297)</f>
        <v/>
      </c>
      <c r="H297">
        <f>IF(A297="","","N/A")</f>
        <v/>
      </c>
    </row>
    <row r="298">
      <c r="A298">
        <f>IF('Equipment Information'!A298="","", 'Equipment Information'!A298)</f>
        <v/>
      </c>
      <c r="B298">
        <f>IF('Equipment Information'!B298="","", 'Equipment Information'!B298)</f>
        <v/>
      </c>
      <c r="C298">
        <f>IF('Equipment Information'!C298="","", 'Equipment Information'!C298)</f>
        <v/>
      </c>
      <c r="H298">
        <f>IF(A298="","","N/A")</f>
        <v/>
      </c>
    </row>
    <row r="299">
      <c r="A299">
        <f>IF('Equipment Information'!A299="","", 'Equipment Information'!A299)</f>
        <v/>
      </c>
      <c r="B299">
        <f>IF('Equipment Information'!B299="","", 'Equipment Information'!B299)</f>
        <v/>
      </c>
      <c r="C299">
        <f>IF('Equipment Information'!C299="","", 'Equipment Information'!C299)</f>
        <v/>
      </c>
      <c r="H299">
        <f>IF(A299="","","N/A")</f>
        <v/>
      </c>
    </row>
    <row r="300">
      <c r="A300">
        <f>IF('Equipment Information'!A300="","", 'Equipment Information'!A300)</f>
        <v/>
      </c>
      <c r="B300">
        <f>IF('Equipment Information'!B300="","", 'Equipment Information'!B300)</f>
        <v/>
      </c>
      <c r="C300">
        <f>IF('Equipment Information'!C300="","", 'Equipment Information'!C300)</f>
        <v/>
      </c>
      <c r="H300">
        <f>IF(A300="","","N/A")</f>
        <v/>
      </c>
    </row>
    <row r="301">
      <c r="A301">
        <f>IF('Equipment Information'!A301="","", 'Equipment Information'!A301)</f>
        <v/>
      </c>
      <c r="B301">
        <f>IF('Equipment Information'!B301="","", 'Equipment Information'!B301)</f>
        <v/>
      </c>
      <c r="C301">
        <f>IF('Equipment Information'!C301="","", 'Equipment Information'!C301)</f>
        <v/>
      </c>
      <c r="H301">
        <f>IF(A301="","","N/A")</f>
        <v/>
      </c>
    </row>
    <row r="302">
      <c r="A302">
        <f>IF('Equipment Information'!A302="","", 'Equipment Information'!A302)</f>
        <v/>
      </c>
      <c r="B302">
        <f>IF('Equipment Information'!B302="","", 'Equipment Information'!B302)</f>
        <v/>
      </c>
      <c r="C302">
        <f>IF('Equipment Information'!C302="","", 'Equipment Information'!C302)</f>
        <v/>
      </c>
      <c r="H302">
        <f>IF(A302="","","N/A")</f>
        <v/>
      </c>
    </row>
    <row r="303">
      <c r="A303">
        <f>IF('Equipment Information'!A303="","", 'Equipment Information'!A303)</f>
        <v/>
      </c>
      <c r="B303">
        <f>IF('Equipment Information'!B303="","", 'Equipment Information'!B303)</f>
        <v/>
      </c>
      <c r="C303">
        <f>IF('Equipment Information'!C303="","", 'Equipment Information'!C303)</f>
        <v/>
      </c>
      <c r="H303">
        <f>IF(A303="","","N/A")</f>
        <v/>
      </c>
    </row>
    <row r="304">
      <c r="A304">
        <f>IF('Equipment Information'!A304="","", 'Equipment Information'!A304)</f>
        <v/>
      </c>
      <c r="B304">
        <f>IF('Equipment Information'!B304="","", 'Equipment Information'!B304)</f>
        <v/>
      </c>
      <c r="C304">
        <f>IF('Equipment Information'!C304="","", 'Equipment Information'!C304)</f>
        <v/>
      </c>
      <c r="H304">
        <f>IF(A304="","","N/A")</f>
        <v/>
      </c>
    </row>
    <row r="305">
      <c r="A305">
        <f>IF('Equipment Information'!A305="","", 'Equipment Information'!A305)</f>
        <v/>
      </c>
      <c r="B305">
        <f>IF('Equipment Information'!B305="","", 'Equipment Information'!B305)</f>
        <v/>
      </c>
      <c r="C305">
        <f>IF('Equipment Information'!C305="","", 'Equipment Information'!C305)</f>
        <v/>
      </c>
      <c r="H305">
        <f>IF(A305="","","N/A")</f>
        <v/>
      </c>
    </row>
    <row r="306">
      <c r="A306">
        <f>IF('Equipment Information'!A306="","", 'Equipment Information'!A306)</f>
        <v/>
      </c>
      <c r="B306">
        <f>IF('Equipment Information'!B306="","", 'Equipment Information'!B306)</f>
        <v/>
      </c>
      <c r="C306">
        <f>IF('Equipment Information'!C306="","", 'Equipment Information'!C306)</f>
        <v/>
      </c>
      <c r="H306">
        <f>IF(A306="","","N/A")</f>
        <v/>
      </c>
    </row>
    <row r="307">
      <c r="A307">
        <f>IF('Equipment Information'!A307="","", 'Equipment Information'!A307)</f>
        <v/>
      </c>
      <c r="B307">
        <f>IF('Equipment Information'!B307="","", 'Equipment Information'!B307)</f>
        <v/>
      </c>
      <c r="C307">
        <f>IF('Equipment Information'!C307="","", 'Equipment Information'!C307)</f>
        <v/>
      </c>
      <c r="H307">
        <f>IF(A307="","","N/A")</f>
        <v/>
      </c>
    </row>
    <row r="308">
      <c r="A308">
        <f>IF('Equipment Information'!A308="","", 'Equipment Information'!A308)</f>
        <v/>
      </c>
      <c r="B308">
        <f>IF('Equipment Information'!B308="","", 'Equipment Information'!B308)</f>
        <v/>
      </c>
      <c r="C308">
        <f>IF('Equipment Information'!C308="","", 'Equipment Information'!C308)</f>
        <v/>
      </c>
      <c r="H308">
        <f>IF(A308="","","N/A")</f>
        <v/>
      </c>
    </row>
    <row r="309">
      <c r="A309">
        <f>IF('Equipment Information'!A309="","", 'Equipment Information'!A309)</f>
        <v/>
      </c>
      <c r="B309">
        <f>IF('Equipment Information'!B309="","", 'Equipment Information'!B309)</f>
        <v/>
      </c>
      <c r="C309">
        <f>IF('Equipment Information'!C309="","", 'Equipment Information'!C309)</f>
        <v/>
      </c>
      <c r="H309">
        <f>IF(A309="","","N/A")</f>
        <v/>
      </c>
    </row>
    <row r="310">
      <c r="A310">
        <f>IF('Equipment Information'!A310="","", 'Equipment Information'!A310)</f>
        <v/>
      </c>
      <c r="B310">
        <f>IF('Equipment Information'!B310="","", 'Equipment Information'!B310)</f>
        <v/>
      </c>
      <c r="C310">
        <f>IF('Equipment Information'!C310="","", 'Equipment Information'!C310)</f>
        <v/>
      </c>
      <c r="H310">
        <f>IF(A310="","","N/A")</f>
        <v/>
      </c>
    </row>
    <row r="311">
      <c r="A311">
        <f>IF('Equipment Information'!A311="","", 'Equipment Information'!A311)</f>
        <v/>
      </c>
      <c r="B311">
        <f>IF('Equipment Information'!B311="","", 'Equipment Information'!B311)</f>
        <v/>
      </c>
      <c r="C311">
        <f>IF('Equipment Information'!C311="","", 'Equipment Information'!C311)</f>
        <v/>
      </c>
      <c r="H311">
        <f>IF(A311="","","N/A")</f>
        <v/>
      </c>
    </row>
    <row r="312">
      <c r="A312">
        <f>IF('Equipment Information'!A312="","", 'Equipment Information'!A312)</f>
        <v/>
      </c>
      <c r="B312">
        <f>IF('Equipment Information'!B312="","", 'Equipment Information'!B312)</f>
        <v/>
      </c>
      <c r="C312">
        <f>IF('Equipment Information'!C312="","", 'Equipment Information'!C312)</f>
        <v/>
      </c>
      <c r="H312">
        <f>IF(A312="","","N/A")</f>
        <v/>
      </c>
    </row>
    <row r="313">
      <c r="A313">
        <f>IF('Equipment Information'!A313="","", 'Equipment Information'!A313)</f>
        <v/>
      </c>
      <c r="B313">
        <f>IF('Equipment Information'!B313="","", 'Equipment Information'!B313)</f>
        <v/>
      </c>
      <c r="C313">
        <f>IF('Equipment Information'!C313="","", 'Equipment Information'!C313)</f>
        <v/>
      </c>
      <c r="H313">
        <f>IF(A313="","","N/A")</f>
        <v/>
      </c>
    </row>
    <row r="314">
      <c r="A314">
        <f>IF('Equipment Information'!A314="","", 'Equipment Information'!A314)</f>
        <v/>
      </c>
      <c r="B314">
        <f>IF('Equipment Information'!B314="","", 'Equipment Information'!B314)</f>
        <v/>
      </c>
      <c r="C314">
        <f>IF('Equipment Information'!C314="","", 'Equipment Information'!C314)</f>
        <v/>
      </c>
      <c r="H314">
        <f>IF(A314="","","N/A")</f>
        <v/>
      </c>
    </row>
    <row r="315">
      <c r="A315">
        <f>IF('Equipment Information'!A315="","", 'Equipment Information'!A315)</f>
        <v/>
      </c>
      <c r="B315">
        <f>IF('Equipment Information'!B315="","", 'Equipment Information'!B315)</f>
        <v/>
      </c>
      <c r="C315">
        <f>IF('Equipment Information'!C315="","", 'Equipment Information'!C315)</f>
        <v/>
      </c>
      <c r="H315">
        <f>IF(A315="","","N/A")</f>
        <v/>
      </c>
    </row>
    <row r="316">
      <c r="A316">
        <f>IF('Equipment Information'!A316="","", 'Equipment Information'!A316)</f>
        <v/>
      </c>
      <c r="B316">
        <f>IF('Equipment Information'!B316="","", 'Equipment Information'!B316)</f>
        <v/>
      </c>
      <c r="C316">
        <f>IF('Equipment Information'!C316="","", 'Equipment Information'!C316)</f>
        <v/>
      </c>
      <c r="H316">
        <f>IF(A316="","","N/A")</f>
        <v/>
      </c>
    </row>
    <row r="317">
      <c r="A317">
        <f>IF('Equipment Information'!A317="","", 'Equipment Information'!A317)</f>
        <v/>
      </c>
      <c r="B317">
        <f>IF('Equipment Information'!B317="","", 'Equipment Information'!B317)</f>
        <v/>
      </c>
      <c r="C317">
        <f>IF('Equipment Information'!C317="","", 'Equipment Information'!C317)</f>
        <v/>
      </c>
      <c r="H317">
        <f>IF(A317="","","N/A")</f>
        <v/>
      </c>
    </row>
    <row r="318">
      <c r="A318">
        <f>IF('Equipment Information'!A318="","", 'Equipment Information'!A318)</f>
        <v/>
      </c>
      <c r="B318">
        <f>IF('Equipment Information'!B318="","", 'Equipment Information'!B318)</f>
        <v/>
      </c>
      <c r="C318">
        <f>IF('Equipment Information'!C318="","", 'Equipment Information'!C318)</f>
        <v/>
      </c>
      <c r="H318">
        <f>IF(A318="","","N/A")</f>
        <v/>
      </c>
    </row>
    <row r="319">
      <c r="A319">
        <f>IF('Equipment Information'!A319="","", 'Equipment Information'!A319)</f>
        <v/>
      </c>
      <c r="B319">
        <f>IF('Equipment Information'!B319="","", 'Equipment Information'!B319)</f>
        <v/>
      </c>
      <c r="C319">
        <f>IF('Equipment Information'!C319="","", 'Equipment Information'!C319)</f>
        <v/>
      </c>
      <c r="H319">
        <f>IF(A319="","","N/A")</f>
        <v/>
      </c>
    </row>
    <row r="320">
      <c r="A320">
        <f>IF('Equipment Information'!A320="","", 'Equipment Information'!A320)</f>
        <v/>
      </c>
      <c r="B320">
        <f>IF('Equipment Information'!B320="","", 'Equipment Information'!B320)</f>
        <v/>
      </c>
      <c r="C320">
        <f>IF('Equipment Information'!C320="","", 'Equipment Information'!C320)</f>
        <v/>
      </c>
      <c r="H320">
        <f>IF(A320="","","N/A")</f>
        <v/>
      </c>
    </row>
    <row r="321">
      <c r="A321">
        <f>IF('Equipment Information'!A321="","", 'Equipment Information'!A321)</f>
        <v/>
      </c>
      <c r="B321">
        <f>IF('Equipment Information'!B321="","", 'Equipment Information'!B321)</f>
        <v/>
      </c>
      <c r="C321">
        <f>IF('Equipment Information'!C321="","", 'Equipment Information'!C321)</f>
        <v/>
      </c>
      <c r="H321">
        <f>IF(A321="","","N/A")</f>
        <v/>
      </c>
    </row>
    <row r="322">
      <c r="A322">
        <f>IF('Equipment Information'!A322="","", 'Equipment Information'!A322)</f>
        <v/>
      </c>
      <c r="B322">
        <f>IF('Equipment Information'!B322="","", 'Equipment Information'!B322)</f>
        <v/>
      </c>
      <c r="C322">
        <f>IF('Equipment Information'!C322="","", 'Equipment Information'!C322)</f>
        <v/>
      </c>
      <c r="H322">
        <f>IF(A322="","","N/A")</f>
        <v/>
      </c>
    </row>
    <row r="323">
      <c r="A323">
        <f>IF('Equipment Information'!A323="","", 'Equipment Information'!A323)</f>
        <v/>
      </c>
      <c r="B323">
        <f>IF('Equipment Information'!B323="","", 'Equipment Information'!B323)</f>
        <v/>
      </c>
      <c r="C323">
        <f>IF('Equipment Information'!C323="","", 'Equipment Information'!C323)</f>
        <v/>
      </c>
      <c r="H323">
        <f>IF(A323="","","N/A")</f>
        <v/>
      </c>
    </row>
    <row r="324">
      <c r="A324">
        <f>IF('Equipment Information'!A324="","", 'Equipment Information'!A324)</f>
        <v/>
      </c>
      <c r="B324">
        <f>IF('Equipment Information'!B324="","", 'Equipment Information'!B324)</f>
        <v/>
      </c>
      <c r="C324">
        <f>IF('Equipment Information'!C324="","", 'Equipment Information'!C324)</f>
        <v/>
      </c>
      <c r="H324">
        <f>IF(A324="","","N/A")</f>
        <v/>
      </c>
    </row>
    <row r="325">
      <c r="A325">
        <f>IF('Equipment Information'!A325="","", 'Equipment Information'!A325)</f>
        <v/>
      </c>
      <c r="B325">
        <f>IF('Equipment Information'!B325="","", 'Equipment Information'!B325)</f>
        <v/>
      </c>
      <c r="C325">
        <f>IF('Equipment Information'!C325="","", 'Equipment Information'!C325)</f>
        <v/>
      </c>
      <c r="H325">
        <f>IF(A325="","","N/A")</f>
        <v/>
      </c>
    </row>
    <row r="326">
      <c r="A326">
        <f>IF('Equipment Information'!A326="","", 'Equipment Information'!A326)</f>
        <v/>
      </c>
      <c r="B326">
        <f>IF('Equipment Information'!B326="","", 'Equipment Information'!B326)</f>
        <v/>
      </c>
      <c r="C326">
        <f>IF('Equipment Information'!C326="","", 'Equipment Information'!C326)</f>
        <v/>
      </c>
      <c r="H326">
        <f>IF(A326="","","N/A")</f>
        <v/>
      </c>
    </row>
    <row r="327">
      <c r="A327">
        <f>IF('Equipment Information'!A327="","", 'Equipment Information'!A327)</f>
        <v/>
      </c>
      <c r="B327">
        <f>IF('Equipment Information'!B327="","", 'Equipment Information'!B327)</f>
        <v/>
      </c>
      <c r="C327">
        <f>IF('Equipment Information'!C327="","", 'Equipment Information'!C327)</f>
        <v/>
      </c>
      <c r="H327">
        <f>IF(A327="","","N/A")</f>
        <v/>
      </c>
    </row>
    <row r="328">
      <c r="A328">
        <f>IF('Equipment Information'!A328="","", 'Equipment Information'!A328)</f>
        <v/>
      </c>
      <c r="B328">
        <f>IF('Equipment Information'!B328="","", 'Equipment Information'!B328)</f>
        <v/>
      </c>
      <c r="C328">
        <f>IF('Equipment Information'!C328="","", 'Equipment Information'!C328)</f>
        <v/>
      </c>
      <c r="H328">
        <f>IF(A328="","","N/A")</f>
        <v/>
      </c>
    </row>
    <row r="329">
      <c r="A329">
        <f>IF('Equipment Information'!A329="","", 'Equipment Information'!A329)</f>
        <v/>
      </c>
      <c r="B329">
        <f>IF('Equipment Information'!B329="","", 'Equipment Information'!B329)</f>
        <v/>
      </c>
      <c r="C329">
        <f>IF('Equipment Information'!C329="","", 'Equipment Information'!C329)</f>
        <v/>
      </c>
      <c r="H329">
        <f>IF(A329="","","N/A")</f>
        <v/>
      </c>
    </row>
    <row r="330">
      <c r="A330">
        <f>IF('Equipment Information'!A330="","", 'Equipment Information'!A330)</f>
        <v/>
      </c>
      <c r="B330">
        <f>IF('Equipment Information'!B330="","", 'Equipment Information'!B330)</f>
        <v/>
      </c>
      <c r="C330">
        <f>IF('Equipment Information'!C330="","", 'Equipment Information'!C330)</f>
        <v/>
      </c>
      <c r="H330">
        <f>IF(A330="","","N/A")</f>
        <v/>
      </c>
    </row>
    <row r="331">
      <c r="A331">
        <f>IF('Equipment Information'!A331="","", 'Equipment Information'!A331)</f>
        <v/>
      </c>
      <c r="B331">
        <f>IF('Equipment Information'!B331="","", 'Equipment Information'!B331)</f>
        <v/>
      </c>
      <c r="C331">
        <f>IF('Equipment Information'!C331="","", 'Equipment Information'!C331)</f>
        <v/>
      </c>
      <c r="H331">
        <f>IF(A331="","","N/A")</f>
        <v/>
      </c>
    </row>
    <row r="332">
      <c r="A332">
        <f>IF('Equipment Information'!A332="","", 'Equipment Information'!A332)</f>
        <v/>
      </c>
      <c r="B332">
        <f>IF('Equipment Information'!B332="","", 'Equipment Information'!B332)</f>
        <v/>
      </c>
      <c r="C332">
        <f>IF('Equipment Information'!C332="","", 'Equipment Information'!C332)</f>
        <v/>
      </c>
      <c r="H332">
        <f>IF(A332="","","N/A")</f>
        <v/>
      </c>
    </row>
    <row r="333">
      <c r="A333">
        <f>IF('Equipment Information'!A333="","", 'Equipment Information'!A333)</f>
        <v/>
      </c>
      <c r="B333">
        <f>IF('Equipment Information'!B333="","", 'Equipment Information'!B333)</f>
        <v/>
      </c>
      <c r="C333">
        <f>IF('Equipment Information'!C333="","", 'Equipment Information'!C333)</f>
        <v/>
      </c>
      <c r="H333">
        <f>IF(A333="","","N/A")</f>
        <v/>
      </c>
    </row>
    <row r="334">
      <c r="A334">
        <f>IF('Equipment Information'!A334="","", 'Equipment Information'!A334)</f>
        <v/>
      </c>
      <c r="B334">
        <f>IF('Equipment Information'!B334="","", 'Equipment Information'!B334)</f>
        <v/>
      </c>
      <c r="C334">
        <f>IF('Equipment Information'!C334="","", 'Equipment Information'!C334)</f>
        <v/>
      </c>
      <c r="H334">
        <f>IF(A334="","","N/A")</f>
        <v/>
      </c>
    </row>
    <row r="335">
      <c r="A335">
        <f>IF('Equipment Information'!A335="","", 'Equipment Information'!A335)</f>
        <v/>
      </c>
      <c r="B335">
        <f>IF('Equipment Information'!B335="","", 'Equipment Information'!B335)</f>
        <v/>
      </c>
      <c r="C335">
        <f>IF('Equipment Information'!C335="","", 'Equipment Information'!C335)</f>
        <v/>
      </c>
      <c r="H335">
        <f>IF(A335="","","N/A")</f>
        <v/>
      </c>
    </row>
    <row r="336">
      <c r="A336">
        <f>IF('Equipment Information'!A336="","", 'Equipment Information'!A336)</f>
        <v/>
      </c>
      <c r="B336">
        <f>IF('Equipment Information'!B336="","", 'Equipment Information'!B336)</f>
        <v/>
      </c>
      <c r="C336">
        <f>IF('Equipment Information'!C336="","", 'Equipment Information'!C336)</f>
        <v/>
      </c>
      <c r="H336">
        <f>IF(A336="","","N/A")</f>
        <v/>
      </c>
    </row>
    <row r="337">
      <c r="A337">
        <f>IF('Equipment Information'!A337="","", 'Equipment Information'!A337)</f>
        <v/>
      </c>
      <c r="B337">
        <f>IF('Equipment Information'!B337="","", 'Equipment Information'!B337)</f>
        <v/>
      </c>
      <c r="C337">
        <f>IF('Equipment Information'!C337="","", 'Equipment Information'!C337)</f>
        <v/>
      </c>
      <c r="H337">
        <f>IF(A337="","","N/A")</f>
        <v/>
      </c>
    </row>
    <row r="338">
      <c r="A338">
        <f>IF('Equipment Information'!A338="","", 'Equipment Information'!A338)</f>
        <v/>
      </c>
      <c r="B338">
        <f>IF('Equipment Information'!B338="","", 'Equipment Information'!B338)</f>
        <v/>
      </c>
      <c r="C338">
        <f>IF('Equipment Information'!C338="","", 'Equipment Information'!C338)</f>
        <v/>
      </c>
      <c r="H338">
        <f>IF(A338="","","N/A")</f>
        <v/>
      </c>
    </row>
    <row r="339">
      <c r="A339">
        <f>IF('Equipment Information'!A339="","", 'Equipment Information'!A339)</f>
        <v/>
      </c>
      <c r="B339">
        <f>IF('Equipment Information'!B339="","", 'Equipment Information'!B339)</f>
        <v/>
      </c>
      <c r="C339">
        <f>IF('Equipment Information'!C339="","", 'Equipment Information'!C339)</f>
        <v/>
      </c>
      <c r="H339">
        <f>IF(A339="","","N/A")</f>
        <v/>
      </c>
    </row>
    <row r="340">
      <c r="A340">
        <f>IF('Equipment Information'!A340="","", 'Equipment Information'!A340)</f>
        <v/>
      </c>
      <c r="B340">
        <f>IF('Equipment Information'!B340="","", 'Equipment Information'!B340)</f>
        <v/>
      </c>
      <c r="C340">
        <f>IF('Equipment Information'!C340="","", 'Equipment Information'!C340)</f>
        <v/>
      </c>
      <c r="H340">
        <f>IF(A340="","","N/A")</f>
        <v/>
      </c>
    </row>
    <row r="341">
      <c r="A341">
        <f>IF('Equipment Information'!A341="","", 'Equipment Information'!A341)</f>
        <v/>
      </c>
      <c r="B341">
        <f>IF('Equipment Information'!B341="","", 'Equipment Information'!B341)</f>
        <v/>
      </c>
      <c r="C341">
        <f>IF('Equipment Information'!C341="","", 'Equipment Information'!C341)</f>
        <v/>
      </c>
      <c r="H341">
        <f>IF(A341="","","N/A")</f>
        <v/>
      </c>
    </row>
    <row r="342">
      <c r="A342">
        <f>IF('Equipment Information'!A342="","", 'Equipment Information'!A342)</f>
        <v/>
      </c>
      <c r="B342">
        <f>IF('Equipment Information'!B342="","", 'Equipment Information'!B342)</f>
        <v/>
      </c>
      <c r="C342">
        <f>IF('Equipment Information'!C342="","", 'Equipment Information'!C342)</f>
        <v/>
      </c>
      <c r="H342">
        <f>IF(A342="","","N/A")</f>
        <v/>
      </c>
    </row>
    <row r="343">
      <c r="A343">
        <f>IF('Equipment Information'!A343="","", 'Equipment Information'!A343)</f>
        <v/>
      </c>
      <c r="B343">
        <f>IF('Equipment Information'!B343="","", 'Equipment Information'!B343)</f>
        <v/>
      </c>
      <c r="C343">
        <f>IF('Equipment Information'!C343="","", 'Equipment Information'!C343)</f>
        <v/>
      </c>
      <c r="H343">
        <f>IF(A343="","","N/A")</f>
        <v/>
      </c>
    </row>
    <row r="344">
      <c r="A344">
        <f>IF('Equipment Information'!A344="","", 'Equipment Information'!A344)</f>
        <v/>
      </c>
      <c r="B344">
        <f>IF('Equipment Information'!B344="","", 'Equipment Information'!B344)</f>
        <v/>
      </c>
      <c r="C344">
        <f>IF('Equipment Information'!C344="","", 'Equipment Information'!C344)</f>
        <v/>
      </c>
      <c r="H344">
        <f>IF(A344="","","N/A")</f>
        <v/>
      </c>
    </row>
    <row r="345">
      <c r="A345">
        <f>IF('Equipment Information'!A345="","", 'Equipment Information'!A345)</f>
        <v/>
      </c>
      <c r="B345">
        <f>IF('Equipment Information'!B345="","", 'Equipment Information'!B345)</f>
        <v/>
      </c>
      <c r="C345">
        <f>IF('Equipment Information'!C345="","", 'Equipment Information'!C345)</f>
        <v/>
      </c>
      <c r="H345">
        <f>IF(A345="","","N/A")</f>
        <v/>
      </c>
    </row>
    <row r="346">
      <c r="A346">
        <f>IF('Equipment Information'!A346="","", 'Equipment Information'!A346)</f>
        <v/>
      </c>
      <c r="B346">
        <f>IF('Equipment Information'!B346="","", 'Equipment Information'!B346)</f>
        <v/>
      </c>
      <c r="C346">
        <f>IF('Equipment Information'!C346="","", 'Equipment Information'!C346)</f>
        <v/>
      </c>
      <c r="H346">
        <f>IF(A346="","","N/A")</f>
        <v/>
      </c>
    </row>
    <row r="347">
      <c r="A347">
        <f>IF('Equipment Information'!A347="","", 'Equipment Information'!A347)</f>
        <v/>
      </c>
      <c r="B347">
        <f>IF('Equipment Information'!B347="","", 'Equipment Information'!B347)</f>
        <v/>
      </c>
      <c r="C347">
        <f>IF('Equipment Information'!C347="","", 'Equipment Information'!C347)</f>
        <v/>
      </c>
      <c r="H347">
        <f>IF(A347="","","N/A")</f>
        <v/>
      </c>
    </row>
    <row r="348">
      <c r="A348">
        <f>IF('Equipment Information'!A348="","", 'Equipment Information'!A348)</f>
        <v/>
      </c>
      <c r="B348">
        <f>IF('Equipment Information'!B348="","", 'Equipment Information'!B348)</f>
        <v/>
      </c>
      <c r="C348">
        <f>IF('Equipment Information'!C348="","", 'Equipment Information'!C348)</f>
        <v/>
      </c>
      <c r="H348">
        <f>IF(A348="","","N/A")</f>
        <v/>
      </c>
    </row>
    <row r="349">
      <c r="A349">
        <f>IF('Equipment Information'!A349="","", 'Equipment Information'!A349)</f>
        <v/>
      </c>
      <c r="B349">
        <f>IF('Equipment Information'!B349="","", 'Equipment Information'!B349)</f>
        <v/>
      </c>
      <c r="C349">
        <f>IF('Equipment Information'!C349="","", 'Equipment Information'!C349)</f>
        <v/>
      </c>
      <c r="H349">
        <f>IF(A349="","","N/A")</f>
        <v/>
      </c>
    </row>
    <row r="350">
      <c r="A350">
        <f>IF('Equipment Information'!A350="","", 'Equipment Information'!A350)</f>
        <v/>
      </c>
      <c r="B350">
        <f>IF('Equipment Information'!B350="","", 'Equipment Information'!B350)</f>
        <v/>
      </c>
      <c r="C350">
        <f>IF('Equipment Information'!C350="","", 'Equipment Information'!C350)</f>
        <v/>
      </c>
      <c r="H350">
        <f>IF(A350="","","N/A")</f>
        <v/>
      </c>
    </row>
    <row r="351">
      <c r="A351">
        <f>IF('Equipment Information'!A351="","", 'Equipment Information'!A351)</f>
        <v/>
      </c>
      <c r="B351">
        <f>IF('Equipment Information'!B351="","", 'Equipment Information'!B351)</f>
        <v/>
      </c>
      <c r="C351">
        <f>IF('Equipment Information'!C351="","", 'Equipment Information'!C351)</f>
        <v/>
      </c>
      <c r="H351">
        <f>IF(A351="","","N/A")</f>
        <v/>
      </c>
    </row>
    <row r="352">
      <c r="A352">
        <f>IF('Equipment Information'!A352="","", 'Equipment Information'!A352)</f>
        <v/>
      </c>
      <c r="B352">
        <f>IF('Equipment Information'!B352="","", 'Equipment Information'!B352)</f>
        <v/>
      </c>
      <c r="C352">
        <f>IF('Equipment Information'!C352="","", 'Equipment Information'!C352)</f>
        <v/>
      </c>
      <c r="H352">
        <f>IF(A352="","","N/A")</f>
        <v/>
      </c>
    </row>
    <row r="353">
      <c r="A353">
        <f>IF('Equipment Information'!A353="","", 'Equipment Information'!A353)</f>
        <v/>
      </c>
      <c r="B353">
        <f>IF('Equipment Information'!B353="","", 'Equipment Information'!B353)</f>
        <v/>
      </c>
      <c r="C353">
        <f>IF('Equipment Information'!C353="","", 'Equipment Information'!C353)</f>
        <v/>
      </c>
      <c r="H353">
        <f>IF(A353="","","N/A")</f>
        <v/>
      </c>
    </row>
    <row r="354">
      <c r="A354">
        <f>IF('Equipment Information'!A354="","", 'Equipment Information'!A354)</f>
        <v/>
      </c>
      <c r="B354">
        <f>IF('Equipment Information'!B354="","", 'Equipment Information'!B354)</f>
        <v/>
      </c>
      <c r="C354">
        <f>IF('Equipment Information'!C354="","", 'Equipment Information'!C354)</f>
        <v/>
      </c>
      <c r="H354">
        <f>IF(A354="","","N/A")</f>
        <v/>
      </c>
    </row>
    <row r="355">
      <c r="A355">
        <f>IF('Equipment Information'!A355="","", 'Equipment Information'!A355)</f>
        <v/>
      </c>
      <c r="B355">
        <f>IF('Equipment Information'!B355="","", 'Equipment Information'!B355)</f>
        <v/>
      </c>
      <c r="C355">
        <f>IF('Equipment Information'!C355="","", 'Equipment Information'!C355)</f>
        <v/>
      </c>
      <c r="H355">
        <f>IF(A355="","","N/A")</f>
        <v/>
      </c>
    </row>
    <row r="356">
      <c r="A356">
        <f>IF('Equipment Information'!A356="","", 'Equipment Information'!A356)</f>
        <v/>
      </c>
      <c r="B356">
        <f>IF('Equipment Information'!B356="","", 'Equipment Information'!B356)</f>
        <v/>
      </c>
      <c r="C356">
        <f>IF('Equipment Information'!C356="","", 'Equipment Information'!C356)</f>
        <v/>
      </c>
      <c r="H356">
        <f>IF(A356="","","N/A")</f>
        <v/>
      </c>
    </row>
    <row r="357">
      <c r="A357">
        <f>IF('Equipment Information'!A357="","", 'Equipment Information'!A357)</f>
        <v/>
      </c>
      <c r="B357">
        <f>IF('Equipment Information'!B357="","", 'Equipment Information'!B357)</f>
        <v/>
      </c>
      <c r="C357">
        <f>IF('Equipment Information'!C357="","", 'Equipment Information'!C357)</f>
        <v/>
      </c>
      <c r="H357">
        <f>IF(A357="","","N/A")</f>
        <v/>
      </c>
    </row>
    <row r="358">
      <c r="A358">
        <f>IF('Equipment Information'!A358="","", 'Equipment Information'!A358)</f>
        <v/>
      </c>
      <c r="B358">
        <f>IF('Equipment Information'!B358="","", 'Equipment Information'!B358)</f>
        <v/>
      </c>
      <c r="C358">
        <f>IF('Equipment Information'!C358="","", 'Equipment Information'!C358)</f>
        <v/>
      </c>
      <c r="H358">
        <f>IF(A358="","","N/A")</f>
        <v/>
      </c>
    </row>
    <row r="359">
      <c r="A359">
        <f>IF('Equipment Information'!A359="","", 'Equipment Information'!A359)</f>
        <v/>
      </c>
      <c r="B359">
        <f>IF('Equipment Information'!B359="","", 'Equipment Information'!B359)</f>
        <v/>
      </c>
      <c r="C359">
        <f>IF('Equipment Information'!C359="","", 'Equipment Information'!C359)</f>
        <v/>
      </c>
      <c r="H359">
        <f>IF(A359="","","N/A")</f>
        <v/>
      </c>
    </row>
    <row r="360">
      <c r="A360">
        <f>IF('Equipment Information'!A360="","", 'Equipment Information'!A360)</f>
        <v/>
      </c>
      <c r="B360">
        <f>IF('Equipment Information'!B360="","", 'Equipment Information'!B360)</f>
        <v/>
      </c>
      <c r="C360">
        <f>IF('Equipment Information'!C360="","", 'Equipment Information'!C360)</f>
        <v/>
      </c>
      <c r="H360">
        <f>IF(A360="","","N/A")</f>
        <v/>
      </c>
    </row>
    <row r="361">
      <c r="A361">
        <f>IF('Equipment Information'!A361="","", 'Equipment Information'!A361)</f>
        <v/>
      </c>
      <c r="B361">
        <f>IF('Equipment Information'!B361="","", 'Equipment Information'!B361)</f>
        <v/>
      </c>
      <c r="C361">
        <f>IF('Equipment Information'!C361="","", 'Equipment Information'!C361)</f>
        <v/>
      </c>
      <c r="H361">
        <f>IF(A361="","","N/A")</f>
        <v/>
      </c>
    </row>
    <row r="362">
      <c r="A362">
        <f>IF('Equipment Information'!A362="","", 'Equipment Information'!A362)</f>
        <v/>
      </c>
      <c r="B362">
        <f>IF('Equipment Information'!B362="","", 'Equipment Information'!B362)</f>
        <v/>
      </c>
      <c r="C362">
        <f>IF('Equipment Information'!C362="","", 'Equipment Information'!C362)</f>
        <v/>
      </c>
      <c r="H362">
        <f>IF(A362="","","N/A")</f>
        <v/>
      </c>
    </row>
    <row r="363">
      <c r="A363">
        <f>IF('Equipment Information'!A363="","", 'Equipment Information'!A363)</f>
        <v/>
      </c>
      <c r="B363">
        <f>IF('Equipment Information'!B363="","", 'Equipment Information'!B363)</f>
        <v/>
      </c>
      <c r="C363">
        <f>IF('Equipment Information'!C363="","", 'Equipment Information'!C363)</f>
        <v/>
      </c>
      <c r="H363">
        <f>IF(A363="","","N/A")</f>
        <v/>
      </c>
    </row>
    <row r="364">
      <c r="A364">
        <f>IF('Equipment Information'!A364="","", 'Equipment Information'!A364)</f>
        <v/>
      </c>
      <c r="B364">
        <f>IF('Equipment Information'!B364="","", 'Equipment Information'!B364)</f>
        <v/>
      </c>
      <c r="C364">
        <f>IF('Equipment Information'!C364="","", 'Equipment Information'!C364)</f>
        <v/>
      </c>
      <c r="H364">
        <f>IF(A364="","","N/A")</f>
        <v/>
      </c>
    </row>
    <row r="365">
      <c r="A365">
        <f>IF('Equipment Information'!A365="","", 'Equipment Information'!A365)</f>
        <v/>
      </c>
      <c r="B365">
        <f>IF('Equipment Information'!B365="","", 'Equipment Information'!B365)</f>
        <v/>
      </c>
      <c r="C365">
        <f>IF('Equipment Information'!C365="","", 'Equipment Information'!C365)</f>
        <v/>
      </c>
      <c r="H365">
        <f>IF(A365="","","N/A")</f>
        <v/>
      </c>
    </row>
    <row r="366">
      <c r="A366">
        <f>IF('Equipment Information'!A366="","", 'Equipment Information'!A366)</f>
        <v/>
      </c>
      <c r="B366">
        <f>IF('Equipment Information'!B366="","", 'Equipment Information'!B366)</f>
        <v/>
      </c>
      <c r="C366">
        <f>IF('Equipment Information'!C366="","", 'Equipment Information'!C366)</f>
        <v/>
      </c>
      <c r="H366">
        <f>IF(A366="","","N/A")</f>
        <v/>
      </c>
    </row>
    <row r="367">
      <c r="A367">
        <f>IF('Equipment Information'!A367="","", 'Equipment Information'!A367)</f>
        <v/>
      </c>
      <c r="B367">
        <f>IF('Equipment Information'!B367="","", 'Equipment Information'!B367)</f>
        <v/>
      </c>
      <c r="C367">
        <f>IF('Equipment Information'!C367="","", 'Equipment Information'!C367)</f>
        <v/>
      </c>
      <c r="H367">
        <f>IF(A367="","","N/A")</f>
        <v/>
      </c>
    </row>
    <row r="368">
      <c r="A368">
        <f>IF('Equipment Information'!A368="","", 'Equipment Information'!A368)</f>
        <v/>
      </c>
      <c r="B368">
        <f>IF('Equipment Information'!B368="","", 'Equipment Information'!B368)</f>
        <v/>
      </c>
      <c r="C368">
        <f>IF('Equipment Information'!C368="","", 'Equipment Information'!C368)</f>
        <v/>
      </c>
      <c r="H368">
        <f>IF(A368="","","N/A")</f>
        <v/>
      </c>
    </row>
    <row r="369">
      <c r="A369">
        <f>IF('Equipment Information'!A369="","", 'Equipment Information'!A369)</f>
        <v/>
      </c>
      <c r="B369">
        <f>IF('Equipment Information'!B369="","", 'Equipment Information'!B369)</f>
        <v/>
      </c>
      <c r="C369">
        <f>IF('Equipment Information'!C369="","", 'Equipment Information'!C369)</f>
        <v/>
      </c>
      <c r="H369">
        <f>IF(A369="","","N/A")</f>
        <v/>
      </c>
    </row>
    <row r="370">
      <c r="A370">
        <f>IF('Equipment Information'!A370="","", 'Equipment Information'!A370)</f>
        <v/>
      </c>
      <c r="B370">
        <f>IF('Equipment Information'!B370="","", 'Equipment Information'!B370)</f>
        <v/>
      </c>
      <c r="C370">
        <f>IF('Equipment Information'!C370="","", 'Equipment Information'!C370)</f>
        <v/>
      </c>
      <c r="H370">
        <f>IF(A370="","","N/A")</f>
        <v/>
      </c>
    </row>
    <row r="371">
      <c r="A371">
        <f>IF('Equipment Information'!A371="","", 'Equipment Information'!A371)</f>
        <v/>
      </c>
      <c r="B371">
        <f>IF('Equipment Information'!B371="","", 'Equipment Information'!B371)</f>
        <v/>
      </c>
      <c r="C371">
        <f>IF('Equipment Information'!C371="","", 'Equipment Information'!C371)</f>
        <v/>
      </c>
      <c r="H371">
        <f>IF(A371="","","N/A")</f>
        <v/>
      </c>
    </row>
    <row r="372">
      <c r="A372">
        <f>IF('Equipment Information'!A372="","", 'Equipment Information'!A372)</f>
        <v/>
      </c>
      <c r="B372">
        <f>IF('Equipment Information'!B372="","", 'Equipment Information'!B372)</f>
        <v/>
      </c>
      <c r="C372">
        <f>IF('Equipment Information'!C372="","", 'Equipment Information'!C372)</f>
        <v/>
      </c>
      <c r="H372">
        <f>IF(A372="","","N/A")</f>
        <v/>
      </c>
    </row>
    <row r="373">
      <c r="A373">
        <f>IF('Equipment Information'!A373="","", 'Equipment Information'!A373)</f>
        <v/>
      </c>
      <c r="B373">
        <f>IF('Equipment Information'!B373="","", 'Equipment Information'!B373)</f>
        <v/>
      </c>
      <c r="C373">
        <f>IF('Equipment Information'!C373="","", 'Equipment Information'!C373)</f>
        <v/>
      </c>
      <c r="H373">
        <f>IF(A373="","","N/A")</f>
        <v/>
      </c>
    </row>
    <row r="374">
      <c r="A374">
        <f>IF('Equipment Information'!A374="","", 'Equipment Information'!A374)</f>
        <v/>
      </c>
      <c r="B374">
        <f>IF('Equipment Information'!B374="","", 'Equipment Information'!B374)</f>
        <v/>
      </c>
      <c r="C374">
        <f>IF('Equipment Information'!C374="","", 'Equipment Information'!C374)</f>
        <v/>
      </c>
      <c r="H374">
        <f>IF(A374="","","N/A")</f>
        <v/>
      </c>
    </row>
    <row r="375">
      <c r="A375">
        <f>IF('Equipment Information'!A375="","", 'Equipment Information'!A375)</f>
        <v/>
      </c>
      <c r="B375">
        <f>IF('Equipment Information'!B375="","", 'Equipment Information'!B375)</f>
        <v/>
      </c>
      <c r="C375">
        <f>IF('Equipment Information'!C375="","", 'Equipment Information'!C375)</f>
        <v/>
      </c>
      <c r="H375">
        <f>IF(A375="","","N/A")</f>
        <v/>
      </c>
    </row>
    <row r="376">
      <c r="A376">
        <f>IF('Equipment Information'!A376="","", 'Equipment Information'!A376)</f>
        <v/>
      </c>
      <c r="B376">
        <f>IF('Equipment Information'!B376="","", 'Equipment Information'!B376)</f>
        <v/>
      </c>
      <c r="C376">
        <f>IF('Equipment Information'!C376="","", 'Equipment Information'!C376)</f>
        <v/>
      </c>
      <c r="H376">
        <f>IF(A376="","","N/A")</f>
        <v/>
      </c>
    </row>
    <row r="377">
      <c r="A377">
        <f>IF('Equipment Information'!A377="","", 'Equipment Information'!A377)</f>
        <v/>
      </c>
      <c r="B377">
        <f>IF('Equipment Information'!B377="","", 'Equipment Information'!B377)</f>
        <v/>
      </c>
      <c r="C377">
        <f>IF('Equipment Information'!C377="","", 'Equipment Information'!C377)</f>
        <v/>
      </c>
      <c r="H377">
        <f>IF(A377="","","N/A")</f>
        <v/>
      </c>
    </row>
    <row r="378">
      <c r="A378">
        <f>IF('Equipment Information'!A378="","", 'Equipment Information'!A378)</f>
        <v/>
      </c>
      <c r="B378">
        <f>IF('Equipment Information'!B378="","", 'Equipment Information'!B378)</f>
        <v/>
      </c>
      <c r="C378">
        <f>IF('Equipment Information'!C378="","", 'Equipment Information'!C378)</f>
        <v/>
      </c>
      <c r="H378">
        <f>IF(A378="","","N/A")</f>
        <v/>
      </c>
    </row>
    <row r="379">
      <c r="A379">
        <f>IF('Equipment Information'!A379="","", 'Equipment Information'!A379)</f>
        <v/>
      </c>
      <c r="B379">
        <f>IF('Equipment Information'!B379="","", 'Equipment Information'!B379)</f>
        <v/>
      </c>
      <c r="C379">
        <f>IF('Equipment Information'!C379="","", 'Equipment Information'!C379)</f>
        <v/>
      </c>
      <c r="H379">
        <f>IF(A379="","","N/A")</f>
        <v/>
      </c>
    </row>
    <row r="380">
      <c r="A380">
        <f>IF('Equipment Information'!A380="","", 'Equipment Information'!A380)</f>
        <v/>
      </c>
      <c r="B380">
        <f>IF('Equipment Information'!B380="","", 'Equipment Information'!B380)</f>
        <v/>
      </c>
      <c r="C380">
        <f>IF('Equipment Information'!C380="","", 'Equipment Information'!C380)</f>
        <v/>
      </c>
      <c r="H380">
        <f>IF(A380="","","N/A")</f>
        <v/>
      </c>
    </row>
    <row r="381">
      <c r="A381">
        <f>IF('Equipment Information'!A381="","", 'Equipment Information'!A381)</f>
        <v/>
      </c>
      <c r="B381">
        <f>IF('Equipment Information'!B381="","", 'Equipment Information'!B381)</f>
        <v/>
      </c>
      <c r="C381">
        <f>IF('Equipment Information'!C381="","", 'Equipment Information'!C381)</f>
        <v/>
      </c>
      <c r="H381">
        <f>IF(A381="","","N/A")</f>
        <v/>
      </c>
    </row>
    <row r="382">
      <c r="A382">
        <f>IF('Equipment Information'!A382="","", 'Equipment Information'!A382)</f>
        <v/>
      </c>
      <c r="B382">
        <f>IF('Equipment Information'!B382="","", 'Equipment Information'!B382)</f>
        <v/>
      </c>
      <c r="C382">
        <f>IF('Equipment Information'!C382="","", 'Equipment Information'!C382)</f>
        <v/>
      </c>
      <c r="H382">
        <f>IF(A382="","","N/A")</f>
        <v/>
      </c>
    </row>
    <row r="383">
      <c r="A383">
        <f>IF('Equipment Information'!A383="","", 'Equipment Information'!A383)</f>
        <v/>
      </c>
      <c r="B383">
        <f>IF('Equipment Information'!B383="","", 'Equipment Information'!B383)</f>
        <v/>
      </c>
      <c r="C383">
        <f>IF('Equipment Information'!C383="","", 'Equipment Information'!C383)</f>
        <v/>
      </c>
      <c r="H383">
        <f>IF(A383="","","N/A")</f>
        <v/>
      </c>
    </row>
    <row r="384">
      <c r="A384">
        <f>IF('Equipment Information'!A384="","", 'Equipment Information'!A384)</f>
        <v/>
      </c>
      <c r="B384">
        <f>IF('Equipment Information'!B384="","", 'Equipment Information'!B384)</f>
        <v/>
      </c>
      <c r="C384">
        <f>IF('Equipment Information'!C384="","", 'Equipment Information'!C384)</f>
        <v/>
      </c>
      <c r="H384">
        <f>IF(A384="","","N/A")</f>
        <v/>
      </c>
    </row>
    <row r="385">
      <c r="A385">
        <f>IF('Equipment Information'!A385="","", 'Equipment Information'!A385)</f>
        <v/>
      </c>
      <c r="B385">
        <f>IF('Equipment Information'!B385="","", 'Equipment Information'!B385)</f>
        <v/>
      </c>
      <c r="C385">
        <f>IF('Equipment Information'!C385="","", 'Equipment Information'!C385)</f>
        <v/>
      </c>
      <c r="H385">
        <f>IF(A385="","","N/A")</f>
        <v/>
      </c>
    </row>
    <row r="386">
      <c r="A386">
        <f>IF('Equipment Information'!A386="","", 'Equipment Information'!A386)</f>
        <v/>
      </c>
      <c r="B386">
        <f>IF('Equipment Information'!B386="","", 'Equipment Information'!B386)</f>
        <v/>
      </c>
      <c r="C386">
        <f>IF('Equipment Information'!C386="","", 'Equipment Information'!C386)</f>
        <v/>
      </c>
      <c r="H386">
        <f>IF(A386="","","N/A")</f>
        <v/>
      </c>
    </row>
    <row r="387">
      <c r="A387">
        <f>IF('Equipment Information'!A387="","", 'Equipment Information'!A387)</f>
        <v/>
      </c>
      <c r="B387">
        <f>IF('Equipment Information'!B387="","", 'Equipment Information'!B387)</f>
        <v/>
      </c>
      <c r="C387">
        <f>IF('Equipment Information'!C387="","", 'Equipment Information'!C387)</f>
        <v/>
      </c>
      <c r="H387">
        <f>IF(A387="","","N/A")</f>
        <v/>
      </c>
    </row>
    <row r="388">
      <c r="A388">
        <f>IF('Equipment Information'!A388="","", 'Equipment Information'!A388)</f>
        <v/>
      </c>
      <c r="B388">
        <f>IF('Equipment Information'!B388="","", 'Equipment Information'!B388)</f>
        <v/>
      </c>
      <c r="C388">
        <f>IF('Equipment Information'!C388="","", 'Equipment Information'!C388)</f>
        <v/>
      </c>
      <c r="H388">
        <f>IF(A388="","","N/A")</f>
        <v/>
      </c>
    </row>
    <row r="389">
      <c r="A389">
        <f>IF('Equipment Information'!A389="","", 'Equipment Information'!A389)</f>
        <v/>
      </c>
      <c r="B389">
        <f>IF('Equipment Information'!B389="","", 'Equipment Information'!B389)</f>
        <v/>
      </c>
      <c r="C389">
        <f>IF('Equipment Information'!C389="","", 'Equipment Information'!C389)</f>
        <v/>
      </c>
      <c r="H389">
        <f>IF(A389="","","N/A")</f>
        <v/>
      </c>
    </row>
    <row r="390">
      <c r="A390">
        <f>IF('Equipment Information'!A390="","", 'Equipment Information'!A390)</f>
        <v/>
      </c>
      <c r="B390">
        <f>IF('Equipment Information'!B390="","", 'Equipment Information'!B390)</f>
        <v/>
      </c>
      <c r="C390">
        <f>IF('Equipment Information'!C390="","", 'Equipment Information'!C390)</f>
        <v/>
      </c>
      <c r="H390">
        <f>IF(A390="","","N/A")</f>
        <v/>
      </c>
    </row>
    <row r="391">
      <c r="A391">
        <f>IF('Equipment Information'!A391="","", 'Equipment Information'!A391)</f>
        <v/>
      </c>
      <c r="B391">
        <f>IF('Equipment Information'!B391="","", 'Equipment Information'!B391)</f>
        <v/>
      </c>
      <c r="C391">
        <f>IF('Equipment Information'!C391="","", 'Equipment Information'!C391)</f>
        <v/>
      </c>
      <c r="H391">
        <f>IF(A391="","","N/A")</f>
        <v/>
      </c>
    </row>
    <row r="392">
      <c r="A392">
        <f>IF('Equipment Information'!A392="","", 'Equipment Information'!A392)</f>
        <v/>
      </c>
      <c r="B392">
        <f>IF('Equipment Information'!B392="","", 'Equipment Information'!B392)</f>
        <v/>
      </c>
      <c r="C392">
        <f>IF('Equipment Information'!C392="","", 'Equipment Information'!C392)</f>
        <v/>
      </c>
      <c r="H392">
        <f>IF(A392="","","N/A")</f>
        <v/>
      </c>
    </row>
    <row r="393">
      <c r="A393">
        <f>IF('Equipment Information'!A393="","", 'Equipment Information'!A393)</f>
        <v/>
      </c>
      <c r="B393">
        <f>IF('Equipment Information'!B393="","", 'Equipment Information'!B393)</f>
        <v/>
      </c>
      <c r="C393">
        <f>IF('Equipment Information'!C393="","", 'Equipment Information'!C393)</f>
        <v/>
      </c>
      <c r="H393">
        <f>IF(A393="","","N/A")</f>
        <v/>
      </c>
    </row>
    <row r="394">
      <c r="A394">
        <f>IF('Equipment Information'!A394="","", 'Equipment Information'!A394)</f>
        <v/>
      </c>
      <c r="B394">
        <f>IF('Equipment Information'!B394="","", 'Equipment Information'!B394)</f>
        <v/>
      </c>
      <c r="C394">
        <f>IF('Equipment Information'!C394="","", 'Equipment Information'!C394)</f>
        <v/>
      </c>
      <c r="H394">
        <f>IF(A394="","","N/A")</f>
        <v/>
      </c>
    </row>
    <row r="395">
      <c r="A395">
        <f>IF('Equipment Information'!A395="","", 'Equipment Information'!A395)</f>
        <v/>
      </c>
      <c r="B395">
        <f>IF('Equipment Information'!B395="","", 'Equipment Information'!B395)</f>
        <v/>
      </c>
      <c r="C395">
        <f>IF('Equipment Information'!C395="","", 'Equipment Information'!C395)</f>
        <v/>
      </c>
      <c r="H395">
        <f>IF(A395="","","N/A")</f>
        <v/>
      </c>
    </row>
    <row r="396">
      <c r="A396">
        <f>IF('Equipment Information'!A396="","", 'Equipment Information'!A396)</f>
        <v/>
      </c>
      <c r="B396">
        <f>IF('Equipment Information'!B396="","", 'Equipment Information'!B396)</f>
        <v/>
      </c>
      <c r="C396">
        <f>IF('Equipment Information'!C396="","", 'Equipment Information'!C396)</f>
        <v/>
      </c>
      <c r="H396">
        <f>IF(A396="","","N/A")</f>
        <v/>
      </c>
    </row>
    <row r="397">
      <c r="A397">
        <f>IF('Equipment Information'!A397="","", 'Equipment Information'!A397)</f>
        <v/>
      </c>
      <c r="B397">
        <f>IF('Equipment Information'!B397="","", 'Equipment Information'!B397)</f>
        <v/>
      </c>
      <c r="C397">
        <f>IF('Equipment Information'!C397="","", 'Equipment Information'!C397)</f>
        <v/>
      </c>
      <c r="H397">
        <f>IF(A397="","","N/A")</f>
        <v/>
      </c>
    </row>
    <row r="398">
      <c r="A398">
        <f>IF('Equipment Information'!A398="","", 'Equipment Information'!A398)</f>
        <v/>
      </c>
      <c r="B398">
        <f>IF('Equipment Information'!B398="","", 'Equipment Information'!B398)</f>
        <v/>
      </c>
      <c r="C398">
        <f>IF('Equipment Information'!C398="","", 'Equipment Information'!C398)</f>
        <v/>
      </c>
      <c r="H398">
        <f>IF(A398="","","N/A")</f>
        <v/>
      </c>
    </row>
    <row r="399">
      <c r="A399">
        <f>IF('Equipment Information'!A399="","", 'Equipment Information'!A399)</f>
        <v/>
      </c>
      <c r="B399">
        <f>IF('Equipment Information'!B399="","", 'Equipment Information'!B399)</f>
        <v/>
      </c>
      <c r="C399">
        <f>IF('Equipment Information'!C399="","", 'Equipment Information'!C399)</f>
        <v/>
      </c>
      <c r="H399">
        <f>IF(A399="","","N/A")</f>
        <v/>
      </c>
    </row>
    <row r="400">
      <c r="A400">
        <f>IF('Equipment Information'!A400="","", 'Equipment Information'!A400)</f>
        <v/>
      </c>
      <c r="B400">
        <f>IF('Equipment Information'!B400="","", 'Equipment Information'!B400)</f>
        <v/>
      </c>
      <c r="C400">
        <f>IF('Equipment Information'!C400="","", 'Equipment Information'!C400)</f>
        <v/>
      </c>
      <c r="H400">
        <f>IF(A400="","","N/A")</f>
        <v/>
      </c>
    </row>
    <row r="401">
      <c r="A401">
        <f>IF('Equipment Information'!A401="","", 'Equipment Information'!A401)</f>
        <v/>
      </c>
      <c r="B401">
        <f>IF('Equipment Information'!B401="","", 'Equipment Information'!B401)</f>
        <v/>
      </c>
      <c r="C401">
        <f>IF('Equipment Information'!C401="","", 'Equipment Information'!C401)</f>
        <v/>
      </c>
      <c r="H401">
        <f>IF(A401="","","N/A")</f>
        <v/>
      </c>
    </row>
    <row r="402">
      <c r="A402">
        <f>IF('Equipment Information'!A402="","", 'Equipment Information'!A402)</f>
        <v/>
      </c>
      <c r="B402">
        <f>IF('Equipment Information'!B402="","", 'Equipment Information'!B402)</f>
        <v/>
      </c>
      <c r="C402">
        <f>IF('Equipment Information'!C402="","", 'Equipment Information'!C402)</f>
        <v/>
      </c>
      <c r="H402">
        <f>IF(A402="","","N/A")</f>
        <v/>
      </c>
    </row>
    <row r="403">
      <c r="A403">
        <f>IF('Equipment Information'!A403="","", 'Equipment Information'!A403)</f>
        <v/>
      </c>
      <c r="B403">
        <f>IF('Equipment Information'!B403="","", 'Equipment Information'!B403)</f>
        <v/>
      </c>
      <c r="C403">
        <f>IF('Equipment Information'!C403="","", 'Equipment Information'!C403)</f>
        <v/>
      </c>
      <c r="H403">
        <f>IF(A403="","","N/A")</f>
        <v/>
      </c>
    </row>
    <row r="404">
      <c r="A404">
        <f>IF('Equipment Information'!A404="","", 'Equipment Information'!A404)</f>
        <v/>
      </c>
      <c r="B404">
        <f>IF('Equipment Information'!B404="","", 'Equipment Information'!B404)</f>
        <v/>
      </c>
      <c r="C404">
        <f>IF('Equipment Information'!C404="","", 'Equipment Information'!C404)</f>
        <v/>
      </c>
      <c r="H404">
        <f>IF(A404="","","N/A")</f>
        <v/>
      </c>
    </row>
    <row r="405">
      <c r="A405">
        <f>IF('Equipment Information'!A405="","", 'Equipment Information'!A405)</f>
        <v/>
      </c>
      <c r="B405">
        <f>IF('Equipment Information'!B405="","", 'Equipment Information'!B405)</f>
        <v/>
      </c>
      <c r="C405">
        <f>IF('Equipment Information'!C405="","", 'Equipment Information'!C405)</f>
        <v/>
      </c>
      <c r="H405">
        <f>IF(A405="","","N/A")</f>
        <v/>
      </c>
    </row>
    <row r="406">
      <c r="A406">
        <f>IF('Equipment Information'!A406="","", 'Equipment Information'!A406)</f>
        <v/>
      </c>
      <c r="B406">
        <f>IF('Equipment Information'!B406="","", 'Equipment Information'!B406)</f>
        <v/>
      </c>
      <c r="C406">
        <f>IF('Equipment Information'!C406="","", 'Equipment Information'!C406)</f>
        <v/>
      </c>
      <c r="H406">
        <f>IF(A406="","","N/A")</f>
        <v/>
      </c>
    </row>
    <row r="407">
      <c r="A407">
        <f>IF('Equipment Information'!A407="","", 'Equipment Information'!A407)</f>
        <v/>
      </c>
      <c r="B407">
        <f>IF('Equipment Information'!B407="","", 'Equipment Information'!B407)</f>
        <v/>
      </c>
      <c r="C407">
        <f>IF('Equipment Information'!C407="","", 'Equipment Information'!C407)</f>
        <v/>
      </c>
      <c r="H407">
        <f>IF(A407="","","N/A")</f>
        <v/>
      </c>
    </row>
    <row r="408">
      <c r="A408">
        <f>IF('Equipment Information'!A408="","", 'Equipment Information'!A408)</f>
        <v/>
      </c>
      <c r="B408">
        <f>IF('Equipment Information'!B408="","", 'Equipment Information'!B408)</f>
        <v/>
      </c>
      <c r="C408">
        <f>IF('Equipment Information'!C408="","", 'Equipment Information'!C408)</f>
        <v/>
      </c>
      <c r="H408">
        <f>IF(A408="","","N/A")</f>
        <v/>
      </c>
    </row>
    <row r="409">
      <c r="A409">
        <f>IF('Equipment Information'!A409="","", 'Equipment Information'!A409)</f>
        <v/>
      </c>
      <c r="B409">
        <f>IF('Equipment Information'!B409="","", 'Equipment Information'!B409)</f>
        <v/>
      </c>
      <c r="C409">
        <f>IF('Equipment Information'!C409="","", 'Equipment Information'!C409)</f>
        <v/>
      </c>
      <c r="H409">
        <f>IF(A409="","","N/A")</f>
        <v/>
      </c>
    </row>
    <row r="410">
      <c r="A410">
        <f>IF('Equipment Information'!A410="","", 'Equipment Information'!A410)</f>
        <v/>
      </c>
      <c r="B410">
        <f>IF('Equipment Information'!B410="","", 'Equipment Information'!B410)</f>
        <v/>
      </c>
      <c r="C410">
        <f>IF('Equipment Information'!C410="","", 'Equipment Information'!C410)</f>
        <v/>
      </c>
      <c r="H410">
        <f>IF(A410="","","N/A")</f>
        <v/>
      </c>
    </row>
    <row r="411">
      <c r="A411">
        <f>IF('Equipment Information'!A411="","", 'Equipment Information'!A411)</f>
        <v/>
      </c>
      <c r="B411">
        <f>IF('Equipment Information'!B411="","", 'Equipment Information'!B411)</f>
        <v/>
      </c>
      <c r="C411">
        <f>IF('Equipment Information'!C411="","", 'Equipment Information'!C411)</f>
        <v/>
      </c>
      <c r="H411">
        <f>IF(A411="","","N/A")</f>
        <v/>
      </c>
    </row>
    <row r="412">
      <c r="A412">
        <f>IF('Equipment Information'!A412="","", 'Equipment Information'!A412)</f>
        <v/>
      </c>
      <c r="B412">
        <f>IF('Equipment Information'!B412="","", 'Equipment Information'!B412)</f>
        <v/>
      </c>
      <c r="C412">
        <f>IF('Equipment Information'!C412="","", 'Equipment Information'!C412)</f>
        <v/>
      </c>
      <c r="H412">
        <f>IF(A412="","","N/A")</f>
        <v/>
      </c>
    </row>
    <row r="413">
      <c r="A413">
        <f>IF('Equipment Information'!A413="","", 'Equipment Information'!A413)</f>
        <v/>
      </c>
      <c r="B413">
        <f>IF('Equipment Information'!B413="","", 'Equipment Information'!B413)</f>
        <v/>
      </c>
      <c r="C413">
        <f>IF('Equipment Information'!C413="","", 'Equipment Information'!C413)</f>
        <v/>
      </c>
      <c r="H413">
        <f>IF(A413="","","N/A")</f>
        <v/>
      </c>
    </row>
    <row r="414">
      <c r="A414">
        <f>IF('Equipment Information'!A414="","", 'Equipment Information'!A414)</f>
        <v/>
      </c>
      <c r="B414">
        <f>IF('Equipment Information'!B414="","", 'Equipment Information'!B414)</f>
        <v/>
      </c>
      <c r="C414">
        <f>IF('Equipment Information'!C414="","", 'Equipment Information'!C414)</f>
        <v/>
      </c>
      <c r="H414">
        <f>IF(A414="","","N/A")</f>
        <v/>
      </c>
    </row>
    <row r="415">
      <c r="A415">
        <f>IF('Equipment Information'!A415="","", 'Equipment Information'!A415)</f>
        <v/>
      </c>
      <c r="B415">
        <f>IF('Equipment Information'!B415="","", 'Equipment Information'!B415)</f>
        <v/>
      </c>
      <c r="C415">
        <f>IF('Equipment Information'!C415="","", 'Equipment Information'!C415)</f>
        <v/>
      </c>
      <c r="H415">
        <f>IF(A415="","","N/A")</f>
        <v/>
      </c>
    </row>
    <row r="416">
      <c r="A416">
        <f>IF('Equipment Information'!A416="","", 'Equipment Information'!A416)</f>
        <v/>
      </c>
      <c r="B416">
        <f>IF('Equipment Information'!B416="","", 'Equipment Information'!B416)</f>
        <v/>
      </c>
      <c r="C416">
        <f>IF('Equipment Information'!C416="","", 'Equipment Information'!C416)</f>
        <v/>
      </c>
      <c r="H416">
        <f>IF(A416="","","N/A")</f>
        <v/>
      </c>
    </row>
    <row r="417">
      <c r="A417">
        <f>IF('Equipment Information'!A417="","", 'Equipment Information'!A417)</f>
        <v/>
      </c>
      <c r="B417">
        <f>IF('Equipment Information'!B417="","", 'Equipment Information'!B417)</f>
        <v/>
      </c>
      <c r="C417">
        <f>IF('Equipment Information'!C417="","", 'Equipment Information'!C417)</f>
        <v/>
      </c>
      <c r="H417">
        <f>IF(A417="","","N/A")</f>
        <v/>
      </c>
    </row>
    <row r="418">
      <c r="A418">
        <f>IF('Equipment Information'!A418="","", 'Equipment Information'!A418)</f>
        <v/>
      </c>
      <c r="B418">
        <f>IF('Equipment Information'!B418="","", 'Equipment Information'!B418)</f>
        <v/>
      </c>
      <c r="C418">
        <f>IF('Equipment Information'!C418="","", 'Equipment Information'!C418)</f>
        <v/>
      </c>
      <c r="H418">
        <f>IF(A418="","","N/A")</f>
        <v/>
      </c>
    </row>
    <row r="419">
      <c r="A419">
        <f>IF('Equipment Information'!A419="","", 'Equipment Information'!A419)</f>
        <v/>
      </c>
      <c r="B419">
        <f>IF('Equipment Information'!B419="","", 'Equipment Information'!B419)</f>
        <v/>
      </c>
      <c r="C419">
        <f>IF('Equipment Information'!C419="","", 'Equipment Information'!C419)</f>
        <v/>
      </c>
      <c r="H419">
        <f>IF(A419="","","N/A")</f>
        <v/>
      </c>
    </row>
    <row r="420">
      <c r="A420">
        <f>IF('Equipment Information'!A420="","", 'Equipment Information'!A420)</f>
        <v/>
      </c>
      <c r="B420">
        <f>IF('Equipment Information'!B420="","", 'Equipment Information'!B420)</f>
        <v/>
      </c>
      <c r="C420">
        <f>IF('Equipment Information'!C420="","", 'Equipment Information'!C420)</f>
        <v/>
      </c>
      <c r="H420">
        <f>IF(A420="","","N/A")</f>
        <v/>
      </c>
    </row>
    <row r="421">
      <c r="A421">
        <f>IF('Equipment Information'!A421="","", 'Equipment Information'!A421)</f>
        <v/>
      </c>
      <c r="B421">
        <f>IF('Equipment Information'!B421="","", 'Equipment Information'!B421)</f>
        <v/>
      </c>
      <c r="C421">
        <f>IF('Equipment Information'!C421="","", 'Equipment Information'!C421)</f>
        <v/>
      </c>
      <c r="H421">
        <f>IF(A421="","","N/A")</f>
        <v/>
      </c>
    </row>
    <row r="422">
      <c r="A422">
        <f>IF('Equipment Information'!A422="","", 'Equipment Information'!A422)</f>
        <v/>
      </c>
      <c r="B422">
        <f>IF('Equipment Information'!B422="","", 'Equipment Information'!B422)</f>
        <v/>
      </c>
      <c r="C422">
        <f>IF('Equipment Information'!C422="","", 'Equipment Information'!C422)</f>
        <v/>
      </c>
      <c r="H422">
        <f>IF(A422="","","N/A")</f>
        <v/>
      </c>
    </row>
    <row r="423">
      <c r="A423">
        <f>IF('Equipment Information'!A423="","", 'Equipment Information'!A423)</f>
        <v/>
      </c>
      <c r="B423">
        <f>IF('Equipment Information'!B423="","", 'Equipment Information'!B423)</f>
        <v/>
      </c>
      <c r="C423">
        <f>IF('Equipment Information'!C423="","", 'Equipment Information'!C423)</f>
        <v/>
      </c>
      <c r="H423">
        <f>IF(A423="","","N/A")</f>
        <v/>
      </c>
    </row>
    <row r="424">
      <c r="A424">
        <f>IF('Equipment Information'!A424="","", 'Equipment Information'!A424)</f>
        <v/>
      </c>
      <c r="B424">
        <f>IF('Equipment Information'!B424="","", 'Equipment Information'!B424)</f>
        <v/>
      </c>
      <c r="C424">
        <f>IF('Equipment Information'!C424="","", 'Equipment Information'!C424)</f>
        <v/>
      </c>
      <c r="H424">
        <f>IF(A424="","","N/A")</f>
        <v/>
      </c>
    </row>
    <row r="425">
      <c r="A425">
        <f>IF('Equipment Information'!A425="","", 'Equipment Information'!A425)</f>
        <v/>
      </c>
      <c r="B425">
        <f>IF('Equipment Information'!B425="","", 'Equipment Information'!B425)</f>
        <v/>
      </c>
      <c r="C425">
        <f>IF('Equipment Information'!C425="","", 'Equipment Information'!C425)</f>
        <v/>
      </c>
      <c r="H425">
        <f>IF(A425="","","N/A")</f>
        <v/>
      </c>
    </row>
    <row r="426">
      <c r="A426">
        <f>IF('Equipment Information'!A426="","", 'Equipment Information'!A426)</f>
        <v/>
      </c>
      <c r="B426">
        <f>IF('Equipment Information'!B426="","", 'Equipment Information'!B426)</f>
        <v/>
      </c>
      <c r="C426">
        <f>IF('Equipment Information'!C426="","", 'Equipment Information'!C426)</f>
        <v/>
      </c>
      <c r="H426">
        <f>IF(A426="","","N/A")</f>
        <v/>
      </c>
    </row>
    <row r="427">
      <c r="A427">
        <f>IF('Equipment Information'!A427="","", 'Equipment Information'!A427)</f>
        <v/>
      </c>
      <c r="B427">
        <f>IF('Equipment Information'!B427="","", 'Equipment Information'!B427)</f>
        <v/>
      </c>
      <c r="C427">
        <f>IF('Equipment Information'!C427="","", 'Equipment Information'!C427)</f>
        <v/>
      </c>
      <c r="H427">
        <f>IF(A427="","","N/A")</f>
        <v/>
      </c>
    </row>
    <row r="428">
      <c r="A428">
        <f>IF('Equipment Information'!A428="","", 'Equipment Information'!A428)</f>
        <v/>
      </c>
      <c r="B428">
        <f>IF('Equipment Information'!B428="","", 'Equipment Information'!B428)</f>
        <v/>
      </c>
      <c r="C428">
        <f>IF('Equipment Information'!C428="","", 'Equipment Information'!C428)</f>
        <v/>
      </c>
      <c r="H428">
        <f>IF(A428="","","N/A")</f>
        <v/>
      </c>
    </row>
    <row r="429">
      <c r="A429">
        <f>IF('Equipment Information'!A429="","", 'Equipment Information'!A429)</f>
        <v/>
      </c>
      <c r="B429">
        <f>IF('Equipment Information'!B429="","", 'Equipment Information'!B429)</f>
        <v/>
      </c>
      <c r="C429">
        <f>IF('Equipment Information'!C429="","", 'Equipment Information'!C429)</f>
        <v/>
      </c>
      <c r="H429">
        <f>IF(A429="","","N/A")</f>
        <v/>
      </c>
    </row>
    <row r="430">
      <c r="A430">
        <f>IF('Equipment Information'!A430="","", 'Equipment Information'!A430)</f>
        <v/>
      </c>
      <c r="B430">
        <f>IF('Equipment Information'!B430="","", 'Equipment Information'!B430)</f>
        <v/>
      </c>
      <c r="C430">
        <f>IF('Equipment Information'!C430="","", 'Equipment Information'!C430)</f>
        <v/>
      </c>
      <c r="H430">
        <f>IF(A430="","","N/A")</f>
        <v/>
      </c>
    </row>
    <row r="431">
      <c r="A431">
        <f>IF('Equipment Information'!A431="","", 'Equipment Information'!A431)</f>
        <v/>
      </c>
      <c r="B431">
        <f>IF('Equipment Information'!B431="","", 'Equipment Information'!B431)</f>
        <v/>
      </c>
      <c r="C431">
        <f>IF('Equipment Information'!C431="","", 'Equipment Information'!C431)</f>
        <v/>
      </c>
      <c r="H431">
        <f>IF(A431="","","N/A")</f>
        <v/>
      </c>
    </row>
    <row r="432">
      <c r="A432">
        <f>IF('Equipment Information'!A432="","", 'Equipment Information'!A432)</f>
        <v/>
      </c>
      <c r="B432">
        <f>IF('Equipment Information'!B432="","", 'Equipment Information'!B432)</f>
        <v/>
      </c>
      <c r="C432">
        <f>IF('Equipment Information'!C432="","", 'Equipment Information'!C432)</f>
        <v/>
      </c>
      <c r="H432">
        <f>IF(A432="","","N/A")</f>
        <v/>
      </c>
    </row>
    <row r="433">
      <c r="A433">
        <f>IF('Equipment Information'!A433="","", 'Equipment Information'!A433)</f>
        <v/>
      </c>
      <c r="B433">
        <f>IF('Equipment Information'!B433="","", 'Equipment Information'!B433)</f>
        <v/>
      </c>
      <c r="C433">
        <f>IF('Equipment Information'!C433="","", 'Equipment Information'!C433)</f>
        <v/>
      </c>
      <c r="H433">
        <f>IF(A433="","","N/A")</f>
        <v/>
      </c>
    </row>
    <row r="434">
      <c r="A434">
        <f>IF('Equipment Information'!A434="","", 'Equipment Information'!A434)</f>
        <v/>
      </c>
      <c r="B434">
        <f>IF('Equipment Information'!B434="","", 'Equipment Information'!B434)</f>
        <v/>
      </c>
      <c r="C434">
        <f>IF('Equipment Information'!C434="","", 'Equipment Information'!C434)</f>
        <v/>
      </c>
      <c r="H434">
        <f>IF(A434="","","N/A")</f>
        <v/>
      </c>
    </row>
    <row r="435">
      <c r="A435">
        <f>IF('Equipment Information'!A435="","", 'Equipment Information'!A435)</f>
        <v/>
      </c>
      <c r="B435">
        <f>IF('Equipment Information'!B435="","", 'Equipment Information'!B435)</f>
        <v/>
      </c>
      <c r="C435">
        <f>IF('Equipment Information'!C435="","", 'Equipment Information'!C435)</f>
        <v/>
      </c>
      <c r="H435">
        <f>IF(A435="","","N/A")</f>
        <v/>
      </c>
    </row>
    <row r="436">
      <c r="A436">
        <f>IF('Equipment Information'!A436="","", 'Equipment Information'!A436)</f>
        <v/>
      </c>
      <c r="B436">
        <f>IF('Equipment Information'!B436="","", 'Equipment Information'!B436)</f>
        <v/>
      </c>
      <c r="C436">
        <f>IF('Equipment Information'!C436="","", 'Equipment Information'!C436)</f>
        <v/>
      </c>
      <c r="H436">
        <f>IF(A436="","","N/A")</f>
        <v/>
      </c>
    </row>
    <row r="437">
      <c r="A437">
        <f>IF('Equipment Information'!A437="","", 'Equipment Information'!A437)</f>
        <v/>
      </c>
      <c r="B437">
        <f>IF('Equipment Information'!B437="","", 'Equipment Information'!B437)</f>
        <v/>
      </c>
      <c r="C437">
        <f>IF('Equipment Information'!C437="","", 'Equipment Information'!C437)</f>
        <v/>
      </c>
      <c r="H437">
        <f>IF(A437="","","N/A")</f>
        <v/>
      </c>
    </row>
    <row r="438">
      <c r="A438">
        <f>IF('Equipment Information'!A438="","", 'Equipment Information'!A438)</f>
        <v/>
      </c>
      <c r="B438">
        <f>IF('Equipment Information'!B438="","", 'Equipment Information'!B438)</f>
        <v/>
      </c>
      <c r="C438">
        <f>IF('Equipment Information'!C438="","", 'Equipment Information'!C438)</f>
        <v/>
      </c>
      <c r="H438">
        <f>IF(A438="","","N/A")</f>
        <v/>
      </c>
    </row>
    <row r="439">
      <c r="A439">
        <f>IF('Equipment Information'!A439="","", 'Equipment Information'!A439)</f>
        <v/>
      </c>
      <c r="B439">
        <f>IF('Equipment Information'!B439="","", 'Equipment Information'!B439)</f>
        <v/>
      </c>
      <c r="C439">
        <f>IF('Equipment Information'!C439="","", 'Equipment Information'!C439)</f>
        <v/>
      </c>
      <c r="H439">
        <f>IF(A439="","","N/A")</f>
        <v/>
      </c>
    </row>
    <row r="440">
      <c r="A440">
        <f>IF('Equipment Information'!A440="","", 'Equipment Information'!A440)</f>
        <v/>
      </c>
      <c r="B440">
        <f>IF('Equipment Information'!B440="","", 'Equipment Information'!B440)</f>
        <v/>
      </c>
      <c r="C440">
        <f>IF('Equipment Information'!C440="","", 'Equipment Information'!C440)</f>
        <v/>
      </c>
      <c r="H440">
        <f>IF(A440="","","N/A")</f>
        <v/>
      </c>
    </row>
    <row r="441">
      <c r="A441">
        <f>IF('Equipment Information'!A441="","", 'Equipment Information'!A441)</f>
        <v/>
      </c>
      <c r="B441">
        <f>IF('Equipment Information'!B441="","", 'Equipment Information'!B441)</f>
        <v/>
      </c>
      <c r="C441">
        <f>IF('Equipment Information'!C441="","", 'Equipment Information'!C441)</f>
        <v/>
      </c>
      <c r="H441">
        <f>IF(A441="","","N/A")</f>
        <v/>
      </c>
    </row>
    <row r="442">
      <c r="A442">
        <f>IF('Equipment Information'!A442="","", 'Equipment Information'!A442)</f>
        <v/>
      </c>
      <c r="B442">
        <f>IF('Equipment Information'!B442="","", 'Equipment Information'!B442)</f>
        <v/>
      </c>
      <c r="C442">
        <f>IF('Equipment Information'!C442="","", 'Equipment Information'!C442)</f>
        <v/>
      </c>
      <c r="H442">
        <f>IF(A442="","","N/A")</f>
        <v/>
      </c>
    </row>
    <row r="443">
      <c r="A443">
        <f>IF('Equipment Information'!A443="","", 'Equipment Information'!A443)</f>
        <v/>
      </c>
      <c r="B443">
        <f>IF('Equipment Information'!B443="","", 'Equipment Information'!B443)</f>
        <v/>
      </c>
      <c r="C443">
        <f>IF('Equipment Information'!C443="","", 'Equipment Information'!C443)</f>
        <v/>
      </c>
      <c r="H443">
        <f>IF(A443="","","N/A")</f>
        <v/>
      </c>
    </row>
    <row r="444">
      <c r="A444">
        <f>IF('Equipment Information'!A444="","", 'Equipment Information'!A444)</f>
        <v/>
      </c>
      <c r="B444">
        <f>IF('Equipment Information'!B444="","", 'Equipment Information'!B444)</f>
        <v/>
      </c>
      <c r="C444">
        <f>IF('Equipment Information'!C444="","", 'Equipment Information'!C444)</f>
        <v/>
      </c>
      <c r="H444">
        <f>IF(A444="","","N/A")</f>
        <v/>
      </c>
    </row>
    <row r="445">
      <c r="A445">
        <f>IF('Equipment Information'!A445="","", 'Equipment Information'!A445)</f>
        <v/>
      </c>
      <c r="B445">
        <f>IF('Equipment Information'!B445="","", 'Equipment Information'!B445)</f>
        <v/>
      </c>
      <c r="C445">
        <f>IF('Equipment Information'!C445="","", 'Equipment Information'!C445)</f>
        <v/>
      </c>
      <c r="H445">
        <f>IF(A445="","","N/A")</f>
        <v/>
      </c>
    </row>
    <row r="446">
      <c r="A446">
        <f>IF('Equipment Information'!A446="","", 'Equipment Information'!A446)</f>
        <v/>
      </c>
      <c r="B446">
        <f>IF('Equipment Information'!B446="","", 'Equipment Information'!B446)</f>
        <v/>
      </c>
      <c r="C446">
        <f>IF('Equipment Information'!C446="","", 'Equipment Information'!C446)</f>
        <v/>
      </c>
      <c r="H446">
        <f>IF(A446="","","N/A")</f>
        <v/>
      </c>
    </row>
    <row r="447">
      <c r="A447">
        <f>IF('Equipment Information'!A447="","", 'Equipment Information'!A447)</f>
        <v/>
      </c>
      <c r="B447">
        <f>IF('Equipment Information'!B447="","", 'Equipment Information'!B447)</f>
        <v/>
      </c>
      <c r="C447">
        <f>IF('Equipment Information'!C447="","", 'Equipment Information'!C447)</f>
        <v/>
      </c>
      <c r="H447">
        <f>IF(A447="","","N/A")</f>
        <v/>
      </c>
    </row>
    <row r="448">
      <c r="A448">
        <f>IF('Equipment Information'!A448="","", 'Equipment Information'!A448)</f>
        <v/>
      </c>
      <c r="B448">
        <f>IF('Equipment Information'!B448="","", 'Equipment Information'!B448)</f>
        <v/>
      </c>
      <c r="C448">
        <f>IF('Equipment Information'!C448="","", 'Equipment Information'!C448)</f>
        <v/>
      </c>
      <c r="H448">
        <f>IF(A448="","","N/A")</f>
        <v/>
      </c>
    </row>
    <row r="449">
      <c r="A449">
        <f>IF('Equipment Information'!A449="","", 'Equipment Information'!A449)</f>
        <v/>
      </c>
      <c r="B449">
        <f>IF('Equipment Information'!B449="","", 'Equipment Information'!B449)</f>
        <v/>
      </c>
      <c r="C449">
        <f>IF('Equipment Information'!C449="","", 'Equipment Information'!C449)</f>
        <v/>
      </c>
      <c r="H449">
        <f>IF(A449="","","N/A")</f>
        <v/>
      </c>
    </row>
    <row r="450">
      <c r="A450">
        <f>IF('Equipment Information'!A450="","", 'Equipment Information'!A450)</f>
        <v/>
      </c>
      <c r="B450">
        <f>IF('Equipment Information'!B450="","", 'Equipment Information'!B450)</f>
        <v/>
      </c>
      <c r="C450">
        <f>IF('Equipment Information'!C450="","", 'Equipment Information'!C450)</f>
        <v/>
      </c>
      <c r="H450">
        <f>IF(A450="","","N/A")</f>
        <v/>
      </c>
    </row>
    <row r="451">
      <c r="A451">
        <f>IF('Equipment Information'!A451="","", 'Equipment Information'!A451)</f>
        <v/>
      </c>
      <c r="B451">
        <f>IF('Equipment Information'!B451="","", 'Equipment Information'!B451)</f>
        <v/>
      </c>
      <c r="C451">
        <f>IF('Equipment Information'!C451="","", 'Equipment Information'!C451)</f>
        <v/>
      </c>
      <c r="H451">
        <f>IF(A451="","","N/A")</f>
        <v/>
      </c>
    </row>
    <row r="452">
      <c r="A452">
        <f>IF('Equipment Information'!A452="","", 'Equipment Information'!A452)</f>
        <v/>
      </c>
      <c r="B452">
        <f>IF('Equipment Information'!B452="","", 'Equipment Information'!B452)</f>
        <v/>
      </c>
      <c r="C452">
        <f>IF('Equipment Information'!C452="","", 'Equipment Information'!C452)</f>
        <v/>
      </c>
      <c r="H452">
        <f>IF(A452="","","N/A")</f>
        <v/>
      </c>
    </row>
    <row r="453">
      <c r="A453">
        <f>IF('Equipment Information'!A453="","", 'Equipment Information'!A453)</f>
        <v/>
      </c>
      <c r="B453">
        <f>IF('Equipment Information'!B453="","", 'Equipment Information'!B453)</f>
        <v/>
      </c>
      <c r="C453">
        <f>IF('Equipment Information'!C453="","", 'Equipment Information'!C453)</f>
        <v/>
      </c>
      <c r="H453">
        <f>IF(A453="","","N/A")</f>
        <v/>
      </c>
    </row>
    <row r="454">
      <c r="A454">
        <f>IF('Equipment Information'!A454="","", 'Equipment Information'!A454)</f>
        <v/>
      </c>
      <c r="B454">
        <f>IF('Equipment Information'!B454="","", 'Equipment Information'!B454)</f>
        <v/>
      </c>
      <c r="C454">
        <f>IF('Equipment Information'!C454="","", 'Equipment Information'!C454)</f>
        <v/>
      </c>
      <c r="H454">
        <f>IF(A454="","","N/A")</f>
        <v/>
      </c>
    </row>
    <row r="455">
      <c r="A455">
        <f>IF('Equipment Information'!A455="","", 'Equipment Information'!A455)</f>
        <v/>
      </c>
      <c r="B455">
        <f>IF('Equipment Information'!B455="","", 'Equipment Information'!B455)</f>
        <v/>
      </c>
      <c r="C455">
        <f>IF('Equipment Information'!C455="","", 'Equipment Information'!C455)</f>
        <v/>
      </c>
      <c r="H455">
        <f>IF(A455="","","N/A")</f>
        <v/>
      </c>
    </row>
    <row r="456">
      <c r="A456">
        <f>IF('Equipment Information'!A456="","", 'Equipment Information'!A456)</f>
        <v/>
      </c>
      <c r="B456">
        <f>IF('Equipment Information'!B456="","", 'Equipment Information'!B456)</f>
        <v/>
      </c>
      <c r="C456">
        <f>IF('Equipment Information'!C456="","", 'Equipment Information'!C456)</f>
        <v/>
      </c>
      <c r="H456">
        <f>IF(A456="","","N/A")</f>
        <v/>
      </c>
    </row>
    <row r="457">
      <c r="A457">
        <f>IF('Equipment Information'!A457="","", 'Equipment Information'!A457)</f>
        <v/>
      </c>
      <c r="B457">
        <f>IF('Equipment Information'!B457="","", 'Equipment Information'!B457)</f>
        <v/>
      </c>
      <c r="C457">
        <f>IF('Equipment Information'!C457="","", 'Equipment Information'!C457)</f>
        <v/>
      </c>
      <c r="H457">
        <f>IF(A457="","","N/A")</f>
        <v/>
      </c>
    </row>
    <row r="458">
      <c r="A458">
        <f>IF('Equipment Information'!A458="","", 'Equipment Information'!A458)</f>
        <v/>
      </c>
      <c r="B458">
        <f>IF('Equipment Information'!B458="","", 'Equipment Information'!B458)</f>
        <v/>
      </c>
      <c r="C458">
        <f>IF('Equipment Information'!C458="","", 'Equipment Information'!C458)</f>
        <v/>
      </c>
      <c r="H458">
        <f>IF(A458="","","N/A")</f>
        <v/>
      </c>
    </row>
    <row r="459">
      <c r="A459">
        <f>IF('Equipment Information'!A459="","", 'Equipment Information'!A459)</f>
        <v/>
      </c>
      <c r="B459">
        <f>IF('Equipment Information'!B459="","", 'Equipment Information'!B459)</f>
        <v/>
      </c>
      <c r="C459">
        <f>IF('Equipment Information'!C459="","", 'Equipment Information'!C459)</f>
        <v/>
      </c>
      <c r="H459">
        <f>IF(A459="","","N/A")</f>
        <v/>
      </c>
    </row>
    <row r="460">
      <c r="A460">
        <f>IF('Equipment Information'!A460="","", 'Equipment Information'!A460)</f>
        <v/>
      </c>
      <c r="B460">
        <f>IF('Equipment Information'!B460="","", 'Equipment Information'!B460)</f>
        <v/>
      </c>
      <c r="C460">
        <f>IF('Equipment Information'!C460="","", 'Equipment Information'!C460)</f>
        <v/>
      </c>
      <c r="H460">
        <f>IF(A460="","","N/A")</f>
        <v/>
      </c>
    </row>
    <row r="461">
      <c r="A461">
        <f>IF('Equipment Information'!A461="","", 'Equipment Information'!A461)</f>
        <v/>
      </c>
      <c r="B461">
        <f>IF('Equipment Information'!B461="","", 'Equipment Information'!B461)</f>
        <v/>
      </c>
      <c r="C461">
        <f>IF('Equipment Information'!C461="","", 'Equipment Information'!C461)</f>
        <v/>
      </c>
      <c r="H461">
        <f>IF(A461="","","N/A")</f>
        <v/>
      </c>
    </row>
    <row r="462">
      <c r="A462">
        <f>IF('Equipment Information'!A462="","", 'Equipment Information'!A462)</f>
        <v/>
      </c>
      <c r="B462">
        <f>IF('Equipment Information'!B462="","", 'Equipment Information'!B462)</f>
        <v/>
      </c>
      <c r="C462">
        <f>IF('Equipment Information'!C462="","", 'Equipment Information'!C462)</f>
        <v/>
      </c>
      <c r="H462">
        <f>IF(A462="","","N/A")</f>
        <v/>
      </c>
    </row>
    <row r="463">
      <c r="A463">
        <f>IF('Equipment Information'!A463="","", 'Equipment Information'!A463)</f>
        <v/>
      </c>
      <c r="B463">
        <f>IF('Equipment Information'!B463="","", 'Equipment Information'!B463)</f>
        <v/>
      </c>
      <c r="C463">
        <f>IF('Equipment Information'!C463="","", 'Equipment Information'!C463)</f>
        <v/>
      </c>
      <c r="H463">
        <f>IF(A463="","","N/A")</f>
        <v/>
      </c>
    </row>
    <row r="464">
      <c r="A464">
        <f>IF('Equipment Information'!A464="","", 'Equipment Information'!A464)</f>
        <v/>
      </c>
      <c r="B464">
        <f>IF('Equipment Information'!B464="","", 'Equipment Information'!B464)</f>
        <v/>
      </c>
      <c r="C464">
        <f>IF('Equipment Information'!C464="","", 'Equipment Information'!C464)</f>
        <v/>
      </c>
      <c r="H464">
        <f>IF(A464="","","N/A")</f>
        <v/>
      </c>
    </row>
    <row r="465">
      <c r="A465">
        <f>IF('Equipment Information'!A465="","", 'Equipment Information'!A465)</f>
        <v/>
      </c>
      <c r="B465">
        <f>IF('Equipment Information'!B465="","", 'Equipment Information'!B465)</f>
        <v/>
      </c>
      <c r="C465">
        <f>IF('Equipment Information'!C465="","", 'Equipment Information'!C465)</f>
        <v/>
      </c>
      <c r="H465">
        <f>IF(A465="","","N/A")</f>
        <v/>
      </c>
    </row>
    <row r="466">
      <c r="A466">
        <f>IF('Equipment Information'!A466="","", 'Equipment Information'!A466)</f>
        <v/>
      </c>
      <c r="B466">
        <f>IF('Equipment Information'!B466="","", 'Equipment Information'!B466)</f>
        <v/>
      </c>
      <c r="C466">
        <f>IF('Equipment Information'!C466="","", 'Equipment Information'!C466)</f>
        <v/>
      </c>
      <c r="H466">
        <f>IF(A466="","","N/A")</f>
        <v/>
      </c>
    </row>
    <row r="467">
      <c r="A467">
        <f>IF('Equipment Information'!A467="","", 'Equipment Information'!A467)</f>
        <v/>
      </c>
      <c r="B467">
        <f>IF('Equipment Information'!B467="","", 'Equipment Information'!B467)</f>
        <v/>
      </c>
      <c r="C467">
        <f>IF('Equipment Information'!C467="","", 'Equipment Information'!C467)</f>
        <v/>
      </c>
      <c r="H467">
        <f>IF(A467="","","N/A")</f>
        <v/>
      </c>
    </row>
    <row r="468">
      <c r="A468">
        <f>IF('Equipment Information'!A468="","", 'Equipment Information'!A468)</f>
        <v/>
      </c>
      <c r="B468">
        <f>IF('Equipment Information'!B468="","", 'Equipment Information'!B468)</f>
        <v/>
      </c>
      <c r="C468">
        <f>IF('Equipment Information'!C468="","", 'Equipment Information'!C468)</f>
        <v/>
      </c>
      <c r="H468">
        <f>IF(A468="","","N/A")</f>
        <v/>
      </c>
    </row>
    <row r="469">
      <c r="A469">
        <f>IF('Equipment Information'!A469="","", 'Equipment Information'!A469)</f>
        <v/>
      </c>
      <c r="B469">
        <f>IF('Equipment Information'!B469="","", 'Equipment Information'!B469)</f>
        <v/>
      </c>
      <c r="C469">
        <f>IF('Equipment Information'!C469="","", 'Equipment Information'!C469)</f>
        <v/>
      </c>
      <c r="H469">
        <f>IF(A469="","","N/A")</f>
        <v/>
      </c>
    </row>
    <row r="470">
      <c r="A470">
        <f>IF('Equipment Information'!A470="","", 'Equipment Information'!A470)</f>
        <v/>
      </c>
      <c r="B470">
        <f>IF('Equipment Information'!B470="","", 'Equipment Information'!B470)</f>
        <v/>
      </c>
      <c r="C470">
        <f>IF('Equipment Information'!C470="","", 'Equipment Information'!C470)</f>
        <v/>
      </c>
      <c r="H470">
        <f>IF(A470="","","N/A")</f>
        <v/>
      </c>
    </row>
    <row r="471">
      <c r="A471">
        <f>IF('Equipment Information'!A471="","", 'Equipment Information'!A471)</f>
        <v/>
      </c>
      <c r="B471">
        <f>IF('Equipment Information'!B471="","", 'Equipment Information'!B471)</f>
        <v/>
      </c>
      <c r="C471">
        <f>IF('Equipment Information'!C471="","", 'Equipment Information'!C471)</f>
        <v/>
      </c>
      <c r="H471">
        <f>IF(A471="","","N/A")</f>
        <v/>
      </c>
    </row>
    <row r="472">
      <c r="A472">
        <f>IF('Equipment Information'!A472="","", 'Equipment Information'!A472)</f>
        <v/>
      </c>
      <c r="B472">
        <f>IF('Equipment Information'!B472="","", 'Equipment Information'!B472)</f>
        <v/>
      </c>
      <c r="C472">
        <f>IF('Equipment Information'!C472="","", 'Equipment Information'!C472)</f>
        <v/>
      </c>
      <c r="H472">
        <f>IF(A472="","","N/A")</f>
        <v/>
      </c>
    </row>
    <row r="473">
      <c r="A473">
        <f>IF('Equipment Information'!A473="","", 'Equipment Information'!A473)</f>
        <v/>
      </c>
      <c r="B473">
        <f>IF('Equipment Information'!B473="","", 'Equipment Information'!B473)</f>
        <v/>
      </c>
      <c r="C473">
        <f>IF('Equipment Information'!C473="","", 'Equipment Information'!C473)</f>
        <v/>
      </c>
      <c r="H473">
        <f>IF(A473="","","N/A")</f>
        <v/>
      </c>
    </row>
    <row r="474">
      <c r="A474">
        <f>IF('Equipment Information'!A474="","", 'Equipment Information'!A474)</f>
        <v/>
      </c>
      <c r="B474">
        <f>IF('Equipment Information'!B474="","", 'Equipment Information'!B474)</f>
        <v/>
      </c>
      <c r="C474">
        <f>IF('Equipment Information'!C474="","", 'Equipment Information'!C474)</f>
        <v/>
      </c>
      <c r="H474">
        <f>IF(A474="","","N/A")</f>
        <v/>
      </c>
    </row>
    <row r="475">
      <c r="A475">
        <f>IF('Equipment Information'!A475="","", 'Equipment Information'!A475)</f>
        <v/>
      </c>
      <c r="B475">
        <f>IF('Equipment Information'!B475="","", 'Equipment Information'!B475)</f>
        <v/>
      </c>
      <c r="C475">
        <f>IF('Equipment Information'!C475="","", 'Equipment Information'!C475)</f>
        <v/>
      </c>
      <c r="H475">
        <f>IF(A475="","","N/A")</f>
        <v/>
      </c>
    </row>
    <row r="476">
      <c r="A476">
        <f>IF('Equipment Information'!A476="","", 'Equipment Information'!A476)</f>
        <v/>
      </c>
      <c r="B476">
        <f>IF('Equipment Information'!B476="","", 'Equipment Information'!B476)</f>
        <v/>
      </c>
      <c r="C476">
        <f>IF('Equipment Information'!C476="","", 'Equipment Information'!C476)</f>
        <v/>
      </c>
      <c r="H476">
        <f>IF(A476="","","N/A")</f>
        <v/>
      </c>
    </row>
    <row r="477">
      <c r="A477">
        <f>IF('Equipment Information'!A477="","", 'Equipment Information'!A477)</f>
        <v/>
      </c>
      <c r="B477">
        <f>IF('Equipment Information'!B477="","", 'Equipment Information'!B477)</f>
        <v/>
      </c>
      <c r="C477">
        <f>IF('Equipment Information'!C477="","", 'Equipment Information'!C477)</f>
        <v/>
      </c>
      <c r="H477">
        <f>IF(A477="","","N/A")</f>
        <v/>
      </c>
    </row>
    <row r="478">
      <c r="A478">
        <f>IF('Equipment Information'!A478="","", 'Equipment Information'!A478)</f>
        <v/>
      </c>
      <c r="B478">
        <f>IF('Equipment Information'!B478="","", 'Equipment Information'!B478)</f>
        <v/>
      </c>
      <c r="C478">
        <f>IF('Equipment Information'!C478="","", 'Equipment Information'!C478)</f>
        <v/>
      </c>
      <c r="H478">
        <f>IF(A478="","","N/A")</f>
        <v/>
      </c>
    </row>
    <row r="479">
      <c r="A479">
        <f>IF('Equipment Information'!A479="","", 'Equipment Information'!A479)</f>
        <v/>
      </c>
      <c r="B479">
        <f>IF('Equipment Information'!B479="","", 'Equipment Information'!B479)</f>
        <v/>
      </c>
      <c r="C479">
        <f>IF('Equipment Information'!C479="","", 'Equipment Information'!C479)</f>
        <v/>
      </c>
      <c r="H479">
        <f>IF(A479="","","N/A")</f>
        <v/>
      </c>
    </row>
    <row r="480">
      <c r="A480">
        <f>IF('Equipment Information'!A480="","", 'Equipment Information'!A480)</f>
        <v/>
      </c>
      <c r="B480">
        <f>IF('Equipment Information'!B480="","", 'Equipment Information'!B480)</f>
        <v/>
      </c>
      <c r="C480">
        <f>IF('Equipment Information'!C480="","", 'Equipment Information'!C480)</f>
        <v/>
      </c>
      <c r="H480">
        <f>IF(A480="","","N/A")</f>
        <v/>
      </c>
    </row>
    <row r="481">
      <c r="A481">
        <f>IF('Equipment Information'!A481="","", 'Equipment Information'!A481)</f>
        <v/>
      </c>
      <c r="B481">
        <f>IF('Equipment Information'!B481="","", 'Equipment Information'!B481)</f>
        <v/>
      </c>
      <c r="C481">
        <f>IF('Equipment Information'!C481="","", 'Equipment Information'!C481)</f>
        <v/>
      </c>
      <c r="H481">
        <f>IF(A481="","","N/A")</f>
        <v/>
      </c>
    </row>
    <row r="482">
      <c r="A482">
        <f>IF('Equipment Information'!A482="","", 'Equipment Information'!A482)</f>
        <v/>
      </c>
      <c r="B482">
        <f>IF('Equipment Information'!B482="","", 'Equipment Information'!B482)</f>
        <v/>
      </c>
      <c r="C482">
        <f>IF('Equipment Information'!C482="","", 'Equipment Information'!C482)</f>
        <v/>
      </c>
      <c r="H482">
        <f>IF(A482="","","N/A")</f>
        <v/>
      </c>
    </row>
    <row r="483">
      <c r="A483">
        <f>IF('Equipment Information'!A483="","", 'Equipment Information'!A483)</f>
        <v/>
      </c>
      <c r="B483">
        <f>IF('Equipment Information'!B483="","", 'Equipment Information'!B483)</f>
        <v/>
      </c>
      <c r="C483">
        <f>IF('Equipment Information'!C483="","", 'Equipment Information'!C483)</f>
        <v/>
      </c>
      <c r="H483">
        <f>IF(A483="","","N/A")</f>
        <v/>
      </c>
    </row>
    <row r="484">
      <c r="A484">
        <f>IF('Equipment Information'!A484="","", 'Equipment Information'!A484)</f>
        <v/>
      </c>
      <c r="B484">
        <f>IF('Equipment Information'!B484="","", 'Equipment Information'!B484)</f>
        <v/>
      </c>
      <c r="C484">
        <f>IF('Equipment Information'!C484="","", 'Equipment Information'!C484)</f>
        <v/>
      </c>
      <c r="H484">
        <f>IF(A484="","","N/A")</f>
        <v/>
      </c>
    </row>
    <row r="485">
      <c r="A485">
        <f>IF('Equipment Information'!A485="","", 'Equipment Information'!A485)</f>
        <v/>
      </c>
      <c r="B485">
        <f>IF('Equipment Information'!B485="","", 'Equipment Information'!B485)</f>
        <v/>
      </c>
      <c r="C485">
        <f>IF('Equipment Information'!C485="","", 'Equipment Information'!C485)</f>
        <v/>
      </c>
      <c r="H485">
        <f>IF(A485="","","N/A")</f>
        <v/>
      </c>
    </row>
    <row r="486">
      <c r="A486">
        <f>IF('Equipment Information'!A486="","", 'Equipment Information'!A486)</f>
        <v/>
      </c>
      <c r="B486">
        <f>IF('Equipment Information'!B486="","", 'Equipment Information'!B486)</f>
        <v/>
      </c>
      <c r="C486">
        <f>IF('Equipment Information'!C486="","", 'Equipment Information'!C486)</f>
        <v/>
      </c>
      <c r="H486">
        <f>IF(A486="","","N/A")</f>
        <v/>
      </c>
    </row>
    <row r="487">
      <c r="A487">
        <f>IF('Equipment Information'!A487="","", 'Equipment Information'!A487)</f>
        <v/>
      </c>
      <c r="B487">
        <f>IF('Equipment Information'!B487="","", 'Equipment Information'!B487)</f>
        <v/>
      </c>
      <c r="C487">
        <f>IF('Equipment Information'!C487="","", 'Equipment Information'!C487)</f>
        <v/>
      </c>
      <c r="H487">
        <f>IF(A487="","","N/A")</f>
        <v/>
      </c>
    </row>
    <row r="488">
      <c r="A488">
        <f>IF('Equipment Information'!A488="","", 'Equipment Information'!A488)</f>
        <v/>
      </c>
      <c r="B488">
        <f>IF('Equipment Information'!B488="","", 'Equipment Information'!B488)</f>
        <v/>
      </c>
      <c r="C488">
        <f>IF('Equipment Information'!C488="","", 'Equipment Information'!C488)</f>
        <v/>
      </c>
      <c r="H488">
        <f>IF(A488="","","N/A")</f>
        <v/>
      </c>
    </row>
    <row r="489">
      <c r="A489">
        <f>IF('Equipment Information'!A489="","", 'Equipment Information'!A489)</f>
        <v/>
      </c>
      <c r="B489">
        <f>IF('Equipment Information'!B489="","", 'Equipment Information'!B489)</f>
        <v/>
      </c>
      <c r="C489">
        <f>IF('Equipment Information'!C489="","", 'Equipment Information'!C489)</f>
        <v/>
      </c>
      <c r="H489">
        <f>IF(A489="","","N/A")</f>
        <v/>
      </c>
    </row>
    <row r="490">
      <c r="A490">
        <f>IF('Equipment Information'!A490="","", 'Equipment Information'!A490)</f>
        <v/>
      </c>
      <c r="B490">
        <f>IF('Equipment Information'!B490="","", 'Equipment Information'!B490)</f>
        <v/>
      </c>
      <c r="C490">
        <f>IF('Equipment Information'!C490="","", 'Equipment Information'!C490)</f>
        <v/>
      </c>
      <c r="H490">
        <f>IF(A490="","","N/A")</f>
        <v/>
      </c>
    </row>
    <row r="491">
      <c r="A491">
        <f>IF('Equipment Information'!A491="","", 'Equipment Information'!A491)</f>
        <v/>
      </c>
      <c r="B491">
        <f>IF('Equipment Information'!B491="","", 'Equipment Information'!B491)</f>
        <v/>
      </c>
      <c r="C491">
        <f>IF('Equipment Information'!C491="","", 'Equipment Information'!C491)</f>
        <v/>
      </c>
      <c r="H491">
        <f>IF(A491="","","N/A")</f>
        <v/>
      </c>
    </row>
    <row r="492">
      <c r="A492">
        <f>IF('Equipment Information'!A492="","", 'Equipment Information'!A492)</f>
        <v/>
      </c>
      <c r="B492">
        <f>IF('Equipment Information'!B492="","", 'Equipment Information'!B492)</f>
        <v/>
      </c>
      <c r="C492">
        <f>IF('Equipment Information'!C492="","", 'Equipment Information'!C492)</f>
        <v/>
      </c>
      <c r="H492">
        <f>IF(A492="","","N/A")</f>
        <v/>
      </c>
    </row>
    <row r="493">
      <c r="A493">
        <f>IF('Equipment Information'!A493="","", 'Equipment Information'!A493)</f>
        <v/>
      </c>
      <c r="B493">
        <f>IF('Equipment Information'!B493="","", 'Equipment Information'!B493)</f>
        <v/>
      </c>
      <c r="C493">
        <f>IF('Equipment Information'!C493="","", 'Equipment Information'!C493)</f>
        <v/>
      </c>
      <c r="H493">
        <f>IF(A493="","","N/A")</f>
        <v/>
      </c>
    </row>
    <row r="494">
      <c r="A494">
        <f>IF('Equipment Information'!A494="","", 'Equipment Information'!A494)</f>
        <v/>
      </c>
      <c r="B494">
        <f>IF('Equipment Information'!B494="","", 'Equipment Information'!B494)</f>
        <v/>
      </c>
      <c r="C494">
        <f>IF('Equipment Information'!C494="","", 'Equipment Information'!C494)</f>
        <v/>
      </c>
      <c r="H494">
        <f>IF(A494="","","N/A")</f>
        <v/>
      </c>
    </row>
    <row r="495">
      <c r="A495">
        <f>IF('Equipment Information'!A495="","", 'Equipment Information'!A495)</f>
        <v/>
      </c>
      <c r="B495">
        <f>IF('Equipment Information'!B495="","", 'Equipment Information'!B495)</f>
        <v/>
      </c>
      <c r="C495">
        <f>IF('Equipment Information'!C495="","", 'Equipment Information'!C495)</f>
        <v/>
      </c>
      <c r="H495">
        <f>IF(A495="","","N/A")</f>
        <v/>
      </c>
    </row>
    <row r="496">
      <c r="A496">
        <f>IF('Equipment Information'!A496="","", 'Equipment Information'!A496)</f>
        <v/>
      </c>
      <c r="B496">
        <f>IF('Equipment Information'!B496="","", 'Equipment Information'!B496)</f>
        <v/>
      </c>
      <c r="C496">
        <f>IF('Equipment Information'!C496="","", 'Equipment Information'!C496)</f>
        <v/>
      </c>
      <c r="H496">
        <f>IF(A496="","","N/A")</f>
        <v/>
      </c>
    </row>
    <row r="497">
      <c r="A497">
        <f>IF('Equipment Information'!A497="","", 'Equipment Information'!A497)</f>
        <v/>
      </c>
      <c r="B497">
        <f>IF('Equipment Information'!B497="","", 'Equipment Information'!B497)</f>
        <v/>
      </c>
      <c r="C497">
        <f>IF('Equipment Information'!C497="","", 'Equipment Information'!C497)</f>
        <v/>
      </c>
      <c r="H497">
        <f>IF(A497="","","N/A")</f>
        <v/>
      </c>
    </row>
    <row r="498">
      <c r="A498">
        <f>IF('Equipment Information'!A498="","", 'Equipment Information'!A498)</f>
        <v/>
      </c>
      <c r="B498">
        <f>IF('Equipment Information'!B498="","", 'Equipment Information'!B498)</f>
        <v/>
      </c>
      <c r="C498">
        <f>IF('Equipment Information'!C498="","", 'Equipment Information'!C498)</f>
        <v/>
      </c>
      <c r="H498">
        <f>IF(A498="","","N/A")</f>
        <v/>
      </c>
    </row>
    <row r="499">
      <c r="A499">
        <f>IF('Equipment Information'!A499="","", 'Equipment Information'!A499)</f>
        <v/>
      </c>
      <c r="B499">
        <f>IF('Equipment Information'!B499="","", 'Equipment Information'!B499)</f>
        <v/>
      </c>
      <c r="C499">
        <f>IF('Equipment Information'!C499="","", 'Equipment Information'!C499)</f>
        <v/>
      </c>
      <c r="H499">
        <f>IF(A499="","","N/A")</f>
        <v/>
      </c>
    </row>
  </sheetData>
  <dataValidations count="1">
    <dataValidation sqref="H2:H500" showDropDown="0" showInputMessage="0" showErrorMessage="0" allowBlank="1" type="list">
      <formula1>List_PF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2026-06-14T14:25:24Z</dcterms:created>
  <dcterms:modified xmlns:dcterms="http://purl.org/dc/terms/" xmlns:xsi="http://www.w3.org/2001/XMLSchema-instance" xsi:type="dcterms:W3CDTF">2026-06-14T14:25:24Z</dcterms:modified>
</cp:coreProperties>
</file>