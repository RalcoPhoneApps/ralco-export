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ralcoelectric-my.sharepoint.com/personal/jsingle_ralcoelectric_com/Documents/Jim Files - New/2025 Maintenance &amp; Testing Project/ACTIVE JOBS/YEAR 1/MT25-063 Decas Cranberry/99-Misc Notes/"/>
    </mc:Choice>
  </mc:AlternateContent>
  <xr:revisionPtr revIDLastSave="21" documentId="11_C7AD67F32A22EEB1F400A7AFA5D56C96F459D067" xr6:coauthVersionLast="47" xr6:coauthVersionMax="47" xr10:uidLastSave="{7F7CFA5E-C1EB-4856-A9DF-45DACF4836D3}"/>
  <bookViews>
    <workbookView xWindow="-120" yWindow="-120" windowWidth="29040" windowHeight="17520" tabRatio="767" activeTab="2" xr2:uid="{00000000-000D-0000-FFFF-FFFF00000000}"/>
  </bookViews>
  <sheets>
    <sheet name="Equipment Information" sheetId="1" r:id="rId1"/>
    <sheet name="Master Dashboard" sheetId="2" r:id="rId2"/>
    <sheet name="Code Violations" sheetId="3" r:id="rId3"/>
    <sheet name="Infrared" sheetId="4" r:id="rId4"/>
    <sheet name="Ultrasonic" sheetId="5" r:id="rId5"/>
    <sheet name="Energized Data" sheetId="6" r:id="rId6"/>
    <sheet name="Hidden_Data" sheetId="7" state="hidden" r:id="rId7"/>
    <sheet name="Insulation" sheetId="8" r:id="rId8"/>
    <sheet name="DLRO" sheetId="9" r:id="rId9"/>
    <sheet name="Torque" sheetId="10" r:id="rId10"/>
  </sheets>
  <definedNames>
    <definedName name="List_Comp">Hidden_Data!$J$1:$J$9</definedName>
    <definedName name="List_Crit">Hidden_Data!$D$1:$D$5</definedName>
    <definedName name="List_Equip">Hidden_Data!$A$1:$A$34</definedName>
    <definedName name="List_IR_Phase">Hidden_Data!$L$1:$L$6</definedName>
    <definedName name="List_Maint">Hidden_Data!$E$1:$E$3</definedName>
    <definedName name="List_NEC">Hidden_Data!$M$1:$M$171</definedName>
    <definedName name="List_PF">Hidden_Data!$B$1:$B$4</definedName>
    <definedName name="List_Phase">Hidden_Data!$H$1:$H$3</definedName>
    <definedName name="List_US_Mode">Hidden_Data!$K$1:$K$6</definedName>
    <definedName name="List_Wire">Hidden_Data!$I$1:$I$3</definedName>
    <definedName name="List_YN">Hidden_Data!$C$1:$C$2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9" i="10" l="1"/>
  <c r="B499" i="10"/>
  <c r="A499" i="10"/>
  <c r="H499" i="10" s="1"/>
  <c r="C498" i="10"/>
  <c r="B498" i="10"/>
  <c r="A498" i="10"/>
  <c r="H498" i="10" s="1"/>
  <c r="C497" i="10"/>
  <c r="B497" i="10"/>
  <c r="A497" i="10"/>
  <c r="H497" i="10" s="1"/>
  <c r="C496" i="10"/>
  <c r="B496" i="10"/>
  <c r="A496" i="10"/>
  <c r="H496" i="10" s="1"/>
  <c r="H495" i="10"/>
  <c r="C495" i="10"/>
  <c r="B495" i="10"/>
  <c r="A495" i="10"/>
  <c r="C494" i="10"/>
  <c r="B494" i="10"/>
  <c r="A494" i="10"/>
  <c r="H494" i="10" s="1"/>
  <c r="C493" i="10"/>
  <c r="B493" i="10"/>
  <c r="A493" i="10"/>
  <c r="H493" i="10" s="1"/>
  <c r="C492" i="10"/>
  <c r="B492" i="10"/>
  <c r="A492" i="10"/>
  <c r="H492" i="10" s="1"/>
  <c r="C491" i="10"/>
  <c r="B491" i="10"/>
  <c r="A491" i="10"/>
  <c r="H491" i="10" s="1"/>
  <c r="C490" i="10"/>
  <c r="B490" i="10"/>
  <c r="A490" i="10"/>
  <c r="H490" i="10" s="1"/>
  <c r="C489" i="10"/>
  <c r="B489" i="10"/>
  <c r="A489" i="10"/>
  <c r="H489" i="10" s="1"/>
  <c r="H488" i="10"/>
  <c r="C488" i="10"/>
  <c r="B488" i="10"/>
  <c r="A488" i="10"/>
  <c r="C487" i="10"/>
  <c r="B487" i="10"/>
  <c r="A487" i="10"/>
  <c r="H487" i="10" s="1"/>
  <c r="H486" i="10"/>
  <c r="C486" i="10"/>
  <c r="B486" i="10"/>
  <c r="A486" i="10"/>
  <c r="C485" i="10"/>
  <c r="B485" i="10"/>
  <c r="A485" i="10"/>
  <c r="H485" i="10" s="1"/>
  <c r="C484" i="10"/>
  <c r="B484" i="10"/>
  <c r="A484" i="10"/>
  <c r="H484" i="10" s="1"/>
  <c r="H483" i="10"/>
  <c r="C483" i="10"/>
  <c r="B483" i="10"/>
  <c r="A483" i="10"/>
  <c r="C482" i="10"/>
  <c r="B482" i="10"/>
  <c r="A482" i="10"/>
  <c r="H482" i="10" s="1"/>
  <c r="C481" i="10"/>
  <c r="B481" i="10"/>
  <c r="A481" i="10"/>
  <c r="H481" i="10" s="1"/>
  <c r="H480" i="10"/>
  <c r="C480" i="10"/>
  <c r="B480" i="10"/>
  <c r="A480" i="10"/>
  <c r="C479" i="10"/>
  <c r="B479" i="10"/>
  <c r="A479" i="10"/>
  <c r="H479" i="10" s="1"/>
  <c r="C478" i="10"/>
  <c r="B478" i="10"/>
  <c r="A478" i="10"/>
  <c r="H478" i="10" s="1"/>
  <c r="C477" i="10"/>
  <c r="B477" i="10"/>
  <c r="A477" i="10"/>
  <c r="H477" i="10" s="1"/>
  <c r="C476" i="10"/>
  <c r="B476" i="10"/>
  <c r="A476" i="10"/>
  <c r="H476" i="10" s="1"/>
  <c r="C475" i="10"/>
  <c r="B475" i="10"/>
  <c r="A475" i="10"/>
  <c r="H475" i="10" s="1"/>
  <c r="H474" i="10"/>
  <c r="C474" i="10"/>
  <c r="B474" i="10"/>
  <c r="A474" i="10"/>
  <c r="H473" i="10"/>
  <c r="C473" i="10"/>
  <c r="B473" i="10"/>
  <c r="A473" i="10"/>
  <c r="C472" i="10"/>
  <c r="B472" i="10"/>
  <c r="A472" i="10"/>
  <c r="H472" i="10" s="1"/>
  <c r="C471" i="10"/>
  <c r="B471" i="10"/>
  <c r="A471" i="10"/>
  <c r="H471" i="10" s="1"/>
  <c r="H470" i="10"/>
  <c r="C470" i="10"/>
  <c r="B470" i="10"/>
  <c r="A470" i="10"/>
  <c r="C469" i="10"/>
  <c r="B469" i="10"/>
  <c r="A469" i="10"/>
  <c r="H469" i="10" s="1"/>
  <c r="C468" i="10"/>
  <c r="B468" i="10"/>
  <c r="A468" i="10"/>
  <c r="H468" i="10" s="1"/>
  <c r="H467" i="10"/>
  <c r="C467" i="10"/>
  <c r="B467" i="10"/>
  <c r="A467" i="10"/>
  <c r="C466" i="10"/>
  <c r="B466" i="10"/>
  <c r="A466" i="10"/>
  <c r="H466" i="10" s="1"/>
  <c r="C465" i="10"/>
  <c r="B465" i="10"/>
  <c r="A465" i="10"/>
  <c r="H465" i="10" s="1"/>
  <c r="H464" i="10"/>
  <c r="C464" i="10"/>
  <c r="B464" i="10"/>
  <c r="A464" i="10"/>
  <c r="C463" i="10"/>
  <c r="B463" i="10"/>
  <c r="A463" i="10"/>
  <c r="H463" i="10" s="1"/>
  <c r="C462" i="10"/>
  <c r="B462" i="10"/>
  <c r="A462" i="10"/>
  <c r="H462" i="10" s="1"/>
  <c r="C461" i="10"/>
  <c r="B461" i="10"/>
  <c r="A461" i="10"/>
  <c r="H461" i="10" s="1"/>
  <c r="C460" i="10"/>
  <c r="B460" i="10"/>
  <c r="A460" i="10"/>
  <c r="H460" i="10" s="1"/>
  <c r="C459" i="10"/>
  <c r="B459" i="10"/>
  <c r="A459" i="10"/>
  <c r="H459" i="10" s="1"/>
  <c r="C458" i="10"/>
  <c r="B458" i="10"/>
  <c r="A458" i="10"/>
  <c r="H458" i="10" s="1"/>
  <c r="C457" i="10"/>
  <c r="B457" i="10"/>
  <c r="A457" i="10"/>
  <c r="H457" i="10" s="1"/>
  <c r="C456" i="10"/>
  <c r="B456" i="10"/>
  <c r="A456" i="10"/>
  <c r="H456" i="10" s="1"/>
  <c r="C455" i="10"/>
  <c r="B455" i="10"/>
  <c r="A455" i="10"/>
  <c r="H455" i="10" s="1"/>
  <c r="C454" i="10"/>
  <c r="B454" i="10"/>
  <c r="A454" i="10"/>
  <c r="H454" i="10" s="1"/>
  <c r="C453" i="10"/>
  <c r="B453" i="10"/>
  <c r="A453" i="10"/>
  <c r="H453" i="10" s="1"/>
  <c r="H452" i="10"/>
  <c r="C452" i="10"/>
  <c r="B452" i="10"/>
  <c r="A452" i="10"/>
  <c r="C451" i="10"/>
  <c r="B451" i="10"/>
  <c r="A451" i="10"/>
  <c r="H451" i="10" s="1"/>
  <c r="H450" i="10"/>
  <c r="C450" i="10"/>
  <c r="B450" i="10"/>
  <c r="A450" i="10"/>
  <c r="C449" i="10"/>
  <c r="B449" i="10"/>
  <c r="A449" i="10"/>
  <c r="H449" i="10" s="1"/>
  <c r="C448" i="10"/>
  <c r="B448" i="10"/>
  <c r="A448" i="10"/>
  <c r="H448" i="10" s="1"/>
  <c r="H447" i="10"/>
  <c r="C447" i="10"/>
  <c r="B447" i="10"/>
  <c r="A447" i="10"/>
  <c r="C446" i="10"/>
  <c r="B446" i="10"/>
  <c r="A446" i="10"/>
  <c r="H446" i="10" s="1"/>
  <c r="C445" i="10"/>
  <c r="B445" i="10"/>
  <c r="A445" i="10"/>
  <c r="H445" i="10" s="1"/>
  <c r="H444" i="10"/>
  <c r="C444" i="10"/>
  <c r="B444" i="10"/>
  <c r="A444" i="10"/>
  <c r="C443" i="10"/>
  <c r="B443" i="10"/>
  <c r="A443" i="10"/>
  <c r="H443" i="10" s="1"/>
  <c r="C442" i="10"/>
  <c r="B442" i="10"/>
  <c r="A442" i="10"/>
  <c r="H442" i="10" s="1"/>
  <c r="C441" i="10"/>
  <c r="B441" i="10"/>
  <c r="A441" i="10"/>
  <c r="H441" i="10" s="1"/>
  <c r="C440" i="10"/>
  <c r="B440" i="10"/>
  <c r="A440" i="10"/>
  <c r="H440" i="10" s="1"/>
  <c r="C439" i="10"/>
  <c r="B439" i="10"/>
  <c r="A439" i="10"/>
  <c r="H439" i="10" s="1"/>
  <c r="H438" i="10"/>
  <c r="C438" i="10"/>
  <c r="B438" i="10"/>
  <c r="A438" i="10"/>
  <c r="H437" i="10"/>
  <c r="C437" i="10"/>
  <c r="B437" i="10"/>
  <c r="A437" i="10"/>
  <c r="C436" i="10"/>
  <c r="B436" i="10"/>
  <c r="A436" i="10"/>
  <c r="H436" i="10" s="1"/>
  <c r="C435" i="10"/>
  <c r="B435" i="10"/>
  <c r="A435" i="10"/>
  <c r="H435" i="10" s="1"/>
  <c r="H434" i="10"/>
  <c r="C434" i="10"/>
  <c r="B434" i="10"/>
  <c r="A434" i="10"/>
  <c r="C433" i="10"/>
  <c r="B433" i="10"/>
  <c r="A433" i="10"/>
  <c r="H433" i="10" s="1"/>
  <c r="C432" i="10"/>
  <c r="B432" i="10"/>
  <c r="A432" i="10"/>
  <c r="H432" i="10" s="1"/>
  <c r="H431" i="10"/>
  <c r="C431" i="10"/>
  <c r="B431" i="10"/>
  <c r="A431" i="10"/>
  <c r="C430" i="10"/>
  <c r="B430" i="10"/>
  <c r="A430" i="10"/>
  <c r="H430" i="10" s="1"/>
  <c r="C429" i="10"/>
  <c r="B429" i="10"/>
  <c r="A429" i="10"/>
  <c r="H429" i="10" s="1"/>
  <c r="H428" i="10"/>
  <c r="C428" i="10"/>
  <c r="B428" i="10"/>
  <c r="A428" i="10"/>
  <c r="C427" i="10"/>
  <c r="B427" i="10"/>
  <c r="A427" i="10"/>
  <c r="H427" i="10" s="1"/>
  <c r="C426" i="10"/>
  <c r="B426" i="10"/>
  <c r="A426" i="10"/>
  <c r="H426" i="10" s="1"/>
  <c r="C425" i="10"/>
  <c r="B425" i="10"/>
  <c r="A425" i="10"/>
  <c r="H425" i="10" s="1"/>
  <c r="C424" i="10"/>
  <c r="B424" i="10"/>
  <c r="A424" i="10"/>
  <c r="H424" i="10" s="1"/>
  <c r="H423" i="10"/>
  <c r="C423" i="10"/>
  <c r="B423" i="10"/>
  <c r="A423" i="10"/>
  <c r="C422" i="10"/>
  <c r="B422" i="10"/>
  <c r="A422" i="10"/>
  <c r="H422" i="10" s="1"/>
  <c r="C421" i="10"/>
  <c r="B421" i="10"/>
  <c r="A421" i="10"/>
  <c r="H421" i="10" s="1"/>
  <c r="C420" i="10"/>
  <c r="B420" i="10"/>
  <c r="A420" i="10"/>
  <c r="H420" i="10" s="1"/>
  <c r="C419" i="10"/>
  <c r="B419" i="10"/>
  <c r="A419" i="10"/>
  <c r="H419" i="10" s="1"/>
  <c r="C418" i="10"/>
  <c r="B418" i="10"/>
  <c r="A418" i="10"/>
  <c r="H418" i="10" s="1"/>
  <c r="C417" i="10"/>
  <c r="B417" i="10"/>
  <c r="A417" i="10"/>
  <c r="H417" i="10" s="1"/>
  <c r="C416" i="10"/>
  <c r="B416" i="10"/>
  <c r="A416" i="10"/>
  <c r="H416" i="10" s="1"/>
  <c r="C415" i="10"/>
  <c r="B415" i="10"/>
  <c r="A415" i="10"/>
  <c r="H415" i="10" s="1"/>
  <c r="H414" i="10"/>
  <c r="C414" i="10"/>
  <c r="B414" i="10"/>
  <c r="A414" i="10"/>
  <c r="C413" i="10"/>
  <c r="B413" i="10"/>
  <c r="A413" i="10"/>
  <c r="H413" i="10" s="1"/>
  <c r="C412" i="10"/>
  <c r="B412" i="10"/>
  <c r="A412" i="10"/>
  <c r="H412" i="10" s="1"/>
  <c r="H411" i="10"/>
  <c r="C411" i="10"/>
  <c r="B411" i="10"/>
  <c r="A411" i="10"/>
  <c r="H410" i="10"/>
  <c r="C410" i="10"/>
  <c r="B410" i="10"/>
  <c r="A410" i="10"/>
  <c r="C409" i="10"/>
  <c r="B409" i="10"/>
  <c r="A409" i="10"/>
  <c r="H409" i="10" s="1"/>
  <c r="H408" i="10"/>
  <c r="C408" i="10"/>
  <c r="B408" i="10"/>
  <c r="A408" i="10"/>
  <c r="C407" i="10"/>
  <c r="B407" i="10"/>
  <c r="A407" i="10"/>
  <c r="H407" i="10" s="1"/>
  <c r="C406" i="10"/>
  <c r="B406" i="10"/>
  <c r="A406" i="10"/>
  <c r="H406" i="10" s="1"/>
  <c r="H405" i="10"/>
  <c r="C405" i="10"/>
  <c r="B405" i="10"/>
  <c r="A405" i="10"/>
  <c r="C404" i="10"/>
  <c r="B404" i="10"/>
  <c r="A404" i="10"/>
  <c r="H404" i="10" s="1"/>
  <c r="C403" i="10"/>
  <c r="B403" i="10"/>
  <c r="A403" i="10"/>
  <c r="H403" i="10" s="1"/>
  <c r="C402" i="10"/>
  <c r="B402" i="10"/>
  <c r="A402" i="10"/>
  <c r="H402" i="10" s="1"/>
  <c r="H401" i="10"/>
  <c r="C401" i="10"/>
  <c r="B401" i="10"/>
  <c r="A401" i="10"/>
  <c r="C400" i="10"/>
  <c r="B400" i="10"/>
  <c r="A400" i="10"/>
  <c r="H400" i="10" s="1"/>
  <c r="H399" i="10"/>
  <c r="C399" i="10"/>
  <c r="B399" i="10"/>
  <c r="A399" i="10"/>
  <c r="H398" i="10"/>
  <c r="C398" i="10"/>
  <c r="B398" i="10"/>
  <c r="A398" i="10"/>
  <c r="C397" i="10"/>
  <c r="B397" i="10"/>
  <c r="A397" i="10"/>
  <c r="H397" i="10" s="1"/>
  <c r="C396" i="10"/>
  <c r="B396" i="10"/>
  <c r="A396" i="10"/>
  <c r="H396" i="10" s="1"/>
  <c r="H395" i="10"/>
  <c r="C395" i="10"/>
  <c r="B395" i="10"/>
  <c r="A395" i="10"/>
  <c r="C394" i="10"/>
  <c r="B394" i="10"/>
  <c r="A394" i="10"/>
  <c r="H394" i="10" s="1"/>
  <c r="H393" i="10"/>
  <c r="C393" i="10"/>
  <c r="B393" i="10"/>
  <c r="A393" i="10"/>
  <c r="C392" i="10"/>
  <c r="B392" i="10"/>
  <c r="A392" i="10"/>
  <c r="H392" i="10" s="1"/>
  <c r="C391" i="10"/>
  <c r="B391" i="10"/>
  <c r="A391" i="10"/>
  <c r="H391" i="10" s="1"/>
  <c r="C390" i="10"/>
  <c r="B390" i="10"/>
  <c r="A390" i="10"/>
  <c r="H390" i="10" s="1"/>
  <c r="H389" i="10"/>
  <c r="C389" i="10"/>
  <c r="B389" i="10"/>
  <c r="A389" i="10"/>
  <c r="C388" i="10"/>
  <c r="B388" i="10"/>
  <c r="A388" i="10"/>
  <c r="H388" i="10" s="1"/>
  <c r="C387" i="10"/>
  <c r="B387" i="10"/>
  <c r="A387" i="10"/>
  <c r="H387" i="10" s="1"/>
  <c r="H386" i="10"/>
  <c r="C386" i="10"/>
  <c r="B386" i="10"/>
  <c r="A386" i="10"/>
  <c r="C385" i="10"/>
  <c r="B385" i="10"/>
  <c r="A385" i="10"/>
  <c r="H385" i="10" s="1"/>
  <c r="C384" i="10"/>
  <c r="B384" i="10"/>
  <c r="A384" i="10"/>
  <c r="H384" i="10" s="1"/>
  <c r="C383" i="10"/>
  <c r="B383" i="10"/>
  <c r="A383" i="10"/>
  <c r="H383" i="10" s="1"/>
  <c r="C382" i="10"/>
  <c r="B382" i="10"/>
  <c r="A382" i="10"/>
  <c r="H382" i="10" s="1"/>
  <c r="C381" i="10"/>
  <c r="B381" i="10"/>
  <c r="A381" i="10"/>
  <c r="H381" i="10" s="1"/>
  <c r="C380" i="10"/>
  <c r="B380" i="10"/>
  <c r="A380" i="10"/>
  <c r="H380" i="10" s="1"/>
  <c r="C379" i="10"/>
  <c r="B379" i="10"/>
  <c r="A379" i="10"/>
  <c r="H379" i="10" s="1"/>
  <c r="H378" i="10"/>
  <c r="C378" i="10"/>
  <c r="B378" i="10"/>
  <c r="A378" i="10"/>
  <c r="C377" i="10"/>
  <c r="B377" i="10"/>
  <c r="A377" i="10"/>
  <c r="H377" i="10" s="1"/>
  <c r="C376" i="10"/>
  <c r="B376" i="10"/>
  <c r="A376" i="10"/>
  <c r="H376" i="10" s="1"/>
  <c r="H375" i="10"/>
  <c r="C375" i="10"/>
  <c r="B375" i="10"/>
  <c r="A375" i="10"/>
  <c r="C374" i="10"/>
  <c r="B374" i="10"/>
  <c r="A374" i="10"/>
  <c r="H374" i="10" s="1"/>
  <c r="C373" i="10"/>
  <c r="B373" i="10"/>
  <c r="A373" i="10"/>
  <c r="H373" i="10" s="1"/>
  <c r="H372" i="10"/>
  <c r="C372" i="10"/>
  <c r="B372" i="10"/>
  <c r="A372" i="10"/>
  <c r="C371" i="10"/>
  <c r="B371" i="10"/>
  <c r="A371" i="10"/>
  <c r="H371" i="10" s="1"/>
  <c r="C370" i="10"/>
  <c r="B370" i="10"/>
  <c r="A370" i="10"/>
  <c r="H370" i="10" s="1"/>
  <c r="H369" i="10"/>
  <c r="C369" i="10"/>
  <c r="B369" i="10"/>
  <c r="A369" i="10"/>
  <c r="C368" i="10"/>
  <c r="B368" i="10"/>
  <c r="A368" i="10"/>
  <c r="H368" i="10" s="1"/>
  <c r="C367" i="10"/>
  <c r="B367" i="10"/>
  <c r="A367" i="10"/>
  <c r="H367" i="10" s="1"/>
  <c r="H366" i="10"/>
  <c r="C366" i="10"/>
  <c r="B366" i="10"/>
  <c r="A366" i="10"/>
  <c r="H365" i="10"/>
  <c r="C365" i="10"/>
  <c r="B365" i="10"/>
  <c r="A365" i="10"/>
  <c r="C364" i="10"/>
  <c r="B364" i="10"/>
  <c r="A364" i="10"/>
  <c r="H364" i="10" s="1"/>
  <c r="C363" i="10"/>
  <c r="B363" i="10"/>
  <c r="A363" i="10"/>
  <c r="H363" i="10" s="1"/>
  <c r="H362" i="10"/>
  <c r="C362" i="10"/>
  <c r="B362" i="10"/>
  <c r="A362" i="10"/>
  <c r="C361" i="10"/>
  <c r="B361" i="10"/>
  <c r="A361" i="10"/>
  <c r="H361" i="10" s="1"/>
  <c r="C360" i="10"/>
  <c r="B360" i="10"/>
  <c r="A360" i="10"/>
  <c r="H360" i="10" s="1"/>
  <c r="H359" i="10"/>
  <c r="C359" i="10"/>
  <c r="B359" i="10"/>
  <c r="A359" i="10"/>
  <c r="C358" i="10"/>
  <c r="B358" i="10"/>
  <c r="A358" i="10"/>
  <c r="H358" i="10" s="1"/>
  <c r="H357" i="10"/>
  <c r="C357" i="10"/>
  <c r="B357" i="10"/>
  <c r="A357" i="10"/>
  <c r="H356" i="10"/>
  <c r="C356" i="10"/>
  <c r="B356" i="10"/>
  <c r="A356" i="10"/>
  <c r="C355" i="10"/>
  <c r="B355" i="10"/>
  <c r="A355" i="10"/>
  <c r="H355" i="10" s="1"/>
  <c r="C354" i="10"/>
  <c r="B354" i="10"/>
  <c r="A354" i="10"/>
  <c r="H354" i="10" s="1"/>
  <c r="C353" i="10"/>
  <c r="B353" i="10"/>
  <c r="A353" i="10"/>
  <c r="H353" i="10" s="1"/>
  <c r="C352" i="10"/>
  <c r="B352" i="10"/>
  <c r="A352" i="10"/>
  <c r="H352" i="10" s="1"/>
  <c r="C351" i="10"/>
  <c r="B351" i="10"/>
  <c r="A351" i="10"/>
  <c r="H351" i="10" s="1"/>
  <c r="H350" i="10"/>
  <c r="C350" i="10"/>
  <c r="B350" i="10"/>
  <c r="A350" i="10"/>
  <c r="C349" i="10"/>
  <c r="B349" i="10"/>
  <c r="A349" i="10"/>
  <c r="H349" i="10" s="1"/>
  <c r="C348" i="10"/>
  <c r="B348" i="10"/>
  <c r="A348" i="10"/>
  <c r="H348" i="10" s="1"/>
  <c r="C347" i="10"/>
  <c r="B347" i="10"/>
  <c r="A347" i="10"/>
  <c r="H347" i="10" s="1"/>
  <c r="C346" i="10"/>
  <c r="B346" i="10"/>
  <c r="A346" i="10"/>
  <c r="H346" i="10" s="1"/>
  <c r="C345" i="10"/>
  <c r="B345" i="10"/>
  <c r="A345" i="10"/>
  <c r="H345" i="10" s="1"/>
  <c r="C344" i="10"/>
  <c r="B344" i="10"/>
  <c r="A344" i="10"/>
  <c r="H344" i="10" s="1"/>
  <c r="C343" i="10"/>
  <c r="B343" i="10"/>
  <c r="A343" i="10"/>
  <c r="H343" i="10" s="1"/>
  <c r="H342" i="10"/>
  <c r="C342" i="10"/>
  <c r="B342" i="10"/>
  <c r="A342" i="10"/>
  <c r="C341" i="10"/>
  <c r="B341" i="10"/>
  <c r="A341" i="10"/>
  <c r="H341" i="10" s="1"/>
  <c r="C340" i="10"/>
  <c r="B340" i="10"/>
  <c r="A340" i="10"/>
  <c r="H340" i="10" s="1"/>
  <c r="H339" i="10"/>
  <c r="C339" i="10"/>
  <c r="B339" i="10"/>
  <c r="A339" i="10"/>
  <c r="C338" i="10"/>
  <c r="B338" i="10"/>
  <c r="A338" i="10"/>
  <c r="H338" i="10" s="1"/>
  <c r="C337" i="10"/>
  <c r="B337" i="10"/>
  <c r="A337" i="10"/>
  <c r="H337" i="10" s="1"/>
  <c r="H336" i="10"/>
  <c r="C336" i="10"/>
  <c r="B336" i="10"/>
  <c r="A336" i="10"/>
  <c r="C335" i="10"/>
  <c r="B335" i="10"/>
  <c r="A335" i="10"/>
  <c r="H335" i="10" s="1"/>
  <c r="C334" i="10"/>
  <c r="B334" i="10"/>
  <c r="A334" i="10"/>
  <c r="H334" i="10" s="1"/>
  <c r="C333" i="10"/>
  <c r="B333" i="10"/>
  <c r="A333" i="10"/>
  <c r="H333" i="10" s="1"/>
  <c r="C332" i="10"/>
  <c r="B332" i="10"/>
  <c r="A332" i="10"/>
  <c r="H332" i="10" s="1"/>
  <c r="C331" i="10"/>
  <c r="B331" i="10"/>
  <c r="A331" i="10"/>
  <c r="H331" i="10" s="1"/>
  <c r="H330" i="10"/>
  <c r="C330" i="10"/>
  <c r="B330" i="10"/>
  <c r="A330" i="10"/>
  <c r="H329" i="10"/>
  <c r="C329" i="10"/>
  <c r="B329" i="10"/>
  <c r="A329" i="10"/>
  <c r="C328" i="10"/>
  <c r="B328" i="10"/>
  <c r="A328" i="10"/>
  <c r="H328" i="10" s="1"/>
  <c r="C327" i="10"/>
  <c r="B327" i="10"/>
  <c r="A327" i="10"/>
  <c r="H327" i="10" s="1"/>
  <c r="H326" i="10"/>
  <c r="C326" i="10"/>
  <c r="B326" i="10"/>
  <c r="A326" i="10"/>
  <c r="C325" i="10"/>
  <c r="B325" i="10"/>
  <c r="A325" i="10"/>
  <c r="H325" i="10" s="1"/>
  <c r="C324" i="10"/>
  <c r="B324" i="10"/>
  <c r="A324" i="10"/>
  <c r="H324" i="10" s="1"/>
  <c r="H323" i="10"/>
  <c r="C323" i="10"/>
  <c r="B323" i="10"/>
  <c r="A323" i="10"/>
  <c r="C322" i="10"/>
  <c r="B322" i="10"/>
  <c r="A322" i="10"/>
  <c r="H322" i="10" s="1"/>
  <c r="C321" i="10"/>
  <c r="B321" i="10"/>
  <c r="A321" i="10"/>
  <c r="H321" i="10" s="1"/>
  <c r="H320" i="10"/>
  <c r="C320" i="10"/>
  <c r="B320" i="10"/>
  <c r="A320" i="10"/>
  <c r="C319" i="10"/>
  <c r="B319" i="10"/>
  <c r="A319" i="10"/>
  <c r="H319" i="10" s="1"/>
  <c r="C318" i="10"/>
  <c r="B318" i="10"/>
  <c r="A318" i="10"/>
  <c r="H318" i="10" s="1"/>
  <c r="H317" i="10"/>
  <c r="C317" i="10"/>
  <c r="B317" i="10"/>
  <c r="A317" i="10"/>
  <c r="C316" i="10"/>
  <c r="B316" i="10"/>
  <c r="A316" i="10"/>
  <c r="H316" i="10" s="1"/>
  <c r="C315" i="10"/>
  <c r="B315" i="10"/>
  <c r="A315" i="10"/>
  <c r="H315" i="10" s="1"/>
  <c r="C314" i="10"/>
  <c r="B314" i="10"/>
  <c r="A314" i="10"/>
  <c r="H314" i="10" s="1"/>
  <c r="C313" i="10"/>
  <c r="B313" i="10"/>
  <c r="A313" i="10"/>
  <c r="H313" i="10" s="1"/>
  <c r="C312" i="10"/>
  <c r="B312" i="10"/>
  <c r="A312" i="10"/>
  <c r="H312" i="10" s="1"/>
  <c r="C311" i="10"/>
  <c r="B311" i="10"/>
  <c r="A311" i="10"/>
  <c r="H311" i="10" s="1"/>
  <c r="C310" i="10"/>
  <c r="B310" i="10"/>
  <c r="A310" i="10"/>
  <c r="H310" i="10" s="1"/>
  <c r="C309" i="10"/>
  <c r="B309" i="10"/>
  <c r="A309" i="10"/>
  <c r="H309" i="10" s="1"/>
  <c r="C308" i="10"/>
  <c r="B308" i="10"/>
  <c r="A308" i="10"/>
  <c r="H308" i="10" s="1"/>
  <c r="C307" i="10"/>
  <c r="B307" i="10"/>
  <c r="A307" i="10"/>
  <c r="H307" i="10" s="1"/>
  <c r="H306" i="10"/>
  <c r="C306" i="10"/>
  <c r="B306" i="10"/>
  <c r="A306" i="10"/>
  <c r="C305" i="10"/>
  <c r="B305" i="10"/>
  <c r="A305" i="10"/>
  <c r="H305" i="10" s="1"/>
  <c r="C304" i="10"/>
  <c r="B304" i="10"/>
  <c r="A304" i="10"/>
  <c r="H304" i="10" s="1"/>
  <c r="H303" i="10"/>
  <c r="C303" i="10"/>
  <c r="B303" i="10"/>
  <c r="A303" i="10"/>
  <c r="C302" i="10"/>
  <c r="B302" i="10"/>
  <c r="A302" i="10"/>
  <c r="H302" i="10" s="1"/>
  <c r="C301" i="10"/>
  <c r="B301" i="10"/>
  <c r="A301" i="10"/>
  <c r="H301" i="10" s="1"/>
  <c r="H300" i="10"/>
  <c r="C300" i="10"/>
  <c r="B300" i="10"/>
  <c r="A300" i="10"/>
  <c r="C299" i="10"/>
  <c r="B299" i="10"/>
  <c r="A299" i="10"/>
  <c r="H299" i="10" s="1"/>
  <c r="C298" i="10"/>
  <c r="B298" i="10"/>
  <c r="A298" i="10"/>
  <c r="H298" i="10" s="1"/>
  <c r="H297" i="10"/>
  <c r="C297" i="10"/>
  <c r="B297" i="10"/>
  <c r="A297" i="10"/>
  <c r="C296" i="10"/>
  <c r="B296" i="10"/>
  <c r="A296" i="10"/>
  <c r="H296" i="10" s="1"/>
  <c r="C295" i="10"/>
  <c r="B295" i="10"/>
  <c r="A295" i="10"/>
  <c r="H295" i="10" s="1"/>
  <c r="C294" i="10"/>
  <c r="B294" i="10"/>
  <c r="A294" i="10"/>
  <c r="H294" i="10" s="1"/>
  <c r="H293" i="10"/>
  <c r="C293" i="10"/>
  <c r="B293" i="10"/>
  <c r="A293" i="10"/>
  <c r="C292" i="10"/>
  <c r="B292" i="10"/>
  <c r="A292" i="10"/>
  <c r="H292" i="10" s="1"/>
  <c r="C291" i="10"/>
  <c r="B291" i="10"/>
  <c r="A291" i="10"/>
  <c r="H291" i="10" s="1"/>
  <c r="H290" i="10"/>
  <c r="C290" i="10"/>
  <c r="B290" i="10"/>
  <c r="A290" i="10"/>
  <c r="C289" i="10"/>
  <c r="B289" i="10"/>
  <c r="A289" i="10"/>
  <c r="H289" i="10" s="1"/>
  <c r="C288" i="10"/>
  <c r="B288" i="10"/>
  <c r="A288" i="10"/>
  <c r="H288" i="10" s="1"/>
  <c r="H287" i="10"/>
  <c r="C287" i="10"/>
  <c r="B287" i="10"/>
  <c r="A287" i="10"/>
  <c r="C286" i="10"/>
  <c r="B286" i="10"/>
  <c r="A286" i="10"/>
  <c r="H286" i="10" s="1"/>
  <c r="H285" i="10"/>
  <c r="C285" i="10"/>
  <c r="B285" i="10"/>
  <c r="A285" i="10"/>
  <c r="C284" i="10"/>
  <c r="B284" i="10"/>
  <c r="A284" i="10"/>
  <c r="H284" i="10" s="1"/>
  <c r="C283" i="10"/>
  <c r="B283" i="10"/>
  <c r="A283" i="10"/>
  <c r="H283" i="10" s="1"/>
  <c r="C282" i="10"/>
  <c r="B282" i="10"/>
  <c r="A282" i="10"/>
  <c r="H282" i="10" s="1"/>
  <c r="H281" i="10"/>
  <c r="C281" i="10"/>
  <c r="B281" i="10"/>
  <c r="A281" i="10"/>
  <c r="C280" i="10"/>
  <c r="B280" i="10"/>
  <c r="A280" i="10"/>
  <c r="H280" i="10" s="1"/>
  <c r="C279" i="10"/>
  <c r="B279" i="10"/>
  <c r="A279" i="10"/>
  <c r="H279" i="10" s="1"/>
  <c r="H278" i="10"/>
  <c r="C278" i="10"/>
  <c r="B278" i="10"/>
  <c r="A278" i="10"/>
  <c r="C277" i="10"/>
  <c r="B277" i="10"/>
  <c r="A277" i="10"/>
  <c r="H277" i="10" s="1"/>
  <c r="C276" i="10"/>
  <c r="B276" i="10"/>
  <c r="A276" i="10"/>
  <c r="H276" i="10" s="1"/>
  <c r="C275" i="10"/>
  <c r="B275" i="10"/>
  <c r="A275" i="10"/>
  <c r="H275" i="10" s="1"/>
  <c r="C274" i="10"/>
  <c r="B274" i="10"/>
  <c r="A274" i="10"/>
  <c r="H274" i="10" s="1"/>
  <c r="C273" i="10"/>
  <c r="B273" i="10"/>
  <c r="A273" i="10"/>
  <c r="H273" i="10" s="1"/>
  <c r="H272" i="10"/>
  <c r="C272" i="10"/>
  <c r="B272" i="10"/>
  <c r="A272" i="10"/>
  <c r="C271" i="10"/>
  <c r="B271" i="10"/>
  <c r="A271" i="10"/>
  <c r="H271" i="10" s="1"/>
  <c r="H270" i="10"/>
  <c r="C270" i="10"/>
  <c r="B270" i="10"/>
  <c r="A270" i="10"/>
  <c r="C269" i="10"/>
  <c r="B269" i="10"/>
  <c r="A269" i="10"/>
  <c r="H269" i="10" s="1"/>
  <c r="C268" i="10"/>
  <c r="B268" i="10"/>
  <c r="A268" i="10"/>
  <c r="H268" i="10" s="1"/>
  <c r="H267" i="10"/>
  <c r="C267" i="10"/>
  <c r="B267" i="10"/>
  <c r="A267" i="10"/>
  <c r="C266" i="10"/>
  <c r="B266" i="10"/>
  <c r="A266" i="10"/>
  <c r="H266" i="10" s="1"/>
  <c r="C265" i="10"/>
  <c r="B265" i="10"/>
  <c r="A265" i="10"/>
  <c r="H265" i="10" s="1"/>
  <c r="H264" i="10"/>
  <c r="C264" i="10"/>
  <c r="B264" i="10"/>
  <c r="A264" i="10"/>
  <c r="C263" i="10"/>
  <c r="B263" i="10"/>
  <c r="A263" i="10"/>
  <c r="H263" i="10" s="1"/>
  <c r="C262" i="10"/>
  <c r="B262" i="10"/>
  <c r="A262" i="10"/>
  <c r="H262" i="10" s="1"/>
  <c r="H261" i="10"/>
  <c r="C261" i="10"/>
  <c r="B261" i="10"/>
  <c r="A261" i="10"/>
  <c r="C260" i="10"/>
  <c r="B260" i="10"/>
  <c r="A260" i="10"/>
  <c r="H260" i="10" s="1"/>
  <c r="C259" i="10"/>
  <c r="B259" i="10"/>
  <c r="A259" i="10"/>
  <c r="H259" i="10" s="1"/>
  <c r="H258" i="10"/>
  <c r="C258" i="10"/>
  <c r="B258" i="10"/>
  <c r="A258" i="10"/>
  <c r="H257" i="10"/>
  <c r="C257" i="10"/>
  <c r="B257" i="10"/>
  <c r="A257" i="10"/>
  <c r="C256" i="10"/>
  <c r="B256" i="10"/>
  <c r="A256" i="10"/>
  <c r="H256" i="10" s="1"/>
  <c r="C255" i="10"/>
  <c r="B255" i="10"/>
  <c r="A255" i="10"/>
  <c r="H255" i="10" s="1"/>
  <c r="H254" i="10"/>
  <c r="C254" i="10"/>
  <c r="B254" i="10"/>
  <c r="A254" i="10"/>
  <c r="C253" i="10"/>
  <c r="B253" i="10"/>
  <c r="A253" i="10"/>
  <c r="H253" i="10" s="1"/>
  <c r="C252" i="10"/>
  <c r="B252" i="10"/>
  <c r="A252" i="10"/>
  <c r="H252" i="10" s="1"/>
  <c r="H251" i="10"/>
  <c r="C251" i="10"/>
  <c r="B251" i="10"/>
  <c r="A251" i="10"/>
  <c r="C250" i="10"/>
  <c r="B250" i="10"/>
  <c r="A250" i="10"/>
  <c r="H250" i="10" s="1"/>
  <c r="H249" i="10"/>
  <c r="C249" i="10"/>
  <c r="B249" i="10"/>
  <c r="A249" i="10"/>
  <c r="H248" i="10"/>
  <c r="C248" i="10"/>
  <c r="B248" i="10"/>
  <c r="A248" i="10"/>
  <c r="C247" i="10"/>
  <c r="B247" i="10"/>
  <c r="A247" i="10"/>
  <c r="H247" i="10" s="1"/>
  <c r="C246" i="10"/>
  <c r="B246" i="10"/>
  <c r="A246" i="10"/>
  <c r="H246" i="10" s="1"/>
  <c r="C245" i="10"/>
  <c r="B245" i="10"/>
  <c r="A245" i="10"/>
  <c r="H245" i="10" s="1"/>
  <c r="H244" i="10"/>
  <c r="C244" i="10"/>
  <c r="B244" i="10"/>
  <c r="A244" i="10"/>
  <c r="C243" i="10"/>
  <c r="B243" i="10"/>
  <c r="A243" i="10"/>
  <c r="H243" i="10" s="1"/>
  <c r="C242" i="10"/>
  <c r="B242" i="10"/>
  <c r="A242" i="10"/>
  <c r="H242" i="10" s="1"/>
  <c r="H241" i="10"/>
  <c r="C241" i="10"/>
  <c r="B241" i="10"/>
  <c r="A241" i="10"/>
  <c r="C240" i="10"/>
  <c r="B240" i="10"/>
  <c r="A240" i="10"/>
  <c r="H240" i="10" s="1"/>
  <c r="H239" i="10"/>
  <c r="C239" i="10"/>
  <c r="B239" i="10"/>
  <c r="A239" i="10"/>
  <c r="H238" i="10"/>
  <c r="C238" i="10"/>
  <c r="B238" i="10"/>
  <c r="A238" i="10"/>
  <c r="C237" i="10"/>
  <c r="B237" i="10"/>
  <c r="A237" i="10"/>
  <c r="H237" i="10" s="1"/>
  <c r="C236" i="10"/>
  <c r="B236" i="10"/>
  <c r="A236" i="10"/>
  <c r="H236" i="10" s="1"/>
  <c r="H235" i="10"/>
  <c r="C235" i="10"/>
  <c r="B235" i="10"/>
  <c r="A235" i="10"/>
  <c r="C234" i="10"/>
  <c r="B234" i="10"/>
  <c r="A234" i="10"/>
  <c r="H234" i="10" s="1"/>
  <c r="H233" i="10"/>
  <c r="C233" i="10"/>
  <c r="B233" i="10"/>
  <c r="A233" i="10"/>
  <c r="H232" i="10"/>
  <c r="C232" i="10"/>
  <c r="B232" i="10"/>
  <c r="A232" i="10"/>
  <c r="C231" i="10"/>
  <c r="B231" i="10"/>
  <c r="A231" i="10"/>
  <c r="H231" i="10" s="1"/>
  <c r="C230" i="10"/>
  <c r="B230" i="10"/>
  <c r="A230" i="10"/>
  <c r="H230" i="10" s="1"/>
  <c r="H229" i="10"/>
  <c r="C229" i="10"/>
  <c r="B229" i="10"/>
  <c r="A229" i="10"/>
  <c r="C228" i="10"/>
  <c r="B228" i="10"/>
  <c r="A228" i="10"/>
  <c r="H228" i="10" s="1"/>
  <c r="C227" i="10"/>
  <c r="B227" i="10"/>
  <c r="A227" i="10"/>
  <c r="H227" i="10" s="1"/>
  <c r="H226" i="10"/>
  <c r="C226" i="10"/>
  <c r="B226" i="10"/>
  <c r="A226" i="10"/>
  <c r="C225" i="10"/>
  <c r="B225" i="10"/>
  <c r="A225" i="10"/>
  <c r="H225" i="10" s="1"/>
  <c r="H224" i="10"/>
  <c r="C224" i="10"/>
  <c r="B224" i="10"/>
  <c r="A224" i="10"/>
  <c r="H223" i="10"/>
  <c r="C223" i="10"/>
  <c r="B223" i="10"/>
  <c r="A223" i="10"/>
  <c r="C222" i="10"/>
  <c r="B222" i="10"/>
  <c r="A222" i="10"/>
  <c r="H222" i="10" s="1"/>
  <c r="H221" i="10"/>
  <c r="C221" i="10"/>
  <c r="B221" i="10"/>
  <c r="A221" i="10"/>
  <c r="H220" i="10"/>
  <c r="C220" i="10"/>
  <c r="B220" i="10"/>
  <c r="A220" i="10"/>
  <c r="C219" i="10"/>
  <c r="B219" i="10"/>
  <c r="A219" i="10"/>
  <c r="H219" i="10" s="1"/>
  <c r="H218" i="10"/>
  <c r="C218" i="10"/>
  <c r="B218" i="10"/>
  <c r="A218" i="10"/>
  <c r="H217" i="10"/>
  <c r="C217" i="10"/>
  <c r="B217" i="10"/>
  <c r="A217" i="10"/>
  <c r="C216" i="10"/>
  <c r="B216" i="10"/>
  <c r="A216" i="10"/>
  <c r="H216" i="10" s="1"/>
  <c r="C215" i="10"/>
  <c r="B215" i="10"/>
  <c r="A215" i="10"/>
  <c r="H215" i="10" s="1"/>
  <c r="H214" i="10"/>
  <c r="C214" i="10"/>
  <c r="B214" i="10"/>
  <c r="A214" i="10"/>
  <c r="C213" i="10"/>
  <c r="B213" i="10"/>
  <c r="A213" i="10"/>
  <c r="H213" i="10" s="1"/>
  <c r="C212" i="10"/>
  <c r="B212" i="10"/>
  <c r="A212" i="10"/>
  <c r="H212" i="10" s="1"/>
  <c r="H211" i="10"/>
  <c r="C211" i="10"/>
  <c r="B211" i="10"/>
  <c r="A211" i="10"/>
  <c r="C210" i="10"/>
  <c r="B210" i="10"/>
  <c r="A210" i="10"/>
  <c r="H210" i="10" s="1"/>
  <c r="C209" i="10"/>
  <c r="B209" i="10"/>
  <c r="A209" i="10"/>
  <c r="H209" i="10" s="1"/>
  <c r="H208" i="10"/>
  <c r="C208" i="10"/>
  <c r="B208" i="10"/>
  <c r="A208" i="10"/>
  <c r="C207" i="10"/>
  <c r="B207" i="10"/>
  <c r="A207" i="10"/>
  <c r="H207" i="10" s="1"/>
  <c r="C206" i="10"/>
  <c r="B206" i="10"/>
  <c r="A206" i="10"/>
  <c r="H206" i="10" s="1"/>
  <c r="H205" i="10"/>
  <c r="C205" i="10"/>
  <c r="B205" i="10"/>
  <c r="A205" i="10"/>
  <c r="C204" i="10"/>
  <c r="B204" i="10"/>
  <c r="A204" i="10"/>
  <c r="H204" i="10" s="1"/>
  <c r="H203" i="10"/>
  <c r="C203" i="10"/>
  <c r="B203" i="10"/>
  <c r="A203" i="10"/>
  <c r="H202" i="10"/>
  <c r="C202" i="10"/>
  <c r="B202" i="10"/>
  <c r="A202" i="10"/>
  <c r="C201" i="10"/>
  <c r="B201" i="10"/>
  <c r="A201" i="10"/>
  <c r="H201" i="10" s="1"/>
  <c r="C200" i="10"/>
  <c r="B200" i="10"/>
  <c r="A200" i="10"/>
  <c r="H200" i="10" s="1"/>
  <c r="H199" i="10"/>
  <c r="C199" i="10"/>
  <c r="B199" i="10"/>
  <c r="A199" i="10"/>
  <c r="C198" i="10"/>
  <c r="B198" i="10"/>
  <c r="A198" i="10"/>
  <c r="H198" i="10" s="1"/>
  <c r="H197" i="10"/>
  <c r="C197" i="10"/>
  <c r="B197" i="10"/>
  <c r="A197" i="10"/>
  <c r="H196" i="10"/>
  <c r="C196" i="10"/>
  <c r="B196" i="10"/>
  <c r="A196" i="10"/>
  <c r="C195" i="10"/>
  <c r="B195" i="10"/>
  <c r="A195" i="10"/>
  <c r="H195" i="10" s="1"/>
  <c r="C194" i="10"/>
  <c r="B194" i="10"/>
  <c r="A194" i="10"/>
  <c r="H194" i="10" s="1"/>
  <c r="H193" i="10"/>
  <c r="C193" i="10"/>
  <c r="B193" i="10"/>
  <c r="A193" i="10"/>
  <c r="C192" i="10"/>
  <c r="B192" i="10"/>
  <c r="A192" i="10"/>
  <c r="H192" i="10" s="1"/>
  <c r="C191" i="10"/>
  <c r="B191" i="10"/>
  <c r="A191" i="10"/>
  <c r="H191" i="10" s="1"/>
  <c r="H190" i="10"/>
  <c r="C190" i="10"/>
  <c r="B190" i="10"/>
  <c r="A190" i="10"/>
  <c r="C189" i="10"/>
  <c r="B189" i="10"/>
  <c r="A189" i="10"/>
  <c r="H189" i="10" s="1"/>
  <c r="H188" i="10"/>
  <c r="C188" i="10"/>
  <c r="B188" i="10"/>
  <c r="A188" i="10"/>
  <c r="H187" i="10"/>
  <c r="C187" i="10"/>
  <c r="B187" i="10"/>
  <c r="A187" i="10"/>
  <c r="C186" i="10"/>
  <c r="B186" i="10"/>
  <c r="A186" i="10"/>
  <c r="H186" i="10" s="1"/>
  <c r="H185" i="10"/>
  <c r="C185" i="10"/>
  <c r="B185" i="10"/>
  <c r="A185" i="10"/>
  <c r="H184" i="10"/>
  <c r="C184" i="10"/>
  <c r="B184" i="10"/>
  <c r="A184" i="10"/>
  <c r="C183" i="10"/>
  <c r="B183" i="10"/>
  <c r="A183" i="10"/>
  <c r="H183" i="10" s="1"/>
  <c r="H182" i="10"/>
  <c r="C182" i="10"/>
  <c r="B182" i="10"/>
  <c r="A182" i="10"/>
  <c r="H181" i="10"/>
  <c r="C181" i="10"/>
  <c r="B181" i="10"/>
  <c r="A181" i="10"/>
  <c r="C180" i="10"/>
  <c r="B180" i="10"/>
  <c r="A180" i="10"/>
  <c r="H180" i="10" s="1"/>
  <c r="H179" i="10"/>
  <c r="C179" i="10"/>
  <c r="B179" i="10"/>
  <c r="A179" i="10"/>
  <c r="H178" i="10"/>
  <c r="C178" i="10"/>
  <c r="B178" i="10"/>
  <c r="A178" i="10"/>
  <c r="C177" i="10"/>
  <c r="B177" i="10"/>
  <c r="A177" i="10"/>
  <c r="H177" i="10" s="1"/>
  <c r="C176" i="10"/>
  <c r="B176" i="10"/>
  <c r="A176" i="10"/>
  <c r="H176" i="10" s="1"/>
  <c r="H175" i="10"/>
  <c r="C175" i="10"/>
  <c r="B175" i="10"/>
  <c r="A175" i="10"/>
  <c r="C174" i="10"/>
  <c r="B174" i="10"/>
  <c r="A174" i="10"/>
  <c r="H174" i="10" s="1"/>
  <c r="C173" i="10"/>
  <c r="B173" i="10"/>
  <c r="A173" i="10"/>
  <c r="H173" i="10" s="1"/>
  <c r="H172" i="10"/>
  <c r="C172" i="10"/>
  <c r="B172" i="10"/>
  <c r="A172" i="10"/>
  <c r="C171" i="10"/>
  <c r="B171" i="10"/>
  <c r="A171" i="10"/>
  <c r="H171" i="10" s="1"/>
  <c r="C170" i="10"/>
  <c r="B170" i="10"/>
  <c r="A170" i="10"/>
  <c r="H170" i="10" s="1"/>
  <c r="C169" i="10"/>
  <c r="B169" i="10"/>
  <c r="A169" i="10"/>
  <c r="H169" i="10" s="1"/>
  <c r="C168" i="10"/>
  <c r="B168" i="10"/>
  <c r="A168" i="10"/>
  <c r="H168" i="10" s="1"/>
  <c r="H167" i="10"/>
  <c r="C167" i="10"/>
  <c r="B167" i="10"/>
  <c r="A167" i="10"/>
  <c r="H166" i="10"/>
  <c r="C166" i="10"/>
  <c r="B166" i="10"/>
  <c r="A166" i="10"/>
  <c r="C165" i="10"/>
  <c r="B165" i="10"/>
  <c r="A165" i="10"/>
  <c r="H165" i="10" s="1"/>
  <c r="C164" i="10"/>
  <c r="B164" i="10"/>
  <c r="A164" i="10"/>
  <c r="H164" i="10" s="1"/>
  <c r="H163" i="10"/>
  <c r="C163" i="10"/>
  <c r="B163" i="10"/>
  <c r="A163" i="10"/>
  <c r="C162" i="10"/>
  <c r="B162" i="10"/>
  <c r="A162" i="10"/>
  <c r="H162" i="10" s="1"/>
  <c r="H161" i="10"/>
  <c r="C161" i="10"/>
  <c r="B161" i="10"/>
  <c r="A161" i="10"/>
  <c r="H160" i="10"/>
  <c r="C160" i="10"/>
  <c r="B160" i="10"/>
  <c r="A160" i="10"/>
  <c r="C159" i="10"/>
  <c r="B159" i="10"/>
  <c r="A159" i="10"/>
  <c r="H159" i="10" s="1"/>
  <c r="C158" i="10"/>
  <c r="B158" i="10"/>
  <c r="A158" i="10"/>
  <c r="H158" i="10" s="1"/>
  <c r="H157" i="10"/>
  <c r="C157" i="10"/>
  <c r="B157" i="10"/>
  <c r="A157" i="10"/>
  <c r="C156" i="10"/>
  <c r="B156" i="10"/>
  <c r="A156" i="10"/>
  <c r="H156" i="10" s="1"/>
  <c r="C155" i="10"/>
  <c r="B155" i="10"/>
  <c r="A155" i="10"/>
  <c r="H155" i="10" s="1"/>
  <c r="H155" i="2" s="1"/>
  <c r="H154" i="10"/>
  <c r="C154" i="10"/>
  <c r="B154" i="10"/>
  <c r="A154" i="10"/>
  <c r="C153" i="10"/>
  <c r="B153" i="10"/>
  <c r="A153" i="10"/>
  <c r="H153" i="10" s="1"/>
  <c r="H152" i="10"/>
  <c r="C152" i="10"/>
  <c r="B152" i="10"/>
  <c r="A152" i="10"/>
  <c r="H151" i="10"/>
  <c r="C151" i="10"/>
  <c r="B151" i="10"/>
  <c r="A151" i="10"/>
  <c r="C150" i="10"/>
  <c r="B150" i="10"/>
  <c r="A150" i="10"/>
  <c r="H150" i="10" s="1"/>
  <c r="H149" i="10"/>
  <c r="C149" i="10"/>
  <c r="B149" i="10"/>
  <c r="A149" i="10"/>
  <c r="H148" i="10"/>
  <c r="C148" i="10"/>
  <c r="B148" i="10"/>
  <c r="A148" i="10"/>
  <c r="C147" i="10"/>
  <c r="B147" i="10"/>
  <c r="A147" i="10"/>
  <c r="H147" i="10" s="1"/>
  <c r="H146" i="10"/>
  <c r="C146" i="10"/>
  <c r="B146" i="10"/>
  <c r="A146" i="10"/>
  <c r="H145" i="10"/>
  <c r="C145" i="10"/>
  <c r="B145" i="10"/>
  <c r="A145" i="10"/>
  <c r="C144" i="10"/>
  <c r="B144" i="10"/>
  <c r="A144" i="10"/>
  <c r="H144" i="10" s="1"/>
  <c r="C143" i="10"/>
  <c r="B143" i="10"/>
  <c r="A143" i="10"/>
  <c r="H143" i="10" s="1"/>
  <c r="H142" i="10"/>
  <c r="C142" i="10"/>
  <c r="B142" i="10"/>
  <c r="A142" i="10"/>
  <c r="C141" i="10"/>
  <c r="B141" i="10"/>
  <c r="A141" i="10"/>
  <c r="H141" i="10" s="1"/>
  <c r="C140" i="10"/>
  <c r="B140" i="10"/>
  <c r="A140" i="10"/>
  <c r="H140" i="10" s="1"/>
  <c r="H139" i="10"/>
  <c r="C139" i="10"/>
  <c r="B139" i="10"/>
  <c r="A139" i="10"/>
  <c r="C138" i="10"/>
  <c r="B138" i="10"/>
  <c r="A138" i="10"/>
  <c r="H138" i="10" s="1"/>
  <c r="C137" i="10"/>
  <c r="B137" i="10"/>
  <c r="A137" i="10"/>
  <c r="H137" i="10" s="1"/>
  <c r="H136" i="10"/>
  <c r="C136" i="10"/>
  <c r="B136" i="10"/>
  <c r="A136" i="10"/>
  <c r="C135" i="10"/>
  <c r="B135" i="10"/>
  <c r="A135" i="10"/>
  <c r="H135" i="10" s="1"/>
  <c r="C134" i="10"/>
  <c r="B134" i="10"/>
  <c r="A134" i="10"/>
  <c r="H134" i="10" s="1"/>
  <c r="H133" i="10"/>
  <c r="C133" i="10"/>
  <c r="B133" i="10"/>
  <c r="A133" i="10"/>
  <c r="C132" i="10"/>
  <c r="B132" i="10"/>
  <c r="A132" i="10"/>
  <c r="H132" i="10" s="1"/>
  <c r="H131" i="10"/>
  <c r="C131" i="10"/>
  <c r="B131" i="10"/>
  <c r="A131" i="10"/>
  <c r="H130" i="10"/>
  <c r="C130" i="10"/>
  <c r="B130" i="10"/>
  <c r="A130" i="10"/>
  <c r="C129" i="10"/>
  <c r="B129" i="10"/>
  <c r="A129" i="10"/>
  <c r="H129" i="10" s="1"/>
  <c r="C128" i="10"/>
  <c r="B128" i="10"/>
  <c r="A128" i="10"/>
  <c r="H128" i="10" s="1"/>
  <c r="H127" i="10"/>
  <c r="C127" i="10"/>
  <c r="B127" i="10"/>
  <c r="A127" i="10"/>
  <c r="C126" i="10"/>
  <c r="B126" i="10"/>
  <c r="A126" i="10"/>
  <c r="H126" i="10" s="1"/>
  <c r="H125" i="10"/>
  <c r="C125" i="10"/>
  <c r="B125" i="10"/>
  <c r="A125" i="10"/>
  <c r="H124" i="10"/>
  <c r="C124" i="10"/>
  <c r="B124" i="10"/>
  <c r="A124" i="10"/>
  <c r="C123" i="10"/>
  <c r="B123" i="10"/>
  <c r="A123" i="10"/>
  <c r="H123" i="10" s="1"/>
  <c r="C122" i="10"/>
  <c r="B122" i="10"/>
  <c r="A122" i="10"/>
  <c r="H122" i="10" s="1"/>
  <c r="H121" i="10"/>
  <c r="C121" i="10"/>
  <c r="B121" i="10"/>
  <c r="A121" i="10"/>
  <c r="C120" i="10"/>
  <c r="B120" i="10"/>
  <c r="A120" i="10"/>
  <c r="H120" i="10" s="1"/>
  <c r="C119" i="10"/>
  <c r="B119" i="10"/>
  <c r="A119" i="10"/>
  <c r="H119" i="10" s="1"/>
  <c r="H118" i="10"/>
  <c r="C118" i="10"/>
  <c r="B118" i="10"/>
  <c r="A118" i="10"/>
  <c r="C117" i="10"/>
  <c r="B117" i="10"/>
  <c r="A117" i="10"/>
  <c r="H117" i="10" s="1"/>
  <c r="H116" i="10"/>
  <c r="C116" i="10"/>
  <c r="B116" i="10"/>
  <c r="A116" i="10"/>
  <c r="H115" i="10"/>
  <c r="C115" i="10"/>
  <c r="B115" i="10"/>
  <c r="A115" i="10"/>
  <c r="C114" i="10"/>
  <c r="B114" i="10"/>
  <c r="A114" i="10"/>
  <c r="H114" i="10" s="1"/>
  <c r="H113" i="10"/>
  <c r="C113" i="10"/>
  <c r="B113" i="10"/>
  <c r="A113" i="10"/>
  <c r="H112" i="10"/>
  <c r="C112" i="10"/>
  <c r="B112" i="10"/>
  <c r="A112" i="10"/>
  <c r="C111" i="10"/>
  <c r="B111" i="10"/>
  <c r="A111" i="10"/>
  <c r="H111" i="10" s="1"/>
  <c r="H110" i="10"/>
  <c r="C110" i="10"/>
  <c r="B110" i="10"/>
  <c r="A110" i="10"/>
  <c r="H109" i="10"/>
  <c r="C109" i="10"/>
  <c r="B109" i="10"/>
  <c r="A109" i="10"/>
  <c r="C108" i="10"/>
  <c r="B108" i="10"/>
  <c r="A108" i="10"/>
  <c r="H108" i="10" s="1"/>
  <c r="H107" i="10"/>
  <c r="C107" i="10"/>
  <c r="B107" i="10"/>
  <c r="A107" i="10"/>
  <c r="H106" i="10"/>
  <c r="C106" i="10"/>
  <c r="B106" i="10"/>
  <c r="A106" i="10"/>
  <c r="C105" i="10"/>
  <c r="B105" i="10"/>
  <c r="A105" i="10"/>
  <c r="H105" i="10" s="1"/>
  <c r="H104" i="10"/>
  <c r="C104" i="10"/>
  <c r="B104" i="10"/>
  <c r="A104" i="10"/>
  <c r="H103" i="10"/>
  <c r="C103" i="10"/>
  <c r="B103" i="10"/>
  <c r="A103" i="10"/>
  <c r="C102" i="10"/>
  <c r="B102" i="10"/>
  <c r="A102" i="10"/>
  <c r="H102" i="10" s="1"/>
  <c r="H101" i="10"/>
  <c r="C101" i="10"/>
  <c r="B101" i="10"/>
  <c r="A101" i="10"/>
  <c r="H100" i="10"/>
  <c r="C100" i="10"/>
  <c r="B100" i="10"/>
  <c r="A100" i="10"/>
  <c r="C99" i="10"/>
  <c r="B99" i="10"/>
  <c r="A99" i="10"/>
  <c r="H99" i="10" s="1"/>
  <c r="H98" i="10"/>
  <c r="C98" i="10"/>
  <c r="B98" i="10"/>
  <c r="A98" i="10"/>
  <c r="H97" i="10"/>
  <c r="C97" i="10"/>
  <c r="B97" i="10"/>
  <c r="A97" i="10"/>
  <c r="C96" i="10"/>
  <c r="B96" i="10"/>
  <c r="A96" i="10"/>
  <c r="H96" i="10" s="1"/>
  <c r="H95" i="10"/>
  <c r="C95" i="10"/>
  <c r="B95" i="10"/>
  <c r="A95" i="10"/>
  <c r="H94" i="10"/>
  <c r="C94" i="10"/>
  <c r="B94" i="10"/>
  <c r="A94" i="10"/>
  <c r="C93" i="10"/>
  <c r="B93" i="10"/>
  <c r="A93" i="10"/>
  <c r="H93" i="10" s="1"/>
  <c r="H92" i="10"/>
  <c r="C92" i="10"/>
  <c r="B92" i="10"/>
  <c r="A92" i="10"/>
  <c r="H91" i="10"/>
  <c r="C91" i="10"/>
  <c r="B91" i="10"/>
  <c r="A91" i="10"/>
  <c r="C90" i="10"/>
  <c r="B90" i="10"/>
  <c r="A90" i="10"/>
  <c r="H90" i="10" s="1"/>
  <c r="H89" i="10"/>
  <c r="C89" i="10"/>
  <c r="B89" i="10"/>
  <c r="A89" i="10"/>
  <c r="H88" i="10"/>
  <c r="C88" i="10"/>
  <c r="B88" i="10"/>
  <c r="A88" i="10"/>
  <c r="C87" i="10"/>
  <c r="B87" i="10"/>
  <c r="A87" i="10"/>
  <c r="H87" i="10" s="1"/>
  <c r="H86" i="10"/>
  <c r="C86" i="10"/>
  <c r="B86" i="10"/>
  <c r="A86" i="10"/>
  <c r="H85" i="10"/>
  <c r="C85" i="10"/>
  <c r="B85" i="10"/>
  <c r="A85" i="10"/>
  <c r="C84" i="10"/>
  <c r="B84" i="10"/>
  <c r="A84" i="10"/>
  <c r="H84" i="10" s="1"/>
  <c r="H83" i="10"/>
  <c r="C83" i="10"/>
  <c r="B83" i="10"/>
  <c r="A83" i="10"/>
  <c r="H82" i="10"/>
  <c r="C82" i="10"/>
  <c r="B82" i="10"/>
  <c r="A82" i="10"/>
  <c r="C81" i="10"/>
  <c r="B81" i="10"/>
  <c r="A81" i="10"/>
  <c r="H81" i="10" s="1"/>
  <c r="H80" i="10"/>
  <c r="C80" i="10"/>
  <c r="B80" i="10"/>
  <c r="A80" i="10"/>
  <c r="H79" i="10"/>
  <c r="C79" i="10"/>
  <c r="B79" i="10"/>
  <c r="A79" i="10"/>
  <c r="C78" i="10"/>
  <c r="B78" i="10"/>
  <c r="A78" i="10"/>
  <c r="H78" i="10" s="1"/>
  <c r="H77" i="10"/>
  <c r="C77" i="10"/>
  <c r="B77" i="10"/>
  <c r="A77" i="10"/>
  <c r="H76" i="10"/>
  <c r="C76" i="10"/>
  <c r="B76" i="10"/>
  <c r="A76" i="10"/>
  <c r="C75" i="10"/>
  <c r="B75" i="10"/>
  <c r="A75" i="10"/>
  <c r="H75" i="10" s="1"/>
  <c r="H74" i="10"/>
  <c r="C74" i="10"/>
  <c r="B74" i="10"/>
  <c r="A74" i="10"/>
  <c r="H73" i="10"/>
  <c r="C73" i="10"/>
  <c r="B73" i="10"/>
  <c r="A73" i="10"/>
  <c r="C72" i="10"/>
  <c r="B72" i="10"/>
  <c r="A72" i="10"/>
  <c r="H72" i="10" s="1"/>
  <c r="H71" i="10"/>
  <c r="C71" i="10"/>
  <c r="B71" i="10"/>
  <c r="A71" i="10"/>
  <c r="H70" i="10"/>
  <c r="C70" i="10"/>
  <c r="B70" i="10"/>
  <c r="A70" i="10"/>
  <c r="C69" i="10"/>
  <c r="B69" i="10"/>
  <c r="A69" i="10"/>
  <c r="H69" i="10" s="1"/>
  <c r="H68" i="10"/>
  <c r="C68" i="10"/>
  <c r="B68" i="10"/>
  <c r="A68" i="10"/>
  <c r="H67" i="10"/>
  <c r="C67" i="10"/>
  <c r="B67" i="10"/>
  <c r="A67" i="10"/>
  <c r="C66" i="10"/>
  <c r="B66" i="10"/>
  <c r="A66" i="10"/>
  <c r="H66" i="10" s="1"/>
  <c r="H65" i="10"/>
  <c r="C65" i="10"/>
  <c r="B65" i="10"/>
  <c r="A65" i="10"/>
  <c r="H64" i="10"/>
  <c r="C64" i="10"/>
  <c r="B64" i="10"/>
  <c r="A64" i="10"/>
  <c r="C63" i="10"/>
  <c r="B63" i="10"/>
  <c r="A63" i="10"/>
  <c r="H63" i="10" s="1"/>
  <c r="H62" i="10"/>
  <c r="C62" i="10"/>
  <c r="B62" i="10"/>
  <c r="A62" i="10"/>
  <c r="H61" i="10"/>
  <c r="C61" i="10"/>
  <c r="B61" i="10"/>
  <c r="A61" i="10"/>
  <c r="C60" i="10"/>
  <c r="B60" i="10"/>
  <c r="A60" i="10"/>
  <c r="H60" i="10" s="1"/>
  <c r="H59" i="10"/>
  <c r="C59" i="10"/>
  <c r="B59" i="10"/>
  <c r="A59" i="10"/>
  <c r="H58" i="10"/>
  <c r="C58" i="10"/>
  <c r="B58" i="10"/>
  <c r="A58" i="10"/>
  <c r="C57" i="10"/>
  <c r="B57" i="10"/>
  <c r="A57" i="10"/>
  <c r="H57" i="10" s="1"/>
  <c r="H56" i="10"/>
  <c r="C56" i="10"/>
  <c r="B56" i="10"/>
  <c r="A56" i="10"/>
  <c r="H55" i="10"/>
  <c r="C55" i="10"/>
  <c r="B55" i="10"/>
  <c r="A55" i="10"/>
  <c r="C54" i="10"/>
  <c r="B54" i="10"/>
  <c r="A54" i="10"/>
  <c r="H54" i="10" s="1"/>
  <c r="H53" i="10"/>
  <c r="C53" i="10"/>
  <c r="B53" i="10"/>
  <c r="A53" i="10"/>
  <c r="H52" i="10"/>
  <c r="C52" i="10"/>
  <c r="B52" i="10"/>
  <c r="A52" i="10"/>
  <c r="C51" i="10"/>
  <c r="B51" i="10"/>
  <c r="A51" i="10"/>
  <c r="H51" i="10" s="1"/>
  <c r="H50" i="10"/>
  <c r="C50" i="10"/>
  <c r="B50" i="10"/>
  <c r="A50" i="10"/>
  <c r="H49" i="10"/>
  <c r="C49" i="10"/>
  <c r="B49" i="10"/>
  <c r="A49" i="10"/>
  <c r="C48" i="10"/>
  <c r="B48" i="10"/>
  <c r="A48" i="10"/>
  <c r="H48" i="10" s="1"/>
  <c r="H47" i="10"/>
  <c r="C47" i="10"/>
  <c r="B47" i="10"/>
  <c r="A47" i="10"/>
  <c r="H46" i="10"/>
  <c r="C46" i="10"/>
  <c r="B46" i="10"/>
  <c r="A46" i="10"/>
  <c r="C45" i="10"/>
  <c r="B45" i="10"/>
  <c r="A45" i="10"/>
  <c r="H45" i="10" s="1"/>
  <c r="H44" i="10"/>
  <c r="C44" i="10"/>
  <c r="B44" i="10"/>
  <c r="A44" i="10"/>
  <c r="H43" i="10"/>
  <c r="C43" i="10"/>
  <c r="B43" i="10"/>
  <c r="A43" i="10"/>
  <c r="C42" i="10"/>
  <c r="B42" i="10"/>
  <c r="A42" i="10"/>
  <c r="H42" i="10" s="1"/>
  <c r="H41" i="10"/>
  <c r="C41" i="10"/>
  <c r="B41" i="10"/>
  <c r="A41" i="10"/>
  <c r="H40" i="10"/>
  <c r="C40" i="10"/>
  <c r="B40" i="10"/>
  <c r="A40" i="10"/>
  <c r="C39" i="10"/>
  <c r="B39" i="10"/>
  <c r="A39" i="10"/>
  <c r="H39" i="10" s="1"/>
  <c r="H38" i="10"/>
  <c r="C38" i="10"/>
  <c r="B38" i="10"/>
  <c r="A38" i="10"/>
  <c r="H37" i="10"/>
  <c r="C37" i="10"/>
  <c r="B37" i="10"/>
  <c r="A37" i="10"/>
  <c r="C36" i="10"/>
  <c r="B36" i="10"/>
  <c r="A36" i="10"/>
  <c r="H36" i="10" s="1"/>
  <c r="H35" i="10"/>
  <c r="C35" i="10"/>
  <c r="B35" i="10"/>
  <c r="A35" i="10"/>
  <c r="H34" i="10"/>
  <c r="C34" i="10"/>
  <c r="B34" i="10"/>
  <c r="A34" i="10"/>
  <c r="C33" i="10"/>
  <c r="B33" i="10"/>
  <c r="A33" i="10"/>
  <c r="H33" i="10" s="1"/>
  <c r="H32" i="10"/>
  <c r="C32" i="10"/>
  <c r="B32" i="10"/>
  <c r="A32" i="10"/>
  <c r="H31" i="10"/>
  <c r="C31" i="10"/>
  <c r="B31" i="10"/>
  <c r="A31" i="10"/>
  <c r="C30" i="10"/>
  <c r="B30" i="10"/>
  <c r="A30" i="10"/>
  <c r="H30" i="10" s="1"/>
  <c r="H29" i="10"/>
  <c r="C29" i="10"/>
  <c r="B29" i="10"/>
  <c r="A29" i="10"/>
  <c r="H28" i="10"/>
  <c r="C28" i="10"/>
  <c r="B28" i="10"/>
  <c r="A28" i="10"/>
  <c r="C27" i="10"/>
  <c r="B27" i="10"/>
  <c r="A27" i="10"/>
  <c r="H27" i="10" s="1"/>
  <c r="H26" i="10"/>
  <c r="C26" i="10"/>
  <c r="B26" i="10"/>
  <c r="A26" i="10"/>
  <c r="H25" i="10"/>
  <c r="C25" i="10"/>
  <c r="B25" i="10"/>
  <c r="A25" i="10"/>
  <c r="C24" i="10"/>
  <c r="B24" i="10"/>
  <c r="A24" i="10"/>
  <c r="H24" i="10" s="1"/>
  <c r="H23" i="10"/>
  <c r="C23" i="10"/>
  <c r="B23" i="10"/>
  <c r="A23" i="10"/>
  <c r="H22" i="10"/>
  <c r="C22" i="10"/>
  <c r="B22" i="10"/>
  <c r="A22" i="10"/>
  <c r="C21" i="10"/>
  <c r="B21" i="10"/>
  <c r="A21" i="10"/>
  <c r="H21" i="10" s="1"/>
  <c r="H20" i="10"/>
  <c r="C20" i="10"/>
  <c r="B20" i="10"/>
  <c r="A20" i="10"/>
  <c r="H19" i="10"/>
  <c r="C19" i="10"/>
  <c r="B19" i="10"/>
  <c r="A19" i="10"/>
  <c r="C18" i="10"/>
  <c r="B18" i="10"/>
  <c r="A18" i="10"/>
  <c r="H18" i="10" s="1"/>
  <c r="H17" i="10"/>
  <c r="C17" i="10"/>
  <c r="B17" i="10"/>
  <c r="A17" i="10"/>
  <c r="H16" i="10"/>
  <c r="C16" i="10"/>
  <c r="B16" i="10"/>
  <c r="A16" i="10"/>
  <c r="C15" i="10"/>
  <c r="B15" i="10"/>
  <c r="A15" i="10"/>
  <c r="H15" i="10" s="1"/>
  <c r="H14" i="10"/>
  <c r="C14" i="10"/>
  <c r="B14" i="10"/>
  <c r="A14" i="10"/>
  <c r="H13" i="10"/>
  <c r="C13" i="10"/>
  <c r="B13" i="10"/>
  <c r="A13" i="10"/>
  <c r="C12" i="10"/>
  <c r="B12" i="10"/>
  <c r="A12" i="10"/>
  <c r="H12" i="10" s="1"/>
  <c r="H11" i="10"/>
  <c r="C11" i="10"/>
  <c r="B11" i="10"/>
  <c r="A11" i="10"/>
  <c r="H10" i="10"/>
  <c r="C10" i="10"/>
  <c r="B10" i="10"/>
  <c r="A10" i="10"/>
  <c r="C9" i="10"/>
  <c r="B9" i="10"/>
  <c r="A9" i="10"/>
  <c r="H9" i="10" s="1"/>
  <c r="H8" i="10"/>
  <c r="C8" i="10"/>
  <c r="B8" i="10"/>
  <c r="A8" i="10"/>
  <c r="H7" i="10"/>
  <c r="C7" i="10"/>
  <c r="B7" i="10"/>
  <c r="A7" i="10"/>
  <c r="C6" i="10"/>
  <c r="B6" i="10"/>
  <c r="A6" i="10"/>
  <c r="H6" i="10" s="1"/>
  <c r="H5" i="10"/>
  <c r="C5" i="10"/>
  <c r="B5" i="10"/>
  <c r="A5" i="10"/>
  <c r="H4" i="10"/>
  <c r="C4" i="10"/>
  <c r="B4" i="10"/>
  <c r="A4" i="10"/>
  <c r="C3" i="10"/>
  <c r="B3" i="10"/>
  <c r="A3" i="10"/>
  <c r="H3" i="10" s="1"/>
  <c r="H2" i="10"/>
  <c r="C2" i="10"/>
  <c r="B2" i="10"/>
  <c r="A2" i="10"/>
  <c r="H499" i="9"/>
  <c r="C499" i="9"/>
  <c r="B499" i="9"/>
  <c r="A499" i="9"/>
  <c r="C498" i="9"/>
  <c r="B498" i="9"/>
  <c r="A498" i="9"/>
  <c r="H498" i="9" s="1"/>
  <c r="H497" i="9"/>
  <c r="C497" i="9"/>
  <c r="B497" i="9"/>
  <c r="A497" i="9"/>
  <c r="H496" i="9"/>
  <c r="C496" i="9"/>
  <c r="B496" i="9"/>
  <c r="A496" i="9"/>
  <c r="C495" i="9"/>
  <c r="B495" i="9"/>
  <c r="A495" i="9"/>
  <c r="H495" i="9" s="1"/>
  <c r="H494" i="9"/>
  <c r="C494" i="9"/>
  <c r="B494" i="9"/>
  <c r="A494" i="9"/>
  <c r="H493" i="9"/>
  <c r="C493" i="9"/>
  <c r="B493" i="9"/>
  <c r="A493" i="9"/>
  <c r="C492" i="9"/>
  <c r="B492" i="9"/>
  <c r="A492" i="9"/>
  <c r="H492" i="9" s="1"/>
  <c r="H491" i="9"/>
  <c r="C491" i="9"/>
  <c r="B491" i="9"/>
  <c r="A491" i="9"/>
  <c r="H490" i="9"/>
  <c r="C490" i="9"/>
  <c r="B490" i="9"/>
  <c r="A490" i="9"/>
  <c r="C489" i="9"/>
  <c r="B489" i="9"/>
  <c r="A489" i="9"/>
  <c r="H489" i="9" s="1"/>
  <c r="H488" i="9"/>
  <c r="C488" i="9"/>
  <c r="B488" i="9"/>
  <c r="A488" i="9"/>
  <c r="H487" i="9"/>
  <c r="C487" i="9"/>
  <c r="B487" i="9"/>
  <c r="A487" i="9"/>
  <c r="C486" i="9"/>
  <c r="B486" i="9"/>
  <c r="A486" i="9"/>
  <c r="H486" i="9" s="1"/>
  <c r="H485" i="9"/>
  <c r="C485" i="9"/>
  <c r="B485" i="9"/>
  <c r="A485" i="9"/>
  <c r="H484" i="9"/>
  <c r="C484" i="9"/>
  <c r="B484" i="9"/>
  <c r="A484" i="9"/>
  <c r="C483" i="9"/>
  <c r="B483" i="9"/>
  <c r="A483" i="9"/>
  <c r="H483" i="9" s="1"/>
  <c r="H482" i="9"/>
  <c r="C482" i="9"/>
  <c r="B482" i="9"/>
  <c r="A482" i="9"/>
  <c r="H481" i="9"/>
  <c r="C481" i="9"/>
  <c r="B481" i="9"/>
  <c r="A481" i="9"/>
  <c r="C480" i="9"/>
  <c r="B480" i="9"/>
  <c r="A480" i="9"/>
  <c r="H480" i="9" s="1"/>
  <c r="H479" i="9"/>
  <c r="C479" i="9"/>
  <c r="B479" i="9"/>
  <c r="A479" i="9"/>
  <c r="H478" i="9"/>
  <c r="C478" i="9"/>
  <c r="B478" i="9"/>
  <c r="A478" i="9"/>
  <c r="C477" i="9"/>
  <c r="B477" i="9"/>
  <c r="A477" i="9"/>
  <c r="H477" i="9" s="1"/>
  <c r="H476" i="9"/>
  <c r="C476" i="9"/>
  <c r="B476" i="9"/>
  <c r="A476" i="9"/>
  <c r="H475" i="9"/>
  <c r="C475" i="9"/>
  <c r="B475" i="9"/>
  <c r="A475" i="9"/>
  <c r="C474" i="9"/>
  <c r="B474" i="9"/>
  <c r="A474" i="9"/>
  <c r="H474" i="9" s="1"/>
  <c r="H473" i="9"/>
  <c r="C473" i="9"/>
  <c r="B473" i="9"/>
  <c r="A473" i="9"/>
  <c r="H472" i="9"/>
  <c r="C472" i="9"/>
  <c r="B472" i="9"/>
  <c r="A472" i="9"/>
  <c r="C471" i="9"/>
  <c r="B471" i="9"/>
  <c r="A471" i="9"/>
  <c r="H471" i="9" s="1"/>
  <c r="H470" i="9"/>
  <c r="C470" i="9"/>
  <c r="B470" i="9"/>
  <c r="A470" i="9"/>
  <c r="H469" i="9"/>
  <c r="C469" i="9"/>
  <c r="B469" i="9"/>
  <c r="A469" i="9"/>
  <c r="C468" i="9"/>
  <c r="B468" i="9"/>
  <c r="A468" i="9"/>
  <c r="H468" i="9" s="1"/>
  <c r="H467" i="9"/>
  <c r="C467" i="9"/>
  <c r="B467" i="9"/>
  <c r="A467" i="9"/>
  <c r="H466" i="9"/>
  <c r="C466" i="9"/>
  <c r="B466" i="9"/>
  <c r="A466" i="9"/>
  <c r="C465" i="9"/>
  <c r="B465" i="9"/>
  <c r="A465" i="9"/>
  <c r="H465" i="9" s="1"/>
  <c r="H464" i="9"/>
  <c r="C464" i="9"/>
  <c r="B464" i="9"/>
  <c r="A464" i="9"/>
  <c r="H463" i="9"/>
  <c r="C463" i="9"/>
  <c r="B463" i="9"/>
  <c r="A463" i="9"/>
  <c r="C462" i="9"/>
  <c r="B462" i="9"/>
  <c r="A462" i="9"/>
  <c r="H462" i="9" s="1"/>
  <c r="H461" i="9"/>
  <c r="C461" i="9"/>
  <c r="B461" i="9"/>
  <c r="A461" i="9"/>
  <c r="H460" i="9"/>
  <c r="C460" i="9"/>
  <c r="B460" i="9"/>
  <c r="A460" i="9"/>
  <c r="C459" i="9"/>
  <c r="B459" i="9"/>
  <c r="A459" i="9"/>
  <c r="H459" i="9" s="1"/>
  <c r="H458" i="9"/>
  <c r="C458" i="9"/>
  <c r="B458" i="9"/>
  <c r="A458" i="9"/>
  <c r="H457" i="9"/>
  <c r="C457" i="9"/>
  <c r="B457" i="9"/>
  <c r="A457" i="9"/>
  <c r="C456" i="9"/>
  <c r="B456" i="9"/>
  <c r="A456" i="9"/>
  <c r="H456" i="9" s="1"/>
  <c r="H455" i="9"/>
  <c r="C455" i="9"/>
  <c r="B455" i="9"/>
  <c r="A455" i="9"/>
  <c r="H454" i="9"/>
  <c r="C454" i="9"/>
  <c r="B454" i="9"/>
  <c r="A454" i="9"/>
  <c r="C453" i="9"/>
  <c r="B453" i="9"/>
  <c r="A453" i="9"/>
  <c r="H453" i="9" s="1"/>
  <c r="H452" i="9"/>
  <c r="C452" i="9"/>
  <c r="B452" i="9"/>
  <c r="A452" i="9"/>
  <c r="H451" i="9"/>
  <c r="C451" i="9"/>
  <c r="B451" i="9"/>
  <c r="A451" i="9"/>
  <c r="C450" i="9"/>
  <c r="B450" i="9"/>
  <c r="A450" i="9"/>
  <c r="H450" i="9" s="1"/>
  <c r="H449" i="9"/>
  <c r="C449" i="9"/>
  <c r="B449" i="9"/>
  <c r="A449" i="9"/>
  <c r="H448" i="9"/>
  <c r="C448" i="9"/>
  <c r="B448" i="9"/>
  <c r="A448" i="9"/>
  <c r="C447" i="9"/>
  <c r="B447" i="9"/>
  <c r="A447" i="9"/>
  <c r="H447" i="9" s="1"/>
  <c r="H446" i="9"/>
  <c r="C446" i="9"/>
  <c r="B446" i="9"/>
  <c r="A446" i="9"/>
  <c r="H445" i="9"/>
  <c r="C445" i="9"/>
  <c r="B445" i="9"/>
  <c r="A445" i="9"/>
  <c r="C444" i="9"/>
  <c r="B444" i="9"/>
  <c r="A444" i="9"/>
  <c r="H444" i="9" s="1"/>
  <c r="H443" i="9"/>
  <c r="C443" i="9"/>
  <c r="B443" i="9"/>
  <c r="A443" i="9"/>
  <c r="H442" i="9"/>
  <c r="C442" i="9"/>
  <c r="B442" i="9"/>
  <c r="A442" i="9"/>
  <c r="C441" i="9"/>
  <c r="B441" i="9"/>
  <c r="A441" i="9"/>
  <c r="H441" i="9" s="1"/>
  <c r="H440" i="9"/>
  <c r="C440" i="9"/>
  <c r="B440" i="9"/>
  <c r="A440" i="9"/>
  <c r="H439" i="9"/>
  <c r="C439" i="9"/>
  <c r="B439" i="9"/>
  <c r="A439" i="9"/>
  <c r="C438" i="9"/>
  <c r="B438" i="9"/>
  <c r="A438" i="9"/>
  <c r="H438" i="9" s="1"/>
  <c r="H437" i="9"/>
  <c r="C437" i="9"/>
  <c r="B437" i="9"/>
  <c r="A437" i="9"/>
  <c r="H436" i="9"/>
  <c r="C436" i="9"/>
  <c r="B436" i="9"/>
  <c r="A436" i="9"/>
  <c r="C435" i="9"/>
  <c r="B435" i="9"/>
  <c r="A435" i="9"/>
  <c r="H435" i="9" s="1"/>
  <c r="H434" i="9"/>
  <c r="C434" i="9"/>
  <c r="B434" i="9"/>
  <c r="A434" i="9"/>
  <c r="H433" i="9"/>
  <c r="C433" i="9"/>
  <c r="B433" i="9"/>
  <c r="A433" i="9"/>
  <c r="C432" i="9"/>
  <c r="B432" i="9"/>
  <c r="A432" i="9"/>
  <c r="H432" i="9" s="1"/>
  <c r="H431" i="9"/>
  <c r="C431" i="9"/>
  <c r="B431" i="9"/>
  <c r="A431" i="9"/>
  <c r="H430" i="9"/>
  <c r="C430" i="9"/>
  <c r="B430" i="9"/>
  <c r="A430" i="9"/>
  <c r="C429" i="9"/>
  <c r="B429" i="9"/>
  <c r="A429" i="9"/>
  <c r="H429" i="9" s="1"/>
  <c r="H428" i="9"/>
  <c r="C428" i="9"/>
  <c r="B428" i="9"/>
  <c r="A428" i="9"/>
  <c r="H427" i="9"/>
  <c r="C427" i="9"/>
  <c r="B427" i="9"/>
  <c r="A427" i="9"/>
  <c r="C426" i="9"/>
  <c r="B426" i="9"/>
  <c r="A426" i="9"/>
  <c r="H426" i="9" s="1"/>
  <c r="H425" i="9"/>
  <c r="C425" i="9"/>
  <c r="B425" i="9"/>
  <c r="A425" i="9"/>
  <c r="H424" i="9"/>
  <c r="C424" i="9"/>
  <c r="B424" i="9"/>
  <c r="A424" i="9"/>
  <c r="C423" i="9"/>
  <c r="B423" i="9"/>
  <c r="A423" i="9"/>
  <c r="H423" i="9" s="1"/>
  <c r="H422" i="9"/>
  <c r="C422" i="9"/>
  <c r="B422" i="9"/>
  <c r="A422" i="9"/>
  <c r="H421" i="9"/>
  <c r="C421" i="9"/>
  <c r="B421" i="9"/>
  <c r="A421" i="9"/>
  <c r="C420" i="9"/>
  <c r="B420" i="9"/>
  <c r="A420" i="9"/>
  <c r="H420" i="9" s="1"/>
  <c r="H419" i="9"/>
  <c r="C419" i="9"/>
  <c r="B419" i="9"/>
  <c r="A419" i="9"/>
  <c r="H418" i="9"/>
  <c r="C418" i="9"/>
  <c r="B418" i="9"/>
  <c r="A418" i="9"/>
  <c r="C417" i="9"/>
  <c r="B417" i="9"/>
  <c r="A417" i="9"/>
  <c r="H417" i="9" s="1"/>
  <c r="H416" i="9"/>
  <c r="C416" i="9"/>
  <c r="B416" i="9"/>
  <c r="A416" i="9"/>
  <c r="H415" i="9"/>
  <c r="C415" i="9"/>
  <c r="B415" i="9"/>
  <c r="A415" i="9"/>
  <c r="C414" i="9"/>
  <c r="B414" i="9"/>
  <c r="A414" i="9"/>
  <c r="H414" i="9" s="1"/>
  <c r="H413" i="9"/>
  <c r="C413" i="9"/>
  <c r="B413" i="9"/>
  <c r="A413" i="9"/>
  <c r="H412" i="9"/>
  <c r="C412" i="9"/>
  <c r="B412" i="9"/>
  <c r="A412" i="9"/>
  <c r="C411" i="9"/>
  <c r="B411" i="9"/>
  <c r="A411" i="9"/>
  <c r="H411" i="9" s="1"/>
  <c r="H410" i="9"/>
  <c r="C410" i="9"/>
  <c r="B410" i="9"/>
  <c r="A410" i="9"/>
  <c r="H409" i="9"/>
  <c r="C409" i="9"/>
  <c r="B409" i="9"/>
  <c r="A409" i="9"/>
  <c r="C408" i="9"/>
  <c r="B408" i="9"/>
  <c r="A408" i="9"/>
  <c r="H408" i="9" s="1"/>
  <c r="H407" i="9"/>
  <c r="C407" i="9"/>
  <c r="B407" i="9"/>
  <c r="A407" i="9"/>
  <c r="H406" i="9"/>
  <c r="C406" i="9"/>
  <c r="B406" i="9"/>
  <c r="A406" i="9"/>
  <c r="C405" i="9"/>
  <c r="B405" i="9"/>
  <c r="A405" i="9"/>
  <c r="H405" i="9" s="1"/>
  <c r="H404" i="9"/>
  <c r="C404" i="9"/>
  <c r="B404" i="9"/>
  <c r="A404" i="9"/>
  <c r="H403" i="9"/>
  <c r="C403" i="9"/>
  <c r="B403" i="9"/>
  <c r="A403" i="9"/>
  <c r="C402" i="9"/>
  <c r="B402" i="9"/>
  <c r="A402" i="9"/>
  <c r="H402" i="9" s="1"/>
  <c r="H401" i="9"/>
  <c r="C401" i="9"/>
  <c r="B401" i="9"/>
  <c r="A401" i="9"/>
  <c r="H400" i="9"/>
  <c r="C400" i="9"/>
  <c r="B400" i="9"/>
  <c r="A400" i="9"/>
  <c r="C399" i="9"/>
  <c r="B399" i="9"/>
  <c r="A399" i="9"/>
  <c r="H399" i="9" s="1"/>
  <c r="H398" i="9"/>
  <c r="C398" i="9"/>
  <c r="B398" i="9"/>
  <c r="A398" i="9"/>
  <c r="H397" i="9"/>
  <c r="C397" i="9"/>
  <c r="B397" i="9"/>
  <c r="A397" i="9"/>
  <c r="C396" i="9"/>
  <c r="B396" i="9"/>
  <c r="A396" i="9"/>
  <c r="H396" i="9" s="1"/>
  <c r="H395" i="9"/>
  <c r="C395" i="9"/>
  <c r="B395" i="9"/>
  <c r="A395" i="9"/>
  <c r="H394" i="9"/>
  <c r="C394" i="9"/>
  <c r="B394" i="9"/>
  <c r="A394" i="9"/>
  <c r="C393" i="9"/>
  <c r="B393" i="9"/>
  <c r="A393" i="9"/>
  <c r="H393" i="9" s="1"/>
  <c r="H392" i="9"/>
  <c r="C392" i="9"/>
  <c r="B392" i="9"/>
  <c r="A392" i="9"/>
  <c r="H391" i="9"/>
  <c r="C391" i="9"/>
  <c r="B391" i="9"/>
  <c r="A391" i="9"/>
  <c r="C390" i="9"/>
  <c r="B390" i="9"/>
  <c r="A390" i="9"/>
  <c r="H390" i="9" s="1"/>
  <c r="H389" i="9"/>
  <c r="C389" i="9"/>
  <c r="B389" i="9"/>
  <c r="A389" i="9"/>
  <c r="H388" i="9"/>
  <c r="C388" i="9"/>
  <c r="B388" i="9"/>
  <c r="A388" i="9"/>
  <c r="C387" i="9"/>
  <c r="B387" i="9"/>
  <c r="A387" i="9"/>
  <c r="H387" i="9" s="1"/>
  <c r="H386" i="9"/>
  <c r="C386" i="9"/>
  <c r="B386" i="9"/>
  <c r="A386" i="9"/>
  <c r="H385" i="9"/>
  <c r="C385" i="9"/>
  <c r="B385" i="9"/>
  <c r="A385" i="9"/>
  <c r="C384" i="9"/>
  <c r="B384" i="9"/>
  <c r="A384" i="9"/>
  <c r="H384" i="9" s="1"/>
  <c r="C383" i="9"/>
  <c r="B383" i="9"/>
  <c r="A383" i="9"/>
  <c r="H383" i="9" s="1"/>
  <c r="H382" i="9"/>
  <c r="C382" i="9"/>
  <c r="B382" i="9"/>
  <c r="A382" i="9"/>
  <c r="C381" i="9"/>
  <c r="B381" i="9"/>
  <c r="A381" i="9"/>
  <c r="H381" i="9" s="1"/>
  <c r="C380" i="9"/>
  <c r="B380" i="9"/>
  <c r="A380" i="9"/>
  <c r="H380" i="9" s="1"/>
  <c r="H379" i="9"/>
  <c r="C379" i="9"/>
  <c r="B379" i="9"/>
  <c r="A379" i="9"/>
  <c r="C378" i="9"/>
  <c r="B378" i="9"/>
  <c r="A378" i="9"/>
  <c r="H378" i="9" s="1"/>
  <c r="C377" i="9"/>
  <c r="B377" i="9"/>
  <c r="A377" i="9"/>
  <c r="H377" i="9" s="1"/>
  <c r="H376" i="9"/>
  <c r="C376" i="9"/>
  <c r="B376" i="9"/>
  <c r="A376" i="9"/>
  <c r="C375" i="9"/>
  <c r="B375" i="9"/>
  <c r="A375" i="9"/>
  <c r="H375" i="9" s="1"/>
  <c r="C374" i="9"/>
  <c r="B374" i="9"/>
  <c r="A374" i="9"/>
  <c r="H374" i="9" s="1"/>
  <c r="H373" i="9"/>
  <c r="C373" i="9"/>
  <c r="B373" i="9"/>
  <c r="A373" i="9"/>
  <c r="C372" i="9"/>
  <c r="B372" i="9"/>
  <c r="A372" i="9"/>
  <c r="H372" i="9" s="1"/>
  <c r="C371" i="9"/>
  <c r="B371" i="9"/>
  <c r="A371" i="9"/>
  <c r="H371" i="9" s="1"/>
  <c r="H370" i="9"/>
  <c r="C370" i="9"/>
  <c r="B370" i="9"/>
  <c r="A370" i="9"/>
  <c r="C369" i="9"/>
  <c r="B369" i="9"/>
  <c r="A369" i="9"/>
  <c r="H369" i="9" s="1"/>
  <c r="C368" i="9"/>
  <c r="B368" i="9"/>
  <c r="A368" i="9"/>
  <c r="H368" i="9" s="1"/>
  <c r="H367" i="9"/>
  <c r="C367" i="9"/>
  <c r="B367" i="9"/>
  <c r="A367" i="9"/>
  <c r="C366" i="9"/>
  <c r="B366" i="9"/>
  <c r="A366" i="9"/>
  <c r="H366" i="9" s="1"/>
  <c r="H365" i="9"/>
  <c r="C365" i="9"/>
  <c r="B365" i="9"/>
  <c r="A365" i="9"/>
  <c r="H364" i="9"/>
  <c r="C364" i="9"/>
  <c r="B364" i="9"/>
  <c r="A364" i="9"/>
  <c r="C363" i="9"/>
  <c r="B363" i="9"/>
  <c r="A363" i="9"/>
  <c r="H363" i="9" s="1"/>
  <c r="H362" i="9"/>
  <c r="C362" i="9"/>
  <c r="B362" i="9"/>
  <c r="A362" i="9"/>
  <c r="H361" i="9"/>
  <c r="C361" i="9"/>
  <c r="B361" i="9"/>
  <c r="A361" i="9"/>
  <c r="C360" i="9"/>
  <c r="B360" i="9"/>
  <c r="A360" i="9"/>
  <c r="H360" i="9" s="1"/>
  <c r="H359" i="9"/>
  <c r="C359" i="9"/>
  <c r="B359" i="9"/>
  <c r="A359" i="9"/>
  <c r="H358" i="9"/>
  <c r="C358" i="9"/>
  <c r="B358" i="9"/>
  <c r="A358" i="9"/>
  <c r="C357" i="9"/>
  <c r="B357" i="9"/>
  <c r="A357" i="9"/>
  <c r="H357" i="9" s="1"/>
  <c r="H356" i="9"/>
  <c r="C356" i="9"/>
  <c r="B356" i="9"/>
  <c r="A356" i="9"/>
  <c r="H355" i="9"/>
  <c r="C355" i="9"/>
  <c r="B355" i="9"/>
  <c r="A355" i="9"/>
  <c r="C354" i="9"/>
  <c r="B354" i="9"/>
  <c r="A354" i="9"/>
  <c r="H354" i="9" s="1"/>
  <c r="C353" i="9"/>
  <c r="B353" i="9"/>
  <c r="A353" i="9"/>
  <c r="H353" i="9" s="1"/>
  <c r="H352" i="9"/>
  <c r="C352" i="9"/>
  <c r="B352" i="9"/>
  <c r="A352" i="9"/>
  <c r="C351" i="9"/>
  <c r="B351" i="9"/>
  <c r="A351" i="9"/>
  <c r="H351" i="9" s="1"/>
  <c r="C350" i="9"/>
  <c r="B350" i="9"/>
  <c r="A350" i="9"/>
  <c r="H350" i="9" s="1"/>
  <c r="H349" i="9"/>
  <c r="C349" i="9"/>
  <c r="B349" i="9"/>
  <c r="A349" i="9"/>
  <c r="C348" i="9"/>
  <c r="B348" i="9"/>
  <c r="A348" i="9"/>
  <c r="H348" i="9" s="1"/>
  <c r="C347" i="9"/>
  <c r="B347" i="9"/>
  <c r="A347" i="9"/>
  <c r="H347" i="9" s="1"/>
  <c r="H346" i="9"/>
  <c r="C346" i="9"/>
  <c r="B346" i="9"/>
  <c r="A346" i="9"/>
  <c r="C345" i="9"/>
  <c r="B345" i="9"/>
  <c r="A345" i="9"/>
  <c r="H345" i="9" s="1"/>
  <c r="C344" i="9"/>
  <c r="B344" i="9"/>
  <c r="A344" i="9"/>
  <c r="H344" i="9" s="1"/>
  <c r="H343" i="9"/>
  <c r="C343" i="9"/>
  <c r="B343" i="9"/>
  <c r="A343" i="9"/>
  <c r="C342" i="9"/>
  <c r="B342" i="9"/>
  <c r="A342" i="9"/>
  <c r="H342" i="9" s="1"/>
  <c r="C341" i="9"/>
  <c r="B341" i="9"/>
  <c r="A341" i="9"/>
  <c r="H341" i="9" s="1"/>
  <c r="H340" i="9"/>
  <c r="C340" i="9"/>
  <c r="B340" i="9"/>
  <c r="A340" i="9"/>
  <c r="C339" i="9"/>
  <c r="B339" i="9"/>
  <c r="A339" i="9"/>
  <c r="H339" i="9" s="1"/>
  <c r="C338" i="9"/>
  <c r="B338" i="9"/>
  <c r="A338" i="9"/>
  <c r="H338" i="9" s="1"/>
  <c r="H337" i="9"/>
  <c r="C337" i="9"/>
  <c r="B337" i="9"/>
  <c r="A337" i="9"/>
  <c r="C336" i="9"/>
  <c r="B336" i="9"/>
  <c r="A336" i="9"/>
  <c r="H336" i="9" s="1"/>
  <c r="C335" i="9"/>
  <c r="B335" i="9"/>
  <c r="A335" i="9"/>
  <c r="H335" i="9" s="1"/>
  <c r="H334" i="9"/>
  <c r="C334" i="9"/>
  <c r="B334" i="9"/>
  <c r="A334" i="9"/>
  <c r="C333" i="9"/>
  <c r="B333" i="9"/>
  <c r="A333" i="9"/>
  <c r="H333" i="9" s="1"/>
  <c r="C332" i="9"/>
  <c r="B332" i="9"/>
  <c r="A332" i="9"/>
  <c r="H332" i="9" s="1"/>
  <c r="H331" i="9"/>
  <c r="C331" i="9"/>
  <c r="B331" i="9"/>
  <c r="A331" i="9"/>
  <c r="C330" i="9"/>
  <c r="B330" i="9"/>
  <c r="A330" i="9"/>
  <c r="H330" i="9" s="1"/>
  <c r="H329" i="9"/>
  <c r="C329" i="9"/>
  <c r="B329" i="9"/>
  <c r="A329" i="9"/>
  <c r="H328" i="9"/>
  <c r="C328" i="9"/>
  <c r="B328" i="9"/>
  <c r="A328" i="9"/>
  <c r="C327" i="9"/>
  <c r="B327" i="9"/>
  <c r="A327" i="9"/>
  <c r="H327" i="9" s="1"/>
  <c r="H326" i="9"/>
  <c r="C326" i="9"/>
  <c r="B326" i="9"/>
  <c r="A326" i="9"/>
  <c r="H325" i="9"/>
  <c r="C325" i="9"/>
  <c r="B325" i="9"/>
  <c r="A325" i="9"/>
  <c r="C324" i="9"/>
  <c r="B324" i="9"/>
  <c r="A324" i="9"/>
  <c r="H324" i="9" s="1"/>
  <c r="H323" i="9"/>
  <c r="C323" i="9"/>
  <c r="B323" i="9"/>
  <c r="A323" i="9"/>
  <c r="H322" i="9"/>
  <c r="C322" i="9"/>
  <c r="B322" i="9"/>
  <c r="A322" i="9"/>
  <c r="C321" i="9"/>
  <c r="B321" i="9"/>
  <c r="A321" i="9"/>
  <c r="H321" i="9" s="1"/>
  <c r="H320" i="9"/>
  <c r="C320" i="9"/>
  <c r="B320" i="9"/>
  <c r="A320" i="9"/>
  <c r="H319" i="9"/>
  <c r="C319" i="9"/>
  <c r="B319" i="9"/>
  <c r="A319" i="9"/>
  <c r="C318" i="9"/>
  <c r="B318" i="9"/>
  <c r="A318" i="9"/>
  <c r="H318" i="9" s="1"/>
  <c r="H317" i="9"/>
  <c r="C317" i="9"/>
  <c r="B317" i="9"/>
  <c r="A317" i="9"/>
  <c r="H316" i="9"/>
  <c r="C316" i="9"/>
  <c r="B316" i="9"/>
  <c r="A316" i="9"/>
  <c r="C315" i="9"/>
  <c r="B315" i="9"/>
  <c r="A315" i="9"/>
  <c r="H315" i="9" s="1"/>
  <c r="H314" i="9"/>
  <c r="C314" i="9"/>
  <c r="B314" i="9"/>
  <c r="A314" i="9"/>
  <c r="H313" i="9"/>
  <c r="C313" i="9"/>
  <c r="B313" i="9"/>
  <c r="A313" i="9"/>
  <c r="C312" i="9"/>
  <c r="B312" i="9"/>
  <c r="A312" i="9"/>
  <c r="H312" i="9" s="1"/>
  <c r="H311" i="9"/>
  <c r="C311" i="9"/>
  <c r="B311" i="9"/>
  <c r="A311" i="9"/>
  <c r="H310" i="9"/>
  <c r="C310" i="9"/>
  <c r="B310" i="9"/>
  <c r="A310" i="9"/>
  <c r="C309" i="9"/>
  <c r="B309" i="9"/>
  <c r="A309" i="9"/>
  <c r="H309" i="9" s="1"/>
  <c r="H308" i="9"/>
  <c r="C308" i="9"/>
  <c r="B308" i="9"/>
  <c r="A308" i="9"/>
  <c r="H307" i="9"/>
  <c r="C307" i="9"/>
  <c r="B307" i="9"/>
  <c r="A307" i="9"/>
  <c r="C306" i="9"/>
  <c r="B306" i="9"/>
  <c r="A306" i="9"/>
  <c r="H306" i="9" s="1"/>
  <c r="C305" i="9"/>
  <c r="B305" i="9"/>
  <c r="A305" i="9"/>
  <c r="H305" i="9" s="1"/>
  <c r="H304" i="9"/>
  <c r="C304" i="9"/>
  <c r="B304" i="9"/>
  <c r="A304" i="9"/>
  <c r="C303" i="9"/>
  <c r="B303" i="9"/>
  <c r="A303" i="9"/>
  <c r="H303" i="9" s="1"/>
  <c r="C302" i="9"/>
  <c r="B302" i="9"/>
  <c r="A302" i="9"/>
  <c r="H302" i="9" s="1"/>
  <c r="H301" i="9"/>
  <c r="C301" i="9"/>
  <c r="B301" i="9"/>
  <c r="A301" i="9"/>
  <c r="C300" i="9"/>
  <c r="B300" i="9"/>
  <c r="A300" i="9"/>
  <c r="H300" i="9" s="1"/>
  <c r="C299" i="9"/>
  <c r="B299" i="9"/>
  <c r="A299" i="9"/>
  <c r="H299" i="9" s="1"/>
  <c r="H298" i="9"/>
  <c r="C298" i="9"/>
  <c r="B298" i="9"/>
  <c r="A298" i="9"/>
  <c r="C297" i="9"/>
  <c r="B297" i="9"/>
  <c r="A297" i="9"/>
  <c r="H297" i="9" s="1"/>
  <c r="H296" i="9"/>
  <c r="C296" i="9"/>
  <c r="B296" i="9"/>
  <c r="A296" i="9"/>
  <c r="H295" i="9"/>
  <c r="C295" i="9"/>
  <c r="B295" i="9"/>
  <c r="A295" i="9"/>
  <c r="C294" i="9"/>
  <c r="B294" i="9"/>
  <c r="A294" i="9"/>
  <c r="H294" i="9" s="1"/>
  <c r="H293" i="9"/>
  <c r="C293" i="9"/>
  <c r="B293" i="9"/>
  <c r="A293" i="9"/>
  <c r="H292" i="9"/>
  <c r="C292" i="9"/>
  <c r="B292" i="9"/>
  <c r="A292" i="9"/>
  <c r="C291" i="9"/>
  <c r="B291" i="9"/>
  <c r="A291" i="9"/>
  <c r="H291" i="9" s="1"/>
  <c r="H290" i="9"/>
  <c r="C290" i="9"/>
  <c r="B290" i="9"/>
  <c r="A290" i="9"/>
  <c r="H289" i="9"/>
  <c r="C289" i="9"/>
  <c r="B289" i="9"/>
  <c r="A289" i="9"/>
  <c r="C288" i="9"/>
  <c r="B288" i="9"/>
  <c r="A288" i="9"/>
  <c r="H288" i="9" s="1"/>
  <c r="H287" i="9"/>
  <c r="C287" i="9"/>
  <c r="B287" i="9"/>
  <c r="A287" i="9"/>
  <c r="H286" i="9"/>
  <c r="C286" i="9"/>
  <c r="B286" i="9"/>
  <c r="A286" i="9"/>
  <c r="C285" i="9"/>
  <c r="B285" i="9"/>
  <c r="A285" i="9"/>
  <c r="H285" i="9" s="1"/>
  <c r="H284" i="9"/>
  <c r="C284" i="9"/>
  <c r="B284" i="9"/>
  <c r="A284" i="9"/>
  <c r="H283" i="9"/>
  <c r="C283" i="9"/>
  <c r="B283" i="9"/>
  <c r="A283" i="9"/>
  <c r="C282" i="9"/>
  <c r="B282" i="9"/>
  <c r="A282" i="9"/>
  <c r="H282" i="9" s="1"/>
  <c r="H281" i="9"/>
  <c r="C281" i="9"/>
  <c r="B281" i="9"/>
  <c r="A281" i="9"/>
  <c r="H280" i="9"/>
  <c r="C280" i="9"/>
  <c r="B280" i="9"/>
  <c r="A280" i="9"/>
  <c r="C279" i="9"/>
  <c r="B279" i="9"/>
  <c r="A279" i="9"/>
  <c r="H279" i="9" s="1"/>
  <c r="H278" i="9"/>
  <c r="C278" i="9"/>
  <c r="B278" i="9"/>
  <c r="A278" i="9"/>
  <c r="H277" i="9"/>
  <c r="C277" i="9"/>
  <c r="B277" i="9"/>
  <c r="A277" i="9"/>
  <c r="C276" i="9"/>
  <c r="B276" i="9"/>
  <c r="A276" i="9"/>
  <c r="H276" i="9" s="1"/>
  <c r="C275" i="9"/>
  <c r="B275" i="9"/>
  <c r="A275" i="9"/>
  <c r="H275" i="9" s="1"/>
  <c r="H274" i="9"/>
  <c r="C274" i="9"/>
  <c r="B274" i="9"/>
  <c r="A274" i="9"/>
  <c r="C273" i="9"/>
  <c r="B273" i="9"/>
  <c r="A273" i="9"/>
  <c r="H273" i="9" s="1"/>
  <c r="C272" i="9"/>
  <c r="B272" i="9"/>
  <c r="A272" i="9"/>
  <c r="H272" i="9" s="1"/>
  <c r="H271" i="9"/>
  <c r="C271" i="9"/>
  <c r="B271" i="9"/>
  <c r="A271" i="9"/>
  <c r="C270" i="9"/>
  <c r="B270" i="9"/>
  <c r="A270" i="9"/>
  <c r="H270" i="9" s="1"/>
  <c r="C269" i="9"/>
  <c r="B269" i="9"/>
  <c r="A269" i="9"/>
  <c r="H269" i="9" s="1"/>
  <c r="H268" i="9"/>
  <c r="C268" i="9"/>
  <c r="B268" i="9"/>
  <c r="A268" i="9"/>
  <c r="C267" i="9"/>
  <c r="B267" i="9"/>
  <c r="A267" i="9"/>
  <c r="H267" i="9" s="1"/>
  <c r="C266" i="9"/>
  <c r="B266" i="9"/>
  <c r="A266" i="9"/>
  <c r="H266" i="9" s="1"/>
  <c r="H265" i="9"/>
  <c r="C265" i="9"/>
  <c r="B265" i="9"/>
  <c r="A265" i="9"/>
  <c r="C264" i="9"/>
  <c r="B264" i="9"/>
  <c r="A264" i="9"/>
  <c r="H264" i="9" s="1"/>
  <c r="C263" i="9"/>
  <c r="B263" i="9"/>
  <c r="A263" i="9"/>
  <c r="H263" i="9" s="1"/>
  <c r="H262" i="9"/>
  <c r="C262" i="9"/>
  <c r="B262" i="9"/>
  <c r="A262" i="9"/>
  <c r="C261" i="9"/>
  <c r="B261" i="9"/>
  <c r="A261" i="9"/>
  <c r="H261" i="9" s="1"/>
  <c r="H260" i="9"/>
  <c r="C260" i="9"/>
  <c r="B260" i="9"/>
  <c r="A260" i="9"/>
  <c r="H259" i="9"/>
  <c r="C259" i="9"/>
  <c r="B259" i="9"/>
  <c r="A259" i="9"/>
  <c r="C258" i="9"/>
  <c r="B258" i="9"/>
  <c r="A258" i="9"/>
  <c r="H258" i="9" s="1"/>
  <c r="H257" i="9"/>
  <c r="C257" i="9"/>
  <c r="B257" i="9"/>
  <c r="A257" i="9"/>
  <c r="H256" i="9"/>
  <c r="C256" i="9"/>
  <c r="B256" i="9"/>
  <c r="A256" i="9"/>
  <c r="C255" i="9"/>
  <c r="B255" i="9"/>
  <c r="A255" i="9"/>
  <c r="H255" i="9" s="1"/>
  <c r="H254" i="9"/>
  <c r="C254" i="9"/>
  <c r="B254" i="9"/>
  <c r="A254" i="9"/>
  <c r="H253" i="9"/>
  <c r="C253" i="9"/>
  <c r="B253" i="9"/>
  <c r="A253" i="9"/>
  <c r="C252" i="9"/>
  <c r="B252" i="9"/>
  <c r="A252" i="9"/>
  <c r="H252" i="9" s="1"/>
  <c r="H251" i="9"/>
  <c r="C251" i="9"/>
  <c r="B251" i="9"/>
  <c r="A251" i="9"/>
  <c r="H250" i="9"/>
  <c r="C250" i="9"/>
  <c r="B250" i="9"/>
  <c r="A250" i="9"/>
  <c r="C249" i="9"/>
  <c r="B249" i="9"/>
  <c r="A249" i="9"/>
  <c r="H249" i="9" s="1"/>
  <c r="H248" i="9"/>
  <c r="C248" i="9"/>
  <c r="B248" i="9"/>
  <c r="A248" i="9"/>
  <c r="H247" i="9"/>
  <c r="C247" i="9"/>
  <c r="B247" i="9"/>
  <c r="A247" i="9"/>
  <c r="C246" i="9"/>
  <c r="B246" i="9"/>
  <c r="A246" i="9"/>
  <c r="H246" i="9" s="1"/>
  <c r="C245" i="9"/>
  <c r="B245" i="9"/>
  <c r="A245" i="9"/>
  <c r="H245" i="9" s="1"/>
  <c r="H244" i="9"/>
  <c r="C244" i="9"/>
  <c r="B244" i="9"/>
  <c r="A244" i="9"/>
  <c r="C243" i="9"/>
  <c r="B243" i="9"/>
  <c r="A243" i="9"/>
  <c r="H243" i="9" s="1"/>
  <c r="C242" i="9"/>
  <c r="B242" i="9"/>
  <c r="A242" i="9"/>
  <c r="H242" i="9" s="1"/>
  <c r="H241" i="9"/>
  <c r="C241" i="9"/>
  <c r="B241" i="9"/>
  <c r="A241" i="9"/>
  <c r="C240" i="9"/>
  <c r="B240" i="9"/>
  <c r="A240" i="9"/>
  <c r="H240" i="9" s="1"/>
  <c r="C239" i="9"/>
  <c r="B239" i="9"/>
  <c r="A239" i="9"/>
  <c r="H239" i="9" s="1"/>
  <c r="H238" i="9"/>
  <c r="C238" i="9"/>
  <c r="B238" i="9"/>
  <c r="A238" i="9"/>
  <c r="C237" i="9"/>
  <c r="B237" i="9"/>
  <c r="A237" i="9"/>
  <c r="H237" i="9" s="1"/>
  <c r="C236" i="9"/>
  <c r="B236" i="9"/>
  <c r="A236" i="9"/>
  <c r="H236" i="9" s="1"/>
  <c r="H235" i="9"/>
  <c r="C235" i="9"/>
  <c r="B235" i="9"/>
  <c r="A235" i="9"/>
  <c r="C234" i="9"/>
  <c r="B234" i="9"/>
  <c r="A234" i="9"/>
  <c r="H234" i="9" s="1"/>
  <c r="C233" i="9"/>
  <c r="B233" i="9"/>
  <c r="A233" i="9"/>
  <c r="H233" i="9" s="1"/>
  <c r="H232" i="9"/>
  <c r="C232" i="9"/>
  <c r="B232" i="9"/>
  <c r="A232" i="9"/>
  <c r="C231" i="9"/>
  <c r="B231" i="9"/>
  <c r="A231" i="9"/>
  <c r="H231" i="9" s="1"/>
  <c r="C230" i="9"/>
  <c r="B230" i="9"/>
  <c r="A230" i="9"/>
  <c r="H230" i="9" s="1"/>
  <c r="H229" i="9"/>
  <c r="C229" i="9"/>
  <c r="B229" i="9"/>
  <c r="A229" i="9"/>
  <c r="C228" i="9"/>
  <c r="B228" i="9"/>
  <c r="A228" i="9"/>
  <c r="H228" i="9" s="1"/>
  <c r="C227" i="9"/>
  <c r="B227" i="9"/>
  <c r="A227" i="9"/>
  <c r="H227" i="9" s="1"/>
  <c r="H226" i="9"/>
  <c r="C226" i="9"/>
  <c r="B226" i="9"/>
  <c r="A226" i="9"/>
  <c r="C225" i="9"/>
  <c r="B225" i="9"/>
  <c r="A225" i="9"/>
  <c r="H225" i="9" s="1"/>
  <c r="H224" i="9"/>
  <c r="C224" i="9"/>
  <c r="B224" i="9"/>
  <c r="A224" i="9"/>
  <c r="H223" i="9"/>
  <c r="C223" i="9"/>
  <c r="B223" i="9"/>
  <c r="A223" i="9"/>
  <c r="C222" i="9"/>
  <c r="B222" i="9"/>
  <c r="A222" i="9"/>
  <c r="H222" i="9" s="1"/>
  <c r="H221" i="9"/>
  <c r="C221" i="9"/>
  <c r="B221" i="9"/>
  <c r="A221" i="9"/>
  <c r="H220" i="9"/>
  <c r="C220" i="9"/>
  <c r="B220" i="9"/>
  <c r="A220" i="9"/>
  <c r="C219" i="9"/>
  <c r="B219" i="9"/>
  <c r="A219" i="9"/>
  <c r="H219" i="9" s="1"/>
  <c r="H218" i="9"/>
  <c r="C218" i="9"/>
  <c r="B218" i="9"/>
  <c r="A218" i="9"/>
  <c r="H217" i="9"/>
  <c r="C217" i="9"/>
  <c r="B217" i="9"/>
  <c r="A217" i="9"/>
  <c r="C216" i="9"/>
  <c r="B216" i="9"/>
  <c r="A216" i="9"/>
  <c r="H216" i="9" s="1"/>
  <c r="H215" i="9"/>
  <c r="C215" i="9"/>
  <c r="B215" i="9"/>
  <c r="A215" i="9"/>
  <c r="H214" i="9"/>
  <c r="C214" i="9"/>
  <c r="B214" i="9"/>
  <c r="A214" i="9"/>
  <c r="C213" i="9"/>
  <c r="B213" i="9"/>
  <c r="A213" i="9"/>
  <c r="H213" i="9" s="1"/>
  <c r="H212" i="9"/>
  <c r="C212" i="9"/>
  <c r="B212" i="9"/>
  <c r="A212" i="9"/>
  <c r="H211" i="9"/>
  <c r="C211" i="9"/>
  <c r="B211" i="9"/>
  <c r="A211" i="9"/>
  <c r="C210" i="9"/>
  <c r="B210" i="9"/>
  <c r="A210" i="9"/>
  <c r="H210" i="9" s="1"/>
  <c r="C209" i="9"/>
  <c r="B209" i="9"/>
  <c r="A209" i="9"/>
  <c r="H209" i="9" s="1"/>
  <c r="H208" i="9"/>
  <c r="C208" i="9"/>
  <c r="B208" i="9"/>
  <c r="A208" i="9"/>
  <c r="C207" i="9"/>
  <c r="B207" i="9"/>
  <c r="A207" i="9"/>
  <c r="H207" i="9" s="1"/>
  <c r="C206" i="9"/>
  <c r="B206" i="9"/>
  <c r="A206" i="9"/>
  <c r="H206" i="9" s="1"/>
  <c r="H205" i="9"/>
  <c r="C205" i="9"/>
  <c r="B205" i="9"/>
  <c r="A205" i="9"/>
  <c r="C204" i="9"/>
  <c r="B204" i="9"/>
  <c r="A204" i="9"/>
  <c r="H204" i="9" s="1"/>
  <c r="H203" i="9"/>
  <c r="C203" i="9"/>
  <c r="B203" i="9"/>
  <c r="A203" i="9"/>
  <c r="H202" i="9"/>
  <c r="C202" i="9"/>
  <c r="B202" i="9"/>
  <c r="A202" i="9"/>
  <c r="C201" i="9"/>
  <c r="B201" i="9"/>
  <c r="A201" i="9"/>
  <c r="H201" i="9" s="1"/>
  <c r="H200" i="9"/>
  <c r="C200" i="9"/>
  <c r="B200" i="9"/>
  <c r="A200" i="9"/>
  <c r="H199" i="9"/>
  <c r="C199" i="9"/>
  <c r="B199" i="9"/>
  <c r="A199" i="9"/>
  <c r="C198" i="9"/>
  <c r="B198" i="9"/>
  <c r="A198" i="9"/>
  <c r="H198" i="9" s="1"/>
  <c r="C197" i="9"/>
  <c r="B197" i="9"/>
  <c r="A197" i="9"/>
  <c r="H197" i="9" s="1"/>
  <c r="H196" i="9"/>
  <c r="C196" i="9"/>
  <c r="B196" i="9"/>
  <c r="A196" i="9"/>
  <c r="C195" i="9"/>
  <c r="B195" i="9"/>
  <c r="A195" i="9"/>
  <c r="H195" i="9" s="1"/>
  <c r="C194" i="9"/>
  <c r="B194" i="9"/>
  <c r="A194" i="9"/>
  <c r="H194" i="9" s="1"/>
  <c r="H193" i="9"/>
  <c r="C193" i="9"/>
  <c r="B193" i="9"/>
  <c r="A193" i="9"/>
  <c r="C192" i="9"/>
  <c r="B192" i="9"/>
  <c r="A192" i="9"/>
  <c r="H192" i="9" s="1"/>
  <c r="C191" i="9"/>
  <c r="B191" i="9"/>
  <c r="A191" i="9"/>
  <c r="H191" i="9" s="1"/>
  <c r="H190" i="9"/>
  <c r="C190" i="9"/>
  <c r="B190" i="9"/>
  <c r="A190" i="9"/>
  <c r="C189" i="9"/>
  <c r="B189" i="9"/>
  <c r="A189" i="9"/>
  <c r="H189" i="9" s="1"/>
  <c r="H188" i="9"/>
  <c r="C188" i="9"/>
  <c r="B188" i="9"/>
  <c r="A188" i="9"/>
  <c r="H187" i="9"/>
  <c r="C187" i="9"/>
  <c r="B187" i="9"/>
  <c r="A187" i="9"/>
  <c r="C186" i="9"/>
  <c r="B186" i="9"/>
  <c r="A186" i="9"/>
  <c r="H186" i="9" s="1"/>
  <c r="H185" i="9"/>
  <c r="C185" i="9"/>
  <c r="B185" i="9"/>
  <c r="A185" i="9"/>
  <c r="H184" i="9"/>
  <c r="C184" i="9"/>
  <c r="B184" i="9"/>
  <c r="A184" i="9"/>
  <c r="C183" i="9"/>
  <c r="B183" i="9"/>
  <c r="A183" i="9"/>
  <c r="H183" i="9" s="1"/>
  <c r="H182" i="9"/>
  <c r="C182" i="9"/>
  <c r="B182" i="9"/>
  <c r="A182" i="9"/>
  <c r="H181" i="9"/>
  <c r="C181" i="9"/>
  <c r="B181" i="9"/>
  <c r="A181" i="9"/>
  <c r="C180" i="9"/>
  <c r="B180" i="9"/>
  <c r="A180" i="9"/>
  <c r="H180" i="9" s="1"/>
  <c r="C179" i="9"/>
  <c r="B179" i="9"/>
  <c r="A179" i="9"/>
  <c r="H179" i="9" s="1"/>
  <c r="H178" i="9"/>
  <c r="C178" i="9"/>
  <c r="B178" i="9"/>
  <c r="A178" i="9"/>
  <c r="C177" i="9"/>
  <c r="B177" i="9"/>
  <c r="A177" i="9"/>
  <c r="H177" i="9" s="1"/>
  <c r="H176" i="9"/>
  <c r="C176" i="9"/>
  <c r="B176" i="9"/>
  <c r="A176" i="9"/>
  <c r="H175" i="9"/>
  <c r="C175" i="9"/>
  <c r="B175" i="9"/>
  <c r="A175" i="9"/>
  <c r="C174" i="9"/>
  <c r="B174" i="9"/>
  <c r="A174" i="9"/>
  <c r="H174" i="9" s="1"/>
  <c r="H173" i="9"/>
  <c r="C173" i="9"/>
  <c r="B173" i="9"/>
  <c r="A173" i="9"/>
  <c r="H172" i="9"/>
  <c r="C172" i="9"/>
  <c r="B172" i="9"/>
  <c r="A172" i="9"/>
  <c r="C171" i="9"/>
  <c r="B171" i="9"/>
  <c r="A171" i="9"/>
  <c r="H171" i="9" s="1"/>
  <c r="C170" i="9"/>
  <c r="B170" i="9"/>
  <c r="A170" i="9"/>
  <c r="H170" i="9" s="1"/>
  <c r="C169" i="9"/>
  <c r="B169" i="9"/>
  <c r="A169" i="9"/>
  <c r="H169" i="9" s="1"/>
  <c r="C168" i="9"/>
  <c r="B168" i="9"/>
  <c r="A168" i="9"/>
  <c r="H168" i="9" s="1"/>
  <c r="H167" i="9"/>
  <c r="C167" i="9"/>
  <c r="B167" i="9"/>
  <c r="A167" i="9"/>
  <c r="H166" i="9"/>
  <c r="C166" i="9"/>
  <c r="B166" i="9"/>
  <c r="A166" i="9"/>
  <c r="C165" i="9"/>
  <c r="B165" i="9"/>
  <c r="A165" i="9"/>
  <c r="H165" i="9" s="1"/>
  <c r="H164" i="9"/>
  <c r="C164" i="9"/>
  <c r="B164" i="9"/>
  <c r="A164" i="9"/>
  <c r="H163" i="9"/>
  <c r="C163" i="9"/>
  <c r="B163" i="9"/>
  <c r="A163" i="9"/>
  <c r="C162" i="9"/>
  <c r="B162" i="9"/>
  <c r="A162" i="9"/>
  <c r="H162" i="9" s="1"/>
  <c r="C161" i="9"/>
  <c r="B161" i="9"/>
  <c r="A161" i="9"/>
  <c r="H161" i="9" s="1"/>
  <c r="H160" i="9"/>
  <c r="C160" i="9"/>
  <c r="B160" i="9"/>
  <c r="A160" i="9"/>
  <c r="C159" i="9"/>
  <c r="B159" i="9"/>
  <c r="A159" i="9"/>
  <c r="H159" i="9" s="1"/>
  <c r="C158" i="9"/>
  <c r="B158" i="9"/>
  <c r="A158" i="9"/>
  <c r="H158" i="9" s="1"/>
  <c r="H157" i="9"/>
  <c r="C157" i="9"/>
  <c r="B157" i="9"/>
  <c r="A157" i="9"/>
  <c r="C156" i="9"/>
  <c r="B156" i="9"/>
  <c r="A156" i="9"/>
  <c r="H156" i="9" s="1"/>
  <c r="C155" i="9"/>
  <c r="B155" i="9"/>
  <c r="A155" i="9"/>
  <c r="H155" i="9" s="1"/>
  <c r="H154" i="9"/>
  <c r="C154" i="9"/>
  <c r="B154" i="9"/>
  <c r="A154" i="9"/>
  <c r="C153" i="9"/>
  <c r="B153" i="9"/>
  <c r="A153" i="9"/>
  <c r="H153" i="9" s="1"/>
  <c r="H152" i="9"/>
  <c r="C152" i="9"/>
  <c r="B152" i="9"/>
  <c r="A152" i="9"/>
  <c r="H151" i="9"/>
  <c r="C151" i="9"/>
  <c r="B151" i="9"/>
  <c r="A151" i="9"/>
  <c r="C150" i="9"/>
  <c r="B150" i="9"/>
  <c r="A150" i="9"/>
  <c r="H150" i="9" s="1"/>
  <c r="C149" i="9"/>
  <c r="B149" i="9"/>
  <c r="A149" i="9"/>
  <c r="H149" i="9" s="1"/>
  <c r="H148" i="9"/>
  <c r="C148" i="9"/>
  <c r="B148" i="9"/>
  <c r="A148" i="9"/>
  <c r="C147" i="9"/>
  <c r="B147" i="9"/>
  <c r="A147" i="9"/>
  <c r="H147" i="9" s="1"/>
  <c r="H146" i="9"/>
  <c r="C146" i="9"/>
  <c r="B146" i="9"/>
  <c r="A146" i="9"/>
  <c r="H145" i="9"/>
  <c r="C145" i="9"/>
  <c r="B145" i="9"/>
  <c r="A145" i="9"/>
  <c r="C144" i="9"/>
  <c r="B144" i="9"/>
  <c r="A144" i="9"/>
  <c r="H144" i="9" s="1"/>
  <c r="H143" i="9"/>
  <c r="C143" i="9"/>
  <c r="B143" i="9"/>
  <c r="A143" i="9"/>
  <c r="H142" i="9"/>
  <c r="C142" i="9"/>
  <c r="B142" i="9"/>
  <c r="A142" i="9"/>
  <c r="C141" i="9"/>
  <c r="B141" i="9"/>
  <c r="A141" i="9"/>
  <c r="H141" i="9" s="1"/>
  <c r="H140" i="9"/>
  <c r="C140" i="9"/>
  <c r="B140" i="9"/>
  <c r="A140" i="9"/>
  <c r="H139" i="9"/>
  <c r="C139" i="9"/>
  <c r="B139" i="9"/>
  <c r="A139" i="9"/>
  <c r="C138" i="9"/>
  <c r="B138" i="9"/>
  <c r="A138" i="9"/>
  <c r="H138" i="9" s="1"/>
  <c r="H137" i="9"/>
  <c r="C137" i="9"/>
  <c r="B137" i="9"/>
  <c r="A137" i="9"/>
  <c r="H136" i="9"/>
  <c r="C136" i="9"/>
  <c r="B136" i="9"/>
  <c r="A136" i="9"/>
  <c r="C135" i="9"/>
  <c r="B135" i="9"/>
  <c r="A135" i="9"/>
  <c r="H135" i="9" s="1"/>
  <c r="H134" i="9"/>
  <c r="C134" i="9"/>
  <c r="B134" i="9"/>
  <c r="A134" i="9"/>
  <c r="H133" i="9"/>
  <c r="C133" i="9"/>
  <c r="B133" i="9"/>
  <c r="A133" i="9"/>
  <c r="C132" i="9"/>
  <c r="B132" i="9"/>
  <c r="A132" i="9"/>
  <c r="H132" i="9" s="1"/>
  <c r="C131" i="9"/>
  <c r="B131" i="9"/>
  <c r="A131" i="9"/>
  <c r="H131" i="9" s="1"/>
  <c r="H130" i="9"/>
  <c r="C130" i="9"/>
  <c r="B130" i="9"/>
  <c r="A130" i="9"/>
  <c r="C129" i="9"/>
  <c r="B129" i="9"/>
  <c r="A129" i="9"/>
  <c r="H129" i="9" s="1"/>
  <c r="C128" i="9"/>
  <c r="B128" i="9"/>
  <c r="A128" i="9"/>
  <c r="H128" i="9" s="1"/>
  <c r="H127" i="9"/>
  <c r="C127" i="9"/>
  <c r="B127" i="9"/>
  <c r="A127" i="9"/>
  <c r="C126" i="9"/>
  <c r="B126" i="9"/>
  <c r="A126" i="9"/>
  <c r="H126" i="9" s="1"/>
  <c r="C125" i="9"/>
  <c r="B125" i="9"/>
  <c r="A125" i="9"/>
  <c r="H125" i="9" s="1"/>
  <c r="H124" i="9"/>
  <c r="C124" i="9"/>
  <c r="B124" i="9"/>
  <c r="A124" i="9"/>
  <c r="H123" i="9"/>
  <c r="C123" i="9"/>
  <c r="B123" i="9"/>
  <c r="A123" i="9"/>
  <c r="C122" i="9"/>
  <c r="B122" i="9"/>
  <c r="A122" i="9"/>
  <c r="H122" i="9" s="1"/>
  <c r="H121" i="9"/>
  <c r="C121" i="9"/>
  <c r="B121" i="9"/>
  <c r="A121" i="9"/>
  <c r="H120" i="9"/>
  <c r="C120" i="9"/>
  <c r="B120" i="9"/>
  <c r="A120" i="9"/>
  <c r="C119" i="9"/>
  <c r="B119" i="9"/>
  <c r="A119" i="9"/>
  <c r="H119" i="9" s="1"/>
  <c r="H118" i="9"/>
  <c r="C118" i="9"/>
  <c r="B118" i="9"/>
  <c r="A118" i="9"/>
  <c r="H117" i="9"/>
  <c r="C117" i="9"/>
  <c r="B117" i="9"/>
  <c r="A117" i="9"/>
  <c r="C116" i="9"/>
  <c r="B116" i="9"/>
  <c r="A116" i="9"/>
  <c r="H116" i="9" s="1"/>
  <c r="H115" i="9"/>
  <c r="C115" i="9"/>
  <c r="B115" i="9"/>
  <c r="A115" i="9"/>
  <c r="H114" i="9"/>
  <c r="C114" i="9"/>
  <c r="B114" i="9"/>
  <c r="A114" i="9"/>
  <c r="C113" i="9"/>
  <c r="B113" i="9"/>
  <c r="A113" i="9"/>
  <c r="H113" i="9" s="1"/>
  <c r="H112" i="9"/>
  <c r="C112" i="9"/>
  <c r="B112" i="9"/>
  <c r="A112" i="9"/>
  <c r="H111" i="9"/>
  <c r="C111" i="9"/>
  <c r="B111" i="9"/>
  <c r="A111" i="9"/>
  <c r="C110" i="9"/>
  <c r="B110" i="9"/>
  <c r="A110" i="9"/>
  <c r="H110" i="9" s="1"/>
  <c r="H109" i="9"/>
  <c r="C109" i="9"/>
  <c r="B109" i="9"/>
  <c r="A109" i="9"/>
  <c r="H108" i="9"/>
  <c r="C108" i="9"/>
  <c r="B108" i="9"/>
  <c r="A108" i="9"/>
  <c r="C107" i="9"/>
  <c r="B107" i="9"/>
  <c r="A107" i="9"/>
  <c r="H107" i="9" s="1"/>
  <c r="H106" i="9"/>
  <c r="C106" i="9"/>
  <c r="B106" i="9"/>
  <c r="A106" i="9"/>
  <c r="C105" i="9"/>
  <c r="B105" i="9"/>
  <c r="A105" i="9"/>
  <c r="H105" i="9" s="1"/>
  <c r="C104" i="9"/>
  <c r="B104" i="9"/>
  <c r="A104" i="9"/>
  <c r="H104" i="9" s="1"/>
  <c r="H103" i="9"/>
  <c r="C103" i="9"/>
  <c r="B103" i="9"/>
  <c r="A103" i="9"/>
  <c r="C102" i="9"/>
  <c r="B102" i="9"/>
  <c r="A102" i="9"/>
  <c r="H102" i="9" s="1"/>
  <c r="C101" i="9"/>
  <c r="B101" i="9"/>
  <c r="A101" i="9"/>
  <c r="H101" i="9" s="1"/>
  <c r="H100" i="9"/>
  <c r="C100" i="9"/>
  <c r="B100" i="9"/>
  <c r="A100" i="9"/>
  <c r="C99" i="9"/>
  <c r="B99" i="9"/>
  <c r="A99" i="9"/>
  <c r="H99" i="9" s="1"/>
  <c r="C98" i="9"/>
  <c r="B98" i="9"/>
  <c r="A98" i="9"/>
  <c r="H98" i="9" s="1"/>
  <c r="H97" i="9"/>
  <c r="C97" i="9"/>
  <c r="B97" i="9"/>
  <c r="A97" i="9"/>
  <c r="C96" i="9"/>
  <c r="B96" i="9"/>
  <c r="A96" i="9"/>
  <c r="H96" i="9" s="1"/>
  <c r="C95" i="9"/>
  <c r="B95" i="9"/>
  <c r="A95" i="9"/>
  <c r="H95" i="9" s="1"/>
  <c r="H94" i="9"/>
  <c r="C94" i="9"/>
  <c r="B94" i="9"/>
  <c r="A94" i="9"/>
  <c r="C93" i="9"/>
  <c r="B93" i="9"/>
  <c r="A93" i="9"/>
  <c r="H93" i="9" s="1"/>
  <c r="C92" i="9"/>
  <c r="B92" i="9"/>
  <c r="A92" i="9"/>
  <c r="H92" i="9" s="1"/>
  <c r="H91" i="9"/>
  <c r="C91" i="9"/>
  <c r="B91" i="9"/>
  <c r="A91" i="9"/>
  <c r="C90" i="9"/>
  <c r="B90" i="9"/>
  <c r="A90" i="9"/>
  <c r="H90" i="9" s="1"/>
  <c r="C89" i="9"/>
  <c r="B89" i="9"/>
  <c r="A89" i="9"/>
  <c r="H89" i="9" s="1"/>
  <c r="H88" i="9"/>
  <c r="C88" i="9"/>
  <c r="B88" i="9"/>
  <c r="A88" i="9"/>
  <c r="H87" i="9"/>
  <c r="C87" i="9"/>
  <c r="B87" i="9"/>
  <c r="A87" i="9"/>
  <c r="C86" i="9"/>
  <c r="B86" i="9"/>
  <c r="A86" i="9"/>
  <c r="H86" i="9" s="1"/>
  <c r="H85" i="9"/>
  <c r="C85" i="9"/>
  <c r="B85" i="9"/>
  <c r="A85" i="9"/>
  <c r="H84" i="9"/>
  <c r="C84" i="9"/>
  <c r="B84" i="9"/>
  <c r="A84" i="9"/>
  <c r="C83" i="9"/>
  <c r="B83" i="9"/>
  <c r="A83" i="9"/>
  <c r="H83" i="9" s="1"/>
  <c r="H82" i="9"/>
  <c r="C82" i="9"/>
  <c r="B82" i="9"/>
  <c r="A82" i="9"/>
  <c r="H81" i="9"/>
  <c r="C81" i="9"/>
  <c r="B81" i="9"/>
  <c r="A81" i="9"/>
  <c r="C80" i="9"/>
  <c r="B80" i="9"/>
  <c r="A80" i="9"/>
  <c r="H80" i="9" s="1"/>
  <c r="H79" i="9"/>
  <c r="C79" i="9"/>
  <c r="B79" i="9"/>
  <c r="A79" i="9"/>
  <c r="H78" i="9"/>
  <c r="C78" i="9"/>
  <c r="B78" i="9"/>
  <c r="A78" i="9"/>
  <c r="C77" i="9"/>
  <c r="B77" i="9"/>
  <c r="A77" i="9"/>
  <c r="H77" i="9" s="1"/>
  <c r="H76" i="9"/>
  <c r="C76" i="9"/>
  <c r="B76" i="9"/>
  <c r="A76" i="9"/>
  <c r="H75" i="9"/>
  <c r="C75" i="9"/>
  <c r="B75" i="9"/>
  <c r="A75" i="9"/>
  <c r="C74" i="9"/>
  <c r="B74" i="9"/>
  <c r="A74" i="9"/>
  <c r="H74" i="9" s="1"/>
  <c r="H73" i="9"/>
  <c r="C73" i="9"/>
  <c r="B73" i="9"/>
  <c r="A73" i="9"/>
  <c r="C72" i="9"/>
  <c r="B72" i="9"/>
  <c r="A72" i="9"/>
  <c r="H72" i="9" s="1"/>
  <c r="C71" i="9"/>
  <c r="B71" i="9"/>
  <c r="A71" i="9"/>
  <c r="H71" i="9" s="1"/>
  <c r="H70" i="9"/>
  <c r="C70" i="9"/>
  <c r="B70" i="9"/>
  <c r="A70" i="9"/>
  <c r="C69" i="9"/>
  <c r="B69" i="9"/>
  <c r="A69" i="9"/>
  <c r="H69" i="9" s="1"/>
  <c r="C68" i="9"/>
  <c r="B68" i="9"/>
  <c r="A68" i="9"/>
  <c r="H68" i="9" s="1"/>
  <c r="H67" i="9"/>
  <c r="C67" i="9"/>
  <c r="B67" i="9"/>
  <c r="A67" i="9"/>
  <c r="C66" i="9"/>
  <c r="B66" i="9"/>
  <c r="A66" i="9"/>
  <c r="H66" i="9" s="1"/>
  <c r="C65" i="9"/>
  <c r="B65" i="9"/>
  <c r="A65" i="9"/>
  <c r="H65" i="9" s="1"/>
  <c r="H64" i="9"/>
  <c r="C64" i="9"/>
  <c r="B64" i="9"/>
  <c r="A64" i="9"/>
  <c r="C63" i="9"/>
  <c r="B63" i="9"/>
  <c r="A63" i="9"/>
  <c r="H63" i="9" s="1"/>
  <c r="C62" i="9"/>
  <c r="B62" i="9"/>
  <c r="A62" i="9"/>
  <c r="H62" i="9" s="1"/>
  <c r="H61" i="9"/>
  <c r="C61" i="9"/>
  <c r="B61" i="9"/>
  <c r="A61" i="9"/>
  <c r="C60" i="9"/>
  <c r="B60" i="9"/>
  <c r="A60" i="9"/>
  <c r="H60" i="9" s="1"/>
  <c r="C59" i="9"/>
  <c r="B59" i="9"/>
  <c r="A59" i="9"/>
  <c r="H59" i="9" s="1"/>
  <c r="H58" i="9"/>
  <c r="C58" i="9"/>
  <c r="B58" i="9"/>
  <c r="A58" i="9"/>
  <c r="C57" i="9"/>
  <c r="B57" i="9"/>
  <c r="A57" i="9"/>
  <c r="H57" i="9" s="1"/>
  <c r="C56" i="9"/>
  <c r="B56" i="9"/>
  <c r="A56" i="9"/>
  <c r="H56" i="9" s="1"/>
  <c r="H55" i="9"/>
  <c r="C55" i="9"/>
  <c r="B55" i="9"/>
  <c r="A55" i="9"/>
  <c r="C54" i="9"/>
  <c r="B54" i="9"/>
  <c r="A54" i="9"/>
  <c r="H54" i="9" s="1"/>
  <c r="C53" i="9"/>
  <c r="B53" i="9"/>
  <c r="A53" i="9"/>
  <c r="H53" i="9" s="1"/>
  <c r="H52" i="9"/>
  <c r="C52" i="9"/>
  <c r="B52" i="9"/>
  <c r="A52" i="9"/>
  <c r="H51" i="9"/>
  <c r="C51" i="9"/>
  <c r="B51" i="9"/>
  <c r="A51" i="9"/>
  <c r="C50" i="9"/>
  <c r="B50" i="9"/>
  <c r="A50" i="9"/>
  <c r="H50" i="9" s="1"/>
  <c r="H49" i="9"/>
  <c r="C49" i="9"/>
  <c r="B49" i="9"/>
  <c r="A49" i="9"/>
  <c r="H48" i="9"/>
  <c r="C48" i="9"/>
  <c r="B48" i="9"/>
  <c r="A48" i="9"/>
  <c r="C47" i="9"/>
  <c r="B47" i="9"/>
  <c r="A47" i="9"/>
  <c r="H47" i="9" s="1"/>
  <c r="H46" i="9"/>
  <c r="C46" i="9"/>
  <c r="B46" i="9"/>
  <c r="A46" i="9"/>
  <c r="H45" i="9"/>
  <c r="C45" i="9"/>
  <c r="B45" i="9"/>
  <c r="A45" i="9"/>
  <c r="C44" i="9"/>
  <c r="B44" i="9"/>
  <c r="A44" i="9"/>
  <c r="H44" i="9" s="1"/>
  <c r="H43" i="9"/>
  <c r="C43" i="9"/>
  <c r="B43" i="9"/>
  <c r="A43" i="9"/>
  <c r="H42" i="9"/>
  <c r="C42" i="9"/>
  <c r="B42" i="9"/>
  <c r="A42" i="9"/>
  <c r="C41" i="9"/>
  <c r="B41" i="9"/>
  <c r="A41" i="9"/>
  <c r="H41" i="9" s="1"/>
  <c r="H40" i="9"/>
  <c r="C40" i="9"/>
  <c r="B40" i="9"/>
  <c r="A40" i="9"/>
  <c r="H39" i="9"/>
  <c r="C39" i="9"/>
  <c r="B39" i="9"/>
  <c r="A39" i="9"/>
  <c r="C38" i="9"/>
  <c r="B38" i="9"/>
  <c r="A38" i="9"/>
  <c r="H38" i="9" s="1"/>
  <c r="H37" i="9"/>
  <c r="C37" i="9"/>
  <c r="B37" i="9"/>
  <c r="A37" i="9"/>
  <c r="C36" i="9"/>
  <c r="B36" i="9"/>
  <c r="A36" i="9"/>
  <c r="H36" i="9" s="1"/>
  <c r="C35" i="9"/>
  <c r="B35" i="9"/>
  <c r="A35" i="9"/>
  <c r="H35" i="9" s="1"/>
  <c r="H34" i="9"/>
  <c r="C34" i="9"/>
  <c r="B34" i="9"/>
  <c r="A34" i="9"/>
  <c r="C33" i="9"/>
  <c r="B33" i="9"/>
  <c r="A33" i="9"/>
  <c r="H33" i="9" s="1"/>
  <c r="C32" i="9"/>
  <c r="B32" i="9"/>
  <c r="A32" i="9"/>
  <c r="H32" i="9" s="1"/>
  <c r="H31" i="9"/>
  <c r="C31" i="9"/>
  <c r="B31" i="9"/>
  <c r="A31" i="9"/>
  <c r="H30" i="9"/>
  <c r="C30" i="9"/>
  <c r="B30" i="9"/>
  <c r="A30" i="9"/>
  <c r="C29" i="9"/>
  <c r="B29" i="9"/>
  <c r="A29" i="9"/>
  <c r="H29" i="9" s="1"/>
  <c r="H28" i="9"/>
  <c r="C28" i="9"/>
  <c r="B28" i="9"/>
  <c r="A28" i="9"/>
  <c r="C27" i="9"/>
  <c r="B27" i="9"/>
  <c r="A27" i="9"/>
  <c r="H27" i="9" s="1"/>
  <c r="C26" i="9"/>
  <c r="B26" i="9"/>
  <c r="A26" i="9"/>
  <c r="H26" i="9" s="1"/>
  <c r="H25" i="9"/>
  <c r="C25" i="9"/>
  <c r="B25" i="9"/>
  <c r="A25" i="9"/>
  <c r="C24" i="9"/>
  <c r="B24" i="9"/>
  <c r="A24" i="9"/>
  <c r="H24" i="9" s="1"/>
  <c r="C23" i="9"/>
  <c r="B23" i="9"/>
  <c r="A23" i="9"/>
  <c r="H22" i="9"/>
  <c r="C22" i="9"/>
  <c r="B22" i="9"/>
  <c r="A22" i="9"/>
  <c r="C21" i="9"/>
  <c r="B21" i="9"/>
  <c r="A21" i="9"/>
  <c r="H21" i="9" s="1"/>
  <c r="C20" i="9"/>
  <c r="B20" i="9"/>
  <c r="A20" i="9"/>
  <c r="H20" i="9" s="1"/>
  <c r="H19" i="9"/>
  <c r="C19" i="9"/>
  <c r="B19" i="9"/>
  <c r="A19" i="9"/>
  <c r="C18" i="9"/>
  <c r="B18" i="9"/>
  <c r="A18" i="9"/>
  <c r="H18" i="9" s="1"/>
  <c r="C17" i="9"/>
  <c r="B17" i="9"/>
  <c r="A17" i="9"/>
  <c r="H17" i="9" s="1"/>
  <c r="H16" i="9"/>
  <c r="C16" i="9"/>
  <c r="B16" i="9"/>
  <c r="A16" i="9"/>
  <c r="H15" i="9"/>
  <c r="C15" i="9"/>
  <c r="B15" i="9"/>
  <c r="A15" i="9"/>
  <c r="C14" i="9"/>
  <c r="B14" i="9"/>
  <c r="A14" i="9"/>
  <c r="H14" i="9" s="1"/>
  <c r="H13" i="9"/>
  <c r="C13" i="9"/>
  <c r="B13" i="9"/>
  <c r="A13" i="9"/>
  <c r="H12" i="9"/>
  <c r="C12" i="9"/>
  <c r="B12" i="9"/>
  <c r="A12" i="9"/>
  <c r="C11" i="9"/>
  <c r="B11" i="9"/>
  <c r="A11" i="9"/>
  <c r="H11" i="9" s="1"/>
  <c r="H10" i="9"/>
  <c r="C10" i="9"/>
  <c r="B10" i="9"/>
  <c r="A10" i="9"/>
  <c r="H9" i="9"/>
  <c r="C9" i="9"/>
  <c r="B9" i="9"/>
  <c r="A9" i="9"/>
  <c r="C8" i="9"/>
  <c r="B8" i="9"/>
  <c r="A8" i="9"/>
  <c r="H8" i="9" s="1"/>
  <c r="H7" i="9"/>
  <c r="C7" i="9"/>
  <c r="B7" i="9"/>
  <c r="A7" i="9"/>
  <c r="H6" i="9"/>
  <c r="C6" i="9"/>
  <c r="B6" i="9"/>
  <c r="A6" i="9"/>
  <c r="C5" i="9"/>
  <c r="B5" i="9"/>
  <c r="A5" i="9"/>
  <c r="H5" i="9" s="1"/>
  <c r="H4" i="9"/>
  <c r="C4" i="9"/>
  <c r="B4" i="9"/>
  <c r="A4" i="9"/>
  <c r="H3" i="9"/>
  <c r="C3" i="9"/>
  <c r="B3" i="9"/>
  <c r="A3" i="9"/>
  <c r="C2" i="9"/>
  <c r="B2" i="9"/>
  <c r="A2" i="9"/>
  <c r="H2" i="9" s="1"/>
  <c r="I499" i="8"/>
  <c r="C499" i="8"/>
  <c r="B499" i="8"/>
  <c r="A499" i="8"/>
  <c r="I498" i="8"/>
  <c r="C498" i="8"/>
  <c r="B498" i="8"/>
  <c r="A498" i="8"/>
  <c r="C497" i="8"/>
  <c r="B497" i="8"/>
  <c r="A497" i="8"/>
  <c r="I497" i="8" s="1"/>
  <c r="I496" i="8"/>
  <c r="C496" i="8"/>
  <c r="B496" i="8"/>
  <c r="A496" i="8"/>
  <c r="I495" i="8"/>
  <c r="C495" i="8"/>
  <c r="B495" i="8"/>
  <c r="A495" i="8"/>
  <c r="C494" i="8"/>
  <c r="B494" i="8"/>
  <c r="A494" i="8"/>
  <c r="I494" i="8" s="1"/>
  <c r="I493" i="8"/>
  <c r="C493" i="8"/>
  <c r="B493" i="8"/>
  <c r="A493" i="8"/>
  <c r="C492" i="8"/>
  <c r="B492" i="8"/>
  <c r="A492" i="8"/>
  <c r="I492" i="8" s="1"/>
  <c r="C491" i="8"/>
  <c r="B491" i="8"/>
  <c r="A491" i="8"/>
  <c r="I491" i="8" s="1"/>
  <c r="I490" i="8"/>
  <c r="C490" i="8"/>
  <c r="B490" i="8"/>
  <c r="A490" i="8"/>
  <c r="C489" i="8"/>
  <c r="B489" i="8"/>
  <c r="A489" i="8"/>
  <c r="I489" i="8" s="1"/>
  <c r="C488" i="8"/>
  <c r="B488" i="8"/>
  <c r="A488" i="8"/>
  <c r="I488" i="8" s="1"/>
  <c r="I487" i="8"/>
  <c r="C487" i="8"/>
  <c r="B487" i="8"/>
  <c r="A487" i="8"/>
  <c r="C486" i="8"/>
  <c r="B486" i="8"/>
  <c r="A486" i="8"/>
  <c r="I486" i="8" s="1"/>
  <c r="C485" i="8"/>
  <c r="B485" i="8"/>
  <c r="A485" i="8"/>
  <c r="I485" i="8" s="1"/>
  <c r="I484" i="8"/>
  <c r="C484" i="8"/>
  <c r="B484" i="8"/>
  <c r="A484" i="8"/>
  <c r="C483" i="8"/>
  <c r="B483" i="8"/>
  <c r="A483" i="8"/>
  <c r="I483" i="8" s="1"/>
  <c r="C482" i="8"/>
  <c r="B482" i="8"/>
  <c r="A482" i="8"/>
  <c r="I482" i="8" s="1"/>
  <c r="I481" i="8"/>
  <c r="C481" i="8"/>
  <c r="B481" i="8"/>
  <c r="A481" i="8"/>
  <c r="C480" i="8"/>
  <c r="B480" i="8"/>
  <c r="A480" i="8"/>
  <c r="I480" i="8" s="1"/>
  <c r="C479" i="8"/>
  <c r="B479" i="8"/>
  <c r="A479" i="8"/>
  <c r="I479" i="8" s="1"/>
  <c r="I478" i="8"/>
  <c r="C478" i="8"/>
  <c r="B478" i="8"/>
  <c r="A478" i="8"/>
  <c r="I477" i="8"/>
  <c r="C477" i="8"/>
  <c r="B477" i="8"/>
  <c r="A477" i="8"/>
  <c r="C476" i="8"/>
  <c r="B476" i="8"/>
  <c r="A476" i="8"/>
  <c r="I476" i="8" s="1"/>
  <c r="I475" i="8"/>
  <c r="C475" i="8"/>
  <c r="B475" i="8"/>
  <c r="A475" i="8"/>
  <c r="I474" i="8"/>
  <c r="C474" i="8"/>
  <c r="B474" i="8"/>
  <c r="A474" i="8"/>
  <c r="C473" i="8"/>
  <c r="B473" i="8"/>
  <c r="A473" i="8"/>
  <c r="I473" i="8" s="1"/>
  <c r="I472" i="8"/>
  <c r="C472" i="8"/>
  <c r="B472" i="8"/>
  <c r="A472" i="8"/>
  <c r="I471" i="8"/>
  <c r="C471" i="8"/>
  <c r="B471" i="8"/>
  <c r="A471" i="8"/>
  <c r="C470" i="8"/>
  <c r="B470" i="8"/>
  <c r="A470" i="8"/>
  <c r="I470" i="8" s="1"/>
  <c r="I469" i="8"/>
  <c r="C469" i="8"/>
  <c r="B469" i="8"/>
  <c r="A469" i="8"/>
  <c r="I468" i="8"/>
  <c r="C468" i="8"/>
  <c r="B468" i="8"/>
  <c r="A468" i="8"/>
  <c r="C467" i="8"/>
  <c r="B467" i="8"/>
  <c r="A467" i="8"/>
  <c r="I467" i="8" s="1"/>
  <c r="I466" i="8"/>
  <c r="C466" i="8"/>
  <c r="B466" i="8"/>
  <c r="A466" i="8"/>
  <c r="I465" i="8"/>
  <c r="C465" i="8"/>
  <c r="B465" i="8"/>
  <c r="A465" i="8"/>
  <c r="C464" i="8"/>
  <c r="B464" i="8"/>
  <c r="A464" i="8"/>
  <c r="I464" i="8" s="1"/>
  <c r="I463" i="8"/>
  <c r="C463" i="8"/>
  <c r="B463" i="8"/>
  <c r="A463" i="8"/>
  <c r="C462" i="8"/>
  <c r="B462" i="8"/>
  <c r="A462" i="8"/>
  <c r="I462" i="8" s="1"/>
  <c r="C461" i="8"/>
  <c r="B461" i="8"/>
  <c r="A461" i="8"/>
  <c r="I461" i="8" s="1"/>
  <c r="I460" i="8"/>
  <c r="C460" i="8"/>
  <c r="B460" i="8"/>
  <c r="A460" i="8"/>
  <c r="C459" i="8"/>
  <c r="B459" i="8"/>
  <c r="A459" i="8"/>
  <c r="I459" i="8" s="1"/>
  <c r="C458" i="8"/>
  <c r="B458" i="8"/>
  <c r="A458" i="8"/>
  <c r="I458" i="8" s="1"/>
  <c r="I457" i="8"/>
  <c r="C457" i="8"/>
  <c r="B457" i="8"/>
  <c r="A457" i="8"/>
  <c r="I456" i="8"/>
  <c r="C456" i="8"/>
  <c r="B456" i="8"/>
  <c r="A456" i="8"/>
  <c r="C455" i="8"/>
  <c r="B455" i="8"/>
  <c r="A455" i="8"/>
  <c r="I455" i="8" s="1"/>
  <c r="I454" i="8"/>
  <c r="C454" i="8"/>
  <c r="B454" i="8"/>
  <c r="A454" i="8"/>
  <c r="C453" i="8"/>
  <c r="B453" i="8"/>
  <c r="A453" i="8"/>
  <c r="I453" i="8" s="1"/>
  <c r="C452" i="8"/>
  <c r="B452" i="8"/>
  <c r="A452" i="8"/>
  <c r="I452" i="8" s="1"/>
  <c r="I451" i="8"/>
  <c r="C451" i="8"/>
  <c r="B451" i="8"/>
  <c r="A451" i="8"/>
  <c r="C450" i="8"/>
  <c r="B450" i="8"/>
  <c r="A450" i="8"/>
  <c r="I450" i="8" s="1"/>
  <c r="C449" i="8"/>
  <c r="B449" i="8"/>
  <c r="A449" i="8"/>
  <c r="I449" i="8" s="1"/>
  <c r="I448" i="8"/>
  <c r="C448" i="8"/>
  <c r="B448" i="8"/>
  <c r="A448" i="8"/>
  <c r="C447" i="8"/>
  <c r="B447" i="8"/>
  <c r="A447" i="8"/>
  <c r="I447" i="8" s="1"/>
  <c r="C446" i="8"/>
  <c r="B446" i="8"/>
  <c r="A446" i="8"/>
  <c r="I446" i="8" s="1"/>
  <c r="I445" i="8"/>
  <c r="C445" i="8"/>
  <c r="B445" i="8"/>
  <c r="A445" i="8"/>
  <c r="C444" i="8"/>
  <c r="B444" i="8"/>
  <c r="A444" i="8"/>
  <c r="I444" i="8" s="1"/>
  <c r="C443" i="8"/>
  <c r="B443" i="8"/>
  <c r="A443" i="8"/>
  <c r="I443" i="8" s="1"/>
  <c r="I442" i="8"/>
  <c r="C442" i="8"/>
  <c r="B442" i="8"/>
  <c r="A442" i="8"/>
  <c r="I441" i="8"/>
  <c r="C441" i="8"/>
  <c r="B441" i="8"/>
  <c r="A441" i="8"/>
  <c r="C440" i="8"/>
  <c r="B440" i="8"/>
  <c r="A440" i="8"/>
  <c r="I440" i="8" s="1"/>
  <c r="I439" i="8"/>
  <c r="C439" i="8"/>
  <c r="B439" i="8"/>
  <c r="A439" i="8"/>
  <c r="I438" i="8"/>
  <c r="C438" i="8"/>
  <c r="B438" i="8"/>
  <c r="A438" i="8"/>
  <c r="C437" i="8"/>
  <c r="B437" i="8"/>
  <c r="A437" i="8"/>
  <c r="I437" i="8" s="1"/>
  <c r="I436" i="8"/>
  <c r="C436" i="8"/>
  <c r="B436" i="8"/>
  <c r="A436" i="8"/>
  <c r="I435" i="8"/>
  <c r="C435" i="8"/>
  <c r="B435" i="8"/>
  <c r="A435" i="8"/>
  <c r="C434" i="8"/>
  <c r="B434" i="8"/>
  <c r="A434" i="8"/>
  <c r="I434" i="8" s="1"/>
  <c r="I433" i="8"/>
  <c r="C433" i="8"/>
  <c r="B433" i="8"/>
  <c r="A433" i="8"/>
  <c r="I432" i="8"/>
  <c r="C432" i="8"/>
  <c r="B432" i="8"/>
  <c r="A432" i="8"/>
  <c r="C431" i="8"/>
  <c r="B431" i="8"/>
  <c r="A431" i="8"/>
  <c r="I431" i="8" s="1"/>
  <c r="I430" i="8"/>
  <c r="C430" i="8"/>
  <c r="B430" i="8"/>
  <c r="A430" i="8"/>
  <c r="I429" i="8"/>
  <c r="C429" i="8"/>
  <c r="B429" i="8"/>
  <c r="A429" i="8"/>
  <c r="C428" i="8"/>
  <c r="B428" i="8"/>
  <c r="A428" i="8"/>
  <c r="I428" i="8" s="1"/>
  <c r="I427" i="8"/>
  <c r="C427" i="8"/>
  <c r="B427" i="8"/>
  <c r="A427" i="8"/>
  <c r="I426" i="8"/>
  <c r="C426" i="8"/>
  <c r="B426" i="8"/>
  <c r="A426" i="8"/>
  <c r="C425" i="8"/>
  <c r="B425" i="8"/>
  <c r="A425" i="8"/>
  <c r="I425" i="8" s="1"/>
  <c r="I424" i="8"/>
  <c r="C424" i="8"/>
  <c r="B424" i="8"/>
  <c r="A424" i="8"/>
  <c r="C423" i="8"/>
  <c r="B423" i="8"/>
  <c r="A423" i="8"/>
  <c r="I423" i="8" s="1"/>
  <c r="C422" i="8"/>
  <c r="B422" i="8"/>
  <c r="A422" i="8"/>
  <c r="I422" i="8" s="1"/>
  <c r="I421" i="8"/>
  <c r="C421" i="8"/>
  <c r="B421" i="8"/>
  <c r="A421" i="8"/>
  <c r="I420" i="8"/>
  <c r="C420" i="8"/>
  <c r="B420" i="8"/>
  <c r="A420" i="8"/>
  <c r="C419" i="8"/>
  <c r="B419" i="8"/>
  <c r="A419" i="8"/>
  <c r="I419" i="8" s="1"/>
  <c r="I418" i="8"/>
  <c r="C418" i="8"/>
  <c r="B418" i="8"/>
  <c r="A418" i="8"/>
  <c r="C417" i="8"/>
  <c r="B417" i="8"/>
  <c r="A417" i="8"/>
  <c r="I417" i="8" s="1"/>
  <c r="C416" i="8"/>
  <c r="B416" i="8"/>
  <c r="A416" i="8"/>
  <c r="I416" i="8" s="1"/>
  <c r="I415" i="8"/>
  <c r="C415" i="8"/>
  <c r="B415" i="8"/>
  <c r="A415" i="8"/>
  <c r="C414" i="8"/>
  <c r="B414" i="8"/>
  <c r="A414" i="8"/>
  <c r="I414" i="8" s="1"/>
  <c r="C413" i="8"/>
  <c r="B413" i="8"/>
  <c r="A413" i="8"/>
  <c r="I413" i="8" s="1"/>
  <c r="I412" i="8"/>
  <c r="C412" i="8"/>
  <c r="B412" i="8"/>
  <c r="A412" i="8"/>
  <c r="C411" i="8"/>
  <c r="B411" i="8"/>
  <c r="A411" i="8"/>
  <c r="I411" i="8" s="1"/>
  <c r="C410" i="8"/>
  <c r="B410" i="8"/>
  <c r="A410" i="8"/>
  <c r="I410" i="8" s="1"/>
  <c r="I409" i="8"/>
  <c r="C409" i="8"/>
  <c r="B409" i="8"/>
  <c r="A409" i="8"/>
  <c r="C408" i="8"/>
  <c r="B408" i="8"/>
  <c r="A408" i="8"/>
  <c r="I408" i="8" s="1"/>
  <c r="C407" i="8"/>
  <c r="B407" i="8"/>
  <c r="A407" i="8"/>
  <c r="I407" i="8" s="1"/>
  <c r="I406" i="8"/>
  <c r="C406" i="8"/>
  <c r="B406" i="8"/>
  <c r="A406" i="8"/>
  <c r="I405" i="8"/>
  <c r="C405" i="8"/>
  <c r="B405" i="8"/>
  <c r="A405" i="8"/>
  <c r="C404" i="8"/>
  <c r="B404" i="8"/>
  <c r="A404" i="8"/>
  <c r="I404" i="8" s="1"/>
  <c r="I403" i="8"/>
  <c r="C403" i="8"/>
  <c r="B403" i="8"/>
  <c r="A403" i="8"/>
  <c r="I402" i="8"/>
  <c r="C402" i="8"/>
  <c r="B402" i="8"/>
  <c r="A402" i="8"/>
  <c r="C401" i="8"/>
  <c r="B401" i="8"/>
  <c r="A401" i="8"/>
  <c r="I401" i="8" s="1"/>
  <c r="I400" i="8"/>
  <c r="C400" i="8"/>
  <c r="B400" i="8"/>
  <c r="A400" i="8"/>
  <c r="I399" i="8"/>
  <c r="C399" i="8"/>
  <c r="B399" i="8"/>
  <c r="A399" i="8"/>
  <c r="C398" i="8"/>
  <c r="B398" i="8"/>
  <c r="A398" i="8"/>
  <c r="I398" i="8" s="1"/>
  <c r="I397" i="8"/>
  <c r="C397" i="8"/>
  <c r="B397" i="8"/>
  <c r="A397" i="8"/>
  <c r="I396" i="8"/>
  <c r="C396" i="8"/>
  <c r="B396" i="8"/>
  <c r="A396" i="8"/>
  <c r="C395" i="8"/>
  <c r="B395" i="8"/>
  <c r="A395" i="8"/>
  <c r="I395" i="8" s="1"/>
  <c r="I394" i="8"/>
  <c r="C394" i="8"/>
  <c r="B394" i="8"/>
  <c r="A394" i="8"/>
  <c r="I393" i="8"/>
  <c r="C393" i="8"/>
  <c r="B393" i="8"/>
  <c r="A393" i="8"/>
  <c r="C392" i="8"/>
  <c r="B392" i="8"/>
  <c r="A392" i="8"/>
  <c r="I392" i="8" s="1"/>
  <c r="I391" i="8"/>
  <c r="C391" i="8"/>
  <c r="B391" i="8"/>
  <c r="A391" i="8"/>
  <c r="I390" i="8"/>
  <c r="C390" i="8"/>
  <c r="B390" i="8"/>
  <c r="A390" i="8"/>
  <c r="I389" i="8"/>
  <c r="C389" i="8"/>
  <c r="B389" i="8"/>
  <c r="A389" i="8"/>
  <c r="I388" i="8"/>
  <c r="C388" i="8"/>
  <c r="B388" i="8"/>
  <c r="A388" i="8"/>
  <c r="I387" i="8"/>
  <c r="C387" i="8"/>
  <c r="B387" i="8"/>
  <c r="A387" i="8"/>
  <c r="I386" i="8"/>
  <c r="C386" i="8"/>
  <c r="B386" i="8"/>
  <c r="A386" i="8"/>
  <c r="I385" i="8"/>
  <c r="C385" i="8"/>
  <c r="B385" i="8"/>
  <c r="A385" i="8"/>
  <c r="I384" i="8"/>
  <c r="C384" i="8"/>
  <c r="B384" i="8"/>
  <c r="A384" i="8"/>
  <c r="I383" i="8"/>
  <c r="C383" i="8"/>
  <c r="B383" i="8"/>
  <c r="A383" i="8"/>
  <c r="I382" i="8"/>
  <c r="C382" i="8"/>
  <c r="B382" i="8"/>
  <c r="A382" i="8"/>
  <c r="I381" i="8"/>
  <c r="C381" i="8"/>
  <c r="B381" i="8"/>
  <c r="A381" i="8"/>
  <c r="I380" i="8"/>
  <c r="C380" i="8"/>
  <c r="B380" i="8"/>
  <c r="A380" i="8"/>
  <c r="I379" i="8"/>
  <c r="C379" i="8"/>
  <c r="B379" i="8"/>
  <c r="A379" i="8"/>
  <c r="I378" i="8"/>
  <c r="C378" i="8"/>
  <c r="B378" i="8"/>
  <c r="A378" i="8"/>
  <c r="I377" i="8"/>
  <c r="C377" i="8"/>
  <c r="B377" i="8"/>
  <c r="A377" i="8"/>
  <c r="I376" i="8"/>
  <c r="C376" i="8"/>
  <c r="B376" i="8"/>
  <c r="A376" i="8"/>
  <c r="I375" i="8"/>
  <c r="C375" i="8"/>
  <c r="B375" i="8"/>
  <c r="A375" i="8"/>
  <c r="I374" i="8"/>
  <c r="C374" i="8"/>
  <c r="B374" i="8"/>
  <c r="A374" i="8"/>
  <c r="I373" i="8"/>
  <c r="C373" i="8"/>
  <c r="B373" i="8"/>
  <c r="A373" i="8"/>
  <c r="I372" i="8"/>
  <c r="C372" i="8"/>
  <c r="B372" i="8"/>
  <c r="A372" i="8"/>
  <c r="I371" i="8"/>
  <c r="C371" i="8"/>
  <c r="B371" i="8"/>
  <c r="A371" i="8"/>
  <c r="I370" i="8"/>
  <c r="C370" i="8"/>
  <c r="B370" i="8"/>
  <c r="A370" i="8"/>
  <c r="I369" i="8"/>
  <c r="C369" i="8"/>
  <c r="B369" i="8"/>
  <c r="A369" i="8"/>
  <c r="I368" i="8"/>
  <c r="C368" i="8"/>
  <c r="B368" i="8"/>
  <c r="A368" i="8"/>
  <c r="I367" i="8"/>
  <c r="C367" i="8"/>
  <c r="B367" i="8"/>
  <c r="A367" i="8"/>
  <c r="I366" i="8"/>
  <c r="C366" i="8"/>
  <c r="B366" i="8"/>
  <c r="A366" i="8"/>
  <c r="I365" i="8"/>
  <c r="C365" i="8"/>
  <c r="B365" i="8"/>
  <c r="A365" i="8"/>
  <c r="I364" i="8"/>
  <c r="C364" i="8"/>
  <c r="B364" i="8"/>
  <c r="A364" i="8"/>
  <c r="I363" i="8"/>
  <c r="C363" i="8"/>
  <c r="B363" i="8"/>
  <c r="A363" i="8"/>
  <c r="I362" i="8"/>
  <c r="C362" i="8"/>
  <c r="B362" i="8"/>
  <c r="A362" i="8"/>
  <c r="I361" i="8"/>
  <c r="C361" i="8"/>
  <c r="B361" i="8"/>
  <c r="A361" i="8"/>
  <c r="I360" i="8"/>
  <c r="C360" i="8"/>
  <c r="B360" i="8"/>
  <c r="A360" i="8"/>
  <c r="I359" i="8"/>
  <c r="C359" i="8"/>
  <c r="B359" i="8"/>
  <c r="A359" i="8"/>
  <c r="I358" i="8"/>
  <c r="C358" i="8"/>
  <c r="B358" i="8"/>
  <c r="A358" i="8"/>
  <c r="I357" i="8"/>
  <c r="C357" i="8"/>
  <c r="B357" i="8"/>
  <c r="A357" i="8"/>
  <c r="I356" i="8"/>
  <c r="C356" i="8"/>
  <c r="B356" i="8"/>
  <c r="A356" i="8"/>
  <c r="I355" i="8"/>
  <c r="C355" i="8"/>
  <c r="B355" i="8"/>
  <c r="A355" i="8"/>
  <c r="I354" i="8"/>
  <c r="C354" i="8"/>
  <c r="B354" i="8"/>
  <c r="A354" i="8"/>
  <c r="I353" i="8"/>
  <c r="C353" i="8"/>
  <c r="B353" i="8"/>
  <c r="A353" i="8"/>
  <c r="I352" i="8"/>
  <c r="C352" i="8"/>
  <c r="B352" i="8"/>
  <c r="A352" i="8"/>
  <c r="I351" i="8"/>
  <c r="C351" i="8"/>
  <c r="B351" i="8"/>
  <c r="A351" i="8"/>
  <c r="I350" i="8"/>
  <c r="C350" i="8"/>
  <c r="B350" i="8"/>
  <c r="A350" i="8"/>
  <c r="I349" i="8"/>
  <c r="C349" i="8"/>
  <c r="B349" i="8"/>
  <c r="A349" i="8"/>
  <c r="I348" i="8"/>
  <c r="C348" i="8"/>
  <c r="B348" i="8"/>
  <c r="A348" i="8"/>
  <c r="I347" i="8"/>
  <c r="C347" i="8"/>
  <c r="B347" i="8"/>
  <c r="A347" i="8"/>
  <c r="I346" i="8"/>
  <c r="C346" i="8"/>
  <c r="B346" i="8"/>
  <c r="A346" i="8"/>
  <c r="I345" i="8"/>
  <c r="C345" i="8"/>
  <c r="B345" i="8"/>
  <c r="A345" i="8"/>
  <c r="I344" i="8"/>
  <c r="C344" i="8"/>
  <c r="B344" i="8"/>
  <c r="A344" i="8"/>
  <c r="I343" i="8"/>
  <c r="C343" i="8"/>
  <c r="B343" i="8"/>
  <c r="A343" i="8"/>
  <c r="I342" i="8"/>
  <c r="C342" i="8"/>
  <c r="B342" i="8"/>
  <c r="A342" i="8"/>
  <c r="I341" i="8"/>
  <c r="C341" i="8"/>
  <c r="B341" i="8"/>
  <c r="A341" i="8"/>
  <c r="I340" i="8"/>
  <c r="C340" i="8"/>
  <c r="B340" i="8"/>
  <c r="A340" i="8"/>
  <c r="I339" i="8"/>
  <c r="C339" i="8"/>
  <c r="B339" i="8"/>
  <c r="A339" i="8"/>
  <c r="I338" i="8"/>
  <c r="C338" i="8"/>
  <c r="B338" i="8"/>
  <c r="A338" i="8"/>
  <c r="I337" i="8"/>
  <c r="C337" i="8"/>
  <c r="B337" i="8"/>
  <c r="A337" i="8"/>
  <c r="I336" i="8"/>
  <c r="C336" i="8"/>
  <c r="B336" i="8"/>
  <c r="A336" i="8"/>
  <c r="I335" i="8"/>
  <c r="C335" i="8"/>
  <c r="B335" i="8"/>
  <c r="A335" i="8"/>
  <c r="I334" i="8"/>
  <c r="C334" i="8"/>
  <c r="B334" i="8"/>
  <c r="A334" i="8"/>
  <c r="I333" i="8"/>
  <c r="C333" i="8"/>
  <c r="B333" i="8"/>
  <c r="A333" i="8"/>
  <c r="I332" i="8"/>
  <c r="C332" i="8"/>
  <c r="B332" i="8"/>
  <c r="A332" i="8"/>
  <c r="I331" i="8"/>
  <c r="C331" i="8"/>
  <c r="B331" i="8"/>
  <c r="A331" i="8"/>
  <c r="I330" i="8"/>
  <c r="C330" i="8"/>
  <c r="B330" i="8"/>
  <c r="A330" i="8"/>
  <c r="I329" i="8"/>
  <c r="C329" i="8"/>
  <c r="B329" i="8"/>
  <c r="A329" i="8"/>
  <c r="I328" i="8"/>
  <c r="C328" i="8"/>
  <c r="B328" i="8"/>
  <c r="A328" i="8"/>
  <c r="I327" i="8"/>
  <c r="C327" i="8"/>
  <c r="B327" i="8"/>
  <c r="A327" i="8"/>
  <c r="I326" i="8"/>
  <c r="C326" i="8"/>
  <c r="B326" i="8"/>
  <c r="A326" i="8"/>
  <c r="I325" i="8"/>
  <c r="C325" i="8"/>
  <c r="B325" i="8"/>
  <c r="A325" i="8"/>
  <c r="I324" i="8"/>
  <c r="C324" i="8"/>
  <c r="B324" i="8"/>
  <c r="A324" i="8"/>
  <c r="I323" i="8"/>
  <c r="C323" i="8"/>
  <c r="B323" i="8"/>
  <c r="A323" i="8"/>
  <c r="I322" i="8"/>
  <c r="C322" i="8"/>
  <c r="B322" i="8"/>
  <c r="A322" i="8"/>
  <c r="I321" i="8"/>
  <c r="C321" i="8"/>
  <c r="B321" i="8"/>
  <c r="A321" i="8"/>
  <c r="I320" i="8"/>
  <c r="C320" i="8"/>
  <c r="B320" i="8"/>
  <c r="A320" i="8"/>
  <c r="I319" i="8"/>
  <c r="C319" i="8"/>
  <c r="B319" i="8"/>
  <c r="A319" i="8"/>
  <c r="I318" i="8"/>
  <c r="C318" i="8"/>
  <c r="B318" i="8"/>
  <c r="A318" i="8"/>
  <c r="I317" i="8"/>
  <c r="C317" i="8"/>
  <c r="B317" i="8"/>
  <c r="A317" i="8"/>
  <c r="I316" i="8"/>
  <c r="C316" i="8"/>
  <c r="B316" i="8"/>
  <c r="A316" i="8"/>
  <c r="I315" i="8"/>
  <c r="C315" i="8"/>
  <c r="B315" i="8"/>
  <c r="A315" i="8"/>
  <c r="I314" i="8"/>
  <c r="C314" i="8"/>
  <c r="B314" i="8"/>
  <c r="A314" i="8"/>
  <c r="I313" i="8"/>
  <c r="C313" i="8"/>
  <c r="B313" i="8"/>
  <c r="A313" i="8"/>
  <c r="I312" i="8"/>
  <c r="C312" i="8"/>
  <c r="B312" i="8"/>
  <c r="A312" i="8"/>
  <c r="I311" i="8"/>
  <c r="C311" i="8"/>
  <c r="B311" i="8"/>
  <c r="A311" i="8"/>
  <c r="I310" i="8"/>
  <c r="C310" i="8"/>
  <c r="B310" i="8"/>
  <c r="A310" i="8"/>
  <c r="I309" i="8"/>
  <c r="C309" i="8"/>
  <c r="B309" i="8"/>
  <c r="A309" i="8"/>
  <c r="I308" i="8"/>
  <c r="C308" i="8"/>
  <c r="B308" i="8"/>
  <c r="A308" i="8"/>
  <c r="I307" i="8"/>
  <c r="C307" i="8"/>
  <c r="B307" i="8"/>
  <c r="A307" i="8"/>
  <c r="I306" i="8"/>
  <c r="C306" i="8"/>
  <c r="B306" i="8"/>
  <c r="A306" i="8"/>
  <c r="I305" i="8"/>
  <c r="C305" i="8"/>
  <c r="B305" i="8"/>
  <c r="A305" i="8"/>
  <c r="I304" i="8"/>
  <c r="C304" i="8"/>
  <c r="B304" i="8"/>
  <c r="A304" i="8"/>
  <c r="I303" i="8"/>
  <c r="C303" i="8"/>
  <c r="B303" i="8"/>
  <c r="A303" i="8"/>
  <c r="I302" i="8"/>
  <c r="C302" i="8"/>
  <c r="B302" i="8"/>
  <c r="A302" i="8"/>
  <c r="I301" i="8"/>
  <c r="C301" i="8"/>
  <c r="B301" i="8"/>
  <c r="A301" i="8"/>
  <c r="I300" i="8"/>
  <c r="C300" i="8"/>
  <c r="B300" i="8"/>
  <c r="A300" i="8"/>
  <c r="I299" i="8"/>
  <c r="C299" i="8"/>
  <c r="B299" i="8"/>
  <c r="A299" i="8"/>
  <c r="I298" i="8"/>
  <c r="C298" i="8"/>
  <c r="B298" i="8"/>
  <c r="A298" i="8"/>
  <c r="I297" i="8"/>
  <c r="C297" i="8"/>
  <c r="B297" i="8"/>
  <c r="A297" i="8"/>
  <c r="I296" i="8"/>
  <c r="C296" i="8"/>
  <c r="B296" i="8"/>
  <c r="A296" i="8"/>
  <c r="I295" i="8"/>
  <c r="C295" i="8"/>
  <c r="B295" i="8"/>
  <c r="A295" i="8"/>
  <c r="I294" i="8"/>
  <c r="C294" i="8"/>
  <c r="B294" i="8"/>
  <c r="A294" i="8"/>
  <c r="I293" i="8"/>
  <c r="C293" i="8"/>
  <c r="B293" i="8"/>
  <c r="A293" i="8"/>
  <c r="I292" i="8"/>
  <c r="C292" i="8"/>
  <c r="B292" i="8"/>
  <c r="A292" i="8"/>
  <c r="I291" i="8"/>
  <c r="C291" i="8"/>
  <c r="B291" i="8"/>
  <c r="A291" i="8"/>
  <c r="I290" i="8"/>
  <c r="C290" i="8"/>
  <c r="B290" i="8"/>
  <c r="A290" i="8"/>
  <c r="I289" i="8"/>
  <c r="C289" i="8"/>
  <c r="B289" i="8"/>
  <c r="A289" i="8"/>
  <c r="I288" i="8"/>
  <c r="C288" i="8"/>
  <c r="B288" i="8"/>
  <c r="A288" i="8"/>
  <c r="I287" i="8"/>
  <c r="C287" i="8"/>
  <c r="B287" i="8"/>
  <c r="A287" i="8"/>
  <c r="I286" i="8"/>
  <c r="C286" i="8"/>
  <c r="B286" i="8"/>
  <c r="A286" i="8"/>
  <c r="I285" i="8"/>
  <c r="C285" i="8"/>
  <c r="B285" i="8"/>
  <c r="A285" i="8"/>
  <c r="I284" i="8"/>
  <c r="C284" i="8"/>
  <c r="B284" i="8"/>
  <c r="A284" i="8"/>
  <c r="I283" i="8"/>
  <c r="C283" i="8"/>
  <c r="B283" i="8"/>
  <c r="A283" i="8"/>
  <c r="I282" i="8"/>
  <c r="C282" i="8"/>
  <c r="B282" i="8"/>
  <c r="A282" i="8"/>
  <c r="I281" i="8"/>
  <c r="C281" i="8"/>
  <c r="B281" i="8"/>
  <c r="A281" i="8"/>
  <c r="I280" i="8"/>
  <c r="C280" i="8"/>
  <c r="B280" i="8"/>
  <c r="A280" i="8"/>
  <c r="I279" i="8"/>
  <c r="C279" i="8"/>
  <c r="B279" i="8"/>
  <c r="A279" i="8"/>
  <c r="I278" i="8"/>
  <c r="C278" i="8"/>
  <c r="B278" i="8"/>
  <c r="A278" i="8"/>
  <c r="I277" i="8"/>
  <c r="C277" i="8"/>
  <c r="B277" i="8"/>
  <c r="A277" i="8"/>
  <c r="I276" i="8"/>
  <c r="C276" i="8"/>
  <c r="B276" i="8"/>
  <c r="A276" i="8"/>
  <c r="I275" i="8"/>
  <c r="C275" i="8"/>
  <c r="B275" i="8"/>
  <c r="A275" i="8"/>
  <c r="I274" i="8"/>
  <c r="C274" i="8"/>
  <c r="B274" i="8"/>
  <c r="A274" i="8"/>
  <c r="I273" i="8"/>
  <c r="C273" i="8"/>
  <c r="B273" i="8"/>
  <c r="A273" i="8"/>
  <c r="I272" i="8"/>
  <c r="C272" i="8"/>
  <c r="B272" i="8"/>
  <c r="A272" i="8"/>
  <c r="I271" i="8"/>
  <c r="C271" i="8"/>
  <c r="B271" i="8"/>
  <c r="A271" i="8"/>
  <c r="I270" i="8"/>
  <c r="C270" i="8"/>
  <c r="B270" i="8"/>
  <c r="A270" i="8"/>
  <c r="I269" i="8"/>
  <c r="C269" i="8"/>
  <c r="B269" i="8"/>
  <c r="A269" i="8"/>
  <c r="I268" i="8"/>
  <c r="C268" i="8"/>
  <c r="B268" i="8"/>
  <c r="A268" i="8"/>
  <c r="I267" i="8"/>
  <c r="C267" i="8"/>
  <c r="B267" i="8"/>
  <c r="A267" i="8"/>
  <c r="I266" i="8"/>
  <c r="C266" i="8"/>
  <c r="B266" i="8"/>
  <c r="A266" i="8"/>
  <c r="I265" i="8"/>
  <c r="C265" i="8"/>
  <c r="B265" i="8"/>
  <c r="A265" i="8"/>
  <c r="I264" i="8"/>
  <c r="C264" i="8"/>
  <c r="B264" i="8"/>
  <c r="A264" i="8"/>
  <c r="I263" i="8"/>
  <c r="C263" i="8"/>
  <c r="B263" i="8"/>
  <c r="A263" i="8"/>
  <c r="I262" i="8"/>
  <c r="C262" i="8"/>
  <c r="B262" i="8"/>
  <c r="A262" i="8"/>
  <c r="I261" i="8"/>
  <c r="C261" i="8"/>
  <c r="B261" i="8"/>
  <c r="A261" i="8"/>
  <c r="I260" i="8"/>
  <c r="C260" i="8"/>
  <c r="B260" i="8"/>
  <c r="A260" i="8"/>
  <c r="I259" i="8"/>
  <c r="C259" i="8"/>
  <c r="B259" i="8"/>
  <c r="A259" i="8"/>
  <c r="I258" i="8"/>
  <c r="C258" i="8"/>
  <c r="B258" i="8"/>
  <c r="A258" i="8"/>
  <c r="I257" i="8"/>
  <c r="C257" i="8"/>
  <c r="B257" i="8"/>
  <c r="A257" i="8"/>
  <c r="I256" i="8"/>
  <c r="C256" i="8"/>
  <c r="B256" i="8"/>
  <c r="A256" i="8"/>
  <c r="I255" i="8"/>
  <c r="C255" i="8"/>
  <c r="B255" i="8"/>
  <c r="A255" i="8"/>
  <c r="I254" i="8"/>
  <c r="C254" i="8"/>
  <c r="B254" i="8"/>
  <c r="A254" i="8"/>
  <c r="I253" i="8"/>
  <c r="C253" i="8"/>
  <c r="B253" i="8"/>
  <c r="A253" i="8"/>
  <c r="I252" i="8"/>
  <c r="C252" i="8"/>
  <c r="B252" i="8"/>
  <c r="A252" i="8"/>
  <c r="I251" i="8"/>
  <c r="C251" i="8"/>
  <c r="B251" i="8"/>
  <c r="A251" i="8"/>
  <c r="I250" i="8"/>
  <c r="C250" i="8"/>
  <c r="B250" i="8"/>
  <c r="A250" i="8"/>
  <c r="I249" i="8"/>
  <c r="C249" i="8"/>
  <c r="B249" i="8"/>
  <c r="A249" i="8"/>
  <c r="I248" i="8"/>
  <c r="C248" i="8"/>
  <c r="B248" i="8"/>
  <c r="A248" i="8"/>
  <c r="I247" i="8"/>
  <c r="C247" i="8"/>
  <c r="B247" i="8"/>
  <c r="A247" i="8"/>
  <c r="I246" i="8"/>
  <c r="C246" i="8"/>
  <c r="B246" i="8"/>
  <c r="A246" i="8"/>
  <c r="I245" i="8"/>
  <c r="C245" i="8"/>
  <c r="B245" i="8"/>
  <c r="A245" i="8"/>
  <c r="I244" i="8"/>
  <c r="C244" i="8"/>
  <c r="B244" i="8"/>
  <c r="A244" i="8"/>
  <c r="I243" i="8"/>
  <c r="C243" i="8"/>
  <c r="B243" i="8"/>
  <c r="A243" i="8"/>
  <c r="I242" i="8"/>
  <c r="C242" i="8"/>
  <c r="B242" i="8"/>
  <c r="A242" i="8"/>
  <c r="I241" i="8"/>
  <c r="C241" i="8"/>
  <c r="B241" i="8"/>
  <c r="A241" i="8"/>
  <c r="I240" i="8"/>
  <c r="C240" i="8"/>
  <c r="B240" i="8"/>
  <c r="A240" i="8"/>
  <c r="I239" i="8"/>
  <c r="C239" i="8"/>
  <c r="B239" i="8"/>
  <c r="A239" i="8"/>
  <c r="I238" i="8"/>
  <c r="C238" i="8"/>
  <c r="B238" i="8"/>
  <c r="A238" i="8"/>
  <c r="I237" i="8"/>
  <c r="C237" i="8"/>
  <c r="B237" i="8"/>
  <c r="A237" i="8"/>
  <c r="I236" i="8"/>
  <c r="C236" i="8"/>
  <c r="B236" i="8"/>
  <c r="A236" i="8"/>
  <c r="I235" i="8"/>
  <c r="C235" i="8"/>
  <c r="B235" i="8"/>
  <c r="A235" i="8"/>
  <c r="I234" i="8"/>
  <c r="C234" i="8"/>
  <c r="B234" i="8"/>
  <c r="A234" i="8"/>
  <c r="I233" i="8"/>
  <c r="C233" i="8"/>
  <c r="B233" i="8"/>
  <c r="A233" i="8"/>
  <c r="I232" i="8"/>
  <c r="C232" i="8"/>
  <c r="B232" i="8"/>
  <c r="A232" i="8"/>
  <c r="I231" i="8"/>
  <c r="C231" i="8"/>
  <c r="B231" i="8"/>
  <c r="A231" i="8"/>
  <c r="I230" i="8"/>
  <c r="C230" i="8"/>
  <c r="B230" i="8"/>
  <c r="A230" i="8"/>
  <c r="I229" i="8"/>
  <c r="C229" i="8"/>
  <c r="B229" i="8"/>
  <c r="A229" i="8"/>
  <c r="I228" i="8"/>
  <c r="C228" i="8"/>
  <c r="B228" i="8"/>
  <c r="A228" i="8"/>
  <c r="I227" i="8"/>
  <c r="C227" i="8"/>
  <c r="B227" i="8"/>
  <c r="A227" i="8"/>
  <c r="I226" i="8"/>
  <c r="C226" i="8"/>
  <c r="B226" i="8"/>
  <c r="A226" i="8"/>
  <c r="I225" i="8"/>
  <c r="C225" i="8"/>
  <c r="B225" i="8"/>
  <c r="A225" i="8"/>
  <c r="I224" i="8"/>
  <c r="C224" i="8"/>
  <c r="B224" i="8"/>
  <c r="A224" i="8"/>
  <c r="I223" i="8"/>
  <c r="C223" i="8"/>
  <c r="B223" i="8"/>
  <c r="A223" i="8"/>
  <c r="I222" i="8"/>
  <c r="C222" i="8"/>
  <c r="B222" i="8"/>
  <c r="A222" i="8"/>
  <c r="I221" i="8"/>
  <c r="C221" i="8"/>
  <c r="B221" i="8"/>
  <c r="A221" i="8"/>
  <c r="I220" i="8"/>
  <c r="C220" i="8"/>
  <c r="B220" i="8"/>
  <c r="A220" i="8"/>
  <c r="I219" i="8"/>
  <c r="C219" i="8"/>
  <c r="B219" i="8"/>
  <c r="A219" i="8"/>
  <c r="I218" i="8"/>
  <c r="C218" i="8"/>
  <c r="B218" i="8"/>
  <c r="A218" i="8"/>
  <c r="I217" i="8"/>
  <c r="C217" i="8"/>
  <c r="B217" i="8"/>
  <c r="A217" i="8"/>
  <c r="I216" i="8"/>
  <c r="C216" i="8"/>
  <c r="B216" i="8"/>
  <c r="A216" i="8"/>
  <c r="I215" i="8"/>
  <c r="C215" i="8"/>
  <c r="B215" i="8"/>
  <c r="A215" i="8"/>
  <c r="I214" i="8"/>
  <c r="C214" i="8"/>
  <c r="B214" i="8"/>
  <c r="A214" i="8"/>
  <c r="I213" i="8"/>
  <c r="C213" i="8"/>
  <c r="B213" i="8"/>
  <c r="A213" i="8"/>
  <c r="I212" i="8"/>
  <c r="C212" i="8"/>
  <c r="B212" i="8"/>
  <c r="A212" i="8"/>
  <c r="I211" i="8"/>
  <c r="C211" i="8"/>
  <c r="B211" i="8"/>
  <c r="A211" i="8"/>
  <c r="I210" i="8"/>
  <c r="C210" i="8"/>
  <c r="B210" i="8"/>
  <c r="A210" i="8"/>
  <c r="I209" i="8"/>
  <c r="C209" i="8"/>
  <c r="B209" i="8"/>
  <c r="A209" i="8"/>
  <c r="I208" i="8"/>
  <c r="C208" i="8"/>
  <c r="B208" i="8"/>
  <c r="A208" i="8"/>
  <c r="I207" i="8"/>
  <c r="C207" i="8"/>
  <c r="B207" i="8"/>
  <c r="A207" i="8"/>
  <c r="I206" i="8"/>
  <c r="C206" i="8"/>
  <c r="B206" i="8"/>
  <c r="A206" i="8"/>
  <c r="I205" i="8"/>
  <c r="C205" i="8"/>
  <c r="B205" i="8"/>
  <c r="A205" i="8"/>
  <c r="I204" i="8"/>
  <c r="C204" i="8"/>
  <c r="B204" i="8"/>
  <c r="A204" i="8"/>
  <c r="I203" i="8"/>
  <c r="C203" i="8"/>
  <c r="B203" i="8"/>
  <c r="A203" i="8"/>
  <c r="I202" i="8"/>
  <c r="C202" i="8"/>
  <c r="B202" i="8"/>
  <c r="A202" i="8"/>
  <c r="I201" i="8"/>
  <c r="C201" i="8"/>
  <c r="B201" i="8"/>
  <c r="A201" i="8"/>
  <c r="I200" i="8"/>
  <c r="C200" i="8"/>
  <c r="B200" i="8"/>
  <c r="A200" i="8"/>
  <c r="I199" i="8"/>
  <c r="C199" i="8"/>
  <c r="B199" i="8"/>
  <c r="A199" i="8"/>
  <c r="I198" i="8"/>
  <c r="C198" i="8"/>
  <c r="B198" i="8"/>
  <c r="A198" i="8"/>
  <c r="I197" i="8"/>
  <c r="C197" i="8"/>
  <c r="B197" i="8"/>
  <c r="A197" i="8"/>
  <c r="I196" i="8"/>
  <c r="C196" i="8"/>
  <c r="B196" i="8"/>
  <c r="A196" i="8"/>
  <c r="I195" i="8"/>
  <c r="C195" i="8"/>
  <c r="B195" i="8"/>
  <c r="A195" i="8"/>
  <c r="I194" i="8"/>
  <c r="C194" i="8"/>
  <c r="B194" i="8"/>
  <c r="A194" i="8"/>
  <c r="I193" i="8"/>
  <c r="C193" i="8"/>
  <c r="B193" i="8"/>
  <c r="A193" i="8"/>
  <c r="I192" i="8"/>
  <c r="C192" i="8"/>
  <c r="B192" i="8"/>
  <c r="A192" i="8"/>
  <c r="I191" i="8"/>
  <c r="C191" i="8"/>
  <c r="B191" i="8"/>
  <c r="A191" i="8"/>
  <c r="I190" i="8"/>
  <c r="C190" i="8"/>
  <c r="B190" i="8"/>
  <c r="A190" i="8"/>
  <c r="I189" i="8"/>
  <c r="C189" i="8"/>
  <c r="B189" i="8"/>
  <c r="A189" i="8"/>
  <c r="I188" i="8"/>
  <c r="C188" i="8"/>
  <c r="B188" i="8"/>
  <c r="A188" i="8"/>
  <c r="I187" i="8"/>
  <c r="C187" i="8"/>
  <c r="B187" i="8"/>
  <c r="A187" i="8"/>
  <c r="I186" i="8"/>
  <c r="C186" i="8"/>
  <c r="B186" i="8"/>
  <c r="A186" i="8"/>
  <c r="I185" i="8"/>
  <c r="C185" i="8"/>
  <c r="B185" i="8"/>
  <c r="A185" i="8"/>
  <c r="I184" i="8"/>
  <c r="C184" i="8"/>
  <c r="B184" i="8"/>
  <c r="A184" i="8"/>
  <c r="I183" i="8"/>
  <c r="C183" i="8"/>
  <c r="B183" i="8"/>
  <c r="A183" i="8"/>
  <c r="I182" i="8"/>
  <c r="C182" i="8"/>
  <c r="B182" i="8"/>
  <c r="A182" i="8"/>
  <c r="I181" i="8"/>
  <c r="C181" i="8"/>
  <c r="B181" i="8"/>
  <c r="A181" i="8"/>
  <c r="I180" i="8"/>
  <c r="C180" i="8"/>
  <c r="B180" i="8"/>
  <c r="A180" i="8"/>
  <c r="I179" i="8"/>
  <c r="C179" i="8"/>
  <c r="B179" i="8"/>
  <c r="A179" i="8"/>
  <c r="I178" i="8"/>
  <c r="C178" i="8"/>
  <c r="B178" i="8"/>
  <c r="A178" i="8"/>
  <c r="I177" i="8"/>
  <c r="C177" i="8"/>
  <c r="B177" i="8"/>
  <c r="A177" i="8"/>
  <c r="I176" i="8"/>
  <c r="C176" i="8"/>
  <c r="B176" i="8"/>
  <c r="A176" i="8"/>
  <c r="I175" i="8"/>
  <c r="C175" i="8"/>
  <c r="B175" i="8"/>
  <c r="A175" i="8"/>
  <c r="I174" i="8"/>
  <c r="C174" i="8"/>
  <c r="B174" i="8"/>
  <c r="A174" i="8"/>
  <c r="I173" i="8"/>
  <c r="C173" i="8"/>
  <c r="B173" i="8"/>
  <c r="A173" i="8"/>
  <c r="I172" i="8"/>
  <c r="C172" i="8"/>
  <c r="B172" i="8"/>
  <c r="A172" i="8"/>
  <c r="I171" i="8"/>
  <c r="C171" i="8"/>
  <c r="B171" i="8"/>
  <c r="A171" i="8"/>
  <c r="C170" i="8"/>
  <c r="B170" i="8"/>
  <c r="A170" i="8"/>
  <c r="I170" i="8" s="1"/>
  <c r="I169" i="8"/>
  <c r="C169" i="8"/>
  <c r="B169" i="8"/>
  <c r="A169" i="8"/>
  <c r="I168" i="8"/>
  <c r="C168" i="8"/>
  <c r="B168" i="8"/>
  <c r="A168" i="8"/>
  <c r="I167" i="8"/>
  <c r="C167" i="8"/>
  <c r="B167" i="8"/>
  <c r="A167" i="8"/>
  <c r="I166" i="8"/>
  <c r="C166" i="8"/>
  <c r="B166" i="8"/>
  <c r="A166" i="8"/>
  <c r="I165" i="8"/>
  <c r="C165" i="8"/>
  <c r="B165" i="8"/>
  <c r="A165" i="8"/>
  <c r="I164" i="8"/>
  <c r="C164" i="8"/>
  <c r="B164" i="8"/>
  <c r="A164" i="8"/>
  <c r="I163" i="8"/>
  <c r="C163" i="8"/>
  <c r="B163" i="8"/>
  <c r="A163" i="8"/>
  <c r="I162" i="8"/>
  <c r="C162" i="8"/>
  <c r="B162" i="8"/>
  <c r="A162" i="8"/>
  <c r="I161" i="8"/>
  <c r="C161" i="8"/>
  <c r="B161" i="8"/>
  <c r="A161" i="8"/>
  <c r="I160" i="8"/>
  <c r="C160" i="8"/>
  <c r="B160" i="8"/>
  <c r="A160" i="8"/>
  <c r="I159" i="8"/>
  <c r="C159" i="8"/>
  <c r="B159" i="8"/>
  <c r="A159" i="8"/>
  <c r="I158" i="8"/>
  <c r="C158" i="8"/>
  <c r="B158" i="8"/>
  <c r="A158" i="8"/>
  <c r="I157" i="8"/>
  <c r="C157" i="8"/>
  <c r="B157" i="8"/>
  <c r="A157" i="8"/>
  <c r="I156" i="8"/>
  <c r="C156" i="8"/>
  <c r="B156" i="8"/>
  <c r="A156" i="8"/>
  <c r="I155" i="8"/>
  <c r="C155" i="8"/>
  <c r="B155" i="8"/>
  <c r="A155" i="8"/>
  <c r="I154" i="8"/>
  <c r="C154" i="8"/>
  <c r="B154" i="8"/>
  <c r="A154" i="8"/>
  <c r="I153" i="8"/>
  <c r="C153" i="8"/>
  <c r="B153" i="8"/>
  <c r="A153" i="8"/>
  <c r="I152" i="8"/>
  <c r="C152" i="8"/>
  <c r="B152" i="8"/>
  <c r="A152" i="8"/>
  <c r="I151" i="8"/>
  <c r="C151" i="8"/>
  <c r="B151" i="8"/>
  <c r="A151" i="8"/>
  <c r="I150" i="8"/>
  <c r="C150" i="8"/>
  <c r="B150" i="8"/>
  <c r="A150" i="8"/>
  <c r="I149" i="8"/>
  <c r="C149" i="8"/>
  <c r="B149" i="8"/>
  <c r="A149" i="8"/>
  <c r="I148" i="8"/>
  <c r="C148" i="8"/>
  <c r="B148" i="8"/>
  <c r="A148" i="8"/>
  <c r="I147" i="8"/>
  <c r="C147" i="8"/>
  <c r="B147" i="8"/>
  <c r="A147" i="8"/>
  <c r="I146" i="8"/>
  <c r="C146" i="8"/>
  <c r="B146" i="8"/>
  <c r="A146" i="8"/>
  <c r="I145" i="8"/>
  <c r="C145" i="8"/>
  <c r="B145" i="8"/>
  <c r="A145" i="8"/>
  <c r="I144" i="8"/>
  <c r="C144" i="8"/>
  <c r="B144" i="8"/>
  <c r="A144" i="8"/>
  <c r="I143" i="8"/>
  <c r="C143" i="8"/>
  <c r="B143" i="8"/>
  <c r="A143" i="8"/>
  <c r="I142" i="8"/>
  <c r="C142" i="8"/>
  <c r="B142" i="8"/>
  <c r="A142" i="8"/>
  <c r="I141" i="8"/>
  <c r="C141" i="8"/>
  <c r="B141" i="8"/>
  <c r="A141" i="8"/>
  <c r="I140" i="8"/>
  <c r="C140" i="8"/>
  <c r="B140" i="8"/>
  <c r="A140" i="8"/>
  <c r="I139" i="8"/>
  <c r="C139" i="8"/>
  <c r="B139" i="8"/>
  <c r="A139" i="8"/>
  <c r="I138" i="8"/>
  <c r="C138" i="8"/>
  <c r="B138" i="8"/>
  <c r="A138" i="8"/>
  <c r="I137" i="8"/>
  <c r="C137" i="8"/>
  <c r="B137" i="8"/>
  <c r="A137" i="8"/>
  <c r="I136" i="8"/>
  <c r="C136" i="8"/>
  <c r="B136" i="8"/>
  <c r="A136" i="8"/>
  <c r="I135" i="8"/>
  <c r="C135" i="8"/>
  <c r="B135" i="8"/>
  <c r="A135" i="8"/>
  <c r="I134" i="8"/>
  <c r="C134" i="8"/>
  <c r="B134" i="8"/>
  <c r="A134" i="8"/>
  <c r="I133" i="8"/>
  <c r="C133" i="8"/>
  <c r="B133" i="8"/>
  <c r="A133" i="8"/>
  <c r="I132" i="8"/>
  <c r="C132" i="8"/>
  <c r="B132" i="8"/>
  <c r="A132" i="8"/>
  <c r="I131" i="8"/>
  <c r="C131" i="8"/>
  <c r="B131" i="8"/>
  <c r="A131" i="8"/>
  <c r="I130" i="8"/>
  <c r="C130" i="8"/>
  <c r="B130" i="8"/>
  <c r="A130" i="8"/>
  <c r="I129" i="8"/>
  <c r="C129" i="8"/>
  <c r="B129" i="8"/>
  <c r="A129" i="8"/>
  <c r="I128" i="8"/>
  <c r="C128" i="8"/>
  <c r="B128" i="8"/>
  <c r="A128" i="8"/>
  <c r="I127" i="8"/>
  <c r="C127" i="8"/>
  <c r="B127" i="8"/>
  <c r="A127" i="8"/>
  <c r="I126" i="8"/>
  <c r="C126" i="8"/>
  <c r="B126" i="8"/>
  <c r="A126" i="8"/>
  <c r="I125" i="8"/>
  <c r="C125" i="8"/>
  <c r="B125" i="8"/>
  <c r="A125" i="8"/>
  <c r="I124" i="8"/>
  <c r="C124" i="8"/>
  <c r="B124" i="8"/>
  <c r="A124" i="8"/>
  <c r="I123" i="8"/>
  <c r="C123" i="8"/>
  <c r="B123" i="8"/>
  <c r="A123" i="8"/>
  <c r="I122" i="8"/>
  <c r="C122" i="8"/>
  <c r="B122" i="8"/>
  <c r="A122" i="8"/>
  <c r="I121" i="8"/>
  <c r="C121" i="8"/>
  <c r="B121" i="8"/>
  <c r="A121" i="8"/>
  <c r="I120" i="8"/>
  <c r="C120" i="8"/>
  <c r="B120" i="8"/>
  <c r="A120" i="8"/>
  <c r="I119" i="8"/>
  <c r="C119" i="8"/>
  <c r="B119" i="8"/>
  <c r="A119" i="8"/>
  <c r="I118" i="8"/>
  <c r="C118" i="8"/>
  <c r="B118" i="8"/>
  <c r="A118" i="8"/>
  <c r="I117" i="8"/>
  <c r="C117" i="8"/>
  <c r="B117" i="8"/>
  <c r="A117" i="8"/>
  <c r="I116" i="8"/>
  <c r="C116" i="8"/>
  <c r="B116" i="8"/>
  <c r="A116" i="8"/>
  <c r="I115" i="8"/>
  <c r="C115" i="8"/>
  <c r="B115" i="8"/>
  <c r="A115" i="8"/>
  <c r="I114" i="8"/>
  <c r="C114" i="8"/>
  <c r="B114" i="8"/>
  <c r="A114" i="8"/>
  <c r="I113" i="8"/>
  <c r="C113" i="8"/>
  <c r="B113" i="8"/>
  <c r="A113" i="8"/>
  <c r="I112" i="8"/>
  <c r="C112" i="8"/>
  <c r="B112" i="8"/>
  <c r="A112" i="8"/>
  <c r="I111" i="8"/>
  <c r="C111" i="8"/>
  <c r="B111" i="8"/>
  <c r="A111" i="8"/>
  <c r="I110" i="8"/>
  <c r="C110" i="8"/>
  <c r="B110" i="8"/>
  <c r="A110" i="8"/>
  <c r="I109" i="8"/>
  <c r="C109" i="8"/>
  <c r="B109" i="8"/>
  <c r="A109" i="8"/>
  <c r="I108" i="8"/>
  <c r="C108" i="8"/>
  <c r="B108" i="8"/>
  <c r="A108" i="8"/>
  <c r="I107" i="8"/>
  <c r="C107" i="8"/>
  <c r="B107" i="8"/>
  <c r="A107" i="8"/>
  <c r="I106" i="8"/>
  <c r="C106" i="8"/>
  <c r="B106" i="8"/>
  <c r="A106" i="8"/>
  <c r="I105" i="8"/>
  <c r="C105" i="8"/>
  <c r="B105" i="8"/>
  <c r="A105" i="8"/>
  <c r="I104" i="8"/>
  <c r="C104" i="8"/>
  <c r="B104" i="8"/>
  <c r="A104" i="8"/>
  <c r="I103" i="8"/>
  <c r="C103" i="8"/>
  <c r="B103" i="8"/>
  <c r="A103" i="8"/>
  <c r="I102" i="8"/>
  <c r="C102" i="8"/>
  <c r="B102" i="8"/>
  <c r="A102" i="8"/>
  <c r="I101" i="8"/>
  <c r="C101" i="8"/>
  <c r="B101" i="8"/>
  <c r="A101" i="8"/>
  <c r="I100" i="8"/>
  <c r="C100" i="8"/>
  <c r="B100" i="8"/>
  <c r="A100" i="8"/>
  <c r="I99" i="8"/>
  <c r="C99" i="8"/>
  <c r="B99" i="8"/>
  <c r="A99" i="8"/>
  <c r="I98" i="8"/>
  <c r="C98" i="8"/>
  <c r="B98" i="8"/>
  <c r="A98" i="8"/>
  <c r="I97" i="8"/>
  <c r="C97" i="8"/>
  <c r="B97" i="8"/>
  <c r="A97" i="8"/>
  <c r="I96" i="8"/>
  <c r="C96" i="8"/>
  <c r="B96" i="8"/>
  <c r="A96" i="8"/>
  <c r="I95" i="8"/>
  <c r="C95" i="8"/>
  <c r="B95" i="8"/>
  <c r="A95" i="8"/>
  <c r="I94" i="8"/>
  <c r="C94" i="8"/>
  <c r="B94" i="8"/>
  <c r="A94" i="8"/>
  <c r="I93" i="8"/>
  <c r="C93" i="8"/>
  <c r="B93" i="8"/>
  <c r="A93" i="8"/>
  <c r="I92" i="8"/>
  <c r="C92" i="8"/>
  <c r="B92" i="8"/>
  <c r="A92" i="8"/>
  <c r="I91" i="8"/>
  <c r="C91" i="8"/>
  <c r="B91" i="8"/>
  <c r="A91" i="8"/>
  <c r="I90" i="8"/>
  <c r="C90" i="8"/>
  <c r="B90" i="8"/>
  <c r="A90" i="8"/>
  <c r="I89" i="8"/>
  <c r="C89" i="8"/>
  <c r="B89" i="8"/>
  <c r="A89" i="8"/>
  <c r="I88" i="8"/>
  <c r="C88" i="8"/>
  <c r="B88" i="8"/>
  <c r="A88" i="8"/>
  <c r="I87" i="8"/>
  <c r="C87" i="8"/>
  <c r="B87" i="8"/>
  <c r="A87" i="8"/>
  <c r="I86" i="8"/>
  <c r="C86" i="8"/>
  <c r="B86" i="8"/>
  <c r="A86" i="8"/>
  <c r="I85" i="8"/>
  <c r="C85" i="8"/>
  <c r="B85" i="8"/>
  <c r="A85" i="8"/>
  <c r="I84" i="8"/>
  <c r="C84" i="8"/>
  <c r="B84" i="8"/>
  <c r="A84" i="8"/>
  <c r="I83" i="8"/>
  <c r="C83" i="8"/>
  <c r="B83" i="8"/>
  <c r="A83" i="8"/>
  <c r="I82" i="8"/>
  <c r="C82" i="8"/>
  <c r="B82" i="8"/>
  <c r="A82" i="8"/>
  <c r="I81" i="8"/>
  <c r="C81" i="8"/>
  <c r="B81" i="8"/>
  <c r="A81" i="8"/>
  <c r="I80" i="8"/>
  <c r="C80" i="8"/>
  <c r="B80" i="8"/>
  <c r="A80" i="8"/>
  <c r="I79" i="8"/>
  <c r="C79" i="8"/>
  <c r="B79" i="8"/>
  <c r="A79" i="8"/>
  <c r="I78" i="8"/>
  <c r="C78" i="8"/>
  <c r="B78" i="8"/>
  <c r="A78" i="8"/>
  <c r="I77" i="8"/>
  <c r="C77" i="8"/>
  <c r="B77" i="8"/>
  <c r="A77" i="8"/>
  <c r="I76" i="8"/>
  <c r="C76" i="8"/>
  <c r="B76" i="8"/>
  <c r="A76" i="8"/>
  <c r="I75" i="8"/>
  <c r="C75" i="8"/>
  <c r="B75" i="8"/>
  <c r="A75" i="8"/>
  <c r="I74" i="8"/>
  <c r="C74" i="8"/>
  <c r="B74" i="8"/>
  <c r="A74" i="8"/>
  <c r="I73" i="8"/>
  <c r="C73" i="8"/>
  <c r="B73" i="8"/>
  <c r="A73" i="8"/>
  <c r="I72" i="8"/>
  <c r="C72" i="8"/>
  <c r="B72" i="8"/>
  <c r="A72" i="8"/>
  <c r="I71" i="8"/>
  <c r="C71" i="8"/>
  <c r="B71" i="8"/>
  <c r="A71" i="8"/>
  <c r="I70" i="8"/>
  <c r="C70" i="8"/>
  <c r="B70" i="8"/>
  <c r="A70" i="8"/>
  <c r="I69" i="8"/>
  <c r="C69" i="8"/>
  <c r="B69" i="8"/>
  <c r="A69" i="8"/>
  <c r="I68" i="8"/>
  <c r="C68" i="8"/>
  <c r="B68" i="8"/>
  <c r="A68" i="8"/>
  <c r="I67" i="8"/>
  <c r="C67" i="8"/>
  <c r="B67" i="8"/>
  <c r="A67" i="8"/>
  <c r="I66" i="8"/>
  <c r="C66" i="8"/>
  <c r="B66" i="8"/>
  <c r="A66" i="8"/>
  <c r="I65" i="8"/>
  <c r="C65" i="8"/>
  <c r="B65" i="8"/>
  <c r="A65" i="8"/>
  <c r="I64" i="8"/>
  <c r="C64" i="8"/>
  <c r="B64" i="8"/>
  <c r="A64" i="8"/>
  <c r="I63" i="8"/>
  <c r="C63" i="8"/>
  <c r="B63" i="8"/>
  <c r="A63" i="8"/>
  <c r="I62" i="8"/>
  <c r="C62" i="8"/>
  <c r="B62" i="8"/>
  <c r="A62" i="8"/>
  <c r="I61" i="8"/>
  <c r="C61" i="8"/>
  <c r="B61" i="8"/>
  <c r="A61" i="8"/>
  <c r="I60" i="8"/>
  <c r="C60" i="8"/>
  <c r="B60" i="8"/>
  <c r="A60" i="8"/>
  <c r="I59" i="8"/>
  <c r="C59" i="8"/>
  <c r="B59" i="8"/>
  <c r="A59" i="8"/>
  <c r="I58" i="8"/>
  <c r="C58" i="8"/>
  <c r="B58" i="8"/>
  <c r="A58" i="8"/>
  <c r="I57" i="8"/>
  <c r="C57" i="8"/>
  <c r="B57" i="8"/>
  <c r="A57" i="8"/>
  <c r="I56" i="8"/>
  <c r="C56" i="8"/>
  <c r="B56" i="8"/>
  <c r="A56" i="8"/>
  <c r="I55" i="8"/>
  <c r="C55" i="8"/>
  <c r="B55" i="8"/>
  <c r="A55" i="8"/>
  <c r="I54" i="8"/>
  <c r="C54" i="8"/>
  <c r="B54" i="8"/>
  <c r="A54" i="8"/>
  <c r="I53" i="8"/>
  <c r="C53" i="8"/>
  <c r="B53" i="8"/>
  <c r="A53" i="8"/>
  <c r="I52" i="8"/>
  <c r="C52" i="8"/>
  <c r="B52" i="8"/>
  <c r="A52" i="8"/>
  <c r="I51" i="8"/>
  <c r="C51" i="8"/>
  <c r="B51" i="8"/>
  <c r="A51" i="8"/>
  <c r="I50" i="8"/>
  <c r="C50" i="8"/>
  <c r="B50" i="8"/>
  <c r="A50" i="8"/>
  <c r="I49" i="8"/>
  <c r="C49" i="8"/>
  <c r="B49" i="8"/>
  <c r="A49" i="8"/>
  <c r="I48" i="8"/>
  <c r="C48" i="8"/>
  <c r="B48" i="8"/>
  <c r="A48" i="8"/>
  <c r="I47" i="8"/>
  <c r="C47" i="8"/>
  <c r="B47" i="8"/>
  <c r="A47" i="8"/>
  <c r="I46" i="8"/>
  <c r="C46" i="8"/>
  <c r="B46" i="8"/>
  <c r="A46" i="8"/>
  <c r="I45" i="8"/>
  <c r="C45" i="8"/>
  <c r="B45" i="8"/>
  <c r="A45" i="8"/>
  <c r="I44" i="8"/>
  <c r="C44" i="8"/>
  <c r="B44" i="8"/>
  <c r="A44" i="8"/>
  <c r="I43" i="8"/>
  <c r="C43" i="8"/>
  <c r="B43" i="8"/>
  <c r="A43" i="8"/>
  <c r="I42" i="8"/>
  <c r="C42" i="8"/>
  <c r="B42" i="8"/>
  <c r="A42" i="8"/>
  <c r="I41" i="8"/>
  <c r="C41" i="8"/>
  <c r="B41" i="8"/>
  <c r="A41" i="8"/>
  <c r="I40" i="8"/>
  <c r="C40" i="8"/>
  <c r="B40" i="8"/>
  <c r="A40" i="8"/>
  <c r="I39" i="8"/>
  <c r="C39" i="8"/>
  <c r="B39" i="8"/>
  <c r="A39" i="8"/>
  <c r="I38" i="8"/>
  <c r="C38" i="8"/>
  <c r="B38" i="8"/>
  <c r="A38" i="8"/>
  <c r="I37" i="8"/>
  <c r="C37" i="8"/>
  <c r="B37" i="8"/>
  <c r="A37" i="8"/>
  <c r="I36" i="8"/>
  <c r="C36" i="8"/>
  <c r="B36" i="8"/>
  <c r="A36" i="8"/>
  <c r="I35" i="8"/>
  <c r="C35" i="8"/>
  <c r="B35" i="8"/>
  <c r="A35" i="8"/>
  <c r="I34" i="8"/>
  <c r="C34" i="8"/>
  <c r="B34" i="8"/>
  <c r="A34" i="8"/>
  <c r="I33" i="8"/>
  <c r="C33" i="8"/>
  <c r="B33" i="8"/>
  <c r="A33" i="8"/>
  <c r="I32" i="8"/>
  <c r="C32" i="8"/>
  <c r="B32" i="8"/>
  <c r="A32" i="8"/>
  <c r="I31" i="8"/>
  <c r="C31" i="8"/>
  <c r="B31" i="8"/>
  <c r="A31" i="8"/>
  <c r="I30" i="8"/>
  <c r="C30" i="8"/>
  <c r="B30" i="8"/>
  <c r="A30" i="8"/>
  <c r="I29" i="8"/>
  <c r="C29" i="8"/>
  <c r="B29" i="8"/>
  <c r="A29" i="8"/>
  <c r="I28" i="8"/>
  <c r="C28" i="8"/>
  <c r="B28" i="8"/>
  <c r="A28" i="8"/>
  <c r="I27" i="8"/>
  <c r="C27" i="8"/>
  <c r="B27" i="8"/>
  <c r="A27" i="8"/>
  <c r="I26" i="8"/>
  <c r="C26" i="8"/>
  <c r="B26" i="8"/>
  <c r="A26" i="8"/>
  <c r="I25" i="8"/>
  <c r="C25" i="8"/>
  <c r="B25" i="8"/>
  <c r="A25" i="8"/>
  <c r="I24" i="8"/>
  <c r="C24" i="8"/>
  <c r="B24" i="8"/>
  <c r="A24" i="8"/>
  <c r="I23" i="8"/>
  <c r="C23" i="8"/>
  <c r="B23" i="8"/>
  <c r="A23" i="8"/>
  <c r="I22" i="8"/>
  <c r="C22" i="8"/>
  <c r="B22" i="8"/>
  <c r="A22" i="8"/>
  <c r="I21" i="8"/>
  <c r="C21" i="8"/>
  <c r="B21" i="8"/>
  <c r="A21" i="8"/>
  <c r="I20" i="8"/>
  <c r="C20" i="8"/>
  <c r="B20" i="8"/>
  <c r="A20" i="8"/>
  <c r="I19" i="8"/>
  <c r="C19" i="8"/>
  <c r="B19" i="8"/>
  <c r="A19" i="8"/>
  <c r="I18" i="8"/>
  <c r="C18" i="8"/>
  <c r="B18" i="8"/>
  <c r="A18" i="8"/>
  <c r="I17" i="8"/>
  <c r="C17" i="8"/>
  <c r="B17" i="8"/>
  <c r="A17" i="8"/>
  <c r="I16" i="8"/>
  <c r="C16" i="8"/>
  <c r="B16" i="8"/>
  <c r="A16" i="8"/>
  <c r="I15" i="8"/>
  <c r="C15" i="8"/>
  <c r="B15" i="8"/>
  <c r="A15" i="8"/>
  <c r="I14" i="8"/>
  <c r="C14" i="8"/>
  <c r="B14" i="8"/>
  <c r="A14" i="8"/>
  <c r="I13" i="8"/>
  <c r="C13" i="8"/>
  <c r="B13" i="8"/>
  <c r="A13" i="8"/>
  <c r="I12" i="8"/>
  <c r="C12" i="8"/>
  <c r="B12" i="8"/>
  <c r="A12" i="8"/>
  <c r="I11" i="8"/>
  <c r="C11" i="8"/>
  <c r="B11" i="8"/>
  <c r="A11" i="8"/>
  <c r="I10" i="8"/>
  <c r="C10" i="8"/>
  <c r="B10" i="8"/>
  <c r="A10" i="8"/>
  <c r="I9" i="8"/>
  <c r="C9" i="8"/>
  <c r="B9" i="8"/>
  <c r="A9" i="8"/>
  <c r="I8" i="8"/>
  <c r="C8" i="8"/>
  <c r="B8" i="8"/>
  <c r="A8" i="8"/>
  <c r="I7" i="8"/>
  <c r="C7" i="8"/>
  <c r="B7" i="8"/>
  <c r="A7" i="8"/>
  <c r="I6" i="8"/>
  <c r="C6" i="8"/>
  <c r="B6" i="8"/>
  <c r="A6" i="8"/>
  <c r="I5" i="8"/>
  <c r="C5" i="8"/>
  <c r="B5" i="8"/>
  <c r="A5" i="8"/>
  <c r="I4" i="8"/>
  <c r="C4" i="8"/>
  <c r="B4" i="8"/>
  <c r="A4" i="8"/>
  <c r="I3" i="8"/>
  <c r="C3" i="8"/>
  <c r="B3" i="8"/>
  <c r="A3" i="8"/>
  <c r="I2" i="8"/>
  <c r="C2" i="8"/>
  <c r="B2" i="8"/>
  <c r="A2" i="8"/>
  <c r="C499" i="6"/>
  <c r="B499" i="6"/>
  <c r="A499" i="6"/>
  <c r="R498" i="6"/>
  <c r="C498" i="6"/>
  <c r="B498" i="6"/>
  <c r="A498" i="6"/>
  <c r="Q497" i="6"/>
  <c r="C497" i="6"/>
  <c r="B497" i="6"/>
  <c r="A497" i="6"/>
  <c r="T496" i="6"/>
  <c r="S496" i="6"/>
  <c r="R496" i="6"/>
  <c r="Q496" i="6"/>
  <c r="N496" i="6"/>
  <c r="J496" i="6"/>
  <c r="I496" i="6"/>
  <c r="C496" i="6"/>
  <c r="B496" i="6"/>
  <c r="A496" i="6"/>
  <c r="T495" i="6"/>
  <c r="S495" i="6"/>
  <c r="R495" i="6"/>
  <c r="Q495" i="6"/>
  <c r="N495" i="6"/>
  <c r="J495" i="6"/>
  <c r="I495" i="6"/>
  <c r="C495" i="6"/>
  <c r="B495" i="6"/>
  <c r="A495" i="6"/>
  <c r="C494" i="6"/>
  <c r="B494" i="6"/>
  <c r="A494" i="6"/>
  <c r="N493" i="6"/>
  <c r="C493" i="6"/>
  <c r="B493" i="6"/>
  <c r="A493" i="6"/>
  <c r="T492" i="6"/>
  <c r="C492" i="6"/>
  <c r="B492" i="6"/>
  <c r="A492" i="6"/>
  <c r="C491" i="6"/>
  <c r="B491" i="6"/>
  <c r="A491" i="6"/>
  <c r="T490" i="6"/>
  <c r="S490" i="6"/>
  <c r="R490" i="6"/>
  <c r="Q490" i="6"/>
  <c r="N490" i="6"/>
  <c r="J490" i="6"/>
  <c r="I490" i="6"/>
  <c r="C490" i="6"/>
  <c r="B490" i="6"/>
  <c r="A490" i="6"/>
  <c r="T489" i="6"/>
  <c r="S489" i="6"/>
  <c r="R489" i="6"/>
  <c r="Q489" i="6"/>
  <c r="N489" i="6"/>
  <c r="J489" i="6"/>
  <c r="I489" i="6"/>
  <c r="C489" i="6"/>
  <c r="B489" i="6"/>
  <c r="A489" i="6"/>
  <c r="R488" i="6"/>
  <c r="Q488" i="6"/>
  <c r="J488" i="6"/>
  <c r="I488" i="6"/>
  <c r="C488" i="6"/>
  <c r="B488" i="6"/>
  <c r="A488" i="6"/>
  <c r="N487" i="6"/>
  <c r="C487" i="6"/>
  <c r="B487" i="6"/>
  <c r="A487" i="6"/>
  <c r="C486" i="6"/>
  <c r="B486" i="6"/>
  <c r="A486" i="6"/>
  <c r="Q485" i="6"/>
  <c r="N485" i="6"/>
  <c r="C485" i="6"/>
  <c r="B485" i="6"/>
  <c r="A485" i="6"/>
  <c r="T484" i="6"/>
  <c r="S484" i="6"/>
  <c r="R484" i="6"/>
  <c r="Q484" i="6"/>
  <c r="N484" i="6"/>
  <c r="J484" i="6"/>
  <c r="I484" i="6"/>
  <c r="C484" i="6"/>
  <c r="B484" i="6"/>
  <c r="A484" i="6"/>
  <c r="T483" i="6"/>
  <c r="S483" i="6"/>
  <c r="R483" i="6"/>
  <c r="Q483" i="6"/>
  <c r="N483" i="6"/>
  <c r="J483" i="6"/>
  <c r="I483" i="6"/>
  <c r="C483" i="6"/>
  <c r="B483" i="6"/>
  <c r="A483" i="6"/>
  <c r="C482" i="6"/>
  <c r="B482" i="6"/>
  <c r="A482" i="6"/>
  <c r="C481" i="6"/>
  <c r="B481" i="6"/>
  <c r="A481" i="6"/>
  <c r="C480" i="6"/>
  <c r="B480" i="6"/>
  <c r="A480" i="6"/>
  <c r="T479" i="6"/>
  <c r="N479" i="6"/>
  <c r="C479" i="6"/>
  <c r="B479" i="6"/>
  <c r="A479" i="6"/>
  <c r="T478" i="6"/>
  <c r="S478" i="6"/>
  <c r="R478" i="6"/>
  <c r="Q478" i="6"/>
  <c r="N478" i="6"/>
  <c r="J478" i="6"/>
  <c r="I478" i="6"/>
  <c r="C478" i="6"/>
  <c r="B478" i="6"/>
  <c r="A478" i="6"/>
  <c r="T477" i="6"/>
  <c r="S477" i="6"/>
  <c r="R477" i="6"/>
  <c r="Q477" i="6"/>
  <c r="N477" i="6"/>
  <c r="J477" i="6"/>
  <c r="I477" i="6"/>
  <c r="C477" i="6"/>
  <c r="B477" i="6"/>
  <c r="A477" i="6"/>
  <c r="R476" i="6"/>
  <c r="Q476" i="6"/>
  <c r="J476" i="6"/>
  <c r="I476" i="6"/>
  <c r="C476" i="6"/>
  <c r="B476" i="6"/>
  <c r="A476" i="6"/>
  <c r="T475" i="6"/>
  <c r="N475" i="6"/>
  <c r="C475" i="6"/>
  <c r="B475" i="6"/>
  <c r="A475" i="6"/>
  <c r="T474" i="6"/>
  <c r="S474" i="6"/>
  <c r="R474" i="6"/>
  <c r="C474" i="6"/>
  <c r="B474" i="6"/>
  <c r="A474" i="6"/>
  <c r="Q473" i="6"/>
  <c r="C473" i="6"/>
  <c r="B473" i="6"/>
  <c r="A473" i="6"/>
  <c r="T472" i="6"/>
  <c r="S472" i="6"/>
  <c r="R472" i="6"/>
  <c r="Q472" i="6"/>
  <c r="N472" i="6"/>
  <c r="J472" i="6"/>
  <c r="I472" i="6"/>
  <c r="C472" i="6"/>
  <c r="B472" i="6"/>
  <c r="A472" i="6"/>
  <c r="T471" i="6"/>
  <c r="S471" i="6"/>
  <c r="R471" i="6"/>
  <c r="Q471" i="6"/>
  <c r="N471" i="6"/>
  <c r="J471" i="6"/>
  <c r="I471" i="6"/>
  <c r="C471" i="6"/>
  <c r="B471" i="6"/>
  <c r="A471" i="6"/>
  <c r="R470" i="6"/>
  <c r="Q470" i="6"/>
  <c r="J470" i="6"/>
  <c r="I470" i="6"/>
  <c r="C470" i="6"/>
  <c r="B470" i="6"/>
  <c r="A470" i="6"/>
  <c r="C469" i="6"/>
  <c r="B469" i="6"/>
  <c r="A469" i="6"/>
  <c r="C468" i="6"/>
  <c r="B468" i="6"/>
  <c r="A468" i="6"/>
  <c r="R468" i="6" s="1"/>
  <c r="C467" i="6"/>
  <c r="B467" i="6"/>
  <c r="A467" i="6"/>
  <c r="T466" i="6"/>
  <c r="S466" i="6"/>
  <c r="R466" i="6"/>
  <c r="Q466" i="6"/>
  <c r="N466" i="6"/>
  <c r="J466" i="6"/>
  <c r="I466" i="6"/>
  <c r="C466" i="6"/>
  <c r="B466" i="6"/>
  <c r="A466" i="6"/>
  <c r="T465" i="6"/>
  <c r="S465" i="6"/>
  <c r="R465" i="6"/>
  <c r="Q465" i="6"/>
  <c r="N465" i="6"/>
  <c r="J465" i="6"/>
  <c r="I465" i="6"/>
  <c r="C465" i="6"/>
  <c r="B465" i="6"/>
  <c r="A465" i="6"/>
  <c r="C464" i="6"/>
  <c r="B464" i="6"/>
  <c r="A464" i="6"/>
  <c r="T463" i="6"/>
  <c r="N463" i="6"/>
  <c r="C463" i="6"/>
  <c r="B463" i="6"/>
  <c r="A463" i="6"/>
  <c r="T462" i="6"/>
  <c r="C462" i="6"/>
  <c r="B462" i="6"/>
  <c r="A462" i="6"/>
  <c r="T461" i="6"/>
  <c r="Q461" i="6"/>
  <c r="N461" i="6"/>
  <c r="C461" i="6"/>
  <c r="B461" i="6"/>
  <c r="A461" i="6"/>
  <c r="T460" i="6"/>
  <c r="S460" i="6"/>
  <c r="R460" i="6"/>
  <c r="Q460" i="6"/>
  <c r="N460" i="6"/>
  <c r="J460" i="6"/>
  <c r="I460" i="6"/>
  <c r="C460" i="6"/>
  <c r="B460" i="6"/>
  <c r="A460" i="6"/>
  <c r="T459" i="6"/>
  <c r="S459" i="6"/>
  <c r="R459" i="6"/>
  <c r="Q459" i="6"/>
  <c r="N459" i="6"/>
  <c r="J459" i="6"/>
  <c r="I459" i="6"/>
  <c r="C459" i="6"/>
  <c r="B459" i="6"/>
  <c r="A459" i="6"/>
  <c r="R458" i="6"/>
  <c r="Q458" i="6"/>
  <c r="I458" i="6"/>
  <c r="C458" i="6"/>
  <c r="B458" i="6"/>
  <c r="A458" i="6"/>
  <c r="C457" i="6"/>
  <c r="B457" i="6"/>
  <c r="A457" i="6"/>
  <c r="T456" i="6"/>
  <c r="S456" i="6"/>
  <c r="R456" i="6"/>
  <c r="C456" i="6"/>
  <c r="B456" i="6"/>
  <c r="A456" i="6"/>
  <c r="N455" i="6"/>
  <c r="C455" i="6"/>
  <c r="B455" i="6"/>
  <c r="A455" i="6"/>
  <c r="T454" i="6"/>
  <c r="S454" i="6"/>
  <c r="R454" i="6"/>
  <c r="Q454" i="6"/>
  <c r="N454" i="6"/>
  <c r="J454" i="6"/>
  <c r="I454" i="6"/>
  <c r="C454" i="6"/>
  <c r="B454" i="6"/>
  <c r="A454" i="6"/>
  <c r="T453" i="6"/>
  <c r="S453" i="6"/>
  <c r="R453" i="6"/>
  <c r="Q453" i="6"/>
  <c r="N453" i="6"/>
  <c r="J453" i="6"/>
  <c r="I453" i="6"/>
  <c r="C453" i="6"/>
  <c r="B453" i="6"/>
  <c r="A453" i="6"/>
  <c r="R452" i="6"/>
  <c r="Q452" i="6"/>
  <c r="J452" i="6"/>
  <c r="I452" i="6"/>
  <c r="C452" i="6"/>
  <c r="B452" i="6"/>
  <c r="A452" i="6"/>
  <c r="T451" i="6"/>
  <c r="N451" i="6"/>
  <c r="C451" i="6"/>
  <c r="B451" i="6"/>
  <c r="A451" i="6"/>
  <c r="C450" i="6"/>
  <c r="B450" i="6"/>
  <c r="A450" i="6"/>
  <c r="C449" i="6"/>
  <c r="B449" i="6"/>
  <c r="A449" i="6"/>
  <c r="S448" i="6"/>
  <c r="R448" i="6"/>
  <c r="Q448" i="6"/>
  <c r="N448" i="6"/>
  <c r="J448" i="6"/>
  <c r="I448" i="6"/>
  <c r="C448" i="6"/>
  <c r="B448" i="6"/>
  <c r="A448" i="6"/>
  <c r="T448" i="6" s="1"/>
  <c r="T447" i="6"/>
  <c r="S447" i="6"/>
  <c r="Q447" i="6"/>
  <c r="N447" i="6"/>
  <c r="J447" i="6"/>
  <c r="I447" i="6"/>
  <c r="C447" i="6"/>
  <c r="B447" i="6"/>
  <c r="A447" i="6"/>
  <c r="R447" i="6" s="1"/>
  <c r="R446" i="6"/>
  <c r="Q446" i="6"/>
  <c r="J446" i="6"/>
  <c r="I446" i="6"/>
  <c r="C446" i="6"/>
  <c r="B446" i="6"/>
  <c r="A446" i="6"/>
  <c r="T445" i="6"/>
  <c r="N445" i="6"/>
  <c r="J445" i="6"/>
  <c r="C445" i="6"/>
  <c r="B445" i="6"/>
  <c r="A445" i="6"/>
  <c r="C444" i="6"/>
  <c r="B444" i="6"/>
  <c r="A444" i="6"/>
  <c r="T443" i="6"/>
  <c r="S443" i="6"/>
  <c r="R443" i="6"/>
  <c r="Q443" i="6"/>
  <c r="N443" i="6"/>
  <c r="C443" i="6"/>
  <c r="B443" i="6"/>
  <c r="A443" i="6"/>
  <c r="S442" i="6"/>
  <c r="R442" i="6"/>
  <c r="Q442" i="6"/>
  <c r="N442" i="6"/>
  <c r="J442" i="6"/>
  <c r="I442" i="6"/>
  <c r="C442" i="6"/>
  <c r="B442" i="6"/>
  <c r="A442" i="6"/>
  <c r="T442" i="6" s="1"/>
  <c r="T441" i="6"/>
  <c r="S441" i="6"/>
  <c r="Q441" i="6"/>
  <c r="N441" i="6"/>
  <c r="J441" i="6"/>
  <c r="I441" i="6"/>
  <c r="C441" i="6"/>
  <c r="B441" i="6"/>
  <c r="A441" i="6"/>
  <c r="R441" i="6" s="1"/>
  <c r="R440" i="6"/>
  <c r="Q440" i="6"/>
  <c r="I440" i="6"/>
  <c r="C440" i="6"/>
  <c r="B440" i="6"/>
  <c r="A440" i="6"/>
  <c r="T439" i="6"/>
  <c r="J439" i="6"/>
  <c r="C439" i="6"/>
  <c r="B439" i="6"/>
  <c r="A439" i="6"/>
  <c r="T438" i="6"/>
  <c r="S438" i="6"/>
  <c r="I438" i="6"/>
  <c r="C438" i="6"/>
  <c r="B438" i="6"/>
  <c r="A438" i="6"/>
  <c r="C437" i="6"/>
  <c r="B437" i="6"/>
  <c r="A437" i="6"/>
  <c r="S436" i="6"/>
  <c r="R436" i="6"/>
  <c r="Q436" i="6"/>
  <c r="N436" i="6"/>
  <c r="J436" i="6"/>
  <c r="I436" i="6"/>
  <c r="C436" i="6"/>
  <c r="B436" i="6"/>
  <c r="A436" i="6"/>
  <c r="T436" i="6" s="1"/>
  <c r="T435" i="6"/>
  <c r="S435" i="6"/>
  <c r="Q435" i="6"/>
  <c r="N435" i="6"/>
  <c r="J435" i="6"/>
  <c r="I435" i="6"/>
  <c r="C435" i="6"/>
  <c r="B435" i="6"/>
  <c r="A435" i="6"/>
  <c r="R435" i="6" s="1"/>
  <c r="R434" i="6"/>
  <c r="Q434" i="6"/>
  <c r="J434" i="6"/>
  <c r="I434" i="6"/>
  <c r="C434" i="6"/>
  <c r="B434" i="6"/>
  <c r="A434" i="6"/>
  <c r="C433" i="6"/>
  <c r="B433" i="6"/>
  <c r="A433" i="6"/>
  <c r="T432" i="6"/>
  <c r="R432" i="6"/>
  <c r="I432" i="6"/>
  <c r="C432" i="6"/>
  <c r="B432" i="6"/>
  <c r="A432" i="6"/>
  <c r="C431" i="6"/>
  <c r="B431" i="6"/>
  <c r="A431" i="6"/>
  <c r="S430" i="6"/>
  <c r="R430" i="6"/>
  <c r="Q430" i="6"/>
  <c r="N430" i="6"/>
  <c r="J430" i="6"/>
  <c r="I430" i="6"/>
  <c r="C430" i="6"/>
  <c r="B430" i="6"/>
  <c r="A430" i="6"/>
  <c r="T430" i="6" s="1"/>
  <c r="T429" i="6"/>
  <c r="S429" i="6"/>
  <c r="Q429" i="6"/>
  <c r="N429" i="6"/>
  <c r="J429" i="6"/>
  <c r="I429" i="6"/>
  <c r="C429" i="6"/>
  <c r="B429" i="6"/>
  <c r="A429" i="6"/>
  <c r="R429" i="6" s="1"/>
  <c r="C428" i="6"/>
  <c r="B428" i="6"/>
  <c r="A428" i="6"/>
  <c r="T427" i="6"/>
  <c r="N427" i="6"/>
  <c r="J427" i="6"/>
  <c r="C427" i="6"/>
  <c r="B427" i="6"/>
  <c r="A427" i="6"/>
  <c r="I426" i="6"/>
  <c r="C426" i="6"/>
  <c r="B426" i="6"/>
  <c r="A426" i="6"/>
  <c r="T425" i="6"/>
  <c r="S425" i="6"/>
  <c r="R425" i="6"/>
  <c r="Q425" i="6"/>
  <c r="C425" i="6"/>
  <c r="B425" i="6"/>
  <c r="A425" i="6"/>
  <c r="S424" i="6"/>
  <c r="R424" i="6"/>
  <c r="Q424" i="6"/>
  <c r="N424" i="6"/>
  <c r="J424" i="6"/>
  <c r="I424" i="6"/>
  <c r="C424" i="6"/>
  <c r="B424" i="6"/>
  <c r="A424" i="6"/>
  <c r="T424" i="6" s="1"/>
  <c r="T423" i="6"/>
  <c r="S423" i="6"/>
  <c r="Q423" i="6"/>
  <c r="N423" i="6"/>
  <c r="J423" i="6"/>
  <c r="I423" i="6"/>
  <c r="C423" i="6"/>
  <c r="B423" i="6"/>
  <c r="A423" i="6"/>
  <c r="R423" i="6" s="1"/>
  <c r="R422" i="6"/>
  <c r="I422" i="6"/>
  <c r="C422" i="6"/>
  <c r="B422" i="6"/>
  <c r="A422" i="6"/>
  <c r="T421" i="6"/>
  <c r="J421" i="6"/>
  <c r="C421" i="6"/>
  <c r="B421" i="6"/>
  <c r="A421" i="6"/>
  <c r="T420" i="6"/>
  <c r="I420" i="6"/>
  <c r="C420" i="6"/>
  <c r="B420" i="6"/>
  <c r="A420" i="6"/>
  <c r="T419" i="6"/>
  <c r="S419" i="6"/>
  <c r="R419" i="6"/>
  <c r="Q419" i="6"/>
  <c r="N419" i="6"/>
  <c r="C419" i="6"/>
  <c r="B419" i="6"/>
  <c r="A419" i="6"/>
  <c r="S418" i="6"/>
  <c r="R418" i="6"/>
  <c r="Q418" i="6"/>
  <c r="N418" i="6"/>
  <c r="J418" i="6"/>
  <c r="I418" i="6"/>
  <c r="C418" i="6"/>
  <c r="B418" i="6"/>
  <c r="A418" i="6"/>
  <c r="T418" i="6" s="1"/>
  <c r="T417" i="6"/>
  <c r="S417" i="6"/>
  <c r="Q417" i="6"/>
  <c r="N417" i="6"/>
  <c r="J417" i="6"/>
  <c r="I417" i="6"/>
  <c r="C417" i="6"/>
  <c r="B417" i="6"/>
  <c r="A417" i="6"/>
  <c r="R417" i="6" s="1"/>
  <c r="Q416" i="6"/>
  <c r="J416" i="6"/>
  <c r="C416" i="6"/>
  <c r="B416" i="6"/>
  <c r="A416" i="6"/>
  <c r="C415" i="6"/>
  <c r="B415" i="6"/>
  <c r="A415" i="6"/>
  <c r="T414" i="6"/>
  <c r="R414" i="6"/>
  <c r="C414" i="6"/>
  <c r="B414" i="6"/>
  <c r="A414" i="6"/>
  <c r="C413" i="6"/>
  <c r="B413" i="6"/>
  <c r="A413" i="6"/>
  <c r="S412" i="6"/>
  <c r="R412" i="6"/>
  <c r="Q412" i="6"/>
  <c r="N412" i="6"/>
  <c r="J412" i="6"/>
  <c r="I412" i="6"/>
  <c r="C412" i="6"/>
  <c r="B412" i="6"/>
  <c r="A412" i="6"/>
  <c r="T412" i="6" s="1"/>
  <c r="T411" i="6"/>
  <c r="S411" i="6"/>
  <c r="Q411" i="6"/>
  <c r="N411" i="6"/>
  <c r="J411" i="6"/>
  <c r="I411" i="6"/>
  <c r="C411" i="6"/>
  <c r="B411" i="6"/>
  <c r="A411" i="6"/>
  <c r="R411" i="6" s="1"/>
  <c r="R410" i="6"/>
  <c r="Q410" i="6"/>
  <c r="J410" i="6"/>
  <c r="I410" i="6"/>
  <c r="C410" i="6"/>
  <c r="B410" i="6"/>
  <c r="A410" i="6"/>
  <c r="T409" i="6"/>
  <c r="J409" i="6"/>
  <c r="C409" i="6"/>
  <c r="B409" i="6"/>
  <c r="A409" i="6"/>
  <c r="S408" i="6"/>
  <c r="C408" i="6"/>
  <c r="B408" i="6"/>
  <c r="A408" i="6"/>
  <c r="R407" i="6"/>
  <c r="C407" i="6"/>
  <c r="B407" i="6"/>
  <c r="A407" i="6"/>
  <c r="S406" i="6"/>
  <c r="R406" i="6"/>
  <c r="Q406" i="6"/>
  <c r="N406" i="6"/>
  <c r="J406" i="6"/>
  <c r="I406" i="6"/>
  <c r="C406" i="6"/>
  <c r="B406" i="6"/>
  <c r="A406" i="6"/>
  <c r="T406" i="6" s="1"/>
  <c r="T405" i="6"/>
  <c r="S405" i="6"/>
  <c r="Q405" i="6"/>
  <c r="N405" i="6"/>
  <c r="J405" i="6"/>
  <c r="I405" i="6"/>
  <c r="C405" i="6"/>
  <c r="B405" i="6"/>
  <c r="A405" i="6"/>
  <c r="R405" i="6" s="1"/>
  <c r="R404" i="6"/>
  <c r="C404" i="6"/>
  <c r="B404" i="6"/>
  <c r="A404" i="6"/>
  <c r="N403" i="6"/>
  <c r="J403" i="6"/>
  <c r="C403" i="6"/>
  <c r="B403" i="6"/>
  <c r="A403" i="6"/>
  <c r="T403" i="6" s="1"/>
  <c r="R402" i="6"/>
  <c r="J402" i="6"/>
  <c r="C402" i="6"/>
  <c r="B402" i="6"/>
  <c r="A402" i="6"/>
  <c r="R401" i="6"/>
  <c r="Q401" i="6"/>
  <c r="C401" i="6"/>
  <c r="B401" i="6"/>
  <c r="A401" i="6"/>
  <c r="T401" i="6" s="1"/>
  <c r="C400" i="6"/>
  <c r="B400" i="6"/>
  <c r="A400" i="6"/>
  <c r="Q399" i="6"/>
  <c r="N399" i="6"/>
  <c r="J399" i="6"/>
  <c r="C399" i="6"/>
  <c r="B399" i="6"/>
  <c r="A399" i="6"/>
  <c r="C398" i="6"/>
  <c r="B398" i="6"/>
  <c r="A398" i="6"/>
  <c r="S397" i="6"/>
  <c r="Q397" i="6"/>
  <c r="N397" i="6"/>
  <c r="J397" i="6"/>
  <c r="C397" i="6"/>
  <c r="B397" i="6"/>
  <c r="A397" i="6"/>
  <c r="T396" i="6"/>
  <c r="C396" i="6"/>
  <c r="B396" i="6"/>
  <c r="A396" i="6"/>
  <c r="T395" i="6"/>
  <c r="S395" i="6"/>
  <c r="N395" i="6"/>
  <c r="C395" i="6"/>
  <c r="B395" i="6"/>
  <c r="A395" i="6"/>
  <c r="T394" i="6"/>
  <c r="S394" i="6"/>
  <c r="R394" i="6"/>
  <c r="Q394" i="6"/>
  <c r="N394" i="6"/>
  <c r="I394" i="6"/>
  <c r="C394" i="6"/>
  <c r="B394" i="6"/>
  <c r="A394" i="6"/>
  <c r="J394" i="6" s="1"/>
  <c r="Q393" i="6"/>
  <c r="N393" i="6"/>
  <c r="C393" i="6"/>
  <c r="B393" i="6"/>
  <c r="A393" i="6"/>
  <c r="T392" i="6"/>
  <c r="J392" i="6"/>
  <c r="I392" i="6"/>
  <c r="C392" i="6"/>
  <c r="B392" i="6"/>
  <c r="A392" i="6"/>
  <c r="T391" i="6"/>
  <c r="Q391" i="6"/>
  <c r="C391" i="6"/>
  <c r="B391" i="6"/>
  <c r="A391" i="6"/>
  <c r="T390" i="6"/>
  <c r="S390" i="6"/>
  <c r="R390" i="6"/>
  <c r="Q390" i="6"/>
  <c r="J390" i="6"/>
  <c r="C390" i="6"/>
  <c r="B390" i="6"/>
  <c r="A390" i="6"/>
  <c r="I390" i="6" s="1"/>
  <c r="C389" i="6"/>
  <c r="B389" i="6"/>
  <c r="A389" i="6"/>
  <c r="S388" i="6"/>
  <c r="R388" i="6"/>
  <c r="Q388" i="6"/>
  <c r="N388" i="6"/>
  <c r="J388" i="6"/>
  <c r="I388" i="6"/>
  <c r="C388" i="6"/>
  <c r="B388" i="6"/>
  <c r="A388" i="6"/>
  <c r="T388" i="6" s="1"/>
  <c r="J387" i="6"/>
  <c r="I387" i="6"/>
  <c r="C387" i="6"/>
  <c r="B387" i="6"/>
  <c r="A387" i="6"/>
  <c r="C386" i="6"/>
  <c r="B386" i="6"/>
  <c r="A386" i="6"/>
  <c r="T385" i="6"/>
  <c r="S385" i="6"/>
  <c r="R385" i="6"/>
  <c r="Q385" i="6"/>
  <c r="J385" i="6"/>
  <c r="I385" i="6"/>
  <c r="C385" i="6"/>
  <c r="B385" i="6"/>
  <c r="A385" i="6"/>
  <c r="N385" i="6" s="1"/>
  <c r="T384" i="6"/>
  <c r="S384" i="6"/>
  <c r="R384" i="6"/>
  <c r="Q384" i="6"/>
  <c r="N384" i="6"/>
  <c r="J384" i="6"/>
  <c r="C384" i="6"/>
  <c r="B384" i="6"/>
  <c r="A384" i="6"/>
  <c r="I384" i="6" s="1"/>
  <c r="C383" i="6"/>
  <c r="B383" i="6"/>
  <c r="A383" i="6"/>
  <c r="C382" i="6"/>
  <c r="B382" i="6"/>
  <c r="A382" i="6"/>
  <c r="J381" i="6"/>
  <c r="C381" i="6"/>
  <c r="B381" i="6"/>
  <c r="A381" i="6"/>
  <c r="T380" i="6"/>
  <c r="S380" i="6"/>
  <c r="N380" i="6"/>
  <c r="J380" i="6"/>
  <c r="C380" i="6"/>
  <c r="B380" i="6"/>
  <c r="A380" i="6"/>
  <c r="Q379" i="6"/>
  <c r="C379" i="6"/>
  <c r="B379" i="6"/>
  <c r="A379" i="6"/>
  <c r="S378" i="6"/>
  <c r="J378" i="6"/>
  <c r="C378" i="6"/>
  <c r="B378" i="6"/>
  <c r="A378" i="6"/>
  <c r="T377" i="6"/>
  <c r="S377" i="6"/>
  <c r="R377" i="6"/>
  <c r="N377" i="6"/>
  <c r="J377" i="6"/>
  <c r="C377" i="6"/>
  <c r="B377" i="6"/>
  <c r="A377" i="6"/>
  <c r="T376" i="6"/>
  <c r="S376" i="6"/>
  <c r="R376" i="6"/>
  <c r="Q376" i="6"/>
  <c r="N376" i="6"/>
  <c r="I376" i="6"/>
  <c r="C376" i="6"/>
  <c r="B376" i="6"/>
  <c r="A376" i="6"/>
  <c r="J376" i="6" s="1"/>
  <c r="S375" i="6"/>
  <c r="R375" i="6"/>
  <c r="N375" i="6"/>
  <c r="J375" i="6"/>
  <c r="I375" i="6"/>
  <c r="C375" i="6"/>
  <c r="B375" i="6"/>
  <c r="A375" i="6"/>
  <c r="T374" i="6"/>
  <c r="C374" i="6"/>
  <c r="B374" i="6"/>
  <c r="A374" i="6"/>
  <c r="T373" i="6"/>
  <c r="R373" i="6"/>
  <c r="C373" i="6"/>
  <c r="B373" i="6"/>
  <c r="A373" i="6"/>
  <c r="T372" i="6"/>
  <c r="S372" i="6"/>
  <c r="R372" i="6"/>
  <c r="Q372" i="6"/>
  <c r="J372" i="6"/>
  <c r="C372" i="6"/>
  <c r="B372" i="6"/>
  <c r="A372" i="6"/>
  <c r="I372" i="6" s="1"/>
  <c r="C371" i="6"/>
  <c r="B371" i="6"/>
  <c r="A371" i="6"/>
  <c r="S370" i="6"/>
  <c r="R370" i="6"/>
  <c r="Q370" i="6"/>
  <c r="N370" i="6"/>
  <c r="J370" i="6"/>
  <c r="I370" i="6"/>
  <c r="C370" i="6"/>
  <c r="B370" i="6"/>
  <c r="A370" i="6"/>
  <c r="T370" i="6" s="1"/>
  <c r="C369" i="6"/>
  <c r="B369" i="6"/>
  <c r="A369" i="6"/>
  <c r="T368" i="6"/>
  <c r="S368" i="6"/>
  <c r="N368" i="6"/>
  <c r="J368" i="6"/>
  <c r="C368" i="6"/>
  <c r="B368" i="6"/>
  <c r="A368" i="6"/>
  <c r="T367" i="6"/>
  <c r="S367" i="6"/>
  <c r="R367" i="6"/>
  <c r="Q367" i="6"/>
  <c r="J367" i="6"/>
  <c r="I367" i="6"/>
  <c r="C367" i="6"/>
  <c r="B367" i="6"/>
  <c r="A367" i="6"/>
  <c r="N367" i="6" s="1"/>
  <c r="T366" i="6"/>
  <c r="S366" i="6"/>
  <c r="R366" i="6"/>
  <c r="Q366" i="6"/>
  <c r="N366" i="6"/>
  <c r="J366" i="6"/>
  <c r="C366" i="6"/>
  <c r="B366" i="6"/>
  <c r="A366" i="6"/>
  <c r="I366" i="6" s="1"/>
  <c r="T365" i="6"/>
  <c r="J365" i="6"/>
  <c r="C365" i="6"/>
  <c r="B365" i="6"/>
  <c r="A365" i="6"/>
  <c r="T364" i="6"/>
  <c r="Q364" i="6"/>
  <c r="I364" i="6"/>
  <c r="C364" i="6"/>
  <c r="B364" i="6"/>
  <c r="A364" i="6"/>
  <c r="C363" i="6"/>
  <c r="B363" i="6"/>
  <c r="A363" i="6"/>
  <c r="T362" i="6"/>
  <c r="S362" i="6"/>
  <c r="N362" i="6"/>
  <c r="J362" i="6"/>
  <c r="C362" i="6"/>
  <c r="B362" i="6"/>
  <c r="A362" i="6"/>
  <c r="R362" i="6" s="1"/>
  <c r="R361" i="6"/>
  <c r="J361" i="6"/>
  <c r="I361" i="6"/>
  <c r="C361" i="6"/>
  <c r="B361" i="6"/>
  <c r="A361" i="6"/>
  <c r="S360" i="6"/>
  <c r="R360" i="6"/>
  <c r="C360" i="6"/>
  <c r="B360" i="6"/>
  <c r="A360" i="6"/>
  <c r="S359" i="6"/>
  <c r="R359" i="6"/>
  <c r="N359" i="6"/>
  <c r="J359" i="6"/>
  <c r="C359" i="6"/>
  <c r="B359" i="6"/>
  <c r="A359" i="6"/>
  <c r="T358" i="6"/>
  <c r="S358" i="6"/>
  <c r="R358" i="6"/>
  <c r="Q358" i="6"/>
  <c r="N358" i="6"/>
  <c r="I358" i="6"/>
  <c r="C358" i="6"/>
  <c r="B358" i="6"/>
  <c r="A358" i="6"/>
  <c r="J358" i="6" s="1"/>
  <c r="S357" i="6"/>
  <c r="R357" i="6"/>
  <c r="J357" i="6"/>
  <c r="I357" i="6"/>
  <c r="C357" i="6"/>
  <c r="B357" i="6"/>
  <c r="A357" i="6"/>
  <c r="T356" i="6"/>
  <c r="N356" i="6"/>
  <c r="J356" i="6"/>
  <c r="I356" i="6"/>
  <c r="C356" i="6"/>
  <c r="B356" i="6"/>
  <c r="A356" i="6"/>
  <c r="T355" i="6"/>
  <c r="R355" i="6"/>
  <c r="C355" i="6"/>
  <c r="B355" i="6"/>
  <c r="A355" i="6"/>
  <c r="T354" i="6"/>
  <c r="S354" i="6"/>
  <c r="R354" i="6"/>
  <c r="Q354" i="6"/>
  <c r="J354" i="6"/>
  <c r="C354" i="6"/>
  <c r="B354" i="6"/>
  <c r="A354" i="6"/>
  <c r="I354" i="6" s="1"/>
  <c r="T353" i="6"/>
  <c r="S353" i="6"/>
  <c r="R353" i="6"/>
  <c r="Q353" i="6"/>
  <c r="N353" i="6"/>
  <c r="J353" i="6"/>
  <c r="I353" i="6"/>
  <c r="C353" i="6"/>
  <c r="B353" i="6"/>
  <c r="A353" i="6"/>
  <c r="S352" i="6"/>
  <c r="R352" i="6"/>
  <c r="Q352" i="6"/>
  <c r="N352" i="6"/>
  <c r="J352" i="6"/>
  <c r="I352" i="6"/>
  <c r="C352" i="6"/>
  <c r="B352" i="6"/>
  <c r="A352" i="6"/>
  <c r="T352" i="6" s="1"/>
  <c r="S351" i="6"/>
  <c r="R351" i="6"/>
  <c r="I351" i="6"/>
  <c r="C351" i="6"/>
  <c r="B351" i="6"/>
  <c r="A351" i="6"/>
  <c r="C350" i="6"/>
  <c r="B350" i="6"/>
  <c r="A350" i="6"/>
  <c r="T349" i="6"/>
  <c r="S349" i="6"/>
  <c r="R349" i="6"/>
  <c r="Q349" i="6"/>
  <c r="J349" i="6"/>
  <c r="I349" i="6"/>
  <c r="C349" i="6"/>
  <c r="B349" i="6"/>
  <c r="A349" i="6"/>
  <c r="N349" i="6" s="1"/>
  <c r="T348" i="6"/>
  <c r="S348" i="6"/>
  <c r="R348" i="6"/>
  <c r="Q348" i="6"/>
  <c r="N348" i="6"/>
  <c r="J348" i="6"/>
  <c r="C348" i="6"/>
  <c r="B348" i="6"/>
  <c r="A348" i="6"/>
  <c r="I348" i="6" s="1"/>
  <c r="T347" i="6"/>
  <c r="S347" i="6"/>
  <c r="N347" i="6"/>
  <c r="J347" i="6"/>
  <c r="I347" i="6"/>
  <c r="C347" i="6"/>
  <c r="B347" i="6"/>
  <c r="A347" i="6"/>
  <c r="T346" i="6"/>
  <c r="I346" i="6"/>
  <c r="C346" i="6"/>
  <c r="B346" i="6"/>
  <c r="A346" i="6"/>
  <c r="S345" i="6"/>
  <c r="R345" i="6"/>
  <c r="Q345" i="6"/>
  <c r="I345" i="6"/>
  <c r="C345" i="6"/>
  <c r="B345" i="6"/>
  <c r="A345" i="6"/>
  <c r="S344" i="6"/>
  <c r="J344" i="6"/>
  <c r="I344" i="6"/>
  <c r="C344" i="6"/>
  <c r="B344" i="6"/>
  <c r="A344" i="6"/>
  <c r="Q343" i="6"/>
  <c r="J343" i="6"/>
  <c r="C343" i="6"/>
  <c r="B343" i="6"/>
  <c r="A343" i="6"/>
  <c r="S342" i="6"/>
  <c r="R342" i="6"/>
  <c r="J342" i="6"/>
  <c r="C342" i="6"/>
  <c r="B342" i="6"/>
  <c r="A342" i="6"/>
  <c r="C341" i="6"/>
  <c r="B341" i="6"/>
  <c r="A341" i="6"/>
  <c r="T340" i="6"/>
  <c r="S340" i="6"/>
  <c r="R340" i="6"/>
  <c r="Q340" i="6"/>
  <c r="N340" i="6"/>
  <c r="I340" i="6"/>
  <c r="C340" i="6"/>
  <c r="B340" i="6"/>
  <c r="A340" i="6"/>
  <c r="J340" i="6" s="1"/>
  <c r="N339" i="6"/>
  <c r="C339" i="6"/>
  <c r="B339" i="6"/>
  <c r="A339" i="6"/>
  <c r="J338" i="6"/>
  <c r="C338" i="6"/>
  <c r="B338" i="6"/>
  <c r="A338" i="6"/>
  <c r="C337" i="6"/>
  <c r="B337" i="6"/>
  <c r="A337" i="6"/>
  <c r="T336" i="6"/>
  <c r="S336" i="6"/>
  <c r="R336" i="6"/>
  <c r="Q336" i="6"/>
  <c r="J336" i="6"/>
  <c r="C336" i="6"/>
  <c r="B336" i="6"/>
  <c r="A336" i="6"/>
  <c r="I336" i="6" s="1"/>
  <c r="S335" i="6"/>
  <c r="Q335" i="6"/>
  <c r="I335" i="6"/>
  <c r="C335" i="6"/>
  <c r="B335" i="6"/>
  <c r="A335" i="6"/>
  <c r="S334" i="6"/>
  <c r="R334" i="6"/>
  <c r="Q334" i="6"/>
  <c r="N334" i="6"/>
  <c r="J334" i="6"/>
  <c r="I334" i="6"/>
  <c r="C334" i="6"/>
  <c r="B334" i="6"/>
  <c r="A334" i="6"/>
  <c r="T334" i="6" s="1"/>
  <c r="C333" i="6"/>
  <c r="B333" i="6"/>
  <c r="A333" i="6"/>
  <c r="T332" i="6"/>
  <c r="N332" i="6"/>
  <c r="J332" i="6"/>
  <c r="C332" i="6"/>
  <c r="B332" i="6"/>
  <c r="A332" i="6"/>
  <c r="T331" i="6"/>
  <c r="S331" i="6"/>
  <c r="R331" i="6"/>
  <c r="Q331" i="6"/>
  <c r="J331" i="6"/>
  <c r="I331" i="6"/>
  <c r="C331" i="6"/>
  <c r="B331" i="6"/>
  <c r="A331" i="6"/>
  <c r="N331" i="6" s="1"/>
  <c r="T330" i="6"/>
  <c r="S330" i="6"/>
  <c r="R330" i="6"/>
  <c r="Q330" i="6"/>
  <c r="N330" i="6"/>
  <c r="J330" i="6"/>
  <c r="C330" i="6"/>
  <c r="B330" i="6"/>
  <c r="A330" i="6"/>
  <c r="I330" i="6" s="1"/>
  <c r="C329" i="6"/>
  <c r="B329" i="6"/>
  <c r="A329" i="6"/>
  <c r="T328" i="6"/>
  <c r="S328" i="6"/>
  <c r="R328" i="6"/>
  <c r="J328" i="6"/>
  <c r="I328" i="6"/>
  <c r="C328" i="6"/>
  <c r="B328" i="6"/>
  <c r="A328" i="6"/>
  <c r="N328" i="6" s="1"/>
  <c r="C327" i="6"/>
  <c r="B327" i="6"/>
  <c r="A327" i="6"/>
  <c r="C326" i="6"/>
  <c r="B326" i="6"/>
  <c r="A326" i="6"/>
  <c r="S325" i="6"/>
  <c r="R325" i="6"/>
  <c r="Q325" i="6"/>
  <c r="J325" i="6"/>
  <c r="I325" i="6"/>
  <c r="C325" i="6"/>
  <c r="B325" i="6"/>
  <c r="A325" i="6"/>
  <c r="S324" i="6"/>
  <c r="R324" i="6"/>
  <c r="N324" i="6"/>
  <c r="J324" i="6"/>
  <c r="C324" i="6"/>
  <c r="B324" i="6"/>
  <c r="A324" i="6"/>
  <c r="C323" i="6"/>
  <c r="B323" i="6"/>
  <c r="A323" i="6"/>
  <c r="T322" i="6"/>
  <c r="S322" i="6"/>
  <c r="Q322" i="6"/>
  <c r="N322" i="6"/>
  <c r="C322" i="6"/>
  <c r="B322" i="6"/>
  <c r="A322" i="6"/>
  <c r="I322" i="6" s="1"/>
  <c r="S321" i="6"/>
  <c r="R321" i="6"/>
  <c r="Q321" i="6"/>
  <c r="N321" i="6"/>
  <c r="J321" i="6"/>
  <c r="I321" i="6"/>
  <c r="C321" i="6"/>
  <c r="B321" i="6"/>
  <c r="A321" i="6"/>
  <c r="T321" i="6" s="1"/>
  <c r="T320" i="6"/>
  <c r="C320" i="6"/>
  <c r="B320" i="6"/>
  <c r="A320" i="6"/>
  <c r="S319" i="6"/>
  <c r="R319" i="6"/>
  <c r="C319" i="6"/>
  <c r="B319" i="6"/>
  <c r="A319" i="6"/>
  <c r="T318" i="6"/>
  <c r="S318" i="6"/>
  <c r="R318" i="6"/>
  <c r="Q318" i="6"/>
  <c r="N318" i="6"/>
  <c r="J318" i="6"/>
  <c r="C318" i="6"/>
  <c r="B318" i="6"/>
  <c r="A318" i="6"/>
  <c r="I318" i="6" s="1"/>
  <c r="T317" i="6"/>
  <c r="Q317" i="6"/>
  <c r="N317" i="6"/>
  <c r="J317" i="6"/>
  <c r="I317" i="6"/>
  <c r="C317" i="6"/>
  <c r="B317" i="6"/>
  <c r="A317" i="6"/>
  <c r="C316" i="6"/>
  <c r="B316" i="6"/>
  <c r="A316" i="6"/>
  <c r="T315" i="6"/>
  <c r="S315" i="6"/>
  <c r="J315" i="6"/>
  <c r="I315" i="6"/>
  <c r="C315" i="6"/>
  <c r="B315" i="6"/>
  <c r="A315" i="6"/>
  <c r="S314" i="6"/>
  <c r="R314" i="6"/>
  <c r="Q314" i="6"/>
  <c r="J314" i="6"/>
  <c r="I314" i="6"/>
  <c r="C314" i="6"/>
  <c r="B314" i="6"/>
  <c r="A314" i="6"/>
  <c r="N314" i="6" s="1"/>
  <c r="S313" i="6"/>
  <c r="N313" i="6"/>
  <c r="C313" i="6"/>
  <c r="B313" i="6"/>
  <c r="A313" i="6"/>
  <c r="R312" i="6"/>
  <c r="J312" i="6"/>
  <c r="C312" i="6"/>
  <c r="B312" i="6"/>
  <c r="A312" i="6"/>
  <c r="T311" i="6"/>
  <c r="S311" i="6"/>
  <c r="Q311" i="6"/>
  <c r="J311" i="6"/>
  <c r="I311" i="6"/>
  <c r="C311" i="6"/>
  <c r="B311" i="6"/>
  <c r="A311" i="6"/>
  <c r="R311" i="6" s="1"/>
  <c r="R310" i="6"/>
  <c r="Q310" i="6"/>
  <c r="N310" i="6"/>
  <c r="C310" i="6"/>
  <c r="B310" i="6"/>
  <c r="A310" i="6"/>
  <c r="C309" i="6"/>
  <c r="B309" i="6"/>
  <c r="A309" i="6"/>
  <c r="C308" i="6"/>
  <c r="B308" i="6"/>
  <c r="A308" i="6"/>
  <c r="T307" i="6"/>
  <c r="R307" i="6"/>
  <c r="Q307" i="6"/>
  <c r="N307" i="6"/>
  <c r="J307" i="6"/>
  <c r="C307" i="6"/>
  <c r="B307" i="6"/>
  <c r="A307" i="6"/>
  <c r="T306" i="6"/>
  <c r="S306" i="6"/>
  <c r="R306" i="6"/>
  <c r="Q306" i="6"/>
  <c r="J306" i="6"/>
  <c r="I306" i="6"/>
  <c r="C306" i="6"/>
  <c r="B306" i="6"/>
  <c r="A306" i="6"/>
  <c r="N306" i="6" s="1"/>
  <c r="T305" i="6"/>
  <c r="Q305" i="6"/>
  <c r="C305" i="6"/>
  <c r="B305" i="6"/>
  <c r="A305" i="6"/>
  <c r="S304" i="6"/>
  <c r="R304" i="6"/>
  <c r="Q304" i="6"/>
  <c r="N304" i="6"/>
  <c r="J304" i="6"/>
  <c r="I304" i="6"/>
  <c r="C304" i="6"/>
  <c r="B304" i="6"/>
  <c r="A304" i="6"/>
  <c r="T304" i="6" s="1"/>
  <c r="T303" i="6"/>
  <c r="S303" i="6"/>
  <c r="Q303" i="6"/>
  <c r="N303" i="6"/>
  <c r="J303" i="6"/>
  <c r="I303" i="6"/>
  <c r="C303" i="6"/>
  <c r="B303" i="6"/>
  <c r="A303" i="6"/>
  <c r="R303" i="6" s="1"/>
  <c r="T302" i="6"/>
  <c r="J302" i="6"/>
  <c r="I302" i="6"/>
  <c r="C302" i="6"/>
  <c r="B302" i="6"/>
  <c r="A302" i="6"/>
  <c r="S301" i="6"/>
  <c r="N301" i="6"/>
  <c r="C301" i="6"/>
  <c r="B301" i="6"/>
  <c r="A301" i="6"/>
  <c r="T300" i="6"/>
  <c r="S300" i="6"/>
  <c r="R300" i="6"/>
  <c r="Q300" i="6"/>
  <c r="J300" i="6"/>
  <c r="I300" i="6"/>
  <c r="C300" i="6"/>
  <c r="B300" i="6"/>
  <c r="A300" i="6"/>
  <c r="N300" i="6" s="1"/>
  <c r="T299" i="6"/>
  <c r="S299" i="6"/>
  <c r="R299" i="6"/>
  <c r="Q299" i="6"/>
  <c r="N299" i="6"/>
  <c r="J299" i="6"/>
  <c r="I299" i="6"/>
  <c r="C299" i="6"/>
  <c r="B299" i="6"/>
  <c r="A299" i="6"/>
  <c r="R298" i="6"/>
  <c r="J298" i="6"/>
  <c r="I298" i="6"/>
  <c r="C298" i="6"/>
  <c r="B298" i="6"/>
  <c r="A298" i="6"/>
  <c r="C297" i="6"/>
  <c r="B297" i="6"/>
  <c r="A297" i="6"/>
  <c r="S296" i="6"/>
  <c r="R296" i="6"/>
  <c r="Q296" i="6"/>
  <c r="C296" i="6"/>
  <c r="B296" i="6"/>
  <c r="A296" i="6"/>
  <c r="N295" i="6"/>
  <c r="C295" i="6"/>
  <c r="B295" i="6"/>
  <c r="A295" i="6"/>
  <c r="Q294" i="6"/>
  <c r="C294" i="6"/>
  <c r="B294" i="6"/>
  <c r="A294" i="6"/>
  <c r="Q293" i="6"/>
  <c r="I293" i="6"/>
  <c r="C293" i="6"/>
  <c r="B293" i="6"/>
  <c r="A293" i="6"/>
  <c r="S292" i="6"/>
  <c r="R292" i="6"/>
  <c r="Q292" i="6"/>
  <c r="N292" i="6"/>
  <c r="I292" i="6"/>
  <c r="C292" i="6"/>
  <c r="B292" i="6"/>
  <c r="A292" i="6"/>
  <c r="T291" i="6"/>
  <c r="S291" i="6"/>
  <c r="Q291" i="6"/>
  <c r="N291" i="6"/>
  <c r="J291" i="6"/>
  <c r="I291" i="6"/>
  <c r="C291" i="6"/>
  <c r="B291" i="6"/>
  <c r="A291" i="6"/>
  <c r="R291" i="6" s="1"/>
  <c r="C290" i="6"/>
  <c r="B290" i="6"/>
  <c r="A290" i="6"/>
  <c r="T289" i="6"/>
  <c r="R289" i="6"/>
  <c r="N289" i="6"/>
  <c r="J289" i="6"/>
  <c r="C289" i="6"/>
  <c r="B289" i="6"/>
  <c r="A289" i="6"/>
  <c r="S288" i="6"/>
  <c r="R288" i="6"/>
  <c r="Q288" i="6"/>
  <c r="J288" i="6"/>
  <c r="I288" i="6"/>
  <c r="C288" i="6"/>
  <c r="B288" i="6"/>
  <c r="A288" i="6"/>
  <c r="N288" i="6" s="1"/>
  <c r="S287" i="6"/>
  <c r="C287" i="6"/>
  <c r="B287" i="6"/>
  <c r="A287" i="6"/>
  <c r="S286" i="6"/>
  <c r="R286" i="6"/>
  <c r="Q286" i="6"/>
  <c r="N286" i="6"/>
  <c r="J286" i="6"/>
  <c r="I286" i="6"/>
  <c r="C286" i="6"/>
  <c r="B286" i="6"/>
  <c r="A286" i="6"/>
  <c r="T286" i="6" s="1"/>
  <c r="T285" i="6"/>
  <c r="S285" i="6"/>
  <c r="Q285" i="6"/>
  <c r="J285" i="6"/>
  <c r="I285" i="6"/>
  <c r="C285" i="6"/>
  <c r="B285" i="6"/>
  <c r="A285" i="6"/>
  <c r="R285" i="6" s="1"/>
  <c r="S284" i="6"/>
  <c r="Q284" i="6"/>
  <c r="C284" i="6"/>
  <c r="B284" i="6"/>
  <c r="A284" i="6"/>
  <c r="R283" i="6"/>
  <c r="C283" i="6"/>
  <c r="B283" i="6"/>
  <c r="A283" i="6"/>
  <c r="T282" i="6"/>
  <c r="S282" i="6"/>
  <c r="Q282" i="6"/>
  <c r="C282" i="6"/>
  <c r="B282" i="6"/>
  <c r="A282" i="6"/>
  <c r="T281" i="6"/>
  <c r="S281" i="6"/>
  <c r="R281" i="6"/>
  <c r="Q281" i="6"/>
  <c r="J281" i="6"/>
  <c r="I281" i="6"/>
  <c r="C281" i="6"/>
  <c r="B281" i="6"/>
  <c r="A281" i="6"/>
  <c r="N281" i="6" s="1"/>
  <c r="C280" i="6"/>
  <c r="B280" i="6"/>
  <c r="A280" i="6"/>
  <c r="C279" i="6"/>
  <c r="B279" i="6"/>
  <c r="A279" i="6"/>
  <c r="T278" i="6"/>
  <c r="S278" i="6"/>
  <c r="Q278" i="6"/>
  <c r="J278" i="6"/>
  <c r="C278" i="6"/>
  <c r="B278" i="6"/>
  <c r="A278" i="6"/>
  <c r="N278" i="6" s="1"/>
  <c r="T277" i="6"/>
  <c r="S277" i="6"/>
  <c r="R277" i="6"/>
  <c r="Q277" i="6"/>
  <c r="N277" i="6"/>
  <c r="J277" i="6"/>
  <c r="C277" i="6"/>
  <c r="B277" i="6"/>
  <c r="A277" i="6"/>
  <c r="I277" i="6" s="1"/>
  <c r="S276" i="6"/>
  <c r="R276" i="6"/>
  <c r="Q276" i="6"/>
  <c r="N276" i="6"/>
  <c r="J276" i="6"/>
  <c r="I276" i="6"/>
  <c r="C276" i="6"/>
  <c r="B276" i="6"/>
  <c r="A276" i="6"/>
  <c r="T276" i="6" s="1"/>
  <c r="C275" i="6"/>
  <c r="B275" i="6"/>
  <c r="A275" i="6"/>
  <c r="S274" i="6"/>
  <c r="R274" i="6"/>
  <c r="N274" i="6"/>
  <c r="I274" i="6"/>
  <c r="C274" i="6"/>
  <c r="B274" i="6"/>
  <c r="A274" i="6"/>
  <c r="S273" i="6"/>
  <c r="Q273" i="6"/>
  <c r="N273" i="6"/>
  <c r="J273" i="6"/>
  <c r="I273" i="6"/>
  <c r="C273" i="6"/>
  <c r="B273" i="6"/>
  <c r="A273" i="6"/>
  <c r="R273" i="6" s="1"/>
  <c r="S272" i="6"/>
  <c r="J272" i="6"/>
  <c r="I272" i="6"/>
  <c r="C272" i="6"/>
  <c r="B272" i="6"/>
  <c r="A272" i="6"/>
  <c r="C271" i="6"/>
  <c r="B271" i="6"/>
  <c r="A271" i="6"/>
  <c r="S270" i="6"/>
  <c r="R270" i="6"/>
  <c r="Q270" i="6"/>
  <c r="C270" i="6"/>
  <c r="B270" i="6"/>
  <c r="A270" i="6"/>
  <c r="C269" i="6"/>
  <c r="B269" i="6"/>
  <c r="A269" i="6"/>
  <c r="S268" i="6"/>
  <c r="R268" i="6"/>
  <c r="Q268" i="6"/>
  <c r="N268" i="6"/>
  <c r="J268" i="6"/>
  <c r="I268" i="6"/>
  <c r="C268" i="6"/>
  <c r="B268" i="6"/>
  <c r="A268" i="6"/>
  <c r="T268" i="6" s="1"/>
  <c r="Q267" i="6"/>
  <c r="I267" i="6"/>
  <c r="C267" i="6"/>
  <c r="B267" i="6"/>
  <c r="A267" i="6"/>
  <c r="T266" i="6"/>
  <c r="S266" i="6"/>
  <c r="Q266" i="6"/>
  <c r="J266" i="6"/>
  <c r="I266" i="6"/>
  <c r="C266" i="6"/>
  <c r="B266" i="6"/>
  <c r="A266" i="6"/>
  <c r="T265" i="6"/>
  <c r="Q265" i="6"/>
  <c r="C265" i="6"/>
  <c r="B265" i="6"/>
  <c r="A265" i="6"/>
  <c r="S264" i="6"/>
  <c r="N264" i="6"/>
  <c r="C264" i="6"/>
  <c r="B264" i="6"/>
  <c r="A264" i="6"/>
  <c r="T263" i="6"/>
  <c r="S263" i="6"/>
  <c r="Q263" i="6"/>
  <c r="C263" i="6"/>
  <c r="B263" i="6"/>
  <c r="A263" i="6"/>
  <c r="R262" i="6"/>
  <c r="Q262" i="6"/>
  <c r="N262" i="6"/>
  <c r="J262" i="6"/>
  <c r="I262" i="6"/>
  <c r="C262" i="6"/>
  <c r="B262" i="6"/>
  <c r="A262" i="6"/>
  <c r="C261" i="6"/>
  <c r="B261" i="6"/>
  <c r="A261" i="6"/>
  <c r="S260" i="6"/>
  <c r="C260" i="6"/>
  <c r="B260" i="6"/>
  <c r="A260" i="6"/>
  <c r="T259" i="6"/>
  <c r="S259" i="6"/>
  <c r="R259" i="6"/>
  <c r="N259" i="6"/>
  <c r="J259" i="6"/>
  <c r="C259" i="6"/>
  <c r="B259" i="6"/>
  <c r="A259" i="6"/>
  <c r="I259" i="6" s="1"/>
  <c r="R258" i="6"/>
  <c r="Q258" i="6"/>
  <c r="N258" i="6"/>
  <c r="J258" i="6"/>
  <c r="I258" i="6"/>
  <c r="C258" i="6"/>
  <c r="B258" i="6"/>
  <c r="A258" i="6"/>
  <c r="T258" i="6" s="1"/>
  <c r="S257" i="6"/>
  <c r="J257" i="6"/>
  <c r="I257" i="6"/>
  <c r="C257" i="6"/>
  <c r="B257" i="6"/>
  <c r="A257" i="6"/>
  <c r="R256" i="6"/>
  <c r="I256" i="6"/>
  <c r="C256" i="6"/>
  <c r="B256" i="6"/>
  <c r="A256" i="6"/>
  <c r="C255" i="6"/>
  <c r="B255" i="6"/>
  <c r="A255" i="6"/>
  <c r="R254" i="6"/>
  <c r="Q254" i="6"/>
  <c r="C254" i="6"/>
  <c r="B254" i="6"/>
  <c r="A254" i="6"/>
  <c r="Q253" i="6"/>
  <c r="C253" i="6"/>
  <c r="B253" i="6"/>
  <c r="A253" i="6"/>
  <c r="T252" i="6"/>
  <c r="S252" i="6"/>
  <c r="Q252" i="6"/>
  <c r="J252" i="6"/>
  <c r="C252" i="6"/>
  <c r="B252" i="6"/>
  <c r="A252" i="6"/>
  <c r="N252" i="6" s="1"/>
  <c r="T251" i="6"/>
  <c r="S251" i="6"/>
  <c r="R251" i="6"/>
  <c r="Q251" i="6"/>
  <c r="N251" i="6"/>
  <c r="J251" i="6"/>
  <c r="C251" i="6"/>
  <c r="B251" i="6"/>
  <c r="A251" i="6"/>
  <c r="I251" i="6" s="1"/>
  <c r="S250" i="6"/>
  <c r="R250" i="6"/>
  <c r="Q250" i="6"/>
  <c r="N250" i="6"/>
  <c r="J250" i="6"/>
  <c r="I250" i="6"/>
  <c r="C250" i="6"/>
  <c r="B250" i="6"/>
  <c r="A250" i="6"/>
  <c r="T250" i="6" s="1"/>
  <c r="T249" i="6"/>
  <c r="N249" i="6"/>
  <c r="C249" i="6"/>
  <c r="B249" i="6"/>
  <c r="A249" i="6"/>
  <c r="T248" i="6"/>
  <c r="S248" i="6"/>
  <c r="J248" i="6"/>
  <c r="I248" i="6"/>
  <c r="C248" i="6"/>
  <c r="B248" i="6"/>
  <c r="A248" i="6"/>
  <c r="S247" i="6"/>
  <c r="R247" i="6"/>
  <c r="C247" i="6"/>
  <c r="B247" i="6"/>
  <c r="A247" i="6"/>
  <c r="J246" i="6"/>
  <c r="I246" i="6"/>
  <c r="C246" i="6"/>
  <c r="B246" i="6"/>
  <c r="A246" i="6"/>
  <c r="S245" i="6"/>
  <c r="C245" i="6"/>
  <c r="B245" i="6"/>
  <c r="A245" i="6"/>
  <c r="R244" i="6"/>
  <c r="Q244" i="6"/>
  <c r="J244" i="6"/>
  <c r="I244" i="6"/>
  <c r="C244" i="6"/>
  <c r="B244" i="6"/>
  <c r="A244" i="6"/>
  <c r="C243" i="6"/>
  <c r="B243" i="6"/>
  <c r="A243" i="6"/>
  <c r="C242" i="6"/>
  <c r="B242" i="6"/>
  <c r="A242" i="6"/>
  <c r="T241" i="6"/>
  <c r="C241" i="6"/>
  <c r="B241" i="6"/>
  <c r="A241" i="6"/>
  <c r="S240" i="6"/>
  <c r="R240" i="6"/>
  <c r="Q240" i="6"/>
  <c r="I240" i="6"/>
  <c r="C240" i="6"/>
  <c r="B240" i="6"/>
  <c r="A240" i="6"/>
  <c r="J239" i="6"/>
  <c r="C239" i="6"/>
  <c r="B239" i="6"/>
  <c r="A239" i="6"/>
  <c r="C238" i="6"/>
  <c r="B238" i="6"/>
  <c r="A238" i="6"/>
  <c r="T237" i="6"/>
  <c r="S237" i="6"/>
  <c r="N237" i="6"/>
  <c r="J237" i="6"/>
  <c r="C237" i="6"/>
  <c r="B237" i="6"/>
  <c r="A237" i="6"/>
  <c r="R237" i="6" s="1"/>
  <c r="T236" i="6"/>
  <c r="S236" i="6"/>
  <c r="R236" i="6"/>
  <c r="Q236" i="6"/>
  <c r="J236" i="6"/>
  <c r="I236" i="6"/>
  <c r="C236" i="6"/>
  <c r="B236" i="6"/>
  <c r="A236" i="6"/>
  <c r="N236" i="6" s="1"/>
  <c r="J235" i="6"/>
  <c r="C235" i="6"/>
  <c r="B235" i="6"/>
  <c r="A235" i="6"/>
  <c r="S234" i="6"/>
  <c r="R234" i="6"/>
  <c r="C234" i="6"/>
  <c r="B234" i="6"/>
  <c r="A234" i="6"/>
  <c r="T233" i="6"/>
  <c r="S233" i="6"/>
  <c r="R233" i="6"/>
  <c r="N233" i="6"/>
  <c r="J233" i="6"/>
  <c r="C233" i="6"/>
  <c r="B233" i="6"/>
  <c r="A233" i="6"/>
  <c r="I233" i="6" s="1"/>
  <c r="S232" i="6"/>
  <c r="R232" i="6"/>
  <c r="Q232" i="6"/>
  <c r="N232" i="6"/>
  <c r="J232" i="6"/>
  <c r="I232" i="6"/>
  <c r="C232" i="6"/>
  <c r="B232" i="6"/>
  <c r="A232" i="6"/>
  <c r="T232" i="6" s="1"/>
  <c r="S231" i="6"/>
  <c r="J231" i="6"/>
  <c r="I231" i="6"/>
  <c r="C231" i="6"/>
  <c r="B231" i="6"/>
  <c r="A231" i="6"/>
  <c r="S230" i="6"/>
  <c r="Q230" i="6"/>
  <c r="I230" i="6"/>
  <c r="C230" i="6"/>
  <c r="B230" i="6"/>
  <c r="A230" i="6"/>
  <c r="T229" i="6"/>
  <c r="S229" i="6"/>
  <c r="R229" i="6"/>
  <c r="Q229" i="6"/>
  <c r="N229" i="6"/>
  <c r="C229" i="6"/>
  <c r="B229" i="6"/>
  <c r="A229" i="6"/>
  <c r="T228" i="6"/>
  <c r="Q228" i="6"/>
  <c r="N228" i="6"/>
  <c r="I228" i="6"/>
  <c r="C228" i="6"/>
  <c r="B228" i="6"/>
  <c r="A228" i="6"/>
  <c r="J227" i="6"/>
  <c r="C227" i="6"/>
  <c r="B227" i="6"/>
  <c r="A227" i="6"/>
  <c r="N226" i="6"/>
  <c r="I226" i="6"/>
  <c r="C226" i="6"/>
  <c r="B226" i="6"/>
  <c r="A226" i="6"/>
  <c r="T225" i="6"/>
  <c r="S225" i="6"/>
  <c r="Q225" i="6"/>
  <c r="J225" i="6"/>
  <c r="I225" i="6"/>
  <c r="C225" i="6"/>
  <c r="B225" i="6"/>
  <c r="A225" i="6"/>
  <c r="T224" i="6"/>
  <c r="S224" i="6"/>
  <c r="R224" i="6"/>
  <c r="Q224" i="6"/>
  <c r="J224" i="6"/>
  <c r="I224" i="6"/>
  <c r="C224" i="6"/>
  <c r="B224" i="6"/>
  <c r="A224" i="6"/>
  <c r="N224" i="6" s="1"/>
  <c r="T223" i="6"/>
  <c r="Q223" i="6"/>
  <c r="C223" i="6"/>
  <c r="B223" i="6"/>
  <c r="A223" i="6"/>
  <c r="S222" i="6"/>
  <c r="R222" i="6"/>
  <c r="N222" i="6"/>
  <c r="J222" i="6"/>
  <c r="C222" i="6"/>
  <c r="B222" i="6"/>
  <c r="A222" i="6"/>
  <c r="T222" i="6" s="1"/>
  <c r="T221" i="6"/>
  <c r="S221" i="6"/>
  <c r="Q221" i="6"/>
  <c r="N221" i="6"/>
  <c r="J221" i="6"/>
  <c r="I221" i="6"/>
  <c r="C221" i="6"/>
  <c r="B221" i="6"/>
  <c r="A221" i="6"/>
  <c r="R221" i="6" s="1"/>
  <c r="S220" i="6"/>
  <c r="N220" i="6"/>
  <c r="I220" i="6"/>
  <c r="C220" i="6"/>
  <c r="B220" i="6"/>
  <c r="A220" i="6"/>
  <c r="S219" i="6"/>
  <c r="C219" i="6"/>
  <c r="B219" i="6"/>
  <c r="A219" i="6"/>
  <c r="T218" i="6"/>
  <c r="S218" i="6"/>
  <c r="R218" i="6"/>
  <c r="J218" i="6"/>
  <c r="I218" i="6"/>
  <c r="C218" i="6"/>
  <c r="B218" i="6"/>
  <c r="A218" i="6"/>
  <c r="N218" i="6" s="1"/>
  <c r="N217" i="6"/>
  <c r="C217" i="6"/>
  <c r="B217" i="6"/>
  <c r="A217" i="6"/>
  <c r="R216" i="6"/>
  <c r="I216" i="6"/>
  <c r="C216" i="6"/>
  <c r="B216" i="6"/>
  <c r="A216" i="6"/>
  <c r="R215" i="6"/>
  <c r="Q215" i="6"/>
  <c r="J215" i="6"/>
  <c r="C215" i="6"/>
  <c r="B215" i="6"/>
  <c r="A215" i="6"/>
  <c r="T215" i="6" s="1"/>
  <c r="S214" i="6"/>
  <c r="R214" i="6"/>
  <c r="Q214" i="6"/>
  <c r="N214" i="6"/>
  <c r="J214" i="6"/>
  <c r="I214" i="6"/>
  <c r="C214" i="6"/>
  <c r="B214" i="6"/>
  <c r="A214" i="6"/>
  <c r="T214" i="6" s="1"/>
  <c r="Q213" i="6"/>
  <c r="N213" i="6"/>
  <c r="I213" i="6"/>
  <c r="C213" i="6"/>
  <c r="B213" i="6"/>
  <c r="A213" i="6"/>
  <c r="C212" i="6"/>
  <c r="B212" i="6"/>
  <c r="A212" i="6"/>
  <c r="T211" i="6"/>
  <c r="S211" i="6"/>
  <c r="Q211" i="6"/>
  <c r="N211" i="6"/>
  <c r="C211" i="6"/>
  <c r="B211" i="6"/>
  <c r="A211" i="6"/>
  <c r="T210" i="6"/>
  <c r="S210" i="6"/>
  <c r="R210" i="6"/>
  <c r="Q210" i="6"/>
  <c r="N210" i="6"/>
  <c r="J210" i="6"/>
  <c r="I210" i="6"/>
  <c r="C210" i="6"/>
  <c r="B210" i="6"/>
  <c r="A210" i="6"/>
  <c r="T209" i="6"/>
  <c r="C209" i="6"/>
  <c r="B209" i="6"/>
  <c r="A209" i="6"/>
  <c r="R208" i="6"/>
  <c r="C208" i="6"/>
  <c r="B208" i="6"/>
  <c r="A208" i="6"/>
  <c r="T207" i="6"/>
  <c r="S207" i="6"/>
  <c r="J207" i="6"/>
  <c r="I207" i="6"/>
  <c r="C207" i="6"/>
  <c r="B207" i="6"/>
  <c r="A207" i="6"/>
  <c r="S206" i="6"/>
  <c r="R206" i="6"/>
  <c r="Q206" i="6"/>
  <c r="J206" i="6"/>
  <c r="I206" i="6"/>
  <c r="C206" i="6"/>
  <c r="B206" i="6"/>
  <c r="A206" i="6"/>
  <c r="S205" i="6"/>
  <c r="N205" i="6"/>
  <c r="J205" i="6"/>
  <c r="C205" i="6"/>
  <c r="B205" i="6"/>
  <c r="A205" i="6"/>
  <c r="R204" i="6"/>
  <c r="Q204" i="6"/>
  <c r="J204" i="6"/>
  <c r="C204" i="6"/>
  <c r="B204" i="6"/>
  <c r="A204" i="6"/>
  <c r="T203" i="6"/>
  <c r="S203" i="6"/>
  <c r="Q203" i="6"/>
  <c r="J203" i="6"/>
  <c r="I203" i="6"/>
  <c r="C203" i="6"/>
  <c r="B203" i="6"/>
  <c r="A203" i="6"/>
  <c r="R203" i="6" s="1"/>
  <c r="R202" i="6"/>
  <c r="C202" i="6"/>
  <c r="B202" i="6"/>
  <c r="A202" i="6"/>
  <c r="T201" i="6"/>
  <c r="C201" i="6"/>
  <c r="B201" i="6"/>
  <c r="A201" i="6"/>
  <c r="I200" i="6"/>
  <c r="C200" i="6"/>
  <c r="B200" i="6"/>
  <c r="A200" i="6"/>
  <c r="T199" i="6"/>
  <c r="R199" i="6"/>
  <c r="Q199" i="6"/>
  <c r="N199" i="6"/>
  <c r="J199" i="6"/>
  <c r="C199" i="6"/>
  <c r="B199" i="6"/>
  <c r="A199" i="6"/>
  <c r="T198" i="6"/>
  <c r="S198" i="6"/>
  <c r="R198" i="6"/>
  <c r="Q198" i="6"/>
  <c r="J198" i="6"/>
  <c r="I198" i="6"/>
  <c r="C198" i="6"/>
  <c r="B198" i="6"/>
  <c r="A198" i="6"/>
  <c r="N198" i="6" s="1"/>
  <c r="C197" i="6"/>
  <c r="B197" i="6"/>
  <c r="A197" i="6"/>
  <c r="S196" i="6"/>
  <c r="R196" i="6"/>
  <c r="Q196" i="6"/>
  <c r="N196" i="6"/>
  <c r="J196" i="6"/>
  <c r="I196" i="6"/>
  <c r="C196" i="6"/>
  <c r="B196" i="6"/>
  <c r="A196" i="6"/>
  <c r="T196" i="6" s="1"/>
  <c r="T195" i="6"/>
  <c r="S195" i="6"/>
  <c r="Q195" i="6"/>
  <c r="N195" i="6"/>
  <c r="J195" i="6"/>
  <c r="I195" i="6"/>
  <c r="C195" i="6"/>
  <c r="B195" i="6"/>
  <c r="A195" i="6"/>
  <c r="R195" i="6" s="1"/>
  <c r="C194" i="6"/>
  <c r="B194" i="6"/>
  <c r="A194" i="6"/>
  <c r="C193" i="6"/>
  <c r="B193" i="6"/>
  <c r="A193" i="6"/>
  <c r="T192" i="6"/>
  <c r="S192" i="6"/>
  <c r="R192" i="6"/>
  <c r="Q192" i="6"/>
  <c r="J192" i="6"/>
  <c r="I192" i="6"/>
  <c r="C192" i="6"/>
  <c r="B192" i="6"/>
  <c r="A192" i="6"/>
  <c r="N192" i="6" s="1"/>
  <c r="T191" i="6"/>
  <c r="S191" i="6"/>
  <c r="R191" i="6"/>
  <c r="Q191" i="6"/>
  <c r="N191" i="6"/>
  <c r="J191" i="6"/>
  <c r="I191" i="6"/>
  <c r="C191" i="6"/>
  <c r="B191" i="6"/>
  <c r="A191" i="6"/>
  <c r="R190" i="6"/>
  <c r="I190" i="6"/>
  <c r="C190" i="6"/>
  <c r="B190" i="6"/>
  <c r="A190" i="6"/>
  <c r="I189" i="6"/>
  <c r="C189" i="6"/>
  <c r="B189" i="6"/>
  <c r="A189" i="6"/>
  <c r="T188" i="6"/>
  <c r="S188" i="6"/>
  <c r="R188" i="6"/>
  <c r="Q188" i="6"/>
  <c r="I188" i="6"/>
  <c r="C188" i="6"/>
  <c r="B188" i="6"/>
  <c r="A188" i="6"/>
  <c r="T187" i="6"/>
  <c r="Q187" i="6"/>
  <c r="N187" i="6"/>
  <c r="J187" i="6"/>
  <c r="C187" i="6"/>
  <c r="B187" i="6"/>
  <c r="A187" i="6"/>
  <c r="C186" i="6"/>
  <c r="B186" i="6"/>
  <c r="A186" i="6"/>
  <c r="T185" i="6"/>
  <c r="Q185" i="6"/>
  <c r="I185" i="6"/>
  <c r="C185" i="6"/>
  <c r="B185" i="6"/>
  <c r="A185" i="6"/>
  <c r="S184" i="6"/>
  <c r="R184" i="6"/>
  <c r="Q184" i="6"/>
  <c r="N184" i="6"/>
  <c r="I184" i="6"/>
  <c r="C184" i="6"/>
  <c r="B184" i="6"/>
  <c r="A184" i="6"/>
  <c r="T183" i="6"/>
  <c r="S183" i="6"/>
  <c r="Q183" i="6"/>
  <c r="N183" i="6"/>
  <c r="J183" i="6"/>
  <c r="I183" i="6"/>
  <c r="C183" i="6"/>
  <c r="B183" i="6"/>
  <c r="A183" i="6"/>
  <c r="R183" i="6" s="1"/>
  <c r="T182" i="6"/>
  <c r="S182" i="6"/>
  <c r="J182" i="6"/>
  <c r="C182" i="6"/>
  <c r="B182" i="6"/>
  <c r="A182" i="6"/>
  <c r="C181" i="6"/>
  <c r="B181" i="6"/>
  <c r="A181" i="6"/>
  <c r="J180" i="6"/>
  <c r="C180" i="6"/>
  <c r="B180" i="6"/>
  <c r="A180" i="6"/>
  <c r="R180" i="6" s="1"/>
  <c r="N179" i="6"/>
  <c r="C179" i="6"/>
  <c r="B179" i="6"/>
  <c r="A179" i="6"/>
  <c r="S178" i="6"/>
  <c r="R178" i="6"/>
  <c r="Q178" i="6"/>
  <c r="N178" i="6"/>
  <c r="J178" i="6"/>
  <c r="I178" i="6"/>
  <c r="C178" i="6"/>
  <c r="B178" i="6"/>
  <c r="A178" i="6"/>
  <c r="T178" i="6" s="1"/>
  <c r="C177" i="6"/>
  <c r="B177" i="6"/>
  <c r="A177" i="6"/>
  <c r="Q176" i="6"/>
  <c r="J176" i="6"/>
  <c r="I176" i="6"/>
  <c r="C176" i="6"/>
  <c r="B176" i="6"/>
  <c r="A176" i="6"/>
  <c r="T175" i="6"/>
  <c r="Q175" i="6"/>
  <c r="C175" i="6"/>
  <c r="B175" i="6"/>
  <c r="A175" i="6"/>
  <c r="T174" i="6"/>
  <c r="S174" i="6"/>
  <c r="Q174" i="6"/>
  <c r="I174" i="6"/>
  <c r="C174" i="6"/>
  <c r="B174" i="6"/>
  <c r="A174" i="6"/>
  <c r="C173" i="6"/>
  <c r="B173" i="6"/>
  <c r="A173" i="6"/>
  <c r="R172" i="6"/>
  <c r="Q172" i="6"/>
  <c r="C172" i="6"/>
  <c r="B172" i="6"/>
  <c r="A172" i="6"/>
  <c r="T171" i="6"/>
  <c r="Q171" i="6"/>
  <c r="I171" i="6"/>
  <c r="C171" i="6"/>
  <c r="B171" i="6"/>
  <c r="A171" i="6"/>
  <c r="C170" i="6"/>
  <c r="B170" i="6"/>
  <c r="A170" i="6"/>
  <c r="S169" i="6"/>
  <c r="R169" i="6"/>
  <c r="C169" i="6"/>
  <c r="B169" i="6"/>
  <c r="A169" i="6"/>
  <c r="J169" i="6" s="1"/>
  <c r="T168" i="6"/>
  <c r="S168" i="6"/>
  <c r="R168" i="6"/>
  <c r="N168" i="6"/>
  <c r="Q168" i="6" s="1"/>
  <c r="J168" i="6"/>
  <c r="I168" i="6"/>
  <c r="C168" i="6"/>
  <c r="B168" i="6"/>
  <c r="A168" i="6"/>
  <c r="C167" i="6"/>
  <c r="B167" i="6"/>
  <c r="A167" i="6"/>
  <c r="S166" i="6"/>
  <c r="C166" i="6"/>
  <c r="B166" i="6"/>
  <c r="A166" i="6"/>
  <c r="T165" i="6"/>
  <c r="S165" i="6"/>
  <c r="J165" i="6"/>
  <c r="I165" i="6"/>
  <c r="C165" i="6"/>
  <c r="B165" i="6"/>
  <c r="A165" i="6"/>
  <c r="S164" i="6"/>
  <c r="C164" i="6"/>
  <c r="B164" i="6"/>
  <c r="A164" i="6"/>
  <c r="S163" i="6"/>
  <c r="R163" i="6"/>
  <c r="Q163" i="6"/>
  <c r="N163" i="6"/>
  <c r="J163" i="6"/>
  <c r="I163" i="6"/>
  <c r="C163" i="6"/>
  <c r="B163" i="6"/>
  <c r="A163" i="6"/>
  <c r="T163" i="6" s="1"/>
  <c r="S162" i="6"/>
  <c r="N162" i="6"/>
  <c r="Q162" i="6" s="1"/>
  <c r="I162" i="6"/>
  <c r="C162" i="6"/>
  <c r="B162" i="6"/>
  <c r="A162" i="6"/>
  <c r="R162" i="6" s="1"/>
  <c r="S161" i="6"/>
  <c r="Q161" i="6"/>
  <c r="N161" i="6"/>
  <c r="C161" i="6"/>
  <c r="B161" i="6"/>
  <c r="A161" i="6"/>
  <c r="C160" i="6"/>
  <c r="B160" i="6"/>
  <c r="A160" i="6"/>
  <c r="S159" i="6"/>
  <c r="R159" i="6"/>
  <c r="Q159" i="6"/>
  <c r="I159" i="6"/>
  <c r="C159" i="6"/>
  <c r="B159" i="6"/>
  <c r="A159" i="6"/>
  <c r="N159" i="6" s="1"/>
  <c r="T158" i="6"/>
  <c r="R158" i="6"/>
  <c r="J158" i="6"/>
  <c r="C158" i="6"/>
  <c r="B158" i="6"/>
  <c r="A158" i="6"/>
  <c r="R157" i="6"/>
  <c r="J157" i="6"/>
  <c r="I157" i="6"/>
  <c r="C157" i="6"/>
  <c r="B157" i="6"/>
  <c r="A157" i="6"/>
  <c r="S156" i="6"/>
  <c r="C156" i="6"/>
  <c r="B156" i="6"/>
  <c r="A156" i="6"/>
  <c r="S155" i="6"/>
  <c r="R155" i="6"/>
  <c r="Q155" i="6"/>
  <c r="N155" i="6"/>
  <c r="J155" i="6"/>
  <c r="I155" i="6"/>
  <c r="C155" i="6"/>
  <c r="B155" i="6"/>
  <c r="A155" i="6"/>
  <c r="T155" i="6" s="1"/>
  <c r="T154" i="6"/>
  <c r="S154" i="6"/>
  <c r="N154" i="6"/>
  <c r="Q154" i="6" s="1"/>
  <c r="I154" i="6"/>
  <c r="C154" i="6"/>
  <c r="B154" i="6"/>
  <c r="A154" i="6"/>
  <c r="R154" i="6" s="1"/>
  <c r="T153" i="6"/>
  <c r="J153" i="6"/>
  <c r="I153" i="6"/>
  <c r="C153" i="6"/>
  <c r="B153" i="6"/>
  <c r="A153" i="6"/>
  <c r="S153" i="6" s="1"/>
  <c r="T152" i="6"/>
  <c r="S152" i="6"/>
  <c r="R152" i="6"/>
  <c r="C152" i="6"/>
  <c r="B152" i="6"/>
  <c r="A152" i="6"/>
  <c r="T151" i="6"/>
  <c r="S151" i="6"/>
  <c r="R151" i="6"/>
  <c r="N151" i="6"/>
  <c r="Q151" i="6" s="1"/>
  <c r="J151" i="6"/>
  <c r="I151" i="6"/>
  <c r="C151" i="6"/>
  <c r="B151" i="6"/>
  <c r="A151" i="6"/>
  <c r="T150" i="6"/>
  <c r="S150" i="6"/>
  <c r="R150" i="6"/>
  <c r="N150" i="6"/>
  <c r="Q150" i="6" s="1"/>
  <c r="I150" i="6"/>
  <c r="C150" i="6"/>
  <c r="B150" i="6"/>
  <c r="A150" i="6"/>
  <c r="J150" i="6" s="1"/>
  <c r="R149" i="6"/>
  <c r="N149" i="6"/>
  <c r="J149" i="6"/>
  <c r="I149" i="6"/>
  <c r="C149" i="6"/>
  <c r="B149" i="6"/>
  <c r="A149" i="6"/>
  <c r="T148" i="6"/>
  <c r="S148" i="6"/>
  <c r="C148" i="6"/>
  <c r="B148" i="6"/>
  <c r="A148" i="6"/>
  <c r="T147" i="6"/>
  <c r="S147" i="6"/>
  <c r="R147" i="6"/>
  <c r="J147" i="6"/>
  <c r="I147" i="6"/>
  <c r="C147" i="6"/>
  <c r="B147" i="6"/>
  <c r="A147" i="6"/>
  <c r="N147" i="6" s="1"/>
  <c r="S146" i="6"/>
  <c r="J146" i="6"/>
  <c r="C146" i="6"/>
  <c r="B146" i="6"/>
  <c r="A146" i="6"/>
  <c r="S145" i="6"/>
  <c r="J145" i="6"/>
  <c r="C145" i="6"/>
  <c r="B145" i="6"/>
  <c r="A145" i="6"/>
  <c r="S144" i="6"/>
  <c r="N144" i="6"/>
  <c r="Q144" i="6" s="1"/>
  <c r="C144" i="6"/>
  <c r="B144" i="6"/>
  <c r="A144" i="6"/>
  <c r="R144" i="6" s="1"/>
  <c r="S143" i="6"/>
  <c r="R143" i="6"/>
  <c r="I143" i="6"/>
  <c r="C143" i="6"/>
  <c r="B143" i="6"/>
  <c r="A143" i="6"/>
  <c r="I142" i="6"/>
  <c r="C142" i="6"/>
  <c r="B142" i="6"/>
  <c r="A142" i="6"/>
  <c r="C141" i="6"/>
  <c r="B141" i="6"/>
  <c r="A141" i="6"/>
  <c r="T140" i="6"/>
  <c r="N140" i="6"/>
  <c r="Q140" i="6" s="1"/>
  <c r="J140" i="6"/>
  <c r="C140" i="6"/>
  <c r="B140" i="6"/>
  <c r="A140" i="6"/>
  <c r="T139" i="6"/>
  <c r="C139" i="6"/>
  <c r="B139" i="6"/>
  <c r="A139" i="6"/>
  <c r="T138" i="6"/>
  <c r="S138" i="6"/>
  <c r="Q138" i="6"/>
  <c r="N138" i="6"/>
  <c r="J138" i="6"/>
  <c r="C138" i="6"/>
  <c r="B138" i="6"/>
  <c r="A138" i="6"/>
  <c r="I138" i="6" s="1"/>
  <c r="S137" i="6"/>
  <c r="R137" i="6"/>
  <c r="Q137" i="6"/>
  <c r="N137" i="6"/>
  <c r="J137" i="6"/>
  <c r="I137" i="6"/>
  <c r="C137" i="6"/>
  <c r="B137" i="6"/>
  <c r="A137" i="6"/>
  <c r="T137" i="6" s="1"/>
  <c r="T136" i="6"/>
  <c r="S136" i="6"/>
  <c r="N136" i="6"/>
  <c r="Q136" i="6" s="1"/>
  <c r="J136" i="6"/>
  <c r="I136" i="6"/>
  <c r="C136" i="6"/>
  <c r="B136" i="6"/>
  <c r="A136" i="6"/>
  <c r="R136" i="6" s="1"/>
  <c r="T135" i="6"/>
  <c r="C135" i="6"/>
  <c r="B135" i="6"/>
  <c r="A135" i="6"/>
  <c r="C134" i="6"/>
  <c r="B134" i="6"/>
  <c r="A134" i="6"/>
  <c r="T133" i="6"/>
  <c r="R133" i="6"/>
  <c r="Q133" i="6"/>
  <c r="N133" i="6"/>
  <c r="C133" i="6"/>
  <c r="B133" i="6"/>
  <c r="A133" i="6"/>
  <c r="S133" i="6" s="1"/>
  <c r="T132" i="6"/>
  <c r="S132" i="6"/>
  <c r="R132" i="6"/>
  <c r="N132" i="6"/>
  <c r="J132" i="6"/>
  <c r="I132" i="6"/>
  <c r="C132" i="6"/>
  <c r="B132" i="6"/>
  <c r="A132" i="6"/>
  <c r="R131" i="6"/>
  <c r="J131" i="6"/>
  <c r="C131" i="6"/>
  <c r="B131" i="6"/>
  <c r="A131" i="6"/>
  <c r="T130" i="6"/>
  <c r="I130" i="6"/>
  <c r="C130" i="6"/>
  <c r="B130" i="6"/>
  <c r="A130" i="6"/>
  <c r="T129" i="6"/>
  <c r="C129" i="6"/>
  <c r="B129" i="6"/>
  <c r="A129" i="6"/>
  <c r="T128" i="6"/>
  <c r="S128" i="6"/>
  <c r="R128" i="6"/>
  <c r="J128" i="6"/>
  <c r="C128" i="6"/>
  <c r="B128" i="6"/>
  <c r="A128" i="6"/>
  <c r="I128" i="6" s="1"/>
  <c r="C127" i="6"/>
  <c r="B127" i="6"/>
  <c r="A127" i="6"/>
  <c r="T126" i="6"/>
  <c r="C126" i="6"/>
  <c r="B126" i="6"/>
  <c r="A126" i="6"/>
  <c r="S125" i="6"/>
  <c r="Q125" i="6"/>
  <c r="N125" i="6"/>
  <c r="I125" i="6"/>
  <c r="C125" i="6"/>
  <c r="B125" i="6"/>
  <c r="A125" i="6"/>
  <c r="C124" i="6"/>
  <c r="B124" i="6"/>
  <c r="A124" i="6"/>
  <c r="T123" i="6"/>
  <c r="S123" i="6"/>
  <c r="R123" i="6"/>
  <c r="Q123" i="6"/>
  <c r="J123" i="6"/>
  <c r="I123" i="6"/>
  <c r="C123" i="6"/>
  <c r="B123" i="6"/>
  <c r="A123" i="6"/>
  <c r="N123" i="6" s="1"/>
  <c r="T122" i="6"/>
  <c r="R122" i="6"/>
  <c r="C122" i="6"/>
  <c r="B122" i="6"/>
  <c r="A122" i="6"/>
  <c r="T121" i="6"/>
  <c r="S121" i="6"/>
  <c r="R121" i="6"/>
  <c r="J121" i="6"/>
  <c r="I121" i="6"/>
  <c r="C121" i="6"/>
  <c r="B121" i="6"/>
  <c r="A121" i="6"/>
  <c r="N121" i="6" s="1"/>
  <c r="S120" i="6"/>
  <c r="J120" i="6"/>
  <c r="C120" i="6"/>
  <c r="B120" i="6"/>
  <c r="A120" i="6"/>
  <c r="S119" i="6"/>
  <c r="R119" i="6"/>
  <c r="Q119" i="6"/>
  <c r="N119" i="6"/>
  <c r="J119" i="6"/>
  <c r="I119" i="6"/>
  <c r="C119" i="6"/>
  <c r="B119" i="6"/>
  <c r="A119" i="6"/>
  <c r="T119" i="6" s="1"/>
  <c r="S118" i="6"/>
  <c r="Q118" i="6"/>
  <c r="N118" i="6"/>
  <c r="C118" i="6"/>
  <c r="B118" i="6"/>
  <c r="A118" i="6"/>
  <c r="R118" i="6" s="1"/>
  <c r="T117" i="6"/>
  <c r="S117" i="6"/>
  <c r="I117" i="6"/>
  <c r="C117" i="6"/>
  <c r="B117" i="6"/>
  <c r="A117" i="6"/>
  <c r="T116" i="6"/>
  <c r="S116" i="6"/>
  <c r="R116" i="6"/>
  <c r="N116" i="6"/>
  <c r="Q116" i="6" s="1"/>
  <c r="C116" i="6"/>
  <c r="B116" i="6"/>
  <c r="A116" i="6"/>
  <c r="T115" i="6"/>
  <c r="I115" i="6"/>
  <c r="C115" i="6"/>
  <c r="B115" i="6"/>
  <c r="A115" i="6"/>
  <c r="S115" i="6" s="1"/>
  <c r="T114" i="6"/>
  <c r="R114" i="6"/>
  <c r="N114" i="6"/>
  <c r="Q114" i="6" s="1"/>
  <c r="C114" i="6"/>
  <c r="B114" i="6"/>
  <c r="A114" i="6"/>
  <c r="S114" i="6" s="1"/>
  <c r="R113" i="6"/>
  <c r="Q113" i="6"/>
  <c r="N113" i="6"/>
  <c r="I113" i="6"/>
  <c r="C113" i="6"/>
  <c r="B113" i="6"/>
  <c r="A113" i="6"/>
  <c r="T112" i="6"/>
  <c r="S112" i="6"/>
  <c r="J112" i="6"/>
  <c r="I112" i="6"/>
  <c r="C112" i="6"/>
  <c r="B112" i="6"/>
  <c r="A112" i="6"/>
  <c r="T111" i="6"/>
  <c r="C111" i="6"/>
  <c r="B111" i="6"/>
  <c r="A111" i="6"/>
  <c r="T110" i="6"/>
  <c r="S110" i="6"/>
  <c r="N110" i="6"/>
  <c r="Q110" i="6" s="1"/>
  <c r="J110" i="6"/>
  <c r="C110" i="6"/>
  <c r="B110" i="6"/>
  <c r="A110" i="6"/>
  <c r="I110" i="6" s="1"/>
  <c r="J109" i="6"/>
  <c r="C109" i="6"/>
  <c r="B109" i="6"/>
  <c r="A109" i="6"/>
  <c r="T108" i="6"/>
  <c r="S108" i="6"/>
  <c r="N108" i="6"/>
  <c r="Q108" i="6" s="1"/>
  <c r="J108" i="6"/>
  <c r="I108" i="6"/>
  <c r="C108" i="6"/>
  <c r="B108" i="6"/>
  <c r="A108" i="6"/>
  <c r="R108" i="6" s="1"/>
  <c r="S107" i="6"/>
  <c r="R107" i="6"/>
  <c r="C107" i="6"/>
  <c r="B107" i="6"/>
  <c r="A107" i="6"/>
  <c r="T106" i="6"/>
  <c r="S106" i="6"/>
  <c r="J106" i="6"/>
  <c r="I106" i="6"/>
  <c r="C106" i="6"/>
  <c r="B106" i="6"/>
  <c r="A106" i="6"/>
  <c r="R106" i="6" s="1"/>
  <c r="S105" i="6"/>
  <c r="I105" i="6"/>
  <c r="C105" i="6"/>
  <c r="B105" i="6"/>
  <c r="A105" i="6"/>
  <c r="C104" i="6"/>
  <c r="B104" i="6"/>
  <c r="A104" i="6"/>
  <c r="T103" i="6"/>
  <c r="J103" i="6"/>
  <c r="C103" i="6"/>
  <c r="B103" i="6"/>
  <c r="A103" i="6"/>
  <c r="R103" i="6" s="1"/>
  <c r="T102" i="6"/>
  <c r="S102" i="6"/>
  <c r="R102" i="6"/>
  <c r="J102" i="6"/>
  <c r="C102" i="6"/>
  <c r="B102" i="6"/>
  <c r="A102" i="6"/>
  <c r="I102" i="6" s="1"/>
  <c r="S101" i="6"/>
  <c r="R101" i="6"/>
  <c r="Q101" i="6"/>
  <c r="N101" i="6"/>
  <c r="J101" i="6"/>
  <c r="I101" i="6"/>
  <c r="C101" i="6"/>
  <c r="B101" i="6"/>
  <c r="A101" i="6"/>
  <c r="T101" i="6" s="1"/>
  <c r="C100" i="6"/>
  <c r="B100" i="6"/>
  <c r="A100" i="6"/>
  <c r="T99" i="6"/>
  <c r="J99" i="6"/>
  <c r="I99" i="6"/>
  <c r="C99" i="6"/>
  <c r="B99" i="6"/>
  <c r="A99" i="6"/>
  <c r="N98" i="6"/>
  <c r="Q98" i="6" s="1"/>
  <c r="C98" i="6"/>
  <c r="B98" i="6"/>
  <c r="A98" i="6"/>
  <c r="T98" i="6" s="1"/>
  <c r="T97" i="6"/>
  <c r="S97" i="6"/>
  <c r="R97" i="6"/>
  <c r="N97" i="6"/>
  <c r="Q97" i="6" s="1"/>
  <c r="J97" i="6"/>
  <c r="I97" i="6"/>
  <c r="C97" i="6"/>
  <c r="B97" i="6"/>
  <c r="A97" i="6"/>
  <c r="T96" i="6"/>
  <c r="I96" i="6"/>
  <c r="C96" i="6"/>
  <c r="B96" i="6"/>
  <c r="A96" i="6"/>
  <c r="S95" i="6"/>
  <c r="J95" i="6"/>
  <c r="C95" i="6"/>
  <c r="B95" i="6"/>
  <c r="A95" i="6"/>
  <c r="T94" i="6"/>
  <c r="S94" i="6"/>
  <c r="N94" i="6"/>
  <c r="Q94" i="6" s="1"/>
  <c r="I94" i="6"/>
  <c r="C94" i="6"/>
  <c r="B94" i="6"/>
  <c r="A94" i="6"/>
  <c r="R94" i="6" s="1"/>
  <c r="R93" i="6"/>
  <c r="J93" i="6"/>
  <c r="I93" i="6"/>
  <c r="C93" i="6"/>
  <c r="B93" i="6"/>
  <c r="A93" i="6"/>
  <c r="S92" i="6"/>
  <c r="J92" i="6"/>
  <c r="C92" i="6"/>
  <c r="B92" i="6"/>
  <c r="A92" i="6"/>
  <c r="T91" i="6"/>
  <c r="R91" i="6"/>
  <c r="Q91" i="6"/>
  <c r="N91" i="6"/>
  <c r="C91" i="6"/>
  <c r="B91" i="6"/>
  <c r="A91" i="6"/>
  <c r="S91" i="6" s="1"/>
  <c r="T90" i="6"/>
  <c r="S90" i="6"/>
  <c r="R90" i="6"/>
  <c r="N90" i="6"/>
  <c r="J90" i="6"/>
  <c r="I90" i="6"/>
  <c r="C90" i="6"/>
  <c r="B90" i="6"/>
  <c r="A90" i="6"/>
  <c r="Q90" i="6" s="1"/>
  <c r="J89" i="6"/>
  <c r="C89" i="6"/>
  <c r="B89" i="6"/>
  <c r="A89" i="6"/>
  <c r="T88" i="6"/>
  <c r="S88" i="6"/>
  <c r="N88" i="6"/>
  <c r="Q88" i="6" s="1"/>
  <c r="J88" i="6"/>
  <c r="I88" i="6"/>
  <c r="C88" i="6"/>
  <c r="B88" i="6"/>
  <c r="A88" i="6"/>
  <c r="R88" i="6" s="1"/>
  <c r="C87" i="6"/>
  <c r="B87" i="6"/>
  <c r="A87" i="6"/>
  <c r="T86" i="6"/>
  <c r="S86" i="6"/>
  <c r="Q86" i="6"/>
  <c r="N86" i="6"/>
  <c r="J86" i="6"/>
  <c r="C86" i="6"/>
  <c r="B86" i="6"/>
  <c r="A86" i="6"/>
  <c r="I86" i="6" s="1"/>
  <c r="T85" i="6"/>
  <c r="S85" i="6"/>
  <c r="R85" i="6"/>
  <c r="N85" i="6"/>
  <c r="Q85" i="6" s="1"/>
  <c r="I85" i="6"/>
  <c r="C85" i="6"/>
  <c r="B85" i="6"/>
  <c r="A85" i="6"/>
  <c r="J85" i="6" s="1"/>
  <c r="C84" i="6"/>
  <c r="B84" i="6"/>
  <c r="A84" i="6"/>
  <c r="S83" i="6"/>
  <c r="J83" i="6"/>
  <c r="C83" i="6"/>
  <c r="B83" i="6"/>
  <c r="A83" i="6"/>
  <c r="S82" i="6"/>
  <c r="Q82" i="6"/>
  <c r="N82" i="6"/>
  <c r="C82" i="6"/>
  <c r="B82" i="6"/>
  <c r="A82" i="6"/>
  <c r="R82" i="6" s="1"/>
  <c r="T81" i="6"/>
  <c r="S81" i="6"/>
  <c r="R81" i="6"/>
  <c r="J81" i="6"/>
  <c r="I81" i="6"/>
  <c r="C81" i="6"/>
  <c r="B81" i="6"/>
  <c r="A81" i="6"/>
  <c r="N81" i="6" s="1"/>
  <c r="C80" i="6"/>
  <c r="B80" i="6"/>
  <c r="A80" i="6"/>
  <c r="T79" i="6"/>
  <c r="S79" i="6"/>
  <c r="R79" i="6"/>
  <c r="N79" i="6"/>
  <c r="Q79" i="6" s="1"/>
  <c r="J79" i="6"/>
  <c r="I79" i="6"/>
  <c r="C79" i="6"/>
  <c r="B79" i="6"/>
  <c r="A79" i="6"/>
  <c r="T78" i="6"/>
  <c r="S78" i="6"/>
  <c r="R78" i="6"/>
  <c r="I78" i="6"/>
  <c r="C78" i="6"/>
  <c r="B78" i="6"/>
  <c r="A78" i="6"/>
  <c r="C77" i="6"/>
  <c r="B77" i="6"/>
  <c r="A77" i="6"/>
  <c r="T76" i="6"/>
  <c r="S76" i="6"/>
  <c r="N76" i="6"/>
  <c r="Q76" i="6" s="1"/>
  <c r="I76" i="6"/>
  <c r="C76" i="6"/>
  <c r="B76" i="6"/>
  <c r="A76" i="6"/>
  <c r="R76" i="6" s="1"/>
  <c r="I75" i="6"/>
  <c r="C75" i="6"/>
  <c r="B75" i="6"/>
  <c r="A75" i="6"/>
  <c r="R75" i="6" s="1"/>
  <c r="C74" i="6"/>
  <c r="B74" i="6"/>
  <c r="A74" i="6"/>
  <c r="T73" i="6"/>
  <c r="R73" i="6"/>
  <c r="N73" i="6"/>
  <c r="Q73" i="6" s="1"/>
  <c r="C73" i="6"/>
  <c r="B73" i="6"/>
  <c r="A73" i="6"/>
  <c r="S73" i="6" s="1"/>
  <c r="T72" i="6"/>
  <c r="S72" i="6"/>
  <c r="R72" i="6"/>
  <c r="N72" i="6"/>
  <c r="Q72" i="6" s="1"/>
  <c r="J72" i="6"/>
  <c r="I72" i="6"/>
  <c r="C72" i="6"/>
  <c r="B72" i="6"/>
  <c r="A72" i="6"/>
  <c r="S71" i="6"/>
  <c r="C71" i="6"/>
  <c r="B71" i="6"/>
  <c r="A71" i="6"/>
  <c r="S70" i="6"/>
  <c r="N70" i="6"/>
  <c r="J70" i="6"/>
  <c r="I70" i="6"/>
  <c r="C70" i="6"/>
  <c r="B70" i="6"/>
  <c r="A70" i="6"/>
  <c r="R70" i="6" s="1"/>
  <c r="T69" i="6"/>
  <c r="R69" i="6"/>
  <c r="C69" i="6"/>
  <c r="B69" i="6"/>
  <c r="A69" i="6"/>
  <c r="T68" i="6"/>
  <c r="S68" i="6"/>
  <c r="R68" i="6"/>
  <c r="Q68" i="6"/>
  <c r="N68" i="6"/>
  <c r="J68" i="6"/>
  <c r="C68" i="6"/>
  <c r="B68" i="6"/>
  <c r="A68" i="6"/>
  <c r="I68" i="6" s="1"/>
  <c r="T67" i="6"/>
  <c r="S67" i="6"/>
  <c r="R67" i="6"/>
  <c r="N67" i="6"/>
  <c r="Q67" i="6" s="1"/>
  <c r="J67" i="6"/>
  <c r="I67" i="6"/>
  <c r="C67" i="6"/>
  <c r="B67" i="6"/>
  <c r="A67" i="6"/>
  <c r="C66" i="6"/>
  <c r="B66" i="6"/>
  <c r="A66" i="6"/>
  <c r="S65" i="6"/>
  <c r="C65" i="6"/>
  <c r="B65" i="6"/>
  <c r="A65" i="6"/>
  <c r="C64" i="6"/>
  <c r="B64" i="6"/>
  <c r="A64" i="6"/>
  <c r="T63" i="6"/>
  <c r="S63" i="6"/>
  <c r="R63" i="6"/>
  <c r="N63" i="6"/>
  <c r="Q63" i="6" s="1"/>
  <c r="J63" i="6"/>
  <c r="I63" i="6"/>
  <c r="C63" i="6"/>
  <c r="B63" i="6"/>
  <c r="A63" i="6"/>
  <c r="T62" i="6"/>
  <c r="S62" i="6"/>
  <c r="R62" i="6"/>
  <c r="Q62" i="6"/>
  <c r="N62" i="6"/>
  <c r="J62" i="6"/>
  <c r="I62" i="6"/>
  <c r="C62" i="6"/>
  <c r="B62" i="6"/>
  <c r="A62" i="6"/>
  <c r="R61" i="6"/>
  <c r="N61" i="6"/>
  <c r="J61" i="6"/>
  <c r="I61" i="6"/>
  <c r="C61" i="6"/>
  <c r="B61" i="6"/>
  <c r="A61" i="6"/>
  <c r="Q61" i="6" s="1"/>
  <c r="T60" i="6"/>
  <c r="N60" i="6"/>
  <c r="J60" i="6"/>
  <c r="I60" i="6"/>
  <c r="C60" i="6"/>
  <c r="B60" i="6"/>
  <c r="A60" i="6"/>
  <c r="S60" i="6" s="1"/>
  <c r="T59" i="6"/>
  <c r="S59" i="6"/>
  <c r="R59" i="6"/>
  <c r="I59" i="6"/>
  <c r="C59" i="6"/>
  <c r="B59" i="6"/>
  <c r="A59" i="6"/>
  <c r="C58" i="6"/>
  <c r="B58" i="6"/>
  <c r="A58" i="6"/>
  <c r="T57" i="6"/>
  <c r="S57" i="6"/>
  <c r="R57" i="6"/>
  <c r="N57" i="6"/>
  <c r="Q57" i="6" s="1"/>
  <c r="J57" i="6"/>
  <c r="I57" i="6"/>
  <c r="C57" i="6"/>
  <c r="B57" i="6"/>
  <c r="A57" i="6"/>
  <c r="T56" i="6"/>
  <c r="S56" i="6"/>
  <c r="R56" i="6"/>
  <c r="Q56" i="6"/>
  <c r="N56" i="6"/>
  <c r="J56" i="6"/>
  <c r="I56" i="6"/>
  <c r="C56" i="6"/>
  <c r="B56" i="6"/>
  <c r="A56" i="6"/>
  <c r="T55" i="6"/>
  <c r="N55" i="6"/>
  <c r="J55" i="6"/>
  <c r="I55" i="6"/>
  <c r="C55" i="6"/>
  <c r="B55" i="6"/>
  <c r="A55" i="6"/>
  <c r="S55" i="6" s="1"/>
  <c r="C54" i="6"/>
  <c r="B54" i="6"/>
  <c r="A54" i="6"/>
  <c r="T53" i="6"/>
  <c r="C53" i="6"/>
  <c r="B53" i="6"/>
  <c r="A53" i="6"/>
  <c r="T52" i="6"/>
  <c r="S52" i="6"/>
  <c r="R52" i="6"/>
  <c r="N52" i="6"/>
  <c r="Q52" i="6" s="1"/>
  <c r="I52" i="6"/>
  <c r="C52" i="6"/>
  <c r="B52" i="6"/>
  <c r="A52" i="6"/>
  <c r="J52" i="6" s="1"/>
  <c r="T51" i="6"/>
  <c r="S51" i="6"/>
  <c r="R51" i="6"/>
  <c r="N51" i="6"/>
  <c r="J51" i="6"/>
  <c r="I51" i="6"/>
  <c r="C51" i="6"/>
  <c r="B51" i="6"/>
  <c r="A51" i="6"/>
  <c r="Q51" i="6" s="1"/>
  <c r="C50" i="6"/>
  <c r="B50" i="6"/>
  <c r="A50" i="6"/>
  <c r="C49" i="6"/>
  <c r="B49" i="6"/>
  <c r="A49" i="6"/>
  <c r="T48" i="6"/>
  <c r="S48" i="6"/>
  <c r="R48" i="6"/>
  <c r="N48" i="6"/>
  <c r="Q48" i="6" s="1"/>
  <c r="I48" i="6"/>
  <c r="C48" i="6"/>
  <c r="B48" i="6"/>
  <c r="A48" i="6"/>
  <c r="J48" i="6" s="1"/>
  <c r="S47" i="6"/>
  <c r="R47" i="6"/>
  <c r="I47" i="6"/>
  <c r="C47" i="6"/>
  <c r="B47" i="6"/>
  <c r="A47" i="6"/>
  <c r="N47" i="6" s="1"/>
  <c r="Q47" i="6" s="1"/>
  <c r="T46" i="6"/>
  <c r="S46" i="6"/>
  <c r="R46" i="6"/>
  <c r="N46" i="6"/>
  <c r="Q46" i="6" s="1"/>
  <c r="J46" i="6"/>
  <c r="I46" i="6"/>
  <c r="C46" i="6"/>
  <c r="B46" i="6"/>
  <c r="A46" i="6"/>
  <c r="T45" i="6"/>
  <c r="S45" i="6"/>
  <c r="R45" i="6"/>
  <c r="N45" i="6"/>
  <c r="J45" i="6"/>
  <c r="I45" i="6"/>
  <c r="C45" i="6"/>
  <c r="B45" i="6"/>
  <c r="A45" i="6"/>
  <c r="Q45" i="6" s="1"/>
  <c r="C44" i="6"/>
  <c r="B44" i="6"/>
  <c r="A44" i="6"/>
  <c r="C43" i="6"/>
  <c r="B43" i="6"/>
  <c r="A43" i="6"/>
  <c r="T42" i="6"/>
  <c r="S42" i="6"/>
  <c r="R42" i="6"/>
  <c r="N42" i="6"/>
  <c r="I42" i="6"/>
  <c r="C42" i="6"/>
  <c r="B42" i="6"/>
  <c r="A42" i="6"/>
  <c r="Q42" i="6" s="1"/>
  <c r="S41" i="6"/>
  <c r="R41" i="6"/>
  <c r="Q41" i="6"/>
  <c r="I41" i="6"/>
  <c r="C41" i="6"/>
  <c r="B41" i="6"/>
  <c r="A41" i="6"/>
  <c r="N41" i="6" s="1"/>
  <c r="T40" i="6"/>
  <c r="S40" i="6"/>
  <c r="R40" i="6"/>
  <c r="N40" i="6"/>
  <c r="Q40" i="6" s="1"/>
  <c r="J40" i="6"/>
  <c r="I40" i="6"/>
  <c r="C40" i="6"/>
  <c r="B40" i="6"/>
  <c r="A40" i="6"/>
  <c r="T39" i="6"/>
  <c r="S39" i="6"/>
  <c r="R39" i="6"/>
  <c r="N39" i="6"/>
  <c r="J39" i="6"/>
  <c r="I39" i="6"/>
  <c r="C39" i="6"/>
  <c r="B39" i="6"/>
  <c r="A39" i="6"/>
  <c r="Q39" i="6" s="1"/>
  <c r="C38" i="6"/>
  <c r="B38" i="6"/>
  <c r="A38" i="6"/>
  <c r="C37" i="6"/>
  <c r="B37" i="6"/>
  <c r="A37" i="6"/>
  <c r="T36" i="6"/>
  <c r="S36" i="6"/>
  <c r="R36" i="6"/>
  <c r="N36" i="6"/>
  <c r="I36" i="6"/>
  <c r="C36" i="6"/>
  <c r="B36" i="6"/>
  <c r="A36" i="6"/>
  <c r="Q36" i="6" s="1"/>
  <c r="S35" i="6"/>
  <c r="R35" i="6"/>
  <c r="I35" i="6"/>
  <c r="C35" i="6"/>
  <c r="B35" i="6"/>
  <c r="A35" i="6"/>
  <c r="N35" i="6" s="1"/>
  <c r="Q35" i="6" s="1"/>
  <c r="T34" i="6"/>
  <c r="S34" i="6"/>
  <c r="R34" i="6"/>
  <c r="Q34" i="6"/>
  <c r="N34" i="6"/>
  <c r="J34" i="6"/>
  <c r="I34" i="6"/>
  <c r="C34" i="6"/>
  <c r="B34" i="6"/>
  <c r="A34" i="6"/>
  <c r="T33" i="6"/>
  <c r="S33" i="6"/>
  <c r="R33" i="6"/>
  <c r="N33" i="6"/>
  <c r="Q33" i="6" s="1"/>
  <c r="J33" i="6"/>
  <c r="I33" i="6"/>
  <c r="C33" i="6"/>
  <c r="B33" i="6"/>
  <c r="A33" i="6"/>
  <c r="C32" i="6"/>
  <c r="B32" i="6"/>
  <c r="A32" i="6"/>
  <c r="C31" i="6"/>
  <c r="B31" i="6"/>
  <c r="A31" i="6"/>
  <c r="T30" i="6"/>
  <c r="S30" i="6"/>
  <c r="R30" i="6"/>
  <c r="N30" i="6"/>
  <c r="I30" i="6"/>
  <c r="C30" i="6"/>
  <c r="B30" i="6"/>
  <c r="A30" i="6"/>
  <c r="Q30" i="6" s="1"/>
  <c r="S29" i="6"/>
  <c r="R29" i="6"/>
  <c r="I29" i="6"/>
  <c r="C29" i="6"/>
  <c r="B29" i="6"/>
  <c r="A29" i="6"/>
  <c r="N29" i="6" s="1"/>
  <c r="Q29" i="6" s="1"/>
  <c r="T28" i="6"/>
  <c r="S28" i="6"/>
  <c r="R28" i="6"/>
  <c r="N28" i="6"/>
  <c r="Q28" i="6" s="1"/>
  <c r="J28" i="6"/>
  <c r="I28" i="6"/>
  <c r="C28" i="6"/>
  <c r="B28" i="6"/>
  <c r="A28" i="6"/>
  <c r="T27" i="6"/>
  <c r="S27" i="6"/>
  <c r="R27" i="6"/>
  <c r="N27" i="6"/>
  <c r="Q27" i="6" s="1"/>
  <c r="J27" i="6"/>
  <c r="I27" i="6"/>
  <c r="C27" i="6"/>
  <c r="B27" i="6"/>
  <c r="A27" i="6"/>
  <c r="C26" i="6"/>
  <c r="B26" i="6"/>
  <c r="A26" i="6"/>
  <c r="C25" i="6"/>
  <c r="B25" i="6"/>
  <c r="A25" i="6"/>
  <c r="T24" i="6"/>
  <c r="S24" i="6"/>
  <c r="R24" i="6"/>
  <c r="N24" i="6"/>
  <c r="I24" i="6"/>
  <c r="C24" i="6"/>
  <c r="B24" i="6"/>
  <c r="A24" i="6"/>
  <c r="Q24" i="6" s="1"/>
  <c r="T23" i="6"/>
  <c r="S23" i="6"/>
  <c r="R23" i="6"/>
  <c r="I23" i="6"/>
  <c r="C23" i="6"/>
  <c r="B23" i="6"/>
  <c r="A23" i="6"/>
  <c r="N23" i="6" s="1"/>
  <c r="Q23" i="6" s="1"/>
  <c r="T22" i="6"/>
  <c r="S22" i="6"/>
  <c r="R22" i="6"/>
  <c r="N22" i="6"/>
  <c r="Q22" i="6" s="1"/>
  <c r="J22" i="6"/>
  <c r="I22" i="6"/>
  <c r="C22" i="6"/>
  <c r="B22" i="6"/>
  <c r="A22" i="6"/>
  <c r="T21" i="6"/>
  <c r="S21" i="6"/>
  <c r="R21" i="6"/>
  <c r="N21" i="6"/>
  <c r="Q21" i="6" s="1"/>
  <c r="J21" i="6"/>
  <c r="I21" i="6"/>
  <c r="C21" i="6"/>
  <c r="B21" i="6"/>
  <c r="A21" i="6"/>
  <c r="C20" i="6"/>
  <c r="B20" i="6"/>
  <c r="A20" i="6"/>
  <c r="C19" i="6"/>
  <c r="B19" i="6"/>
  <c r="A19" i="6"/>
  <c r="T18" i="6"/>
  <c r="S18" i="6"/>
  <c r="R18" i="6"/>
  <c r="N18" i="6"/>
  <c r="I18" i="6"/>
  <c r="C18" i="6"/>
  <c r="B18" i="6"/>
  <c r="A18" i="6"/>
  <c r="Q18" i="6" s="1"/>
  <c r="T17" i="6"/>
  <c r="S17" i="6"/>
  <c r="R17" i="6"/>
  <c r="I17" i="6"/>
  <c r="C17" i="6"/>
  <c r="B17" i="6"/>
  <c r="A17" i="6"/>
  <c r="N17" i="6" s="1"/>
  <c r="Q17" i="6" s="1"/>
  <c r="T16" i="6"/>
  <c r="S16" i="6"/>
  <c r="R16" i="6"/>
  <c r="N16" i="6"/>
  <c r="Q16" i="6" s="1"/>
  <c r="J16" i="6"/>
  <c r="I16" i="6"/>
  <c r="C16" i="6"/>
  <c r="B16" i="6"/>
  <c r="A16" i="6"/>
  <c r="T15" i="6"/>
  <c r="S15" i="6"/>
  <c r="R15" i="6"/>
  <c r="N15" i="6"/>
  <c r="Q15" i="6" s="1"/>
  <c r="J15" i="6"/>
  <c r="I15" i="6"/>
  <c r="C15" i="6"/>
  <c r="B15" i="6"/>
  <c r="A15" i="6"/>
  <c r="C14" i="6"/>
  <c r="B14" i="6"/>
  <c r="A14" i="6"/>
  <c r="C13" i="6"/>
  <c r="B13" i="6"/>
  <c r="A13" i="6"/>
  <c r="T12" i="6"/>
  <c r="S12" i="6"/>
  <c r="R12" i="6"/>
  <c r="N12" i="6"/>
  <c r="I12" i="6"/>
  <c r="C12" i="6"/>
  <c r="B12" i="6"/>
  <c r="A12" i="6"/>
  <c r="Q12" i="6" s="1"/>
  <c r="T11" i="6"/>
  <c r="S11" i="6"/>
  <c r="R11" i="6"/>
  <c r="Q11" i="6"/>
  <c r="I11" i="6"/>
  <c r="C11" i="6"/>
  <c r="B11" i="6"/>
  <c r="A11" i="6"/>
  <c r="N11" i="6" s="1"/>
  <c r="T10" i="6"/>
  <c r="S10" i="6"/>
  <c r="R10" i="6"/>
  <c r="Q10" i="6"/>
  <c r="N10" i="6"/>
  <c r="J10" i="6"/>
  <c r="I10" i="6"/>
  <c r="C10" i="6"/>
  <c r="B10" i="6"/>
  <c r="A10" i="6"/>
  <c r="T9" i="6"/>
  <c r="S9" i="6"/>
  <c r="R9" i="6"/>
  <c r="N9" i="6"/>
  <c r="Q9" i="6" s="1"/>
  <c r="J9" i="6"/>
  <c r="I9" i="6"/>
  <c r="C9" i="6"/>
  <c r="B9" i="6"/>
  <c r="A9" i="6"/>
  <c r="C8" i="6"/>
  <c r="B8" i="6"/>
  <c r="A8" i="6"/>
  <c r="C7" i="6"/>
  <c r="B7" i="6"/>
  <c r="A7" i="6"/>
  <c r="T6" i="6"/>
  <c r="E6" i="2" s="1"/>
  <c r="S6" i="6"/>
  <c r="R6" i="6"/>
  <c r="N6" i="6"/>
  <c r="I6" i="6"/>
  <c r="C6" i="6"/>
  <c r="B6" i="6"/>
  <c r="A6" i="6"/>
  <c r="Q6" i="6" s="1"/>
  <c r="T5" i="6"/>
  <c r="S5" i="6"/>
  <c r="R5" i="6"/>
  <c r="Q5" i="6"/>
  <c r="N5" i="6"/>
  <c r="I5" i="6"/>
  <c r="C5" i="6"/>
  <c r="B5" i="6"/>
  <c r="A5" i="6"/>
  <c r="J5" i="6" s="1"/>
  <c r="S4" i="6"/>
  <c r="N4" i="6"/>
  <c r="J4" i="6"/>
  <c r="I4" i="6"/>
  <c r="C4" i="6"/>
  <c r="B4" i="6"/>
  <c r="A4" i="6"/>
  <c r="R4" i="6" s="1"/>
  <c r="C3" i="6"/>
  <c r="B3" i="6"/>
  <c r="A3" i="6"/>
  <c r="J2" i="6"/>
  <c r="C2" i="6"/>
  <c r="B2" i="6"/>
  <c r="A2" i="6"/>
  <c r="S2" i="6" s="1"/>
  <c r="G499" i="5"/>
  <c r="C499" i="5"/>
  <c r="B499" i="5"/>
  <c r="A499" i="5"/>
  <c r="C498" i="5"/>
  <c r="B498" i="5"/>
  <c r="A498" i="5"/>
  <c r="G498" i="5" s="1"/>
  <c r="C497" i="5"/>
  <c r="B497" i="5"/>
  <c r="A497" i="5"/>
  <c r="G497" i="5" s="1"/>
  <c r="G496" i="5"/>
  <c r="C496" i="5"/>
  <c r="B496" i="5"/>
  <c r="A496" i="5"/>
  <c r="C495" i="5"/>
  <c r="B495" i="5"/>
  <c r="A495" i="5"/>
  <c r="G495" i="5" s="1"/>
  <c r="C494" i="5"/>
  <c r="B494" i="5"/>
  <c r="A494" i="5"/>
  <c r="G494" i="5" s="1"/>
  <c r="G493" i="5"/>
  <c r="C493" i="5"/>
  <c r="B493" i="5"/>
  <c r="A493" i="5"/>
  <c r="C492" i="5"/>
  <c r="B492" i="5"/>
  <c r="A492" i="5"/>
  <c r="G492" i="5" s="1"/>
  <c r="C491" i="5"/>
  <c r="B491" i="5"/>
  <c r="A491" i="5"/>
  <c r="G491" i="5" s="1"/>
  <c r="G490" i="5"/>
  <c r="C490" i="5"/>
  <c r="B490" i="5"/>
  <c r="A490" i="5"/>
  <c r="C489" i="5"/>
  <c r="B489" i="5"/>
  <c r="A489" i="5"/>
  <c r="G489" i="5" s="1"/>
  <c r="C488" i="5"/>
  <c r="B488" i="5"/>
  <c r="A488" i="5"/>
  <c r="G488" i="5" s="1"/>
  <c r="G487" i="5"/>
  <c r="C487" i="5"/>
  <c r="B487" i="5"/>
  <c r="A487" i="5"/>
  <c r="C486" i="5"/>
  <c r="B486" i="5"/>
  <c r="A486" i="5"/>
  <c r="G486" i="5" s="1"/>
  <c r="C485" i="5"/>
  <c r="B485" i="5"/>
  <c r="A485" i="5"/>
  <c r="G485" i="5" s="1"/>
  <c r="G484" i="5"/>
  <c r="C484" i="5"/>
  <c r="B484" i="5"/>
  <c r="A484" i="5"/>
  <c r="C483" i="5"/>
  <c r="B483" i="5"/>
  <c r="A483" i="5"/>
  <c r="G483" i="5" s="1"/>
  <c r="C482" i="5"/>
  <c r="B482" i="5"/>
  <c r="A482" i="5"/>
  <c r="G482" i="5" s="1"/>
  <c r="G481" i="5"/>
  <c r="C481" i="5"/>
  <c r="B481" i="5"/>
  <c r="A481" i="5"/>
  <c r="C480" i="5"/>
  <c r="B480" i="5"/>
  <c r="A480" i="5"/>
  <c r="G480" i="5" s="1"/>
  <c r="C479" i="5"/>
  <c r="B479" i="5"/>
  <c r="A479" i="5"/>
  <c r="G479" i="5" s="1"/>
  <c r="G478" i="5"/>
  <c r="C478" i="5"/>
  <c r="B478" i="5"/>
  <c r="A478" i="5"/>
  <c r="C477" i="5"/>
  <c r="B477" i="5"/>
  <c r="A477" i="5"/>
  <c r="G477" i="5" s="1"/>
  <c r="C476" i="5"/>
  <c r="B476" i="5"/>
  <c r="A476" i="5"/>
  <c r="G476" i="5" s="1"/>
  <c r="G475" i="5"/>
  <c r="C475" i="5"/>
  <c r="B475" i="5"/>
  <c r="A475" i="5"/>
  <c r="C474" i="5"/>
  <c r="B474" i="5"/>
  <c r="A474" i="5"/>
  <c r="G474" i="5" s="1"/>
  <c r="C473" i="5"/>
  <c r="B473" i="5"/>
  <c r="A473" i="5"/>
  <c r="G473" i="5" s="1"/>
  <c r="G472" i="5"/>
  <c r="C472" i="5"/>
  <c r="B472" i="5"/>
  <c r="A472" i="5"/>
  <c r="C471" i="5"/>
  <c r="B471" i="5"/>
  <c r="A471" i="5"/>
  <c r="G471" i="5" s="1"/>
  <c r="C470" i="5"/>
  <c r="B470" i="5"/>
  <c r="A470" i="5"/>
  <c r="G470" i="5" s="1"/>
  <c r="G469" i="5"/>
  <c r="C469" i="5"/>
  <c r="B469" i="5"/>
  <c r="A469" i="5"/>
  <c r="C468" i="5"/>
  <c r="B468" i="5"/>
  <c r="A468" i="5"/>
  <c r="G468" i="5" s="1"/>
  <c r="C467" i="5"/>
  <c r="B467" i="5"/>
  <c r="A467" i="5"/>
  <c r="G467" i="5" s="1"/>
  <c r="G466" i="5"/>
  <c r="C466" i="5"/>
  <c r="B466" i="5"/>
  <c r="A466" i="5"/>
  <c r="C465" i="5"/>
  <c r="B465" i="5"/>
  <c r="A465" i="5"/>
  <c r="G465" i="5" s="1"/>
  <c r="C464" i="5"/>
  <c r="B464" i="5"/>
  <c r="A464" i="5"/>
  <c r="G464" i="5" s="1"/>
  <c r="G463" i="5"/>
  <c r="C463" i="5"/>
  <c r="B463" i="5"/>
  <c r="A463" i="5"/>
  <c r="C462" i="5"/>
  <c r="B462" i="5"/>
  <c r="A462" i="5"/>
  <c r="G462" i="5" s="1"/>
  <c r="C461" i="5"/>
  <c r="B461" i="5"/>
  <c r="A461" i="5"/>
  <c r="G461" i="5" s="1"/>
  <c r="G460" i="5"/>
  <c r="C460" i="5"/>
  <c r="B460" i="5"/>
  <c r="A460" i="5"/>
  <c r="C459" i="5"/>
  <c r="B459" i="5"/>
  <c r="A459" i="5"/>
  <c r="G459" i="5" s="1"/>
  <c r="C458" i="5"/>
  <c r="B458" i="5"/>
  <c r="A458" i="5"/>
  <c r="G458" i="5" s="1"/>
  <c r="G457" i="5"/>
  <c r="C457" i="5"/>
  <c r="B457" i="5"/>
  <c r="A457" i="5"/>
  <c r="C456" i="5"/>
  <c r="B456" i="5"/>
  <c r="A456" i="5"/>
  <c r="G456" i="5" s="1"/>
  <c r="C455" i="5"/>
  <c r="B455" i="5"/>
  <c r="A455" i="5"/>
  <c r="G455" i="5" s="1"/>
  <c r="G454" i="5"/>
  <c r="C454" i="5"/>
  <c r="B454" i="5"/>
  <c r="A454" i="5"/>
  <c r="C453" i="5"/>
  <c r="B453" i="5"/>
  <c r="A453" i="5"/>
  <c r="G453" i="5" s="1"/>
  <c r="C452" i="5"/>
  <c r="B452" i="5"/>
  <c r="A452" i="5"/>
  <c r="G452" i="5" s="1"/>
  <c r="G451" i="5"/>
  <c r="C451" i="5"/>
  <c r="B451" i="5"/>
  <c r="A451" i="5"/>
  <c r="C450" i="5"/>
  <c r="B450" i="5"/>
  <c r="A450" i="5"/>
  <c r="G450" i="5" s="1"/>
  <c r="C449" i="5"/>
  <c r="B449" i="5"/>
  <c r="A449" i="5"/>
  <c r="G449" i="5" s="1"/>
  <c r="G448" i="5"/>
  <c r="C448" i="5"/>
  <c r="B448" i="5"/>
  <c r="A448" i="5"/>
  <c r="C447" i="5"/>
  <c r="B447" i="5"/>
  <c r="A447" i="5"/>
  <c r="G447" i="5" s="1"/>
  <c r="C446" i="5"/>
  <c r="B446" i="5"/>
  <c r="A446" i="5"/>
  <c r="G446" i="5" s="1"/>
  <c r="G445" i="5"/>
  <c r="C445" i="5"/>
  <c r="B445" i="5"/>
  <c r="A445" i="5"/>
  <c r="C444" i="5"/>
  <c r="B444" i="5"/>
  <c r="A444" i="5"/>
  <c r="G444" i="5" s="1"/>
  <c r="C443" i="5"/>
  <c r="B443" i="5"/>
  <c r="A443" i="5"/>
  <c r="G443" i="5" s="1"/>
  <c r="G442" i="5"/>
  <c r="C442" i="5"/>
  <c r="B442" i="5"/>
  <c r="A442" i="5"/>
  <c r="C441" i="5"/>
  <c r="B441" i="5"/>
  <c r="A441" i="5"/>
  <c r="G441" i="5" s="1"/>
  <c r="C440" i="5"/>
  <c r="B440" i="5"/>
  <c r="A440" i="5"/>
  <c r="G440" i="5" s="1"/>
  <c r="G439" i="5"/>
  <c r="C439" i="5"/>
  <c r="B439" i="5"/>
  <c r="A439" i="5"/>
  <c r="C438" i="5"/>
  <c r="B438" i="5"/>
  <c r="A438" i="5"/>
  <c r="G438" i="5" s="1"/>
  <c r="C437" i="5"/>
  <c r="B437" i="5"/>
  <c r="A437" i="5"/>
  <c r="G437" i="5" s="1"/>
  <c r="G436" i="5"/>
  <c r="C436" i="5"/>
  <c r="B436" i="5"/>
  <c r="A436" i="5"/>
  <c r="C435" i="5"/>
  <c r="B435" i="5"/>
  <c r="A435" i="5"/>
  <c r="G435" i="5" s="1"/>
  <c r="C434" i="5"/>
  <c r="B434" i="5"/>
  <c r="A434" i="5"/>
  <c r="G434" i="5" s="1"/>
  <c r="G433" i="5"/>
  <c r="C433" i="5"/>
  <c r="B433" i="5"/>
  <c r="A433" i="5"/>
  <c r="C432" i="5"/>
  <c r="B432" i="5"/>
  <c r="A432" i="5"/>
  <c r="G432" i="5" s="1"/>
  <c r="C431" i="5"/>
  <c r="B431" i="5"/>
  <c r="A431" i="5"/>
  <c r="G431" i="5" s="1"/>
  <c r="G430" i="5"/>
  <c r="C430" i="5"/>
  <c r="B430" i="5"/>
  <c r="A430" i="5"/>
  <c r="C429" i="5"/>
  <c r="B429" i="5"/>
  <c r="A429" i="5"/>
  <c r="G429" i="5" s="1"/>
  <c r="C428" i="5"/>
  <c r="B428" i="5"/>
  <c r="A428" i="5"/>
  <c r="G428" i="5" s="1"/>
  <c r="G427" i="5"/>
  <c r="C427" i="5"/>
  <c r="B427" i="5"/>
  <c r="A427" i="5"/>
  <c r="C426" i="5"/>
  <c r="B426" i="5"/>
  <c r="A426" i="5"/>
  <c r="G426" i="5" s="1"/>
  <c r="C425" i="5"/>
  <c r="B425" i="5"/>
  <c r="A425" i="5"/>
  <c r="G425" i="5" s="1"/>
  <c r="G424" i="5"/>
  <c r="C424" i="5"/>
  <c r="B424" i="5"/>
  <c r="A424" i="5"/>
  <c r="C423" i="5"/>
  <c r="B423" i="5"/>
  <c r="A423" i="5"/>
  <c r="G423" i="5" s="1"/>
  <c r="C422" i="5"/>
  <c r="B422" i="5"/>
  <c r="A422" i="5"/>
  <c r="G422" i="5" s="1"/>
  <c r="G421" i="5"/>
  <c r="C421" i="5"/>
  <c r="B421" i="5"/>
  <c r="A421" i="5"/>
  <c r="C420" i="5"/>
  <c r="B420" i="5"/>
  <c r="A420" i="5"/>
  <c r="G420" i="5" s="1"/>
  <c r="C419" i="5"/>
  <c r="B419" i="5"/>
  <c r="A419" i="5"/>
  <c r="G419" i="5" s="1"/>
  <c r="G418" i="5"/>
  <c r="C418" i="5"/>
  <c r="B418" i="5"/>
  <c r="A418" i="5"/>
  <c r="C417" i="5"/>
  <c r="B417" i="5"/>
  <c r="A417" i="5"/>
  <c r="G417" i="5" s="1"/>
  <c r="C416" i="5"/>
  <c r="B416" i="5"/>
  <c r="A416" i="5"/>
  <c r="G416" i="5" s="1"/>
  <c r="G415" i="5"/>
  <c r="C415" i="5"/>
  <c r="B415" i="5"/>
  <c r="A415" i="5"/>
  <c r="C414" i="5"/>
  <c r="B414" i="5"/>
  <c r="A414" i="5"/>
  <c r="G414" i="5" s="1"/>
  <c r="C413" i="5"/>
  <c r="B413" i="5"/>
  <c r="A413" i="5"/>
  <c r="G413" i="5" s="1"/>
  <c r="G412" i="5"/>
  <c r="C412" i="5"/>
  <c r="B412" i="5"/>
  <c r="A412" i="5"/>
  <c r="C411" i="5"/>
  <c r="B411" i="5"/>
  <c r="A411" i="5"/>
  <c r="G411" i="5" s="1"/>
  <c r="C410" i="5"/>
  <c r="B410" i="5"/>
  <c r="A410" i="5"/>
  <c r="G410" i="5" s="1"/>
  <c r="G409" i="5"/>
  <c r="C409" i="5"/>
  <c r="B409" i="5"/>
  <c r="A409" i="5"/>
  <c r="C408" i="5"/>
  <c r="B408" i="5"/>
  <c r="A408" i="5"/>
  <c r="G408" i="5" s="1"/>
  <c r="C407" i="5"/>
  <c r="B407" i="5"/>
  <c r="A407" i="5"/>
  <c r="G407" i="5" s="1"/>
  <c r="G406" i="5"/>
  <c r="C406" i="5"/>
  <c r="B406" i="5"/>
  <c r="A406" i="5"/>
  <c r="C405" i="5"/>
  <c r="B405" i="5"/>
  <c r="A405" i="5"/>
  <c r="G405" i="5" s="1"/>
  <c r="C404" i="5"/>
  <c r="B404" i="5"/>
  <c r="A404" i="5"/>
  <c r="G404" i="5" s="1"/>
  <c r="G403" i="5"/>
  <c r="C403" i="5"/>
  <c r="B403" i="5"/>
  <c r="A403" i="5"/>
  <c r="C402" i="5"/>
  <c r="B402" i="5"/>
  <c r="A402" i="5"/>
  <c r="G402" i="5" s="1"/>
  <c r="C401" i="5"/>
  <c r="B401" i="5"/>
  <c r="A401" i="5"/>
  <c r="G401" i="5" s="1"/>
  <c r="G400" i="5"/>
  <c r="C400" i="5"/>
  <c r="B400" i="5"/>
  <c r="A400" i="5"/>
  <c r="C399" i="5"/>
  <c r="B399" i="5"/>
  <c r="A399" i="5"/>
  <c r="G399" i="5" s="1"/>
  <c r="C398" i="5"/>
  <c r="B398" i="5"/>
  <c r="A398" i="5"/>
  <c r="G398" i="5" s="1"/>
  <c r="G397" i="5"/>
  <c r="C397" i="5"/>
  <c r="B397" i="5"/>
  <c r="A397" i="5"/>
  <c r="C396" i="5"/>
  <c r="B396" i="5"/>
  <c r="A396" i="5"/>
  <c r="G396" i="5" s="1"/>
  <c r="C395" i="5"/>
  <c r="B395" i="5"/>
  <c r="A395" i="5"/>
  <c r="G395" i="5" s="1"/>
  <c r="G394" i="5"/>
  <c r="C394" i="5"/>
  <c r="B394" i="5"/>
  <c r="A394" i="5"/>
  <c r="C393" i="5"/>
  <c r="B393" i="5"/>
  <c r="A393" i="5"/>
  <c r="G393" i="5" s="1"/>
  <c r="C392" i="5"/>
  <c r="B392" i="5"/>
  <c r="A392" i="5"/>
  <c r="G392" i="5" s="1"/>
  <c r="G391" i="5"/>
  <c r="C391" i="5"/>
  <c r="B391" i="5"/>
  <c r="A391" i="5"/>
  <c r="C390" i="5"/>
  <c r="B390" i="5"/>
  <c r="A390" i="5"/>
  <c r="G390" i="5" s="1"/>
  <c r="C389" i="5"/>
  <c r="B389" i="5"/>
  <c r="A389" i="5"/>
  <c r="G389" i="5" s="1"/>
  <c r="G388" i="5"/>
  <c r="C388" i="5"/>
  <c r="B388" i="5"/>
  <c r="A388" i="5"/>
  <c r="C387" i="5"/>
  <c r="B387" i="5"/>
  <c r="A387" i="5"/>
  <c r="G387" i="5" s="1"/>
  <c r="C386" i="5"/>
  <c r="B386" i="5"/>
  <c r="A386" i="5"/>
  <c r="G386" i="5" s="1"/>
  <c r="G385" i="5"/>
  <c r="C385" i="5"/>
  <c r="B385" i="5"/>
  <c r="A385" i="5"/>
  <c r="C384" i="5"/>
  <c r="B384" i="5"/>
  <c r="A384" i="5"/>
  <c r="G384" i="5" s="1"/>
  <c r="C383" i="5"/>
  <c r="B383" i="5"/>
  <c r="A383" i="5"/>
  <c r="G383" i="5" s="1"/>
  <c r="G382" i="5"/>
  <c r="C382" i="5"/>
  <c r="B382" i="5"/>
  <c r="A382" i="5"/>
  <c r="C381" i="5"/>
  <c r="B381" i="5"/>
  <c r="A381" i="5"/>
  <c r="G381" i="5" s="1"/>
  <c r="C380" i="5"/>
  <c r="B380" i="5"/>
  <c r="A380" i="5"/>
  <c r="G380" i="5" s="1"/>
  <c r="G379" i="5"/>
  <c r="C379" i="5"/>
  <c r="B379" i="5"/>
  <c r="A379" i="5"/>
  <c r="C378" i="5"/>
  <c r="B378" i="5"/>
  <c r="A378" i="5"/>
  <c r="G378" i="5" s="1"/>
  <c r="C377" i="5"/>
  <c r="B377" i="5"/>
  <c r="A377" i="5"/>
  <c r="G377" i="5" s="1"/>
  <c r="G376" i="5"/>
  <c r="C376" i="5"/>
  <c r="B376" i="5"/>
  <c r="A376" i="5"/>
  <c r="C375" i="5"/>
  <c r="B375" i="5"/>
  <c r="A375" i="5"/>
  <c r="G375" i="5" s="1"/>
  <c r="C374" i="5"/>
  <c r="B374" i="5"/>
  <c r="A374" i="5"/>
  <c r="G374" i="5" s="1"/>
  <c r="G373" i="5"/>
  <c r="C373" i="5"/>
  <c r="B373" i="5"/>
  <c r="A373" i="5"/>
  <c r="C372" i="5"/>
  <c r="B372" i="5"/>
  <c r="A372" i="5"/>
  <c r="G372" i="5" s="1"/>
  <c r="C371" i="5"/>
  <c r="B371" i="5"/>
  <c r="A371" i="5"/>
  <c r="G371" i="5" s="1"/>
  <c r="G370" i="5"/>
  <c r="C370" i="5"/>
  <c r="B370" i="5"/>
  <c r="A370" i="5"/>
  <c r="C369" i="5"/>
  <c r="B369" i="5"/>
  <c r="A369" i="5"/>
  <c r="G369" i="5" s="1"/>
  <c r="C368" i="5"/>
  <c r="B368" i="5"/>
  <c r="A368" i="5"/>
  <c r="G368" i="5" s="1"/>
  <c r="G367" i="5"/>
  <c r="C367" i="5"/>
  <c r="B367" i="5"/>
  <c r="A367" i="5"/>
  <c r="C366" i="5"/>
  <c r="B366" i="5"/>
  <c r="A366" i="5"/>
  <c r="G366" i="5" s="1"/>
  <c r="C365" i="5"/>
  <c r="B365" i="5"/>
  <c r="A365" i="5"/>
  <c r="G365" i="5" s="1"/>
  <c r="G364" i="5"/>
  <c r="C364" i="5"/>
  <c r="B364" i="5"/>
  <c r="A364" i="5"/>
  <c r="C363" i="5"/>
  <c r="B363" i="5"/>
  <c r="A363" i="5"/>
  <c r="G363" i="5" s="1"/>
  <c r="C362" i="5"/>
  <c r="B362" i="5"/>
  <c r="A362" i="5"/>
  <c r="G362" i="5" s="1"/>
  <c r="G361" i="5"/>
  <c r="C361" i="5"/>
  <c r="B361" i="5"/>
  <c r="A361" i="5"/>
  <c r="C360" i="5"/>
  <c r="B360" i="5"/>
  <c r="A360" i="5"/>
  <c r="G360" i="5" s="1"/>
  <c r="C359" i="5"/>
  <c r="B359" i="5"/>
  <c r="A359" i="5"/>
  <c r="G359" i="5" s="1"/>
  <c r="G358" i="5"/>
  <c r="C358" i="5"/>
  <c r="B358" i="5"/>
  <c r="A358" i="5"/>
  <c r="C357" i="5"/>
  <c r="B357" i="5"/>
  <c r="A357" i="5"/>
  <c r="G357" i="5" s="1"/>
  <c r="C356" i="5"/>
  <c r="B356" i="5"/>
  <c r="A356" i="5"/>
  <c r="G356" i="5" s="1"/>
  <c r="G355" i="5"/>
  <c r="C355" i="5"/>
  <c r="B355" i="5"/>
  <c r="A355" i="5"/>
  <c r="C354" i="5"/>
  <c r="B354" i="5"/>
  <c r="A354" i="5"/>
  <c r="G354" i="5" s="1"/>
  <c r="C353" i="5"/>
  <c r="B353" i="5"/>
  <c r="A353" i="5"/>
  <c r="G353" i="5" s="1"/>
  <c r="G352" i="5"/>
  <c r="C352" i="5"/>
  <c r="B352" i="5"/>
  <c r="A352" i="5"/>
  <c r="C351" i="5"/>
  <c r="B351" i="5"/>
  <c r="A351" i="5"/>
  <c r="G351" i="5" s="1"/>
  <c r="C350" i="5"/>
  <c r="B350" i="5"/>
  <c r="A350" i="5"/>
  <c r="G350" i="5" s="1"/>
  <c r="G349" i="5"/>
  <c r="C349" i="5"/>
  <c r="B349" i="5"/>
  <c r="A349" i="5"/>
  <c r="C348" i="5"/>
  <c r="B348" i="5"/>
  <c r="A348" i="5"/>
  <c r="G348" i="5" s="1"/>
  <c r="C347" i="5"/>
  <c r="B347" i="5"/>
  <c r="A347" i="5"/>
  <c r="G347" i="5" s="1"/>
  <c r="G346" i="5"/>
  <c r="C346" i="5"/>
  <c r="B346" i="5"/>
  <c r="A346" i="5"/>
  <c r="C345" i="5"/>
  <c r="B345" i="5"/>
  <c r="A345" i="5"/>
  <c r="G345" i="5" s="1"/>
  <c r="C344" i="5"/>
  <c r="B344" i="5"/>
  <c r="A344" i="5"/>
  <c r="G344" i="5" s="1"/>
  <c r="G343" i="5"/>
  <c r="C343" i="5"/>
  <c r="B343" i="5"/>
  <c r="A343" i="5"/>
  <c r="C342" i="5"/>
  <c r="B342" i="5"/>
  <c r="A342" i="5"/>
  <c r="G342" i="5" s="1"/>
  <c r="C341" i="5"/>
  <c r="B341" i="5"/>
  <c r="A341" i="5"/>
  <c r="G341" i="5" s="1"/>
  <c r="G340" i="5"/>
  <c r="C340" i="5"/>
  <c r="B340" i="5"/>
  <c r="A340" i="5"/>
  <c r="C339" i="5"/>
  <c r="B339" i="5"/>
  <c r="A339" i="5"/>
  <c r="G339" i="5" s="1"/>
  <c r="C338" i="5"/>
  <c r="B338" i="5"/>
  <c r="A338" i="5"/>
  <c r="G338" i="5" s="1"/>
  <c r="G337" i="5"/>
  <c r="C337" i="5"/>
  <c r="B337" i="5"/>
  <c r="A337" i="5"/>
  <c r="C336" i="5"/>
  <c r="B336" i="5"/>
  <c r="A336" i="5"/>
  <c r="G336" i="5" s="1"/>
  <c r="C335" i="5"/>
  <c r="B335" i="5"/>
  <c r="A335" i="5"/>
  <c r="G335" i="5" s="1"/>
  <c r="G334" i="5"/>
  <c r="C334" i="5"/>
  <c r="B334" i="5"/>
  <c r="A334" i="5"/>
  <c r="C333" i="5"/>
  <c r="B333" i="5"/>
  <c r="A333" i="5"/>
  <c r="G333" i="5" s="1"/>
  <c r="C332" i="5"/>
  <c r="B332" i="5"/>
  <c r="A332" i="5"/>
  <c r="G332" i="5" s="1"/>
  <c r="G331" i="5"/>
  <c r="C331" i="5"/>
  <c r="B331" i="5"/>
  <c r="A331" i="5"/>
  <c r="C330" i="5"/>
  <c r="B330" i="5"/>
  <c r="A330" i="5"/>
  <c r="G330" i="5" s="1"/>
  <c r="C329" i="5"/>
  <c r="B329" i="5"/>
  <c r="A329" i="5"/>
  <c r="G329" i="5" s="1"/>
  <c r="G328" i="5"/>
  <c r="C328" i="5"/>
  <c r="B328" i="5"/>
  <c r="A328" i="5"/>
  <c r="C327" i="5"/>
  <c r="B327" i="5"/>
  <c r="A327" i="5"/>
  <c r="G327" i="5" s="1"/>
  <c r="C326" i="5"/>
  <c r="B326" i="5"/>
  <c r="A326" i="5"/>
  <c r="G326" i="5" s="1"/>
  <c r="G325" i="5"/>
  <c r="C325" i="5"/>
  <c r="B325" i="5"/>
  <c r="A325" i="5"/>
  <c r="C324" i="5"/>
  <c r="B324" i="5"/>
  <c r="A324" i="5"/>
  <c r="G324" i="5" s="1"/>
  <c r="C323" i="5"/>
  <c r="B323" i="5"/>
  <c r="A323" i="5"/>
  <c r="G323" i="5" s="1"/>
  <c r="G322" i="5"/>
  <c r="C322" i="5"/>
  <c r="B322" i="5"/>
  <c r="A322" i="5"/>
  <c r="C321" i="5"/>
  <c r="B321" i="5"/>
  <c r="A321" i="5"/>
  <c r="G321" i="5" s="1"/>
  <c r="C320" i="5"/>
  <c r="B320" i="5"/>
  <c r="A320" i="5"/>
  <c r="G320" i="5" s="1"/>
  <c r="G319" i="5"/>
  <c r="C319" i="5"/>
  <c r="B319" i="5"/>
  <c r="A319" i="5"/>
  <c r="C318" i="5"/>
  <c r="B318" i="5"/>
  <c r="A318" i="5"/>
  <c r="G318" i="5" s="1"/>
  <c r="C317" i="5"/>
  <c r="B317" i="5"/>
  <c r="A317" i="5"/>
  <c r="G317" i="5" s="1"/>
  <c r="G316" i="5"/>
  <c r="C316" i="5"/>
  <c r="B316" i="5"/>
  <c r="A316" i="5"/>
  <c r="C315" i="5"/>
  <c r="B315" i="5"/>
  <c r="A315" i="5"/>
  <c r="G315" i="5" s="1"/>
  <c r="C314" i="5"/>
  <c r="B314" i="5"/>
  <c r="A314" i="5"/>
  <c r="G314" i="5" s="1"/>
  <c r="G313" i="5"/>
  <c r="C313" i="5"/>
  <c r="B313" i="5"/>
  <c r="A313" i="5"/>
  <c r="C312" i="5"/>
  <c r="B312" i="5"/>
  <c r="A312" i="5"/>
  <c r="G312" i="5" s="1"/>
  <c r="C311" i="5"/>
  <c r="B311" i="5"/>
  <c r="A311" i="5"/>
  <c r="G311" i="5" s="1"/>
  <c r="G310" i="5"/>
  <c r="C310" i="5"/>
  <c r="B310" i="5"/>
  <c r="A310" i="5"/>
  <c r="C309" i="5"/>
  <c r="B309" i="5"/>
  <c r="A309" i="5"/>
  <c r="G309" i="5" s="1"/>
  <c r="C308" i="5"/>
  <c r="B308" i="5"/>
  <c r="A308" i="5"/>
  <c r="G308" i="5" s="1"/>
  <c r="G307" i="5"/>
  <c r="C307" i="5"/>
  <c r="B307" i="5"/>
  <c r="A307" i="5"/>
  <c r="C306" i="5"/>
  <c r="B306" i="5"/>
  <c r="A306" i="5"/>
  <c r="G306" i="5" s="1"/>
  <c r="C305" i="5"/>
  <c r="B305" i="5"/>
  <c r="A305" i="5"/>
  <c r="G305" i="5" s="1"/>
  <c r="G304" i="5"/>
  <c r="C304" i="5"/>
  <c r="B304" i="5"/>
  <c r="A304" i="5"/>
  <c r="C303" i="5"/>
  <c r="B303" i="5"/>
  <c r="A303" i="5"/>
  <c r="G303" i="5" s="1"/>
  <c r="C302" i="5"/>
  <c r="B302" i="5"/>
  <c r="A302" i="5"/>
  <c r="G302" i="5" s="1"/>
  <c r="G301" i="5"/>
  <c r="C301" i="5"/>
  <c r="B301" i="5"/>
  <c r="A301" i="5"/>
  <c r="C300" i="5"/>
  <c r="B300" i="5"/>
  <c r="A300" i="5"/>
  <c r="G300" i="5" s="1"/>
  <c r="C299" i="5"/>
  <c r="B299" i="5"/>
  <c r="A299" i="5"/>
  <c r="G299" i="5" s="1"/>
  <c r="G298" i="5"/>
  <c r="C298" i="5"/>
  <c r="B298" i="5"/>
  <c r="A298" i="5"/>
  <c r="C297" i="5"/>
  <c r="B297" i="5"/>
  <c r="A297" i="5"/>
  <c r="G297" i="5" s="1"/>
  <c r="C296" i="5"/>
  <c r="B296" i="5"/>
  <c r="A296" i="5"/>
  <c r="G296" i="5" s="1"/>
  <c r="G295" i="5"/>
  <c r="C295" i="5"/>
  <c r="B295" i="5"/>
  <c r="A295" i="5"/>
  <c r="C294" i="5"/>
  <c r="B294" i="5"/>
  <c r="A294" i="5"/>
  <c r="G294" i="5" s="1"/>
  <c r="C293" i="5"/>
  <c r="B293" i="5"/>
  <c r="A293" i="5"/>
  <c r="G293" i="5" s="1"/>
  <c r="G292" i="5"/>
  <c r="C292" i="5"/>
  <c r="B292" i="5"/>
  <c r="A292" i="5"/>
  <c r="C291" i="5"/>
  <c r="B291" i="5"/>
  <c r="A291" i="5"/>
  <c r="G291" i="5" s="1"/>
  <c r="C290" i="5"/>
  <c r="B290" i="5"/>
  <c r="A290" i="5"/>
  <c r="G290" i="5" s="1"/>
  <c r="G289" i="5"/>
  <c r="C289" i="5"/>
  <c r="B289" i="5"/>
  <c r="A289" i="5"/>
  <c r="C288" i="5"/>
  <c r="B288" i="5"/>
  <c r="A288" i="5"/>
  <c r="G288" i="5" s="1"/>
  <c r="C287" i="5"/>
  <c r="B287" i="5"/>
  <c r="A287" i="5"/>
  <c r="G287" i="5" s="1"/>
  <c r="G286" i="5"/>
  <c r="C286" i="5"/>
  <c r="B286" i="5"/>
  <c r="A286" i="5"/>
  <c r="C285" i="5"/>
  <c r="B285" i="5"/>
  <c r="A285" i="5"/>
  <c r="G285" i="5" s="1"/>
  <c r="C284" i="5"/>
  <c r="B284" i="5"/>
  <c r="A284" i="5"/>
  <c r="G284" i="5" s="1"/>
  <c r="G283" i="5"/>
  <c r="C283" i="5"/>
  <c r="B283" i="5"/>
  <c r="A283" i="5"/>
  <c r="C282" i="5"/>
  <c r="B282" i="5"/>
  <c r="A282" i="5"/>
  <c r="G282" i="5" s="1"/>
  <c r="C281" i="5"/>
  <c r="B281" i="5"/>
  <c r="A281" i="5"/>
  <c r="G281" i="5" s="1"/>
  <c r="G280" i="5"/>
  <c r="C280" i="5"/>
  <c r="B280" i="5"/>
  <c r="A280" i="5"/>
  <c r="C279" i="5"/>
  <c r="B279" i="5"/>
  <c r="A279" i="5"/>
  <c r="G279" i="5" s="1"/>
  <c r="C278" i="5"/>
  <c r="B278" i="5"/>
  <c r="A278" i="5"/>
  <c r="G278" i="5" s="1"/>
  <c r="G277" i="5"/>
  <c r="C277" i="5"/>
  <c r="B277" i="5"/>
  <c r="A277" i="5"/>
  <c r="C276" i="5"/>
  <c r="B276" i="5"/>
  <c r="A276" i="5"/>
  <c r="G276" i="5" s="1"/>
  <c r="C275" i="5"/>
  <c r="B275" i="5"/>
  <c r="A275" i="5"/>
  <c r="G275" i="5" s="1"/>
  <c r="G274" i="5"/>
  <c r="C274" i="5"/>
  <c r="B274" i="5"/>
  <c r="A274" i="5"/>
  <c r="C273" i="5"/>
  <c r="B273" i="5"/>
  <c r="A273" i="5"/>
  <c r="G273" i="5" s="1"/>
  <c r="C272" i="5"/>
  <c r="B272" i="5"/>
  <c r="A272" i="5"/>
  <c r="G272" i="5" s="1"/>
  <c r="G271" i="5"/>
  <c r="C271" i="5"/>
  <c r="B271" i="5"/>
  <c r="A271" i="5"/>
  <c r="C270" i="5"/>
  <c r="B270" i="5"/>
  <c r="A270" i="5"/>
  <c r="G270" i="5" s="1"/>
  <c r="C269" i="5"/>
  <c r="B269" i="5"/>
  <c r="A269" i="5"/>
  <c r="G269" i="5" s="1"/>
  <c r="G268" i="5"/>
  <c r="C268" i="5"/>
  <c r="B268" i="5"/>
  <c r="A268" i="5"/>
  <c r="C267" i="5"/>
  <c r="B267" i="5"/>
  <c r="A267" i="5"/>
  <c r="G267" i="5" s="1"/>
  <c r="C266" i="5"/>
  <c r="B266" i="5"/>
  <c r="A266" i="5"/>
  <c r="G266" i="5" s="1"/>
  <c r="G265" i="5"/>
  <c r="C265" i="5"/>
  <c r="B265" i="5"/>
  <c r="A265" i="5"/>
  <c r="C264" i="5"/>
  <c r="B264" i="5"/>
  <c r="A264" i="5"/>
  <c r="G264" i="5" s="1"/>
  <c r="C263" i="5"/>
  <c r="B263" i="5"/>
  <c r="A263" i="5"/>
  <c r="G263" i="5" s="1"/>
  <c r="G262" i="5"/>
  <c r="C262" i="5"/>
  <c r="B262" i="5"/>
  <c r="A262" i="5"/>
  <c r="C261" i="5"/>
  <c r="B261" i="5"/>
  <c r="A261" i="5"/>
  <c r="G261" i="5" s="1"/>
  <c r="C260" i="5"/>
  <c r="B260" i="5"/>
  <c r="A260" i="5"/>
  <c r="G260" i="5" s="1"/>
  <c r="G259" i="5"/>
  <c r="C259" i="5"/>
  <c r="B259" i="5"/>
  <c r="A259" i="5"/>
  <c r="C258" i="5"/>
  <c r="B258" i="5"/>
  <c r="A258" i="5"/>
  <c r="G258" i="5" s="1"/>
  <c r="C257" i="5"/>
  <c r="B257" i="5"/>
  <c r="A257" i="5"/>
  <c r="G257" i="5" s="1"/>
  <c r="G256" i="5"/>
  <c r="C256" i="5"/>
  <c r="B256" i="5"/>
  <c r="A256" i="5"/>
  <c r="C255" i="5"/>
  <c r="B255" i="5"/>
  <c r="A255" i="5"/>
  <c r="G255" i="5" s="1"/>
  <c r="C254" i="5"/>
  <c r="B254" i="5"/>
  <c r="A254" i="5"/>
  <c r="G254" i="5" s="1"/>
  <c r="G253" i="5"/>
  <c r="C253" i="5"/>
  <c r="B253" i="5"/>
  <c r="A253" i="5"/>
  <c r="C252" i="5"/>
  <c r="B252" i="5"/>
  <c r="A252" i="5"/>
  <c r="G252" i="5" s="1"/>
  <c r="C251" i="5"/>
  <c r="B251" i="5"/>
  <c r="A251" i="5"/>
  <c r="G251" i="5" s="1"/>
  <c r="G250" i="5"/>
  <c r="C250" i="5"/>
  <c r="B250" i="5"/>
  <c r="A250" i="5"/>
  <c r="C249" i="5"/>
  <c r="B249" i="5"/>
  <c r="A249" i="5"/>
  <c r="G249" i="5" s="1"/>
  <c r="C248" i="5"/>
  <c r="B248" i="5"/>
  <c r="A248" i="5"/>
  <c r="G248" i="5" s="1"/>
  <c r="G247" i="5"/>
  <c r="C247" i="5"/>
  <c r="B247" i="5"/>
  <c r="A247" i="5"/>
  <c r="C246" i="5"/>
  <c r="B246" i="5"/>
  <c r="A246" i="5"/>
  <c r="G246" i="5" s="1"/>
  <c r="C245" i="5"/>
  <c r="B245" i="5"/>
  <c r="A245" i="5"/>
  <c r="G245" i="5" s="1"/>
  <c r="G244" i="5"/>
  <c r="C244" i="5"/>
  <c r="B244" i="5"/>
  <c r="A244" i="5"/>
  <c r="C243" i="5"/>
  <c r="B243" i="5"/>
  <c r="A243" i="5"/>
  <c r="G243" i="5" s="1"/>
  <c r="C242" i="5"/>
  <c r="B242" i="5"/>
  <c r="A242" i="5"/>
  <c r="G242" i="5" s="1"/>
  <c r="G241" i="5"/>
  <c r="C241" i="5"/>
  <c r="B241" i="5"/>
  <c r="A241" i="5"/>
  <c r="C240" i="5"/>
  <c r="B240" i="5"/>
  <c r="A240" i="5"/>
  <c r="G240" i="5" s="1"/>
  <c r="C239" i="5"/>
  <c r="B239" i="5"/>
  <c r="A239" i="5"/>
  <c r="G239" i="5" s="1"/>
  <c r="G238" i="5"/>
  <c r="C238" i="5"/>
  <c r="B238" i="5"/>
  <c r="A238" i="5"/>
  <c r="C237" i="5"/>
  <c r="B237" i="5"/>
  <c r="A237" i="5"/>
  <c r="G237" i="5" s="1"/>
  <c r="C236" i="5"/>
  <c r="B236" i="5"/>
  <c r="A236" i="5"/>
  <c r="G236" i="5" s="1"/>
  <c r="G235" i="5"/>
  <c r="C235" i="5"/>
  <c r="B235" i="5"/>
  <c r="A235" i="5"/>
  <c r="C234" i="5"/>
  <c r="B234" i="5"/>
  <c r="A234" i="5"/>
  <c r="G234" i="5" s="1"/>
  <c r="C233" i="5"/>
  <c r="B233" i="5"/>
  <c r="A233" i="5"/>
  <c r="G233" i="5" s="1"/>
  <c r="G232" i="5"/>
  <c r="C232" i="5"/>
  <c r="B232" i="5"/>
  <c r="A232" i="5"/>
  <c r="C231" i="5"/>
  <c r="B231" i="5"/>
  <c r="A231" i="5"/>
  <c r="G231" i="5" s="1"/>
  <c r="C230" i="5"/>
  <c r="B230" i="5"/>
  <c r="A230" i="5"/>
  <c r="G230" i="5" s="1"/>
  <c r="G229" i="5"/>
  <c r="C229" i="5"/>
  <c r="B229" i="5"/>
  <c r="A229" i="5"/>
  <c r="C228" i="5"/>
  <c r="B228" i="5"/>
  <c r="A228" i="5"/>
  <c r="G228" i="5" s="1"/>
  <c r="C227" i="5"/>
  <c r="B227" i="5"/>
  <c r="A227" i="5"/>
  <c r="G227" i="5" s="1"/>
  <c r="G226" i="5"/>
  <c r="C226" i="5"/>
  <c r="B226" i="5"/>
  <c r="A226" i="5"/>
  <c r="C225" i="5"/>
  <c r="B225" i="5"/>
  <c r="A225" i="5"/>
  <c r="G225" i="5" s="1"/>
  <c r="C224" i="5"/>
  <c r="B224" i="5"/>
  <c r="A224" i="5"/>
  <c r="G224" i="5" s="1"/>
  <c r="G223" i="5"/>
  <c r="C223" i="5"/>
  <c r="B223" i="5"/>
  <c r="A223" i="5"/>
  <c r="C222" i="5"/>
  <c r="B222" i="5"/>
  <c r="A222" i="5"/>
  <c r="G222" i="5" s="1"/>
  <c r="C221" i="5"/>
  <c r="B221" i="5"/>
  <c r="A221" i="5"/>
  <c r="G221" i="5" s="1"/>
  <c r="G220" i="5"/>
  <c r="C220" i="5"/>
  <c r="B220" i="5"/>
  <c r="A220" i="5"/>
  <c r="C219" i="5"/>
  <c r="B219" i="5"/>
  <c r="A219" i="5"/>
  <c r="G219" i="5" s="1"/>
  <c r="C218" i="5"/>
  <c r="B218" i="5"/>
  <c r="A218" i="5"/>
  <c r="G218" i="5" s="1"/>
  <c r="G217" i="5"/>
  <c r="C217" i="5"/>
  <c r="B217" i="5"/>
  <c r="A217" i="5"/>
  <c r="C216" i="5"/>
  <c r="B216" i="5"/>
  <c r="A216" i="5"/>
  <c r="G216" i="5" s="1"/>
  <c r="C215" i="5"/>
  <c r="B215" i="5"/>
  <c r="A215" i="5"/>
  <c r="G215" i="5" s="1"/>
  <c r="G214" i="5"/>
  <c r="C214" i="5"/>
  <c r="B214" i="5"/>
  <c r="A214" i="5"/>
  <c r="C213" i="5"/>
  <c r="B213" i="5"/>
  <c r="A213" i="5"/>
  <c r="G213" i="5" s="1"/>
  <c r="C212" i="5"/>
  <c r="B212" i="5"/>
  <c r="A212" i="5"/>
  <c r="G212" i="5" s="1"/>
  <c r="G211" i="5"/>
  <c r="C211" i="5"/>
  <c r="B211" i="5"/>
  <c r="A211" i="5"/>
  <c r="C210" i="5"/>
  <c r="B210" i="5"/>
  <c r="A210" i="5"/>
  <c r="G210" i="5" s="1"/>
  <c r="C209" i="5"/>
  <c r="B209" i="5"/>
  <c r="A209" i="5"/>
  <c r="G209" i="5" s="1"/>
  <c r="G208" i="5"/>
  <c r="C208" i="5"/>
  <c r="B208" i="5"/>
  <c r="A208" i="5"/>
  <c r="C207" i="5"/>
  <c r="B207" i="5"/>
  <c r="A207" i="5"/>
  <c r="G207" i="5" s="1"/>
  <c r="C206" i="5"/>
  <c r="B206" i="5"/>
  <c r="A206" i="5"/>
  <c r="G206" i="5" s="1"/>
  <c r="G205" i="5"/>
  <c r="C205" i="5"/>
  <c r="B205" i="5"/>
  <c r="A205" i="5"/>
  <c r="C204" i="5"/>
  <c r="B204" i="5"/>
  <c r="A204" i="5"/>
  <c r="G204" i="5" s="1"/>
  <c r="C203" i="5"/>
  <c r="B203" i="5"/>
  <c r="A203" i="5"/>
  <c r="G203" i="5" s="1"/>
  <c r="G202" i="5"/>
  <c r="C202" i="5"/>
  <c r="B202" i="5"/>
  <c r="A202" i="5"/>
  <c r="C201" i="5"/>
  <c r="B201" i="5"/>
  <c r="A201" i="5"/>
  <c r="G201" i="5" s="1"/>
  <c r="C200" i="5"/>
  <c r="B200" i="5"/>
  <c r="A200" i="5"/>
  <c r="G200" i="5" s="1"/>
  <c r="G199" i="5"/>
  <c r="C199" i="5"/>
  <c r="B199" i="5"/>
  <c r="A199" i="5"/>
  <c r="C198" i="5"/>
  <c r="B198" i="5"/>
  <c r="A198" i="5"/>
  <c r="G198" i="5" s="1"/>
  <c r="C197" i="5"/>
  <c r="B197" i="5"/>
  <c r="A197" i="5"/>
  <c r="G197" i="5" s="1"/>
  <c r="G196" i="5"/>
  <c r="C196" i="5"/>
  <c r="B196" i="5"/>
  <c r="A196" i="5"/>
  <c r="C195" i="5"/>
  <c r="B195" i="5"/>
  <c r="A195" i="5"/>
  <c r="G195" i="5" s="1"/>
  <c r="C194" i="5"/>
  <c r="B194" i="5"/>
  <c r="A194" i="5"/>
  <c r="G194" i="5" s="1"/>
  <c r="G193" i="5"/>
  <c r="C193" i="5"/>
  <c r="B193" i="5"/>
  <c r="A193" i="5"/>
  <c r="C192" i="5"/>
  <c r="B192" i="5"/>
  <c r="A192" i="5"/>
  <c r="G192" i="5" s="1"/>
  <c r="C191" i="5"/>
  <c r="B191" i="5"/>
  <c r="A191" i="5"/>
  <c r="G191" i="5" s="1"/>
  <c r="G190" i="5"/>
  <c r="C190" i="5"/>
  <c r="B190" i="5"/>
  <c r="A190" i="5"/>
  <c r="C189" i="5"/>
  <c r="B189" i="5"/>
  <c r="A189" i="5"/>
  <c r="G189" i="5" s="1"/>
  <c r="C188" i="5"/>
  <c r="B188" i="5"/>
  <c r="A188" i="5"/>
  <c r="G188" i="5" s="1"/>
  <c r="G187" i="5"/>
  <c r="C187" i="5"/>
  <c r="B187" i="5"/>
  <c r="A187" i="5"/>
  <c r="C186" i="5"/>
  <c r="B186" i="5"/>
  <c r="A186" i="5"/>
  <c r="G186" i="5" s="1"/>
  <c r="C185" i="5"/>
  <c r="B185" i="5"/>
  <c r="A185" i="5"/>
  <c r="G185" i="5" s="1"/>
  <c r="G184" i="5"/>
  <c r="C184" i="5"/>
  <c r="B184" i="5"/>
  <c r="A184" i="5"/>
  <c r="C183" i="5"/>
  <c r="B183" i="5"/>
  <c r="A183" i="5"/>
  <c r="G183" i="5" s="1"/>
  <c r="C182" i="5"/>
  <c r="B182" i="5"/>
  <c r="A182" i="5"/>
  <c r="G182" i="5" s="1"/>
  <c r="G181" i="5"/>
  <c r="C181" i="5"/>
  <c r="B181" i="5"/>
  <c r="A181" i="5"/>
  <c r="C180" i="5"/>
  <c r="B180" i="5"/>
  <c r="A180" i="5"/>
  <c r="G180" i="5" s="1"/>
  <c r="C179" i="5"/>
  <c r="B179" i="5"/>
  <c r="A179" i="5"/>
  <c r="G179" i="5" s="1"/>
  <c r="G178" i="5"/>
  <c r="C178" i="5"/>
  <c r="B178" i="5"/>
  <c r="A178" i="5"/>
  <c r="C177" i="5"/>
  <c r="B177" i="5"/>
  <c r="A177" i="5"/>
  <c r="G177" i="5" s="1"/>
  <c r="C176" i="5"/>
  <c r="B176" i="5"/>
  <c r="A176" i="5"/>
  <c r="G176" i="5" s="1"/>
  <c r="G175" i="5"/>
  <c r="C175" i="5"/>
  <c r="B175" i="5"/>
  <c r="A175" i="5"/>
  <c r="C174" i="5"/>
  <c r="B174" i="5"/>
  <c r="A174" i="5"/>
  <c r="G174" i="5" s="1"/>
  <c r="C173" i="5"/>
  <c r="B173" i="5"/>
  <c r="A173" i="5"/>
  <c r="G173" i="5" s="1"/>
  <c r="G172" i="5"/>
  <c r="C172" i="5"/>
  <c r="B172" i="5"/>
  <c r="A172" i="5"/>
  <c r="C171" i="5"/>
  <c r="B171" i="5"/>
  <c r="A171" i="5"/>
  <c r="G171" i="5" s="1"/>
  <c r="C170" i="5"/>
  <c r="B170" i="5"/>
  <c r="A170" i="5"/>
  <c r="G170" i="5" s="1"/>
  <c r="C169" i="5"/>
  <c r="B169" i="5"/>
  <c r="A169" i="5"/>
  <c r="G169" i="5" s="1"/>
  <c r="C168" i="5"/>
  <c r="B168" i="5"/>
  <c r="A168" i="5"/>
  <c r="G168" i="5" s="1"/>
  <c r="C167" i="5"/>
  <c r="B167" i="5"/>
  <c r="A167" i="5"/>
  <c r="G167" i="5" s="1"/>
  <c r="J167" i="2" s="1"/>
  <c r="G166" i="5"/>
  <c r="C166" i="5"/>
  <c r="B166" i="5"/>
  <c r="A166" i="5"/>
  <c r="C165" i="5"/>
  <c r="B165" i="5"/>
  <c r="A165" i="5"/>
  <c r="G165" i="5" s="1"/>
  <c r="C164" i="5"/>
  <c r="B164" i="5"/>
  <c r="A164" i="5"/>
  <c r="G164" i="5" s="1"/>
  <c r="G163" i="5"/>
  <c r="C163" i="5"/>
  <c r="B163" i="5"/>
  <c r="A163" i="5"/>
  <c r="C162" i="5"/>
  <c r="B162" i="5"/>
  <c r="A162" i="5"/>
  <c r="G162" i="5" s="1"/>
  <c r="C161" i="5"/>
  <c r="B161" i="5"/>
  <c r="A161" i="5"/>
  <c r="G161" i="5" s="1"/>
  <c r="G160" i="5"/>
  <c r="C160" i="5"/>
  <c r="B160" i="5"/>
  <c r="A160" i="5"/>
  <c r="C159" i="5"/>
  <c r="B159" i="5"/>
  <c r="A159" i="5"/>
  <c r="G159" i="5" s="1"/>
  <c r="C158" i="5"/>
  <c r="B158" i="5"/>
  <c r="A158" i="5"/>
  <c r="G158" i="5" s="1"/>
  <c r="G157" i="5"/>
  <c r="C157" i="5"/>
  <c r="B157" i="5"/>
  <c r="A157" i="5"/>
  <c r="C156" i="5"/>
  <c r="B156" i="5"/>
  <c r="A156" i="5"/>
  <c r="C155" i="5"/>
  <c r="B155" i="5"/>
  <c r="A155" i="5"/>
  <c r="C154" i="5"/>
  <c r="B154" i="5"/>
  <c r="A154" i="5"/>
  <c r="C153" i="5"/>
  <c r="B153" i="5"/>
  <c r="A153" i="5"/>
  <c r="C152" i="5"/>
  <c r="B152" i="5"/>
  <c r="A152" i="5"/>
  <c r="C151" i="5"/>
  <c r="B151" i="5"/>
  <c r="A151" i="5"/>
  <c r="C150" i="5"/>
  <c r="B150" i="5"/>
  <c r="A150" i="5"/>
  <c r="C149" i="5"/>
  <c r="B149" i="5"/>
  <c r="A149" i="5"/>
  <c r="C148" i="5"/>
  <c r="B148" i="5"/>
  <c r="A148" i="5"/>
  <c r="C147" i="5"/>
  <c r="B147" i="5"/>
  <c r="A147" i="5"/>
  <c r="C146" i="5"/>
  <c r="B146" i="5"/>
  <c r="A146" i="5"/>
  <c r="C145" i="5"/>
  <c r="B145" i="5"/>
  <c r="A145" i="5"/>
  <c r="C144" i="5"/>
  <c r="B144" i="5"/>
  <c r="A144" i="5"/>
  <c r="C143" i="5"/>
  <c r="B143" i="5"/>
  <c r="A143" i="5"/>
  <c r="C142" i="5"/>
  <c r="B142" i="5"/>
  <c r="A142" i="5"/>
  <c r="C141" i="5"/>
  <c r="B141" i="5"/>
  <c r="A141" i="5"/>
  <c r="C140" i="5"/>
  <c r="B140" i="5"/>
  <c r="A140" i="5"/>
  <c r="C139" i="5"/>
  <c r="B139" i="5"/>
  <c r="A139" i="5"/>
  <c r="C138" i="5"/>
  <c r="B138" i="5"/>
  <c r="A138" i="5"/>
  <c r="C137" i="5"/>
  <c r="B137" i="5"/>
  <c r="A137" i="5"/>
  <c r="C136" i="5"/>
  <c r="B136" i="5"/>
  <c r="A136" i="5"/>
  <c r="C135" i="5"/>
  <c r="B135" i="5"/>
  <c r="A135" i="5"/>
  <c r="C134" i="5"/>
  <c r="B134" i="5"/>
  <c r="A134" i="5"/>
  <c r="C133" i="5"/>
  <c r="B133" i="5"/>
  <c r="A133" i="5"/>
  <c r="C132" i="5"/>
  <c r="B132" i="5"/>
  <c r="A132" i="5"/>
  <c r="C131" i="5"/>
  <c r="B131" i="5"/>
  <c r="A131" i="5"/>
  <c r="C130" i="5"/>
  <c r="B130" i="5"/>
  <c r="A130" i="5"/>
  <c r="C129" i="5"/>
  <c r="B129" i="5"/>
  <c r="A129" i="5"/>
  <c r="C128" i="5"/>
  <c r="B128" i="5"/>
  <c r="A128" i="5"/>
  <c r="C127" i="5"/>
  <c r="B127" i="5"/>
  <c r="A127" i="5"/>
  <c r="C126" i="5"/>
  <c r="B126" i="5"/>
  <c r="A126" i="5"/>
  <c r="C125" i="5"/>
  <c r="B125" i="5"/>
  <c r="A125" i="5"/>
  <c r="C124" i="5"/>
  <c r="B124" i="5"/>
  <c r="A124" i="5"/>
  <c r="C123" i="5"/>
  <c r="B123" i="5"/>
  <c r="A123" i="5"/>
  <c r="C122" i="5"/>
  <c r="B122" i="5"/>
  <c r="A122" i="5"/>
  <c r="C121" i="5"/>
  <c r="B121" i="5"/>
  <c r="A121" i="5"/>
  <c r="C120" i="5"/>
  <c r="B120" i="5"/>
  <c r="A120" i="5"/>
  <c r="C119" i="5"/>
  <c r="B119" i="5"/>
  <c r="A119" i="5"/>
  <c r="C118" i="5"/>
  <c r="B118" i="5"/>
  <c r="A118" i="5"/>
  <c r="C117" i="5"/>
  <c r="B117" i="5"/>
  <c r="A117" i="5"/>
  <c r="C116" i="5"/>
  <c r="B116" i="5"/>
  <c r="A116" i="5"/>
  <c r="C115" i="5"/>
  <c r="B115" i="5"/>
  <c r="A115" i="5"/>
  <c r="C114" i="5"/>
  <c r="B114" i="5"/>
  <c r="A114" i="5"/>
  <c r="C113" i="5"/>
  <c r="B113" i="5"/>
  <c r="A113" i="5"/>
  <c r="C112" i="5"/>
  <c r="B112" i="5"/>
  <c r="A112" i="5"/>
  <c r="C111" i="5"/>
  <c r="B111" i="5"/>
  <c r="A111" i="5"/>
  <c r="C110" i="5"/>
  <c r="B110" i="5"/>
  <c r="A110" i="5"/>
  <c r="C109" i="5"/>
  <c r="B109" i="5"/>
  <c r="A109" i="5"/>
  <c r="C108" i="5"/>
  <c r="B108" i="5"/>
  <c r="A108" i="5"/>
  <c r="C107" i="5"/>
  <c r="B107" i="5"/>
  <c r="A107" i="5"/>
  <c r="C106" i="5"/>
  <c r="B106" i="5"/>
  <c r="A106" i="5"/>
  <c r="C105" i="5"/>
  <c r="B105" i="5"/>
  <c r="A105" i="5"/>
  <c r="C104" i="5"/>
  <c r="B104" i="5"/>
  <c r="A104" i="5"/>
  <c r="C103" i="5"/>
  <c r="B103" i="5"/>
  <c r="A103" i="5"/>
  <c r="C102" i="5"/>
  <c r="B102" i="5"/>
  <c r="A102" i="5"/>
  <c r="C101" i="5"/>
  <c r="B101" i="5"/>
  <c r="A101" i="5"/>
  <c r="C100" i="5"/>
  <c r="B100" i="5"/>
  <c r="A100" i="5"/>
  <c r="C99" i="5"/>
  <c r="B99" i="5"/>
  <c r="A99" i="5"/>
  <c r="C98" i="5"/>
  <c r="B98" i="5"/>
  <c r="A98" i="5"/>
  <c r="C97" i="5"/>
  <c r="B97" i="5"/>
  <c r="A97" i="5"/>
  <c r="C96" i="5"/>
  <c r="B96" i="5"/>
  <c r="A96" i="5"/>
  <c r="C95" i="5"/>
  <c r="B95" i="5"/>
  <c r="A95" i="5"/>
  <c r="C94" i="5"/>
  <c r="B94" i="5"/>
  <c r="A94" i="5"/>
  <c r="C93" i="5"/>
  <c r="B93" i="5"/>
  <c r="A93" i="5"/>
  <c r="C92" i="5"/>
  <c r="B92" i="5"/>
  <c r="A92" i="5"/>
  <c r="C91" i="5"/>
  <c r="B91" i="5"/>
  <c r="A91" i="5"/>
  <c r="C90" i="5"/>
  <c r="B90" i="5"/>
  <c r="A90" i="5"/>
  <c r="C89" i="5"/>
  <c r="B89" i="5"/>
  <c r="A89" i="5"/>
  <c r="C88" i="5"/>
  <c r="B88" i="5"/>
  <c r="A88" i="5"/>
  <c r="C87" i="5"/>
  <c r="B87" i="5"/>
  <c r="A87" i="5"/>
  <c r="C86" i="5"/>
  <c r="B86" i="5"/>
  <c r="A86" i="5"/>
  <c r="C85" i="5"/>
  <c r="B85" i="5"/>
  <c r="A85" i="5"/>
  <c r="C84" i="5"/>
  <c r="B84" i="5"/>
  <c r="A84" i="5"/>
  <c r="C83" i="5"/>
  <c r="B83" i="5"/>
  <c r="A83" i="5"/>
  <c r="C82" i="5"/>
  <c r="B82" i="5"/>
  <c r="A82" i="5"/>
  <c r="C81" i="5"/>
  <c r="B81" i="5"/>
  <c r="A81" i="5"/>
  <c r="C80" i="5"/>
  <c r="B80" i="5"/>
  <c r="A80" i="5"/>
  <c r="C79" i="5"/>
  <c r="B79" i="5"/>
  <c r="A79" i="5"/>
  <c r="C78" i="5"/>
  <c r="B78" i="5"/>
  <c r="A78" i="5"/>
  <c r="C77" i="5"/>
  <c r="B77" i="5"/>
  <c r="A77" i="5"/>
  <c r="C76" i="5"/>
  <c r="B76" i="5"/>
  <c r="A76" i="5"/>
  <c r="C75" i="5"/>
  <c r="B75" i="5"/>
  <c r="A75" i="5"/>
  <c r="C74" i="5"/>
  <c r="B74" i="5"/>
  <c r="A74" i="5"/>
  <c r="C73" i="5"/>
  <c r="B73" i="5"/>
  <c r="A73" i="5"/>
  <c r="C72" i="5"/>
  <c r="B72" i="5"/>
  <c r="A72" i="5"/>
  <c r="C71" i="5"/>
  <c r="B71" i="5"/>
  <c r="A71" i="5"/>
  <c r="C70" i="5"/>
  <c r="B70" i="5"/>
  <c r="A70" i="5"/>
  <c r="C69" i="5"/>
  <c r="B69" i="5"/>
  <c r="A69" i="5"/>
  <c r="C68" i="5"/>
  <c r="B68" i="5"/>
  <c r="A68" i="5"/>
  <c r="C67" i="5"/>
  <c r="B67" i="5"/>
  <c r="A67" i="5"/>
  <c r="C66" i="5"/>
  <c r="B66" i="5"/>
  <c r="A66" i="5"/>
  <c r="C65" i="5"/>
  <c r="B65" i="5"/>
  <c r="A65" i="5"/>
  <c r="C64" i="5"/>
  <c r="B64" i="5"/>
  <c r="A64" i="5"/>
  <c r="C63" i="5"/>
  <c r="B63" i="5"/>
  <c r="A63" i="5"/>
  <c r="C62" i="5"/>
  <c r="B62" i="5"/>
  <c r="A62" i="5"/>
  <c r="C61" i="5"/>
  <c r="B61" i="5"/>
  <c r="A61" i="5"/>
  <c r="C60" i="5"/>
  <c r="B60" i="5"/>
  <c r="A60" i="5"/>
  <c r="C59" i="5"/>
  <c r="B59" i="5"/>
  <c r="A59" i="5"/>
  <c r="C58" i="5"/>
  <c r="B58" i="5"/>
  <c r="A58" i="5"/>
  <c r="C57" i="5"/>
  <c r="B57" i="5"/>
  <c r="A57" i="5"/>
  <c r="C56" i="5"/>
  <c r="B56" i="5"/>
  <c r="A56" i="5"/>
  <c r="C55" i="5"/>
  <c r="B55" i="5"/>
  <c r="A55" i="5"/>
  <c r="C54" i="5"/>
  <c r="B54" i="5"/>
  <c r="A54" i="5"/>
  <c r="C53" i="5"/>
  <c r="B53" i="5"/>
  <c r="A53" i="5"/>
  <c r="C52" i="5"/>
  <c r="B52" i="5"/>
  <c r="A52" i="5"/>
  <c r="C51" i="5"/>
  <c r="B51" i="5"/>
  <c r="A51" i="5"/>
  <c r="C50" i="5"/>
  <c r="B50" i="5"/>
  <c r="A50" i="5"/>
  <c r="C49" i="5"/>
  <c r="B49" i="5"/>
  <c r="A49" i="5"/>
  <c r="C48" i="5"/>
  <c r="B48" i="5"/>
  <c r="A48" i="5"/>
  <c r="C47" i="5"/>
  <c r="B47" i="5"/>
  <c r="A47" i="5"/>
  <c r="C46" i="5"/>
  <c r="B46" i="5"/>
  <c r="A46" i="5"/>
  <c r="C45" i="5"/>
  <c r="B45" i="5"/>
  <c r="A45" i="5"/>
  <c r="C44" i="5"/>
  <c r="B44" i="5"/>
  <c r="A44" i="5"/>
  <c r="C43" i="5"/>
  <c r="B43" i="5"/>
  <c r="A43" i="5"/>
  <c r="C42" i="5"/>
  <c r="B42" i="5"/>
  <c r="A42" i="5"/>
  <c r="C41" i="5"/>
  <c r="B41" i="5"/>
  <c r="A41" i="5"/>
  <c r="C40" i="5"/>
  <c r="B40" i="5"/>
  <c r="A40" i="5"/>
  <c r="C39" i="5"/>
  <c r="B39" i="5"/>
  <c r="A39" i="5"/>
  <c r="C38" i="5"/>
  <c r="B38" i="5"/>
  <c r="A38" i="5"/>
  <c r="C37" i="5"/>
  <c r="B37" i="5"/>
  <c r="A37" i="5"/>
  <c r="C36" i="5"/>
  <c r="B36" i="5"/>
  <c r="A36" i="5"/>
  <c r="C35" i="5"/>
  <c r="B35" i="5"/>
  <c r="A35" i="5"/>
  <c r="C34" i="5"/>
  <c r="B34" i="5"/>
  <c r="A34" i="5"/>
  <c r="C33" i="5"/>
  <c r="B33" i="5"/>
  <c r="A33" i="5"/>
  <c r="C32" i="5"/>
  <c r="B32" i="5"/>
  <c r="A32" i="5"/>
  <c r="C31" i="5"/>
  <c r="B31" i="5"/>
  <c r="A31" i="5"/>
  <c r="C30" i="5"/>
  <c r="B30" i="5"/>
  <c r="A30" i="5"/>
  <c r="C29" i="5"/>
  <c r="B29" i="5"/>
  <c r="A29" i="5"/>
  <c r="C28" i="5"/>
  <c r="B28" i="5"/>
  <c r="A28" i="5"/>
  <c r="C27" i="5"/>
  <c r="B27" i="5"/>
  <c r="A27" i="5"/>
  <c r="C26" i="5"/>
  <c r="B26" i="5"/>
  <c r="A26" i="5"/>
  <c r="C25" i="5"/>
  <c r="B25" i="5"/>
  <c r="A25" i="5"/>
  <c r="C24" i="5"/>
  <c r="B24" i="5"/>
  <c r="A24" i="5"/>
  <c r="C23" i="5"/>
  <c r="B23" i="5"/>
  <c r="A23" i="5"/>
  <c r="C22" i="5"/>
  <c r="B22" i="5"/>
  <c r="A22" i="5"/>
  <c r="C21" i="5"/>
  <c r="B21" i="5"/>
  <c r="A21" i="5"/>
  <c r="C20" i="5"/>
  <c r="B20" i="5"/>
  <c r="A20" i="5"/>
  <c r="C19" i="5"/>
  <c r="B19" i="5"/>
  <c r="A19" i="5"/>
  <c r="C18" i="5"/>
  <c r="B18" i="5"/>
  <c r="A18" i="5"/>
  <c r="C17" i="5"/>
  <c r="B17" i="5"/>
  <c r="A17" i="5"/>
  <c r="C16" i="5"/>
  <c r="B16" i="5"/>
  <c r="A16" i="5"/>
  <c r="C15" i="5"/>
  <c r="B15" i="5"/>
  <c r="A15" i="5"/>
  <c r="C14" i="5"/>
  <c r="B14" i="5"/>
  <c r="A14" i="5"/>
  <c r="C13" i="5"/>
  <c r="B13" i="5"/>
  <c r="A13" i="5"/>
  <c r="C12" i="5"/>
  <c r="B12" i="5"/>
  <c r="A12" i="5"/>
  <c r="C11" i="5"/>
  <c r="B11" i="5"/>
  <c r="A11" i="5"/>
  <c r="C10" i="5"/>
  <c r="B10" i="5"/>
  <c r="A10" i="5"/>
  <c r="C9" i="5"/>
  <c r="B9" i="5"/>
  <c r="A9" i="5"/>
  <c r="C8" i="5"/>
  <c r="B8" i="5"/>
  <c r="A8" i="5"/>
  <c r="C7" i="5"/>
  <c r="B7" i="5"/>
  <c r="A7" i="5"/>
  <c r="C6" i="5"/>
  <c r="B6" i="5"/>
  <c r="A6" i="5"/>
  <c r="C5" i="5"/>
  <c r="B5" i="5"/>
  <c r="A5" i="5"/>
  <c r="C4" i="5"/>
  <c r="B4" i="5"/>
  <c r="A4" i="5"/>
  <c r="C3" i="5"/>
  <c r="B3" i="5"/>
  <c r="A3" i="5"/>
  <c r="C2" i="5"/>
  <c r="B2" i="5"/>
  <c r="A2" i="5"/>
  <c r="F499" i="4"/>
  <c r="C499" i="4"/>
  <c r="B499" i="4"/>
  <c r="A499" i="4"/>
  <c r="F498" i="4"/>
  <c r="C498" i="4"/>
  <c r="B498" i="4"/>
  <c r="A498" i="4"/>
  <c r="C497" i="4"/>
  <c r="B497" i="4"/>
  <c r="A497" i="4"/>
  <c r="F497" i="4" s="1"/>
  <c r="F496" i="4"/>
  <c r="C496" i="4"/>
  <c r="B496" i="4"/>
  <c r="A496" i="4"/>
  <c r="F495" i="4"/>
  <c r="C495" i="4"/>
  <c r="B495" i="4"/>
  <c r="A495" i="4"/>
  <c r="C494" i="4"/>
  <c r="B494" i="4"/>
  <c r="A494" i="4"/>
  <c r="F494" i="4" s="1"/>
  <c r="F493" i="4"/>
  <c r="C493" i="4"/>
  <c r="B493" i="4"/>
  <c r="A493" i="4"/>
  <c r="F492" i="4"/>
  <c r="C492" i="4"/>
  <c r="B492" i="4"/>
  <c r="A492" i="4"/>
  <c r="C491" i="4"/>
  <c r="B491" i="4"/>
  <c r="A491" i="4"/>
  <c r="F491" i="4" s="1"/>
  <c r="F490" i="4"/>
  <c r="C490" i="4"/>
  <c r="B490" i="4"/>
  <c r="A490" i="4"/>
  <c r="F489" i="4"/>
  <c r="C489" i="4"/>
  <c r="B489" i="4"/>
  <c r="A489" i="4"/>
  <c r="C488" i="4"/>
  <c r="B488" i="4"/>
  <c r="A488" i="4"/>
  <c r="F488" i="4" s="1"/>
  <c r="F487" i="4"/>
  <c r="C487" i="4"/>
  <c r="B487" i="4"/>
  <c r="A487" i="4"/>
  <c r="F486" i="4"/>
  <c r="C486" i="4"/>
  <c r="B486" i="4"/>
  <c r="A486" i="4"/>
  <c r="C485" i="4"/>
  <c r="B485" i="4"/>
  <c r="A485" i="4"/>
  <c r="F485" i="4" s="1"/>
  <c r="F484" i="4"/>
  <c r="C484" i="4"/>
  <c r="B484" i="4"/>
  <c r="A484" i="4"/>
  <c r="F483" i="4"/>
  <c r="C483" i="4"/>
  <c r="B483" i="4"/>
  <c r="A483" i="4"/>
  <c r="C482" i="4"/>
  <c r="B482" i="4"/>
  <c r="A482" i="4"/>
  <c r="F482" i="4" s="1"/>
  <c r="F481" i="4"/>
  <c r="C481" i="4"/>
  <c r="B481" i="4"/>
  <c r="A481" i="4"/>
  <c r="F480" i="4"/>
  <c r="C480" i="4"/>
  <c r="B480" i="4"/>
  <c r="A480" i="4"/>
  <c r="C479" i="4"/>
  <c r="B479" i="4"/>
  <c r="A479" i="4"/>
  <c r="F479" i="4" s="1"/>
  <c r="F478" i="4"/>
  <c r="C478" i="4"/>
  <c r="B478" i="4"/>
  <c r="A478" i="4"/>
  <c r="F477" i="4"/>
  <c r="C477" i="4"/>
  <c r="B477" i="4"/>
  <c r="A477" i="4"/>
  <c r="C476" i="4"/>
  <c r="B476" i="4"/>
  <c r="A476" i="4"/>
  <c r="F476" i="4" s="1"/>
  <c r="F475" i="4"/>
  <c r="C475" i="4"/>
  <c r="B475" i="4"/>
  <c r="A475" i="4"/>
  <c r="F474" i="4"/>
  <c r="C474" i="4"/>
  <c r="B474" i="4"/>
  <c r="A474" i="4"/>
  <c r="C473" i="4"/>
  <c r="B473" i="4"/>
  <c r="A473" i="4"/>
  <c r="F473" i="4" s="1"/>
  <c r="F472" i="4"/>
  <c r="C472" i="4"/>
  <c r="B472" i="4"/>
  <c r="A472" i="4"/>
  <c r="F471" i="4"/>
  <c r="C471" i="4"/>
  <c r="B471" i="4"/>
  <c r="A471" i="4"/>
  <c r="C470" i="4"/>
  <c r="B470" i="4"/>
  <c r="A470" i="4"/>
  <c r="F470" i="4" s="1"/>
  <c r="F469" i="4"/>
  <c r="C469" i="4"/>
  <c r="B469" i="4"/>
  <c r="A469" i="4"/>
  <c r="F468" i="4"/>
  <c r="C468" i="4"/>
  <c r="B468" i="4"/>
  <c r="A468" i="4"/>
  <c r="C467" i="4"/>
  <c r="B467" i="4"/>
  <c r="A467" i="4"/>
  <c r="F467" i="4" s="1"/>
  <c r="F466" i="4"/>
  <c r="C466" i="4"/>
  <c r="B466" i="4"/>
  <c r="A466" i="4"/>
  <c r="F465" i="4"/>
  <c r="C465" i="4"/>
  <c r="B465" i="4"/>
  <c r="A465" i="4"/>
  <c r="C464" i="4"/>
  <c r="B464" i="4"/>
  <c r="A464" i="4"/>
  <c r="F464" i="4" s="1"/>
  <c r="F463" i="4"/>
  <c r="C463" i="4"/>
  <c r="B463" i="4"/>
  <c r="A463" i="4"/>
  <c r="F462" i="4"/>
  <c r="C462" i="4"/>
  <c r="B462" i="4"/>
  <c r="A462" i="4"/>
  <c r="C461" i="4"/>
  <c r="B461" i="4"/>
  <c r="A461" i="4"/>
  <c r="F461" i="4" s="1"/>
  <c r="F460" i="4"/>
  <c r="C460" i="4"/>
  <c r="B460" i="4"/>
  <c r="A460" i="4"/>
  <c r="F459" i="4"/>
  <c r="C459" i="4"/>
  <c r="B459" i="4"/>
  <c r="A459" i="4"/>
  <c r="C458" i="4"/>
  <c r="B458" i="4"/>
  <c r="A458" i="4"/>
  <c r="F458" i="4" s="1"/>
  <c r="F457" i="4"/>
  <c r="C457" i="4"/>
  <c r="B457" i="4"/>
  <c r="A457" i="4"/>
  <c r="F456" i="4"/>
  <c r="C456" i="4"/>
  <c r="B456" i="4"/>
  <c r="A456" i="4"/>
  <c r="C455" i="4"/>
  <c r="B455" i="4"/>
  <c r="A455" i="4"/>
  <c r="F455" i="4" s="1"/>
  <c r="F454" i="4"/>
  <c r="C454" i="4"/>
  <c r="B454" i="4"/>
  <c r="A454" i="4"/>
  <c r="F453" i="4"/>
  <c r="C453" i="4"/>
  <c r="B453" i="4"/>
  <c r="A453" i="4"/>
  <c r="C452" i="4"/>
  <c r="B452" i="4"/>
  <c r="A452" i="4"/>
  <c r="F452" i="4" s="1"/>
  <c r="F451" i="4"/>
  <c r="C451" i="4"/>
  <c r="B451" i="4"/>
  <c r="A451" i="4"/>
  <c r="F450" i="4"/>
  <c r="C450" i="4"/>
  <c r="B450" i="4"/>
  <c r="A450" i="4"/>
  <c r="C449" i="4"/>
  <c r="B449" i="4"/>
  <c r="A449" i="4"/>
  <c r="F449" i="4" s="1"/>
  <c r="F448" i="4"/>
  <c r="C448" i="4"/>
  <c r="B448" i="4"/>
  <c r="A448" i="4"/>
  <c r="F447" i="4"/>
  <c r="C447" i="4"/>
  <c r="B447" i="4"/>
  <c r="A447" i="4"/>
  <c r="C446" i="4"/>
  <c r="B446" i="4"/>
  <c r="A446" i="4"/>
  <c r="F446" i="4" s="1"/>
  <c r="F445" i="4"/>
  <c r="C445" i="4"/>
  <c r="B445" i="4"/>
  <c r="A445" i="4"/>
  <c r="F444" i="4"/>
  <c r="C444" i="4"/>
  <c r="B444" i="4"/>
  <c r="A444" i="4"/>
  <c r="C443" i="4"/>
  <c r="B443" i="4"/>
  <c r="A443" i="4"/>
  <c r="F443" i="4" s="1"/>
  <c r="F442" i="4"/>
  <c r="C442" i="4"/>
  <c r="B442" i="4"/>
  <c r="A442" i="4"/>
  <c r="F441" i="4"/>
  <c r="C441" i="4"/>
  <c r="B441" i="4"/>
  <c r="A441" i="4"/>
  <c r="C440" i="4"/>
  <c r="B440" i="4"/>
  <c r="A440" i="4"/>
  <c r="F440" i="4" s="1"/>
  <c r="F439" i="4"/>
  <c r="C439" i="4"/>
  <c r="B439" i="4"/>
  <c r="A439" i="4"/>
  <c r="F438" i="4"/>
  <c r="C438" i="4"/>
  <c r="B438" i="4"/>
  <c r="A438" i="4"/>
  <c r="C437" i="4"/>
  <c r="B437" i="4"/>
  <c r="A437" i="4"/>
  <c r="F437" i="4" s="1"/>
  <c r="F436" i="4"/>
  <c r="C436" i="4"/>
  <c r="B436" i="4"/>
  <c r="A436" i="4"/>
  <c r="F435" i="4"/>
  <c r="C435" i="4"/>
  <c r="B435" i="4"/>
  <c r="A435" i="4"/>
  <c r="C434" i="4"/>
  <c r="B434" i="4"/>
  <c r="A434" i="4"/>
  <c r="F434" i="4" s="1"/>
  <c r="F433" i="4"/>
  <c r="C433" i="4"/>
  <c r="B433" i="4"/>
  <c r="A433" i="4"/>
  <c r="F432" i="4"/>
  <c r="C432" i="4"/>
  <c r="B432" i="4"/>
  <c r="A432" i="4"/>
  <c r="C431" i="4"/>
  <c r="B431" i="4"/>
  <c r="A431" i="4"/>
  <c r="F431" i="4" s="1"/>
  <c r="F430" i="4"/>
  <c r="C430" i="4"/>
  <c r="B430" i="4"/>
  <c r="A430" i="4"/>
  <c r="F429" i="4"/>
  <c r="C429" i="4"/>
  <c r="B429" i="4"/>
  <c r="A429" i="4"/>
  <c r="C428" i="4"/>
  <c r="B428" i="4"/>
  <c r="A428" i="4"/>
  <c r="F428" i="4" s="1"/>
  <c r="F427" i="4"/>
  <c r="C427" i="4"/>
  <c r="B427" i="4"/>
  <c r="A427" i="4"/>
  <c r="F426" i="4"/>
  <c r="C426" i="4"/>
  <c r="B426" i="4"/>
  <c r="A426" i="4"/>
  <c r="C425" i="4"/>
  <c r="B425" i="4"/>
  <c r="A425" i="4"/>
  <c r="F425" i="4" s="1"/>
  <c r="F424" i="4"/>
  <c r="C424" i="4"/>
  <c r="B424" i="4"/>
  <c r="A424" i="4"/>
  <c r="F423" i="4"/>
  <c r="C423" i="4"/>
  <c r="B423" i="4"/>
  <c r="A423" i="4"/>
  <c r="C422" i="4"/>
  <c r="B422" i="4"/>
  <c r="A422" i="4"/>
  <c r="F422" i="4" s="1"/>
  <c r="F421" i="4"/>
  <c r="C421" i="4"/>
  <c r="B421" i="4"/>
  <c r="A421" i="4"/>
  <c r="F420" i="4"/>
  <c r="C420" i="4"/>
  <c r="B420" i="4"/>
  <c r="A420" i="4"/>
  <c r="C419" i="4"/>
  <c r="B419" i="4"/>
  <c r="A419" i="4"/>
  <c r="F419" i="4" s="1"/>
  <c r="F418" i="4"/>
  <c r="C418" i="4"/>
  <c r="B418" i="4"/>
  <c r="A418" i="4"/>
  <c r="F417" i="4"/>
  <c r="C417" i="4"/>
  <c r="B417" i="4"/>
  <c r="A417" i="4"/>
  <c r="C416" i="4"/>
  <c r="B416" i="4"/>
  <c r="A416" i="4"/>
  <c r="F416" i="4" s="1"/>
  <c r="F415" i="4"/>
  <c r="C415" i="4"/>
  <c r="B415" i="4"/>
  <c r="A415" i="4"/>
  <c r="F414" i="4"/>
  <c r="C414" i="4"/>
  <c r="B414" i="4"/>
  <c r="A414" i="4"/>
  <c r="C413" i="4"/>
  <c r="B413" i="4"/>
  <c r="A413" i="4"/>
  <c r="F413" i="4" s="1"/>
  <c r="F412" i="4"/>
  <c r="C412" i="4"/>
  <c r="B412" i="4"/>
  <c r="A412" i="4"/>
  <c r="F411" i="4"/>
  <c r="C411" i="4"/>
  <c r="B411" i="4"/>
  <c r="A411" i="4"/>
  <c r="C410" i="4"/>
  <c r="B410" i="4"/>
  <c r="A410" i="4"/>
  <c r="F410" i="4" s="1"/>
  <c r="F409" i="4"/>
  <c r="C409" i="4"/>
  <c r="B409" i="4"/>
  <c r="A409" i="4"/>
  <c r="F408" i="4"/>
  <c r="C408" i="4"/>
  <c r="B408" i="4"/>
  <c r="A408" i="4"/>
  <c r="C407" i="4"/>
  <c r="B407" i="4"/>
  <c r="A407" i="4"/>
  <c r="F407" i="4" s="1"/>
  <c r="F406" i="4"/>
  <c r="C406" i="4"/>
  <c r="B406" i="4"/>
  <c r="A406" i="4"/>
  <c r="F405" i="4"/>
  <c r="C405" i="4"/>
  <c r="B405" i="4"/>
  <c r="A405" i="4"/>
  <c r="C404" i="4"/>
  <c r="B404" i="4"/>
  <c r="A404" i="4"/>
  <c r="F404" i="4" s="1"/>
  <c r="F403" i="4"/>
  <c r="C403" i="4"/>
  <c r="B403" i="4"/>
  <c r="A403" i="4"/>
  <c r="F402" i="4"/>
  <c r="C402" i="4"/>
  <c r="B402" i="4"/>
  <c r="A402" i="4"/>
  <c r="C401" i="4"/>
  <c r="B401" i="4"/>
  <c r="A401" i="4"/>
  <c r="F401" i="4" s="1"/>
  <c r="F400" i="4"/>
  <c r="C400" i="4"/>
  <c r="B400" i="4"/>
  <c r="A400" i="4"/>
  <c r="F399" i="4"/>
  <c r="C399" i="4"/>
  <c r="B399" i="4"/>
  <c r="A399" i="4"/>
  <c r="C398" i="4"/>
  <c r="B398" i="4"/>
  <c r="A398" i="4"/>
  <c r="F398" i="4" s="1"/>
  <c r="F397" i="4"/>
  <c r="C397" i="4"/>
  <c r="B397" i="4"/>
  <c r="A397" i="4"/>
  <c r="F396" i="4"/>
  <c r="C396" i="4"/>
  <c r="B396" i="4"/>
  <c r="A396" i="4"/>
  <c r="C395" i="4"/>
  <c r="B395" i="4"/>
  <c r="A395" i="4"/>
  <c r="F395" i="4" s="1"/>
  <c r="F394" i="4"/>
  <c r="C394" i="4"/>
  <c r="B394" i="4"/>
  <c r="A394" i="4"/>
  <c r="F393" i="4"/>
  <c r="C393" i="4"/>
  <c r="B393" i="4"/>
  <c r="A393" i="4"/>
  <c r="C392" i="4"/>
  <c r="B392" i="4"/>
  <c r="A392" i="4"/>
  <c r="F392" i="4" s="1"/>
  <c r="F391" i="4"/>
  <c r="C391" i="4"/>
  <c r="B391" i="4"/>
  <c r="A391" i="4"/>
  <c r="F390" i="4"/>
  <c r="C390" i="4"/>
  <c r="B390" i="4"/>
  <c r="A390" i="4"/>
  <c r="C389" i="4"/>
  <c r="B389" i="4"/>
  <c r="A389" i="4"/>
  <c r="F389" i="4" s="1"/>
  <c r="F388" i="4"/>
  <c r="C388" i="4"/>
  <c r="B388" i="4"/>
  <c r="A388" i="4"/>
  <c r="F387" i="4"/>
  <c r="C387" i="4"/>
  <c r="B387" i="4"/>
  <c r="A387" i="4"/>
  <c r="C386" i="4"/>
  <c r="B386" i="4"/>
  <c r="A386" i="4"/>
  <c r="F386" i="4" s="1"/>
  <c r="F385" i="4"/>
  <c r="C385" i="4"/>
  <c r="B385" i="4"/>
  <c r="A385" i="4"/>
  <c r="F384" i="4"/>
  <c r="C384" i="4"/>
  <c r="B384" i="4"/>
  <c r="A384" i="4"/>
  <c r="C383" i="4"/>
  <c r="B383" i="4"/>
  <c r="A383" i="4"/>
  <c r="F383" i="4" s="1"/>
  <c r="F382" i="4"/>
  <c r="C382" i="4"/>
  <c r="B382" i="4"/>
  <c r="A382" i="4"/>
  <c r="F381" i="4"/>
  <c r="C381" i="4"/>
  <c r="B381" i="4"/>
  <c r="A381" i="4"/>
  <c r="C380" i="4"/>
  <c r="B380" i="4"/>
  <c r="A380" i="4"/>
  <c r="F380" i="4" s="1"/>
  <c r="F379" i="4"/>
  <c r="C379" i="4"/>
  <c r="B379" i="4"/>
  <c r="A379" i="4"/>
  <c r="F378" i="4"/>
  <c r="C378" i="4"/>
  <c r="B378" i="4"/>
  <c r="A378" i="4"/>
  <c r="C377" i="4"/>
  <c r="B377" i="4"/>
  <c r="A377" i="4"/>
  <c r="F377" i="4" s="1"/>
  <c r="F376" i="4"/>
  <c r="C376" i="4"/>
  <c r="B376" i="4"/>
  <c r="A376" i="4"/>
  <c r="F375" i="4"/>
  <c r="C375" i="4"/>
  <c r="B375" i="4"/>
  <c r="A375" i="4"/>
  <c r="C374" i="4"/>
  <c r="B374" i="4"/>
  <c r="A374" i="4"/>
  <c r="F374" i="4" s="1"/>
  <c r="F373" i="4"/>
  <c r="C373" i="4"/>
  <c r="B373" i="4"/>
  <c r="A373" i="4"/>
  <c r="F372" i="4"/>
  <c r="C372" i="4"/>
  <c r="B372" i="4"/>
  <c r="A372" i="4"/>
  <c r="C371" i="4"/>
  <c r="B371" i="4"/>
  <c r="A371" i="4"/>
  <c r="F371" i="4" s="1"/>
  <c r="F370" i="4"/>
  <c r="C370" i="4"/>
  <c r="B370" i="4"/>
  <c r="A370" i="4"/>
  <c r="F369" i="4"/>
  <c r="C369" i="4"/>
  <c r="B369" i="4"/>
  <c r="A369" i="4"/>
  <c r="C368" i="4"/>
  <c r="B368" i="4"/>
  <c r="A368" i="4"/>
  <c r="F368" i="4" s="1"/>
  <c r="F367" i="4"/>
  <c r="C367" i="4"/>
  <c r="B367" i="4"/>
  <c r="A367" i="4"/>
  <c r="F366" i="4"/>
  <c r="C366" i="4"/>
  <c r="B366" i="4"/>
  <c r="A366" i="4"/>
  <c r="C365" i="4"/>
  <c r="B365" i="4"/>
  <c r="A365" i="4"/>
  <c r="F365" i="4" s="1"/>
  <c r="F364" i="4"/>
  <c r="C364" i="4"/>
  <c r="B364" i="4"/>
  <c r="A364" i="4"/>
  <c r="F363" i="4"/>
  <c r="C363" i="4"/>
  <c r="B363" i="4"/>
  <c r="A363" i="4"/>
  <c r="C362" i="4"/>
  <c r="B362" i="4"/>
  <c r="A362" i="4"/>
  <c r="F362" i="4" s="1"/>
  <c r="F361" i="4"/>
  <c r="C361" i="4"/>
  <c r="B361" i="4"/>
  <c r="A361" i="4"/>
  <c r="F360" i="4"/>
  <c r="C360" i="4"/>
  <c r="B360" i="4"/>
  <c r="A360" i="4"/>
  <c r="C359" i="4"/>
  <c r="B359" i="4"/>
  <c r="A359" i="4"/>
  <c r="F359" i="4" s="1"/>
  <c r="F358" i="4"/>
  <c r="C358" i="4"/>
  <c r="B358" i="4"/>
  <c r="A358" i="4"/>
  <c r="F357" i="4"/>
  <c r="C357" i="4"/>
  <c r="B357" i="4"/>
  <c r="A357" i="4"/>
  <c r="C356" i="4"/>
  <c r="B356" i="4"/>
  <c r="A356" i="4"/>
  <c r="F356" i="4" s="1"/>
  <c r="F355" i="4"/>
  <c r="C355" i="4"/>
  <c r="B355" i="4"/>
  <c r="A355" i="4"/>
  <c r="F354" i="4"/>
  <c r="C354" i="4"/>
  <c r="B354" i="4"/>
  <c r="A354" i="4"/>
  <c r="C353" i="4"/>
  <c r="B353" i="4"/>
  <c r="A353" i="4"/>
  <c r="F353" i="4" s="1"/>
  <c r="F352" i="4"/>
  <c r="C352" i="4"/>
  <c r="B352" i="4"/>
  <c r="A352" i="4"/>
  <c r="F351" i="4"/>
  <c r="C351" i="4"/>
  <c r="B351" i="4"/>
  <c r="A351" i="4"/>
  <c r="C350" i="4"/>
  <c r="B350" i="4"/>
  <c r="A350" i="4"/>
  <c r="F350" i="4" s="1"/>
  <c r="F349" i="4"/>
  <c r="C349" i="4"/>
  <c r="B349" i="4"/>
  <c r="A349" i="4"/>
  <c r="F348" i="4"/>
  <c r="C348" i="4"/>
  <c r="B348" i="4"/>
  <c r="A348" i="4"/>
  <c r="C347" i="4"/>
  <c r="B347" i="4"/>
  <c r="A347" i="4"/>
  <c r="F347" i="4" s="1"/>
  <c r="F346" i="4"/>
  <c r="C346" i="4"/>
  <c r="B346" i="4"/>
  <c r="A346" i="4"/>
  <c r="F345" i="4"/>
  <c r="C345" i="4"/>
  <c r="B345" i="4"/>
  <c r="A345" i="4"/>
  <c r="C344" i="4"/>
  <c r="B344" i="4"/>
  <c r="A344" i="4"/>
  <c r="F344" i="4" s="1"/>
  <c r="F343" i="4"/>
  <c r="C343" i="4"/>
  <c r="B343" i="4"/>
  <c r="A343" i="4"/>
  <c r="F342" i="4"/>
  <c r="C342" i="4"/>
  <c r="B342" i="4"/>
  <c r="A342" i="4"/>
  <c r="C341" i="4"/>
  <c r="B341" i="4"/>
  <c r="A341" i="4"/>
  <c r="F341" i="4" s="1"/>
  <c r="F340" i="4"/>
  <c r="C340" i="4"/>
  <c r="B340" i="4"/>
  <c r="A340" i="4"/>
  <c r="F339" i="4"/>
  <c r="C339" i="4"/>
  <c r="B339" i="4"/>
  <c r="A339" i="4"/>
  <c r="C338" i="4"/>
  <c r="B338" i="4"/>
  <c r="A338" i="4"/>
  <c r="F338" i="4" s="1"/>
  <c r="F337" i="4"/>
  <c r="C337" i="4"/>
  <c r="B337" i="4"/>
  <c r="A337" i="4"/>
  <c r="F336" i="4"/>
  <c r="C336" i="4"/>
  <c r="B336" i="4"/>
  <c r="A336" i="4"/>
  <c r="C335" i="4"/>
  <c r="B335" i="4"/>
  <c r="A335" i="4"/>
  <c r="F335" i="4" s="1"/>
  <c r="F334" i="4"/>
  <c r="C334" i="4"/>
  <c r="B334" i="4"/>
  <c r="A334" i="4"/>
  <c r="F333" i="4"/>
  <c r="C333" i="4"/>
  <c r="B333" i="4"/>
  <c r="A333" i="4"/>
  <c r="C332" i="4"/>
  <c r="B332" i="4"/>
  <c r="A332" i="4"/>
  <c r="F332" i="4" s="1"/>
  <c r="F331" i="4"/>
  <c r="C331" i="4"/>
  <c r="B331" i="4"/>
  <c r="A331" i="4"/>
  <c r="F330" i="4"/>
  <c r="C330" i="4"/>
  <c r="B330" i="4"/>
  <c r="A330" i="4"/>
  <c r="C329" i="4"/>
  <c r="B329" i="4"/>
  <c r="A329" i="4"/>
  <c r="F329" i="4" s="1"/>
  <c r="F328" i="4"/>
  <c r="C328" i="4"/>
  <c r="B328" i="4"/>
  <c r="A328" i="4"/>
  <c r="F327" i="4"/>
  <c r="C327" i="4"/>
  <c r="B327" i="4"/>
  <c r="A327" i="4"/>
  <c r="C326" i="4"/>
  <c r="B326" i="4"/>
  <c r="A326" i="4"/>
  <c r="F326" i="4" s="1"/>
  <c r="F325" i="4"/>
  <c r="C325" i="4"/>
  <c r="B325" i="4"/>
  <c r="A325" i="4"/>
  <c r="F324" i="4"/>
  <c r="C324" i="4"/>
  <c r="B324" i="4"/>
  <c r="A324" i="4"/>
  <c r="C323" i="4"/>
  <c r="B323" i="4"/>
  <c r="A323" i="4"/>
  <c r="F323" i="4" s="1"/>
  <c r="F322" i="4"/>
  <c r="C322" i="4"/>
  <c r="B322" i="4"/>
  <c r="A322" i="4"/>
  <c r="F321" i="4"/>
  <c r="C321" i="4"/>
  <c r="B321" i="4"/>
  <c r="A321" i="4"/>
  <c r="C320" i="4"/>
  <c r="B320" i="4"/>
  <c r="A320" i="4"/>
  <c r="F320" i="4" s="1"/>
  <c r="F319" i="4"/>
  <c r="C319" i="4"/>
  <c r="B319" i="4"/>
  <c r="A319" i="4"/>
  <c r="F318" i="4"/>
  <c r="C318" i="4"/>
  <c r="B318" i="4"/>
  <c r="A318" i="4"/>
  <c r="C317" i="4"/>
  <c r="B317" i="4"/>
  <c r="A317" i="4"/>
  <c r="F317" i="4" s="1"/>
  <c r="F316" i="4"/>
  <c r="C316" i="4"/>
  <c r="B316" i="4"/>
  <c r="A316" i="4"/>
  <c r="F315" i="4"/>
  <c r="C315" i="4"/>
  <c r="B315" i="4"/>
  <c r="A315" i="4"/>
  <c r="C314" i="4"/>
  <c r="B314" i="4"/>
  <c r="A314" i="4"/>
  <c r="F314" i="4" s="1"/>
  <c r="F313" i="4"/>
  <c r="C313" i="4"/>
  <c r="B313" i="4"/>
  <c r="A313" i="4"/>
  <c r="F312" i="4"/>
  <c r="C312" i="4"/>
  <c r="B312" i="4"/>
  <c r="A312" i="4"/>
  <c r="C311" i="4"/>
  <c r="B311" i="4"/>
  <c r="A311" i="4"/>
  <c r="F311" i="4" s="1"/>
  <c r="F310" i="4"/>
  <c r="C310" i="4"/>
  <c r="B310" i="4"/>
  <c r="A310" i="4"/>
  <c r="F309" i="4"/>
  <c r="C309" i="4"/>
  <c r="B309" i="4"/>
  <c r="A309" i="4"/>
  <c r="C308" i="4"/>
  <c r="B308" i="4"/>
  <c r="A308" i="4"/>
  <c r="F308" i="4" s="1"/>
  <c r="F307" i="4"/>
  <c r="C307" i="4"/>
  <c r="B307" i="4"/>
  <c r="A307" i="4"/>
  <c r="F306" i="4"/>
  <c r="C306" i="4"/>
  <c r="B306" i="4"/>
  <c r="A306" i="4"/>
  <c r="C305" i="4"/>
  <c r="B305" i="4"/>
  <c r="A305" i="4"/>
  <c r="F305" i="4" s="1"/>
  <c r="F304" i="4"/>
  <c r="C304" i="4"/>
  <c r="B304" i="4"/>
  <c r="A304" i="4"/>
  <c r="F303" i="4"/>
  <c r="C303" i="4"/>
  <c r="B303" i="4"/>
  <c r="A303" i="4"/>
  <c r="C302" i="4"/>
  <c r="B302" i="4"/>
  <c r="A302" i="4"/>
  <c r="F302" i="4" s="1"/>
  <c r="F301" i="4"/>
  <c r="C301" i="4"/>
  <c r="B301" i="4"/>
  <c r="A301" i="4"/>
  <c r="F300" i="4"/>
  <c r="C300" i="4"/>
  <c r="B300" i="4"/>
  <c r="A300" i="4"/>
  <c r="C299" i="4"/>
  <c r="B299" i="4"/>
  <c r="A299" i="4"/>
  <c r="F299" i="4" s="1"/>
  <c r="F298" i="4"/>
  <c r="C298" i="4"/>
  <c r="B298" i="4"/>
  <c r="A298" i="4"/>
  <c r="F297" i="4"/>
  <c r="C297" i="4"/>
  <c r="B297" i="4"/>
  <c r="A297" i="4"/>
  <c r="C296" i="4"/>
  <c r="B296" i="4"/>
  <c r="A296" i="4"/>
  <c r="F296" i="4" s="1"/>
  <c r="F295" i="4"/>
  <c r="C295" i="4"/>
  <c r="B295" i="4"/>
  <c r="A295" i="4"/>
  <c r="F294" i="4"/>
  <c r="C294" i="4"/>
  <c r="B294" i="4"/>
  <c r="A294" i="4"/>
  <c r="C293" i="4"/>
  <c r="B293" i="4"/>
  <c r="A293" i="4"/>
  <c r="F293" i="4" s="1"/>
  <c r="F292" i="4"/>
  <c r="C292" i="4"/>
  <c r="B292" i="4"/>
  <c r="A292" i="4"/>
  <c r="F291" i="4"/>
  <c r="C291" i="4"/>
  <c r="B291" i="4"/>
  <c r="A291" i="4"/>
  <c r="C290" i="4"/>
  <c r="B290" i="4"/>
  <c r="A290" i="4"/>
  <c r="F290" i="4" s="1"/>
  <c r="F289" i="4"/>
  <c r="C289" i="4"/>
  <c r="B289" i="4"/>
  <c r="A289" i="4"/>
  <c r="F288" i="4"/>
  <c r="C288" i="4"/>
  <c r="B288" i="4"/>
  <c r="A288" i="4"/>
  <c r="C287" i="4"/>
  <c r="B287" i="4"/>
  <c r="A287" i="4"/>
  <c r="F287" i="4" s="1"/>
  <c r="F286" i="4"/>
  <c r="C286" i="4"/>
  <c r="B286" i="4"/>
  <c r="A286" i="4"/>
  <c r="F285" i="4"/>
  <c r="C285" i="4"/>
  <c r="B285" i="4"/>
  <c r="A285" i="4"/>
  <c r="C284" i="4"/>
  <c r="B284" i="4"/>
  <c r="A284" i="4"/>
  <c r="F284" i="4" s="1"/>
  <c r="F283" i="4"/>
  <c r="C283" i="4"/>
  <c r="B283" i="4"/>
  <c r="A283" i="4"/>
  <c r="F282" i="4"/>
  <c r="C282" i="4"/>
  <c r="B282" i="4"/>
  <c r="A282" i="4"/>
  <c r="C281" i="4"/>
  <c r="B281" i="4"/>
  <c r="A281" i="4"/>
  <c r="F281" i="4" s="1"/>
  <c r="F280" i="4"/>
  <c r="C280" i="4"/>
  <c r="B280" i="4"/>
  <c r="A280" i="4"/>
  <c r="F279" i="4"/>
  <c r="C279" i="4"/>
  <c r="B279" i="4"/>
  <c r="A279" i="4"/>
  <c r="C278" i="4"/>
  <c r="B278" i="4"/>
  <c r="A278" i="4"/>
  <c r="F278" i="4" s="1"/>
  <c r="F277" i="4"/>
  <c r="C277" i="4"/>
  <c r="B277" i="4"/>
  <c r="A277" i="4"/>
  <c r="F276" i="4"/>
  <c r="C276" i="4"/>
  <c r="B276" i="4"/>
  <c r="A276" i="4"/>
  <c r="C275" i="4"/>
  <c r="B275" i="4"/>
  <c r="A275" i="4"/>
  <c r="F275" i="4" s="1"/>
  <c r="F274" i="4"/>
  <c r="C274" i="4"/>
  <c r="B274" i="4"/>
  <c r="A274" i="4"/>
  <c r="F273" i="4"/>
  <c r="C273" i="4"/>
  <c r="B273" i="4"/>
  <c r="A273" i="4"/>
  <c r="C272" i="4"/>
  <c r="B272" i="4"/>
  <c r="A272" i="4"/>
  <c r="F272" i="4" s="1"/>
  <c r="F271" i="4"/>
  <c r="C271" i="4"/>
  <c r="B271" i="4"/>
  <c r="A271" i="4"/>
  <c r="F270" i="4"/>
  <c r="C270" i="4"/>
  <c r="B270" i="4"/>
  <c r="A270" i="4"/>
  <c r="C269" i="4"/>
  <c r="B269" i="4"/>
  <c r="A269" i="4"/>
  <c r="F269" i="4" s="1"/>
  <c r="F268" i="4"/>
  <c r="C268" i="4"/>
  <c r="B268" i="4"/>
  <c r="A268" i="4"/>
  <c r="F267" i="4"/>
  <c r="C267" i="4"/>
  <c r="B267" i="4"/>
  <c r="A267" i="4"/>
  <c r="C266" i="4"/>
  <c r="B266" i="4"/>
  <c r="A266" i="4"/>
  <c r="F266" i="4" s="1"/>
  <c r="F265" i="4"/>
  <c r="C265" i="4"/>
  <c r="B265" i="4"/>
  <c r="A265" i="4"/>
  <c r="F264" i="4"/>
  <c r="C264" i="4"/>
  <c r="B264" i="4"/>
  <c r="A264" i="4"/>
  <c r="C263" i="4"/>
  <c r="B263" i="4"/>
  <c r="A263" i="4"/>
  <c r="F263" i="4" s="1"/>
  <c r="F262" i="4"/>
  <c r="C262" i="4"/>
  <c r="B262" i="4"/>
  <c r="A262" i="4"/>
  <c r="F261" i="4"/>
  <c r="C261" i="4"/>
  <c r="B261" i="4"/>
  <c r="A261" i="4"/>
  <c r="C260" i="4"/>
  <c r="B260" i="4"/>
  <c r="A260" i="4"/>
  <c r="F260" i="4" s="1"/>
  <c r="F259" i="4"/>
  <c r="C259" i="4"/>
  <c r="B259" i="4"/>
  <c r="A259" i="4"/>
  <c r="F258" i="4"/>
  <c r="C258" i="4"/>
  <c r="B258" i="4"/>
  <c r="A258" i="4"/>
  <c r="C257" i="4"/>
  <c r="B257" i="4"/>
  <c r="A257" i="4"/>
  <c r="F257" i="4" s="1"/>
  <c r="F256" i="4"/>
  <c r="C256" i="4"/>
  <c r="B256" i="4"/>
  <c r="A256" i="4"/>
  <c r="F255" i="4"/>
  <c r="C255" i="4"/>
  <c r="B255" i="4"/>
  <c r="A255" i="4"/>
  <c r="C254" i="4"/>
  <c r="B254" i="4"/>
  <c r="A254" i="4"/>
  <c r="F254" i="4" s="1"/>
  <c r="F253" i="4"/>
  <c r="C253" i="4"/>
  <c r="B253" i="4"/>
  <c r="A253" i="4"/>
  <c r="F252" i="4"/>
  <c r="C252" i="4"/>
  <c r="B252" i="4"/>
  <c r="A252" i="4"/>
  <c r="C251" i="4"/>
  <c r="B251" i="4"/>
  <c r="A251" i="4"/>
  <c r="F251" i="4" s="1"/>
  <c r="F250" i="4"/>
  <c r="C250" i="4"/>
  <c r="B250" i="4"/>
  <c r="A250" i="4"/>
  <c r="F249" i="4"/>
  <c r="C249" i="4"/>
  <c r="B249" i="4"/>
  <c r="A249" i="4"/>
  <c r="C248" i="4"/>
  <c r="B248" i="4"/>
  <c r="A248" i="4"/>
  <c r="F248" i="4" s="1"/>
  <c r="F247" i="4"/>
  <c r="C247" i="4"/>
  <c r="B247" i="4"/>
  <c r="A247" i="4"/>
  <c r="F246" i="4"/>
  <c r="C246" i="4"/>
  <c r="B246" i="4"/>
  <c r="A246" i="4"/>
  <c r="C245" i="4"/>
  <c r="B245" i="4"/>
  <c r="A245" i="4"/>
  <c r="F245" i="4" s="1"/>
  <c r="F244" i="4"/>
  <c r="C244" i="4"/>
  <c r="B244" i="4"/>
  <c r="A244" i="4"/>
  <c r="F243" i="4"/>
  <c r="C243" i="4"/>
  <c r="B243" i="4"/>
  <c r="A243" i="4"/>
  <c r="C242" i="4"/>
  <c r="B242" i="4"/>
  <c r="A242" i="4"/>
  <c r="F242" i="4" s="1"/>
  <c r="F241" i="4"/>
  <c r="C241" i="4"/>
  <c r="B241" i="4"/>
  <c r="A241" i="4"/>
  <c r="F240" i="4"/>
  <c r="C240" i="4"/>
  <c r="B240" i="4"/>
  <c r="A240" i="4"/>
  <c r="C239" i="4"/>
  <c r="B239" i="4"/>
  <c r="A239" i="4"/>
  <c r="F239" i="4" s="1"/>
  <c r="F238" i="4"/>
  <c r="C238" i="4"/>
  <c r="B238" i="4"/>
  <c r="A238" i="4"/>
  <c r="F237" i="4"/>
  <c r="C237" i="4"/>
  <c r="B237" i="4"/>
  <c r="A237" i="4"/>
  <c r="C236" i="4"/>
  <c r="B236" i="4"/>
  <c r="A236" i="4"/>
  <c r="F236" i="4" s="1"/>
  <c r="F235" i="4"/>
  <c r="C235" i="4"/>
  <c r="B235" i="4"/>
  <c r="A235" i="4"/>
  <c r="F234" i="4"/>
  <c r="C234" i="4"/>
  <c r="B234" i="4"/>
  <c r="A234" i="4"/>
  <c r="C233" i="4"/>
  <c r="B233" i="4"/>
  <c r="A233" i="4"/>
  <c r="F233" i="4" s="1"/>
  <c r="F232" i="4"/>
  <c r="C232" i="4"/>
  <c r="B232" i="4"/>
  <c r="A232" i="4"/>
  <c r="F231" i="4"/>
  <c r="C231" i="4"/>
  <c r="B231" i="4"/>
  <c r="A231" i="4"/>
  <c r="C230" i="4"/>
  <c r="B230" i="4"/>
  <c r="A230" i="4"/>
  <c r="F230" i="4" s="1"/>
  <c r="F229" i="4"/>
  <c r="C229" i="4"/>
  <c r="B229" i="4"/>
  <c r="A229" i="4"/>
  <c r="F228" i="4"/>
  <c r="C228" i="4"/>
  <c r="B228" i="4"/>
  <c r="A228" i="4"/>
  <c r="C227" i="4"/>
  <c r="B227" i="4"/>
  <c r="A227" i="4"/>
  <c r="F227" i="4" s="1"/>
  <c r="F226" i="4"/>
  <c r="C226" i="4"/>
  <c r="B226" i="4"/>
  <c r="A226" i="4"/>
  <c r="F225" i="4"/>
  <c r="C225" i="4"/>
  <c r="B225" i="4"/>
  <c r="A225" i="4"/>
  <c r="C224" i="4"/>
  <c r="B224" i="4"/>
  <c r="A224" i="4"/>
  <c r="F224" i="4" s="1"/>
  <c r="F223" i="4"/>
  <c r="C223" i="4"/>
  <c r="B223" i="4"/>
  <c r="A223" i="4"/>
  <c r="F222" i="4"/>
  <c r="C222" i="4"/>
  <c r="B222" i="4"/>
  <c r="A222" i="4"/>
  <c r="C221" i="4"/>
  <c r="B221" i="4"/>
  <c r="A221" i="4"/>
  <c r="F221" i="4" s="1"/>
  <c r="F220" i="4"/>
  <c r="C220" i="4"/>
  <c r="B220" i="4"/>
  <c r="A220" i="4"/>
  <c r="F219" i="4"/>
  <c r="C219" i="4"/>
  <c r="B219" i="4"/>
  <c r="A219" i="4"/>
  <c r="C218" i="4"/>
  <c r="B218" i="4"/>
  <c r="A218" i="4"/>
  <c r="F218" i="4" s="1"/>
  <c r="F217" i="4"/>
  <c r="C217" i="4"/>
  <c r="B217" i="4"/>
  <c r="A217" i="4"/>
  <c r="F216" i="4"/>
  <c r="C216" i="4"/>
  <c r="B216" i="4"/>
  <c r="A216" i="4"/>
  <c r="C215" i="4"/>
  <c r="B215" i="4"/>
  <c r="A215" i="4"/>
  <c r="F215" i="4" s="1"/>
  <c r="F214" i="4"/>
  <c r="C214" i="4"/>
  <c r="B214" i="4"/>
  <c r="A214" i="4"/>
  <c r="F213" i="4"/>
  <c r="C213" i="4"/>
  <c r="B213" i="4"/>
  <c r="A213" i="4"/>
  <c r="C212" i="4"/>
  <c r="B212" i="4"/>
  <c r="A212" i="4"/>
  <c r="F212" i="4" s="1"/>
  <c r="F211" i="4"/>
  <c r="C211" i="4"/>
  <c r="B211" i="4"/>
  <c r="A211" i="4"/>
  <c r="F210" i="4"/>
  <c r="C210" i="4"/>
  <c r="B210" i="4"/>
  <c r="A210" i="4"/>
  <c r="C209" i="4"/>
  <c r="B209" i="4"/>
  <c r="A209" i="4"/>
  <c r="F209" i="4" s="1"/>
  <c r="F208" i="4"/>
  <c r="C208" i="4"/>
  <c r="B208" i="4"/>
  <c r="A208" i="4"/>
  <c r="F207" i="4"/>
  <c r="C207" i="4"/>
  <c r="B207" i="4"/>
  <c r="A207" i="4"/>
  <c r="C206" i="4"/>
  <c r="B206" i="4"/>
  <c r="A206" i="4"/>
  <c r="F206" i="4" s="1"/>
  <c r="F205" i="4"/>
  <c r="C205" i="4"/>
  <c r="B205" i="4"/>
  <c r="A205" i="4"/>
  <c r="F204" i="4"/>
  <c r="C204" i="4"/>
  <c r="B204" i="4"/>
  <c r="A204" i="4"/>
  <c r="C203" i="4"/>
  <c r="B203" i="4"/>
  <c r="A203" i="4"/>
  <c r="F203" i="4" s="1"/>
  <c r="F202" i="4"/>
  <c r="C202" i="4"/>
  <c r="B202" i="4"/>
  <c r="A202" i="4"/>
  <c r="F201" i="4"/>
  <c r="C201" i="4"/>
  <c r="B201" i="4"/>
  <c r="A201" i="4"/>
  <c r="C200" i="4"/>
  <c r="B200" i="4"/>
  <c r="A200" i="4"/>
  <c r="F200" i="4" s="1"/>
  <c r="F199" i="4"/>
  <c r="C199" i="4"/>
  <c r="B199" i="4"/>
  <c r="A199" i="4"/>
  <c r="F198" i="4"/>
  <c r="C198" i="4"/>
  <c r="B198" i="4"/>
  <c r="A198" i="4"/>
  <c r="C197" i="4"/>
  <c r="B197" i="4"/>
  <c r="A197" i="4"/>
  <c r="F197" i="4" s="1"/>
  <c r="F196" i="4"/>
  <c r="C196" i="4"/>
  <c r="B196" i="4"/>
  <c r="A196" i="4"/>
  <c r="F195" i="4"/>
  <c r="C195" i="4"/>
  <c r="B195" i="4"/>
  <c r="A195" i="4"/>
  <c r="C194" i="4"/>
  <c r="B194" i="4"/>
  <c r="A194" i="4"/>
  <c r="F194" i="4" s="1"/>
  <c r="F193" i="4"/>
  <c r="C193" i="4"/>
  <c r="B193" i="4"/>
  <c r="A193" i="4"/>
  <c r="F192" i="4"/>
  <c r="C192" i="4"/>
  <c r="B192" i="4"/>
  <c r="A192" i="4"/>
  <c r="C191" i="4"/>
  <c r="B191" i="4"/>
  <c r="A191" i="4"/>
  <c r="F191" i="4" s="1"/>
  <c r="F190" i="4"/>
  <c r="C190" i="4"/>
  <c r="B190" i="4"/>
  <c r="A190" i="4"/>
  <c r="F189" i="4"/>
  <c r="C189" i="4"/>
  <c r="B189" i="4"/>
  <c r="A189" i="4"/>
  <c r="C188" i="4"/>
  <c r="B188" i="4"/>
  <c r="A188" i="4"/>
  <c r="F188" i="4" s="1"/>
  <c r="F187" i="4"/>
  <c r="C187" i="4"/>
  <c r="B187" i="4"/>
  <c r="A187" i="4"/>
  <c r="F186" i="4"/>
  <c r="C186" i="4"/>
  <c r="B186" i="4"/>
  <c r="A186" i="4"/>
  <c r="C185" i="4"/>
  <c r="B185" i="4"/>
  <c r="A185" i="4"/>
  <c r="F185" i="4" s="1"/>
  <c r="F184" i="4"/>
  <c r="C184" i="4"/>
  <c r="B184" i="4"/>
  <c r="A184" i="4"/>
  <c r="F183" i="4"/>
  <c r="C183" i="4"/>
  <c r="B183" i="4"/>
  <c r="A183" i="4"/>
  <c r="C182" i="4"/>
  <c r="B182" i="4"/>
  <c r="A182" i="4"/>
  <c r="F182" i="4" s="1"/>
  <c r="F181" i="4"/>
  <c r="C181" i="4"/>
  <c r="B181" i="4"/>
  <c r="A181" i="4"/>
  <c r="F180" i="4"/>
  <c r="C180" i="4"/>
  <c r="B180" i="4"/>
  <c r="A180" i="4"/>
  <c r="C179" i="4"/>
  <c r="B179" i="4"/>
  <c r="A179" i="4"/>
  <c r="F179" i="4" s="1"/>
  <c r="F178" i="4"/>
  <c r="C178" i="4"/>
  <c r="B178" i="4"/>
  <c r="A178" i="4"/>
  <c r="F177" i="4"/>
  <c r="C177" i="4"/>
  <c r="B177" i="4"/>
  <c r="A177" i="4"/>
  <c r="C176" i="4"/>
  <c r="B176" i="4"/>
  <c r="A176" i="4"/>
  <c r="F176" i="4" s="1"/>
  <c r="F175" i="4"/>
  <c r="C175" i="4"/>
  <c r="B175" i="4"/>
  <c r="A175" i="4"/>
  <c r="F174" i="4"/>
  <c r="C174" i="4"/>
  <c r="B174" i="4"/>
  <c r="A174" i="4"/>
  <c r="C173" i="4"/>
  <c r="B173" i="4"/>
  <c r="A173" i="4"/>
  <c r="F173" i="4" s="1"/>
  <c r="F172" i="4"/>
  <c r="C172" i="4"/>
  <c r="B172" i="4"/>
  <c r="A172" i="4"/>
  <c r="F171" i="4"/>
  <c r="C171" i="4"/>
  <c r="B171" i="4"/>
  <c r="A171" i="4"/>
  <c r="C170" i="4"/>
  <c r="B170" i="4"/>
  <c r="A170" i="4"/>
  <c r="F170" i="4" s="1"/>
  <c r="C169" i="4"/>
  <c r="B169" i="4"/>
  <c r="A169" i="4"/>
  <c r="F169" i="4" s="1"/>
  <c r="F168" i="4"/>
  <c r="C168" i="4"/>
  <c r="B168" i="4"/>
  <c r="A168" i="4"/>
  <c r="C167" i="4"/>
  <c r="B167" i="4"/>
  <c r="A167" i="4"/>
  <c r="F167" i="4" s="1"/>
  <c r="F166" i="4"/>
  <c r="C166" i="4"/>
  <c r="B166" i="4"/>
  <c r="A166" i="4"/>
  <c r="F165" i="4"/>
  <c r="C165" i="4"/>
  <c r="B165" i="4"/>
  <c r="A165" i="4"/>
  <c r="C164" i="4"/>
  <c r="B164" i="4"/>
  <c r="A164" i="4"/>
  <c r="F164" i="4" s="1"/>
  <c r="F163" i="4"/>
  <c r="C163" i="4"/>
  <c r="B163" i="4"/>
  <c r="A163" i="4"/>
  <c r="F162" i="4"/>
  <c r="C162" i="4"/>
  <c r="B162" i="4"/>
  <c r="A162" i="4"/>
  <c r="C161" i="4"/>
  <c r="B161" i="4"/>
  <c r="A161" i="4"/>
  <c r="F161" i="4" s="1"/>
  <c r="F160" i="4"/>
  <c r="C160" i="4"/>
  <c r="B160" i="4"/>
  <c r="A160" i="4"/>
  <c r="F159" i="4"/>
  <c r="C159" i="4"/>
  <c r="B159" i="4"/>
  <c r="A159" i="4"/>
  <c r="C158" i="4"/>
  <c r="B158" i="4"/>
  <c r="A158" i="4"/>
  <c r="F158" i="4" s="1"/>
  <c r="F157" i="4"/>
  <c r="C157" i="4"/>
  <c r="B157" i="4"/>
  <c r="A157" i="4"/>
  <c r="F156" i="4"/>
  <c r="C156" i="4"/>
  <c r="B156" i="4"/>
  <c r="A156" i="4"/>
  <c r="C155" i="4"/>
  <c r="B155" i="4"/>
  <c r="A155" i="4"/>
  <c r="C154" i="4"/>
  <c r="B154" i="4"/>
  <c r="A154" i="4"/>
  <c r="C153" i="4"/>
  <c r="B153" i="4"/>
  <c r="A153" i="4"/>
  <c r="C152" i="4"/>
  <c r="B152" i="4"/>
  <c r="A152" i="4"/>
  <c r="C151" i="4"/>
  <c r="B151" i="4"/>
  <c r="A151" i="4"/>
  <c r="C150" i="4"/>
  <c r="B150" i="4"/>
  <c r="A150" i="4"/>
  <c r="C149" i="4"/>
  <c r="B149" i="4"/>
  <c r="A149" i="4"/>
  <c r="C148" i="4"/>
  <c r="B148" i="4"/>
  <c r="A148" i="4"/>
  <c r="C147" i="4"/>
  <c r="B147" i="4"/>
  <c r="A147" i="4"/>
  <c r="C146" i="4"/>
  <c r="B146" i="4"/>
  <c r="A146" i="4"/>
  <c r="C145" i="4"/>
  <c r="B145" i="4"/>
  <c r="A145" i="4"/>
  <c r="C144" i="4"/>
  <c r="B144" i="4"/>
  <c r="A144" i="4"/>
  <c r="C143" i="4"/>
  <c r="B143" i="4"/>
  <c r="A143" i="4"/>
  <c r="C142" i="4"/>
  <c r="B142" i="4"/>
  <c r="A142" i="4"/>
  <c r="C141" i="4"/>
  <c r="B141" i="4"/>
  <c r="A141" i="4"/>
  <c r="C140" i="4"/>
  <c r="B140" i="4"/>
  <c r="A140" i="4"/>
  <c r="C139" i="4"/>
  <c r="B139" i="4"/>
  <c r="A139" i="4"/>
  <c r="C138" i="4"/>
  <c r="B138" i="4"/>
  <c r="A138" i="4"/>
  <c r="C137" i="4"/>
  <c r="B137" i="4"/>
  <c r="A137" i="4"/>
  <c r="C136" i="4"/>
  <c r="B136" i="4"/>
  <c r="A136" i="4"/>
  <c r="C135" i="4"/>
  <c r="B135" i="4"/>
  <c r="A135" i="4"/>
  <c r="C134" i="4"/>
  <c r="B134" i="4"/>
  <c r="A134" i="4"/>
  <c r="C133" i="4"/>
  <c r="B133" i="4"/>
  <c r="A133" i="4"/>
  <c r="C132" i="4"/>
  <c r="B132" i="4"/>
  <c r="A132" i="4"/>
  <c r="C131" i="4"/>
  <c r="B131" i="4"/>
  <c r="A131" i="4"/>
  <c r="C130" i="4"/>
  <c r="B130" i="4"/>
  <c r="A130" i="4"/>
  <c r="C129" i="4"/>
  <c r="B129" i="4"/>
  <c r="A129" i="4"/>
  <c r="C128" i="4"/>
  <c r="B128" i="4"/>
  <c r="A128" i="4"/>
  <c r="C127" i="4"/>
  <c r="B127" i="4"/>
  <c r="A127" i="4"/>
  <c r="C126" i="4"/>
  <c r="B126" i="4"/>
  <c r="A126" i="4"/>
  <c r="C125" i="4"/>
  <c r="B125" i="4"/>
  <c r="A125" i="4"/>
  <c r="C124" i="4"/>
  <c r="B124" i="4"/>
  <c r="A124" i="4"/>
  <c r="C123" i="4"/>
  <c r="B123" i="4"/>
  <c r="A123" i="4"/>
  <c r="C122" i="4"/>
  <c r="B122" i="4"/>
  <c r="A122" i="4"/>
  <c r="C121" i="4"/>
  <c r="B121" i="4"/>
  <c r="A121" i="4"/>
  <c r="C120" i="4"/>
  <c r="B120" i="4"/>
  <c r="A120" i="4"/>
  <c r="C119" i="4"/>
  <c r="B119" i="4"/>
  <c r="A119" i="4"/>
  <c r="C118" i="4"/>
  <c r="B118" i="4"/>
  <c r="A118" i="4"/>
  <c r="C117" i="4"/>
  <c r="B117" i="4"/>
  <c r="A117" i="4"/>
  <c r="C116" i="4"/>
  <c r="B116" i="4"/>
  <c r="A116" i="4"/>
  <c r="C115" i="4"/>
  <c r="B115" i="4"/>
  <c r="A115" i="4"/>
  <c r="C114" i="4"/>
  <c r="B114" i="4"/>
  <c r="A114" i="4"/>
  <c r="C113" i="4"/>
  <c r="B113" i="4"/>
  <c r="A113" i="4"/>
  <c r="C112" i="4"/>
  <c r="B112" i="4"/>
  <c r="A112" i="4"/>
  <c r="C111" i="4"/>
  <c r="B111" i="4"/>
  <c r="A111" i="4"/>
  <c r="C110" i="4"/>
  <c r="B110" i="4"/>
  <c r="A110" i="4"/>
  <c r="C109" i="4"/>
  <c r="B109" i="4"/>
  <c r="A109" i="4"/>
  <c r="C108" i="4"/>
  <c r="B108" i="4"/>
  <c r="A108" i="4"/>
  <c r="C107" i="4"/>
  <c r="B107" i="4"/>
  <c r="A107" i="4"/>
  <c r="C106" i="4"/>
  <c r="B106" i="4"/>
  <c r="A106" i="4"/>
  <c r="C105" i="4"/>
  <c r="B105" i="4"/>
  <c r="A105" i="4"/>
  <c r="C104" i="4"/>
  <c r="B104" i="4"/>
  <c r="A104" i="4"/>
  <c r="C103" i="4"/>
  <c r="B103" i="4"/>
  <c r="A103" i="4"/>
  <c r="C102" i="4"/>
  <c r="B102" i="4"/>
  <c r="A102" i="4"/>
  <c r="C101" i="4"/>
  <c r="B101" i="4"/>
  <c r="A101" i="4"/>
  <c r="C100" i="4"/>
  <c r="B100" i="4"/>
  <c r="A100" i="4"/>
  <c r="C99" i="4"/>
  <c r="B99" i="4"/>
  <c r="A99" i="4"/>
  <c r="C98" i="4"/>
  <c r="B98" i="4"/>
  <c r="A98" i="4"/>
  <c r="C97" i="4"/>
  <c r="B97" i="4"/>
  <c r="A97" i="4"/>
  <c r="C96" i="4"/>
  <c r="B96" i="4"/>
  <c r="A96" i="4"/>
  <c r="C95" i="4"/>
  <c r="B95" i="4"/>
  <c r="A95" i="4"/>
  <c r="C94" i="4"/>
  <c r="B94" i="4"/>
  <c r="A94" i="4"/>
  <c r="C93" i="4"/>
  <c r="B93" i="4"/>
  <c r="A93" i="4"/>
  <c r="C92" i="4"/>
  <c r="B92" i="4"/>
  <c r="A92" i="4"/>
  <c r="C91" i="4"/>
  <c r="B91" i="4"/>
  <c r="A91" i="4"/>
  <c r="C90" i="4"/>
  <c r="B90" i="4"/>
  <c r="A90" i="4"/>
  <c r="C89" i="4"/>
  <c r="B89" i="4"/>
  <c r="A89" i="4"/>
  <c r="C88" i="4"/>
  <c r="B88" i="4"/>
  <c r="A88" i="4"/>
  <c r="C87" i="4"/>
  <c r="B87" i="4"/>
  <c r="A87" i="4"/>
  <c r="C86" i="4"/>
  <c r="B86" i="4"/>
  <c r="A86" i="4"/>
  <c r="C85" i="4"/>
  <c r="B85" i="4"/>
  <c r="A85" i="4"/>
  <c r="C84" i="4"/>
  <c r="B84" i="4"/>
  <c r="A84" i="4"/>
  <c r="C83" i="4"/>
  <c r="B83" i="4"/>
  <c r="A83" i="4"/>
  <c r="C82" i="4"/>
  <c r="B82" i="4"/>
  <c r="A82" i="4"/>
  <c r="C81" i="4"/>
  <c r="B81" i="4"/>
  <c r="A81" i="4"/>
  <c r="C80" i="4"/>
  <c r="B80" i="4"/>
  <c r="A80" i="4"/>
  <c r="C79" i="4"/>
  <c r="B79" i="4"/>
  <c r="A79" i="4"/>
  <c r="C78" i="4"/>
  <c r="B78" i="4"/>
  <c r="A78" i="4"/>
  <c r="C77" i="4"/>
  <c r="B77" i="4"/>
  <c r="A77" i="4"/>
  <c r="C76" i="4"/>
  <c r="B76" i="4"/>
  <c r="A76" i="4"/>
  <c r="C75" i="4"/>
  <c r="B75" i="4"/>
  <c r="A75" i="4"/>
  <c r="C74" i="4"/>
  <c r="B74" i="4"/>
  <c r="A74" i="4"/>
  <c r="C73" i="4"/>
  <c r="B73" i="4"/>
  <c r="A73" i="4"/>
  <c r="C72" i="4"/>
  <c r="B72" i="4"/>
  <c r="A72" i="4"/>
  <c r="C71" i="4"/>
  <c r="B71" i="4"/>
  <c r="A71" i="4"/>
  <c r="C70" i="4"/>
  <c r="B70" i="4"/>
  <c r="A70" i="4"/>
  <c r="C69" i="4"/>
  <c r="B69" i="4"/>
  <c r="A69" i="4"/>
  <c r="C68" i="4"/>
  <c r="B68" i="4"/>
  <c r="A68" i="4"/>
  <c r="C67" i="4"/>
  <c r="B67" i="4"/>
  <c r="A67" i="4"/>
  <c r="C66" i="4"/>
  <c r="B66" i="4"/>
  <c r="A66" i="4"/>
  <c r="C65" i="4"/>
  <c r="B65" i="4"/>
  <c r="A65" i="4"/>
  <c r="C64" i="4"/>
  <c r="B64" i="4"/>
  <c r="A64" i="4"/>
  <c r="C63" i="4"/>
  <c r="B63" i="4"/>
  <c r="A63" i="4"/>
  <c r="C62" i="4"/>
  <c r="B62" i="4"/>
  <c r="A62" i="4"/>
  <c r="C61" i="4"/>
  <c r="B61" i="4"/>
  <c r="A61" i="4"/>
  <c r="C60" i="4"/>
  <c r="B60" i="4"/>
  <c r="A60" i="4"/>
  <c r="C59" i="4"/>
  <c r="B59" i="4"/>
  <c r="A59" i="4"/>
  <c r="C58" i="4"/>
  <c r="B58" i="4"/>
  <c r="A58" i="4"/>
  <c r="C57" i="4"/>
  <c r="B57" i="4"/>
  <c r="A57" i="4"/>
  <c r="C56" i="4"/>
  <c r="B56" i="4"/>
  <c r="A56" i="4"/>
  <c r="C55" i="4"/>
  <c r="B55" i="4"/>
  <c r="A55" i="4"/>
  <c r="C54" i="4"/>
  <c r="B54" i="4"/>
  <c r="A54" i="4"/>
  <c r="C53" i="4"/>
  <c r="B53" i="4"/>
  <c r="A53" i="4"/>
  <c r="C52" i="4"/>
  <c r="B52" i="4"/>
  <c r="A52" i="4"/>
  <c r="C51" i="4"/>
  <c r="B51" i="4"/>
  <c r="A51" i="4"/>
  <c r="C50" i="4"/>
  <c r="B50" i="4"/>
  <c r="A50" i="4"/>
  <c r="C49" i="4"/>
  <c r="B49" i="4"/>
  <c r="A49" i="4"/>
  <c r="C48" i="4"/>
  <c r="B48" i="4"/>
  <c r="A48" i="4"/>
  <c r="C47" i="4"/>
  <c r="B47" i="4"/>
  <c r="A47" i="4"/>
  <c r="C46" i="4"/>
  <c r="B46" i="4"/>
  <c r="A46" i="4"/>
  <c r="C45" i="4"/>
  <c r="B45" i="4"/>
  <c r="A45" i="4"/>
  <c r="C44" i="4"/>
  <c r="B44" i="4"/>
  <c r="A44" i="4"/>
  <c r="C43" i="4"/>
  <c r="B43" i="4"/>
  <c r="A43" i="4"/>
  <c r="C42" i="4"/>
  <c r="B42" i="4"/>
  <c r="A42" i="4"/>
  <c r="C41" i="4"/>
  <c r="B41" i="4"/>
  <c r="A41" i="4"/>
  <c r="C40" i="4"/>
  <c r="B40" i="4"/>
  <c r="A40" i="4"/>
  <c r="C39" i="4"/>
  <c r="B39" i="4"/>
  <c r="A39" i="4"/>
  <c r="C38" i="4"/>
  <c r="B38" i="4"/>
  <c r="A38" i="4"/>
  <c r="C37" i="4"/>
  <c r="B37" i="4"/>
  <c r="A37" i="4"/>
  <c r="C36" i="4"/>
  <c r="B36" i="4"/>
  <c r="A36" i="4"/>
  <c r="C35" i="4"/>
  <c r="B35" i="4"/>
  <c r="A35" i="4"/>
  <c r="F35" i="4" s="1"/>
  <c r="C34" i="4"/>
  <c r="B34" i="4"/>
  <c r="A34" i="4"/>
  <c r="C33" i="4"/>
  <c r="B33" i="4"/>
  <c r="A33" i="4"/>
  <c r="C32" i="4"/>
  <c r="B32" i="4"/>
  <c r="A32" i="4"/>
  <c r="C31" i="4"/>
  <c r="B31" i="4"/>
  <c r="A31" i="4"/>
  <c r="C30" i="4"/>
  <c r="B30" i="4"/>
  <c r="A30" i="4"/>
  <c r="C29" i="4"/>
  <c r="B29" i="4"/>
  <c r="A29" i="4"/>
  <c r="C28" i="4"/>
  <c r="B28" i="4"/>
  <c r="A28" i="4"/>
  <c r="C27" i="4"/>
  <c r="B27" i="4"/>
  <c r="A27" i="4"/>
  <c r="F27" i="4" s="1"/>
  <c r="C26" i="4"/>
  <c r="B26" i="4"/>
  <c r="A26" i="4"/>
  <c r="C25" i="4"/>
  <c r="B25" i="4"/>
  <c r="A25" i="4"/>
  <c r="C24" i="4"/>
  <c r="B24" i="4"/>
  <c r="A24" i="4"/>
  <c r="C23" i="4"/>
  <c r="B23" i="4"/>
  <c r="A23" i="4"/>
  <c r="C22" i="4"/>
  <c r="B22" i="4"/>
  <c r="A22" i="4"/>
  <c r="C21" i="4"/>
  <c r="B21" i="4"/>
  <c r="A21" i="4"/>
  <c r="C20" i="4"/>
  <c r="B20" i="4"/>
  <c r="A20" i="4"/>
  <c r="C19" i="4"/>
  <c r="B19" i="4"/>
  <c r="A19" i="4"/>
  <c r="C18" i="4"/>
  <c r="B18" i="4"/>
  <c r="A18" i="4"/>
  <c r="C17" i="4"/>
  <c r="B17" i="4"/>
  <c r="A17" i="4"/>
  <c r="C16" i="4"/>
  <c r="B16" i="4"/>
  <c r="A16" i="4"/>
  <c r="C15" i="4"/>
  <c r="B15" i="4"/>
  <c r="A15" i="4"/>
  <c r="F15" i="4" s="1"/>
  <c r="C14" i="4"/>
  <c r="B14" i="4"/>
  <c r="A14" i="4"/>
  <c r="C13" i="4"/>
  <c r="B13" i="4"/>
  <c r="A13" i="4"/>
  <c r="C12" i="4"/>
  <c r="B12" i="4"/>
  <c r="A12" i="4"/>
  <c r="C11" i="4"/>
  <c r="B11" i="4"/>
  <c r="A11" i="4"/>
  <c r="I79" i="2" s="1"/>
  <c r="C10" i="4"/>
  <c r="B10" i="4"/>
  <c r="A10" i="4"/>
  <c r="C9" i="4"/>
  <c r="B9" i="4"/>
  <c r="A9" i="4"/>
  <c r="C8" i="4"/>
  <c r="B8" i="4"/>
  <c r="A8" i="4"/>
  <c r="F7" i="4"/>
  <c r="C7" i="4"/>
  <c r="B7" i="4"/>
  <c r="A7" i="4"/>
  <c r="C6" i="4"/>
  <c r="B6" i="4"/>
  <c r="A6" i="4"/>
  <c r="C5" i="4"/>
  <c r="B5" i="4"/>
  <c r="A5" i="4"/>
  <c r="C4" i="4"/>
  <c r="B4" i="4"/>
  <c r="A4" i="4"/>
  <c r="C3" i="4"/>
  <c r="B3" i="4"/>
  <c r="A3" i="4"/>
  <c r="C2" i="4"/>
  <c r="B2" i="4"/>
  <c r="A2" i="4"/>
  <c r="L499" i="2"/>
  <c r="K499" i="2"/>
  <c r="J499" i="2"/>
  <c r="I499" i="2"/>
  <c r="H499" i="2"/>
  <c r="G499" i="2"/>
  <c r="F499" i="2"/>
  <c r="E499" i="2"/>
  <c r="D499" i="2"/>
  <c r="C499" i="2"/>
  <c r="B499" i="2"/>
  <c r="A499" i="2"/>
  <c r="L498" i="2"/>
  <c r="K498" i="2"/>
  <c r="J498" i="2"/>
  <c r="I498" i="2"/>
  <c r="H498" i="2"/>
  <c r="G498" i="2"/>
  <c r="F498" i="2"/>
  <c r="E498" i="2"/>
  <c r="D498" i="2"/>
  <c r="C498" i="2"/>
  <c r="B498" i="2"/>
  <c r="A498" i="2"/>
  <c r="L497" i="2"/>
  <c r="K497" i="2"/>
  <c r="J497" i="2"/>
  <c r="I497" i="2"/>
  <c r="H497" i="2"/>
  <c r="G497" i="2"/>
  <c r="F497" i="2"/>
  <c r="E497" i="2"/>
  <c r="D497" i="2"/>
  <c r="C497" i="2"/>
  <c r="B497" i="2"/>
  <c r="A497" i="2"/>
  <c r="L496" i="2"/>
  <c r="K496" i="2"/>
  <c r="J496" i="2"/>
  <c r="I496" i="2"/>
  <c r="H496" i="2"/>
  <c r="G496" i="2"/>
  <c r="F496" i="2"/>
  <c r="E496" i="2"/>
  <c r="D496" i="2"/>
  <c r="C496" i="2"/>
  <c r="B496" i="2"/>
  <c r="A496" i="2"/>
  <c r="L495" i="2"/>
  <c r="K495" i="2"/>
  <c r="J495" i="2"/>
  <c r="I495" i="2"/>
  <c r="H495" i="2"/>
  <c r="G495" i="2"/>
  <c r="F495" i="2"/>
  <c r="E495" i="2"/>
  <c r="D495" i="2"/>
  <c r="C495" i="2"/>
  <c r="B495" i="2"/>
  <c r="A495" i="2"/>
  <c r="L494" i="2"/>
  <c r="K494" i="2"/>
  <c r="J494" i="2"/>
  <c r="I494" i="2"/>
  <c r="H494" i="2"/>
  <c r="G494" i="2"/>
  <c r="F494" i="2"/>
  <c r="E494" i="2"/>
  <c r="D494" i="2"/>
  <c r="C494" i="2"/>
  <c r="B494" i="2"/>
  <c r="A494" i="2"/>
  <c r="L493" i="2"/>
  <c r="K493" i="2"/>
  <c r="J493" i="2"/>
  <c r="I493" i="2"/>
  <c r="H493" i="2"/>
  <c r="G493" i="2"/>
  <c r="F493" i="2"/>
  <c r="E493" i="2"/>
  <c r="D493" i="2"/>
  <c r="C493" i="2"/>
  <c r="B493" i="2"/>
  <c r="A493" i="2"/>
  <c r="L492" i="2"/>
  <c r="K492" i="2"/>
  <c r="J492" i="2"/>
  <c r="I492" i="2"/>
  <c r="H492" i="2"/>
  <c r="G492" i="2"/>
  <c r="F492" i="2"/>
  <c r="E492" i="2"/>
  <c r="D492" i="2"/>
  <c r="C492" i="2"/>
  <c r="B492" i="2"/>
  <c r="A492" i="2"/>
  <c r="L491" i="2"/>
  <c r="K491" i="2"/>
  <c r="J491" i="2"/>
  <c r="I491" i="2"/>
  <c r="H491" i="2"/>
  <c r="G491" i="2"/>
  <c r="F491" i="2"/>
  <c r="E491" i="2"/>
  <c r="D491" i="2"/>
  <c r="C491" i="2"/>
  <c r="B491" i="2"/>
  <c r="A491" i="2"/>
  <c r="L490" i="2"/>
  <c r="K490" i="2"/>
  <c r="J490" i="2"/>
  <c r="I490" i="2"/>
  <c r="H490" i="2"/>
  <c r="G490" i="2"/>
  <c r="F490" i="2"/>
  <c r="E490" i="2"/>
  <c r="D490" i="2"/>
  <c r="C490" i="2"/>
  <c r="B490" i="2"/>
  <c r="A490" i="2"/>
  <c r="L489" i="2"/>
  <c r="K489" i="2"/>
  <c r="J489" i="2"/>
  <c r="I489" i="2"/>
  <c r="H489" i="2"/>
  <c r="G489" i="2"/>
  <c r="F489" i="2"/>
  <c r="E489" i="2"/>
  <c r="D489" i="2"/>
  <c r="C489" i="2"/>
  <c r="B489" i="2"/>
  <c r="A489" i="2"/>
  <c r="L488" i="2"/>
  <c r="K488" i="2"/>
  <c r="J488" i="2"/>
  <c r="I488" i="2"/>
  <c r="H488" i="2"/>
  <c r="G488" i="2"/>
  <c r="F488" i="2"/>
  <c r="E488" i="2"/>
  <c r="D488" i="2"/>
  <c r="C488" i="2"/>
  <c r="B488" i="2"/>
  <c r="A488" i="2"/>
  <c r="L487" i="2"/>
  <c r="K487" i="2"/>
  <c r="J487" i="2"/>
  <c r="I487" i="2"/>
  <c r="H487" i="2"/>
  <c r="G487" i="2"/>
  <c r="F487" i="2"/>
  <c r="E487" i="2"/>
  <c r="D487" i="2"/>
  <c r="C487" i="2"/>
  <c r="B487" i="2"/>
  <c r="A487" i="2"/>
  <c r="L486" i="2"/>
  <c r="K486" i="2"/>
  <c r="J486" i="2"/>
  <c r="I486" i="2"/>
  <c r="H486" i="2"/>
  <c r="G486" i="2"/>
  <c r="F486" i="2"/>
  <c r="E486" i="2"/>
  <c r="D486" i="2"/>
  <c r="C486" i="2"/>
  <c r="B486" i="2"/>
  <c r="A486" i="2"/>
  <c r="L485" i="2"/>
  <c r="K485" i="2"/>
  <c r="J485" i="2"/>
  <c r="I485" i="2"/>
  <c r="H485" i="2"/>
  <c r="G485" i="2"/>
  <c r="F485" i="2"/>
  <c r="E485" i="2"/>
  <c r="D485" i="2"/>
  <c r="C485" i="2"/>
  <c r="B485" i="2"/>
  <c r="A485" i="2"/>
  <c r="L484" i="2"/>
  <c r="K484" i="2"/>
  <c r="J484" i="2"/>
  <c r="I484" i="2"/>
  <c r="H484" i="2"/>
  <c r="G484" i="2"/>
  <c r="F484" i="2"/>
  <c r="E484" i="2"/>
  <c r="D484" i="2"/>
  <c r="C484" i="2"/>
  <c r="B484" i="2"/>
  <c r="A484" i="2"/>
  <c r="L483" i="2"/>
  <c r="K483" i="2"/>
  <c r="J483" i="2"/>
  <c r="I483" i="2"/>
  <c r="H483" i="2"/>
  <c r="G483" i="2"/>
  <c r="F483" i="2"/>
  <c r="E483" i="2"/>
  <c r="D483" i="2"/>
  <c r="C483" i="2"/>
  <c r="B483" i="2"/>
  <c r="A483" i="2"/>
  <c r="L482" i="2"/>
  <c r="K482" i="2"/>
  <c r="J482" i="2"/>
  <c r="I482" i="2"/>
  <c r="H482" i="2"/>
  <c r="G482" i="2"/>
  <c r="F482" i="2"/>
  <c r="E482" i="2"/>
  <c r="D482" i="2"/>
  <c r="C482" i="2"/>
  <c r="B482" i="2"/>
  <c r="A482" i="2"/>
  <c r="L481" i="2"/>
  <c r="K481" i="2"/>
  <c r="J481" i="2"/>
  <c r="I481" i="2"/>
  <c r="H481" i="2"/>
  <c r="G481" i="2"/>
  <c r="F481" i="2"/>
  <c r="E481" i="2"/>
  <c r="D481" i="2"/>
  <c r="C481" i="2"/>
  <c r="B481" i="2"/>
  <c r="A481" i="2"/>
  <c r="L480" i="2"/>
  <c r="K480" i="2"/>
  <c r="J480" i="2"/>
  <c r="I480" i="2"/>
  <c r="H480" i="2"/>
  <c r="G480" i="2"/>
  <c r="F480" i="2"/>
  <c r="E480" i="2"/>
  <c r="D480" i="2"/>
  <c r="C480" i="2"/>
  <c r="B480" i="2"/>
  <c r="A480" i="2"/>
  <c r="L479" i="2"/>
  <c r="K479" i="2"/>
  <c r="J479" i="2"/>
  <c r="I479" i="2"/>
  <c r="H479" i="2"/>
  <c r="G479" i="2"/>
  <c r="F479" i="2"/>
  <c r="E479" i="2"/>
  <c r="D479" i="2"/>
  <c r="C479" i="2"/>
  <c r="B479" i="2"/>
  <c r="A479" i="2"/>
  <c r="L478" i="2"/>
  <c r="K478" i="2"/>
  <c r="J478" i="2"/>
  <c r="I478" i="2"/>
  <c r="H478" i="2"/>
  <c r="G478" i="2"/>
  <c r="F478" i="2"/>
  <c r="E478" i="2"/>
  <c r="D478" i="2"/>
  <c r="C478" i="2"/>
  <c r="B478" i="2"/>
  <c r="A478" i="2"/>
  <c r="L477" i="2"/>
  <c r="K477" i="2"/>
  <c r="J477" i="2"/>
  <c r="I477" i="2"/>
  <c r="H477" i="2"/>
  <c r="G477" i="2"/>
  <c r="F477" i="2"/>
  <c r="E477" i="2"/>
  <c r="D477" i="2"/>
  <c r="C477" i="2"/>
  <c r="B477" i="2"/>
  <c r="A477" i="2"/>
  <c r="L476" i="2"/>
  <c r="K476" i="2"/>
  <c r="J476" i="2"/>
  <c r="I476" i="2"/>
  <c r="H476" i="2"/>
  <c r="G476" i="2"/>
  <c r="F476" i="2"/>
  <c r="E476" i="2"/>
  <c r="D476" i="2"/>
  <c r="C476" i="2"/>
  <c r="B476" i="2"/>
  <c r="A476" i="2"/>
  <c r="L475" i="2"/>
  <c r="K475" i="2"/>
  <c r="J475" i="2"/>
  <c r="I475" i="2"/>
  <c r="H475" i="2"/>
  <c r="G475" i="2"/>
  <c r="F475" i="2"/>
  <c r="E475" i="2"/>
  <c r="D475" i="2"/>
  <c r="C475" i="2"/>
  <c r="B475" i="2"/>
  <c r="A475" i="2"/>
  <c r="L474" i="2"/>
  <c r="K474" i="2"/>
  <c r="J474" i="2"/>
  <c r="I474" i="2"/>
  <c r="H474" i="2"/>
  <c r="G474" i="2"/>
  <c r="F474" i="2"/>
  <c r="E474" i="2"/>
  <c r="D474" i="2"/>
  <c r="C474" i="2"/>
  <c r="B474" i="2"/>
  <c r="A474" i="2"/>
  <c r="L473" i="2"/>
  <c r="K473" i="2"/>
  <c r="J473" i="2"/>
  <c r="I473" i="2"/>
  <c r="H473" i="2"/>
  <c r="G473" i="2"/>
  <c r="F473" i="2"/>
  <c r="E473" i="2"/>
  <c r="D473" i="2"/>
  <c r="C473" i="2"/>
  <c r="B473" i="2"/>
  <c r="A473" i="2"/>
  <c r="L472" i="2"/>
  <c r="K472" i="2"/>
  <c r="J472" i="2"/>
  <c r="I472" i="2"/>
  <c r="H472" i="2"/>
  <c r="G472" i="2"/>
  <c r="F472" i="2"/>
  <c r="E472" i="2"/>
  <c r="D472" i="2"/>
  <c r="C472" i="2"/>
  <c r="B472" i="2"/>
  <c r="A472" i="2"/>
  <c r="L471" i="2"/>
  <c r="K471" i="2"/>
  <c r="J471" i="2"/>
  <c r="I471" i="2"/>
  <c r="H471" i="2"/>
  <c r="G471" i="2"/>
  <c r="F471" i="2"/>
  <c r="E471" i="2"/>
  <c r="D471" i="2"/>
  <c r="C471" i="2"/>
  <c r="B471" i="2"/>
  <c r="A471" i="2"/>
  <c r="L470" i="2"/>
  <c r="K470" i="2"/>
  <c r="J470" i="2"/>
  <c r="I470" i="2"/>
  <c r="H470" i="2"/>
  <c r="G470" i="2"/>
  <c r="F470" i="2"/>
  <c r="E470" i="2"/>
  <c r="D470" i="2"/>
  <c r="C470" i="2"/>
  <c r="B470" i="2"/>
  <c r="A470" i="2"/>
  <c r="L469" i="2"/>
  <c r="K469" i="2"/>
  <c r="J469" i="2"/>
  <c r="I469" i="2"/>
  <c r="H469" i="2"/>
  <c r="G469" i="2"/>
  <c r="F469" i="2"/>
  <c r="E469" i="2"/>
  <c r="D469" i="2"/>
  <c r="C469" i="2"/>
  <c r="B469" i="2"/>
  <c r="A469" i="2"/>
  <c r="L468" i="2"/>
  <c r="K468" i="2"/>
  <c r="J468" i="2"/>
  <c r="I468" i="2"/>
  <c r="H468" i="2"/>
  <c r="G468" i="2"/>
  <c r="F468" i="2"/>
  <c r="E468" i="2"/>
  <c r="D468" i="2"/>
  <c r="C468" i="2"/>
  <c r="B468" i="2"/>
  <c r="A468" i="2"/>
  <c r="L467" i="2"/>
  <c r="K467" i="2"/>
  <c r="J467" i="2"/>
  <c r="I467" i="2"/>
  <c r="H467" i="2"/>
  <c r="G467" i="2"/>
  <c r="F467" i="2"/>
  <c r="E467" i="2"/>
  <c r="D467" i="2"/>
  <c r="C467" i="2"/>
  <c r="B467" i="2"/>
  <c r="A467" i="2"/>
  <c r="L466" i="2"/>
  <c r="K466" i="2"/>
  <c r="J466" i="2"/>
  <c r="I466" i="2"/>
  <c r="H466" i="2"/>
  <c r="G466" i="2"/>
  <c r="F466" i="2"/>
  <c r="E466" i="2"/>
  <c r="D466" i="2"/>
  <c r="C466" i="2"/>
  <c r="B466" i="2"/>
  <c r="A466" i="2"/>
  <c r="L465" i="2"/>
  <c r="K465" i="2"/>
  <c r="J465" i="2"/>
  <c r="I465" i="2"/>
  <c r="H465" i="2"/>
  <c r="G465" i="2"/>
  <c r="F465" i="2"/>
  <c r="E465" i="2"/>
  <c r="D465" i="2"/>
  <c r="C465" i="2"/>
  <c r="B465" i="2"/>
  <c r="A465" i="2"/>
  <c r="L464" i="2"/>
  <c r="K464" i="2"/>
  <c r="J464" i="2"/>
  <c r="I464" i="2"/>
  <c r="H464" i="2"/>
  <c r="G464" i="2"/>
  <c r="F464" i="2"/>
  <c r="E464" i="2"/>
  <c r="D464" i="2"/>
  <c r="C464" i="2"/>
  <c r="B464" i="2"/>
  <c r="A464" i="2"/>
  <c r="L463" i="2"/>
  <c r="K463" i="2"/>
  <c r="J463" i="2"/>
  <c r="I463" i="2"/>
  <c r="H463" i="2"/>
  <c r="G463" i="2"/>
  <c r="F463" i="2"/>
  <c r="E463" i="2"/>
  <c r="D463" i="2"/>
  <c r="C463" i="2"/>
  <c r="B463" i="2"/>
  <c r="A463" i="2"/>
  <c r="L462" i="2"/>
  <c r="K462" i="2"/>
  <c r="J462" i="2"/>
  <c r="I462" i="2"/>
  <c r="H462" i="2"/>
  <c r="G462" i="2"/>
  <c r="F462" i="2"/>
  <c r="E462" i="2"/>
  <c r="D462" i="2"/>
  <c r="C462" i="2"/>
  <c r="B462" i="2"/>
  <c r="A462" i="2"/>
  <c r="L461" i="2"/>
  <c r="K461" i="2"/>
  <c r="J461" i="2"/>
  <c r="I461" i="2"/>
  <c r="H461" i="2"/>
  <c r="G461" i="2"/>
  <c r="F461" i="2"/>
  <c r="E461" i="2"/>
  <c r="D461" i="2"/>
  <c r="C461" i="2"/>
  <c r="B461" i="2"/>
  <c r="A461" i="2"/>
  <c r="L460" i="2"/>
  <c r="K460" i="2"/>
  <c r="J460" i="2"/>
  <c r="I460" i="2"/>
  <c r="H460" i="2"/>
  <c r="G460" i="2"/>
  <c r="F460" i="2"/>
  <c r="E460" i="2"/>
  <c r="D460" i="2"/>
  <c r="C460" i="2"/>
  <c r="B460" i="2"/>
  <c r="A460" i="2"/>
  <c r="L459" i="2"/>
  <c r="K459" i="2"/>
  <c r="J459" i="2"/>
  <c r="I459" i="2"/>
  <c r="H459" i="2"/>
  <c r="G459" i="2"/>
  <c r="F459" i="2"/>
  <c r="E459" i="2"/>
  <c r="D459" i="2"/>
  <c r="C459" i="2"/>
  <c r="B459" i="2"/>
  <c r="A459" i="2"/>
  <c r="L458" i="2"/>
  <c r="K458" i="2"/>
  <c r="J458" i="2"/>
  <c r="I458" i="2"/>
  <c r="H458" i="2"/>
  <c r="G458" i="2"/>
  <c r="F458" i="2"/>
  <c r="E458" i="2"/>
  <c r="D458" i="2"/>
  <c r="C458" i="2"/>
  <c r="B458" i="2"/>
  <c r="A458" i="2"/>
  <c r="L457" i="2"/>
  <c r="K457" i="2"/>
  <c r="J457" i="2"/>
  <c r="I457" i="2"/>
  <c r="H457" i="2"/>
  <c r="G457" i="2"/>
  <c r="F457" i="2"/>
  <c r="E457" i="2"/>
  <c r="D457" i="2"/>
  <c r="C457" i="2"/>
  <c r="B457" i="2"/>
  <c r="A457" i="2"/>
  <c r="L456" i="2"/>
  <c r="K456" i="2"/>
  <c r="J456" i="2"/>
  <c r="I456" i="2"/>
  <c r="H456" i="2"/>
  <c r="G456" i="2"/>
  <c r="F456" i="2"/>
  <c r="E456" i="2"/>
  <c r="D456" i="2"/>
  <c r="C456" i="2"/>
  <c r="B456" i="2"/>
  <c r="A456" i="2"/>
  <c r="L455" i="2"/>
  <c r="K455" i="2"/>
  <c r="J455" i="2"/>
  <c r="I455" i="2"/>
  <c r="H455" i="2"/>
  <c r="G455" i="2"/>
  <c r="F455" i="2"/>
  <c r="E455" i="2"/>
  <c r="D455" i="2"/>
  <c r="C455" i="2"/>
  <c r="B455" i="2"/>
  <c r="A455" i="2"/>
  <c r="L454" i="2"/>
  <c r="K454" i="2"/>
  <c r="J454" i="2"/>
  <c r="I454" i="2"/>
  <c r="H454" i="2"/>
  <c r="G454" i="2"/>
  <c r="F454" i="2"/>
  <c r="E454" i="2"/>
  <c r="D454" i="2"/>
  <c r="C454" i="2"/>
  <c r="B454" i="2"/>
  <c r="A454" i="2"/>
  <c r="L453" i="2"/>
  <c r="K453" i="2"/>
  <c r="J453" i="2"/>
  <c r="I453" i="2"/>
  <c r="H453" i="2"/>
  <c r="G453" i="2"/>
  <c r="F453" i="2"/>
  <c r="E453" i="2"/>
  <c r="D453" i="2"/>
  <c r="C453" i="2"/>
  <c r="B453" i="2"/>
  <c r="A453" i="2"/>
  <c r="L452" i="2"/>
  <c r="K452" i="2"/>
  <c r="J452" i="2"/>
  <c r="I452" i="2"/>
  <c r="H452" i="2"/>
  <c r="G452" i="2"/>
  <c r="F452" i="2"/>
  <c r="E452" i="2"/>
  <c r="D452" i="2"/>
  <c r="C452" i="2"/>
  <c r="B452" i="2"/>
  <c r="A452" i="2"/>
  <c r="L451" i="2"/>
  <c r="K451" i="2"/>
  <c r="J451" i="2"/>
  <c r="I451" i="2"/>
  <c r="H451" i="2"/>
  <c r="G451" i="2"/>
  <c r="F451" i="2"/>
  <c r="E451" i="2"/>
  <c r="D451" i="2"/>
  <c r="C451" i="2"/>
  <c r="B451" i="2"/>
  <c r="A451" i="2"/>
  <c r="L450" i="2"/>
  <c r="K450" i="2"/>
  <c r="J450" i="2"/>
  <c r="I450" i="2"/>
  <c r="H450" i="2"/>
  <c r="G450" i="2"/>
  <c r="F450" i="2"/>
  <c r="E450" i="2"/>
  <c r="D450" i="2"/>
  <c r="C450" i="2"/>
  <c r="B450" i="2"/>
  <c r="A450" i="2"/>
  <c r="L449" i="2"/>
  <c r="K449" i="2"/>
  <c r="J449" i="2"/>
  <c r="I449" i="2"/>
  <c r="H449" i="2"/>
  <c r="G449" i="2"/>
  <c r="F449" i="2"/>
  <c r="E449" i="2"/>
  <c r="D449" i="2"/>
  <c r="C449" i="2"/>
  <c r="B449" i="2"/>
  <c r="A449" i="2"/>
  <c r="L448" i="2"/>
  <c r="K448" i="2"/>
  <c r="J448" i="2"/>
  <c r="I448" i="2"/>
  <c r="H448" i="2"/>
  <c r="G448" i="2"/>
  <c r="F448" i="2"/>
  <c r="E448" i="2"/>
  <c r="D448" i="2"/>
  <c r="C448" i="2"/>
  <c r="B448" i="2"/>
  <c r="A448" i="2"/>
  <c r="L447" i="2"/>
  <c r="K447" i="2"/>
  <c r="J447" i="2"/>
  <c r="I447" i="2"/>
  <c r="H447" i="2"/>
  <c r="G447" i="2"/>
  <c r="F447" i="2"/>
  <c r="E447" i="2"/>
  <c r="D447" i="2"/>
  <c r="C447" i="2"/>
  <c r="B447" i="2"/>
  <c r="A447" i="2"/>
  <c r="L446" i="2"/>
  <c r="K446" i="2"/>
  <c r="J446" i="2"/>
  <c r="I446" i="2"/>
  <c r="H446" i="2"/>
  <c r="G446" i="2"/>
  <c r="F446" i="2"/>
  <c r="E446" i="2"/>
  <c r="D446" i="2"/>
  <c r="C446" i="2"/>
  <c r="B446" i="2"/>
  <c r="A446" i="2"/>
  <c r="L445" i="2"/>
  <c r="K445" i="2"/>
  <c r="J445" i="2"/>
  <c r="I445" i="2"/>
  <c r="H445" i="2"/>
  <c r="G445" i="2"/>
  <c r="F445" i="2"/>
  <c r="E445" i="2"/>
  <c r="D445" i="2"/>
  <c r="C445" i="2"/>
  <c r="B445" i="2"/>
  <c r="A445" i="2"/>
  <c r="L444" i="2"/>
  <c r="K444" i="2"/>
  <c r="J444" i="2"/>
  <c r="I444" i="2"/>
  <c r="H444" i="2"/>
  <c r="G444" i="2"/>
  <c r="F444" i="2"/>
  <c r="E444" i="2"/>
  <c r="D444" i="2"/>
  <c r="C444" i="2"/>
  <c r="B444" i="2"/>
  <c r="A444" i="2"/>
  <c r="L443" i="2"/>
  <c r="K443" i="2"/>
  <c r="J443" i="2"/>
  <c r="I443" i="2"/>
  <c r="H443" i="2"/>
  <c r="G443" i="2"/>
  <c r="F443" i="2"/>
  <c r="E443" i="2"/>
  <c r="D443" i="2"/>
  <c r="C443" i="2"/>
  <c r="B443" i="2"/>
  <c r="A443" i="2"/>
  <c r="L442" i="2"/>
  <c r="K442" i="2"/>
  <c r="J442" i="2"/>
  <c r="I442" i="2"/>
  <c r="H442" i="2"/>
  <c r="G442" i="2"/>
  <c r="F442" i="2"/>
  <c r="E442" i="2"/>
  <c r="D442" i="2"/>
  <c r="C442" i="2"/>
  <c r="B442" i="2"/>
  <c r="A442" i="2"/>
  <c r="L441" i="2"/>
  <c r="K441" i="2"/>
  <c r="J441" i="2"/>
  <c r="I441" i="2"/>
  <c r="H441" i="2"/>
  <c r="G441" i="2"/>
  <c r="F441" i="2"/>
  <c r="E441" i="2"/>
  <c r="D441" i="2"/>
  <c r="C441" i="2"/>
  <c r="B441" i="2"/>
  <c r="A441" i="2"/>
  <c r="L440" i="2"/>
  <c r="K440" i="2"/>
  <c r="J440" i="2"/>
  <c r="I440" i="2"/>
  <c r="H440" i="2"/>
  <c r="G440" i="2"/>
  <c r="F440" i="2"/>
  <c r="E440" i="2"/>
  <c r="D440" i="2"/>
  <c r="C440" i="2"/>
  <c r="B440" i="2"/>
  <c r="A440" i="2"/>
  <c r="L439" i="2"/>
  <c r="K439" i="2"/>
  <c r="J439" i="2"/>
  <c r="I439" i="2"/>
  <c r="H439" i="2"/>
  <c r="G439" i="2"/>
  <c r="F439" i="2"/>
  <c r="E439" i="2"/>
  <c r="D439" i="2"/>
  <c r="C439" i="2"/>
  <c r="B439" i="2"/>
  <c r="A439" i="2"/>
  <c r="L438" i="2"/>
  <c r="K438" i="2"/>
  <c r="J438" i="2"/>
  <c r="I438" i="2"/>
  <c r="H438" i="2"/>
  <c r="G438" i="2"/>
  <c r="F438" i="2"/>
  <c r="E438" i="2"/>
  <c r="D438" i="2"/>
  <c r="C438" i="2"/>
  <c r="B438" i="2"/>
  <c r="A438" i="2"/>
  <c r="L437" i="2"/>
  <c r="K437" i="2"/>
  <c r="J437" i="2"/>
  <c r="I437" i="2"/>
  <c r="H437" i="2"/>
  <c r="G437" i="2"/>
  <c r="F437" i="2"/>
  <c r="E437" i="2"/>
  <c r="D437" i="2"/>
  <c r="C437" i="2"/>
  <c r="B437" i="2"/>
  <c r="A437" i="2"/>
  <c r="L436" i="2"/>
  <c r="K436" i="2"/>
  <c r="J436" i="2"/>
  <c r="I436" i="2"/>
  <c r="H436" i="2"/>
  <c r="G436" i="2"/>
  <c r="F436" i="2"/>
  <c r="E436" i="2"/>
  <c r="D436" i="2"/>
  <c r="C436" i="2"/>
  <c r="B436" i="2"/>
  <c r="A436" i="2"/>
  <c r="L435" i="2"/>
  <c r="K435" i="2"/>
  <c r="J435" i="2"/>
  <c r="I435" i="2"/>
  <c r="H435" i="2"/>
  <c r="G435" i="2"/>
  <c r="F435" i="2"/>
  <c r="E435" i="2"/>
  <c r="D435" i="2"/>
  <c r="C435" i="2"/>
  <c r="B435" i="2"/>
  <c r="A435" i="2"/>
  <c r="L434" i="2"/>
  <c r="K434" i="2"/>
  <c r="J434" i="2"/>
  <c r="I434" i="2"/>
  <c r="H434" i="2"/>
  <c r="G434" i="2"/>
  <c r="F434" i="2"/>
  <c r="E434" i="2"/>
  <c r="D434" i="2"/>
  <c r="C434" i="2"/>
  <c r="B434" i="2"/>
  <c r="A434" i="2"/>
  <c r="L433" i="2"/>
  <c r="K433" i="2"/>
  <c r="J433" i="2"/>
  <c r="I433" i="2"/>
  <c r="H433" i="2"/>
  <c r="G433" i="2"/>
  <c r="F433" i="2"/>
  <c r="E433" i="2"/>
  <c r="D433" i="2"/>
  <c r="C433" i="2"/>
  <c r="B433" i="2"/>
  <c r="A433" i="2"/>
  <c r="L432" i="2"/>
  <c r="K432" i="2"/>
  <c r="J432" i="2"/>
  <c r="I432" i="2"/>
  <c r="H432" i="2"/>
  <c r="G432" i="2"/>
  <c r="F432" i="2"/>
  <c r="E432" i="2"/>
  <c r="D432" i="2"/>
  <c r="C432" i="2"/>
  <c r="B432" i="2"/>
  <c r="A432" i="2"/>
  <c r="L431" i="2"/>
  <c r="K431" i="2"/>
  <c r="J431" i="2"/>
  <c r="I431" i="2"/>
  <c r="H431" i="2"/>
  <c r="G431" i="2"/>
  <c r="F431" i="2"/>
  <c r="E431" i="2"/>
  <c r="D431" i="2"/>
  <c r="C431" i="2"/>
  <c r="B431" i="2"/>
  <c r="A431" i="2"/>
  <c r="L430" i="2"/>
  <c r="K430" i="2"/>
  <c r="J430" i="2"/>
  <c r="I430" i="2"/>
  <c r="H430" i="2"/>
  <c r="G430" i="2"/>
  <c r="F430" i="2"/>
  <c r="E430" i="2"/>
  <c r="D430" i="2"/>
  <c r="C430" i="2"/>
  <c r="B430" i="2"/>
  <c r="A430" i="2"/>
  <c r="L429" i="2"/>
  <c r="K429" i="2"/>
  <c r="J429" i="2"/>
  <c r="I429" i="2"/>
  <c r="H429" i="2"/>
  <c r="G429" i="2"/>
  <c r="F429" i="2"/>
  <c r="E429" i="2"/>
  <c r="D429" i="2"/>
  <c r="C429" i="2"/>
  <c r="B429" i="2"/>
  <c r="A429" i="2"/>
  <c r="L428" i="2"/>
  <c r="K428" i="2"/>
  <c r="J428" i="2"/>
  <c r="I428" i="2"/>
  <c r="H428" i="2"/>
  <c r="G428" i="2"/>
  <c r="F428" i="2"/>
  <c r="E428" i="2"/>
  <c r="D428" i="2"/>
  <c r="C428" i="2"/>
  <c r="B428" i="2"/>
  <c r="A428" i="2"/>
  <c r="L427" i="2"/>
  <c r="K427" i="2"/>
  <c r="J427" i="2"/>
  <c r="I427" i="2"/>
  <c r="H427" i="2"/>
  <c r="G427" i="2"/>
  <c r="F427" i="2"/>
  <c r="E427" i="2"/>
  <c r="D427" i="2"/>
  <c r="C427" i="2"/>
  <c r="B427" i="2"/>
  <c r="A427" i="2"/>
  <c r="L426" i="2"/>
  <c r="K426" i="2"/>
  <c r="J426" i="2"/>
  <c r="I426" i="2"/>
  <c r="H426" i="2"/>
  <c r="G426" i="2"/>
  <c r="F426" i="2"/>
  <c r="E426" i="2"/>
  <c r="D426" i="2"/>
  <c r="C426" i="2"/>
  <c r="B426" i="2"/>
  <c r="A426" i="2"/>
  <c r="L425" i="2"/>
  <c r="K425" i="2"/>
  <c r="J425" i="2"/>
  <c r="I425" i="2"/>
  <c r="H425" i="2"/>
  <c r="G425" i="2"/>
  <c r="F425" i="2"/>
  <c r="E425" i="2"/>
  <c r="D425" i="2"/>
  <c r="C425" i="2"/>
  <c r="B425" i="2"/>
  <c r="A425" i="2"/>
  <c r="L424" i="2"/>
  <c r="K424" i="2"/>
  <c r="J424" i="2"/>
  <c r="I424" i="2"/>
  <c r="H424" i="2"/>
  <c r="G424" i="2"/>
  <c r="F424" i="2"/>
  <c r="E424" i="2"/>
  <c r="D424" i="2"/>
  <c r="C424" i="2"/>
  <c r="B424" i="2"/>
  <c r="A424" i="2"/>
  <c r="L423" i="2"/>
  <c r="K423" i="2"/>
  <c r="J423" i="2"/>
  <c r="I423" i="2"/>
  <c r="H423" i="2"/>
  <c r="G423" i="2"/>
  <c r="F423" i="2"/>
  <c r="E423" i="2"/>
  <c r="D423" i="2"/>
  <c r="C423" i="2"/>
  <c r="B423" i="2"/>
  <c r="A423" i="2"/>
  <c r="L422" i="2"/>
  <c r="K422" i="2"/>
  <c r="J422" i="2"/>
  <c r="I422" i="2"/>
  <c r="H422" i="2"/>
  <c r="G422" i="2"/>
  <c r="F422" i="2"/>
  <c r="E422" i="2"/>
  <c r="D422" i="2"/>
  <c r="C422" i="2"/>
  <c r="B422" i="2"/>
  <c r="A422" i="2"/>
  <c r="L421" i="2"/>
  <c r="K421" i="2"/>
  <c r="J421" i="2"/>
  <c r="I421" i="2"/>
  <c r="H421" i="2"/>
  <c r="G421" i="2"/>
  <c r="F421" i="2"/>
  <c r="E421" i="2"/>
  <c r="D421" i="2"/>
  <c r="C421" i="2"/>
  <c r="B421" i="2"/>
  <c r="A421" i="2"/>
  <c r="L420" i="2"/>
  <c r="K420" i="2"/>
  <c r="J420" i="2"/>
  <c r="I420" i="2"/>
  <c r="H420" i="2"/>
  <c r="G420" i="2"/>
  <c r="F420" i="2"/>
  <c r="E420" i="2"/>
  <c r="D420" i="2"/>
  <c r="C420" i="2"/>
  <c r="B420" i="2"/>
  <c r="A420" i="2"/>
  <c r="L419" i="2"/>
  <c r="K419" i="2"/>
  <c r="J419" i="2"/>
  <c r="I419" i="2"/>
  <c r="H419" i="2"/>
  <c r="G419" i="2"/>
  <c r="F419" i="2"/>
  <c r="E419" i="2"/>
  <c r="D419" i="2"/>
  <c r="C419" i="2"/>
  <c r="B419" i="2"/>
  <c r="A419" i="2"/>
  <c r="L418" i="2"/>
  <c r="K418" i="2"/>
  <c r="J418" i="2"/>
  <c r="I418" i="2"/>
  <c r="H418" i="2"/>
  <c r="G418" i="2"/>
  <c r="F418" i="2"/>
  <c r="E418" i="2"/>
  <c r="D418" i="2"/>
  <c r="C418" i="2"/>
  <c r="B418" i="2"/>
  <c r="A418" i="2"/>
  <c r="L417" i="2"/>
  <c r="K417" i="2"/>
  <c r="J417" i="2"/>
  <c r="I417" i="2"/>
  <c r="H417" i="2"/>
  <c r="G417" i="2"/>
  <c r="F417" i="2"/>
  <c r="E417" i="2"/>
  <c r="D417" i="2"/>
  <c r="C417" i="2"/>
  <c r="B417" i="2"/>
  <c r="A417" i="2"/>
  <c r="L416" i="2"/>
  <c r="K416" i="2"/>
  <c r="J416" i="2"/>
  <c r="I416" i="2"/>
  <c r="H416" i="2"/>
  <c r="G416" i="2"/>
  <c r="F416" i="2"/>
  <c r="E416" i="2"/>
  <c r="D416" i="2"/>
  <c r="C416" i="2"/>
  <c r="B416" i="2"/>
  <c r="A416" i="2"/>
  <c r="L415" i="2"/>
  <c r="K415" i="2"/>
  <c r="J415" i="2"/>
  <c r="I415" i="2"/>
  <c r="H415" i="2"/>
  <c r="G415" i="2"/>
  <c r="F415" i="2"/>
  <c r="E415" i="2"/>
  <c r="D415" i="2"/>
  <c r="C415" i="2"/>
  <c r="B415" i="2"/>
  <c r="A415" i="2"/>
  <c r="L414" i="2"/>
  <c r="K414" i="2"/>
  <c r="J414" i="2"/>
  <c r="I414" i="2"/>
  <c r="H414" i="2"/>
  <c r="G414" i="2"/>
  <c r="F414" i="2"/>
  <c r="E414" i="2"/>
  <c r="D414" i="2"/>
  <c r="C414" i="2"/>
  <c r="B414" i="2"/>
  <c r="A414" i="2"/>
  <c r="L413" i="2"/>
  <c r="K413" i="2"/>
  <c r="J413" i="2"/>
  <c r="I413" i="2"/>
  <c r="H413" i="2"/>
  <c r="G413" i="2"/>
  <c r="F413" i="2"/>
  <c r="E413" i="2"/>
  <c r="D413" i="2"/>
  <c r="C413" i="2"/>
  <c r="B413" i="2"/>
  <c r="A413" i="2"/>
  <c r="L412" i="2"/>
  <c r="K412" i="2"/>
  <c r="J412" i="2"/>
  <c r="I412" i="2"/>
  <c r="H412" i="2"/>
  <c r="G412" i="2"/>
  <c r="F412" i="2"/>
  <c r="E412" i="2"/>
  <c r="D412" i="2"/>
  <c r="C412" i="2"/>
  <c r="B412" i="2"/>
  <c r="A412" i="2"/>
  <c r="L411" i="2"/>
  <c r="K411" i="2"/>
  <c r="J411" i="2"/>
  <c r="I411" i="2"/>
  <c r="H411" i="2"/>
  <c r="G411" i="2"/>
  <c r="F411" i="2"/>
  <c r="E411" i="2"/>
  <c r="D411" i="2"/>
  <c r="C411" i="2"/>
  <c r="B411" i="2"/>
  <c r="A411" i="2"/>
  <c r="L410" i="2"/>
  <c r="K410" i="2"/>
  <c r="J410" i="2"/>
  <c r="I410" i="2"/>
  <c r="H410" i="2"/>
  <c r="G410" i="2"/>
  <c r="F410" i="2"/>
  <c r="E410" i="2"/>
  <c r="D410" i="2"/>
  <c r="C410" i="2"/>
  <c r="B410" i="2"/>
  <c r="A410" i="2"/>
  <c r="L409" i="2"/>
  <c r="K409" i="2"/>
  <c r="J409" i="2"/>
  <c r="I409" i="2"/>
  <c r="H409" i="2"/>
  <c r="G409" i="2"/>
  <c r="F409" i="2"/>
  <c r="E409" i="2"/>
  <c r="D409" i="2"/>
  <c r="C409" i="2"/>
  <c r="B409" i="2"/>
  <c r="A409" i="2"/>
  <c r="L408" i="2"/>
  <c r="K408" i="2"/>
  <c r="J408" i="2"/>
  <c r="I408" i="2"/>
  <c r="H408" i="2"/>
  <c r="G408" i="2"/>
  <c r="F408" i="2"/>
  <c r="E408" i="2"/>
  <c r="D408" i="2"/>
  <c r="C408" i="2"/>
  <c r="B408" i="2"/>
  <c r="A408" i="2"/>
  <c r="L407" i="2"/>
  <c r="K407" i="2"/>
  <c r="J407" i="2"/>
  <c r="I407" i="2"/>
  <c r="H407" i="2"/>
  <c r="G407" i="2"/>
  <c r="F407" i="2"/>
  <c r="E407" i="2"/>
  <c r="D407" i="2"/>
  <c r="C407" i="2"/>
  <c r="B407" i="2"/>
  <c r="A407" i="2"/>
  <c r="L406" i="2"/>
  <c r="K406" i="2"/>
  <c r="J406" i="2"/>
  <c r="I406" i="2"/>
  <c r="H406" i="2"/>
  <c r="G406" i="2"/>
  <c r="F406" i="2"/>
  <c r="E406" i="2"/>
  <c r="D406" i="2"/>
  <c r="C406" i="2"/>
  <c r="B406" i="2"/>
  <c r="A406" i="2"/>
  <c r="L405" i="2"/>
  <c r="K405" i="2"/>
  <c r="J405" i="2"/>
  <c r="I405" i="2"/>
  <c r="H405" i="2"/>
  <c r="G405" i="2"/>
  <c r="F405" i="2"/>
  <c r="E405" i="2"/>
  <c r="D405" i="2"/>
  <c r="C405" i="2"/>
  <c r="B405" i="2"/>
  <c r="A405" i="2"/>
  <c r="L404" i="2"/>
  <c r="K404" i="2"/>
  <c r="J404" i="2"/>
  <c r="I404" i="2"/>
  <c r="H404" i="2"/>
  <c r="G404" i="2"/>
  <c r="F404" i="2"/>
  <c r="E404" i="2"/>
  <c r="D404" i="2"/>
  <c r="C404" i="2"/>
  <c r="B404" i="2"/>
  <c r="A404" i="2"/>
  <c r="L403" i="2"/>
  <c r="K403" i="2"/>
  <c r="J403" i="2"/>
  <c r="I403" i="2"/>
  <c r="H403" i="2"/>
  <c r="G403" i="2"/>
  <c r="F403" i="2"/>
  <c r="E403" i="2"/>
  <c r="D403" i="2"/>
  <c r="C403" i="2"/>
  <c r="B403" i="2"/>
  <c r="A403" i="2"/>
  <c r="L402" i="2"/>
  <c r="K402" i="2"/>
  <c r="J402" i="2"/>
  <c r="I402" i="2"/>
  <c r="H402" i="2"/>
  <c r="G402" i="2"/>
  <c r="F402" i="2"/>
  <c r="E402" i="2"/>
  <c r="D402" i="2"/>
  <c r="C402" i="2"/>
  <c r="B402" i="2"/>
  <c r="A402" i="2"/>
  <c r="L401" i="2"/>
  <c r="K401" i="2"/>
  <c r="J401" i="2"/>
  <c r="I401" i="2"/>
  <c r="H401" i="2"/>
  <c r="G401" i="2"/>
  <c r="F401" i="2"/>
  <c r="E401" i="2"/>
  <c r="D401" i="2"/>
  <c r="C401" i="2"/>
  <c r="B401" i="2"/>
  <c r="A401" i="2"/>
  <c r="L400" i="2"/>
  <c r="K400" i="2"/>
  <c r="J400" i="2"/>
  <c r="I400" i="2"/>
  <c r="H400" i="2"/>
  <c r="G400" i="2"/>
  <c r="F400" i="2"/>
  <c r="E400" i="2"/>
  <c r="D400" i="2"/>
  <c r="C400" i="2"/>
  <c r="B400" i="2"/>
  <c r="A400" i="2"/>
  <c r="L399" i="2"/>
  <c r="K399" i="2"/>
  <c r="J399" i="2"/>
  <c r="I399" i="2"/>
  <c r="H399" i="2"/>
  <c r="G399" i="2"/>
  <c r="F399" i="2"/>
  <c r="E399" i="2"/>
  <c r="D399" i="2"/>
  <c r="C399" i="2"/>
  <c r="B399" i="2"/>
  <c r="A399" i="2"/>
  <c r="L398" i="2"/>
  <c r="K398" i="2"/>
  <c r="J398" i="2"/>
  <c r="I398" i="2"/>
  <c r="H398" i="2"/>
  <c r="G398" i="2"/>
  <c r="F398" i="2"/>
  <c r="E398" i="2"/>
  <c r="D398" i="2"/>
  <c r="C398" i="2"/>
  <c r="B398" i="2"/>
  <c r="A398" i="2"/>
  <c r="L397" i="2"/>
  <c r="K397" i="2"/>
  <c r="J397" i="2"/>
  <c r="I397" i="2"/>
  <c r="H397" i="2"/>
  <c r="G397" i="2"/>
  <c r="F397" i="2"/>
  <c r="E397" i="2"/>
  <c r="D397" i="2"/>
  <c r="C397" i="2"/>
  <c r="B397" i="2"/>
  <c r="A397" i="2"/>
  <c r="L396" i="2"/>
  <c r="K396" i="2"/>
  <c r="J396" i="2"/>
  <c r="I396" i="2"/>
  <c r="H396" i="2"/>
  <c r="G396" i="2"/>
  <c r="F396" i="2"/>
  <c r="E396" i="2"/>
  <c r="D396" i="2"/>
  <c r="C396" i="2"/>
  <c r="B396" i="2"/>
  <c r="A396" i="2"/>
  <c r="L395" i="2"/>
  <c r="K395" i="2"/>
  <c r="J395" i="2"/>
  <c r="I395" i="2"/>
  <c r="H395" i="2"/>
  <c r="G395" i="2"/>
  <c r="F395" i="2"/>
  <c r="E395" i="2"/>
  <c r="D395" i="2"/>
  <c r="C395" i="2"/>
  <c r="B395" i="2"/>
  <c r="A395" i="2"/>
  <c r="L394" i="2"/>
  <c r="K394" i="2"/>
  <c r="J394" i="2"/>
  <c r="I394" i="2"/>
  <c r="H394" i="2"/>
  <c r="G394" i="2"/>
  <c r="F394" i="2"/>
  <c r="E394" i="2"/>
  <c r="D394" i="2"/>
  <c r="C394" i="2"/>
  <c r="B394" i="2"/>
  <c r="A394" i="2"/>
  <c r="L393" i="2"/>
  <c r="K393" i="2"/>
  <c r="J393" i="2"/>
  <c r="I393" i="2"/>
  <c r="H393" i="2"/>
  <c r="G393" i="2"/>
  <c r="F393" i="2"/>
  <c r="E393" i="2"/>
  <c r="D393" i="2"/>
  <c r="C393" i="2"/>
  <c r="B393" i="2"/>
  <c r="A393" i="2"/>
  <c r="L392" i="2"/>
  <c r="K392" i="2"/>
  <c r="J392" i="2"/>
  <c r="I392" i="2"/>
  <c r="H392" i="2"/>
  <c r="G392" i="2"/>
  <c r="F392" i="2"/>
  <c r="E392" i="2"/>
  <c r="D392" i="2"/>
  <c r="C392" i="2"/>
  <c r="B392" i="2"/>
  <c r="A392" i="2"/>
  <c r="L391" i="2"/>
  <c r="K391" i="2"/>
  <c r="J391" i="2"/>
  <c r="I391" i="2"/>
  <c r="H391" i="2"/>
  <c r="G391" i="2"/>
  <c r="F391" i="2"/>
  <c r="E391" i="2"/>
  <c r="D391" i="2"/>
  <c r="C391" i="2"/>
  <c r="B391" i="2"/>
  <c r="A391" i="2"/>
  <c r="L390" i="2"/>
  <c r="K390" i="2"/>
  <c r="J390" i="2"/>
  <c r="I390" i="2"/>
  <c r="H390" i="2"/>
  <c r="G390" i="2"/>
  <c r="F390" i="2"/>
  <c r="E390" i="2"/>
  <c r="D390" i="2"/>
  <c r="C390" i="2"/>
  <c r="B390" i="2"/>
  <c r="A390" i="2"/>
  <c r="L389" i="2"/>
  <c r="K389" i="2"/>
  <c r="J389" i="2"/>
  <c r="I389" i="2"/>
  <c r="H389" i="2"/>
  <c r="G389" i="2"/>
  <c r="F389" i="2"/>
  <c r="E389" i="2"/>
  <c r="D389" i="2"/>
  <c r="C389" i="2"/>
  <c r="B389" i="2"/>
  <c r="A389" i="2"/>
  <c r="L388" i="2"/>
  <c r="K388" i="2"/>
  <c r="J388" i="2"/>
  <c r="I388" i="2"/>
  <c r="H388" i="2"/>
  <c r="G388" i="2"/>
  <c r="F388" i="2"/>
  <c r="E388" i="2"/>
  <c r="D388" i="2"/>
  <c r="C388" i="2"/>
  <c r="B388" i="2"/>
  <c r="A388" i="2"/>
  <c r="L387" i="2"/>
  <c r="K387" i="2"/>
  <c r="J387" i="2"/>
  <c r="I387" i="2"/>
  <c r="H387" i="2"/>
  <c r="G387" i="2"/>
  <c r="F387" i="2"/>
  <c r="E387" i="2"/>
  <c r="D387" i="2"/>
  <c r="C387" i="2"/>
  <c r="B387" i="2"/>
  <c r="A387" i="2"/>
  <c r="L386" i="2"/>
  <c r="K386" i="2"/>
  <c r="J386" i="2"/>
  <c r="I386" i="2"/>
  <c r="H386" i="2"/>
  <c r="G386" i="2"/>
  <c r="F386" i="2"/>
  <c r="E386" i="2"/>
  <c r="D386" i="2"/>
  <c r="C386" i="2"/>
  <c r="B386" i="2"/>
  <c r="A386" i="2"/>
  <c r="L385" i="2"/>
  <c r="K385" i="2"/>
  <c r="J385" i="2"/>
  <c r="I385" i="2"/>
  <c r="H385" i="2"/>
  <c r="G385" i="2"/>
  <c r="F385" i="2"/>
  <c r="E385" i="2"/>
  <c r="D385" i="2"/>
  <c r="C385" i="2"/>
  <c r="B385" i="2"/>
  <c r="A385" i="2"/>
  <c r="L384" i="2"/>
  <c r="K384" i="2"/>
  <c r="J384" i="2"/>
  <c r="I384" i="2"/>
  <c r="H384" i="2"/>
  <c r="G384" i="2"/>
  <c r="F384" i="2"/>
  <c r="E384" i="2"/>
  <c r="D384" i="2"/>
  <c r="C384" i="2"/>
  <c r="B384" i="2"/>
  <c r="A384" i="2"/>
  <c r="L383" i="2"/>
  <c r="K383" i="2"/>
  <c r="J383" i="2"/>
  <c r="I383" i="2"/>
  <c r="H383" i="2"/>
  <c r="G383" i="2"/>
  <c r="F383" i="2"/>
  <c r="E383" i="2"/>
  <c r="D383" i="2"/>
  <c r="C383" i="2"/>
  <c r="B383" i="2"/>
  <c r="A383" i="2"/>
  <c r="L382" i="2"/>
  <c r="K382" i="2"/>
  <c r="J382" i="2"/>
  <c r="I382" i="2"/>
  <c r="H382" i="2"/>
  <c r="G382" i="2"/>
  <c r="F382" i="2"/>
  <c r="E382" i="2"/>
  <c r="D382" i="2"/>
  <c r="C382" i="2"/>
  <c r="B382" i="2"/>
  <c r="A382" i="2"/>
  <c r="L381" i="2"/>
  <c r="K381" i="2"/>
  <c r="J381" i="2"/>
  <c r="I381" i="2"/>
  <c r="H381" i="2"/>
  <c r="G381" i="2"/>
  <c r="F381" i="2"/>
  <c r="E381" i="2"/>
  <c r="D381" i="2"/>
  <c r="C381" i="2"/>
  <c r="B381" i="2"/>
  <c r="A381" i="2"/>
  <c r="L380" i="2"/>
  <c r="K380" i="2"/>
  <c r="J380" i="2"/>
  <c r="I380" i="2"/>
  <c r="H380" i="2"/>
  <c r="G380" i="2"/>
  <c r="F380" i="2"/>
  <c r="E380" i="2"/>
  <c r="D380" i="2"/>
  <c r="C380" i="2"/>
  <c r="B380" i="2"/>
  <c r="A380" i="2"/>
  <c r="L379" i="2"/>
  <c r="K379" i="2"/>
  <c r="J379" i="2"/>
  <c r="I379" i="2"/>
  <c r="H379" i="2"/>
  <c r="G379" i="2"/>
  <c r="F379" i="2"/>
  <c r="E379" i="2"/>
  <c r="D379" i="2"/>
  <c r="C379" i="2"/>
  <c r="B379" i="2"/>
  <c r="A379" i="2"/>
  <c r="L378" i="2"/>
  <c r="K378" i="2"/>
  <c r="J378" i="2"/>
  <c r="I378" i="2"/>
  <c r="H378" i="2"/>
  <c r="G378" i="2"/>
  <c r="F378" i="2"/>
  <c r="E378" i="2"/>
  <c r="D378" i="2"/>
  <c r="C378" i="2"/>
  <c r="B378" i="2"/>
  <c r="A378" i="2"/>
  <c r="L377" i="2"/>
  <c r="K377" i="2"/>
  <c r="J377" i="2"/>
  <c r="I377" i="2"/>
  <c r="H377" i="2"/>
  <c r="G377" i="2"/>
  <c r="F377" i="2"/>
  <c r="E377" i="2"/>
  <c r="D377" i="2"/>
  <c r="C377" i="2"/>
  <c r="B377" i="2"/>
  <c r="A377" i="2"/>
  <c r="L376" i="2"/>
  <c r="K376" i="2"/>
  <c r="J376" i="2"/>
  <c r="I376" i="2"/>
  <c r="H376" i="2"/>
  <c r="G376" i="2"/>
  <c r="F376" i="2"/>
  <c r="E376" i="2"/>
  <c r="D376" i="2"/>
  <c r="C376" i="2"/>
  <c r="B376" i="2"/>
  <c r="A376" i="2"/>
  <c r="L375" i="2"/>
  <c r="K375" i="2"/>
  <c r="J375" i="2"/>
  <c r="I375" i="2"/>
  <c r="H375" i="2"/>
  <c r="G375" i="2"/>
  <c r="F375" i="2"/>
  <c r="E375" i="2"/>
  <c r="D375" i="2"/>
  <c r="C375" i="2"/>
  <c r="B375" i="2"/>
  <c r="A375" i="2"/>
  <c r="L374" i="2"/>
  <c r="K374" i="2"/>
  <c r="J374" i="2"/>
  <c r="I374" i="2"/>
  <c r="H374" i="2"/>
  <c r="G374" i="2"/>
  <c r="F374" i="2"/>
  <c r="E374" i="2"/>
  <c r="D374" i="2"/>
  <c r="C374" i="2"/>
  <c r="B374" i="2"/>
  <c r="A374" i="2"/>
  <c r="L373" i="2"/>
  <c r="K373" i="2"/>
  <c r="J373" i="2"/>
  <c r="I373" i="2"/>
  <c r="H373" i="2"/>
  <c r="G373" i="2"/>
  <c r="F373" i="2"/>
  <c r="E373" i="2"/>
  <c r="D373" i="2"/>
  <c r="C373" i="2"/>
  <c r="B373" i="2"/>
  <c r="A373" i="2"/>
  <c r="L372" i="2"/>
  <c r="K372" i="2"/>
  <c r="J372" i="2"/>
  <c r="I372" i="2"/>
  <c r="H372" i="2"/>
  <c r="G372" i="2"/>
  <c r="F372" i="2"/>
  <c r="E372" i="2"/>
  <c r="D372" i="2"/>
  <c r="C372" i="2"/>
  <c r="B372" i="2"/>
  <c r="A372" i="2"/>
  <c r="L371" i="2"/>
  <c r="K371" i="2"/>
  <c r="J371" i="2"/>
  <c r="I371" i="2"/>
  <c r="H371" i="2"/>
  <c r="G371" i="2"/>
  <c r="F371" i="2"/>
  <c r="E371" i="2"/>
  <c r="D371" i="2"/>
  <c r="C371" i="2"/>
  <c r="B371" i="2"/>
  <c r="A371" i="2"/>
  <c r="L370" i="2"/>
  <c r="K370" i="2"/>
  <c r="J370" i="2"/>
  <c r="I370" i="2"/>
  <c r="H370" i="2"/>
  <c r="G370" i="2"/>
  <c r="F370" i="2"/>
  <c r="E370" i="2"/>
  <c r="D370" i="2"/>
  <c r="C370" i="2"/>
  <c r="B370" i="2"/>
  <c r="A370" i="2"/>
  <c r="L369" i="2"/>
  <c r="K369" i="2"/>
  <c r="J369" i="2"/>
  <c r="I369" i="2"/>
  <c r="H369" i="2"/>
  <c r="G369" i="2"/>
  <c r="F369" i="2"/>
  <c r="E369" i="2"/>
  <c r="D369" i="2"/>
  <c r="C369" i="2"/>
  <c r="B369" i="2"/>
  <c r="A369" i="2"/>
  <c r="L368" i="2"/>
  <c r="K368" i="2"/>
  <c r="J368" i="2"/>
  <c r="I368" i="2"/>
  <c r="H368" i="2"/>
  <c r="G368" i="2"/>
  <c r="F368" i="2"/>
  <c r="E368" i="2"/>
  <c r="D368" i="2"/>
  <c r="C368" i="2"/>
  <c r="B368" i="2"/>
  <c r="A368" i="2"/>
  <c r="L367" i="2"/>
  <c r="K367" i="2"/>
  <c r="J367" i="2"/>
  <c r="I367" i="2"/>
  <c r="H367" i="2"/>
  <c r="G367" i="2"/>
  <c r="F367" i="2"/>
  <c r="E367" i="2"/>
  <c r="D367" i="2"/>
  <c r="C367" i="2"/>
  <c r="B367" i="2"/>
  <c r="A367" i="2"/>
  <c r="L366" i="2"/>
  <c r="K366" i="2"/>
  <c r="J366" i="2"/>
  <c r="I366" i="2"/>
  <c r="H366" i="2"/>
  <c r="G366" i="2"/>
  <c r="F366" i="2"/>
  <c r="E366" i="2"/>
  <c r="D366" i="2"/>
  <c r="C366" i="2"/>
  <c r="B366" i="2"/>
  <c r="A366" i="2"/>
  <c r="L365" i="2"/>
  <c r="K365" i="2"/>
  <c r="J365" i="2"/>
  <c r="I365" i="2"/>
  <c r="H365" i="2"/>
  <c r="G365" i="2"/>
  <c r="F365" i="2"/>
  <c r="E365" i="2"/>
  <c r="D365" i="2"/>
  <c r="C365" i="2"/>
  <c r="B365" i="2"/>
  <c r="A365" i="2"/>
  <c r="L364" i="2"/>
  <c r="K364" i="2"/>
  <c r="J364" i="2"/>
  <c r="I364" i="2"/>
  <c r="H364" i="2"/>
  <c r="G364" i="2"/>
  <c r="F364" i="2"/>
  <c r="E364" i="2"/>
  <c r="D364" i="2"/>
  <c r="C364" i="2"/>
  <c r="B364" i="2"/>
  <c r="A364" i="2"/>
  <c r="L363" i="2"/>
  <c r="K363" i="2"/>
  <c r="J363" i="2"/>
  <c r="I363" i="2"/>
  <c r="H363" i="2"/>
  <c r="G363" i="2"/>
  <c r="F363" i="2"/>
  <c r="E363" i="2"/>
  <c r="D363" i="2"/>
  <c r="C363" i="2"/>
  <c r="B363" i="2"/>
  <c r="A363" i="2"/>
  <c r="L362" i="2"/>
  <c r="K362" i="2"/>
  <c r="J362" i="2"/>
  <c r="I362" i="2"/>
  <c r="H362" i="2"/>
  <c r="G362" i="2"/>
  <c r="F362" i="2"/>
  <c r="E362" i="2"/>
  <c r="D362" i="2"/>
  <c r="C362" i="2"/>
  <c r="B362" i="2"/>
  <c r="A362" i="2"/>
  <c r="L361" i="2"/>
  <c r="K361" i="2"/>
  <c r="J361" i="2"/>
  <c r="I361" i="2"/>
  <c r="H361" i="2"/>
  <c r="G361" i="2"/>
  <c r="F361" i="2"/>
  <c r="E361" i="2"/>
  <c r="D361" i="2"/>
  <c r="C361" i="2"/>
  <c r="B361" i="2"/>
  <c r="A361" i="2"/>
  <c r="L360" i="2"/>
  <c r="K360" i="2"/>
  <c r="J360" i="2"/>
  <c r="I360" i="2"/>
  <c r="H360" i="2"/>
  <c r="G360" i="2"/>
  <c r="F360" i="2"/>
  <c r="E360" i="2"/>
  <c r="D360" i="2"/>
  <c r="C360" i="2"/>
  <c r="B360" i="2"/>
  <c r="A360" i="2"/>
  <c r="L359" i="2"/>
  <c r="K359" i="2"/>
  <c r="J359" i="2"/>
  <c r="I359" i="2"/>
  <c r="H359" i="2"/>
  <c r="G359" i="2"/>
  <c r="F359" i="2"/>
  <c r="E359" i="2"/>
  <c r="D359" i="2"/>
  <c r="C359" i="2"/>
  <c r="B359" i="2"/>
  <c r="A359" i="2"/>
  <c r="L358" i="2"/>
  <c r="K358" i="2"/>
  <c r="J358" i="2"/>
  <c r="I358" i="2"/>
  <c r="H358" i="2"/>
  <c r="G358" i="2"/>
  <c r="F358" i="2"/>
  <c r="E358" i="2"/>
  <c r="D358" i="2"/>
  <c r="C358" i="2"/>
  <c r="B358" i="2"/>
  <c r="A358" i="2"/>
  <c r="L357" i="2"/>
  <c r="K357" i="2"/>
  <c r="J357" i="2"/>
  <c r="I357" i="2"/>
  <c r="H357" i="2"/>
  <c r="G357" i="2"/>
  <c r="F357" i="2"/>
  <c r="E357" i="2"/>
  <c r="D357" i="2"/>
  <c r="C357" i="2"/>
  <c r="B357" i="2"/>
  <c r="A357" i="2"/>
  <c r="L356" i="2"/>
  <c r="K356" i="2"/>
  <c r="J356" i="2"/>
  <c r="I356" i="2"/>
  <c r="H356" i="2"/>
  <c r="G356" i="2"/>
  <c r="F356" i="2"/>
  <c r="E356" i="2"/>
  <c r="D356" i="2"/>
  <c r="C356" i="2"/>
  <c r="B356" i="2"/>
  <c r="A356" i="2"/>
  <c r="L355" i="2"/>
  <c r="K355" i="2"/>
  <c r="J355" i="2"/>
  <c r="I355" i="2"/>
  <c r="H355" i="2"/>
  <c r="G355" i="2"/>
  <c r="F355" i="2"/>
  <c r="E355" i="2"/>
  <c r="D355" i="2"/>
  <c r="C355" i="2"/>
  <c r="B355" i="2"/>
  <c r="A355" i="2"/>
  <c r="L354" i="2"/>
  <c r="K354" i="2"/>
  <c r="J354" i="2"/>
  <c r="I354" i="2"/>
  <c r="H354" i="2"/>
  <c r="G354" i="2"/>
  <c r="F354" i="2"/>
  <c r="E354" i="2"/>
  <c r="D354" i="2"/>
  <c r="C354" i="2"/>
  <c r="B354" i="2"/>
  <c r="A354" i="2"/>
  <c r="L353" i="2"/>
  <c r="K353" i="2"/>
  <c r="J353" i="2"/>
  <c r="I353" i="2"/>
  <c r="H353" i="2"/>
  <c r="G353" i="2"/>
  <c r="F353" i="2"/>
  <c r="E353" i="2"/>
  <c r="D353" i="2"/>
  <c r="C353" i="2"/>
  <c r="B353" i="2"/>
  <c r="A353" i="2"/>
  <c r="L352" i="2"/>
  <c r="K352" i="2"/>
  <c r="J352" i="2"/>
  <c r="I352" i="2"/>
  <c r="H352" i="2"/>
  <c r="G352" i="2"/>
  <c r="F352" i="2"/>
  <c r="E352" i="2"/>
  <c r="D352" i="2"/>
  <c r="C352" i="2"/>
  <c r="B352" i="2"/>
  <c r="A352" i="2"/>
  <c r="L351" i="2"/>
  <c r="K351" i="2"/>
  <c r="J351" i="2"/>
  <c r="I351" i="2"/>
  <c r="H351" i="2"/>
  <c r="G351" i="2"/>
  <c r="F351" i="2"/>
  <c r="E351" i="2"/>
  <c r="D351" i="2"/>
  <c r="C351" i="2"/>
  <c r="B351" i="2"/>
  <c r="A351" i="2"/>
  <c r="L350" i="2"/>
  <c r="K350" i="2"/>
  <c r="J350" i="2"/>
  <c r="I350" i="2"/>
  <c r="H350" i="2"/>
  <c r="G350" i="2"/>
  <c r="F350" i="2"/>
  <c r="E350" i="2"/>
  <c r="D350" i="2"/>
  <c r="C350" i="2"/>
  <c r="B350" i="2"/>
  <c r="A350" i="2"/>
  <c r="L349" i="2"/>
  <c r="K349" i="2"/>
  <c r="J349" i="2"/>
  <c r="I349" i="2"/>
  <c r="H349" i="2"/>
  <c r="G349" i="2"/>
  <c r="F349" i="2"/>
  <c r="E349" i="2"/>
  <c r="D349" i="2"/>
  <c r="C349" i="2"/>
  <c r="B349" i="2"/>
  <c r="A349" i="2"/>
  <c r="L348" i="2"/>
  <c r="K348" i="2"/>
  <c r="J348" i="2"/>
  <c r="I348" i="2"/>
  <c r="H348" i="2"/>
  <c r="G348" i="2"/>
  <c r="F348" i="2"/>
  <c r="E348" i="2"/>
  <c r="D348" i="2"/>
  <c r="C348" i="2"/>
  <c r="B348" i="2"/>
  <c r="A348" i="2"/>
  <c r="L347" i="2"/>
  <c r="K347" i="2"/>
  <c r="J347" i="2"/>
  <c r="I347" i="2"/>
  <c r="H347" i="2"/>
  <c r="G347" i="2"/>
  <c r="F347" i="2"/>
  <c r="E347" i="2"/>
  <c r="D347" i="2"/>
  <c r="C347" i="2"/>
  <c r="B347" i="2"/>
  <c r="A347" i="2"/>
  <c r="L346" i="2"/>
  <c r="K346" i="2"/>
  <c r="J346" i="2"/>
  <c r="I346" i="2"/>
  <c r="H346" i="2"/>
  <c r="G346" i="2"/>
  <c r="F346" i="2"/>
  <c r="E346" i="2"/>
  <c r="D346" i="2"/>
  <c r="C346" i="2"/>
  <c r="B346" i="2"/>
  <c r="A346" i="2"/>
  <c r="L345" i="2"/>
  <c r="K345" i="2"/>
  <c r="J345" i="2"/>
  <c r="I345" i="2"/>
  <c r="H345" i="2"/>
  <c r="G345" i="2"/>
  <c r="F345" i="2"/>
  <c r="E345" i="2"/>
  <c r="D345" i="2"/>
  <c r="C345" i="2"/>
  <c r="B345" i="2"/>
  <c r="A345" i="2"/>
  <c r="L344" i="2"/>
  <c r="K344" i="2"/>
  <c r="J344" i="2"/>
  <c r="I344" i="2"/>
  <c r="H344" i="2"/>
  <c r="G344" i="2"/>
  <c r="F344" i="2"/>
  <c r="E344" i="2"/>
  <c r="D344" i="2"/>
  <c r="C344" i="2"/>
  <c r="B344" i="2"/>
  <c r="A344" i="2"/>
  <c r="L343" i="2"/>
  <c r="K343" i="2"/>
  <c r="J343" i="2"/>
  <c r="I343" i="2"/>
  <c r="H343" i="2"/>
  <c r="G343" i="2"/>
  <c r="F343" i="2"/>
  <c r="E343" i="2"/>
  <c r="D343" i="2"/>
  <c r="C343" i="2"/>
  <c r="B343" i="2"/>
  <c r="A343" i="2"/>
  <c r="L342" i="2"/>
  <c r="K342" i="2"/>
  <c r="J342" i="2"/>
  <c r="I342" i="2"/>
  <c r="H342" i="2"/>
  <c r="G342" i="2"/>
  <c r="F342" i="2"/>
  <c r="E342" i="2"/>
  <c r="D342" i="2"/>
  <c r="C342" i="2"/>
  <c r="B342" i="2"/>
  <c r="A342" i="2"/>
  <c r="L341" i="2"/>
  <c r="K341" i="2"/>
  <c r="J341" i="2"/>
  <c r="I341" i="2"/>
  <c r="H341" i="2"/>
  <c r="G341" i="2"/>
  <c r="F341" i="2"/>
  <c r="E341" i="2"/>
  <c r="D341" i="2"/>
  <c r="C341" i="2"/>
  <c r="B341" i="2"/>
  <c r="A341" i="2"/>
  <c r="L340" i="2"/>
  <c r="K340" i="2"/>
  <c r="J340" i="2"/>
  <c r="I340" i="2"/>
  <c r="H340" i="2"/>
  <c r="G340" i="2"/>
  <c r="F340" i="2"/>
  <c r="E340" i="2"/>
  <c r="D340" i="2"/>
  <c r="C340" i="2"/>
  <c r="B340" i="2"/>
  <c r="A340" i="2"/>
  <c r="L339" i="2"/>
  <c r="K339" i="2"/>
  <c r="J339" i="2"/>
  <c r="I339" i="2"/>
  <c r="H339" i="2"/>
  <c r="G339" i="2"/>
  <c r="F339" i="2"/>
  <c r="E339" i="2"/>
  <c r="D339" i="2"/>
  <c r="C339" i="2"/>
  <c r="B339" i="2"/>
  <c r="A339" i="2"/>
  <c r="L338" i="2"/>
  <c r="K338" i="2"/>
  <c r="J338" i="2"/>
  <c r="I338" i="2"/>
  <c r="H338" i="2"/>
  <c r="G338" i="2"/>
  <c r="F338" i="2"/>
  <c r="E338" i="2"/>
  <c r="D338" i="2"/>
  <c r="C338" i="2"/>
  <c r="B338" i="2"/>
  <c r="A338" i="2"/>
  <c r="L337" i="2"/>
  <c r="K337" i="2"/>
  <c r="J337" i="2"/>
  <c r="I337" i="2"/>
  <c r="H337" i="2"/>
  <c r="G337" i="2"/>
  <c r="F337" i="2"/>
  <c r="E337" i="2"/>
  <c r="D337" i="2"/>
  <c r="C337" i="2"/>
  <c r="B337" i="2"/>
  <c r="A337" i="2"/>
  <c r="L336" i="2"/>
  <c r="K336" i="2"/>
  <c r="J336" i="2"/>
  <c r="I336" i="2"/>
  <c r="H336" i="2"/>
  <c r="G336" i="2"/>
  <c r="F336" i="2"/>
  <c r="E336" i="2"/>
  <c r="D336" i="2"/>
  <c r="C336" i="2"/>
  <c r="B336" i="2"/>
  <c r="A336" i="2"/>
  <c r="L335" i="2"/>
  <c r="K335" i="2"/>
  <c r="J335" i="2"/>
  <c r="I335" i="2"/>
  <c r="H335" i="2"/>
  <c r="G335" i="2"/>
  <c r="F335" i="2"/>
  <c r="E335" i="2"/>
  <c r="D335" i="2"/>
  <c r="C335" i="2"/>
  <c r="B335" i="2"/>
  <c r="A335" i="2"/>
  <c r="L334" i="2"/>
  <c r="K334" i="2"/>
  <c r="J334" i="2"/>
  <c r="I334" i="2"/>
  <c r="H334" i="2"/>
  <c r="G334" i="2"/>
  <c r="F334" i="2"/>
  <c r="E334" i="2"/>
  <c r="D334" i="2"/>
  <c r="C334" i="2"/>
  <c r="B334" i="2"/>
  <c r="A334" i="2"/>
  <c r="L333" i="2"/>
  <c r="K333" i="2"/>
  <c r="J333" i="2"/>
  <c r="I333" i="2"/>
  <c r="H333" i="2"/>
  <c r="G333" i="2"/>
  <c r="F333" i="2"/>
  <c r="E333" i="2"/>
  <c r="D333" i="2"/>
  <c r="C333" i="2"/>
  <c r="B333" i="2"/>
  <c r="A333" i="2"/>
  <c r="L332" i="2"/>
  <c r="K332" i="2"/>
  <c r="J332" i="2"/>
  <c r="I332" i="2"/>
  <c r="H332" i="2"/>
  <c r="G332" i="2"/>
  <c r="F332" i="2"/>
  <c r="E332" i="2"/>
  <c r="D332" i="2"/>
  <c r="C332" i="2"/>
  <c r="B332" i="2"/>
  <c r="A332" i="2"/>
  <c r="L331" i="2"/>
  <c r="K331" i="2"/>
  <c r="J331" i="2"/>
  <c r="I331" i="2"/>
  <c r="H331" i="2"/>
  <c r="G331" i="2"/>
  <c r="F331" i="2"/>
  <c r="E331" i="2"/>
  <c r="D331" i="2"/>
  <c r="C331" i="2"/>
  <c r="B331" i="2"/>
  <c r="A331" i="2"/>
  <c r="L330" i="2"/>
  <c r="K330" i="2"/>
  <c r="J330" i="2"/>
  <c r="I330" i="2"/>
  <c r="H330" i="2"/>
  <c r="G330" i="2"/>
  <c r="F330" i="2"/>
  <c r="E330" i="2"/>
  <c r="D330" i="2"/>
  <c r="C330" i="2"/>
  <c r="B330" i="2"/>
  <c r="A330" i="2"/>
  <c r="L329" i="2"/>
  <c r="K329" i="2"/>
  <c r="J329" i="2"/>
  <c r="I329" i="2"/>
  <c r="H329" i="2"/>
  <c r="G329" i="2"/>
  <c r="F329" i="2"/>
  <c r="E329" i="2"/>
  <c r="D329" i="2"/>
  <c r="C329" i="2"/>
  <c r="B329" i="2"/>
  <c r="A329" i="2"/>
  <c r="L328" i="2"/>
  <c r="K328" i="2"/>
  <c r="J328" i="2"/>
  <c r="I328" i="2"/>
  <c r="H328" i="2"/>
  <c r="G328" i="2"/>
  <c r="F328" i="2"/>
  <c r="E328" i="2"/>
  <c r="D328" i="2"/>
  <c r="C328" i="2"/>
  <c r="B328" i="2"/>
  <c r="A328" i="2"/>
  <c r="L327" i="2"/>
  <c r="K327" i="2"/>
  <c r="J327" i="2"/>
  <c r="I327" i="2"/>
  <c r="H327" i="2"/>
  <c r="G327" i="2"/>
  <c r="F327" i="2"/>
  <c r="E327" i="2"/>
  <c r="D327" i="2"/>
  <c r="C327" i="2"/>
  <c r="B327" i="2"/>
  <c r="A327" i="2"/>
  <c r="L326" i="2"/>
  <c r="K326" i="2"/>
  <c r="J326" i="2"/>
  <c r="I326" i="2"/>
  <c r="H326" i="2"/>
  <c r="G326" i="2"/>
  <c r="F326" i="2"/>
  <c r="E326" i="2"/>
  <c r="D326" i="2"/>
  <c r="C326" i="2"/>
  <c r="B326" i="2"/>
  <c r="A326" i="2"/>
  <c r="L325" i="2"/>
  <c r="K325" i="2"/>
  <c r="J325" i="2"/>
  <c r="I325" i="2"/>
  <c r="H325" i="2"/>
  <c r="G325" i="2"/>
  <c r="F325" i="2"/>
  <c r="E325" i="2"/>
  <c r="D325" i="2"/>
  <c r="C325" i="2"/>
  <c r="B325" i="2"/>
  <c r="A325" i="2"/>
  <c r="L324" i="2"/>
  <c r="K324" i="2"/>
  <c r="J324" i="2"/>
  <c r="I324" i="2"/>
  <c r="H324" i="2"/>
  <c r="G324" i="2"/>
  <c r="F324" i="2"/>
  <c r="E324" i="2"/>
  <c r="D324" i="2"/>
  <c r="C324" i="2"/>
  <c r="B324" i="2"/>
  <c r="A324" i="2"/>
  <c r="L323" i="2"/>
  <c r="K323" i="2"/>
  <c r="J323" i="2"/>
  <c r="I323" i="2"/>
  <c r="H323" i="2"/>
  <c r="G323" i="2"/>
  <c r="F323" i="2"/>
  <c r="E323" i="2"/>
  <c r="D323" i="2"/>
  <c r="C323" i="2"/>
  <c r="B323" i="2"/>
  <c r="A323" i="2"/>
  <c r="L322" i="2"/>
  <c r="K322" i="2"/>
  <c r="J322" i="2"/>
  <c r="I322" i="2"/>
  <c r="H322" i="2"/>
  <c r="G322" i="2"/>
  <c r="F322" i="2"/>
  <c r="E322" i="2"/>
  <c r="D322" i="2"/>
  <c r="C322" i="2"/>
  <c r="B322" i="2"/>
  <c r="A322" i="2"/>
  <c r="L321" i="2"/>
  <c r="K321" i="2"/>
  <c r="J321" i="2"/>
  <c r="I321" i="2"/>
  <c r="H321" i="2"/>
  <c r="G321" i="2"/>
  <c r="F321" i="2"/>
  <c r="E321" i="2"/>
  <c r="D321" i="2"/>
  <c r="C321" i="2"/>
  <c r="B321" i="2"/>
  <c r="A321" i="2"/>
  <c r="L320" i="2"/>
  <c r="K320" i="2"/>
  <c r="J320" i="2"/>
  <c r="I320" i="2"/>
  <c r="H320" i="2"/>
  <c r="G320" i="2"/>
  <c r="F320" i="2"/>
  <c r="E320" i="2"/>
  <c r="D320" i="2"/>
  <c r="C320" i="2"/>
  <c r="B320" i="2"/>
  <c r="A320" i="2"/>
  <c r="L319" i="2"/>
  <c r="K319" i="2"/>
  <c r="J319" i="2"/>
  <c r="I319" i="2"/>
  <c r="H319" i="2"/>
  <c r="G319" i="2"/>
  <c r="F319" i="2"/>
  <c r="E319" i="2"/>
  <c r="D319" i="2"/>
  <c r="C319" i="2"/>
  <c r="B319" i="2"/>
  <c r="A319" i="2"/>
  <c r="L318" i="2"/>
  <c r="K318" i="2"/>
  <c r="J318" i="2"/>
  <c r="I318" i="2"/>
  <c r="H318" i="2"/>
  <c r="G318" i="2"/>
  <c r="F318" i="2"/>
  <c r="E318" i="2"/>
  <c r="D318" i="2"/>
  <c r="C318" i="2"/>
  <c r="B318" i="2"/>
  <c r="A318" i="2"/>
  <c r="L317" i="2"/>
  <c r="K317" i="2"/>
  <c r="J317" i="2"/>
  <c r="I317" i="2"/>
  <c r="H317" i="2"/>
  <c r="G317" i="2"/>
  <c r="F317" i="2"/>
  <c r="E317" i="2"/>
  <c r="D317" i="2"/>
  <c r="C317" i="2"/>
  <c r="B317" i="2"/>
  <c r="A317" i="2"/>
  <c r="L316" i="2"/>
  <c r="K316" i="2"/>
  <c r="J316" i="2"/>
  <c r="I316" i="2"/>
  <c r="H316" i="2"/>
  <c r="G316" i="2"/>
  <c r="F316" i="2"/>
  <c r="E316" i="2"/>
  <c r="D316" i="2"/>
  <c r="C316" i="2"/>
  <c r="B316" i="2"/>
  <c r="A316" i="2"/>
  <c r="L315" i="2"/>
  <c r="K315" i="2"/>
  <c r="J315" i="2"/>
  <c r="I315" i="2"/>
  <c r="H315" i="2"/>
  <c r="G315" i="2"/>
  <c r="F315" i="2"/>
  <c r="E315" i="2"/>
  <c r="D315" i="2"/>
  <c r="C315" i="2"/>
  <c r="B315" i="2"/>
  <c r="A315" i="2"/>
  <c r="L314" i="2"/>
  <c r="K314" i="2"/>
  <c r="J314" i="2"/>
  <c r="I314" i="2"/>
  <c r="H314" i="2"/>
  <c r="G314" i="2"/>
  <c r="F314" i="2"/>
  <c r="E314" i="2"/>
  <c r="D314" i="2"/>
  <c r="C314" i="2"/>
  <c r="B314" i="2"/>
  <c r="A314" i="2"/>
  <c r="L313" i="2"/>
  <c r="K313" i="2"/>
  <c r="J313" i="2"/>
  <c r="I313" i="2"/>
  <c r="H313" i="2"/>
  <c r="G313" i="2"/>
  <c r="F313" i="2"/>
  <c r="E313" i="2"/>
  <c r="D313" i="2"/>
  <c r="C313" i="2"/>
  <c r="B313" i="2"/>
  <c r="A313" i="2"/>
  <c r="L312" i="2"/>
  <c r="K312" i="2"/>
  <c r="J312" i="2"/>
  <c r="I312" i="2"/>
  <c r="H312" i="2"/>
  <c r="G312" i="2"/>
  <c r="F312" i="2"/>
  <c r="E312" i="2"/>
  <c r="D312" i="2"/>
  <c r="C312" i="2"/>
  <c r="B312" i="2"/>
  <c r="A312" i="2"/>
  <c r="L311" i="2"/>
  <c r="K311" i="2"/>
  <c r="J311" i="2"/>
  <c r="I311" i="2"/>
  <c r="H311" i="2"/>
  <c r="G311" i="2"/>
  <c r="F311" i="2"/>
  <c r="E311" i="2"/>
  <c r="D311" i="2"/>
  <c r="C311" i="2"/>
  <c r="B311" i="2"/>
  <c r="A311" i="2"/>
  <c r="L310" i="2"/>
  <c r="K310" i="2"/>
  <c r="J310" i="2"/>
  <c r="I310" i="2"/>
  <c r="H310" i="2"/>
  <c r="G310" i="2"/>
  <c r="F310" i="2"/>
  <c r="E310" i="2"/>
  <c r="D310" i="2"/>
  <c r="C310" i="2"/>
  <c r="B310" i="2"/>
  <c r="A310" i="2"/>
  <c r="L309" i="2"/>
  <c r="K309" i="2"/>
  <c r="J309" i="2"/>
  <c r="I309" i="2"/>
  <c r="H309" i="2"/>
  <c r="G309" i="2"/>
  <c r="F309" i="2"/>
  <c r="E309" i="2"/>
  <c r="D309" i="2"/>
  <c r="C309" i="2"/>
  <c r="B309" i="2"/>
  <c r="A309" i="2"/>
  <c r="L308" i="2"/>
  <c r="K308" i="2"/>
  <c r="J308" i="2"/>
  <c r="I308" i="2"/>
  <c r="H308" i="2"/>
  <c r="G308" i="2"/>
  <c r="F308" i="2"/>
  <c r="E308" i="2"/>
  <c r="D308" i="2"/>
  <c r="C308" i="2"/>
  <c r="B308" i="2"/>
  <c r="A308" i="2"/>
  <c r="L307" i="2"/>
  <c r="K307" i="2"/>
  <c r="J307" i="2"/>
  <c r="I307" i="2"/>
  <c r="H307" i="2"/>
  <c r="G307" i="2"/>
  <c r="F307" i="2"/>
  <c r="E307" i="2"/>
  <c r="D307" i="2"/>
  <c r="C307" i="2"/>
  <c r="B307" i="2"/>
  <c r="A307" i="2"/>
  <c r="L306" i="2"/>
  <c r="K306" i="2"/>
  <c r="J306" i="2"/>
  <c r="I306" i="2"/>
  <c r="H306" i="2"/>
  <c r="G306" i="2"/>
  <c r="F306" i="2"/>
  <c r="E306" i="2"/>
  <c r="D306" i="2"/>
  <c r="C306" i="2"/>
  <c r="B306" i="2"/>
  <c r="A306" i="2"/>
  <c r="L305" i="2"/>
  <c r="K305" i="2"/>
  <c r="J305" i="2"/>
  <c r="I305" i="2"/>
  <c r="H305" i="2"/>
  <c r="G305" i="2"/>
  <c r="F305" i="2"/>
  <c r="E305" i="2"/>
  <c r="D305" i="2"/>
  <c r="C305" i="2"/>
  <c r="B305" i="2"/>
  <c r="A305" i="2"/>
  <c r="L304" i="2"/>
  <c r="K304" i="2"/>
  <c r="J304" i="2"/>
  <c r="I304" i="2"/>
  <c r="H304" i="2"/>
  <c r="G304" i="2"/>
  <c r="F304" i="2"/>
  <c r="E304" i="2"/>
  <c r="D304" i="2"/>
  <c r="C304" i="2"/>
  <c r="B304" i="2"/>
  <c r="A304" i="2"/>
  <c r="L303" i="2"/>
  <c r="K303" i="2"/>
  <c r="J303" i="2"/>
  <c r="I303" i="2"/>
  <c r="H303" i="2"/>
  <c r="G303" i="2"/>
  <c r="F303" i="2"/>
  <c r="E303" i="2"/>
  <c r="D303" i="2"/>
  <c r="C303" i="2"/>
  <c r="B303" i="2"/>
  <c r="A303" i="2"/>
  <c r="L302" i="2"/>
  <c r="K302" i="2"/>
  <c r="J302" i="2"/>
  <c r="I302" i="2"/>
  <c r="H302" i="2"/>
  <c r="G302" i="2"/>
  <c r="F302" i="2"/>
  <c r="E302" i="2"/>
  <c r="D302" i="2"/>
  <c r="C302" i="2"/>
  <c r="B302" i="2"/>
  <c r="A302" i="2"/>
  <c r="L301" i="2"/>
  <c r="K301" i="2"/>
  <c r="J301" i="2"/>
  <c r="I301" i="2"/>
  <c r="H301" i="2"/>
  <c r="G301" i="2"/>
  <c r="F301" i="2"/>
  <c r="E301" i="2"/>
  <c r="D301" i="2"/>
  <c r="C301" i="2"/>
  <c r="B301" i="2"/>
  <c r="A301" i="2"/>
  <c r="L300" i="2"/>
  <c r="K300" i="2"/>
  <c r="J300" i="2"/>
  <c r="I300" i="2"/>
  <c r="H300" i="2"/>
  <c r="G300" i="2"/>
  <c r="F300" i="2"/>
  <c r="E300" i="2"/>
  <c r="D300" i="2"/>
  <c r="C300" i="2"/>
  <c r="B300" i="2"/>
  <c r="A300" i="2"/>
  <c r="L299" i="2"/>
  <c r="K299" i="2"/>
  <c r="J299" i="2"/>
  <c r="I299" i="2"/>
  <c r="H299" i="2"/>
  <c r="G299" i="2"/>
  <c r="F299" i="2"/>
  <c r="E299" i="2"/>
  <c r="D299" i="2"/>
  <c r="C299" i="2"/>
  <c r="B299" i="2"/>
  <c r="A299" i="2"/>
  <c r="L298" i="2"/>
  <c r="K298" i="2"/>
  <c r="J298" i="2"/>
  <c r="I298" i="2"/>
  <c r="H298" i="2"/>
  <c r="G298" i="2"/>
  <c r="F298" i="2"/>
  <c r="E298" i="2"/>
  <c r="D298" i="2"/>
  <c r="C298" i="2"/>
  <c r="B298" i="2"/>
  <c r="A298" i="2"/>
  <c r="L297" i="2"/>
  <c r="K297" i="2"/>
  <c r="J297" i="2"/>
  <c r="I297" i="2"/>
  <c r="H297" i="2"/>
  <c r="G297" i="2"/>
  <c r="F297" i="2"/>
  <c r="E297" i="2"/>
  <c r="D297" i="2"/>
  <c r="C297" i="2"/>
  <c r="B297" i="2"/>
  <c r="A297" i="2"/>
  <c r="L296" i="2"/>
  <c r="K296" i="2"/>
  <c r="J296" i="2"/>
  <c r="I296" i="2"/>
  <c r="H296" i="2"/>
  <c r="G296" i="2"/>
  <c r="F296" i="2"/>
  <c r="E296" i="2"/>
  <c r="D296" i="2"/>
  <c r="C296" i="2"/>
  <c r="B296" i="2"/>
  <c r="A296" i="2"/>
  <c r="L295" i="2"/>
  <c r="K295" i="2"/>
  <c r="J295" i="2"/>
  <c r="I295" i="2"/>
  <c r="H295" i="2"/>
  <c r="G295" i="2"/>
  <c r="F295" i="2"/>
  <c r="E295" i="2"/>
  <c r="D295" i="2"/>
  <c r="C295" i="2"/>
  <c r="B295" i="2"/>
  <c r="A295" i="2"/>
  <c r="L294" i="2"/>
  <c r="K294" i="2"/>
  <c r="J294" i="2"/>
  <c r="I294" i="2"/>
  <c r="H294" i="2"/>
  <c r="G294" i="2"/>
  <c r="F294" i="2"/>
  <c r="E294" i="2"/>
  <c r="D294" i="2"/>
  <c r="C294" i="2"/>
  <c r="B294" i="2"/>
  <c r="A294" i="2"/>
  <c r="L293" i="2"/>
  <c r="K293" i="2"/>
  <c r="J293" i="2"/>
  <c r="I293" i="2"/>
  <c r="H293" i="2"/>
  <c r="G293" i="2"/>
  <c r="F293" i="2"/>
  <c r="E293" i="2"/>
  <c r="D293" i="2"/>
  <c r="C293" i="2"/>
  <c r="B293" i="2"/>
  <c r="A293" i="2"/>
  <c r="L292" i="2"/>
  <c r="K292" i="2"/>
  <c r="J292" i="2"/>
  <c r="I292" i="2"/>
  <c r="H292" i="2"/>
  <c r="G292" i="2"/>
  <c r="F292" i="2"/>
  <c r="E292" i="2"/>
  <c r="D292" i="2"/>
  <c r="C292" i="2"/>
  <c r="B292" i="2"/>
  <c r="A292" i="2"/>
  <c r="L291" i="2"/>
  <c r="K291" i="2"/>
  <c r="J291" i="2"/>
  <c r="I291" i="2"/>
  <c r="H291" i="2"/>
  <c r="G291" i="2"/>
  <c r="F291" i="2"/>
  <c r="E291" i="2"/>
  <c r="D291" i="2"/>
  <c r="C291" i="2"/>
  <c r="B291" i="2"/>
  <c r="A291" i="2"/>
  <c r="L290" i="2"/>
  <c r="K290" i="2"/>
  <c r="J290" i="2"/>
  <c r="I290" i="2"/>
  <c r="H290" i="2"/>
  <c r="G290" i="2"/>
  <c r="F290" i="2"/>
  <c r="E290" i="2"/>
  <c r="D290" i="2"/>
  <c r="C290" i="2"/>
  <c r="B290" i="2"/>
  <c r="A290" i="2"/>
  <c r="L289" i="2"/>
  <c r="K289" i="2"/>
  <c r="J289" i="2"/>
  <c r="I289" i="2"/>
  <c r="H289" i="2"/>
  <c r="G289" i="2"/>
  <c r="F289" i="2"/>
  <c r="E289" i="2"/>
  <c r="D289" i="2"/>
  <c r="C289" i="2"/>
  <c r="B289" i="2"/>
  <c r="A289" i="2"/>
  <c r="L288" i="2"/>
  <c r="K288" i="2"/>
  <c r="J288" i="2"/>
  <c r="I288" i="2"/>
  <c r="H288" i="2"/>
  <c r="G288" i="2"/>
  <c r="F288" i="2"/>
  <c r="E288" i="2"/>
  <c r="D288" i="2"/>
  <c r="C288" i="2"/>
  <c r="B288" i="2"/>
  <c r="A288" i="2"/>
  <c r="L287" i="2"/>
  <c r="K287" i="2"/>
  <c r="J287" i="2"/>
  <c r="I287" i="2"/>
  <c r="H287" i="2"/>
  <c r="G287" i="2"/>
  <c r="F287" i="2"/>
  <c r="E287" i="2"/>
  <c r="D287" i="2"/>
  <c r="C287" i="2"/>
  <c r="B287" i="2"/>
  <c r="A287" i="2"/>
  <c r="L286" i="2"/>
  <c r="K286" i="2"/>
  <c r="J286" i="2"/>
  <c r="I286" i="2"/>
  <c r="H286" i="2"/>
  <c r="G286" i="2"/>
  <c r="F286" i="2"/>
  <c r="E286" i="2"/>
  <c r="D286" i="2"/>
  <c r="C286" i="2"/>
  <c r="B286" i="2"/>
  <c r="A286" i="2"/>
  <c r="L285" i="2"/>
  <c r="K285" i="2"/>
  <c r="J285" i="2"/>
  <c r="I285" i="2"/>
  <c r="H285" i="2"/>
  <c r="G285" i="2"/>
  <c r="F285" i="2"/>
  <c r="E285" i="2"/>
  <c r="D285" i="2"/>
  <c r="C285" i="2"/>
  <c r="B285" i="2"/>
  <c r="A285" i="2"/>
  <c r="L284" i="2"/>
  <c r="K284" i="2"/>
  <c r="J284" i="2"/>
  <c r="I284" i="2"/>
  <c r="H284" i="2"/>
  <c r="G284" i="2"/>
  <c r="F284" i="2"/>
  <c r="E284" i="2"/>
  <c r="D284" i="2"/>
  <c r="C284" i="2"/>
  <c r="B284" i="2"/>
  <c r="A284" i="2"/>
  <c r="L283" i="2"/>
  <c r="K283" i="2"/>
  <c r="J283" i="2"/>
  <c r="I283" i="2"/>
  <c r="H283" i="2"/>
  <c r="G283" i="2"/>
  <c r="F283" i="2"/>
  <c r="E283" i="2"/>
  <c r="D283" i="2"/>
  <c r="C283" i="2"/>
  <c r="B283" i="2"/>
  <c r="A283" i="2"/>
  <c r="L282" i="2"/>
  <c r="K282" i="2"/>
  <c r="J282" i="2"/>
  <c r="I282" i="2"/>
  <c r="H282" i="2"/>
  <c r="G282" i="2"/>
  <c r="F282" i="2"/>
  <c r="E282" i="2"/>
  <c r="D282" i="2"/>
  <c r="C282" i="2"/>
  <c r="B282" i="2"/>
  <c r="A282" i="2"/>
  <c r="L281" i="2"/>
  <c r="K281" i="2"/>
  <c r="J281" i="2"/>
  <c r="I281" i="2"/>
  <c r="H281" i="2"/>
  <c r="G281" i="2"/>
  <c r="F281" i="2"/>
  <c r="E281" i="2"/>
  <c r="D281" i="2"/>
  <c r="C281" i="2"/>
  <c r="B281" i="2"/>
  <c r="A281" i="2"/>
  <c r="L280" i="2"/>
  <c r="K280" i="2"/>
  <c r="J280" i="2"/>
  <c r="I280" i="2"/>
  <c r="H280" i="2"/>
  <c r="G280" i="2"/>
  <c r="F280" i="2"/>
  <c r="E280" i="2"/>
  <c r="D280" i="2"/>
  <c r="C280" i="2"/>
  <c r="B280" i="2"/>
  <c r="A280" i="2"/>
  <c r="L279" i="2"/>
  <c r="K279" i="2"/>
  <c r="J279" i="2"/>
  <c r="I279" i="2"/>
  <c r="H279" i="2"/>
  <c r="G279" i="2"/>
  <c r="F279" i="2"/>
  <c r="E279" i="2"/>
  <c r="D279" i="2"/>
  <c r="C279" i="2"/>
  <c r="B279" i="2"/>
  <c r="A279" i="2"/>
  <c r="L278" i="2"/>
  <c r="K278" i="2"/>
  <c r="J278" i="2"/>
  <c r="I278" i="2"/>
  <c r="H278" i="2"/>
  <c r="G278" i="2"/>
  <c r="F278" i="2"/>
  <c r="E278" i="2"/>
  <c r="D278" i="2"/>
  <c r="C278" i="2"/>
  <c r="B278" i="2"/>
  <c r="A278" i="2"/>
  <c r="L277" i="2"/>
  <c r="K277" i="2"/>
  <c r="J277" i="2"/>
  <c r="I277" i="2"/>
  <c r="H277" i="2"/>
  <c r="G277" i="2"/>
  <c r="F277" i="2"/>
  <c r="E277" i="2"/>
  <c r="D277" i="2"/>
  <c r="C277" i="2"/>
  <c r="B277" i="2"/>
  <c r="A277" i="2"/>
  <c r="L276" i="2"/>
  <c r="K276" i="2"/>
  <c r="J276" i="2"/>
  <c r="I276" i="2"/>
  <c r="H276" i="2"/>
  <c r="G276" i="2"/>
  <c r="F276" i="2"/>
  <c r="E276" i="2"/>
  <c r="D276" i="2"/>
  <c r="C276" i="2"/>
  <c r="B276" i="2"/>
  <c r="A276" i="2"/>
  <c r="L275" i="2"/>
  <c r="K275" i="2"/>
  <c r="J275" i="2"/>
  <c r="I275" i="2"/>
  <c r="H275" i="2"/>
  <c r="G275" i="2"/>
  <c r="F275" i="2"/>
  <c r="E275" i="2"/>
  <c r="D275" i="2"/>
  <c r="C275" i="2"/>
  <c r="B275" i="2"/>
  <c r="A275" i="2"/>
  <c r="L274" i="2"/>
  <c r="K274" i="2"/>
  <c r="J274" i="2"/>
  <c r="I274" i="2"/>
  <c r="H274" i="2"/>
  <c r="G274" i="2"/>
  <c r="F274" i="2"/>
  <c r="E274" i="2"/>
  <c r="D274" i="2"/>
  <c r="C274" i="2"/>
  <c r="B274" i="2"/>
  <c r="A274" i="2"/>
  <c r="L273" i="2"/>
  <c r="K273" i="2"/>
  <c r="J273" i="2"/>
  <c r="I273" i="2"/>
  <c r="H273" i="2"/>
  <c r="G273" i="2"/>
  <c r="F273" i="2"/>
  <c r="E273" i="2"/>
  <c r="D273" i="2"/>
  <c r="C273" i="2"/>
  <c r="B273" i="2"/>
  <c r="A273" i="2"/>
  <c r="L272" i="2"/>
  <c r="K272" i="2"/>
  <c r="J272" i="2"/>
  <c r="I272" i="2"/>
  <c r="H272" i="2"/>
  <c r="G272" i="2"/>
  <c r="F272" i="2"/>
  <c r="E272" i="2"/>
  <c r="D272" i="2"/>
  <c r="C272" i="2"/>
  <c r="B272" i="2"/>
  <c r="A272" i="2"/>
  <c r="L271" i="2"/>
  <c r="K271" i="2"/>
  <c r="J271" i="2"/>
  <c r="I271" i="2"/>
  <c r="H271" i="2"/>
  <c r="G271" i="2"/>
  <c r="F271" i="2"/>
  <c r="E271" i="2"/>
  <c r="D271" i="2"/>
  <c r="C271" i="2"/>
  <c r="B271" i="2"/>
  <c r="A271" i="2"/>
  <c r="L270" i="2"/>
  <c r="K270" i="2"/>
  <c r="J270" i="2"/>
  <c r="I270" i="2"/>
  <c r="H270" i="2"/>
  <c r="G270" i="2"/>
  <c r="F270" i="2"/>
  <c r="E270" i="2"/>
  <c r="D270" i="2"/>
  <c r="C270" i="2"/>
  <c r="B270" i="2"/>
  <c r="A270" i="2"/>
  <c r="L269" i="2"/>
  <c r="K269" i="2"/>
  <c r="J269" i="2"/>
  <c r="I269" i="2"/>
  <c r="H269" i="2"/>
  <c r="G269" i="2"/>
  <c r="F269" i="2"/>
  <c r="E269" i="2"/>
  <c r="D269" i="2"/>
  <c r="C269" i="2"/>
  <c r="B269" i="2"/>
  <c r="A269" i="2"/>
  <c r="L268" i="2"/>
  <c r="K268" i="2"/>
  <c r="J268" i="2"/>
  <c r="I268" i="2"/>
  <c r="H268" i="2"/>
  <c r="G268" i="2"/>
  <c r="F268" i="2"/>
  <c r="E268" i="2"/>
  <c r="D268" i="2"/>
  <c r="C268" i="2"/>
  <c r="B268" i="2"/>
  <c r="A268" i="2"/>
  <c r="L267" i="2"/>
  <c r="K267" i="2"/>
  <c r="J267" i="2"/>
  <c r="I267" i="2"/>
  <c r="H267" i="2"/>
  <c r="G267" i="2"/>
  <c r="F267" i="2"/>
  <c r="E267" i="2"/>
  <c r="D267" i="2"/>
  <c r="C267" i="2"/>
  <c r="B267" i="2"/>
  <c r="A267" i="2"/>
  <c r="L266" i="2"/>
  <c r="K266" i="2"/>
  <c r="J266" i="2"/>
  <c r="I266" i="2"/>
  <c r="H266" i="2"/>
  <c r="G266" i="2"/>
  <c r="F266" i="2"/>
  <c r="E266" i="2"/>
  <c r="D266" i="2"/>
  <c r="C266" i="2"/>
  <c r="B266" i="2"/>
  <c r="A266" i="2"/>
  <c r="L265" i="2"/>
  <c r="K265" i="2"/>
  <c r="J265" i="2"/>
  <c r="I265" i="2"/>
  <c r="H265" i="2"/>
  <c r="G265" i="2"/>
  <c r="F265" i="2"/>
  <c r="E265" i="2"/>
  <c r="D265" i="2"/>
  <c r="C265" i="2"/>
  <c r="B265" i="2"/>
  <c r="A265" i="2"/>
  <c r="L264" i="2"/>
  <c r="K264" i="2"/>
  <c r="J264" i="2"/>
  <c r="I264" i="2"/>
  <c r="H264" i="2"/>
  <c r="G264" i="2"/>
  <c r="F264" i="2"/>
  <c r="E264" i="2"/>
  <c r="D264" i="2"/>
  <c r="C264" i="2"/>
  <c r="B264" i="2"/>
  <c r="A264" i="2"/>
  <c r="L263" i="2"/>
  <c r="K263" i="2"/>
  <c r="J263" i="2"/>
  <c r="I263" i="2"/>
  <c r="H263" i="2"/>
  <c r="G263" i="2"/>
  <c r="F263" i="2"/>
  <c r="E263" i="2"/>
  <c r="D263" i="2"/>
  <c r="C263" i="2"/>
  <c r="B263" i="2"/>
  <c r="A263" i="2"/>
  <c r="L262" i="2"/>
  <c r="K262" i="2"/>
  <c r="J262" i="2"/>
  <c r="I262" i="2"/>
  <c r="H262" i="2"/>
  <c r="G262" i="2"/>
  <c r="F262" i="2"/>
  <c r="E262" i="2"/>
  <c r="D262" i="2"/>
  <c r="C262" i="2"/>
  <c r="B262" i="2"/>
  <c r="A262" i="2"/>
  <c r="L261" i="2"/>
  <c r="K261" i="2"/>
  <c r="J261" i="2"/>
  <c r="I261" i="2"/>
  <c r="H261" i="2"/>
  <c r="G261" i="2"/>
  <c r="F261" i="2"/>
  <c r="E261" i="2"/>
  <c r="D261" i="2"/>
  <c r="C261" i="2"/>
  <c r="B261" i="2"/>
  <c r="A261" i="2"/>
  <c r="L260" i="2"/>
  <c r="K260" i="2"/>
  <c r="J260" i="2"/>
  <c r="I260" i="2"/>
  <c r="H260" i="2"/>
  <c r="G260" i="2"/>
  <c r="F260" i="2"/>
  <c r="E260" i="2"/>
  <c r="D260" i="2"/>
  <c r="C260" i="2"/>
  <c r="B260" i="2"/>
  <c r="A260" i="2"/>
  <c r="L259" i="2"/>
  <c r="K259" i="2"/>
  <c r="J259" i="2"/>
  <c r="I259" i="2"/>
  <c r="H259" i="2"/>
  <c r="G259" i="2"/>
  <c r="F259" i="2"/>
  <c r="E259" i="2"/>
  <c r="D259" i="2"/>
  <c r="C259" i="2"/>
  <c r="B259" i="2"/>
  <c r="A259" i="2"/>
  <c r="L258" i="2"/>
  <c r="K258" i="2"/>
  <c r="J258" i="2"/>
  <c r="I258" i="2"/>
  <c r="H258" i="2"/>
  <c r="G258" i="2"/>
  <c r="F258" i="2"/>
  <c r="E258" i="2"/>
  <c r="D258" i="2"/>
  <c r="C258" i="2"/>
  <c r="B258" i="2"/>
  <c r="A258" i="2"/>
  <c r="L257" i="2"/>
  <c r="K257" i="2"/>
  <c r="J257" i="2"/>
  <c r="I257" i="2"/>
  <c r="H257" i="2"/>
  <c r="G257" i="2"/>
  <c r="F257" i="2"/>
  <c r="E257" i="2"/>
  <c r="D257" i="2"/>
  <c r="C257" i="2"/>
  <c r="B257" i="2"/>
  <c r="A257" i="2"/>
  <c r="L256" i="2"/>
  <c r="K256" i="2"/>
  <c r="J256" i="2"/>
  <c r="I256" i="2"/>
  <c r="H256" i="2"/>
  <c r="G256" i="2"/>
  <c r="F256" i="2"/>
  <c r="E256" i="2"/>
  <c r="D256" i="2"/>
  <c r="C256" i="2"/>
  <c r="B256" i="2"/>
  <c r="A256" i="2"/>
  <c r="L255" i="2"/>
  <c r="K255" i="2"/>
  <c r="J255" i="2"/>
  <c r="I255" i="2"/>
  <c r="H255" i="2"/>
  <c r="G255" i="2"/>
  <c r="F255" i="2"/>
  <c r="E255" i="2"/>
  <c r="D255" i="2"/>
  <c r="C255" i="2"/>
  <c r="B255" i="2"/>
  <c r="A255" i="2"/>
  <c r="L254" i="2"/>
  <c r="K254" i="2"/>
  <c r="J254" i="2"/>
  <c r="I254" i="2"/>
  <c r="H254" i="2"/>
  <c r="G254" i="2"/>
  <c r="F254" i="2"/>
  <c r="E254" i="2"/>
  <c r="D254" i="2"/>
  <c r="C254" i="2"/>
  <c r="B254" i="2"/>
  <c r="A254" i="2"/>
  <c r="L253" i="2"/>
  <c r="K253" i="2"/>
  <c r="J253" i="2"/>
  <c r="I253" i="2"/>
  <c r="H253" i="2"/>
  <c r="G253" i="2"/>
  <c r="F253" i="2"/>
  <c r="E253" i="2"/>
  <c r="D253" i="2"/>
  <c r="C253" i="2"/>
  <c r="B253" i="2"/>
  <c r="A253" i="2"/>
  <c r="L252" i="2"/>
  <c r="K252" i="2"/>
  <c r="J252" i="2"/>
  <c r="I252" i="2"/>
  <c r="H252" i="2"/>
  <c r="G252" i="2"/>
  <c r="F252" i="2"/>
  <c r="E252" i="2"/>
  <c r="D252" i="2"/>
  <c r="C252" i="2"/>
  <c r="B252" i="2"/>
  <c r="A252" i="2"/>
  <c r="L251" i="2"/>
  <c r="K251" i="2"/>
  <c r="J251" i="2"/>
  <c r="I251" i="2"/>
  <c r="H251" i="2"/>
  <c r="G251" i="2"/>
  <c r="F251" i="2"/>
  <c r="E251" i="2"/>
  <c r="D251" i="2"/>
  <c r="C251" i="2"/>
  <c r="B251" i="2"/>
  <c r="A251" i="2"/>
  <c r="L250" i="2"/>
  <c r="K250" i="2"/>
  <c r="J250" i="2"/>
  <c r="I250" i="2"/>
  <c r="H250" i="2"/>
  <c r="G250" i="2"/>
  <c r="F250" i="2"/>
  <c r="E250" i="2"/>
  <c r="D250" i="2"/>
  <c r="C250" i="2"/>
  <c r="B250" i="2"/>
  <c r="A250" i="2"/>
  <c r="L249" i="2"/>
  <c r="K249" i="2"/>
  <c r="J249" i="2"/>
  <c r="I249" i="2"/>
  <c r="H249" i="2"/>
  <c r="G249" i="2"/>
  <c r="F249" i="2"/>
  <c r="E249" i="2"/>
  <c r="D249" i="2"/>
  <c r="C249" i="2"/>
  <c r="B249" i="2"/>
  <c r="A249" i="2"/>
  <c r="L248" i="2"/>
  <c r="K248" i="2"/>
  <c r="J248" i="2"/>
  <c r="I248" i="2"/>
  <c r="H248" i="2"/>
  <c r="G248" i="2"/>
  <c r="F248" i="2"/>
  <c r="E248" i="2"/>
  <c r="D248" i="2"/>
  <c r="C248" i="2"/>
  <c r="B248" i="2"/>
  <c r="A248" i="2"/>
  <c r="L247" i="2"/>
  <c r="K247" i="2"/>
  <c r="J247" i="2"/>
  <c r="I247" i="2"/>
  <c r="H247" i="2"/>
  <c r="G247" i="2"/>
  <c r="F247" i="2"/>
  <c r="E247" i="2"/>
  <c r="D247" i="2"/>
  <c r="C247" i="2"/>
  <c r="B247" i="2"/>
  <c r="A247" i="2"/>
  <c r="L246" i="2"/>
  <c r="K246" i="2"/>
  <c r="J246" i="2"/>
  <c r="I246" i="2"/>
  <c r="H246" i="2"/>
  <c r="G246" i="2"/>
  <c r="F246" i="2"/>
  <c r="E246" i="2"/>
  <c r="D246" i="2"/>
  <c r="C246" i="2"/>
  <c r="B246" i="2"/>
  <c r="A246" i="2"/>
  <c r="L245" i="2"/>
  <c r="K245" i="2"/>
  <c r="J245" i="2"/>
  <c r="I245" i="2"/>
  <c r="H245" i="2"/>
  <c r="G245" i="2"/>
  <c r="F245" i="2"/>
  <c r="E245" i="2"/>
  <c r="D245" i="2"/>
  <c r="C245" i="2"/>
  <c r="B245" i="2"/>
  <c r="A245" i="2"/>
  <c r="L244" i="2"/>
  <c r="K244" i="2"/>
  <c r="J244" i="2"/>
  <c r="I244" i="2"/>
  <c r="H244" i="2"/>
  <c r="G244" i="2"/>
  <c r="F244" i="2"/>
  <c r="E244" i="2"/>
  <c r="D244" i="2"/>
  <c r="C244" i="2"/>
  <c r="B244" i="2"/>
  <c r="A244" i="2"/>
  <c r="L243" i="2"/>
  <c r="K243" i="2"/>
  <c r="J243" i="2"/>
  <c r="I243" i="2"/>
  <c r="H243" i="2"/>
  <c r="G243" i="2"/>
  <c r="F243" i="2"/>
  <c r="E243" i="2"/>
  <c r="D243" i="2"/>
  <c r="C243" i="2"/>
  <c r="B243" i="2"/>
  <c r="A243" i="2"/>
  <c r="L242" i="2"/>
  <c r="K242" i="2"/>
  <c r="J242" i="2"/>
  <c r="I242" i="2"/>
  <c r="H242" i="2"/>
  <c r="G242" i="2"/>
  <c r="F242" i="2"/>
  <c r="E242" i="2"/>
  <c r="D242" i="2"/>
  <c r="C242" i="2"/>
  <c r="B242" i="2"/>
  <c r="A242" i="2"/>
  <c r="L241" i="2"/>
  <c r="K241" i="2"/>
  <c r="J241" i="2"/>
  <c r="I241" i="2"/>
  <c r="H241" i="2"/>
  <c r="G241" i="2"/>
  <c r="F241" i="2"/>
  <c r="E241" i="2"/>
  <c r="D241" i="2"/>
  <c r="C241" i="2"/>
  <c r="B241" i="2"/>
  <c r="A241" i="2"/>
  <c r="L240" i="2"/>
  <c r="K240" i="2"/>
  <c r="J240" i="2"/>
  <c r="I240" i="2"/>
  <c r="H240" i="2"/>
  <c r="G240" i="2"/>
  <c r="F240" i="2"/>
  <c r="E240" i="2"/>
  <c r="D240" i="2"/>
  <c r="C240" i="2"/>
  <c r="B240" i="2"/>
  <c r="A240" i="2"/>
  <c r="L239" i="2"/>
  <c r="K239" i="2"/>
  <c r="J239" i="2"/>
  <c r="I239" i="2"/>
  <c r="H239" i="2"/>
  <c r="G239" i="2"/>
  <c r="F239" i="2"/>
  <c r="E239" i="2"/>
  <c r="D239" i="2"/>
  <c r="C239" i="2"/>
  <c r="B239" i="2"/>
  <c r="A239" i="2"/>
  <c r="L238" i="2"/>
  <c r="K238" i="2"/>
  <c r="J238" i="2"/>
  <c r="I238" i="2"/>
  <c r="H238" i="2"/>
  <c r="G238" i="2"/>
  <c r="F238" i="2"/>
  <c r="E238" i="2"/>
  <c r="D238" i="2"/>
  <c r="C238" i="2"/>
  <c r="B238" i="2"/>
  <c r="A238" i="2"/>
  <c r="L237" i="2"/>
  <c r="K237" i="2"/>
  <c r="J237" i="2"/>
  <c r="I237" i="2"/>
  <c r="H237" i="2"/>
  <c r="G237" i="2"/>
  <c r="F237" i="2"/>
  <c r="E237" i="2"/>
  <c r="D237" i="2"/>
  <c r="C237" i="2"/>
  <c r="B237" i="2"/>
  <c r="A237" i="2"/>
  <c r="L236" i="2"/>
  <c r="K236" i="2"/>
  <c r="J236" i="2"/>
  <c r="I236" i="2"/>
  <c r="H236" i="2"/>
  <c r="G236" i="2"/>
  <c r="F236" i="2"/>
  <c r="E236" i="2"/>
  <c r="D236" i="2"/>
  <c r="C236" i="2"/>
  <c r="B236" i="2"/>
  <c r="A236" i="2"/>
  <c r="L235" i="2"/>
  <c r="K235" i="2"/>
  <c r="J235" i="2"/>
  <c r="I235" i="2"/>
  <c r="H235" i="2"/>
  <c r="G235" i="2"/>
  <c r="F235" i="2"/>
  <c r="E235" i="2"/>
  <c r="D235" i="2"/>
  <c r="C235" i="2"/>
  <c r="B235" i="2"/>
  <c r="A235" i="2"/>
  <c r="L234" i="2"/>
  <c r="K234" i="2"/>
  <c r="J234" i="2"/>
  <c r="I234" i="2"/>
  <c r="H234" i="2"/>
  <c r="G234" i="2"/>
  <c r="F234" i="2"/>
  <c r="E234" i="2"/>
  <c r="D234" i="2"/>
  <c r="C234" i="2"/>
  <c r="B234" i="2"/>
  <c r="A234" i="2"/>
  <c r="L233" i="2"/>
  <c r="K233" i="2"/>
  <c r="J233" i="2"/>
  <c r="I233" i="2"/>
  <c r="H233" i="2"/>
  <c r="G233" i="2"/>
  <c r="F233" i="2"/>
  <c r="E233" i="2"/>
  <c r="D233" i="2"/>
  <c r="C233" i="2"/>
  <c r="B233" i="2"/>
  <c r="A233" i="2"/>
  <c r="L232" i="2"/>
  <c r="K232" i="2"/>
  <c r="J232" i="2"/>
  <c r="I232" i="2"/>
  <c r="H232" i="2"/>
  <c r="G232" i="2"/>
  <c r="F232" i="2"/>
  <c r="E232" i="2"/>
  <c r="D232" i="2"/>
  <c r="C232" i="2"/>
  <c r="B232" i="2"/>
  <c r="A232" i="2"/>
  <c r="L231" i="2"/>
  <c r="K231" i="2"/>
  <c r="J231" i="2"/>
  <c r="I231" i="2"/>
  <c r="H231" i="2"/>
  <c r="G231" i="2"/>
  <c r="F231" i="2"/>
  <c r="E231" i="2"/>
  <c r="D231" i="2"/>
  <c r="C231" i="2"/>
  <c r="B231" i="2"/>
  <c r="A231" i="2"/>
  <c r="L230" i="2"/>
  <c r="K230" i="2"/>
  <c r="J230" i="2"/>
  <c r="I230" i="2"/>
  <c r="H230" i="2"/>
  <c r="G230" i="2"/>
  <c r="F230" i="2"/>
  <c r="E230" i="2"/>
  <c r="D230" i="2"/>
  <c r="C230" i="2"/>
  <c r="B230" i="2"/>
  <c r="A230" i="2"/>
  <c r="L229" i="2"/>
  <c r="K229" i="2"/>
  <c r="J229" i="2"/>
  <c r="I229" i="2"/>
  <c r="H229" i="2"/>
  <c r="G229" i="2"/>
  <c r="F229" i="2"/>
  <c r="E229" i="2"/>
  <c r="D229" i="2"/>
  <c r="C229" i="2"/>
  <c r="B229" i="2"/>
  <c r="A229" i="2"/>
  <c r="L228" i="2"/>
  <c r="K228" i="2"/>
  <c r="J228" i="2"/>
  <c r="I228" i="2"/>
  <c r="H228" i="2"/>
  <c r="G228" i="2"/>
  <c r="F228" i="2"/>
  <c r="E228" i="2"/>
  <c r="D228" i="2"/>
  <c r="C228" i="2"/>
  <c r="B228" i="2"/>
  <c r="A228" i="2"/>
  <c r="L227" i="2"/>
  <c r="K227" i="2"/>
  <c r="J227" i="2"/>
  <c r="I227" i="2"/>
  <c r="H227" i="2"/>
  <c r="G227" i="2"/>
  <c r="F227" i="2"/>
  <c r="E227" i="2"/>
  <c r="D227" i="2"/>
  <c r="C227" i="2"/>
  <c r="B227" i="2"/>
  <c r="A227" i="2"/>
  <c r="L226" i="2"/>
  <c r="K226" i="2"/>
  <c r="J226" i="2"/>
  <c r="I226" i="2"/>
  <c r="H226" i="2"/>
  <c r="G226" i="2"/>
  <c r="F226" i="2"/>
  <c r="E226" i="2"/>
  <c r="D226" i="2"/>
  <c r="C226" i="2"/>
  <c r="B226" i="2"/>
  <c r="A226" i="2"/>
  <c r="L225" i="2"/>
  <c r="K225" i="2"/>
  <c r="J225" i="2"/>
  <c r="I225" i="2"/>
  <c r="H225" i="2"/>
  <c r="G225" i="2"/>
  <c r="F225" i="2"/>
  <c r="E225" i="2"/>
  <c r="D225" i="2"/>
  <c r="C225" i="2"/>
  <c r="B225" i="2"/>
  <c r="A225" i="2"/>
  <c r="L224" i="2"/>
  <c r="K224" i="2"/>
  <c r="J224" i="2"/>
  <c r="I224" i="2"/>
  <c r="H224" i="2"/>
  <c r="G224" i="2"/>
  <c r="F224" i="2"/>
  <c r="E224" i="2"/>
  <c r="D224" i="2"/>
  <c r="C224" i="2"/>
  <c r="B224" i="2"/>
  <c r="A224" i="2"/>
  <c r="L223" i="2"/>
  <c r="K223" i="2"/>
  <c r="J223" i="2"/>
  <c r="I223" i="2"/>
  <c r="H223" i="2"/>
  <c r="G223" i="2"/>
  <c r="F223" i="2"/>
  <c r="E223" i="2"/>
  <c r="D223" i="2"/>
  <c r="C223" i="2"/>
  <c r="B223" i="2"/>
  <c r="A223" i="2"/>
  <c r="L222" i="2"/>
  <c r="K222" i="2"/>
  <c r="J222" i="2"/>
  <c r="I222" i="2"/>
  <c r="H222" i="2"/>
  <c r="G222" i="2"/>
  <c r="F222" i="2"/>
  <c r="E222" i="2"/>
  <c r="D222" i="2"/>
  <c r="C222" i="2"/>
  <c r="B222" i="2"/>
  <c r="A222" i="2"/>
  <c r="L221" i="2"/>
  <c r="K221" i="2"/>
  <c r="J221" i="2"/>
  <c r="I221" i="2"/>
  <c r="H221" i="2"/>
  <c r="G221" i="2"/>
  <c r="F221" i="2"/>
  <c r="E221" i="2"/>
  <c r="D221" i="2"/>
  <c r="C221" i="2"/>
  <c r="B221" i="2"/>
  <c r="A221" i="2"/>
  <c r="L220" i="2"/>
  <c r="K220" i="2"/>
  <c r="J220" i="2"/>
  <c r="I220" i="2"/>
  <c r="H220" i="2"/>
  <c r="G220" i="2"/>
  <c r="F220" i="2"/>
  <c r="E220" i="2"/>
  <c r="D220" i="2"/>
  <c r="C220" i="2"/>
  <c r="B220" i="2"/>
  <c r="A220" i="2"/>
  <c r="L219" i="2"/>
  <c r="K219" i="2"/>
  <c r="J219" i="2"/>
  <c r="I219" i="2"/>
  <c r="H219" i="2"/>
  <c r="G219" i="2"/>
  <c r="F219" i="2"/>
  <c r="E219" i="2"/>
  <c r="D219" i="2"/>
  <c r="C219" i="2"/>
  <c r="B219" i="2"/>
  <c r="A219" i="2"/>
  <c r="L218" i="2"/>
  <c r="K218" i="2"/>
  <c r="J218" i="2"/>
  <c r="I218" i="2"/>
  <c r="H218" i="2"/>
  <c r="G218" i="2"/>
  <c r="F218" i="2"/>
  <c r="E218" i="2"/>
  <c r="D218" i="2"/>
  <c r="C218" i="2"/>
  <c r="B218" i="2"/>
  <c r="A218" i="2"/>
  <c r="L217" i="2"/>
  <c r="K217" i="2"/>
  <c r="J217" i="2"/>
  <c r="I217" i="2"/>
  <c r="H217" i="2"/>
  <c r="G217" i="2"/>
  <c r="F217" i="2"/>
  <c r="E217" i="2"/>
  <c r="D217" i="2"/>
  <c r="C217" i="2"/>
  <c r="B217" i="2"/>
  <c r="A217" i="2"/>
  <c r="L216" i="2"/>
  <c r="K216" i="2"/>
  <c r="J216" i="2"/>
  <c r="I216" i="2"/>
  <c r="H216" i="2"/>
  <c r="G216" i="2"/>
  <c r="F216" i="2"/>
  <c r="E216" i="2"/>
  <c r="D216" i="2"/>
  <c r="C216" i="2"/>
  <c r="B216" i="2"/>
  <c r="A216" i="2"/>
  <c r="L215" i="2"/>
  <c r="K215" i="2"/>
  <c r="J215" i="2"/>
  <c r="I215" i="2"/>
  <c r="H215" i="2"/>
  <c r="G215" i="2"/>
  <c r="F215" i="2"/>
  <c r="E215" i="2"/>
  <c r="D215" i="2"/>
  <c r="C215" i="2"/>
  <c r="B215" i="2"/>
  <c r="A215" i="2"/>
  <c r="L214" i="2"/>
  <c r="K214" i="2"/>
  <c r="J214" i="2"/>
  <c r="I214" i="2"/>
  <c r="H214" i="2"/>
  <c r="G214" i="2"/>
  <c r="F214" i="2"/>
  <c r="E214" i="2"/>
  <c r="D214" i="2"/>
  <c r="C214" i="2"/>
  <c r="B214" i="2"/>
  <c r="A214" i="2"/>
  <c r="L213" i="2"/>
  <c r="K213" i="2"/>
  <c r="J213" i="2"/>
  <c r="I213" i="2"/>
  <c r="H213" i="2"/>
  <c r="G213" i="2"/>
  <c r="F213" i="2"/>
  <c r="E213" i="2"/>
  <c r="D213" i="2"/>
  <c r="C213" i="2"/>
  <c r="B213" i="2"/>
  <c r="A213" i="2"/>
  <c r="L212" i="2"/>
  <c r="K212" i="2"/>
  <c r="J212" i="2"/>
  <c r="I212" i="2"/>
  <c r="H212" i="2"/>
  <c r="G212" i="2"/>
  <c r="F212" i="2"/>
  <c r="E212" i="2"/>
  <c r="D212" i="2"/>
  <c r="C212" i="2"/>
  <c r="B212" i="2"/>
  <c r="A212" i="2"/>
  <c r="L211" i="2"/>
  <c r="K211" i="2"/>
  <c r="J211" i="2"/>
  <c r="I211" i="2"/>
  <c r="H211" i="2"/>
  <c r="G211" i="2"/>
  <c r="F211" i="2"/>
  <c r="E211" i="2"/>
  <c r="D211" i="2"/>
  <c r="C211" i="2"/>
  <c r="B211" i="2"/>
  <c r="A211" i="2"/>
  <c r="L210" i="2"/>
  <c r="K210" i="2"/>
  <c r="J210" i="2"/>
  <c r="I210" i="2"/>
  <c r="H210" i="2"/>
  <c r="G210" i="2"/>
  <c r="F210" i="2"/>
  <c r="E210" i="2"/>
  <c r="D210" i="2"/>
  <c r="C210" i="2"/>
  <c r="B210" i="2"/>
  <c r="A210" i="2"/>
  <c r="L209" i="2"/>
  <c r="K209" i="2"/>
  <c r="J209" i="2"/>
  <c r="I209" i="2"/>
  <c r="H209" i="2"/>
  <c r="G209" i="2"/>
  <c r="F209" i="2"/>
  <c r="E209" i="2"/>
  <c r="D209" i="2"/>
  <c r="C209" i="2"/>
  <c r="B209" i="2"/>
  <c r="A209" i="2"/>
  <c r="L208" i="2"/>
  <c r="K208" i="2"/>
  <c r="J208" i="2"/>
  <c r="I208" i="2"/>
  <c r="H208" i="2"/>
  <c r="G208" i="2"/>
  <c r="F208" i="2"/>
  <c r="E208" i="2"/>
  <c r="D208" i="2"/>
  <c r="C208" i="2"/>
  <c r="B208" i="2"/>
  <c r="A208" i="2"/>
  <c r="L207" i="2"/>
  <c r="K207" i="2"/>
  <c r="J207" i="2"/>
  <c r="I207" i="2"/>
  <c r="H207" i="2"/>
  <c r="G207" i="2"/>
  <c r="F207" i="2"/>
  <c r="E207" i="2"/>
  <c r="D207" i="2"/>
  <c r="C207" i="2"/>
  <c r="B207" i="2"/>
  <c r="A207" i="2"/>
  <c r="L206" i="2"/>
  <c r="K206" i="2"/>
  <c r="J206" i="2"/>
  <c r="I206" i="2"/>
  <c r="H206" i="2"/>
  <c r="G206" i="2"/>
  <c r="F206" i="2"/>
  <c r="E206" i="2"/>
  <c r="D206" i="2"/>
  <c r="C206" i="2"/>
  <c r="B206" i="2"/>
  <c r="A206" i="2"/>
  <c r="L205" i="2"/>
  <c r="K205" i="2"/>
  <c r="J205" i="2"/>
  <c r="I205" i="2"/>
  <c r="H205" i="2"/>
  <c r="G205" i="2"/>
  <c r="F205" i="2"/>
  <c r="E205" i="2"/>
  <c r="D205" i="2"/>
  <c r="C205" i="2"/>
  <c r="B205" i="2"/>
  <c r="A205" i="2"/>
  <c r="L204" i="2"/>
  <c r="K204" i="2"/>
  <c r="J204" i="2"/>
  <c r="I204" i="2"/>
  <c r="H204" i="2"/>
  <c r="G204" i="2"/>
  <c r="F204" i="2"/>
  <c r="E204" i="2"/>
  <c r="D204" i="2"/>
  <c r="C204" i="2"/>
  <c r="B204" i="2"/>
  <c r="A204" i="2"/>
  <c r="L203" i="2"/>
  <c r="K203" i="2"/>
  <c r="J203" i="2"/>
  <c r="I203" i="2"/>
  <c r="H203" i="2"/>
  <c r="G203" i="2"/>
  <c r="F203" i="2"/>
  <c r="E203" i="2"/>
  <c r="D203" i="2"/>
  <c r="C203" i="2"/>
  <c r="B203" i="2"/>
  <c r="A203" i="2"/>
  <c r="L202" i="2"/>
  <c r="K202" i="2"/>
  <c r="J202" i="2"/>
  <c r="I202" i="2"/>
  <c r="H202" i="2"/>
  <c r="G202" i="2"/>
  <c r="F202" i="2"/>
  <c r="E202" i="2"/>
  <c r="D202" i="2"/>
  <c r="C202" i="2"/>
  <c r="B202" i="2"/>
  <c r="A202" i="2"/>
  <c r="L201" i="2"/>
  <c r="K201" i="2"/>
  <c r="J201" i="2"/>
  <c r="I201" i="2"/>
  <c r="H201" i="2"/>
  <c r="G201" i="2"/>
  <c r="F201" i="2"/>
  <c r="E201" i="2"/>
  <c r="D201" i="2"/>
  <c r="C201" i="2"/>
  <c r="B201" i="2"/>
  <c r="A201" i="2"/>
  <c r="L200" i="2"/>
  <c r="K200" i="2"/>
  <c r="J200" i="2"/>
  <c r="I200" i="2"/>
  <c r="H200" i="2"/>
  <c r="G200" i="2"/>
  <c r="F200" i="2"/>
  <c r="E200" i="2"/>
  <c r="D200" i="2"/>
  <c r="C200" i="2"/>
  <c r="B200" i="2"/>
  <c r="A200" i="2"/>
  <c r="L199" i="2"/>
  <c r="K199" i="2"/>
  <c r="J199" i="2"/>
  <c r="I199" i="2"/>
  <c r="H199" i="2"/>
  <c r="G199" i="2"/>
  <c r="F199" i="2"/>
  <c r="E199" i="2"/>
  <c r="D199" i="2"/>
  <c r="C199" i="2"/>
  <c r="B199" i="2"/>
  <c r="A199" i="2"/>
  <c r="L198" i="2"/>
  <c r="K198" i="2"/>
  <c r="J198" i="2"/>
  <c r="I198" i="2"/>
  <c r="H198" i="2"/>
  <c r="G198" i="2"/>
  <c r="F198" i="2"/>
  <c r="E198" i="2"/>
  <c r="D198" i="2"/>
  <c r="C198" i="2"/>
  <c r="B198" i="2"/>
  <c r="A198" i="2"/>
  <c r="L197" i="2"/>
  <c r="K197" i="2"/>
  <c r="J197" i="2"/>
  <c r="I197" i="2"/>
  <c r="H197" i="2"/>
  <c r="G197" i="2"/>
  <c r="F197" i="2"/>
  <c r="E197" i="2"/>
  <c r="D197" i="2"/>
  <c r="C197" i="2"/>
  <c r="B197" i="2"/>
  <c r="A197" i="2"/>
  <c r="L196" i="2"/>
  <c r="K196" i="2"/>
  <c r="J196" i="2"/>
  <c r="I196" i="2"/>
  <c r="H196" i="2"/>
  <c r="G196" i="2"/>
  <c r="F196" i="2"/>
  <c r="E196" i="2"/>
  <c r="D196" i="2"/>
  <c r="C196" i="2"/>
  <c r="B196" i="2"/>
  <c r="A196" i="2"/>
  <c r="L195" i="2"/>
  <c r="K195" i="2"/>
  <c r="J195" i="2"/>
  <c r="I195" i="2"/>
  <c r="H195" i="2"/>
  <c r="G195" i="2"/>
  <c r="F195" i="2"/>
  <c r="E195" i="2"/>
  <c r="D195" i="2"/>
  <c r="C195" i="2"/>
  <c r="B195" i="2"/>
  <c r="A195" i="2"/>
  <c r="L194" i="2"/>
  <c r="K194" i="2"/>
  <c r="J194" i="2"/>
  <c r="I194" i="2"/>
  <c r="H194" i="2"/>
  <c r="G194" i="2"/>
  <c r="F194" i="2"/>
  <c r="E194" i="2"/>
  <c r="D194" i="2"/>
  <c r="C194" i="2"/>
  <c r="B194" i="2"/>
  <c r="A194" i="2"/>
  <c r="L193" i="2"/>
  <c r="K193" i="2"/>
  <c r="J193" i="2"/>
  <c r="I193" i="2"/>
  <c r="H193" i="2"/>
  <c r="G193" i="2"/>
  <c r="F193" i="2"/>
  <c r="E193" i="2"/>
  <c r="D193" i="2"/>
  <c r="C193" i="2"/>
  <c r="B193" i="2"/>
  <c r="A193" i="2"/>
  <c r="L192" i="2"/>
  <c r="K192" i="2"/>
  <c r="J192" i="2"/>
  <c r="I192" i="2"/>
  <c r="H192" i="2"/>
  <c r="G192" i="2"/>
  <c r="F192" i="2"/>
  <c r="E192" i="2"/>
  <c r="D192" i="2"/>
  <c r="C192" i="2"/>
  <c r="B192" i="2"/>
  <c r="A192" i="2"/>
  <c r="L191" i="2"/>
  <c r="K191" i="2"/>
  <c r="J191" i="2"/>
  <c r="I191" i="2"/>
  <c r="H191" i="2"/>
  <c r="G191" i="2"/>
  <c r="F191" i="2"/>
  <c r="E191" i="2"/>
  <c r="D191" i="2"/>
  <c r="C191" i="2"/>
  <c r="B191" i="2"/>
  <c r="A191" i="2"/>
  <c r="L190" i="2"/>
  <c r="K190" i="2"/>
  <c r="J190" i="2"/>
  <c r="I190" i="2"/>
  <c r="H190" i="2"/>
  <c r="G190" i="2"/>
  <c r="F190" i="2"/>
  <c r="E190" i="2"/>
  <c r="D190" i="2"/>
  <c r="C190" i="2"/>
  <c r="B190" i="2"/>
  <c r="A190" i="2"/>
  <c r="L189" i="2"/>
  <c r="K189" i="2"/>
  <c r="J189" i="2"/>
  <c r="I189" i="2"/>
  <c r="H189" i="2"/>
  <c r="G189" i="2"/>
  <c r="F189" i="2"/>
  <c r="E189" i="2"/>
  <c r="D189" i="2"/>
  <c r="C189" i="2"/>
  <c r="B189" i="2"/>
  <c r="A189" i="2"/>
  <c r="L188" i="2"/>
  <c r="K188" i="2"/>
  <c r="J188" i="2"/>
  <c r="I188" i="2"/>
  <c r="H188" i="2"/>
  <c r="G188" i="2"/>
  <c r="F188" i="2"/>
  <c r="E188" i="2"/>
  <c r="D188" i="2"/>
  <c r="C188" i="2"/>
  <c r="B188" i="2"/>
  <c r="A188" i="2"/>
  <c r="L187" i="2"/>
  <c r="K187" i="2"/>
  <c r="J187" i="2"/>
  <c r="I187" i="2"/>
  <c r="H187" i="2"/>
  <c r="G187" i="2"/>
  <c r="F187" i="2"/>
  <c r="E187" i="2"/>
  <c r="D187" i="2"/>
  <c r="C187" i="2"/>
  <c r="B187" i="2"/>
  <c r="A187" i="2"/>
  <c r="L186" i="2"/>
  <c r="K186" i="2"/>
  <c r="J186" i="2"/>
  <c r="I186" i="2"/>
  <c r="H186" i="2"/>
  <c r="G186" i="2"/>
  <c r="F186" i="2"/>
  <c r="E186" i="2"/>
  <c r="D186" i="2"/>
  <c r="C186" i="2"/>
  <c r="B186" i="2"/>
  <c r="A186" i="2"/>
  <c r="L185" i="2"/>
  <c r="K185" i="2"/>
  <c r="J185" i="2"/>
  <c r="I185" i="2"/>
  <c r="H185" i="2"/>
  <c r="G185" i="2"/>
  <c r="F185" i="2"/>
  <c r="E185" i="2"/>
  <c r="D185" i="2"/>
  <c r="C185" i="2"/>
  <c r="B185" i="2"/>
  <c r="A185" i="2"/>
  <c r="L184" i="2"/>
  <c r="K184" i="2"/>
  <c r="J184" i="2"/>
  <c r="I184" i="2"/>
  <c r="H184" i="2"/>
  <c r="G184" i="2"/>
  <c r="F184" i="2"/>
  <c r="E184" i="2"/>
  <c r="D184" i="2"/>
  <c r="C184" i="2"/>
  <c r="B184" i="2"/>
  <c r="A184" i="2"/>
  <c r="L183" i="2"/>
  <c r="K183" i="2"/>
  <c r="J183" i="2"/>
  <c r="I183" i="2"/>
  <c r="H183" i="2"/>
  <c r="G183" i="2"/>
  <c r="F183" i="2"/>
  <c r="E183" i="2"/>
  <c r="D183" i="2"/>
  <c r="C183" i="2"/>
  <c r="B183" i="2"/>
  <c r="A183" i="2"/>
  <c r="L182" i="2"/>
  <c r="K182" i="2"/>
  <c r="J182" i="2"/>
  <c r="I182" i="2"/>
  <c r="H182" i="2"/>
  <c r="G182" i="2"/>
  <c r="F182" i="2"/>
  <c r="E182" i="2"/>
  <c r="D182" i="2"/>
  <c r="C182" i="2"/>
  <c r="B182" i="2"/>
  <c r="A182" i="2"/>
  <c r="L181" i="2"/>
  <c r="K181" i="2"/>
  <c r="J181" i="2"/>
  <c r="I181" i="2"/>
  <c r="H181" i="2"/>
  <c r="G181" i="2"/>
  <c r="F181" i="2"/>
  <c r="E181" i="2"/>
  <c r="D181" i="2"/>
  <c r="C181" i="2"/>
  <c r="B181" i="2"/>
  <c r="A181" i="2"/>
  <c r="L180" i="2"/>
  <c r="K180" i="2"/>
  <c r="J180" i="2"/>
  <c r="I180" i="2"/>
  <c r="H180" i="2"/>
  <c r="G180" i="2"/>
  <c r="F180" i="2"/>
  <c r="E180" i="2"/>
  <c r="D180" i="2"/>
  <c r="C180" i="2"/>
  <c r="B180" i="2"/>
  <c r="A180" i="2"/>
  <c r="L179" i="2"/>
  <c r="K179" i="2"/>
  <c r="J179" i="2"/>
  <c r="I179" i="2"/>
  <c r="H179" i="2"/>
  <c r="G179" i="2"/>
  <c r="F179" i="2"/>
  <c r="E179" i="2"/>
  <c r="D179" i="2"/>
  <c r="C179" i="2"/>
  <c r="B179" i="2"/>
  <c r="A179" i="2"/>
  <c r="L178" i="2"/>
  <c r="K178" i="2"/>
  <c r="J178" i="2"/>
  <c r="I178" i="2"/>
  <c r="H178" i="2"/>
  <c r="G178" i="2"/>
  <c r="F178" i="2"/>
  <c r="E178" i="2"/>
  <c r="D178" i="2"/>
  <c r="C178" i="2"/>
  <c r="B178" i="2"/>
  <c r="A178" i="2"/>
  <c r="L177" i="2"/>
  <c r="K177" i="2"/>
  <c r="J177" i="2"/>
  <c r="I177" i="2"/>
  <c r="H177" i="2"/>
  <c r="G177" i="2"/>
  <c r="F177" i="2"/>
  <c r="E177" i="2"/>
  <c r="D177" i="2"/>
  <c r="C177" i="2"/>
  <c r="B177" i="2"/>
  <c r="A177" i="2"/>
  <c r="L176" i="2"/>
  <c r="K176" i="2"/>
  <c r="J176" i="2"/>
  <c r="I176" i="2"/>
  <c r="H176" i="2"/>
  <c r="G176" i="2"/>
  <c r="F176" i="2"/>
  <c r="E176" i="2"/>
  <c r="D176" i="2"/>
  <c r="C176" i="2"/>
  <c r="B176" i="2"/>
  <c r="A176" i="2"/>
  <c r="L175" i="2"/>
  <c r="K175" i="2"/>
  <c r="J175" i="2"/>
  <c r="I175" i="2"/>
  <c r="H175" i="2"/>
  <c r="G175" i="2"/>
  <c r="F175" i="2"/>
  <c r="E175" i="2"/>
  <c r="D175" i="2"/>
  <c r="C175" i="2"/>
  <c r="B175" i="2"/>
  <c r="A175" i="2"/>
  <c r="L174" i="2"/>
  <c r="K174" i="2"/>
  <c r="J174" i="2"/>
  <c r="I174" i="2"/>
  <c r="H174" i="2"/>
  <c r="G174" i="2"/>
  <c r="F174" i="2"/>
  <c r="E174" i="2"/>
  <c r="D174" i="2"/>
  <c r="C174" i="2"/>
  <c r="B174" i="2"/>
  <c r="A174" i="2"/>
  <c r="L173" i="2"/>
  <c r="K173" i="2"/>
  <c r="J173" i="2"/>
  <c r="I173" i="2"/>
  <c r="H173" i="2"/>
  <c r="G173" i="2"/>
  <c r="F173" i="2"/>
  <c r="E173" i="2"/>
  <c r="D173" i="2"/>
  <c r="C173" i="2"/>
  <c r="B173" i="2"/>
  <c r="A173" i="2"/>
  <c r="L172" i="2"/>
  <c r="K172" i="2"/>
  <c r="J172" i="2"/>
  <c r="I172" i="2"/>
  <c r="H172" i="2"/>
  <c r="G172" i="2"/>
  <c r="F172" i="2"/>
  <c r="E172" i="2"/>
  <c r="D172" i="2"/>
  <c r="C172" i="2"/>
  <c r="B172" i="2"/>
  <c r="A172" i="2"/>
  <c r="L171" i="2"/>
  <c r="K171" i="2"/>
  <c r="J171" i="2"/>
  <c r="I171" i="2"/>
  <c r="H171" i="2"/>
  <c r="G171" i="2"/>
  <c r="F171" i="2"/>
  <c r="E171" i="2"/>
  <c r="D171" i="2"/>
  <c r="C171" i="2"/>
  <c r="B171" i="2"/>
  <c r="A171" i="2"/>
  <c r="H170" i="2"/>
  <c r="D170" i="2"/>
  <c r="C170" i="2"/>
  <c r="B170" i="2"/>
  <c r="A170" i="2"/>
  <c r="F170" i="2" s="1"/>
  <c r="J169" i="2"/>
  <c r="H169" i="2"/>
  <c r="D169" i="2"/>
  <c r="C169" i="2"/>
  <c r="B169" i="2"/>
  <c r="A169" i="2"/>
  <c r="F169" i="2" s="1"/>
  <c r="H168" i="2"/>
  <c r="F168" i="2"/>
  <c r="D168" i="2"/>
  <c r="C168" i="2"/>
  <c r="B168" i="2"/>
  <c r="A168" i="2"/>
  <c r="H167" i="2"/>
  <c r="F167" i="2"/>
  <c r="D167" i="2"/>
  <c r="C167" i="2"/>
  <c r="B167" i="2"/>
  <c r="A167" i="2"/>
  <c r="J166" i="2"/>
  <c r="H166" i="2"/>
  <c r="G166" i="2"/>
  <c r="F166" i="2"/>
  <c r="D166" i="2"/>
  <c r="C166" i="2"/>
  <c r="B166" i="2"/>
  <c r="A166" i="2"/>
  <c r="J165" i="2"/>
  <c r="H165" i="2"/>
  <c r="F165" i="2"/>
  <c r="D165" i="2"/>
  <c r="C165" i="2"/>
  <c r="B165" i="2"/>
  <c r="A165" i="2"/>
  <c r="J164" i="2"/>
  <c r="H164" i="2"/>
  <c r="F164" i="2"/>
  <c r="D164" i="2"/>
  <c r="C164" i="2"/>
  <c r="B164" i="2"/>
  <c r="A164" i="2"/>
  <c r="J163" i="2"/>
  <c r="H163" i="2"/>
  <c r="F163" i="2"/>
  <c r="D163" i="2"/>
  <c r="C163" i="2"/>
  <c r="B163" i="2"/>
  <c r="A163" i="2"/>
  <c r="J162" i="2"/>
  <c r="H162" i="2"/>
  <c r="F162" i="2"/>
  <c r="D162" i="2"/>
  <c r="C162" i="2"/>
  <c r="B162" i="2"/>
  <c r="A162" i="2"/>
  <c r="H161" i="2"/>
  <c r="F161" i="2"/>
  <c r="D161" i="2"/>
  <c r="C161" i="2"/>
  <c r="B161" i="2"/>
  <c r="A161" i="2"/>
  <c r="J160" i="2"/>
  <c r="H160" i="2"/>
  <c r="F160" i="2"/>
  <c r="D160" i="2"/>
  <c r="C160" i="2"/>
  <c r="B160" i="2"/>
  <c r="H159" i="2"/>
  <c r="F159" i="2"/>
  <c r="D159" i="2"/>
  <c r="C159" i="2"/>
  <c r="B159" i="2"/>
  <c r="J158" i="2"/>
  <c r="H158" i="2"/>
  <c r="F158" i="2"/>
  <c r="D158" i="2"/>
  <c r="C158" i="2"/>
  <c r="B158" i="2"/>
  <c r="H157" i="2"/>
  <c r="F157" i="2"/>
  <c r="D157" i="2"/>
  <c r="C157" i="2"/>
  <c r="B157" i="2"/>
  <c r="J156" i="2"/>
  <c r="H156" i="2"/>
  <c r="F156" i="2"/>
  <c r="D156" i="2"/>
  <c r="C156" i="2"/>
  <c r="B156" i="2"/>
  <c r="G155" i="2"/>
  <c r="F155" i="2"/>
  <c r="D155" i="2"/>
  <c r="C155" i="2"/>
  <c r="B155" i="2"/>
  <c r="J154" i="2"/>
  <c r="H154" i="2"/>
  <c r="F154" i="2"/>
  <c r="D154" i="2"/>
  <c r="C154" i="2"/>
  <c r="B154" i="2"/>
  <c r="H153" i="2"/>
  <c r="F153" i="2"/>
  <c r="D153" i="2"/>
  <c r="C153" i="2"/>
  <c r="B153" i="2"/>
  <c r="J152" i="2"/>
  <c r="H152" i="2"/>
  <c r="F152" i="2"/>
  <c r="D152" i="2"/>
  <c r="C152" i="2"/>
  <c r="B152" i="2"/>
  <c r="J151" i="2"/>
  <c r="H151" i="2"/>
  <c r="F151" i="2"/>
  <c r="D151" i="2"/>
  <c r="C151" i="2"/>
  <c r="B151" i="2"/>
  <c r="J150" i="2"/>
  <c r="H150" i="2"/>
  <c r="F150" i="2"/>
  <c r="D150" i="2"/>
  <c r="C150" i="2"/>
  <c r="B150" i="2"/>
  <c r="J149" i="2"/>
  <c r="H149" i="2"/>
  <c r="F149" i="2"/>
  <c r="D149" i="2"/>
  <c r="C149" i="2"/>
  <c r="B149" i="2"/>
  <c r="J148" i="2"/>
  <c r="H148" i="2"/>
  <c r="F148" i="2"/>
  <c r="E148" i="2"/>
  <c r="D148" i="2"/>
  <c r="C148" i="2"/>
  <c r="B148" i="2"/>
  <c r="H147" i="2"/>
  <c r="F147" i="2"/>
  <c r="D147" i="2"/>
  <c r="C147" i="2"/>
  <c r="B147" i="2"/>
  <c r="H146" i="2"/>
  <c r="F146" i="2"/>
  <c r="D146" i="2"/>
  <c r="C146" i="2"/>
  <c r="B146" i="2"/>
  <c r="H145" i="2"/>
  <c r="F145" i="2"/>
  <c r="D145" i="2"/>
  <c r="C145" i="2"/>
  <c r="B145" i="2"/>
  <c r="J144" i="2"/>
  <c r="H144" i="2"/>
  <c r="F144" i="2"/>
  <c r="D144" i="2"/>
  <c r="C144" i="2"/>
  <c r="B144" i="2"/>
  <c r="J143" i="2"/>
  <c r="H143" i="2"/>
  <c r="F143" i="2"/>
  <c r="D143" i="2"/>
  <c r="C143" i="2"/>
  <c r="B143" i="2"/>
  <c r="J142" i="2"/>
  <c r="H142" i="2"/>
  <c r="F142" i="2"/>
  <c r="D142" i="2"/>
  <c r="C142" i="2"/>
  <c r="B142" i="2"/>
  <c r="J141" i="2"/>
  <c r="H141" i="2"/>
  <c r="F141" i="2"/>
  <c r="D141" i="2"/>
  <c r="C141" i="2"/>
  <c r="B141" i="2"/>
  <c r="J140" i="2"/>
  <c r="H140" i="2"/>
  <c r="F140" i="2"/>
  <c r="D140" i="2"/>
  <c r="C140" i="2"/>
  <c r="B140" i="2"/>
  <c r="J139" i="2"/>
  <c r="H139" i="2"/>
  <c r="F139" i="2"/>
  <c r="D139" i="2"/>
  <c r="C139" i="2"/>
  <c r="B139" i="2"/>
  <c r="J138" i="2"/>
  <c r="H138" i="2"/>
  <c r="F138" i="2"/>
  <c r="D138" i="2"/>
  <c r="C138" i="2"/>
  <c r="B138" i="2"/>
  <c r="H137" i="2"/>
  <c r="F137" i="2"/>
  <c r="D137" i="2"/>
  <c r="C137" i="2"/>
  <c r="B137" i="2"/>
  <c r="J136" i="2"/>
  <c r="H136" i="2"/>
  <c r="F136" i="2"/>
  <c r="D136" i="2"/>
  <c r="C136" i="2"/>
  <c r="B136" i="2"/>
  <c r="J135" i="2"/>
  <c r="H135" i="2"/>
  <c r="F135" i="2"/>
  <c r="D135" i="2"/>
  <c r="C135" i="2"/>
  <c r="B135" i="2"/>
  <c r="J134" i="2"/>
  <c r="H134" i="2"/>
  <c r="F134" i="2"/>
  <c r="D134" i="2"/>
  <c r="C134" i="2"/>
  <c r="B134" i="2"/>
  <c r="H133" i="2"/>
  <c r="F133" i="2"/>
  <c r="D133" i="2"/>
  <c r="C133" i="2"/>
  <c r="B133" i="2"/>
  <c r="J132" i="2"/>
  <c r="H132" i="2"/>
  <c r="F132" i="2"/>
  <c r="D132" i="2"/>
  <c r="C132" i="2"/>
  <c r="B132" i="2"/>
  <c r="J131" i="2"/>
  <c r="H131" i="2"/>
  <c r="F131" i="2"/>
  <c r="D131" i="2"/>
  <c r="C131" i="2"/>
  <c r="B131" i="2"/>
  <c r="J130" i="2"/>
  <c r="H130" i="2"/>
  <c r="F130" i="2"/>
  <c r="D130" i="2"/>
  <c r="C130" i="2"/>
  <c r="B130" i="2"/>
  <c r="J129" i="2"/>
  <c r="H129" i="2"/>
  <c r="F129" i="2"/>
  <c r="E129" i="2"/>
  <c r="D129" i="2"/>
  <c r="C129" i="2"/>
  <c r="B129" i="2"/>
  <c r="J128" i="2"/>
  <c r="H128" i="2"/>
  <c r="F128" i="2"/>
  <c r="D128" i="2"/>
  <c r="C128" i="2"/>
  <c r="B128" i="2"/>
  <c r="J127" i="2"/>
  <c r="H127" i="2"/>
  <c r="F127" i="2"/>
  <c r="D127" i="2"/>
  <c r="C127" i="2"/>
  <c r="B127" i="2"/>
  <c r="J126" i="2"/>
  <c r="H126" i="2"/>
  <c r="F126" i="2"/>
  <c r="D126" i="2"/>
  <c r="C126" i="2"/>
  <c r="B126" i="2"/>
  <c r="J125" i="2"/>
  <c r="H125" i="2"/>
  <c r="F125" i="2"/>
  <c r="D125" i="2"/>
  <c r="C125" i="2"/>
  <c r="B125" i="2"/>
  <c r="J124" i="2"/>
  <c r="H124" i="2"/>
  <c r="F124" i="2"/>
  <c r="D124" i="2"/>
  <c r="C124" i="2"/>
  <c r="B124" i="2"/>
  <c r="H123" i="2"/>
  <c r="F123" i="2"/>
  <c r="D123" i="2"/>
  <c r="C123" i="2"/>
  <c r="B123" i="2"/>
  <c r="H122" i="2"/>
  <c r="F122" i="2"/>
  <c r="D122" i="2"/>
  <c r="C122" i="2"/>
  <c r="B122" i="2"/>
  <c r="H121" i="2"/>
  <c r="F121" i="2"/>
  <c r="D121" i="2"/>
  <c r="C121" i="2"/>
  <c r="B121" i="2"/>
  <c r="J120" i="2"/>
  <c r="H120" i="2"/>
  <c r="F120" i="2"/>
  <c r="D120" i="2"/>
  <c r="C120" i="2"/>
  <c r="B120" i="2"/>
  <c r="J119" i="2"/>
  <c r="H119" i="2"/>
  <c r="F119" i="2"/>
  <c r="D119" i="2"/>
  <c r="C119" i="2"/>
  <c r="B119" i="2"/>
  <c r="J118" i="2"/>
  <c r="H118" i="2"/>
  <c r="F118" i="2"/>
  <c r="D118" i="2"/>
  <c r="C118" i="2"/>
  <c r="B118" i="2"/>
  <c r="J117" i="2"/>
  <c r="H117" i="2"/>
  <c r="F117" i="2"/>
  <c r="D117" i="2"/>
  <c r="C117" i="2"/>
  <c r="B117" i="2"/>
  <c r="J116" i="2"/>
  <c r="H116" i="2"/>
  <c r="F116" i="2"/>
  <c r="D116" i="2"/>
  <c r="C116" i="2"/>
  <c r="B116" i="2"/>
  <c r="J115" i="2"/>
  <c r="H115" i="2"/>
  <c r="F115" i="2"/>
  <c r="D115" i="2"/>
  <c r="C115" i="2"/>
  <c r="B115" i="2"/>
  <c r="J114" i="2"/>
  <c r="H114" i="2"/>
  <c r="F114" i="2"/>
  <c r="D114" i="2"/>
  <c r="C114" i="2"/>
  <c r="B114" i="2"/>
  <c r="H113" i="2"/>
  <c r="F113" i="2"/>
  <c r="D113" i="2"/>
  <c r="C113" i="2"/>
  <c r="B113" i="2"/>
  <c r="J112" i="2"/>
  <c r="H112" i="2"/>
  <c r="F112" i="2"/>
  <c r="D112" i="2"/>
  <c r="C112" i="2"/>
  <c r="B112" i="2"/>
  <c r="J111" i="2"/>
  <c r="H111" i="2"/>
  <c r="F111" i="2"/>
  <c r="D111" i="2"/>
  <c r="C111" i="2"/>
  <c r="B111" i="2"/>
  <c r="J110" i="2"/>
  <c r="H110" i="2"/>
  <c r="F110" i="2"/>
  <c r="D110" i="2"/>
  <c r="C110" i="2"/>
  <c r="B110" i="2"/>
  <c r="H109" i="2"/>
  <c r="G109" i="2"/>
  <c r="F109" i="2"/>
  <c r="D109" i="2"/>
  <c r="C109" i="2"/>
  <c r="B109" i="2"/>
  <c r="J108" i="2"/>
  <c r="H108" i="2"/>
  <c r="F108" i="2"/>
  <c r="D108" i="2"/>
  <c r="C108" i="2"/>
  <c r="B108" i="2"/>
  <c r="J107" i="2"/>
  <c r="H107" i="2"/>
  <c r="F107" i="2"/>
  <c r="D107" i="2"/>
  <c r="C107" i="2"/>
  <c r="B107" i="2"/>
  <c r="J106" i="2"/>
  <c r="H106" i="2"/>
  <c r="F106" i="2"/>
  <c r="D106" i="2"/>
  <c r="C106" i="2"/>
  <c r="B106" i="2"/>
  <c r="J105" i="2"/>
  <c r="H105" i="2"/>
  <c r="G105" i="2"/>
  <c r="F105" i="2"/>
  <c r="D105" i="2"/>
  <c r="C105" i="2"/>
  <c r="B105" i="2"/>
  <c r="J104" i="2"/>
  <c r="H104" i="2"/>
  <c r="F104" i="2"/>
  <c r="D104" i="2"/>
  <c r="C104" i="2"/>
  <c r="B104" i="2"/>
  <c r="J103" i="2"/>
  <c r="H103" i="2"/>
  <c r="F103" i="2"/>
  <c r="E103" i="2"/>
  <c r="D103" i="2"/>
  <c r="C103" i="2"/>
  <c r="B103" i="2"/>
  <c r="J102" i="2"/>
  <c r="H102" i="2"/>
  <c r="F102" i="2"/>
  <c r="D102" i="2"/>
  <c r="C102" i="2"/>
  <c r="B102" i="2"/>
  <c r="J101" i="2"/>
  <c r="H101" i="2"/>
  <c r="F101" i="2"/>
  <c r="D101" i="2"/>
  <c r="C101" i="2"/>
  <c r="B101" i="2"/>
  <c r="H100" i="2"/>
  <c r="F100" i="2"/>
  <c r="D100" i="2"/>
  <c r="C100" i="2"/>
  <c r="B100" i="2"/>
  <c r="H99" i="2"/>
  <c r="F99" i="2"/>
  <c r="D99" i="2"/>
  <c r="C99" i="2"/>
  <c r="B99" i="2"/>
  <c r="J98" i="2"/>
  <c r="H98" i="2"/>
  <c r="G98" i="2"/>
  <c r="F98" i="2"/>
  <c r="D98" i="2"/>
  <c r="C98" i="2"/>
  <c r="B98" i="2"/>
  <c r="H97" i="2"/>
  <c r="F97" i="2"/>
  <c r="D97" i="2"/>
  <c r="C97" i="2"/>
  <c r="B97" i="2"/>
  <c r="J96" i="2"/>
  <c r="H96" i="2"/>
  <c r="F96" i="2"/>
  <c r="D96" i="2"/>
  <c r="C96" i="2"/>
  <c r="B96" i="2"/>
  <c r="J95" i="2"/>
  <c r="H95" i="2"/>
  <c r="F95" i="2"/>
  <c r="D95" i="2"/>
  <c r="C95" i="2"/>
  <c r="B95" i="2"/>
  <c r="J94" i="2"/>
  <c r="H94" i="2"/>
  <c r="F94" i="2"/>
  <c r="D94" i="2"/>
  <c r="C94" i="2"/>
  <c r="B94" i="2"/>
  <c r="J93" i="2"/>
  <c r="H93" i="2"/>
  <c r="G93" i="2"/>
  <c r="F93" i="2"/>
  <c r="D93" i="2"/>
  <c r="C93" i="2"/>
  <c r="B93" i="2"/>
  <c r="J92" i="2"/>
  <c r="H92" i="2"/>
  <c r="F92" i="2"/>
  <c r="D92" i="2"/>
  <c r="C92" i="2"/>
  <c r="B92" i="2"/>
  <c r="J91" i="2"/>
  <c r="H91" i="2"/>
  <c r="F91" i="2"/>
  <c r="D91" i="2"/>
  <c r="C91" i="2"/>
  <c r="B91" i="2"/>
  <c r="J90" i="2"/>
  <c r="H90" i="2"/>
  <c r="F90" i="2"/>
  <c r="D90" i="2"/>
  <c r="C90" i="2"/>
  <c r="B90" i="2"/>
  <c r="H89" i="2"/>
  <c r="F89" i="2"/>
  <c r="D89" i="2"/>
  <c r="C89" i="2"/>
  <c r="B89" i="2"/>
  <c r="J88" i="2"/>
  <c r="H88" i="2"/>
  <c r="F88" i="2"/>
  <c r="D88" i="2"/>
  <c r="C88" i="2"/>
  <c r="B88" i="2"/>
  <c r="J87" i="2"/>
  <c r="H87" i="2"/>
  <c r="F87" i="2"/>
  <c r="D87" i="2"/>
  <c r="C87" i="2"/>
  <c r="B87" i="2"/>
  <c r="J86" i="2"/>
  <c r="H86" i="2"/>
  <c r="F86" i="2"/>
  <c r="D86" i="2"/>
  <c r="C86" i="2"/>
  <c r="B86" i="2"/>
  <c r="H85" i="2"/>
  <c r="F85" i="2"/>
  <c r="D85" i="2"/>
  <c r="C85" i="2"/>
  <c r="B85" i="2"/>
  <c r="J84" i="2"/>
  <c r="H84" i="2"/>
  <c r="G84" i="2"/>
  <c r="F84" i="2"/>
  <c r="D84" i="2"/>
  <c r="C84" i="2"/>
  <c r="B84" i="2"/>
  <c r="J83" i="2"/>
  <c r="H83" i="2"/>
  <c r="F83" i="2"/>
  <c r="D83" i="2"/>
  <c r="C83" i="2"/>
  <c r="B83" i="2"/>
  <c r="J82" i="2"/>
  <c r="H82" i="2"/>
  <c r="F82" i="2"/>
  <c r="D82" i="2"/>
  <c r="C82" i="2"/>
  <c r="B82" i="2"/>
  <c r="H81" i="2"/>
  <c r="F81" i="2"/>
  <c r="D81" i="2"/>
  <c r="C81" i="2"/>
  <c r="B81" i="2"/>
  <c r="J80" i="2"/>
  <c r="H80" i="2"/>
  <c r="F80" i="2"/>
  <c r="D80" i="2"/>
  <c r="C80" i="2"/>
  <c r="B80" i="2"/>
  <c r="J79" i="2"/>
  <c r="H79" i="2"/>
  <c r="G79" i="2"/>
  <c r="F79" i="2"/>
  <c r="D79" i="2"/>
  <c r="C79" i="2"/>
  <c r="B79" i="2"/>
  <c r="J78" i="2"/>
  <c r="H78" i="2"/>
  <c r="G78" i="2"/>
  <c r="F78" i="2"/>
  <c r="D78" i="2"/>
  <c r="C78" i="2"/>
  <c r="B78" i="2"/>
  <c r="J77" i="2"/>
  <c r="H77" i="2"/>
  <c r="F77" i="2"/>
  <c r="D77" i="2"/>
  <c r="C77" i="2"/>
  <c r="B77" i="2"/>
  <c r="H76" i="2"/>
  <c r="F76" i="2"/>
  <c r="D76" i="2"/>
  <c r="C76" i="2"/>
  <c r="B76" i="2"/>
  <c r="H75" i="2"/>
  <c r="F75" i="2"/>
  <c r="D75" i="2"/>
  <c r="C75" i="2"/>
  <c r="B75" i="2"/>
  <c r="J74" i="2"/>
  <c r="H74" i="2"/>
  <c r="F74" i="2"/>
  <c r="D74" i="2"/>
  <c r="C74" i="2"/>
  <c r="B74" i="2"/>
  <c r="H73" i="2"/>
  <c r="G73" i="2"/>
  <c r="F73" i="2"/>
  <c r="E73" i="2"/>
  <c r="D73" i="2"/>
  <c r="C73" i="2"/>
  <c r="B73" i="2"/>
  <c r="J72" i="2"/>
  <c r="H72" i="2"/>
  <c r="F72" i="2"/>
  <c r="D72" i="2"/>
  <c r="C72" i="2"/>
  <c r="B72" i="2"/>
  <c r="J71" i="2"/>
  <c r="H71" i="2"/>
  <c r="F71" i="2"/>
  <c r="D71" i="2"/>
  <c r="C71" i="2"/>
  <c r="B71" i="2"/>
  <c r="J70" i="2"/>
  <c r="H70" i="2"/>
  <c r="F70" i="2"/>
  <c r="D70" i="2"/>
  <c r="C70" i="2"/>
  <c r="B70" i="2"/>
  <c r="J69" i="2"/>
  <c r="H69" i="2"/>
  <c r="F69" i="2"/>
  <c r="D69" i="2"/>
  <c r="C69" i="2"/>
  <c r="B69" i="2"/>
  <c r="J68" i="2"/>
  <c r="H68" i="2"/>
  <c r="G68" i="2"/>
  <c r="F68" i="2"/>
  <c r="D68" i="2"/>
  <c r="C68" i="2"/>
  <c r="B68" i="2"/>
  <c r="J67" i="2"/>
  <c r="H67" i="2"/>
  <c r="G67" i="2"/>
  <c r="F67" i="2"/>
  <c r="D67" i="2"/>
  <c r="C67" i="2"/>
  <c r="B67" i="2"/>
  <c r="J66" i="2"/>
  <c r="H66" i="2"/>
  <c r="F66" i="2"/>
  <c r="D66" i="2"/>
  <c r="C66" i="2"/>
  <c r="B66" i="2"/>
  <c r="H65" i="2"/>
  <c r="F65" i="2"/>
  <c r="D65" i="2"/>
  <c r="C65" i="2"/>
  <c r="B65" i="2"/>
  <c r="J64" i="2"/>
  <c r="H64" i="2"/>
  <c r="F64" i="2"/>
  <c r="D64" i="2"/>
  <c r="C64" i="2"/>
  <c r="B64" i="2"/>
  <c r="J63" i="2"/>
  <c r="H63" i="2"/>
  <c r="F63" i="2"/>
  <c r="E63" i="2"/>
  <c r="D63" i="2"/>
  <c r="C63" i="2"/>
  <c r="B63" i="2"/>
  <c r="J62" i="2"/>
  <c r="H62" i="2"/>
  <c r="F62" i="2"/>
  <c r="D62" i="2"/>
  <c r="C62" i="2"/>
  <c r="B62" i="2"/>
  <c r="H61" i="2"/>
  <c r="F61" i="2"/>
  <c r="D61" i="2"/>
  <c r="C61" i="2"/>
  <c r="B61" i="2"/>
  <c r="J60" i="2"/>
  <c r="H60" i="2"/>
  <c r="F60" i="2"/>
  <c r="D60" i="2"/>
  <c r="C60" i="2"/>
  <c r="B60" i="2"/>
  <c r="J59" i="2"/>
  <c r="H59" i="2"/>
  <c r="G59" i="2"/>
  <c r="F59" i="2"/>
  <c r="D59" i="2"/>
  <c r="C59" i="2"/>
  <c r="B59" i="2"/>
  <c r="J58" i="2"/>
  <c r="H58" i="2"/>
  <c r="F58" i="2"/>
  <c r="D58" i="2"/>
  <c r="C58" i="2"/>
  <c r="B58" i="2"/>
  <c r="H57" i="2"/>
  <c r="F57" i="2"/>
  <c r="D57" i="2"/>
  <c r="C57" i="2"/>
  <c r="B57" i="2"/>
  <c r="J56" i="2"/>
  <c r="H56" i="2"/>
  <c r="F56" i="2"/>
  <c r="D56" i="2"/>
  <c r="C56" i="2"/>
  <c r="B56" i="2"/>
  <c r="J55" i="2"/>
  <c r="H55" i="2"/>
  <c r="F55" i="2"/>
  <c r="D55" i="2"/>
  <c r="C55" i="2"/>
  <c r="B55" i="2"/>
  <c r="J54" i="2"/>
  <c r="I54" i="2"/>
  <c r="H54" i="2"/>
  <c r="F54" i="2"/>
  <c r="D54" i="2"/>
  <c r="C54" i="2"/>
  <c r="B54" i="2"/>
  <c r="J53" i="2"/>
  <c r="H53" i="2"/>
  <c r="F53" i="2"/>
  <c r="E53" i="2"/>
  <c r="D53" i="2"/>
  <c r="C53" i="2"/>
  <c r="B53" i="2"/>
  <c r="J52" i="2"/>
  <c r="H52" i="2"/>
  <c r="G52" i="2"/>
  <c r="F52" i="2"/>
  <c r="E52" i="2"/>
  <c r="D52" i="2"/>
  <c r="C52" i="2"/>
  <c r="B52" i="2"/>
  <c r="H51" i="2"/>
  <c r="F51" i="2"/>
  <c r="E51" i="2"/>
  <c r="D51" i="2"/>
  <c r="C51" i="2"/>
  <c r="B51" i="2"/>
  <c r="J50" i="2"/>
  <c r="H50" i="2"/>
  <c r="F50" i="2"/>
  <c r="D50" i="2"/>
  <c r="C50" i="2"/>
  <c r="B50" i="2"/>
  <c r="H49" i="2"/>
  <c r="F49" i="2"/>
  <c r="D49" i="2"/>
  <c r="C49" i="2"/>
  <c r="B49" i="2"/>
  <c r="J48" i="2"/>
  <c r="H48" i="2"/>
  <c r="F48" i="2"/>
  <c r="E48" i="2"/>
  <c r="D48" i="2"/>
  <c r="C48" i="2"/>
  <c r="B48" i="2"/>
  <c r="J47" i="2"/>
  <c r="H47" i="2"/>
  <c r="F47" i="2"/>
  <c r="D47" i="2"/>
  <c r="C47" i="2"/>
  <c r="B47" i="2"/>
  <c r="J46" i="2"/>
  <c r="H46" i="2"/>
  <c r="F46" i="2"/>
  <c r="E46" i="2"/>
  <c r="D46" i="2"/>
  <c r="C46" i="2"/>
  <c r="B46" i="2"/>
  <c r="J45" i="2"/>
  <c r="H45" i="2"/>
  <c r="F45" i="2"/>
  <c r="E45" i="2"/>
  <c r="D45" i="2"/>
  <c r="C45" i="2"/>
  <c r="B45" i="2"/>
  <c r="J44" i="2"/>
  <c r="H44" i="2"/>
  <c r="F44" i="2"/>
  <c r="D44" i="2"/>
  <c r="C44" i="2"/>
  <c r="B44" i="2"/>
  <c r="J43" i="2"/>
  <c r="H43" i="2"/>
  <c r="G43" i="2"/>
  <c r="F43" i="2"/>
  <c r="D43" i="2"/>
  <c r="C43" i="2"/>
  <c r="B43" i="2"/>
  <c r="J42" i="2"/>
  <c r="H42" i="2"/>
  <c r="F42" i="2"/>
  <c r="E42" i="2"/>
  <c r="D42" i="2"/>
  <c r="C42" i="2"/>
  <c r="B42" i="2"/>
  <c r="H41" i="2"/>
  <c r="F41" i="2"/>
  <c r="D41" i="2"/>
  <c r="C41" i="2"/>
  <c r="B41" i="2"/>
  <c r="J40" i="2"/>
  <c r="H40" i="2"/>
  <c r="F40" i="2"/>
  <c r="E40" i="2"/>
  <c r="D40" i="2"/>
  <c r="C40" i="2"/>
  <c r="B40" i="2"/>
  <c r="J39" i="2"/>
  <c r="H39" i="2"/>
  <c r="F39" i="2"/>
  <c r="E39" i="2"/>
  <c r="D39" i="2"/>
  <c r="C39" i="2"/>
  <c r="B39" i="2"/>
  <c r="J38" i="2"/>
  <c r="H38" i="2"/>
  <c r="G38" i="2"/>
  <c r="F38" i="2"/>
  <c r="D38" i="2"/>
  <c r="C38" i="2"/>
  <c r="B38" i="2"/>
  <c r="H37" i="2"/>
  <c r="G37" i="2"/>
  <c r="F37" i="2"/>
  <c r="D37" i="2"/>
  <c r="C37" i="2"/>
  <c r="B37" i="2"/>
  <c r="J36" i="2"/>
  <c r="H36" i="2"/>
  <c r="F36" i="2"/>
  <c r="E36" i="2"/>
  <c r="D36" i="2"/>
  <c r="C36" i="2"/>
  <c r="B36" i="2"/>
  <c r="J35" i="2"/>
  <c r="H35" i="2"/>
  <c r="F35" i="2"/>
  <c r="D35" i="2"/>
  <c r="C35" i="2"/>
  <c r="B35" i="2"/>
  <c r="J34" i="2"/>
  <c r="H34" i="2"/>
  <c r="F34" i="2"/>
  <c r="E34" i="2"/>
  <c r="D34" i="2"/>
  <c r="C34" i="2"/>
  <c r="B34" i="2"/>
  <c r="J33" i="2"/>
  <c r="H33" i="2"/>
  <c r="F33" i="2"/>
  <c r="E33" i="2"/>
  <c r="D33" i="2"/>
  <c r="C33" i="2"/>
  <c r="B33" i="2"/>
  <c r="J32" i="2"/>
  <c r="H32" i="2"/>
  <c r="G32" i="2"/>
  <c r="F32" i="2"/>
  <c r="D32" i="2"/>
  <c r="C32" i="2"/>
  <c r="B32" i="2"/>
  <c r="J31" i="2"/>
  <c r="H31" i="2"/>
  <c r="F31" i="2"/>
  <c r="D31" i="2"/>
  <c r="C31" i="2"/>
  <c r="B31" i="2"/>
  <c r="J30" i="2"/>
  <c r="H30" i="2"/>
  <c r="F30" i="2"/>
  <c r="D30" i="2"/>
  <c r="C30" i="2"/>
  <c r="B30" i="2"/>
  <c r="J29" i="2"/>
  <c r="H29" i="2"/>
  <c r="F29" i="2"/>
  <c r="D29" i="2"/>
  <c r="C29" i="2"/>
  <c r="B29" i="2"/>
  <c r="J28" i="2"/>
  <c r="I28" i="2"/>
  <c r="H28" i="2"/>
  <c r="F28" i="2"/>
  <c r="E28" i="2"/>
  <c r="D28" i="2"/>
  <c r="C28" i="2"/>
  <c r="B28" i="2"/>
  <c r="H27" i="2"/>
  <c r="G27" i="2"/>
  <c r="F27" i="2"/>
  <c r="E27" i="2"/>
  <c r="D27" i="2"/>
  <c r="C27" i="2"/>
  <c r="B27" i="2"/>
  <c r="H26" i="2"/>
  <c r="F26" i="2"/>
  <c r="D26" i="2"/>
  <c r="C26" i="2"/>
  <c r="B26" i="2"/>
  <c r="H25" i="2"/>
  <c r="F25" i="2"/>
  <c r="D25" i="2"/>
  <c r="C25" i="2"/>
  <c r="B25" i="2"/>
  <c r="J24" i="2"/>
  <c r="H24" i="2"/>
  <c r="F24" i="2"/>
  <c r="E24" i="2"/>
  <c r="D24" i="2"/>
  <c r="C24" i="2"/>
  <c r="B24" i="2"/>
  <c r="J23" i="2"/>
  <c r="I23" i="2"/>
  <c r="H23" i="2"/>
  <c r="F23" i="2"/>
  <c r="E23" i="2"/>
  <c r="D23" i="2"/>
  <c r="C23" i="2"/>
  <c r="B23" i="2"/>
  <c r="J22" i="2"/>
  <c r="H22" i="2"/>
  <c r="G22" i="2"/>
  <c r="F22" i="2"/>
  <c r="D22" i="2"/>
  <c r="C22" i="2"/>
  <c r="B22" i="2"/>
  <c r="J21" i="2"/>
  <c r="H21" i="2"/>
  <c r="G21" i="2"/>
  <c r="F21" i="2"/>
  <c r="E21" i="2"/>
  <c r="D21" i="2"/>
  <c r="C21" i="2"/>
  <c r="B21" i="2"/>
  <c r="H20" i="2"/>
  <c r="G20" i="2"/>
  <c r="F20" i="2"/>
  <c r="D20" i="2"/>
  <c r="C20" i="2"/>
  <c r="B20" i="2"/>
  <c r="H19" i="2"/>
  <c r="G19" i="2"/>
  <c r="F19" i="2"/>
  <c r="D19" i="2"/>
  <c r="C19" i="2"/>
  <c r="B19" i="2"/>
  <c r="J18" i="2"/>
  <c r="H18" i="2"/>
  <c r="G18" i="2"/>
  <c r="F18" i="2"/>
  <c r="E18" i="2"/>
  <c r="D18" i="2"/>
  <c r="C18" i="2"/>
  <c r="B18" i="2"/>
  <c r="J17" i="2"/>
  <c r="H17" i="2"/>
  <c r="G17" i="2"/>
  <c r="F17" i="2"/>
  <c r="E17" i="2"/>
  <c r="D17" i="2"/>
  <c r="C17" i="2"/>
  <c r="B17" i="2"/>
  <c r="H16" i="2"/>
  <c r="G16" i="2"/>
  <c r="F16" i="2"/>
  <c r="E16" i="2"/>
  <c r="D16" i="2"/>
  <c r="C16" i="2"/>
  <c r="B16" i="2"/>
  <c r="H15" i="2"/>
  <c r="G15" i="2"/>
  <c r="F15" i="2"/>
  <c r="D15" i="2"/>
  <c r="C15" i="2"/>
  <c r="B15" i="2"/>
  <c r="J14" i="2"/>
  <c r="H14" i="2"/>
  <c r="G14" i="2"/>
  <c r="F14" i="2"/>
  <c r="D14" i="2"/>
  <c r="C14" i="2"/>
  <c r="B14" i="2"/>
  <c r="H13" i="2"/>
  <c r="G13" i="2"/>
  <c r="F13" i="2"/>
  <c r="D13" i="2"/>
  <c r="C13" i="2"/>
  <c r="B13" i="2"/>
  <c r="J12" i="2"/>
  <c r="H12" i="2"/>
  <c r="G12" i="2"/>
  <c r="F12" i="2"/>
  <c r="E12" i="2"/>
  <c r="D12" i="2"/>
  <c r="C12" i="2"/>
  <c r="B12" i="2"/>
  <c r="H11" i="2"/>
  <c r="G11" i="2"/>
  <c r="F11" i="2"/>
  <c r="E11" i="2"/>
  <c r="D11" i="2"/>
  <c r="C11" i="2"/>
  <c r="B11" i="2"/>
  <c r="H10" i="2"/>
  <c r="G10" i="2"/>
  <c r="F10" i="2"/>
  <c r="E10" i="2"/>
  <c r="D10" i="2"/>
  <c r="C10" i="2"/>
  <c r="B10" i="2"/>
  <c r="J9" i="2"/>
  <c r="I9" i="2"/>
  <c r="H9" i="2"/>
  <c r="G9" i="2"/>
  <c r="F9" i="2"/>
  <c r="E9" i="2"/>
  <c r="D9" i="2"/>
  <c r="C9" i="2"/>
  <c r="B9" i="2"/>
  <c r="I8" i="2"/>
  <c r="H8" i="2"/>
  <c r="G8" i="2"/>
  <c r="F8" i="2"/>
  <c r="D8" i="2"/>
  <c r="C8" i="2"/>
  <c r="B8" i="2"/>
  <c r="J7" i="2"/>
  <c r="I7" i="2"/>
  <c r="H7" i="2"/>
  <c r="G7" i="2"/>
  <c r="F7" i="2"/>
  <c r="D7" i="2"/>
  <c r="C7" i="2"/>
  <c r="B7" i="2"/>
  <c r="J6" i="2"/>
  <c r="I6" i="2"/>
  <c r="H6" i="2"/>
  <c r="G6" i="2"/>
  <c r="F6" i="2"/>
  <c r="D6" i="2"/>
  <c r="C6" i="2"/>
  <c r="B6" i="2"/>
  <c r="J5" i="2"/>
  <c r="I5" i="2"/>
  <c r="H5" i="2"/>
  <c r="G5" i="2"/>
  <c r="F5" i="2"/>
  <c r="E5" i="2"/>
  <c r="D5" i="2"/>
  <c r="C5" i="2"/>
  <c r="B5" i="2"/>
  <c r="J4" i="2"/>
  <c r="I4" i="2"/>
  <c r="H4" i="2"/>
  <c r="G4" i="2"/>
  <c r="F4" i="2"/>
  <c r="E4" i="2"/>
  <c r="D4" i="2"/>
  <c r="C4" i="2"/>
  <c r="B4" i="2"/>
  <c r="J3" i="2"/>
  <c r="I3" i="2"/>
  <c r="H3" i="2"/>
  <c r="G3" i="2"/>
  <c r="F3" i="2"/>
  <c r="E3" i="2"/>
  <c r="D3" i="2"/>
  <c r="C3" i="2"/>
  <c r="B3" i="2"/>
  <c r="I2" i="2"/>
  <c r="H2" i="2"/>
  <c r="G2" i="2"/>
  <c r="F2" i="2"/>
  <c r="E2" i="2"/>
  <c r="D2" i="2"/>
  <c r="C2" i="2"/>
  <c r="B2" i="2"/>
  <c r="L499" i="1"/>
  <c r="K499" i="1"/>
  <c r="L498" i="1"/>
  <c r="K498" i="1"/>
  <c r="L497" i="1"/>
  <c r="K497" i="1"/>
  <c r="L496" i="1"/>
  <c r="K496" i="1"/>
  <c r="L495" i="1"/>
  <c r="K495" i="1"/>
  <c r="L494" i="1"/>
  <c r="K494" i="1"/>
  <c r="L493" i="1"/>
  <c r="K493" i="1"/>
  <c r="L492" i="1"/>
  <c r="K492" i="1"/>
  <c r="L491" i="1"/>
  <c r="K491" i="1"/>
  <c r="L490" i="1"/>
  <c r="K490" i="1"/>
  <c r="L489" i="1"/>
  <c r="K489" i="1"/>
  <c r="L488" i="1"/>
  <c r="K488" i="1"/>
  <c r="L487" i="1"/>
  <c r="K487" i="1"/>
  <c r="L486" i="1"/>
  <c r="K486" i="1"/>
  <c r="L485" i="1"/>
  <c r="K485" i="1"/>
  <c r="L484" i="1"/>
  <c r="K484" i="1"/>
  <c r="L483" i="1"/>
  <c r="K483" i="1"/>
  <c r="L482" i="1"/>
  <c r="K482" i="1"/>
  <c r="L481" i="1"/>
  <c r="K481" i="1"/>
  <c r="L480" i="1"/>
  <c r="K480" i="1"/>
  <c r="L479" i="1"/>
  <c r="K479" i="1"/>
  <c r="L478" i="1"/>
  <c r="K478" i="1"/>
  <c r="L477" i="1"/>
  <c r="K477" i="1"/>
  <c r="L476" i="1"/>
  <c r="K476" i="1"/>
  <c r="L475" i="1"/>
  <c r="K475" i="1"/>
  <c r="L474" i="1"/>
  <c r="K474" i="1"/>
  <c r="L473" i="1"/>
  <c r="K473" i="1"/>
  <c r="L472" i="1"/>
  <c r="K472" i="1"/>
  <c r="L471" i="1"/>
  <c r="K471" i="1"/>
  <c r="L470" i="1"/>
  <c r="K470" i="1"/>
  <c r="L469" i="1"/>
  <c r="K469" i="1"/>
  <c r="L468" i="1"/>
  <c r="K468" i="1"/>
  <c r="L467" i="1"/>
  <c r="K467" i="1"/>
  <c r="L466" i="1"/>
  <c r="K466" i="1"/>
  <c r="L465" i="1"/>
  <c r="K465" i="1"/>
  <c r="L464" i="1"/>
  <c r="K464" i="1"/>
  <c r="L463" i="1"/>
  <c r="K463" i="1"/>
  <c r="L462" i="1"/>
  <c r="K462" i="1"/>
  <c r="L461" i="1"/>
  <c r="K461" i="1"/>
  <c r="L460" i="1"/>
  <c r="K460" i="1"/>
  <c r="L459" i="1"/>
  <c r="K459" i="1"/>
  <c r="L458" i="1"/>
  <c r="K458" i="1"/>
  <c r="L457" i="1"/>
  <c r="K457" i="1"/>
  <c r="L456" i="1"/>
  <c r="K456" i="1"/>
  <c r="L455" i="1"/>
  <c r="K455" i="1"/>
  <c r="L454" i="1"/>
  <c r="K454" i="1"/>
  <c r="L453" i="1"/>
  <c r="K453" i="1"/>
  <c r="L452" i="1"/>
  <c r="K452" i="1"/>
  <c r="L451" i="1"/>
  <c r="K451" i="1"/>
  <c r="L450" i="1"/>
  <c r="K450" i="1"/>
  <c r="L449" i="1"/>
  <c r="K449" i="1"/>
  <c r="L448" i="1"/>
  <c r="K448" i="1"/>
  <c r="L447" i="1"/>
  <c r="K447" i="1"/>
  <c r="L446" i="1"/>
  <c r="K446" i="1"/>
  <c r="L445" i="1"/>
  <c r="K445" i="1"/>
  <c r="L444" i="1"/>
  <c r="K444" i="1"/>
  <c r="L443" i="1"/>
  <c r="K443" i="1"/>
  <c r="L442" i="1"/>
  <c r="K442" i="1"/>
  <c r="L441" i="1"/>
  <c r="K441" i="1"/>
  <c r="L440" i="1"/>
  <c r="K440" i="1"/>
  <c r="L439" i="1"/>
  <c r="K439" i="1"/>
  <c r="L438" i="1"/>
  <c r="K438" i="1"/>
  <c r="L437" i="1"/>
  <c r="K437" i="1"/>
  <c r="L436" i="1"/>
  <c r="K436" i="1"/>
  <c r="L435" i="1"/>
  <c r="K435" i="1"/>
  <c r="L434" i="1"/>
  <c r="K434" i="1"/>
  <c r="L433" i="1"/>
  <c r="K433" i="1"/>
  <c r="L432" i="1"/>
  <c r="K432" i="1"/>
  <c r="L431" i="1"/>
  <c r="K431" i="1"/>
  <c r="L430" i="1"/>
  <c r="K430" i="1"/>
  <c r="L429" i="1"/>
  <c r="K429" i="1"/>
  <c r="L428" i="1"/>
  <c r="K428" i="1"/>
  <c r="L427" i="1"/>
  <c r="K427" i="1"/>
  <c r="L426" i="1"/>
  <c r="K426" i="1"/>
  <c r="L425" i="1"/>
  <c r="K425" i="1"/>
  <c r="L424" i="1"/>
  <c r="K424" i="1"/>
  <c r="L423" i="1"/>
  <c r="K423" i="1"/>
  <c r="L422" i="1"/>
  <c r="K422" i="1"/>
  <c r="L421" i="1"/>
  <c r="K421" i="1"/>
  <c r="L420" i="1"/>
  <c r="K420" i="1"/>
  <c r="L419" i="1"/>
  <c r="K419" i="1"/>
  <c r="L418" i="1"/>
  <c r="K418" i="1"/>
  <c r="L417" i="1"/>
  <c r="K417" i="1"/>
  <c r="L416" i="1"/>
  <c r="K416" i="1"/>
  <c r="L415" i="1"/>
  <c r="K415" i="1"/>
  <c r="L414" i="1"/>
  <c r="K414" i="1"/>
  <c r="L413" i="1"/>
  <c r="K413" i="1"/>
  <c r="L412" i="1"/>
  <c r="K412" i="1"/>
  <c r="L411" i="1"/>
  <c r="K411" i="1"/>
  <c r="L410" i="1"/>
  <c r="K410" i="1"/>
  <c r="L409" i="1"/>
  <c r="K409" i="1"/>
  <c r="L408" i="1"/>
  <c r="K408" i="1"/>
  <c r="L407" i="1"/>
  <c r="K407" i="1"/>
  <c r="L406" i="1"/>
  <c r="K406" i="1"/>
  <c r="L405" i="1"/>
  <c r="K405" i="1"/>
  <c r="L404" i="1"/>
  <c r="K404" i="1"/>
  <c r="L403" i="1"/>
  <c r="K403" i="1"/>
  <c r="L402" i="1"/>
  <c r="K402" i="1"/>
  <c r="L401" i="1"/>
  <c r="K401" i="1"/>
  <c r="L400" i="1"/>
  <c r="K400" i="1"/>
  <c r="L399" i="1"/>
  <c r="K399" i="1"/>
  <c r="L398" i="1"/>
  <c r="K398" i="1"/>
  <c r="L397" i="1"/>
  <c r="K397" i="1"/>
  <c r="L396" i="1"/>
  <c r="K396" i="1"/>
  <c r="L395" i="1"/>
  <c r="K395" i="1"/>
  <c r="L394" i="1"/>
  <c r="K394" i="1"/>
  <c r="L393" i="1"/>
  <c r="K393" i="1"/>
  <c r="L392" i="1"/>
  <c r="K392" i="1"/>
  <c r="L391" i="1"/>
  <c r="K391" i="1"/>
  <c r="L390" i="1"/>
  <c r="K390" i="1"/>
  <c r="L389" i="1"/>
  <c r="K389" i="1"/>
  <c r="L388" i="1"/>
  <c r="K388" i="1"/>
  <c r="L387" i="1"/>
  <c r="K387" i="1"/>
  <c r="L386" i="1"/>
  <c r="K386" i="1"/>
  <c r="L385" i="1"/>
  <c r="K385" i="1"/>
  <c r="L384" i="1"/>
  <c r="K384" i="1"/>
  <c r="L383" i="1"/>
  <c r="K383" i="1"/>
  <c r="L382" i="1"/>
  <c r="K382" i="1"/>
  <c r="L381" i="1"/>
  <c r="K381" i="1"/>
  <c r="L380" i="1"/>
  <c r="K380" i="1"/>
  <c r="L379" i="1"/>
  <c r="K379" i="1"/>
  <c r="L378" i="1"/>
  <c r="K378" i="1"/>
  <c r="L377" i="1"/>
  <c r="K377" i="1"/>
  <c r="L376" i="1"/>
  <c r="K376" i="1"/>
  <c r="L375" i="1"/>
  <c r="K375" i="1"/>
  <c r="L374" i="1"/>
  <c r="K374" i="1"/>
  <c r="L373" i="1"/>
  <c r="K373" i="1"/>
  <c r="L372" i="1"/>
  <c r="K372" i="1"/>
  <c r="L371" i="1"/>
  <c r="K371" i="1"/>
  <c r="L370" i="1"/>
  <c r="K370" i="1"/>
  <c r="L369" i="1"/>
  <c r="K369" i="1"/>
  <c r="L368" i="1"/>
  <c r="K368" i="1"/>
  <c r="L367" i="1"/>
  <c r="K367" i="1"/>
  <c r="L366" i="1"/>
  <c r="K366" i="1"/>
  <c r="L365" i="1"/>
  <c r="K365" i="1"/>
  <c r="L364" i="1"/>
  <c r="K364" i="1"/>
  <c r="L363" i="1"/>
  <c r="K363" i="1"/>
  <c r="L362" i="1"/>
  <c r="K362" i="1"/>
  <c r="L361" i="1"/>
  <c r="K361" i="1"/>
  <c r="L360" i="1"/>
  <c r="K360" i="1"/>
  <c r="L359" i="1"/>
  <c r="K359" i="1"/>
  <c r="L358" i="1"/>
  <c r="K358" i="1"/>
  <c r="L357" i="1"/>
  <c r="K357" i="1"/>
  <c r="L356" i="1"/>
  <c r="K356" i="1"/>
  <c r="L355" i="1"/>
  <c r="K355" i="1"/>
  <c r="L354" i="1"/>
  <c r="K354" i="1"/>
  <c r="L353" i="1"/>
  <c r="K353" i="1"/>
  <c r="L352" i="1"/>
  <c r="K352" i="1"/>
  <c r="L351" i="1"/>
  <c r="K351" i="1"/>
  <c r="L350" i="1"/>
  <c r="K350" i="1"/>
  <c r="L349" i="1"/>
  <c r="K349" i="1"/>
  <c r="L348" i="1"/>
  <c r="K348" i="1"/>
  <c r="L347" i="1"/>
  <c r="K347" i="1"/>
  <c r="L346" i="1"/>
  <c r="K346" i="1"/>
  <c r="L345" i="1"/>
  <c r="K345" i="1"/>
  <c r="L344" i="1"/>
  <c r="K344" i="1"/>
  <c r="L343" i="1"/>
  <c r="K343" i="1"/>
  <c r="L342" i="1"/>
  <c r="K342" i="1"/>
  <c r="L341" i="1"/>
  <c r="K341" i="1"/>
  <c r="L340" i="1"/>
  <c r="K340" i="1"/>
  <c r="L339" i="1"/>
  <c r="K339" i="1"/>
  <c r="L338" i="1"/>
  <c r="K338" i="1"/>
  <c r="L337" i="1"/>
  <c r="K337" i="1"/>
  <c r="L336" i="1"/>
  <c r="K336" i="1"/>
  <c r="L335" i="1"/>
  <c r="K335" i="1"/>
  <c r="L334" i="1"/>
  <c r="K334" i="1"/>
  <c r="L333" i="1"/>
  <c r="K333" i="1"/>
  <c r="L332" i="1"/>
  <c r="K332" i="1"/>
  <c r="L331" i="1"/>
  <c r="K331" i="1"/>
  <c r="L330" i="1"/>
  <c r="K330" i="1"/>
  <c r="L329" i="1"/>
  <c r="K329" i="1"/>
  <c r="L328" i="1"/>
  <c r="K328" i="1"/>
  <c r="L327" i="1"/>
  <c r="K327" i="1"/>
  <c r="L326" i="1"/>
  <c r="K326" i="1"/>
  <c r="L325" i="1"/>
  <c r="K325" i="1"/>
  <c r="L324" i="1"/>
  <c r="K324" i="1"/>
  <c r="L323" i="1"/>
  <c r="K323" i="1"/>
  <c r="L322" i="1"/>
  <c r="K322" i="1"/>
  <c r="L321" i="1"/>
  <c r="K321" i="1"/>
  <c r="L320" i="1"/>
  <c r="K320" i="1"/>
  <c r="L319" i="1"/>
  <c r="K319" i="1"/>
  <c r="L318" i="1"/>
  <c r="K318" i="1"/>
  <c r="L317" i="1"/>
  <c r="K317" i="1"/>
  <c r="L316" i="1"/>
  <c r="K316" i="1"/>
  <c r="L315" i="1"/>
  <c r="K315" i="1"/>
  <c r="L314" i="1"/>
  <c r="K314" i="1"/>
  <c r="L313" i="1"/>
  <c r="K313" i="1"/>
  <c r="L312" i="1"/>
  <c r="K312" i="1"/>
  <c r="L311" i="1"/>
  <c r="K311" i="1"/>
  <c r="L310" i="1"/>
  <c r="K310" i="1"/>
  <c r="L309" i="1"/>
  <c r="K309" i="1"/>
  <c r="L308" i="1"/>
  <c r="K308" i="1"/>
  <c r="L307" i="1"/>
  <c r="K307" i="1"/>
  <c r="L306" i="1"/>
  <c r="K306" i="1"/>
  <c r="L305" i="1"/>
  <c r="K305" i="1"/>
  <c r="L304" i="1"/>
  <c r="K304" i="1"/>
  <c r="L303" i="1"/>
  <c r="K303" i="1"/>
  <c r="L302" i="1"/>
  <c r="K302" i="1"/>
  <c r="L301" i="1"/>
  <c r="K301" i="1"/>
  <c r="L300" i="1"/>
  <c r="K300" i="1"/>
  <c r="L299" i="1"/>
  <c r="K299" i="1"/>
  <c r="L298" i="1"/>
  <c r="K298" i="1"/>
  <c r="L297" i="1"/>
  <c r="K297" i="1"/>
  <c r="L296" i="1"/>
  <c r="K296" i="1"/>
  <c r="L295" i="1"/>
  <c r="K295" i="1"/>
  <c r="L294" i="1"/>
  <c r="K294" i="1"/>
  <c r="L293" i="1"/>
  <c r="K293" i="1"/>
  <c r="L292" i="1"/>
  <c r="K292" i="1"/>
  <c r="L291" i="1"/>
  <c r="K291" i="1"/>
  <c r="L290" i="1"/>
  <c r="K290" i="1"/>
  <c r="L289" i="1"/>
  <c r="K289" i="1"/>
  <c r="L288" i="1"/>
  <c r="K288" i="1"/>
  <c r="L287" i="1"/>
  <c r="K287" i="1"/>
  <c r="L286" i="1"/>
  <c r="K286" i="1"/>
  <c r="L285" i="1"/>
  <c r="K285" i="1"/>
  <c r="L284" i="1"/>
  <c r="K284" i="1"/>
  <c r="L283" i="1"/>
  <c r="K283" i="1"/>
  <c r="L282" i="1"/>
  <c r="K282" i="1"/>
  <c r="L281" i="1"/>
  <c r="K281" i="1"/>
  <c r="L280" i="1"/>
  <c r="K280" i="1"/>
  <c r="L279" i="1"/>
  <c r="K279" i="1"/>
  <c r="L278" i="1"/>
  <c r="K278" i="1"/>
  <c r="L277" i="1"/>
  <c r="K277" i="1"/>
  <c r="L276" i="1"/>
  <c r="K276" i="1"/>
  <c r="L275" i="1"/>
  <c r="K275" i="1"/>
  <c r="L274" i="1"/>
  <c r="K274" i="1"/>
  <c r="L273" i="1"/>
  <c r="K273" i="1"/>
  <c r="L272" i="1"/>
  <c r="K272" i="1"/>
  <c r="L271" i="1"/>
  <c r="K271" i="1"/>
  <c r="L270" i="1"/>
  <c r="K270" i="1"/>
  <c r="L269" i="1"/>
  <c r="K269" i="1"/>
  <c r="L268" i="1"/>
  <c r="K268" i="1"/>
  <c r="L267" i="1"/>
  <c r="K267" i="1"/>
  <c r="L266" i="1"/>
  <c r="K266" i="1"/>
  <c r="L265" i="1"/>
  <c r="K265" i="1"/>
  <c r="L264" i="1"/>
  <c r="K264" i="1"/>
  <c r="L263" i="1"/>
  <c r="K263" i="1"/>
  <c r="L262" i="1"/>
  <c r="K262" i="1"/>
  <c r="L261" i="1"/>
  <c r="K261" i="1"/>
  <c r="L260" i="1"/>
  <c r="K260" i="1"/>
  <c r="L259" i="1"/>
  <c r="K259" i="1"/>
  <c r="L258" i="1"/>
  <c r="K258" i="1"/>
  <c r="L257" i="1"/>
  <c r="K257" i="1"/>
  <c r="L256" i="1"/>
  <c r="K256" i="1"/>
  <c r="L255" i="1"/>
  <c r="K255" i="1"/>
  <c r="L254" i="1"/>
  <c r="K254" i="1"/>
  <c r="L253" i="1"/>
  <c r="K253" i="1"/>
  <c r="L252" i="1"/>
  <c r="K252" i="1"/>
  <c r="L251" i="1"/>
  <c r="K251" i="1"/>
  <c r="L250" i="1"/>
  <c r="K250" i="1"/>
  <c r="L249" i="1"/>
  <c r="K249" i="1"/>
  <c r="L248" i="1"/>
  <c r="K248" i="1"/>
  <c r="L247" i="1"/>
  <c r="K247" i="1"/>
  <c r="L246" i="1"/>
  <c r="K246" i="1"/>
  <c r="L245" i="1"/>
  <c r="K245" i="1"/>
  <c r="L244" i="1"/>
  <c r="K244" i="1"/>
  <c r="L243" i="1"/>
  <c r="K243" i="1"/>
  <c r="L242" i="1"/>
  <c r="K242" i="1"/>
  <c r="L241" i="1"/>
  <c r="K241" i="1"/>
  <c r="L240" i="1"/>
  <c r="K240" i="1"/>
  <c r="L239" i="1"/>
  <c r="K239" i="1"/>
  <c r="L238" i="1"/>
  <c r="K238" i="1"/>
  <c r="L237" i="1"/>
  <c r="K237" i="1"/>
  <c r="L236" i="1"/>
  <c r="K236" i="1"/>
  <c r="L235" i="1"/>
  <c r="K235" i="1"/>
  <c r="L234" i="1"/>
  <c r="K234" i="1"/>
  <c r="L233" i="1"/>
  <c r="K233" i="1"/>
  <c r="L232" i="1"/>
  <c r="K232" i="1"/>
  <c r="L231" i="1"/>
  <c r="K231" i="1"/>
  <c r="L230" i="1"/>
  <c r="K230" i="1"/>
  <c r="L229" i="1"/>
  <c r="K229" i="1"/>
  <c r="L228" i="1"/>
  <c r="K228" i="1"/>
  <c r="L227" i="1"/>
  <c r="K227" i="1"/>
  <c r="L226" i="1"/>
  <c r="K226" i="1"/>
  <c r="L225" i="1"/>
  <c r="K225" i="1"/>
  <c r="L224" i="1"/>
  <c r="K224" i="1"/>
  <c r="L223" i="1"/>
  <c r="K223" i="1"/>
  <c r="L222" i="1"/>
  <c r="K222" i="1"/>
  <c r="L221" i="1"/>
  <c r="K221" i="1"/>
  <c r="L220" i="1"/>
  <c r="K220" i="1"/>
  <c r="L219" i="1"/>
  <c r="K219" i="1"/>
  <c r="L218" i="1"/>
  <c r="K218" i="1"/>
  <c r="L217" i="1"/>
  <c r="K217" i="1"/>
  <c r="L216" i="1"/>
  <c r="K216" i="1"/>
  <c r="L215" i="1"/>
  <c r="K215" i="1"/>
  <c r="L214" i="1"/>
  <c r="K214" i="1"/>
  <c r="L213" i="1"/>
  <c r="K213" i="1"/>
  <c r="L212" i="1"/>
  <c r="K212" i="1"/>
  <c r="L211" i="1"/>
  <c r="K211" i="1"/>
  <c r="L210" i="1"/>
  <c r="K210" i="1"/>
  <c r="L209" i="1"/>
  <c r="K209" i="1"/>
  <c r="L208" i="1"/>
  <c r="K208" i="1"/>
  <c r="L207" i="1"/>
  <c r="K207" i="1"/>
  <c r="L206" i="1"/>
  <c r="K206" i="1"/>
  <c r="L205" i="1"/>
  <c r="K205" i="1"/>
  <c r="L204" i="1"/>
  <c r="K204" i="1"/>
  <c r="L203" i="1"/>
  <c r="K203" i="1"/>
  <c r="L202" i="1"/>
  <c r="K202" i="1"/>
  <c r="L201" i="1"/>
  <c r="K201" i="1"/>
  <c r="L200" i="1"/>
  <c r="K200" i="1"/>
  <c r="L199" i="1"/>
  <c r="K199" i="1"/>
  <c r="L198" i="1"/>
  <c r="K198" i="1"/>
  <c r="L197" i="1"/>
  <c r="K197" i="1"/>
  <c r="L196" i="1"/>
  <c r="K196" i="1"/>
  <c r="L195" i="1"/>
  <c r="K195" i="1"/>
  <c r="L194" i="1"/>
  <c r="K194" i="1"/>
  <c r="L193" i="1"/>
  <c r="K193" i="1"/>
  <c r="L192" i="1"/>
  <c r="K192" i="1"/>
  <c r="L191" i="1"/>
  <c r="K191" i="1"/>
  <c r="L190" i="1"/>
  <c r="K190" i="1"/>
  <c r="L189" i="1"/>
  <c r="K189" i="1"/>
  <c r="L188" i="1"/>
  <c r="K188" i="1"/>
  <c r="L187" i="1"/>
  <c r="K187" i="1"/>
  <c r="L186" i="1"/>
  <c r="K186" i="1"/>
  <c r="L185" i="1"/>
  <c r="K185" i="1"/>
  <c r="L184" i="1"/>
  <c r="K184" i="1"/>
  <c r="L183" i="1"/>
  <c r="K183" i="1"/>
  <c r="L182" i="1"/>
  <c r="K182" i="1"/>
  <c r="L181" i="1"/>
  <c r="K181" i="1"/>
  <c r="L180" i="1"/>
  <c r="K180" i="1"/>
  <c r="L179" i="1"/>
  <c r="K179" i="1"/>
  <c r="L178" i="1"/>
  <c r="K178" i="1"/>
  <c r="L177" i="1"/>
  <c r="K177" i="1"/>
  <c r="L176" i="1"/>
  <c r="K176" i="1"/>
  <c r="L175" i="1"/>
  <c r="K175" i="1"/>
  <c r="L174" i="1"/>
  <c r="K174" i="1"/>
  <c r="L173" i="1"/>
  <c r="K173" i="1"/>
  <c r="L172" i="1"/>
  <c r="K172" i="1"/>
  <c r="L171" i="1"/>
  <c r="K171" i="1"/>
  <c r="L170" i="1"/>
  <c r="L169" i="1"/>
  <c r="L168" i="1"/>
  <c r="L167" i="1"/>
  <c r="L166" i="1"/>
  <c r="L165" i="1"/>
  <c r="L164" i="1"/>
  <c r="L163" i="1"/>
  <c r="L162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V499" i="3"/>
  <c r="U499" i="3"/>
  <c r="T499" i="3"/>
  <c r="Q499" i="3"/>
  <c r="N499" i="3"/>
  <c r="K499" i="3"/>
  <c r="H499" i="3"/>
  <c r="E499" i="3"/>
  <c r="C499" i="3"/>
  <c r="B499" i="3"/>
  <c r="A499" i="3"/>
  <c r="V498" i="3"/>
  <c r="U498" i="3"/>
  <c r="T498" i="3"/>
  <c r="Q498" i="3"/>
  <c r="N498" i="3"/>
  <c r="K498" i="3"/>
  <c r="H498" i="3"/>
  <c r="E498" i="3"/>
  <c r="C498" i="3"/>
  <c r="B498" i="3"/>
  <c r="A498" i="3"/>
  <c r="U497" i="3"/>
  <c r="T497" i="3"/>
  <c r="Q497" i="3"/>
  <c r="N497" i="3"/>
  <c r="K497" i="3"/>
  <c r="H497" i="3"/>
  <c r="E497" i="3"/>
  <c r="C497" i="3"/>
  <c r="B497" i="3"/>
  <c r="A497" i="3"/>
  <c r="V497" i="3" s="1"/>
  <c r="U496" i="3"/>
  <c r="T496" i="3"/>
  <c r="Q496" i="3"/>
  <c r="N496" i="3"/>
  <c r="K496" i="3"/>
  <c r="H496" i="3"/>
  <c r="E496" i="3"/>
  <c r="C496" i="3"/>
  <c r="B496" i="3"/>
  <c r="A496" i="3"/>
  <c r="V496" i="3" s="1"/>
  <c r="V495" i="3"/>
  <c r="T495" i="3"/>
  <c r="Q495" i="3"/>
  <c r="N495" i="3"/>
  <c r="K495" i="3"/>
  <c r="H495" i="3"/>
  <c r="E495" i="3"/>
  <c r="C495" i="3"/>
  <c r="B495" i="3"/>
  <c r="A495" i="3"/>
  <c r="U495" i="3" s="1"/>
  <c r="Q494" i="3"/>
  <c r="N494" i="3"/>
  <c r="K494" i="3"/>
  <c r="H494" i="3"/>
  <c r="E494" i="3"/>
  <c r="C494" i="3"/>
  <c r="B494" i="3"/>
  <c r="A494" i="3"/>
  <c r="Q493" i="3"/>
  <c r="N493" i="3"/>
  <c r="K493" i="3"/>
  <c r="H493" i="3"/>
  <c r="E493" i="3"/>
  <c r="C493" i="3"/>
  <c r="B493" i="3"/>
  <c r="A493" i="3"/>
  <c r="V492" i="3"/>
  <c r="U492" i="3"/>
  <c r="T492" i="3"/>
  <c r="Q492" i="3"/>
  <c r="N492" i="3"/>
  <c r="K492" i="3"/>
  <c r="H492" i="3"/>
  <c r="E492" i="3"/>
  <c r="C492" i="3"/>
  <c r="B492" i="3"/>
  <c r="A492" i="3"/>
  <c r="V491" i="3"/>
  <c r="U491" i="3"/>
  <c r="Q491" i="3"/>
  <c r="N491" i="3"/>
  <c r="K491" i="3"/>
  <c r="H491" i="3"/>
  <c r="E491" i="3"/>
  <c r="C491" i="3"/>
  <c r="B491" i="3"/>
  <c r="A491" i="3"/>
  <c r="T491" i="3" s="1"/>
  <c r="T490" i="3"/>
  <c r="Q490" i="3"/>
  <c r="N490" i="3"/>
  <c r="K490" i="3"/>
  <c r="H490" i="3"/>
  <c r="E490" i="3"/>
  <c r="C490" i="3"/>
  <c r="B490" i="3"/>
  <c r="A490" i="3"/>
  <c r="V489" i="3"/>
  <c r="T489" i="3"/>
  <c r="Q489" i="3"/>
  <c r="N489" i="3"/>
  <c r="K489" i="3"/>
  <c r="H489" i="3"/>
  <c r="E489" i="3"/>
  <c r="C489" i="3"/>
  <c r="B489" i="3"/>
  <c r="A489" i="3"/>
  <c r="U489" i="3" s="1"/>
  <c r="V488" i="3"/>
  <c r="U488" i="3"/>
  <c r="Q488" i="3"/>
  <c r="N488" i="3"/>
  <c r="K488" i="3"/>
  <c r="H488" i="3"/>
  <c r="E488" i="3"/>
  <c r="C488" i="3"/>
  <c r="B488" i="3"/>
  <c r="A488" i="3"/>
  <c r="T488" i="3" s="1"/>
  <c r="V487" i="3"/>
  <c r="T487" i="3"/>
  <c r="Q487" i="3"/>
  <c r="N487" i="3"/>
  <c r="K487" i="3"/>
  <c r="H487" i="3"/>
  <c r="E487" i="3"/>
  <c r="C487" i="3"/>
  <c r="B487" i="3"/>
  <c r="A487" i="3"/>
  <c r="U487" i="3" s="1"/>
  <c r="Q486" i="3"/>
  <c r="N486" i="3"/>
  <c r="K486" i="3"/>
  <c r="H486" i="3"/>
  <c r="E486" i="3"/>
  <c r="C486" i="3"/>
  <c r="B486" i="3"/>
  <c r="A486" i="3"/>
  <c r="Q485" i="3"/>
  <c r="N485" i="3"/>
  <c r="K485" i="3"/>
  <c r="H485" i="3"/>
  <c r="E485" i="3"/>
  <c r="C485" i="3"/>
  <c r="B485" i="3"/>
  <c r="A485" i="3"/>
  <c r="V484" i="3"/>
  <c r="Q484" i="3"/>
  <c r="N484" i="3"/>
  <c r="K484" i="3"/>
  <c r="H484" i="3"/>
  <c r="E484" i="3"/>
  <c r="C484" i="3"/>
  <c r="B484" i="3"/>
  <c r="A484" i="3"/>
  <c r="V483" i="3"/>
  <c r="U483" i="3"/>
  <c r="T483" i="3"/>
  <c r="Q483" i="3"/>
  <c r="N483" i="3"/>
  <c r="K483" i="3"/>
  <c r="H483" i="3"/>
  <c r="E483" i="3"/>
  <c r="C483" i="3"/>
  <c r="B483" i="3"/>
  <c r="A483" i="3"/>
  <c r="Q482" i="3"/>
  <c r="N482" i="3"/>
  <c r="K482" i="3"/>
  <c r="H482" i="3"/>
  <c r="E482" i="3"/>
  <c r="C482" i="3"/>
  <c r="B482" i="3"/>
  <c r="A482" i="3"/>
  <c r="V482" i="3" s="1"/>
  <c r="T481" i="3"/>
  <c r="Q481" i="3"/>
  <c r="N481" i="3"/>
  <c r="K481" i="3"/>
  <c r="H481" i="3"/>
  <c r="E481" i="3"/>
  <c r="C481" i="3"/>
  <c r="B481" i="3"/>
  <c r="A481" i="3"/>
  <c r="V481" i="3" s="1"/>
  <c r="V480" i="3"/>
  <c r="U480" i="3"/>
  <c r="T480" i="3"/>
  <c r="Q480" i="3"/>
  <c r="N480" i="3"/>
  <c r="K480" i="3"/>
  <c r="H480" i="3"/>
  <c r="E480" i="3"/>
  <c r="C480" i="3"/>
  <c r="B480" i="3"/>
  <c r="A480" i="3"/>
  <c r="V479" i="3"/>
  <c r="U479" i="3"/>
  <c r="Q479" i="3"/>
  <c r="N479" i="3"/>
  <c r="K479" i="3"/>
  <c r="H479" i="3"/>
  <c r="E479" i="3"/>
  <c r="C479" i="3"/>
  <c r="B479" i="3"/>
  <c r="A479" i="3"/>
  <c r="T479" i="3" s="1"/>
  <c r="T478" i="3"/>
  <c r="Q478" i="3"/>
  <c r="N478" i="3"/>
  <c r="K478" i="3"/>
  <c r="H478" i="3"/>
  <c r="E478" i="3"/>
  <c r="C478" i="3"/>
  <c r="B478" i="3"/>
  <c r="A478" i="3"/>
  <c r="V478" i="3" s="1"/>
  <c r="Q477" i="3"/>
  <c r="N477" i="3"/>
  <c r="K477" i="3"/>
  <c r="H477" i="3"/>
  <c r="E477" i="3"/>
  <c r="C477" i="3"/>
  <c r="B477" i="3"/>
  <c r="A477" i="3"/>
  <c r="V476" i="3"/>
  <c r="Q476" i="3"/>
  <c r="N476" i="3"/>
  <c r="K476" i="3"/>
  <c r="H476" i="3"/>
  <c r="E476" i="3"/>
  <c r="C476" i="3"/>
  <c r="B476" i="3"/>
  <c r="A476" i="3"/>
  <c r="T476" i="3" s="1"/>
  <c r="U475" i="3"/>
  <c r="T475" i="3"/>
  <c r="Q475" i="3"/>
  <c r="N475" i="3"/>
  <c r="K475" i="3"/>
  <c r="H475" i="3"/>
  <c r="E475" i="3"/>
  <c r="C475" i="3"/>
  <c r="B475" i="3"/>
  <c r="A475" i="3"/>
  <c r="V475" i="3" s="1"/>
  <c r="V474" i="3"/>
  <c r="U474" i="3"/>
  <c r="T474" i="3"/>
  <c r="Q474" i="3"/>
  <c r="N474" i="3"/>
  <c r="K474" i="3"/>
  <c r="H474" i="3"/>
  <c r="E474" i="3"/>
  <c r="C474" i="3"/>
  <c r="B474" i="3"/>
  <c r="A474" i="3"/>
  <c r="V473" i="3"/>
  <c r="T473" i="3"/>
  <c r="Q473" i="3"/>
  <c r="N473" i="3"/>
  <c r="K473" i="3"/>
  <c r="H473" i="3"/>
  <c r="E473" i="3"/>
  <c r="C473" i="3"/>
  <c r="B473" i="3"/>
  <c r="A473" i="3"/>
  <c r="U473" i="3" s="1"/>
  <c r="U472" i="3"/>
  <c r="T472" i="3"/>
  <c r="Q472" i="3"/>
  <c r="N472" i="3"/>
  <c r="K472" i="3"/>
  <c r="H472" i="3"/>
  <c r="E472" i="3"/>
  <c r="C472" i="3"/>
  <c r="B472" i="3"/>
  <c r="A472" i="3"/>
  <c r="V472" i="3" s="1"/>
  <c r="V471" i="3"/>
  <c r="T471" i="3"/>
  <c r="Q471" i="3"/>
  <c r="N471" i="3"/>
  <c r="K471" i="3"/>
  <c r="H471" i="3"/>
  <c r="E471" i="3"/>
  <c r="C471" i="3"/>
  <c r="B471" i="3"/>
  <c r="A471" i="3"/>
  <c r="U471" i="3" s="1"/>
  <c r="Q470" i="3"/>
  <c r="N470" i="3"/>
  <c r="K470" i="3"/>
  <c r="H470" i="3"/>
  <c r="E470" i="3"/>
  <c r="C470" i="3"/>
  <c r="B470" i="3"/>
  <c r="A470" i="3"/>
  <c r="Q469" i="3"/>
  <c r="N469" i="3"/>
  <c r="K469" i="3"/>
  <c r="H469" i="3"/>
  <c r="E469" i="3"/>
  <c r="C469" i="3"/>
  <c r="B469" i="3"/>
  <c r="A469" i="3"/>
  <c r="V468" i="3"/>
  <c r="U468" i="3"/>
  <c r="T468" i="3"/>
  <c r="Q468" i="3"/>
  <c r="N468" i="3"/>
  <c r="K468" i="3"/>
  <c r="H468" i="3"/>
  <c r="E468" i="3"/>
  <c r="C468" i="3"/>
  <c r="B468" i="3"/>
  <c r="A468" i="3"/>
  <c r="V467" i="3"/>
  <c r="U467" i="3"/>
  <c r="Q467" i="3"/>
  <c r="N467" i="3"/>
  <c r="K467" i="3"/>
  <c r="H467" i="3"/>
  <c r="E467" i="3"/>
  <c r="C467" i="3"/>
  <c r="B467" i="3"/>
  <c r="A467" i="3"/>
  <c r="T467" i="3" s="1"/>
  <c r="Q466" i="3"/>
  <c r="N466" i="3"/>
  <c r="K466" i="3"/>
  <c r="H466" i="3"/>
  <c r="E466" i="3"/>
  <c r="C466" i="3"/>
  <c r="B466" i="3"/>
  <c r="A466" i="3"/>
  <c r="V466" i="3" s="1"/>
  <c r="V465" i="3"/>
  <c r="T465" i="3"/>
  <c r="Q465" i="3"/>
  <c r="N465" i="3"/>
  <c r="K465" i="3"/>
  <c r="H465" i="3"/>
  <c r="E465" i="3"/>
  <c r="C465" i="3"/>
  <c r="B465" i="3"/>
  <c r="A465" i="3"/>
  <c r="U465" i="3" s="1"/>
  <c r="V464" i="3"/>
  <c r="U464" i="3"/>
  <c r="Q464" i="3"/>
  <c r="N464" i="3"/>
  <c r="K464" i="3"/>
  <c r="H464" i="3"/>
  <c r="E464" i="3"/>
  <c r="C464" i="3"/>
  <c r="B464" i="3"/>
  <c r="A464" i="3"/>
  <c r="T464" i="3" s="1"/>
  <c r="T463" i="3"/>
  <c r="Q463" i="3"/>
  <c r="N463" i="3"/>
  <c r="K463" i="3"/>
  <c r="H463" i="3"/>
  <c r="E463" i="3"/>
  <c r="C463" i="3"/>
  <c r="B463" i="3"/>
  <c r="A463" i="3"/>
  <c r="V463" i="3" s="1"/>
  <c r="Q462" i="3"/>
  <c r="N462" i="3"/>
  <c r="K462" i="3"/>
  <c r="H462" i="3"/>
  <c r="E462" i="3"/>
  <c r="C462" i="3"/>
  <c r="B462" i="3"/>
  <c r="A462" i="3"/>
  <c r="V461" i="3"/>
  <c r="Q461" i="3"/>
  <c r="N461" i="3"/>
  <c r="K461" i="3"/>
  <c r="H461" i="3"/>
  <c r="E461" i="3"/>
  <c r="C461" i="3"/>
  <c r="B461" i="3"/>
  <c r="A461" i="3"/>
  <c r="T461" i="3" s="1"/>
  <c r="V460" i="3"/>
  <c r="U460" i="3"/>
  <c r="Q460" i="3"/>
  <c r="N460" i="3"/>
  <c r="K460" i="3"/>
  <c r="H460" i="3"/>
  <c r="E460" i="3"/>
  <c r="C460" i="3"/>
  <c r="B460" i="3"/>
  <c r="A460" i="3"/>
  <c r="T460" i="3" s="1"/>
  <c r="T459" i="3"/>
  <c r="Q459" i="3"/>
  <c r="N459" i="3"/>
  <c r="K459" i="3"/>
  <c r="H459" i="3"/>
  <c r="E459" i="3"/>
  <c r="C459" i="3"/>
  <c r="B459" i="3"/>
  <c r="A459" i="3"/>
  <c r="V459" i="3" s="1"/>
  <c r="V458" i="3"/>
  <c r="T458" i="3"/>
  <c r="Q458" i="3"/>
  <c r="N458" i="3"/>
  <c r="K458" i="3"/>
  <c r="H458" i="3"/>
  <c r="E458" i="3"/>
  <c r="C458" i="3"/>
  <c r="B458" i="3"/>
  <c r="A458" i="3"/>
  <c r="U458" i="3" s="1"/>
  <c r="V457" i="3"/>
  <c r="U457" i="3"/>
  <c r="T457" i="3"/>
  <c r="Q457" i="3"/>
  <c r="N457" i="3"/>
  <c r="K457" i="3"/>
  <c r="H457" i="3"/>
  <c r="E457" i="3"/>
  <c r="C457" i="3"/>
  <c r="B457" i="3"/>
  <c r="A457" i="3"/>
  <c r="V456" i="3"/>
  <c r="U456" i="3"/>
  <c r="T456" i="3"/>
  <c r="Q456" i="3"/>
  <c r="N456" i="3"/>
  <c r="K456" i="3"/>
  <c r="H456" i="3"/>
  <c r="E456" i="3"/>
  <c r="C456" i="3"/>
  <c r="B456" i="3"/>
  <c r="A456" i="3"/>
  <c r="U455" i="3"/>
  <c r="T455" i="3"/>
  <c r="Q455" i="3"/>
  <c r="N455" i="3"/>
  <c r="K455" i="3"/>
  <c r="H455" i="3"/>
  <c r="E455" i="3"/>
  <c r="C455" i="3"/>
  <c r="B455" i="3"/>
  <c r="A455" i="3"/>
  <c r="V455" i="3" s="1"/>
  <c r="U454" i="3"/>
  <c r="T454" i="3"/>
  <c r="Q454" i="3"/>
  <c r="N454" i="3"/>
  <c r="K454" i="3"/>
  <c r="H454" i="3"/>
  <c r="E454" i="3"/>
  <c r="C454" i="3"/>
  <c r="B454" i="3"/>
  <c r="A454" i="3"/>
  <c r="V454" i="3" s="1"/>
  <c r="Q453" i="3"/>
  <c r="N453" i="3"/>
  <c r="K453" i="3"/>
  <c r="H453" i="3"/>
  <c r="E453" i="3"/>
  <c r="C453" i="3"/>
  <c r="B453" i="3"/>
  <c r="A453" i="3"/>
  <c r="V452" i="3"/>
  <c r="Q452" i="3"/>
  <c r="N452" i="3"/>
  <c r="K452" i="3"/>
  <c r="H452" i="3"/>
  <c r="E452" i="3"/>
  <c r="C452" i="3"/>
  <c r="B452" i="3"/>
  <c r="A452" i="3"/>
  <c r="Q451" i="3"/>
  <c r="N451" i="3"/>
  <c r="K451" i="3"/>
  <c r="H451" i="3"/>
  <c r="E451" i="3"/>
  <c r="C451" i="3"/>
  <c r="B451" i="3"/>
  <c r="A451" i="3"/>
  <c r="V451" i="3" s="1"/>
  <c r="V450" i="3"/>
  <c r="T450" i="3"/>
  <c r="Q450" i="3"/>
  <c r="N450" i="3"/>
  <c r="K450" i="3"/>
  <c r="H450" i="3"/>
  <c r="E450" i="3"/>
  <c r="C450" i="3"/>
  <c r="B450" i="3"/>
  <c r="A450" i="3"/>
  <c r="U450" i="3" s="1"/>
  <c r="V449" i="3"/>
  <c r="U449" i="3"/>
  <c r="T449" i="3"/>
  <c r="Q449" i="3"/>
  <c r="N449" i="3"/>
  <c r="K449" i="3"/>
  <c r="H449" i="3"/>
  <c r="E449" i="3"/>
  <c r="C449" i="3"/>
  <c r="B449" i="3"/>
  <c r="A449" i="3"/>
  <c r="V448" i="3"/>
  <c r="U448" i="3"/>
  <c r="T448" i="3"/>
  <c r="Q448" i="3"/>
  <c r="N448" i="3"/>
  <c r="K448" i="3"/>
  <c r="H448" i="3"/>
  <c r="E448" i="3"/>
  <c r="C448" i="3"/>
  <c r="B448" i="3"/>
  <c r="A448" i="3"/>
  <c r="U447" i="3"/>
  <c r="T447" i="3"/>
  <c r="Q447" i="3"/>
  <c r="N447" i="3"/>
  <c r="K447" i="3"/>
  <c r="H447" i="3"/>
  <c r="E447" i="3"/>
  <c r="C447" i="3"/>
  <c r="B447" i="3"/>
  <c r="A447" i="3"/>
  <c r="V447" i="3" s="1"/>
  <c r="U446" i="3"/>
  <c r="T446" i="3"/>
  <c r="Q446" i="3"/>
  <c r="N446" i="3"/>
  <c r="K446" i="3"/>
  <c r="H446" i="3"/>
  <c r="E446" i="3"/>
  <c r="C446" i="3"/>
  <c r="B446" i="3"/>
  <c r="A446" i="3"/>
  <c r="V446" i="3" s="1"/>
  <c r="V445" i="3"/>
  <c r="T445" i="3"/>
  <c r="Q445" i="3"/>
  <c r="N445" i="3"/>
  <c r="K445" i="3"/>
  <c r="H445" i="3"/>
  <c r="E445" i="3"/>
  <c r="C445" i="3"/>
  <c r="B445" i="3"/>
  <c r="A445" i="3"/>
  <c r="U445" i="3" s="1"/>
  <c r="V444" i="3"/>
  <c r="U444" i="3"/>
  <c r="T444" i="3"/>
  <c r="Q444" i="3"/>
  <c r="N444" i="3"/>
  <c r="K444" i="3"/>
  <c r="H444" i="3"/>
  <c r="E444" i="3"/>
  <c r="C444" i="3"/>
  <c r="B444" i="3"/>
  <c r="A444" i="3"/>
  <c r="Q443" i="3"/>
  <c r="N443" i="3"/>
  <c r="K443" i="3"/>
  <c r="H443" i="3"/>
  <c r="E443" i="3"/>
  <c r="C443" i="3"/>
  <c r="B443" i="3"/>
  <c r="A443" i="3"/>
  <c r="T442" i="3"/>
  <c r="Q442" i="3"/>
  <c r="N442" i="3"/>
  <c r="K442" i="3"/>
  <c r="H442" i="3"/>
  <c r="E442" i="3"/>
  <c r="C442" i="3"/>
  <c r="B442" i="3"/>
  <c r="A442" i="3"/>
  <c r="T441" i="3"/>
  <c r="Q441" i="3"/>
  <c r="N441" i="3"/>
  <c r="K441" i="3"/>
  <c r="H441" i="3"/>
  <c r="E441" i="3"/>
  <c r="C441" i="3"/>
  <c r="B441" i="3"/>
  <c r="A441" i="3"/>
  <c r="U441" i="3" s="1"/>
  <c r="V440" i="3"/>
  <c r="U440" i="3"/>
  <c r="Q440" i="3"/>
  <c r="N440" i="3"/>
  <c r="K440" i="3"/>
  <c r="H440" i="3"/>
  <c r="E440" i="3"/>
  <c r="C440" i="3"/>
  <c r="B440" i="3"/>
  <c r="A440" i="3"/>
  <c r="T440" i="3" s="1"/>
  <c r="U439" i="3"/>
  <c r="T439" i="3"/>
  <c r="Q439" i="3"/>
  <c r="N439" i="3"/>
  <c r="K439" i="3"/>
  <c r="H439" i="3"/>
  <c r="E439" i="3"/>
  <c r="C439" i="3"/>
  <c r="B439" i="3"/>
  <c r="A439" i="3"/>
  <c r="V439" i="3" s="1"/>
  <c r="U438" i="3"/>
  <c r="T438" i="3"/>
  <c r="Q438" i="3"/>
  <c r="N438" i="3"/>
  <c r="K438" i="3"/>
  <c r="H438" i="3"/>
  <c r="E438" i="3"/>
  <c r="C438" i="3"/>
  <c r="B438" i="3"/>
  <c r="A438" i="3"/>
  <c r="V438" i="3" s="1"/>
  <c r="V437" i="3"/>
  <c r="T437" i="3"/>
  <c r="Q437" i="3"/>
  <c r="N437" i="3"/>
  <c r="K437" i="3"/>
  <c r="H437" i="3"/>
  <c r="E437" i="3"/>
  <c r="C437" i="3"/>
  <c r="B437" i="3"/>
  <c r="A437" i="3"/>
  <c r="U437" i="3" s="1"/>
  <c r="Q436" i="3"/>
  <c r="N436" i="3"/>
  <c r="K436" i="3"/>
  <c r="H436" i="3"/>
  <c r="E436" i="3"/>
  <c r="C436" i="3"/>
  <c r="B436" i="3"/>
  <c r="A436" i="3"/>
  <c r="V435" i="3"/>
  <c r="U435" i="3"/>
  <c r="T435" i="3"/>
  <c r="Q435" i="3"/>
  <c r="N435" i="3"/>
  <c r="K435" i="3"/>
  <c r="H435" i="3"/>
  <c r="E435" i="3"/>
  <c r="C435" i="3"/>
  <c r="B435" i="3"/>
  <c r="A435" i="3"/>
  <c r="Q434" i="3"/>
  <c r="N434" i="3"/>
  <c r="K434" i="3"/>
  <c r="H434" i="3"/>
  <c r="E434" i="3"/>
  <c r="C434" i="3"/>
  <c r="B434" i="3"/>
  <c r="A434" i="3"/>
  <c r="V434" i="3" s="1"/>
  <c r="Q433" i="3"/>
  <c r="N433" i="3"/>
  <c r="K433" i="3"/>
  <c r="H433" i="3"/>
  <c r="E433" i="3"/>
  <c r="C433" i="3"/>
  <c r="B433" i="3"/>
  <c r="A433" i="3"/>
  <c r="V433" i="3" s="1"/>
  <c r="V432" i="3"/>
  <c r="U432" i="3"/>
  <c r="T432" i="3"/>
  <c r="Q432" i="3"/>
  <c r="N432" i="3"/>
  <c r="K432" i="3"/>
  <c r="H432" i="3"/>
  <c r="E432" i="3"/>
  <c r="C432" i="3"/>
  <c r="B432" i="3"/>
  <c r="A432" i="3"/>
  <c r="V431" i="3"/>
  <c r="U431" i="3"/>
  <c r="Q431" i="3"/>
  <c r="N431" i="3"/>
  <c r="K431" i="3"/>
  <c r="H431" i="3"/>
  <c r="E431" i="3"/>
  <c r="C431" i="3"/>
  <c r="B431" i="3"/>
  <c r="A431" i="3"/>
  <c r="T431" i="3" s="1"/>
  <c r="U430" i="3"/>
  <c r="T430" i="3"/>
  <c r="Q430" i="3"/>
  <c r="N430" i="3"/>
  <c r="K430" i="3"/>
  <c r="H430" i="3"/>
  <c r="E430" i="3"/>
  <c r="C430" i="3"/>
  <c r="B430" i="3"/>
  <c r="A430" i="3"/>
  <c r="V430" i="3" s="1"/>
  <c r="T429" i="3"/>
  <c r="Q429" i="3"/>
  <c r="N429" i="3"/>
  <c r="K429" i="3"/>
  <c r="H429" i="3"/>
  <c r="E429" i="3"/>
  <c r="C429" i="3"/>
  <c r="B429" i="3"/>
  <c r="A429" i="3"/>
  <c r="U429" i="3" s="1"/>
  <c r="Q428" i="3"/>
  <c r="N428" i="3"/>
  <c r="K428" i="3"/>
  <c r="H428" i="3"/>
  <c r="E428" i="3"/>
  <c r="C428" i="3"/>
  <c r="B428" i="3"/>
  <c r="A428" i="3"/>
  <c r="V427" i="3"/>
  <c r="Q427" i="3"/>
  <c r="N427" i="3"/>
  <c r="K427" i="3"/>
  <c r="H427" i="3"/>
  <c r="E427" i="3"/>
  <c r="C427" i="3"/>
  <c r="B427" i="3"/>
  <c r="A427" i="3"/>
  <c r="V426" i="3"/>
  <c r="U426" i="3"/>
  <c r="T426" i="3"/>
  <c r="Q426" i="3"/>
  <c r="N426" i="3"/>
  <c r="K426" i="3"/>
  <c r="H426" i="3"/>
  <c r="E426" i="3"/>
  <c r="C426" i="3"/>
  <c r="B426" i="3"/>
  <c r="A426" i="3"/>
  <c r="V425" i="3"/>
  <c r="U425" i="3"/>
  <c r="Q425" i="3"/>
  <c r="N425" i="3"/>
  <c r="K425" i="3"/>
  <c r="H425" i="3"/>
  <c r="E425" i="3"/>
  <c r="C425" i="3"/>
  <c r="B425" i="3"/>
  <c r="A425" i="3"/>
  <c r="T425" i="3" s="1"/>
  <c r="T424" i="3"/>
  <c r="Q424" i="3"/>
  <c r="N424" i="3"/>
  <c r="K424" i="3"/>
  <c r="H424" i="3"/>
  <c r="E424" i="3"/>
  <c r="C424" i="3"/>
  <c r="B424" i="3"/>
  <c r="A424" i="3"/>
  <c r="V424" i="3" s="1"/>
  <c r="V423" i="3"/>
  <c r="T423" i="3"/>
  <c r="Q423" i="3"/>
  <c r="N423" i="3"/>
  <c r="K423" i="3"/>
  <c r="H423" i="3"/>
  <c r="E423" i="3"/>
  <c r="C423" i="3"/>
  <c r="B423" i="3"/>
  <c r="A423" i="3"/>
  <c r="U423" i="3" s="1"/>
  <c r="V422" i="3"/>
  <c r="U422" i="3"/>
  <c r="Q422" i="3"/>
  <c r="N422" i="3"/>
  <c r="K422" i="3"/>
  <c r="H422" i="3"/>
  <c r="E422" i="3"/>
  <c r="C422" i="3"/>
  <c r="B422" i="3"/>
  <c r="A422" i="3"/>
  <c r="T422" i="3" s="1"/>
  <c r="V421" i="3"/>
  <c r="T421" i="3"/>
  <c r="Q421" i="3"/>
  <c r="N421" i="3"/>
  <c r="K421" i="3"/>
  <c r="H421" i="3"/>
  <c r="E421" i="3"/>
  <c r="C421" i="3"/>
  <c r="B421" i="3"/>
  <c r="A421" i="3"/>
  <c r="U421" i="3" s="1"/>
  <c r="V420" i="3"/>
  <c r="U420" i="3"/>
  <c r="T420" i="3"/>
  <c r="Q420" i="3"/>
  <c r="N420" i="3"/>
  <c r="K420" i="3"/>
  <c r="H420" i="3"/>
  <c r="E420" i="3"/>
  <c r="C420" i="3"/>
  <c r="B420" i="3"/>
  <c r="A420" i="3"/>
  <c r="Q419" i="3"/>
  <c r="N419" i="3"/>
  <c r="K419" i="3"/>
  <c r="H419" i="3"/>
  <c r="E419" i="3"/>
  <c r="C419" i="3"/>
  <c r="B419" i="3"/>
  <c r="A419" i="3"/>
  <c r="U418" i="3"/>
  <c r="Q418" i="3"/>
  <c r="N418" i="3"/>
  <c r="K418" i="3"/>
  <c r="H418" i="3"/>
  <c r="E418" i="3"/>
  <c r="C418" i="3"/>
  <c r="B418" i="3"/>
  <c r="A418" i="3"/>
  <c r="V418" i="3" s="1"/>
  <c r="Q417" i="3"/>
  <c r="N417" i="3"/>
  <c r="K417" i="3"/>
  <c r="H417" i="3"/>
  <c r="E417" i="3"/>
  <c r="C417" i="3"/>
  <c r="B417" i="3"/>
  <c r="A417" i="3"/>
  <c r="U417" i="3" s="1"/>
  <c r="V416" i="3"/>
  <c r="U416" i="3"/>
  <c r="Q416" i="3"/>
  <c r="N416" i="3"/>
  <c r="K416" i="3"/>
  <c r="H416" i="3"/>
  <c r="E416" i="3"/>
  <c r="C416" i="3"/>
  <c r="B416" i="3"/>
  <c r="A416" i="3"/>
  <c r="T416" i="3" s="1"/>
  <c r="U415" i="3"/>
  <c r="T415" i="3"/>
  <c r="Q415" i="3"/>
  <c r="N415" i="3"/>
  <c r="K415" i="3"/>
  <c r="H415" i="3"/>
  <c r="E415" i="3"/>
  <c r="C415" i="3"/>
  <c r="B415" i="3"/>
  <c r="A415" i="3"/>
  <c r="V415" i="3" s="1"/>
  <c r="T414" i="3"/>
  <c r="Q414" i="3"/>
  <c r="N414" i="3"/>
  <c r="K414" i="3"/>
  <c r="H414" i="3"/>
  <c r="E414" i="3"/>
  <c r="C414" i="3"/>
  <c r="B414" i="3"/>
  <c r="A414" i="3"/>
  <c r="U414" i="3" s="1"/>
  <c r="Q413" i="3"/>
  <c r="N413" i="3"/>
  <c r="K413" i="3"/>
  <c r="H413" i="3"/>
  <c r="E413" i="3"/>
  <c r="C413" i="3"/>
  <c r="B413" i="3"/>
  <c r="A413" i="3"/>
  <c r="Q412" i="3"/>
  <c r="N412" i="3"/>
  <c r="K412" i="3"/>
  <c r="H412" i="3"/>
  <c r="E412" i="3"/>
  <c r="C412" i="3"/>
  <c r="B412" i="3"/>
  <c r="A412" i="3"/>
  <c r="V411" i="3"/>
  <c r="U411" i="3"/>
  <c r="Q411" i="3"/>
  <c r="N411" i="3"/>
  <c r="K411" i="3"/>
  <c r="H411" i="3"/>
  <c r="E411" i="3"/>
  <c r="C411" i="3"/>
  <c r="B411" i="3"/>
  <c r="A411" i="3"/>
  <c r="T411" i="3" s="1"/>
  <c r="V410" i="3"/>
  <c r="U410" i="3"/>
  <c r="Q410" i="3"/>
  <c r="N410" i="3"/>
  <c r="K410" i="3"/>
  <c r="H410" i="3"/>
  <c r="E410" i="3"/>
  <c r="C410" i="3"/>
  <c r="B410" i="3"/>
  <c r="A410" i="3"/>
  <c r="T410" i="3" s="1"/>
  <c r="U409" i="3"/>
  <c r="T409" i="3"/>
  <c r="Q409" i="3"/>
  <c r="N409" i="3"/>
  <c r="K409" i="3"/>
  <c r="H409" i="3"/>
  <c r="E409" i="3"/>
  <c r="C409" i="3"/>
  <c r="B409" i="3"/>
  <c r="A409" i="3"/>
  <c r="V409" i="3" s="1"/>
  <c r="V408" i="3"/>
  <c r="U408" i="3"/>
  <c r="T408" i="3"/>
  <c r="Q408" i="3"/>
  <c r="N408" i="3"/>
  <c r="K408" i="3"/>
  <c r="H408" i="3"/>
  <c r="E408" i="3"/>
  <c r="C408" i="3"/>
  <c r="B408" i="3"/>
  <c r="A408" i="3"/>
  <c r="V407" i="3"/>
  <c r="U407" i="3"/>
  <c r="T407" i="3"/>
  <c r="Q407" i="3"/>
  <c r="N407" i="3"/>
  <c r="K407" i="3"/>
  <c r="H407" i="3"/>
  <c r="E407" i="3"/>
  <c r="C407" i="3"/>
  <c r="B407" i="3"/>
  <c r="A407" i="3"/>
  <c r="U406" i="3"/>
  <c r="T406" i="3"/>
  <c r="Q406" i="3"/>
  <c r="N406" i="3"/>
  <c r="K406" i="3"/>
  <c r="H406" i="3"/>
  <c r="E406" i="3"/>
  <c r="C406" i="3"/>
  <c r="B406" i="3"/>
  <c r="A406" i="3"/>
  <c r="V406" i="3" s="1"/>
  <c r="T405" i="3"/>
  <c r="Q405" i="3"/>
  <c r="N405" i="3"/>
  <c r="K405" i="3"/>
  <c r="H405" i="3"/>
  <c r="E405" i="3"/>
  <c r="C405" i="3"/>
  <c r="B405" i="3"/>
  <c r="A405" i="3"/>
  <c r="U405" i="3" s="1"/>
  <c r="Q404" i="3"/>
  <c r="N404" i="3"/>
  <c r="K404" i="3"/>
  <c r="H404" i="3"/>
  <c r="E404" i="3"/>
  <c r="C404" i="3"/>
  <c r="B404" i="3"/>
  <c r="A404" i="3"/>
  <c r="V403" i="3"/>
  <c r="U403" i="3"/>
  <c r="Q403" i="3"/>
  <c r="N403" i="3"/>
  <c r="K403" i="3"/>
  <c r="H403" i="3"/>
  <c r="E403" i="3"/>
  <c r="C403" i="3"/>
  <c r="B403" i="3"/>
  <c r="A403" i="3"/>
  <c r="T403" i="3" s="1"/>
  <c r="Q402" i="3"/>
  <c r="N402" i="3"/>
  <c r="K402" i="3"/>
  <c r="H402" i="3"/>
  <c r="E402" i="3"/>
  <c r="C402" i="3"/>
  <c r="B402" i="3"/>
  <c r="A402" i="3"/>
  <c r="V402" i="3" s="1"/>
  <c r="Q401" i="3"/>
  <c r="N401" i="3"/>
  <c r="K401" i="3"/>
  <c r="H401" i="3"/>
  <c r="E401" i="3"/>
  <c r="C401" i="3"/>
  <c r="B401" i="3"/>
  <c r="A401" i="3"/>
  <c r="V401" i="3" s="1"/>
  <c r="V400" i="3"/>
  <c r="T400" i="3"/>
  <c r="Q400" i="3"/>
  <c r="N400" i="3"/>
  <c r="K400" i="3"/>
  <c r="H400" i="3"/>
  <c r="E400" i="3"/>
  <c r="C400" i="3"/>
  <c r="B400" i="3"/>
  <c r="A400" i="3"/>
  <c r="U400" i="3" s="1"/>
  <c r="V399" i="3"/>
  <c r="U399" i="3"/>
  <c r="T399" i="3"/>
  <c r="Q399" i="3"/>
  <c r="N399" i="3"/>
  <c r="K399" i="3"/>
  <c r="H399" i="3"/>
  <c r="E399" i="3"/>
  <c r="C399" i="3"/>
  <c r="B399" i="3"/>
  <c r="A399" i="3"/>
  <c r="V398" i="3"/>
  <c r="U398" i="3"/>
  <c r="T398" i="3"/>
  <c r="Q398" i="3"/>
  <c r="N398" i="3"/>
  <c r="K398" i="3"/>
  <c r="H398" i="3"/>
  <c r="E398" i="3"/>
  <c r="C398" i="3"/>
  <c r="B398" i="3"/>
  <c r="A398" i="3"/>
  <c r="U397" i="3"/>
  <c r="T397" i="3"/>
  <c r="Q397" i="3"/>
  <c r="N397" i="3"/>
  <c r="K397" i="3"/>
  <c r="H397" i="3"/>
  <c r="E397" i="3"/>
  <c r="C397" i="3"/>
  <c r="B397" i="3"/>
  <c r="A397" i="3"/>
  <c r="V397" i="3" s="1"/>
  <c r="V396" i="3"/>
  <c r="U396" i="3"/>
  <c r="T396" i="3"/>
  <c r="Q396" i="3"/>
  <c r="N396" i="3"/>
  <c r="K396" i="3"/>
  <c r="H396" i="3"/>
  <c r="E396" i="3"/>
  <c r="C396" i="3"/>
  <c r="B396" i="3"/>
  <c r="A396" i="3"/>
  <c r="V395" i="3"/>
  <c r="T395" i="3"/>
  <c r="Q395" i="3"/>
  <c r="N395" i="3"/>
  <c r="K395" i="3"/>
  <c r="H395" i="3"/>
  <c r="E395" i="3"/>
  <c r="C395" i="3"/>
  <c r="B395" i="3"/>
  <c r="A395" i="3"/>
  <c r="U395" i="3" s="1"/>
  <c r="Q394" i="3"/>
  <c r="N394" i="3"/>
  <c r="K394" i="3"/>
  <c r="H394" i="3"/>
  <c r="E394" i="3"/>
  <c r="C394" i="3"/>
  <c r="B394" i="3"/>
  <c r="A394" i="3"/>
  <c r="V393" i="3"/>
  <c r="Q393" i="3"/>
  <c r="N393" i="3"/>
  <c r="K393" i="3"/>
  <c r="H393" i="3"/>
  <c r="E393" i="3"/>
  <c r="C393" i="3"/>
  <c r="B393" i="3"/>
  <c r="A393" i="3"/>
  <c r="U393" i="3" s="1"/>
  <c r="U392" i="3"/>
  <c r="Q392" i="3"/>
  <c r="N392" i="3"/>
  <c r="K392" i="3"/>
  <c r="H392" i="3"/>
  <c r="E392" i="3"/>
  <c r="C392" i="3"/>
  <c r="B392" i="3"/>
  <c r="A392" i="3"/>
  <c r="T392" i="3" s="1"/>
  <c r="V391" i="3"/>
  <c r="U391" i="3"/>
  <c r="T391" i="3"/>
  <c r="Q391" i="3"/>
  <c r="N391" i="3"/>
  <c r="K391" i="3"/>
  <c r="H391" i="3"/>
  <c r="E391" i="3"/>
  <c r="C391" i="3"/>
  <c r="B391" i="3"/>
  <c r="A391" i="3"/>
  <c r="V390" i="3"/>
  <c r="U390" i="3"/>
  <c r="T390" i="3"/>
  <c r="Q390" i="3"/>
  <c r="N390" i="3"/>
  <c r="K390" i="3"/>
  <c r="H390" i="3"/>
  <c r="E390" i="3"/>
  <c r="C390" i="3"/>
  <c r="B390" i="3"/>
  <c r="A390" i="3"/>
  <c r="U389" i="3"/>
  <c r="T389" i="3"/>
  <c r="Q389" i="3"/>
  <c r="N389" i="3"/>
  <c r="K389" i="3"/>
  <c r="H389" i="3"/>
  <c r="E389" i="3"/>
  <c r="C389" i="3"/>
  <c r="B389" i="3"/>
  <c r="A389" i="3"/>
  <c r="V389" i="3" s="1"/>
  <c r="U388" i="3"/>
  <c r="T388" i="3"/>
  <c r="Q388" i="3"/>
  <c r="N388" i="3"/>
  <c r="K388" i="3"/>
  <c r="H388" i="3"/>
  <c r="E388" i="3"/>
  <c r="C388" i="3"/>
  <c r="B388" i="3"/>
  <c r="A388" i="3"/>
  <c r="V388" i="3" s="1"/>
  <c r="V387" i="3"/>
  <c r="U387" i="3"/>
  <c r="T387" i="3"/>
  <c r="Q387" i="3"/>
  <c r="N387" i="3"/>
  <c r="K387" i="3"/>
  <c r="H387" i="3"/>
  <c r="E387" i="3"/>
  <c r="C387" i="3"/>
  <c r="B387" i="3"/>
  <c r="A387" i="3"/>
  <c r="Q386" i="3"/>
  <c r="N386" i="3"/>
  <c r="K386" i="3"/>
  <c r="H386" i="3"/>
  <c r="E386" i="3"/>
  <c r="C386" i="3"/>
  <c r="B386" i="3"/>
  <c r="A386" i="3"/>
  <c r="Q385" i="3"/>
  <c r="N385" i="3"/>
  <c r="K385" i="3"/>
  <c r="H385" i="3"/>
  <c r="E385" i="3"/>
  <c r="C385" i="3"/>
  <c r="B385" i="3"/>
  <c r="A385" i="3"/>
  <c r="V384" i="3"/>
  <c r="U384" i="3"/>
  <c r="T384" i="3"/>
  <c r="Q384" i="3"/>
  <c r="N384" i="3"/>
  <c r="K384" i="3"/>
  <c r="H384" i="3"/>
  <c r="E384" i="3"/>
  <c r="C384" i="3"/>
  <c r="B384" i="3"/>
  <c r="A384" i="3"/>
  <c r="Q383" i="3"/>
  <c r="N383" i="3"/>
  <c r="K383" i="3"/>
  <c r="H383" i="3"/>
  <c r="E383" i="3"/>
  <c r="C383" i="3"/>
  <c r="B383" i="3"/>
  <c r="A383" i="3"/>
  <c r="T383" i="3" s="1"/>
  <c r="U382" i="3"/>
  <c r="T382" i="3"/>
  <c r="Q382" i="3"/>
  <c r="N382" i="3"/>
  <c r="K382" i="3"/>
  <c r="H382" i="3"/>
  <c r="E382" i="3"/>
  <c r="C382" i="3"/>
  <c r="B382" i="3"/>
  <c r="A382" i="3"/>
  <c r="V382" i="3" s="1"/>
  <c r="V381" i="3"/>
  <c r="T381" i="3"/>
  <c r="Q381" i="3"/>
  <c r="N381" i="3"/>
  <c r="K381" i="3"/>
  <c r="H381" i="3"/>
  <c r="E381" i="3"/>
  <c r="C381" i="3"/>
  <c r="B381" i="3"/>
  <c r="A381" i="3"/>
  <c r="U381" i="3" s="1"/>
  <c r="U380" i="3"/>
  <c r="Q380" i="3"/>
  <c r="N380" i="3"/>
  <c r="K380" i="3"/>
  <c r="H380" i="3"/>
  <c r="E380" i="3"/>
  <c r="C380" i="3"/>
  <c r="B380" i="3"/>
  <c r="A380" i="3"/>
  <c r="T380" i="3" s="1"/>
  <c r="Q379" i="3"/>
  <c r="N379" i="3"/>
  <c r="K379" i="3"/>
  <c r="H379" i="3"/>
  <c r="E379" i="3"/>
  <c r="C379" i="3"/>
  <c r="B379" i="3"/>
  <c r="A379" i="3"/>
  <c r="V378" i="3"/>
  <c r="U378" i="3"/>
  <c r="T378" i="3"/>
  <c r="Q378" i="3"/>
  <c r="N378" i="3"/>
  <c r="K378" i="3"/>
  <c r="H378" i="3"/>
  <c r="E378" i="3"/>
  <c r="C378" i="3"/>
  <c r="B378" i="3"/>
  <c r="A378" i="3"/>
  <c r="Q377" i="3"/>
  <c r="N377" i="3"/>
  <c r="K377" i="3"/>
  <c r="H377" i="3"/>
  <c r="E377" i="3"/>
  <c r="C377" i="3"/>
  <c r="B377" i="3"/>
  <c r="A377" i="3"/>
  <c r="T376" i="3"/>
  <c r="Q376" i="3"/>
  <c r="N376" i="3"/>
  <c r="K376" i="3"/>
  <c r="H376" i="3"/>
  <c r="E376" i="3"/>
  <c r="C376" i="3"/>
  <c r="B376" i="3"/>
  <c r="A376" i="3"/>
  <c r="V376" i="3" s="1"/>
  <c r="T375" i="3"/>
  <c r="Q375" i="3"/>
  <c r="N375" i="3"/>
  <c r="K375" i="3"/>
  <c r="H375" i="3"/>
  <c r="E375" i="3"/>
  <c r="C375" i="3"/>
  <c r="B375" i="3"/>
  <c r="A375" i="3"/>
  <c r="U375" i="3" s="1"/>
  <c r="V374" i="3"/>
  <c r="U374" i="3"/>
  <c r="Q374" i="3"/>
  <c r="N374" i="3"/>
  <c r="K374" i="3"/>
  <c r="H374" i="3"/>
  <c r="E374" i="3"/>
  <c r="C374" i="3"/>
  <c r="B374" i="3"/>
  <c r="A374" i="3"/>
  <c r="T374" i="3" s="1"/>
  <c r="U373" i="3"/>
  <c r="T373" i="3"/>
  <c r="Q373" i="3"/>
  <c r="N373" i="3"/>
  <c r="K373" i="3"/>
  <c r="H373" i="3"/>
  <c r="E373" i="3"/>
  <c r="C373" i="3"/>
  <c r="B373" i="3"/>
  <c r="A373" i="3"/>
  <c r="V373" i="3" s="1"/>
  <c r="V372" i="3"/>
  <c r="U372" i="3"/>
  <c r="T372" i="3"/>
  <c r="Q372" i="3"/>
  <c r="N372" i="3"/>
  <c r="K372" i="3"/>
  <c r="H372" i="3"/>
  <c r="E372" i="3"/>
  <c r="C372" i="3"/>
  <c r="B372" i="3"/>
  <c r="A372" i="3"/>
  <c r="V371" i="3"/>
  <c r="T371" i="3"/>
  <c r="Q371" i="3"/>
  <c r="N371" i="3"/>
  <c r="K371" i="3"/>
  <c r="H371" i="3"/>
  <c r="E371" i="3"/>
  <c r="C371" i="3"/>
  <c r="B371" i="3"/>
  <c r="A371" i="3"/>
  <c r="U371" i="3" s="1"/>
  <c r="Q370" i="3"/>
  <c r="N370" i="3"/>
  <c r="K370" i="3"/>
  <c r="H370" i="3"/>
  <c r="E370" i="3"/>
  <c r="C370" i="3"/>
  <c r="B370" i="3"/>
  <c r="A370" i="3"/>
  <c r="V369" i="3"/>
  <c r="Q369" i="3"/>
  <c r="N369" i="3"/>
  <c r="K369" i="3"/>
  <c r="H369" i="3"/>
  <c r="E369" i="3"/>
  <c r="C369" i="3"/>
  <c r="B369" i="3"/>
  <c r="A369" i="3"/>
  <c r="U369" i="3" s="1"/>
  <c r="Q368" i="3"/>
  <c r="N368" i="3"/>
  <c r="K368" i="3"/>
  <c r="H368" i="3"/>
  <c r="E368" i="3"/>
  <c r="C368" i="3"/>
  <c r="B368" i="3"/>
  <c r="A368" i="3"/>
  <c r="T368" i="3" s="1"/>
  <c r="U367" i="3"/>
  <c r="T367" i="3"/>
  <c r="Q367" i="3"/>
  <c r="N367" i="3"/>
  <c r="K367" i="3"/>
  <c r="H367" i="3"/>
  <c r="E367" i="3"/>
  <c r="C367" i="3"/>
  <c r="B367" i="3"/>
  <c r="A367" i="3"/>
  <c r="V367" i="3" s="1"/>
  <c r="V366" i="3"/>
  <c r="T366" i="3"/>
  <c r="Q366" i="3"/>
  <c r="N366" i="3"/>
  <c r="K366" i="3"/>
  <c r="H366" i="3"/>
  <c r="E366" i="3"/>
  <c r="C366" i="3"/>
  <c r="B366" i="3"/>
  <c r="A366" i="3"/>
  <c r="U366" i="3" s="1"/>
  <c r="U365" i="3"/>
  <c r="Q365" i="3"/>
  <c r="N365" i="3"/>
  <c r="K365" i="3"/>
  <c r="H365" i="3"/>
  <c r="E365" i="3"/>
  <c r="C365" i="3"/>
  <c r="B365" i="3"/>
  <c r="A365" i="3"/>
  <c r="T365" i="3" s="1"/>
  <c r="Q364" i="3"/>
  <c r="N364" i="3"/>
  <c r="K364" i="3"/>
  <c r="H364" i="3"/>
  <c r="E364" i="3"/>
  <c r="C364" i="3"/>
  <c r="B364" i="3"/>
  <c r="A364" i="3"/>
  <c r="Q363" i="3"/>
  <c r="N363" i="3"/>
  <c r="K363" i="3"/>
  <c r="H363" i="3"/>
  <c r="E363" i="3"/>
  <c r="C363" i="3"/>
  <c r="B363" i="3"/>
  <c r="A363" i="3"/>
  <c r="Q362" i="3"/>
  <c r="N362" i="3"/>
  <c r="K362" i="3"/>
  <c r="H362" i="3"/>
  <c r="E362" i="3"/>
  <c r="C362" i="3"/>
  <c r="B362" i="3"/>
  <c r="A362" i="3"/>
  <c r="V362" i="3" s="1"/>
  <c r="V361" i="3"/>
  <c r="U361" i="3"/>
  <c r="Q361" i="3"/>
  <c r="N361" i="3"/>
  <c r="K361" i="3"/>
  <c r="H361" i="3"/>
  <c r="E361" i="3"/>
  <c r="C361" i="3"/>
  <c r="B361" i="3"/>
  <c r="A361" i="3"/>
  <c r="T361" i="3" s="1"/>
  <c r="V360" i="3"/>
  <c r="U360" i="3"/>
  <c r="T360" i="3"/>
  <c r="Q360" i="3"/>
  <c r="N360" i="3"/>
  <c r="K360" i="3"/>
  <c r="H360" i="3"/>
  <c r="E360" i="3"/>
  <c r="C360" i="3"/>
  <c r="B360" i="3"/>
  <c r="A360" i="3"/>
  <c r="Q359" i="3"/>
  <c r="N359" i="3"/>
  <c r="K359" i="3"/>
  <c r="H359" i="3"/>
  <c r="E359" i="3"/>
  <c r="C359" i="3"/>
  <c r="B359" i="3"/>
  <c r="A359" i="3"/>
  <c r="V359" i="3" s="1"/>
  <c r="U358" i="3"/>
  <c r="T358" i="3"/>
  <c r="Q358" i="3"/>
  <c r="N358" i="3"/>
  <c r="K358" i="3"/>
  <c r="H358" i="3"/>
  <c r="E358" i="3"/>
  <c r="C358" i="3"/>
  <c r="B358" i="3"/>
  <c r="A358" i="3"/>
  <c r="V358" i="3" s="1"/>
  <c r="V357" i="3"/>
  <c r="T357" i="3"/>
  <c r="Q357" i="3"/>
  <c r="N357" i="3"/>
  <c r="K357" i="3"/>
  <c r="H357" i="3"/>
  <c r="E357" i="3"/>
  <c r="C357" i="3"/>
  <c r="B357" i="3"/>
  <c r="A357" i="3"/>
  <c r="U357" i="3" s="1"/>
  <c r="Q356" i="3"/>
  <c r="N356" i="3"/>
  <c r="K356" i="3"/>
  <c r="H356" i="3"/>
  <c r="E356" i="3"/>
  <c r="C356" i="3"/>
  <c r="B356" i="3"/>
  <c r="A356" i="3"/>
  <c r="Q355" i="3"/>
  <c r="N355" i="3"/>
  <c r="K355" i="3"/>
  <c r="H355" i="3"/>
  <c r="E355" i="3"/>
  <c r="C355" i="3"/>
  <c r="B355" i="3"/>
  <c r="A355" i="3"/>
  <c r="V354" i="3"/>
  <c r="Q354" i="3"/>
  <c r="N354" i="3"/>
  <c r="K354" i="3"/>
  <c r="H354" i="3"/>
  <c r="E354" i="3"/>
  <c r="C354" i="3"/>
  <c r="B354" i="3"/>
  <c r="A354" i="3"/>
  <c r="V353" i="3"/>
  <c r="U353" i="3"/>
  <c r="Q353" i="3"/>
  <c r="N353" i="3"/>
  <c r="K353" i="3"/>
  <c r="H353" i="3"/>
  <c r="E353" i="3"/>
  <c r="C353" i="3"/>
  <c r="B353" i="3"/>
  <c r="A353" i="3"/>
  <c r="T353" i="3" s="1"/>
  <c r="V352" i="3"/>
  <c r="T352" i="3"/>
  <c r="Q352" i="3"/>
  <c r="N352" i="3"/>
  <c r="K352" i="3"/>
  <c r="H352" i="3"/>
  <c r="E352" i="3"/>
  <c r="C352" i="3"/>
  <c r="B352" i="3"/>
  <c r="A352" i="3"/>
  <c r="U352" i="3" s="1"/>
  <c r="U351" i="3"/>
  <c r="T351" i="3"/>
  <c r="Q351" i="3"/>
  <c r="N351" i="3"/>
  <c r="K351" i="3"/>
  <c r="H351" i="3"/>
  <c r="E351" i="3"/>
  <c r="C351" i="3"/>
  <c r="B351" i="3"/>
  <c r="A351" i="3"/>
  <c r="V351" i="3" s="1"/>
  <c r="V350" i="3"/>
  <c r="T350" i="3"/>
  <c r="Q350" i="3"/>
  <c r="N350" i="3"/>
  <c r="K350" i="3"/>
  <c r="H350" i="3"/>
  <c r="E350" i="3"/>
  <c r="C350" i="3"/>
  <c r="B350" i="3"/>
  <c r="A350" i="3"/>
  <c r="U350" i="3" s="1"/>
  <c r="V349" i="3"/>
  <c r="U349" i="3"/>
  <c r="T349" i="3"/>
  <c r="Q349" i="3"/>
  <c r="N349" i="3"/>
  <c r="K349" i="3"/>
  <c r="H349" i="3"/>
  <c r="E349" i="3"/>
  <c r="C349" i="3"/>
  <c r="B349" i="3"/>
  <c r="A349" i="3"/>
  <c r="V348" i="3"/>
  <c r="U348" i="3"/>
  <c r="T348" i="3"/>
  <c r="Q348" i="3"/>
  <c r="N348" i="3"/>
  <c r="K348" i="3"/>
  <c r="H348" i="3"/>
  <c r="E348" i="3"/>
  <c r="C348" i="3"/>
  <c r="B348" i="3"/>
  <c r="A348" i="3"/>
  <c r="U347" i="3"/>
  <c r="T347" i="3"/>
  <c r="Q347" i="3"/>
  <c r="N347" i="3"/>
  <c r="K347" i="3"/>
  <c r="H347" i="3"/>
  <c r="E347" i="3"/>
  <c r="C347" i="3"/>
  <c r="B347" i="3"/>
  <c r="A347" i="3"/>
  <c r="V347" i="3" s="1"/>
  <c r="Q346" i="3"/>
  <c r="N346" i="3"/>
  <c r="K346" i="3"/>
  <c r="H346" i="3"/>
  <c r="E346" i="3"/>
  <c r="C346" i="3"/>
  <c r="B346" i="3"/>
  <c r="A346" i="3"/>
  <c r="Q345" i="3"/>
  <c r="N345" i="3"/>
  <c r="K345" i="3"/>
  <c r="H345" i="3"/>
  <c r="E345" i="3"/>
  <c r="C345" i="3"/>
  <c r="B345" i="3"/>
  <c r="A345" i="3"/>
  <c r="Q344" i="3"/>
  <c r="N344" i="3"/>
  <c r="K344" i="3"/>
  <c r="H344" i="3"/>
  <c r="E344" i="3"/>
  <c r="C344" i="3"/>
  <c r="B344" i="3"/>
  <c r="A344" i="3"/>
  <c r="T344" i="3" s="1"/>
  <c r="Q343" i="3"/>
  <c r="N343" i="3"/>
  <c r="K343" i="3"/>
  <c r="H343" i="3"/>
  <c r="E343" i="3"/>
  <c r="C343" i="3"/>
  <c r="B343" i="3"/>
  <c r="A343" i="3"/>
  <c r="V343" i="3" s="1"/>
  <c r="V342" i="3"/>
  <c r="T342" i="3"/>
  <c r="Q342" i="3"/>
  <c r="N342" i="3"/>
  <c r="K342" i="3"/>
  <c r="H342" i="3"/>
  <c r="E342" i="3"/>
  <c r="C342" i="3"/>
  <c r="B342" i="3"/>
  <c r="A342" i="3"/>
  <c r="U342" i="3" s="1"/>
  <c r="V341" i="3"/>
  <c r="U341" i="3"/>
  <c r="T341" i="3"/>
  <c r="Q341" i="3"/>
  <c r="N341" i="3"/>
  <c r="K341" i="3"/>
  <c r="H341" i="3"/>
  <c r="E341" i="3"/>
  <c r="C341" i="3"/>
  <c r="B341" i="3"/>
  <c r="A341" i="3"/>
  <c r="V340" i="3"/>
  <c r="U340" i="3"/>
  <c r="T340" i="3"/>
  <c r="Q340" i="3"/>
  <c r="N340" i="3"/>
  <c r="K340" i="3"/>
  <c r="H340" i="3"/>
  <c r="E340" i="3"/>
  <c r="C340" i="3"/>
  <c r="B340" i="3"/>
  <c r="A340" i="3"/>
  <c r="V339" i="3"/>
  <c r="U339" i="3"/>
  <c r="T339" i="3"/>
  <c r="Q339" i="3"/>
  <c r="N339" i="3"/>
  <c r="K339" i="3"/>
  <c r="H339" i="3"/>
  <c r="E339" i="3"/>
  <c r="C339" i="3"/>
  <c r="B339" i="3"/>
  <c r="A339" i="3"/>
  <c r="U338" i="3"/>
  <c r="T338" i="3"/>
  <c r="Q338" i="3"/>
  <c r="N338" i="3"/>
  <c r="K338" i="3"/>
  <c r="H338" i="3"/>
  <c r="E338" i="3"/>
  <c r="C338" i="3"/>
  <c r="B338" i="3"/>
  <c r="A338" i="3"/>
  <c r="V338" i="3" s="1"/>
  <c r="Q337" i="3"/>
  <c r="N337" i="3"/>
  <c r="K337" i="3"/>
  <c r="H337" i="3"/>
  <c r="E337" i="3"/>
  <c r="C337" i="3"/>
  <c r="B337" i="3"/>
  <c r="A337" i="3"/>
  <c r="V336" i="3"/>
  <c r="U336" i="3"/>
  <c r="T336" i="3"/>
  <c r="Q336" i="3"/>
  <c r="N336" i="3"/>
  <c r="K336" i="3"/>
  <c r="H336" i="3"/>
  <c r="E336" i="3"/>
  <c r="C336" i="3"/>
  <c r="B336" i="3"/>
  <c r="A336" i="3"/>
  <c r="V335" i="3"/>
  <c r="Q335" i="3"/>
  <c r="N335" i="3"/>
  <c r="K335" i="3"/>
  <c r="H335" i="3"/>
  <c r="E335" i="3"/>
  <c r="C335" i="3"/>
  <c r="B335" i="3"/>
  <c r="A335" i="3"/>
  <c r="T335" i="3" s="1"/>
  <c r="U334" i="3"/>
  <c r="Q334" i="3"/>
  <c r="N334" i="3"/>
  <c r="K334" i="3"/>
  <c r="H334" i="3"/>
  <c r="E334" i="3"/>
  <c r="C334" i="3"/>
  <c r="B334" i="3"/>
  <c r="A334" i="3"/>
  <c r="V334" i="3" s="1"/>
  <c r="V333" i="3"/>
  <c r="T333" i="3"/>
  <c r="Q333" i="3"/>
  <c r="N333" i="3"/>
  <c r="K333" i="3"/>
  <c r="H333" i="3"/>
  <c r="E333" i="3"/>
  <c r="C333" i="3"/>
  <c r="B333" i="3"/>
  <c r="A333" i="3"/>
  <c r="U333" i="3" s="1"/>
  <c r="V332" i="3"/>
  <c r="U332" i="3"/>
  <c r="Q332" i="3"/>
  <c r="N332" i="3"/>
  <c r="K332" i="3"/>
  <c r="H332" i="3"/>
  <c r="E332" i="3"/>
  <c r="C332" i="3"/>
  <c r="B332" i="3"/>
  <c r="A332" i="3"/>
  <c r="T332" i="3" s="1"/>
  <c r="U331" i="3"/>
  <c r="T331" i="3"/>
  <c r="Q331" i="3"/>
  <c r="N331" i="3"/>
  <c r="K331" i="3"/>
  <c r="H331" i="3"/>
  <c r="E331" i="3"/>
  <c r="C331" i="3"/>
  <c r="B331" i="3"/>
  <c r="A331" i="3"/>
  <c r="V331" i="3" s="1"/>
  <c r="V330" i="3"/>
  <c r="U330" i="3"/>
  <c r="T330" i="3"/>
  <c r="Q330" i="3"/>
  <c r="N330" i="3"/>
  <c r="K330" i="3"/>
  <c r="H330" i="3"/>
  <c r="E330" i="3"/>
  <c r="C330" i="3"/>
  <c r="B330" i="3"/>
  <c r="A330" i="3"/>
  <c r="Q329" i="3"/>
  <c r="N329" i="3"/>
  <c r="K329" i="3"/>
  <c r="H329" i="3"/>
  <c r="E329" i="3"/>
  <c r="C329" i="3"/>
  <c r="B329" i="3"/>
  <c r="A329" i="3"/>
  <c r="Q328" i="3"/>
  <c r="N328" i="3"/>
  <c r="K328" i="3"/>
  <c r="H328" i="3"/>
  <c r="E328" i="3"/>
  <c r="C328" i="3"/>
  <c r="B328" i="3"/>
  <c r="A328" i="3"/>
  <c r="Q327" i="3"/>
  <c r="N327" i="3"/>
  <c r="K327" i="3"/>
  <c r="H327" i="3"/>
  <c r="E327" i="3"/>
  <c r="C327" i="3"/>
  <c r="B327" i="3"/>
  <c r="A327" i="3"/>
  <c r="U327" i="3" s="1"/>
  <c r="V326" i="3"/>
  <c r="U326" i="3"/>
  <c r="Q326" i="3"/>
  <c r="N326" i="3"/>
  <c r="K326" i="3"/>
  <c r="H326" i="3"/>
  <c r="E326" i="3"/>
  <c r="C326" i="3"/>
  <c r="B326" i="3"/>
  <c r="A326" i="3"/>
  <c r="T326" i="3" s="1"/>
  <c r="V325" i="3"/>
  <c r="U325" i="3"/>
  <c r="T325" i="3"/>
  <c r="Q325" i="3"/>
  <c r="N325" i="3"/>
  <c r="K325" i="3"/>
  <c r="H325" i="3"/>
  <c r="E325" i="3"/>
  <c r="C325" i="3"/>
  <c r="B325" i="3"/>
  <c r="A325" i="3"/>
  <c r="V324" i="3"/>
  <c r="U324" i="3"/>
  <c r="T324" i="3"/>
  <c r="Q324" i="3"/>
  <c r="N324" i="3"/>
  <c r="K324" i="3"/>
  <c r="H324" i="3"/>
  <c r="E324" i="3"/>
  <c r="C324" i="3"/>
  <c r="B324" i="3"/>
  <c r="A324" i="3"/>
  <c r="U323" i="3"/>
  <c r="T323" i="3"/>
  <c r="Q323" i="3"/>
  <c r="N323" i="3"/>
  <c r="K323" i="3"/>
  <c r="H323" i="3"/>
  <c r="E323" i="3"/>
  <c r="C323" i="3"/>
  <c r="B323" i="3"/>
  <c r="A323" i="3"/>
  <c r="V323" i="3" s="1"/>
  <c r="T322" i="3"/>
  <c r="Q322" i="3"/>
  <c r="N322" i="3"/>
  <c r="K322" i="3"/>
  <c r="H322" i="3"/>
  <c r="E322" i="3"/>
  <c r="C322" i="3"/>
  <c r="B322" i="3"/>
  <c r="A322" i="3"/>
  <c r="V322" i="3" s="1"/>
  <c r="Q321" i="3"/>
  <c r="N321" i="3"/>
  <c r="K321" i="3"/>
  <c r="H321" i="3"/>
  <c r="E321" i="3"/>
  <c r="C321" i="3"/>
  <c r="B321" i="3"/>
  <c r="A321" i="3"/>
  <c r="Q320" i="3"/>
  <c r="N320" i="3"/>
  <c r="K320" i="3"/>
  <c r="H320" i="3"/>
  <c r="E320" i="3"/>
  <c r="C320" i="3"/>
  <c r="B320" i="3"/>
  <c r="A320" i="3"/>
  <c r="T319" i="3"/>
  <c r="Q319" i="3"/>
  <c r="N319" i="3"/>
  <c r="K319" i="3"/>
  <c r="H319" i="3"/>
  <c r="E319" i="3"/>
  <c r="C319" i="3"/>
  <c r="B319" i="3"/>
  <c r="A319" i="3"/>
  <c r="V319" i="3" s="1"/>
  <c r="V318" i="3"/>
  <c r="T318" i="3"/>
  <c r="Q318" i="3"/>
  <c r="N318" i="3"/>
  <c r="K318" i="3"/>
  <c r="H318" i="3"/>
  <c r="E318" i="3"/>
  <c r="C318" i="3"/>
  <c r="B318" i="3"/>
  <c r="A318" i="3"/>
  <c r="U318" i="3" s="1"/>
  <c r="V317" i="3"/>
  <c r="U317" i="3"/>
  <c r="Q317" i="3"/>
  <c r="N317" i="3"/>
  <c r="K317" i="3"/>
  <c r="H317" i="3"/>
  <c r="E317" i="3"/>
  <c r="C317" i="3"/>
  <c r="B317" i="3"/>
  <c r="A317" i="3"/>
  <c r="T317" i="3" s="1"/>
  <c r="U316" i="3"/>
  <c r="T316" i="3"/>
  <c r="Q316" i="3"/>
  <c r="N316" i="3"/>
  <c r="K316" i="3"/>
  <c r="H316" i="3"/>
  <c r="E316" i="3"/>
  <c r="C316" i="3"/>
  <c r="B316" i="3"/>
  <c r="A316" i="3"/>
  <c r="V316" i="3" s="1"/>
  <c r="V315" i="3"/>
  <c r="T315" i="3"/>
  <c r="Q315" i="3"/>
  <c r="N315" i="3"/>
  <c r="K315" i="3"/>
  <c r="H315" i="3"/>
  <c r="E315" i="3"/>
  <c r="C315" i="3"/>
  <c r="B315" i="3"/>
  <c r="A315" i="3"/>
  <c r="U315" i="3" s="1"/>
  <c r="Q314" i="3"/>
  <c r="N314" i="3"/>
  <c r="K314" i="3"/>
  <c r="H314" i="3"/>
  <c r="E314" i="3"/>
  <c r="C314" i="3"/>
  <c r="B314" i="3"/>
  <c r="A314" i="3"/>
  <c r="Q313" i="3"/>
  <c r="N313" i="3"/>
  <c r="K313" i="3"/>
  <c r="H313" i="3"/>
  <c r="E313" i="3"/>
  <c r="C313" i="3"/>
  <c r="B313" i="3"/>
  <c r="A313" i="3"/>
  <c r="V312" i="3"/>
  <c r="U312" i="3"/>
  <c r="T312" i="3"/>
  <c r="Q312" i="3"/>
  <c r="N312" i="3"/>
  <c r="K312" i="3"/>
  <c r="H312" i="3"/>
  <c r="E312" i="3"/>
  <c r="C312" i="3"/>
  <c r="B312" i="3"/>
  <c r="A312" i="3"/>
  <c r="Q311" i="3"/>
  <c r="N311" i="3"/>
  <c r="K311" i="3"/>
  <c r="H311" i="3"/>
  <c r="E311" i="3"/>
  <c r="C311" i="3"/>
  <c r="B311" i="3"/>
  <c r="A311" i="3"/>
  <c r="T311" i="3" s="1"/>
  <c r="U310" i="3"/>
  <c r="T310" i="3"/>
  <c r="Q310" i="3"/>
  <c r="N310" i="3"/>
  <c r="K310" i="3"/>
  <c r="H310" i="3"/>
  <c r="E310" i="3"/>
  <c r="C310" i="3"/>
  <c r="B310" i="3"/>
  <c r="A310" i="3"/>
  <c r="V310" i="3" s="1"/>
  <c r="V309" i="3"/>
  <c r="T309" i="3"/>
  <c r="Q309" i="3"/>
  <c r="N309" i="3"/>
  <c r="K309" i="3"/>
  <c r="H309" i="3"/>
  <c r="E309" i="3"/>
  <c r="C309" i="3"/>
  <c r="B309" i="3"/>
  <c r="A309" i="3"/>
  <c r="U309" i="3" s="1"/>
  <c r="V308" i="3"/>
  <c r="Q308" i="3"/>
  <c r="N308" i="3"/>
  <c r="K308" i="3"/>
  <c r="H308" i="3"/>
  <c r="E308" i="3"/>
  <c r="C308" i="3"/>
  <c r="B308" i="3"/>
  <c r="A308" i="3"/>
  <c r="V307" i="3"/>
  <c r="T307" i="3"/>
  <c r="Q307" i="3"/>
  <c r="N307" i="3"/>
  <c r="K307" i="3"/>
  <c r="H307" i="3"/>
  <c r="E307" i="3"/>
  <c r="C307" i="3"/>
  <c r="B307" i="3"/>
  <c r="A307" i="3"/>
  <c r="U307" i="3" s="1"/>
  <c r="Q306" i="3"/>
  <c r="N306" i="3"/>
  <c r="K306" i="3"/>
  <c r="H306" i="3"/>
  <c r="E306" i="3"/>
  <c r="C306" i="3"/>
  <c r="B306" i="3"/>
  <c r="A306" i="3"/>
  <c r="Q305" i="3"/>
  <c r="N305" i="3"/>
  <c r="K305" i="3"/>
  <c r="H305" i="3"/>
  <c r="E305" i="3"/>
  <c r="C305" i="3"/>
  <c r="B305" i="3"/>
  <c r="A305" i="3"/>
  <c r="V304" i="3"/>
  <c r="Q304" i="3"/>
  <c r="N304" i="3"/>
  <c r="K304" i="3"/>
  <c r="H304" i="3"/>
  <c r="E304" i="3"/>
  <c r="C304" i="3"/>
  <c r="B304" i="3"/>
  <c r="A304" i="3"/>
  <c r="Q303" i="3"/>
  <c r="N303" i="3"/>
  <c r="K303" i="3"/>
  <c r="H303" i="3"/>
  <c r="E303" i="3"/>
  <c r="C303" i="3"/>
  <c r="B303" i="3"/>
  <c r="A303" i="3"/>
  <c r="T303" i="3" s="1"/>
  <c r="Q302" i="3"/>
  <c r="N302" i="3"/>
  <c r="K302" i="3"/>
  <c r="H302" i="3"/>
  <c r="E302" i="3"/>
  <c r="C302" i="3"/>
  <c r="B302" i="3"/>
  <c r="A302" i="3"/>
  <c r="V302" i="3" s="1"/>
  <c r="Q301" i="3"/>
  <c r="N301" i="3"/>
  <c r="K301" i="3"/>
  <c r="H301" i="3"/>
  <c r="E301" i="3"/>
  <c r="C301" i="3"/>
  <c r="B301" i="3"/>
  <c r="A301" i="3"/>
  <c r="V301" i="3" s="1"/>
  <c r="V300" i="3"/>
  <c r="U300" i="3"/>
  <c r="T300" i="3"/>
  <c r="Q300" i="3"/>
  <c r="N300" i="3"/>
  <c r="K300" i="3"/>
  <c r="H300" i="3"/>
  <c r="E300" i="3"/>
  <c r="C300" i="3"/>
  <c r="B300" i="3"/>
  <c r="A300" i="3"/>
  <c r="V299" i="3"/>
  <c r="U299" i="3"/>
  <c r="T299" i="3"/>
  <c r="Q299" i="3"/>
  <c r="N299" i="3"/>
  <c r="K299" i="3"/>
  <c r="H299" i="3"/>
  <c r="E299" i="3"/>
  <c r="C299" i="3"/>
  <c r="B299" i="3"/>
  <c r="A299" i="3"/>
  <c r="U298" i="3"/>
  <c r="T298" i="3"/>
  <c r="Q298" i="3"/>
  <c r="N298" i="3"/>
  <c r="K298" i="3"/>
  <c r="H298" i="3"/>
  <c r="E298" i="3"/>
  <c r="C298" i="3"/>
  <c r="B298" i="3"/>
  <c r="A298" i="3"/>
  <c r="V298" i="3" s="1"/>
  <c r="T297" i="3"/>
  <c r="Q297" i="3"/>
  <c r="N297" i="3"/>
  <c r="K297" i="3"/>
  <c r="H297" i="3"/>
  <c r="E297" i="3"/>
  <c r="C297" i="3"/>
  <c r="B297" i="3"/>
  <c r="A297" i="3"/>
  <c r="U297" i="3" s="1"/>
  <c r="Q296" i="3"/>
  <c r="N296" i="3"/>
  <c r="K296" i="3"/>
  <c r="H296" i="3"/>
  <c r="E296" i="3"/>
  <c r="C296" i="3"/>
  <c r="B296" i="3"/>
  <c r="A296" i="3"/>
  <c r="V295" i="3"/>
  <c r="Q295" i="3"/>
  <c r="N295" i="3"/>
  <c r="K295" i="3"/>
  <c r="H295" i="3"/>
  <c r="E295" i="3"/>
  <c r="C295" i="3"/>
  <c r="B295" i="3"/>
  <c r="A295" i="3"/>
  <c r="V294" i="3"/>
  <c r="U294" i="3"/>
  <c r="Q294" i="3"/>
  <c r="N294" i="3"/>
  <c r="K294" i="3"/>
  <c r="H294" i="3"/>
  <c r="E294" i="3"/>
  <c r="C294" i="3"/>
  <c r="B294" i="3"/>
  <c r="A294" i="3"/>
  <c r="T294" i="3" s="1"/>
  <c r="V293" i="3"/>
  <c r="T293" i="3"/>
  <c r="Q293" i="3"/>
  <c r="N293" i="3"/>
  <c r="K293" i="3"/>
  <c r="H293" i="3"/>
  <c r="E293" i="3"/>
  <c r="C293" i="3"/>
  <c r="B293" i="3"/>
  <c r="A293" i="3"/>
  <c r="U293" i="3" s="1"/>
  <c r="V292" i="3"/>
  <c r="U292" i="3"/>
  <c r="Q292" i="3"/>
  <c r="N292" i="3"/>
  <c r="K292" i="3"/>
  <c r="H292" i="3"/>
  <c r="E292" i="3"/>
  <c r="C292" i="3"/>
  <c r="B292" i="3"/>
  <c r="A292" i="3"/>
  <c r="T292" i="3" s="1"/>
  <c r="V291" i="3"/>
  <c r="U291" i="3"/>
  <c r="T291" i="3"/>
  <c r="Q291" i="3"/>
  <c r="N291" i="3"/>
  <c r="K291" i="3"/>
  <c r="H291" i="3"/>
  <c r="E291" i="3"/>
  <c r="C291" i="3"/>
  <c r="B291" i="3"/>
  <c r="A291" i="3"/>
  <c r="V290" i="3"/>
  <c r="U290" i="3"/>
  <c r="T290" i="3"/>
  <c r="Q290" i="3"/>
  <c r="N290" i="3"/>
  <c r="K290" i="3"/>
  <c r="H290" i="3"/>
  <c r="E290" i="3"/>
  <c r="C290" i="3"/>
  <c r="B290" i="3"/>
  <c r="A290" i="3"/>
  <c r="V289" i="3"/>
  <c r="U289" i="3"/>
  <c r="T289" i="3"/>
  <c r="Q289" i="3"/>
  <c r="N289" i="3"/>
  <c r="K289" i="3"/>
  <c r="H289" i="3"/>
  <c r="E289" i="3"/>
  <c r="C289" i="3"/>
  <c r="B289" i="3"/>
  <c r="A289" i="3"/>
  <c r="V288" i="3"/>
  <c r="U288" i="3"/>
  <c r="T288" i="3"/>
  <c r="Q288" i="3"/>
  <c r="N288" i="3"/>
  <c r="K288" i="3"/>
  <c r="H288" i="3"/>
  <c r="E288" i="3"/>
  <c r="C288" i="3"/>
  <c r="B288" i="3"/>
  <c r="A288" i="3"/>
  <c r="U287" i="3"/>
  <c r="T287" i="3"/>
  <c r="Q287" i="3"/>
  <c r="N287" i="3"/>
  <c r="K287" i="3"/>
  <c r="H287" i="3"/>
  <c r="E287" i="3"/>
  <c r="C287" i="3"/>
  <c r="B287" i="3"/>
  <c r="A287" i="3"/>
  <c r="V287" i="3" s="1"/>
  <c r="Q286" i="3"/>
  <c r="N286" i="3"/>
  <c r="K286" i="3"/>
  <c r="H286" i="3"/>
  <c r="E286" i="3"/>
  <c r="C286" i="3"/>
  <c r="B286" i="3"/>
  <c r="A286" i="3"/>
  <c r="Q285" i="3"/>
  <c r="N285" i="3"/>
  <c r="K285" i="3"/>
  <c r="H285" i="3"/>
  <c r="E285" i="3"/>
  <c r="C285" i="3"/>
  <c r="B285" i="3"/>
  <c r="A285" i="3"/>
  <c r="Q284" i="3"/>
  <c r="N284" i="3"/>
  <c r="K284" i="3"/>
  <c r="H284" i="3"/>
  <c r="E284" i="3"/>
  <c r="C284" i="3"/>
  <c r="B284" i="3"/>
  <c r="A284" i="3"/>
  <c r="T284" i="3" s="1"/>
  <c r="Q283" i="3"/>
  <c r="N283" i="3"/>
  <c r="K283" i="3"/>
  <c r="H283" i="3"/>
  <c r="E283" i="3"/>
  <c r="C283" i="3"/>
  <c r="B283" i="3"/>
  <c r="A283" i="3"/>
  <c r="V283" i="3" s="1"/>
  <c r="Q282" i="3"/>
  <c r="N282" i="3"/>
  <c r="K282" i="3"/>
  <c r="H282" i="3"/>
  <c r="E282" i="3"/>
  <c r="C282" i="3"/>
  <c r="B282" i="3"/>
  <c r="A282" i="3"/>
  <c r="V282" i="3" s="1"/>
  <c r="V281" i="3"/>
  <c r="U281" i="3"/>
  <c r="T281" i="3"/>
  <c r="Q281" i="3"/>
  <c r="N281" i="3"/>
  <c r="K281" i="3"/>
  <c r="H281" i="3"/>
  <c r="E281" i="3"/>
  <c r="C281" i="3"/>
  <c r="B281" i="3"/>
  <c r="A281" i="3"/>
  <c r="V280" i="3"/>
  <c r="U280" i="3"/>
  <c r="T280" i="3"/>
  <c r="Q280" i="3"/>
  <c r="N280" i="3"/>
  <c r="K280" i="3"/>
  <c r="H280" i="3"/>
  <c r="E280" i="3"/>
  <c r="C280" i="3"/>
  <c r="B280" i="3"/>
  <c r="A280" i="3"/>
  <c r="U279" i="3"/>
  <c r="T279" i="3"/>
  <c r="Q279" i="3"/>
  <c r="N279" i="3"/>
  <c r="K279" i="3"/>
  <c r="H279" i="3"/>
  <c r="E279" i="3"/>
  <c r="C279" i="3"/>
  <c r="B279" i="3"/>
  <c r="A279" i="3"/>
  <c r="V279" i="3" s="1"/>
  <c r="U278" i="3"/>
  <c r="T278" i="3"/>
  <c r="Q278" i="3"/>
  <c r="N278" i="3"/>
  <c r="K278" i="3"/>
  <c r="H278" i="3"/>
  <c r="E278" i="3"/>
  <c r="C278" i="3"/>
  <c r="B278" i="3"/>
  <c r="A278" i="3"/>
  <c r="V278" i="3" s="1"/>
  <c r="V277" i="3"/>
  <c r="T277" i="3"/>
  <c r="Q277" i="3"/>
  <c r="N277" i="3"/>
  <c r="K277" i="3"/>
  <c r="H277" i="3"/>
  <c r="E277" i="3"/>
  <c r="C277" i="3"/>
  <c r="B277" i="3"/>
  <c r="A277" i="3"/>
  <c r="U277" i="3" s="1"/>
  <c r="V276" i="3"/>
  <c r="U276" i="3"/>
  <c r="T276" i="3"/>
  <c r="Q276" i="3"/>
  <c r="N276" i="3"/>
  <c r="K276" i="3"/>
  <c r="H276" i="3"/>
  <c r="E276" i="3"/>
  <c r="C276" i="3"/>
  <c r="B276" i="3"/>
  <c r="A276" i="3"/>
  <c r="Q275" i="3"/>
  <c r="N275" i="3"/>
  <c r="K275" i="3"/>
  <c r="H275" i="3"/>
  <c r="E275" i="3"/>
  <c r="C275" i="3"/>
  <c r="B275" i="3"/>
  <c r="A275" i="3"/>
  <c r="U274" i="3"/>
  <c r="Q274" i="3"/>
  <c r="N274" i="3"/>
  <c r="K274" i="3"/>
  <c r="H274" i="3"/>
  <c r="E274" i="3"/>
  <c r="C274" i="3"/>
  <c r="B274" i="3"/>
  <c r="A274" i="3"/>
  <c r="V273" i="3"/>
  <c r="Q273" i="3"/>
  <c r="N273" i="3"/>
  <c r="K273" i="3"/>
  <c r="H273" i="3"/>
  <c r="E273" i="3"/>
  <c r="C273" i="3"/>
  <c r="B273" i="3"/>
  <c r="A273" i="3"/>
  <c r="U273" i="3" s="1"/>
  <c r="V272" i="3"/>
  <c r="U272" i="3"/>
  <c r="Q272" i="3"/>
  <c r="N272" i="3"/>
  <c r="K272" i="3"/>
  <c r="H272" i="3"/>
  <c r="E272" i="3"/>
  <c r="C272" i="3"/>
  <c r="B272" i="3"/>
  <c r="A272" i="3"/>
  <c r="T272" i="3" s="1"/>
  <c r="V271" i="3"/>
  <c r="U271" i="3"/>
  <c r="T271" i="3"/>
  <c r="Q271" i="3"/>
  <c r="N271" i="3"/>
  <c r="K271" i="3"/>
  <c r="H271" i="3"/>
  <c r="E271" i="3"/>
  <c r="C271" i="3"/>
  <c r="B271" i="3"/>
  <c r="A271" i="3"/>
  <c r="U270" i="3"/>
  <c r="T270" i="3"/>
  <c r="Q270" i="3"/>
  <c r="N270" i="3"/>
  <c r="K270" i="3"/>
  <c r="H270" i="3"/>
  <c r="E270" i="3"/>
  <c r="C270" i="3"/>
  <c r="B270" i="3"/>
  <c r="A270" i="3"/>
  <c r="V270" i="3" s="1"/>
  <c r="U269" i="3"/>
  <c r="T269" i="3"/>
  <c r="Q269" i="3"/>
  <c r="N269" i="3"/>
  <c r="K269" i="3"/>
  <c r="H269" i="3"/>
  <c r="E269" i="3"/>
  <c r="C269" i="3"/>
  <c r="B269" i="3"/>
  <c r="A269" i="3"/>
  <c r="V269" i="3" s="1"/>
  <c r="V268" i="3"/>
  <c r="T268" i="3"/>
  <c r="Q268" i="3"/>
  <c r="N268" i="3"/>
  <c r="K268" i="3"/>
  <c r="H268" i="3"/>
  <c r="E268" i="3"/>
  <c r="C268" i="3"/>
  <c r="B268" i="3"/>
  <c r="A268" i="3"/>
  <c r="U268" i="3" s="1"/>
  <c r="Q267" i="3"/>
  <c r="N267" i="3"/>
  <c r="K267" i="3"/>
  <c r="H267" i="3"/>
  <c r="E267" i="3"/>
  <c r="C267" i="3"/>
  <c r="B267" i="3"/>
  <c r="A267" i="3"/>
  <c r="Q266" i="3"/>
  <c r="N266" i="3"/>
  <c r="K266" i="3"/>
  <c r="H266" i="3"/>
  <c r="E266" i="3"/>
  <c r="C266" i="3"/>
  <c r="B266" i="3"/>
  <c r="A266" i="3"/>
  <c r="V265" i="3"/>
  <c r="Q265" i="3"/>
  <c r="N265" i="3"/>
  <c r="K265" i="3"/>
  <c r="H265" i="3"/>
  <c r="E265" i="3"/>
  <c r="C265" i="3"/>
  <c r="B265" i="3"/>
  <c r="A265" i="3"/>
  <c r="V264" i="3"/>
  <c r="U264" i="3"/>
  <c r="T264" i="3"/>
  <c r="Q264" i="3"/>
  <c r="N264" i="3"/>
  <c r="K264" i="3"/>
  <c r="H264" i="3"/>
  <c r="E264" i="3"/>
  <c r="C264" i="3"/>
  <c r="B264" i="3"/>
  <c r="A264" i="3"/>
  <c r="U263" i="3"/>
  <c r="T263" i="3"/>
  <c r="Q263" i="3"/>
  <c r="N263" i="3"/>
  <c r="K263" i="3"/>
  <c r="H263" i="3"/>
  <c r="E263" i="3"/>
  <c r="C263" i="3"/>
  <c r="B263" i="3"/>
  <c r="A263" i="3"/>
  <c r="V263" i="3" s="1"/>
  <c r="U262" i="3"/>
  <c r="Q262" i="3"/>
  <c r="N262" i="3"/>
  <c r="K262" i="3"/>
  <c r="H262" i="3"/>
  <c r="E262" i="3"/>
  <c r="C262" i="3"/>
  <c r="B262" i="3"/>
  <c r="A262" i="3"/>
  <c r="V262" i="3" s="1"/>
  <c r="V261" i="3"/>
  <c r="T261" i="3"/>
  <c r="Q261" i="3"/>
  <c r="N261" i="3"/>
  <c r="K261" i="3"/>
  <c r="H261" i="3"/>
  <c r="E261" i="3"/>
  <c r="C261" i="3"/>
  <c r="B261" i="3"/>
  <c r="A261" i="3"/>
  <c r="U261" i="3" s="1"/>
  <c r="V260" i="3"/>
  <c r="U260" i="3"/>
  <c r="Q260" i="3"/>
  <c r="N260" i="3"/>
  <c r="K260" i="3"/>
  <c r="H260" i="3"/>
  <c r="E260" i="3"/>
  <c r="C260" i="3"/>
  <c r="B260" i="3"/>
  <c r="A260" i="3"/>
  <c r="T260" i="3" s="1"/>
  <c r="V259" i="3"/>
  <c r="T259" i="3"/>
  <c r="Q259" i="3"/>
  <c r="N259" i="3"/>
  <c r="K259" i="3"/>
  <c r="H259" i="3"/>
  <c r="E259" i="3"/>
  <c r="C259" i="3"/>
  <c r="B259" i="3"/>
  <c r="A259" i="3"/>
  <c r="U259" i="3" s="1"/>
  <c r="Q258" i="3"/>
  <c r="N258" i="3"/>
  <c r="K258" i="3"/>
  <c r="H258" i="3"/>
  <c r="E258" i="3"/>
  <c r="C258" i="3"/>
  <c r="B258" i="3"/>
  <c r="A258" i="3"/>
  <c r="Q257" i="3"/>
  <c r="N257" i="3"/>
  <c r="K257" i="3"/>
  <c r="H257" i="3"/>
  <c r="E257" i="3"/>
  <c r="C257" i="3"/>
  <c r="B257" i="3"/>
  <c r="A257" i="3"/>
  <c r="Q256" i="3"/>
  <c r="N256" i="3"/>
  <c r="K256" i="3"/>
  <c r="H256" i="3"/>
  <c r="E256" i="3"/>
  <c r="C256" i="3"/>
  <c r="B256" i="3"/>
  <c r="A256" i="3"/>
  <c r="V256" i="3" s="1"/>
  <c r="Q255" i="3"/>
  <c r="N255" i="3"/>
  <c r="K255" i="3"/>
  <c r="H255" i="3"/>
  <c r="E255" i="3"/>
  <c r="C255" i="3"/>
  <c r="B255" i="3"/>
  <c r="A255" i="3"/>
  <c r="T255" i="3" s="1"/>
  <c r="V254" i="3"/>
  <c r="U254" i="3"/>
  <c r="T254" i="3"/>
  <c r="Q254" i="3"/>
  <c r="N254" i="3"/>
  <c r="K254" i="3"/>
  <c r="H254" i="3"/>
  <c r="E254" i="3"/>
  <c r="C254" i="3"/>
  <c r="B254" i="3"/>
  <c r="A254" i="3"/>
  <c r="V253" i="3"/>
  <c r="U253" i="3"/>
  <c r="Q253" i="3"/>
  <c r="N253" i="3"/>
  <c r="K253" i="3"/>
  <c r="H253" i="3"/>
  <c r="E253" i="3"/>
  <c r="C253" i="3"/>
  <c r="B253" i="3"/>
  <c r="A253" i="3"/>
  <c r="T253" i="3" s="1"/>
  <c r="V252" i="3"/>
  <c r="U252" i="3"/>
  <c r="T252" i="3"/>
  <c r="Q252" i="3"/>
  <c r="N252" i="3"/>
  <c r="K252" i="3"/>
  <c r="H252" i="3"/>
  <c r="E252" i="3"/>
  <c r="C252" i="3"/>
  <c r="B252" i="3"/>
  <c r="A252" i="3"/>
  <c r="V251" i="3"/>
  <c r="U251" i="3"/>
  <c r="T251" i="3"/>
  <c r="Q251" i="3"/>
  <c r="N251" i="3"/>
  <c r="K251" i="3"/>
  <c r="H251" i="3"/>
  <c r="E251" i="3"/>
  <c r="C251" i="3"/>
  <c r="B251" i="3"/>
  <c r="A251" i="3"/>
  <c r="U250" i="3"/>
  <c r="T250" i="3"/>
  <c r="Q250" i="3"/>
  <c r="N250" i="3"/>
  <c r="K250" i="3"/>
  <c r="H250" i="3"/>
  <c r="E250" i="3"/>
  <c r="C250" i="3"/>
  <c r="B250" i="3"/>
  <c r="A250" i="3"/>
  <c r="V250" i="3" s="1"/>
  <c r="T249" i="3"/>
  <c r="Q249" i="3"/>
  <c r="N249" i="3"/>
  <c r="K249" i="3"/>
  <c r="H249" i="3"/>
  <c r="E249" i="3"/>
  <c r="C249" i="3"/>
  <c r="B249" i="3"/>
  <c r="A249" i="3"/>
  <c r="U249" i="3" s="1"/>
  <c r="Q248" i="3"/>
  <c r="N248" i="3"/>
  <c r="K248" i="3"/>
  <c r="H248" i="3"/>
  <c r="E248" i="3"/>
  <c r="C248" i="3"/>
  <c r="B248" i="3"/>
  <c r="A248" i="3"/>
  <c r="V247" i="3"/>
  <c r="Q247" i="3"/>
  <c r="N247" i="3"/>
  <c r="K247" i="3"/>
  <c r="H247" i="3"/>
  <c r="E247" i="3"/>
  <c r="C247" i="3"/>
  <c r="B247" i="3"/>
  <c r="A247" i="3"/>
  <c r="V246" i="3"/>
  <c r="U246" i="3"/>
  <c r="Q246" i="3"/>
  <c r="N246" i="3"/>
  <c r="K246" i="3"/>
  <c r="H246" i="3"/>
  <c r="E246" i="3"/>
  <c r="C246" i="3"/>
  <c r="B246" i="3"/>
  <c r="A246" i="3"/>
  <c r="T246" i="3" s="1"/>
  <c r="V245" i="3"/>
  <c r="U245" i="3"/>
  <c r="T245" i="3"/>
  <c r="Q245" i="3"/>
  <c r="N245" i="3"/>
  <c r="K245" i="3"/>
  <c r="H245" i="3"/>
  <c r="E245" i="3"/>
  <c r="C245" i="3"/>
  <c r="B245" i="3"/>
  <c r="A245" i="3"/>
  <c r="T244" i="3"/>
  <c r="Q244" i="3"/>
  <c r="N244" i="3"/>
  <c r="K244" i="3"/>
  <c r="H244" i="3"/>
  <c r="E244" i="3"/>
  <c r="C244" i="3"/>
  <c r="B244" i="3"/>
  <c r="A244" i="3"/>
  <c r="V244" i="3" s="1"/>
  <c r="Q243" i="3"/>
  <c r="N243" i="3"/>
  <c r="K243" i="3"/>
  <c r="H243" i="3"/>
  <c r="E243" i="3"/>
  <c r="C243" i="3"/>
  <c r="B243" i="3"/>
  <c r="A243" i="3"/>
  <c r="V243" i="3" s="1"/>
  <c r="V242" i="3"/>
  <c r="U242" i="3"/>
  <c r="T242" i="3"/>
  <c r="Q242" i="3"/>
  <c r="N242" i="3"/>
  <c r="K242" i="3"/>
  <c r="H242" i="3"/>
  <c r="E242" i="3"/>
  <c r="C242" i="3"/>
  <c r="B242" i="3"/>
  <c r="A242" i="3"/>
  <c r="V241" i="3"/>
  <c r="U241" i="3"/>
  <c r="T241" i="3"/>
  <c r="Q241" i="3"/>
  <c r="N241" i="3"/>
  <c r="K241" i="3"/>
  <c r="H241" i="3"/>
  <c r="E241" i="3"/>
  <c r="C241" i="3"/>
  <c r="B241" i="3"/>
  <c r="A241" i="3"/>
  <c r="V240" i="3"/>
  <c r="U240" i="3"/>
  <c r="T240" i="3"/>
  <c r="Q240" i="3"/>
  <c r="N240" i="3"/>
  <c r="K240" i="3"/>
  <c r="H240" i="3"/>
  <c r="E240" i="3"/>
  <c r="C240" i="3"/>
  <c r="B240" i="3"/>
  <c r="A240" i="3"/>
  <c r="U239" i="3"/>
  <c r="T239" i="3"/>
  <c r="Q239" i="3"/>
  <c r="N239" i="3"/>
  <c r="K239" i="3"/>
  <c r="H239" i="3"/>
  <c r="E239" i="3"/>
  <c r="C239" i="3"/>
  <c r="B239" i="3"/>
  <c r="A239" i="3"/>
  <c r="V239" i="3" s="1"/>
  <c r="Q238" i="3"/>
  <c r="N238" i="3"/>
  <c r="K238" i="3"/>
  <c r="H238" i="3"/>
  <c r="E238" i="3"/>
  <c r="C238" i="3"/>
  <c r="B238" i="3"/>
  <c r="A238" i="3"/>
  <c r="Q237" i="3"/>
  <c r="N237" i="3"/>
  <c r="K237" i="3"/>
  <c r="H237" i="3"/>
  <c r="E237" i="3"/>
  <c r="C237" i="3"/>
  <c r="B237" i="3"/>
  <c r="A237" i="3"/>
  <c r="Q236" i="3"/>
  <c r="N236" i="3"/>
  <c r="K236" i="3"/>
  <c r="H236" i="3"/>
  <c r="E236" i="3"/>
  <c r="C236" i="3"/>
  <c r="B236" i="3"/>
  <c r="A236" i="3"/>
  <c r="T236" i="3" s="1"/>
  <c r="V235" i="3"/>
  <c r="U235" i="3"/>
  <c r="T235" i="3"/>
  <c r="Q235" i="3"/>
  <c r="N235" i="3"/>
  <c r="K235" i="3"/>
  <c r="H235" i="3"/>
  <c r="E235" i="3"/>
  <c r="C235" i="3"/>
  <c r="B235" i="3"/>
  <c r="A235" i="3"/>
  <c r="V234" i="3"/>
  <c r="U234" i="3"/>
  <c r="Q234" i="3"/>
  <c r="N234" i="3"/>
  <c r="K234" i="3"/>
  <c r="H234" i="3"/>
  <c r="E234" i="3"/>
  <c r="C234" i="3"/>
  <c r="B234" i="3"/>
  <c r="A234" i="3"/>
  <c r="T234" i="3" s="1"/>
  <c r="V233" i="3"/>
  <c r="U233" i="3"/>
  <c r="T233" i="3"/>
  <c r="Q233" i="3"/>
  <c r="N233" i="3"/>
  <c r="K233" i="3"/>
  <c r="H233" i="3"/>
  <c r="E233" i="3"/>
  <c r="C233" i="3"/>
  <c r="B233" i="3"/>
  <c r="A233" i="3"/>
  <c r="V232" i="3"/>
  <c r="U232" i="3"/>
  <c r="T232" i="3"/>
  <c r="Q232" i="3"/>
  <c r="N232" i="3"/>
  <c r="K232" i="3"/>
  <c r="H232" i="3"/>
  <c r="E232" i="3"/>
  <c r="C232" i="3"/>
  <c r="B232" i="3"/>
  <c r="A232" i="3"/>
  <c r="U231" i="3"/>
  <c r="T231" i="3"/>
  <c r="Q231" i="3"/>
  <c r="N231" i="3"/>
  <c r="K231" i="3"/>
  <c r="H231" i="3"/>
  <c r="E231" i="3"/>
  <c r="C231" i="3"/>
  <c r="B231" i="3"/>
  <c r="A231" i="3"/>
  <c r="V231" i="3" s="1"/>
  <c r="U230" i="3"/>
  <c r="T230" i="3"/>
  <c r="Q230" i="3"/>
  <c r="N230" i="3"/>
  <c r="K230" i="3"/>
  <c r="H230" i="3"/>
  <c r="E230" i="3"/>
  <c r="C230" i="3"/>
  <c r="B230" i="3"/>
  <c r="A230" i="3"/>
  <c r="V230" i="3" s="1"/>
  <c r="V229" i="3"/>
  <c r="T229" i="3"/>
  <c r="Q229" i="3"/>
  <c r="N229" i="3"/>
  <c r="K229" i="3"/>
  <c r="H229" i="3"/>
  <c r="E229" i="3"/>
  <c r="C229" i="3"/>
  <c r="B229" i="3"/>
  <c r="A229" i="3"/>
  <c r="U229" i="3" s="1"/>
  <c r="V228" i="3"/>
  <c r="U228" i="3"/>
  <c r="T228" i="3"/>
  <c r="Q228" i="3"/>
  <c r="N228" i="3"/>
  <c r="K228" i="3"/>
  <c r="H228" i="3"/>
  <c r="E228" i="3"/>
  <c r="C228" i="3"/>
  <c r="B228" i="3"/>
  <c r="A228" i="3"/>
  <c r="Q227" i="3"/>
  <c r="N227" i="3"/>
  <c r="K227" i="3"/>
  <c r="H227" i="3"/>
  <c r="E227" i="3"/>
  <c r="C227" i="3"/>
  <c r="B227" i="3"/>
  <c r="A227" i="3"/>
  <c r="U226" i="3"/>
  <c r="Q226" i="3"/>
  <c r="N226" i="3"/>
  <c r="K226" i="3"/>
  <c r="H226" i="3"/>
  <c r="E226" i="3"/>
  <c r="C226" i="3"/>
  <c r="B226" i="3"/>
  <c r="A226" i="3"/>
  <c r="T225" i="3"/>
  <c r="Q225" i="3"/>
  <c r="N225" i="3"/>
  <c r="K225" i="3"/>
  <c r="H225" i="3"/>
  <c r="E225" i="3"/>
  <c r="C225" i="3"/>
  <c r="B225" i="3"/>
  <c r="A225" i="3"/>
  <c r="U225" i="3" s="1"/>
  <c r="V224" i="3"/>
  <c r="U224" i="3"/>
  <c r="Q224" i="3"/>
  <c r="N224" i="3"/>
  <c r="K224" i="3"/>
  <c r="H224" i="3"/>
  <c r="E224" i="3"/>
  <c r="C224" i="3"/>
  <c r="B224" i="3"/>
  <c r="A224" i="3"/>
  <c r="T224" i="3" s="1"/>
  <c r="V223" i="3"/>
  <c r="U223" i="3"/>
  <c r="T223" i="3"/>
  <c r="Q223" i="3"/>
  <c r="N223" i="3"/>
  <c r="K223" i="3"/>
  <c r="H223" i="3"/>
  <c r="E223" i="3"/>
  <c r="C223" i="3"/>
  <c r="B223" i="3"/>
  <c r="A223" i="3"/>
  <c r="U222" i="3"/>
  <c r="T222" i="3"/>
  <c r="Q222" i="3"/>
  <c r="N222" i="3"/>
  <c r="K222" i="3"/>
  <c r="H222" i="3"/>
  <c r="E222" i="3"/>
  <c r="C222" i="3"/>
  <c r="B222" i="3"/>
  <c r="A222" i="3"/>
  <c r="V222" i="3" s="1"/>
  <c r="U221" i="3"/>
  <c r="T221" i="3"/>
  <c r="Q221" i="3"/>
  <c r="N221" i="3"/>
  <c r="K221" i="3"/>
  <c r="H221" i="3"/>
  <c r="E221" i="3"/>
  <c r="C221" i="3"/>
  <c r="B221" i="3"/>
  <c r="A221" i="3"/>
  <c r="V221" i="3" s="1"/>
  <c r="V220" i="3"/>
  <c r="T220" i="3"/>
  <c r="Q220" i="3"/>
  <c r="N220" i="3"/>
  <c r="K220" i="3"/>
  <c r="H220" i="3"/>
  <c r="E220" i="3"/>
  <c r="C220" i="3"/>
  <c r="B220" i="3"/>
  <c r="A220" i="3"/>
  <c r="U220" i="3" s="1"/>
  <c r="Q219" i="3"/>
  <c r="N219" i="3"/>
  <c r="K219" i="3"/>
  <c r="H219" i="3"/>
  <c r="E219" i="3"/>
  <c r="C219" i="3"/>
  <c r="B219" i="3"/>
  <c r="A219" i="3"/>
  <c r="Q218" i="3"/>
  <c r="N218" i="3"/>
  <c r="K218" i="3"/>
  <c r="H218" i="3"/>
  <c r="E218" i="3"/>
  <c r="C218" i="3"/>
  <c r="B218" i="3"/>
  <c r="A218" i="3"/>
  <c r="V217" i="3"/>
  <c r="Q217" i="3"/>
  <c r="N217" i="3"/>
  <c r="K217" i="3"/>
  <c r="H217" i="3"/>
  <c r="E217" i="3"/>
  <c r="C217" i="3"/>
  <c r="B217" i="3"/>
  <c r="A217" i="3"/>
  <c r="V216" i="3"/>
  <c r="U216" i="3"/>
  <c r="T216" i="3"/>
  <c r="Q216" i="3"/>
  <c r="N216" i="3"/>
  <c r="K216" i="3"/>
  <c r="H216" i="3"/>
  <c r="E216" i="3"/>
  <c r="C216" i="3"/>
  <c r="B216" i="3"/>
  <c r="A216" i="3"/>
  <c r="V215" i="3"/>
  <c r="U215" i="3"/>
  <c r="T215" i="3"/>
  <c r="Q215" i="3"/>
  <c r="N215" i="3"/>
  <c r="K215" i="3"/>
  <c r="H215" i="3"/>
  <c r="E215" i="3"/>
  <c r="C215" i="3"/>
  <c r="B215" i="3"/>
  <c r="A215" i="3"/>
  <c r="T214" i="3"/>
  <c r="Q214" i="3"/>
  <c r="N214" i="3"/>
  <c r="K214" i="3"/>
  <c r="H214" i="3"/>
  <c r="E214" i="3"/>
  <c r="C214" i="3"/>
  <c r="B214" i="3"/>
  <c r="A214" i="3"/>
  <c r="V214" i="3" s="1"/>
  <c r="V213" i="3"/>
  <c r="T213" i="3"/>
  <c r="Q213" i="3"/>
  <c r="N213" i="3"/>
  <c r="K213" i="3"/>
  <c r="H213" i="3"/>
  <c r="E213" i="3"/>
  <c r="C213" i="3"/>
  <c r="B213" i="3"/>
  <c r="A213" i="3"/>
  <c r="U213" i="3" s="1"/>
  <c r="V212" i="3"/>
  <c r="U212" i="3"/>
  <c r="Q212" i="3"/>
  <c r="N212" i="3"/>
  <c r="K212" i="3"/>
  <c r="H212" i="3"/>
  <c r="E212" i="3"/>
  <c r="C212" i="3"/>
  <c r="B212" i="3"/>
  <c r="A212" i="3"/>
  <c r="T212" i="3" s="1"/>
  <c r="V211" i="3"/>
  <c r="T211" i="3"/>
  <c r="Q211" i="3"/>
  <c r="N211" i="3"/>
  <c r="K211" i="3"/>
  <c r="H211" i="3"/>
  <c r="E211" i="3"/>
  <c r="C211" i="3"/>
  <c r="B211" i="3"/>
  <c r="A211" i="3"/>
  <c r="U211" i="3" s="1"/>
  <c r="Q210" i="3"/>
  <c r="N210" i="3"/>
  <c r="K210" i="3"/>
  <c r="H210" i="3"/>
  <c r="E210" i="3"/>
  <c r="C210" i="3"/>
  <c r="B210" i="3"/>
  <c r="A210" i="3"/>
  <c r="Q209" i="3"/>
  <c r="N209" i="3"/>
  <c r="K209" i="3"/>
  <c r="H209" i="3"/>
  <c r="E209" i="3"/>
  <c r="C209" i="3"/>
  <c r="B209" i="3"/>
  <c r="A209" i="3"/>
  <c r="V208" i="3"/>
  <c r="Q208" i="3"/>
  <c r="N208" i="3"/>
  <c r="K208" i="3"/>
  <c r="H208" i="3"/>
  <c r="E208" i="3"/>
  <c r="C208" i="3"/>
  <c r="B208" i="3"/>
  <c r="A208" i="3"/>
  <c r="V207" i="3"/>
  <c r="U207" i="3"/>
  <c r="Q207" i="3"/>
  <c r="N207" i="3"/>
  <c r="K207" i="3"/>
  <c r="H207" i="3"/>
  <c r="E207" i="3"/>
  <c r="C207" i="3"/>
  <c r="B207" i="3"/>
  <c r="A207" i="3"/>
  <c r="T207" i="3" s="1"/>
  <c r="V206" i="3"/>
  <c r="T206" i="3"/>
  <c r="Q206" i="3"/>
  <c r="N206" i="3"/>
  <c r="K206" i="3"/>
  <c r="H206" i="3"/>
  <c r="E206" i="3"/>
  <c r="C206" i="3"/>
  <c r="B206" i="3"/>
  <c r="A206" i="3"/>
  <c r="U206" i="3" s="1"/>
  <c r="V205" i="3"/>
  <c r="U205" i="3"/>
  <c r="Q205" i="3"/>
  <c r="N205" i="3"/>
  <c r="K205" i="3"/>
  <c r="H205" i="3"/>
  <c r="E205" i="3"/>
  <c r="C205" i="3"/>
  <c r="B205" i="3"/>
  <c r="A205" i="3"/>
  <c r="T205" i="3" s="1"/>
  <c r="V204" i="3"/>
  <c r="U204" i="3"/>
  <c r="T204" i="3"/>
  <c r="Q204" i="3"/>
  <c r="N204" i="3"/>
  <c r="K204" i="3"/>
  <c r="H204" i="3"/>
  <c r="E204" i="3"/>
  <c r="C204" i="3"/>
  <c r="B204" i="3"/>
  <c r="A204" i="3"/>
  <c r="V203" i="3"/>
  <c r="U203" i="3"/>
  <c r="T203" i="3"/>
  <c r="Q203" i="3"/>
  <c r="N203" i="3"/>
  <c r="K203" i="3"/>
  <c r="H203" i="3"/>
  <c r="E203" i="3"/>
  <c r="C203" i="3"/>
  <c r="B203" i="3"/>
  <c r="A203" i="3"/>
  <c r="U202" i="3"/>
  <c r="T202" i="3"/>
  <c r="Q202" i="3"/>
  <c r="N202" i="3"/>
  <c r="K202" i="3"/>
  <c r="H202" i="3"/>
  <c r="E202" i="3"/>
  <c r="C202" i="3"/>
  <c r="B202" i="3"/>
  <c r="A202" i="3"/>
  <c r="V202" i="3" s="1"/>
  <c r="T201" i="3"/>
  <c r="Q201" i="3"/>
  <c r="N201" i="3"/>
  <c r="K201" i="3"/>
  <c r="H201" i="3"/>
  <c r="E201" i="3"/>
  <c r="C201" i="3"/>
  <c r="B201" i="3"/>
  <c r="A201" i="3"/>
  <c r="U201" i="3" s="1"/>
  <c r="Q200" i="3"/>
  <c r="N200" i="3"/>
  <c r="K200" i="3"/>
  <c r="H200" i="3"/>
  <c r="E200" i="3"/>
  <c r="C200" i="3"/>
  <c r="B200" i="3"/>
  <c r="A200" i="3"/>
  <c r="V199" i="3"/>
  <c r="Q199" i="3"/>
  <c r="N199" i="3"/>
  <c r="K199" i="3"/>
  <c r="H199" i="3"/>
  <c r="E199" i="3"/>
  <c r="C199" i="3"/>
  <c r="B199" i="3"/>
  <c r="A199" i="3"/>
  <c r="Q198" i="3"/>
  <c r="N198" i="3"/>
  <c r="K198" i="3"/>
  <c r="H198" i="3"/>
  <c r="E198" i="3"/>
  <c r="C198" i="3"/>
  <c r="B198" i="3"/>
  <c r="A198" i="3"/>
  <c r="T198" i="3" s="1"/>
  <c r="Q197" i="3"/>
  <c r="N197" i="3"/>
  <c r="K197" i="3"/>
  <c r="H197" i="3"/>
  <c r="E197" i="3"/>
  <c r="C197" i="3"/>
  <c r="B197" i="3"/>
  <c r="A197" i="3"/>
  <c r="V197" i="3" s="1"/>
  <c r="Q196" i="3"/>
  <c r="N196" i="3"/>
  <c r="K196" i="3"/>
  <c r="H196" i="3"/>
  <c r="E196" i="3"/>
  <c r="C196" i="3"/>
  <c r="B196" i="3"/>
  <c r="A196" i="3"/>
  <c r="V196" i="3" s="1"/>
  <c r="Q195" i="3"/>
  <c r="N195" i="3"/>
  <c r="K195" i="3"/>
  <c r="H195" i="3"/>
  <c r="E195" i="3"/>
  <c r="C195" i="3"/>
  <c r="B195" i="3"/>
  <c r="A195" i="3"/>
  <c r="V195" i="3" s="1"/>
  <c r="V194" i="3"/>
  <c r="U194" i="3"/>
  <c r="T194" i="3"/>
  <c r="Q194" i="3"/>
  <c r="N194" i="3"/>
  <c r="K194" i="3"/>
  <c r="H194" i="3"/>
  <c r="E194" i="3"/>
  <c r="C194" i="3"/>
  <c r="B194" i="3"/>
  <c r="A194" i="3"/>
  <c r="V193" i="3"/>
  <c r="U193" i="3"/>
  <c r="T193" i="3"/>
  <c r="Q193" i="3"/>
  <c r="N193" i="3"/>
  <c r="K193" i="3"/>
  <c r="H193" i="3"/>
  <c r="E193" i="3"/>
  <c r="C193" i="3"/>
  <c r="B193" i="3"/>
  <c r="A193" i="3"/>
  <c r="V192" i="3"/>
  <c r="U192" i="3"/>
  <c r="T192" i="3"/>
  <c r="Q192" i="3"/>
  <c r="N192" i="3"/>
  <c r="K192" i="3"/>
  <c r="H192" i="3"/>
  <c r="E192" i="3"/>
  <c r="C192" i="3"/>
  <c r="B192" i="3"/>
  <c r="A192" i="3"/>
  <c r="U191" i="3"/>
  <c r="T191" i="3"/>
  <c r="Q191" i="3"/>
  <c r="N191" i="3"/>
  <c r="K191" i="3"/>
  <c r="H191" i="3"/>
  <c r="E191" i="3"/>
  <c r="C191" i="3"/>
  <c r="B191" i="3"/>
  <c r="A191" i="3"/>
  <c r="V191" i="3" s="1"/>
  <c r="Q190" i="3"/>
  <c r="N190" i="3"/>
  <c r="K190" i="3"/>
  <c r="H190" i="3"/>
  <c r="E190" i="3"/>
  <c r="C190" i="3"/>
  <c r="B190" i="3"/>
  <c r="A190" i="3"/>
  <c r="Q189" i="3"/>
  <c r="N189" i="3"/>
  <c r="K189" i="3"/>
  <c r="H189" i="3"/>
  <c r="E189" i="3"/>
  <c r="C189" i="3"/>
  <c r="B189" i="3"/>
  <c r="A189" i="3"/>
  <c r="V188" i="3"/>
  <c r="U188" i="3"/>
  <c r="Q188" i="3"/>
  <c r="N188" i="3"/>
  <c r="K188" i="3"/>
  <c r="H188" i="3"/>
  <c r="E188" i="3"/>
  <c r="C188" i="3"/>
  <c r="B188" i="3"/>
  <c r="A188" i="3"/>
  <c r="T188" i="3" s="1"/>
  <c r="V187" i="3"/>
  <c r="T187" i="3"/>
  <c r="Q187" i="3"/>
  <c r="N187" i="3"/>
  <c r="K187" i="3"/>
  <c r="H187" i="3"/>
  <c r="E187" i="3"/>
  <c r="C187" i="3"/>
  <c r="B187" i="3"/>
  <c r="A187" i="3"/>
  <c r="U187" i="3" s="1"/>
  <c r="V186" i="3"/>
  <c r="U186" i="3"/>
  <c r="Q186" i="3"/>
  <c r="N186" i="3"/>
  <c r="K186" i="3"/>
  <c r="H186" i="3"/>
  <c r="E186" i="3"/>
  <c r="C186" i="3"/>
  <c r="B186" i="3"/>
  <c r="A186" i="3"/>
  <c r="T186" i="3" s="1"/>
  <c r="V185" i="3"/>
  <c r="U185" i="3"/>
  <c r="T185" i="3"/>
  <c r="Q185" i="3"/>
  <c r="N185" i="3"/>
  <c r="K185" i="3"/>
  <c r="H185" i="3"/>
  <c r="E185" i="3"/>
  <c r="C185" i="3"/>
  <c r="B185" i="3"/>
  <c r="A185" i="3"/>
  <c r="V184" i="3"/>
  <c r="U184" i="3"/>
  <c r="T184" i="3"/>
  <c r="Q184" i="3"/>
  <c r="N184" i="3"/>
  <c r="K184" i="3"/>
  <c r="H184" i="3"/>
  <c r="E184" i="3"/>
  <c r="C184" i="3"/>
  <c r="B184" i="3"/>
  <c r="A184" i="3"/>
  <c r="U183" i="3"/>
  <c r="T183" i="3"/>
  <c r="Q183" i="3"/>
  <c r="N183" i="3"/>
  <c r="K183" i="3"/>
  <c r="H183" i="3"/>
  <c r="E183" i="3"/>
  <c r="C183" i="3"/>
  <c r="B183" i="3"/>
  <c r="A183" i="3"/>
  <c r="V183" i="3" s="1"/>
  <c r="U182" i="3"/>
  <c r="T182" i="3"/>
  <c r="Q182" i="3"/>
  <c r="N182" i="3"/>
  <c r="K182" i="3"/>
  <c r="H182" i="3"/>
  <c r="E182" i="3"/>
  <c r="C182" i="3"/>
  <c r="B182" i="3"/>
  <c r="A182" i="3"/>
  <c r="V182" i="3" s="1"/>
  <c r="V181" i="3"/>
  <c r="T181" i="3"/>
  <c r="Q181" i="3"/>
  <c r="N181" i="3"/>
  <c r="K181" i="3"/>
  <c r="H181" i="3"/>
  <c r="E181" i="3"/>
  <c r="C181" i="3"/>
  <c r="B181" i="3"/>
  <c r="A181" i="3"/>
  <c r="U181" i="3" s="1"/>
  <c r="V180" i="3"/>
  <c r="U180" i="3"/>
  <c r="T180" i="3"/>
  <c r="Q180" i="3"/>
  <c r="N180" i="3"/>
  <c r="K180" i="3"/>
  <c r="H180" i="3"/>
  <c r="E180" i="3"/>
  <c r="C180" i="3"/>
  <c r="B180" i="3"/>
  <c r="A180" i="3"/>
  <c r="Q179" i="3"/>
  <c r="N179" i="3"/>
  <c r="K179" i="3"/>
  <c r="H179" i="3"/>
  <c r="E179" i="3"/>
  <c r="C179" i="3"/>
  <c r="B179" i="3"/>
  <c r="A179" i="3"/>
  <c r="Q178" i="3"/>
  <c r="N178" i="3"/>
  <c r="K178" i="3"/>
  <c r="H178" i="3"/>
  <c r="E178" i="3"/>
  <c r="C178" i="3"/>
  <c r="B178" i="3"/>
  <c r="A178" i="3"/>
  <c r="U178" i="3" s="1"/>
  <c r="Q177" i="3"/>
  <c r="N177" i="3"/>
  <c r="K177" i="3"/>
  <c r="H177" i="3"/>
  <c r="E177" i="3"/>
  <c r="C177" i="3"/>
  <c r="B177" i="3"/>
  <c r="A177" i="3"/>
  <c r="U177" i="3" s="1"/>
  <c r="Q176" i="3"/>
  <c r="N176" i="3"/>
  <c r="K176" i="3"/>
  <c r="H176" i="3"/>
  <c r="E176" i="3"/>
  <c r="C176" i="3"/>
  <c r="B176" i="3"/>
  <c r="A176" i="3"/>
  <c r="V176" i="3" s="1"/>
  <c r="V175" i="3"/>
  <c r="U175" i="3"/>
  <c r="T175" i="3"/>
  <c r="Q175" i="3"/>
  <c r="N175" i="3"/>
  <c r="K175" i="3"/>
  <c r="H175" i="3"/>
  <c r="E175" i="3"/>
  <c r="C175" i="3"/>
  <c r="B175" i="3"/>
  <c r="A175" i="3"/>
  <c r="V174" i="3"/>
  <c r="U174" i="3"/>
  <c r="T174" i="3"/>
  <c r="Q174" i="3"/>
  <c r="N174" i="3"/>
  <c r="K174" i="3"/>
  <c r="H174" i="3"/>
  <c r="E174" i="3"/>
  <c r="C174" i="3"/>
  <c r="B174" i="3"/>
  <c r="A174" i="3"/>
  <c r="U173" i="3"/>
  <c r="T173" i="3"/>
  <c r="Q173" i="3"/>
  <c r="N173" i="3"/>
  <c r="K173" i="3"/>
  <c r="H173" i="3"/>
  <c r="E173" i="3"/>
  <c r="C173" i="3"/>
  <c r="B173" i="3"/>
  <c r="A173" i="3"/>
  <c r="V173" i="3" s="1"/>
  <c r="U172" i="3"/>
  <c r="T172" i="3"/>
  <c r="Q172" i="3"/>
  <c r="N172" i="3"/>
  <c r="K172" i="3"/>
  <c r="H172" i="3"/>
  <c r="E172" i="3"/>
  <c r="C172" i="3"/>
  <c r="B172" i="3"/>
  <c r="A172" i="3"/>
  <c r="V172" i="3" s="1"/>
  <c r="V171" i="3"/>
  <c r="T171" i="3"/>
  <c r="Q171" i="3"/>
  <c r="N171" i="3"/>
  <c r="K171" i="3"/>
  <c r="H171" i="3"/>
  <c r="E171" i="3"/>
  <c r="C171" i="3"/>
  <c r="B171" i="3"/>
  <c r="A171" i="3"/>
  <c r="U171" i="3" s="1"/>
  <c r="Q170" i="3"/>
  <c r="N170" i="3"/>
  <c r="K170" i="3"/>
  <c r="H170" i="3"/>
  <c r="E170" i="3"/>
  <c r="C170" i="3"/>
  <c r="B170" i="3"/>
  <c r="A170" i="3"/>
  <c r="Q169" i="3"/>
  <c r="N169" i="3"/>
  <c r="K169" i="3"/>
  <c r="H169" i="3"/>
  <c r="E169" i="3"/>
  <c r="C169" i="3"/>
  <c r="B169" i="3"/>
  <c r="A169" i="3"/>
  <c r="Q168" i="3"/>
  <c r="N168" i="3"/>
  <c r="K168" i="3"/>
  <c r="H168" i="3"/>
  <c r="E168" i="3"/>
  <c r="C168" i="3"/>
  <c r="B168" i="3"/>
  <c r="A168" i="3"/>
  <c r="Q167" i="3"/>
  <c r="N167" i="3"/>
  <c r="K167" i="3"/>
  <c r="H167" i="3"/>
  <c r="E167" i="3"/>
  <c r="C167" i="3"/>
  <c r="B167" i="3"/>
  <c r="A167" i="3"/>
  <c r="Q166" i="3"/>
  <c r="N166" i="3"/>
  <c r="K166" i="3"/>
  <c r="H166" i="3"/>
  <c r="E166" i="3"/>
  <c r="C166" i="3"/>
  <c r="B166" i="3"/>
  <c r="A166" i="3"/>
  <c r="Q165" i="3"/>
  <c r="N165" i="3"/>
  <c r="K165" i="3"/>
  <c r="H165" i="3"/>
  <c r="E165" i="3"/>
  <c r="C165" i="3"/>
  <c r="B165" i="3"/>
  <c r="A165" i="3"/>
  <c r="Q164" i="3"/>
  <c r="N164" i="3"/>
  <c r="K164" i="3"/>
  <c r="H164" i="3"/>
  <c r="E164" i="3"/>
  <c r="C164" i="3"/>
  <c r="B164" i="3"/>
  <c r="A164" i="3"/>
  <c r="T163" i="3"/>
  <c r="U163" i="3" s="1"/>
  <c r="Q163" i="3"/>
  <c r="N163" i="3"/>
  <c r="K163" i="3"/>
  <c r="H163" i="3"/>
  <c r="E163" i="3"/>
  <c r="C163" i="3"/>
  <c r="B163" i="3"/>
  <c r="A163" i="3"/>
  <c r="Q162" i="3"/>
  <c r="T162" i="3" s="1"/>
  <c r="N162" i="3"/>
  <c r="K162" i="3"/>
  <c r="H162" i="3"/>
  <c r="E162" i="3"/>
  <c r="C162" i="3"/>
  <c r="B162" i="3"/>
  <c r="A162" i="3"/>
  <c r="Q161" i="3"/>
  <c r="T161" i="3" s="1"/>
  <c r="U161" i="3" s="1"/>
  <c r="N161" i="3"/>
  <c r="K161" i="3"/>
  <c r="H161" i="3"/>
  <c r="E161" i="3"/>
  <c r="C161" i="3"/>
  <c r="B161" i="3"/>
  <c r="A161" i="3"/>
  <c r="Q160" i="3"/>
  <c r="N160" i="3"/>
  <c r="K160" i="3"/>
  <c r="H160" i="3"/>
  <c r="T160" i="3" s="1"/>
  <c r="U160" i="3" s="1"/>
  <c r="E160" i="3"/>
  <c r="C160" i="3"/>
  <c r="B160" i="3"/>
  <c r="A160" i="3"/>
  <c r="Q159" i="3"/>
  <c r="N159" i="3"/>
  <c r="K159" i="3"/>
  <c r="H159" i="3"/>
  <c r="E159" i="3"/>
  <c r="T159" i="3" s="1"/>
  <c r="V159" i="3" s="1"/>
  <c r="C159" i="3"/>
  <c r="B159" i="3"/>
  <c r="A159" i="3"/>
  <c r="Q158" i="3"/>
  <c r="N158" i="3"/>
  <c r="K158" i="3"/>
  <c r="H158" i="3"/>
  <c r="E158" i="3"/>
  <c r="C158" i="3"/>
  <c r="B158" i="3"/>
  <c r="A158" i="3"/>
  <c r="Q157" i="3"/>
  <c r="N157" i="3"/>
  <c r="K157" i="3"/>
  <c r="H157" i="3"/>
  <c r="E157" i="3"/>
  <c r="C157" i="3"/>
  <c r="B157" i="3"/>
  <c r="A157" i="3"/>
  <c r="Q156" i="3"/>
  <c r="N156" i="3"/>
  <c r="K156" i="3"/>
  <c r="H156" i="3"/>
  <c r="E156" i="3"/>
  <c r="C156" i="3"/>
  <c r="B156" i="3"/>
  <c r="A156" i="3"/>
  <c r="Q155" i="3"/>
  <c r="N155" i="3"/>
  <c r="K155" i="3"/>
  <c r="H155" i="3"/>
  <c r="E155" i="3"/>
  <c r="C155" i="3"/>
  <c r="B155" i="3"/>
  <c r="A155" i="3"/>
  <c r="T155" i="3" s="1"/>
  <c r="V154" i="3"/>
  <c r="T154" i="3"/>
  <c r="U154" i="3" s="1"/>
  <c r="Q154" i="3"/>
  <c r="N154" i="3"/>
  <c r="K154" i="3"/>
  <c r="H154" i="3"/>
  <c r="E154" i="3"/>
  <c r="C154" i="3"/>
  <c r="B154" i="3"/>
  <c r="A154" i="3"/>
  <c r="Q153" i="3"/>
  <c r="N153" i="3"/>
  <c r="K153" i="3"/>
  <c r="H153" i="3"/>
  <c r="E153" i="3"/>
  <c r="C153" i="3"/>
  <c r="B153" i="3"/>
  <c r="A153" i="3"/>
  <c r="T153" i="3" s="1"/>
  <c r="T152" i="3"/>
  <c r="U152" i="3" s="1"/>
  <c r="Q152" i="3"/>
  <c r="N152" i="3"/>
  <c r="K152" i="3"/>
  <c r="H152" i="3"/>
  <c r="E152" i="3"/>
  <c r="C152" i="3"/>
  <c r="B152" i="3"/>
  <c r="A152" i="3"/>
  <c r="V152" i="3" s="1"/>
  <c r="Q151" i="3"/>
  <c r="T151" i="3" s="1"/>
  <c r="N151" i="3"/>
  <c r="K151" i="3"/>
  <c r="H151" i="3"/>
  <c r="E151" i="3"/>
  <c r="C151" i="3"/>
  <c r="B151" i="3"/>
  <c r="A151" i="3"/>
  <c r="Q150" i="3"/>
  <c r="N150" i="3"/>
  <c r="K150" i="3"/>
  <c r="H150" i="3"/>
  <c r="T150" i="3" s="1"/>
  <c r="E150" i="3"/>
  <c r="C150" i="3"/>
  <c r="B150" i="3"/>
  <c r="A150" i="3"/>
  <c r="Q149" i="3"/>
  <c r="N149" i="3"/>
  <c r="K149" i="3"/>
  <c r="H149" i="3"/>
  <c r="T149" i="3" s="1"/>
  <c r="U149" i="3" s="1"/>
  <c r="E149" i="3"/>
  <c r="C149" i="3"/>
  <c r="B149" i="3"/>
  <c r="A149" i="3"/>
  <c r="Q148" i="3"/>
  <c r="N148" i="3"/>
  <c r="K148" i="3"/>
  <c r="H148" i="3"/>
  <c r="T148" i="3" s="1"/>
  <c r="U148" i="3" s="1"/>
  <c r="E148" i="3"/>
  <c r="C148" i="3"/>
  <c r="B148" i="3"/>
  <c r="A148" i="3"/>
  <c r="Q147" i="3"/>
  <c r="N147" i="3"/>
  <c r="K147" i="3"/>
  <c r="H147" i="3"/>
  <c r="E147" i="3"/>
  <c r="C147" i="3"/>
  <c r="B147" i="3"/>
  <c r="A147" i="3"/>
  <c r="Q146" i="3"/>
  <c r="N146" i="3"/>
  <c r="K146" i="3"/>
  <c r="H146" i="3"/>
  <c r="E146" i="3"/>
  <c r="C146" i="3"/>
  <c r="B146" i="3"/>
  <c r="A146" i="3"/>
  <c r="Q145" i="3"/>
  <c r="N145" i="3"/>
  <c r="K145" i="3"/>
  <c r="H145" i="3"/>
  <c r="E145" i="3"/>
  <c r="C145" i="3"/>
  <c r="B145" i="3"/>
  <c r="A145" i="3"/>
  <c r="Q144" i="3"/>
  <c r="N144" i="3"/>
  <c r="K144" i="3"/>
  <c r="H144" i="3"/>
  <c r="E144" i="3"/>
  <c r="C144" i="3"/>
  <c r="B144" i="3"/>
  <c r="A144" i="3"/>
  <c r="V143" i="3"/>
  <c r="U143" i="3"/>
  <c r="Q143" i="3"/>
  <c r="N143" i="3"/>
  <c r="K143" i="3"/>
  <c r="H143" i="3"/>
  <c r="E143" i="3"/>
  <c r="C143" i="3"/>
  <c r="B143" i="3"/>
  <c r="A143" i="3"/>
  <c r="T143" i="3" s="1"/>
  <c r="T142" i="3"/>
  <c r="V142" i="3" s="1"/>
  <c r="Q142" i="3"/>
  <c r="N142" i="3"/>
  <c r="K142" i="3"/>
  <c r="H142" i="3"/>
  <c r="E142" i="3"/>
  <c r="C142" i="3"/>
  <c r="B142" i="3"/>
  <c r="A142" i="3"/>
  <c r="U142" i="3" s="1"/>
  <c r="Q141" i="3"/>
  <c r="N141" i="3"/>
  <c r="K141" i="3"/>
  <c r="H141" i="3"/>
  <c r="E141" i="3"/>
  <c r="C141" i="3"/>
  <c r="B141" i="3"/>
  <c r="A141" i="3"/>
  <c r="T141" i="3" s="1"/>
  <c r="Q140" i="3"/>
  <c r="N140" i="3"/>
  <c r="T140" i="3" s="1"/>
  <c r="K140" i="3"/>
  <c r="H140" i="3"/>
  <c r="E140" i="3"/>
  <c r="C140" i="3"/>
  <c r="B140" i="3"/>
  <c r="A140" i="3"/>
  <c r="Q139" i="3"/>
  <c r="N139" i="3"/>
  <c r="K139" i="3"/>
  <c r="T139" i="3" s="1"/>
  <c r="H139" i="3"/>
  <c r="E139" i="3"/>
  <c r="C139" i="3"/>
  <c r="B139" i="3"/>
  <c r="A139" i="3"/>
  <c r="Q138" i="3"/>
  <c r="N138" i="3"/>
  <c r="K138" i="3"/>
  <c r="H138" i="3"/>
  <c r="T138" i="3" s="1"/>
  <c r="E138" i="3"/>
  <c r="C138" i="3"/>
  <c r="B138" i="3"/>
  <c r="A138" i="3"/>
  <c r="Q137" i="3"/>
  <c r="N137" i="3"/>
  <c r="K137" i="3"/>
  <c r="H137" i="3"/>
  <c r="T137" i="3" s="1"/>
  <c r="U137" i="3" s="1"/>
  <c r="E137" i="3"/>
  <c r="C137" i="3"/>
  <c r="B137" i="3"/>
  <c r="A137" i="3"/>
  <c r="T136" i="3"/>
  <c r="U136" i="3" s="1"/>
  <c r="Q136" i="3"/>
  <c r="N136" i="3"/>
  <c r="K136" i="3"/>
  <c r="H136" i="3"/>
  <c r="E136" i="3"/>
  <c r="C136" i="3"/>
  <c r="B136" i="3"/>
  <c r="A136" i="3"/>
  <c r="Q135" i="3"/>
  <c r="N135" i="3"/>
  <c r="K135" i="3"/>
  <c r="H135" i="3"/>
  <c r="E135" i="3"/>
  <c r="C135" i="3"/>
  <c r="B135" i="3"/>
  <c r="A135" i="3"/>
  <c r="Q134" i="3"/>
  <c r="N134" i="3"/>
  <c r="K134" i="3"/>
  <c r="H134" i="3"/>
  <c r="E134" i="3"/>
  <c r="C134" i="3"/>
  <c r="B134" i="3"/>
  <c r="A134" i="3"/>
  <c r="Q133" i="3"/>
  <c r="N133" i="3"/>
  <c r="K133" i="3"/>
  <c r="H133" i="3"/>
  <c r="E133" i="3"/>
  <c r="C133" i="3"/>
  <c r="B133" i="3"/>
  <c r="A133" i="3"/>
  <c r="Q132" i="3"/>
  <c r="N132" i="3"/>
  <c r="K132" i="3"/>
  <c r="H132" i="3"/>
  <c r="E132" i="3"/>
  <c r="C132" i="3"/>
  <c r="B132" i="3"/>
  <c r="A132" i="3"/>
  <c r="Q131" i="3"/>
  <c r="N131" i="3"/>
  <c r="K131" i="3"/>
  <c r="H131" i="3"/>
  <c r="E131" i="3"/>
  <c r="C131" i="3"/>
  <c r="B131" i="3"/>
  <c r="A131" i="3"/>
  <c r="Q130" i="3"/>
  <c r="N130" i="3"/>
  <c r="K130" i="3"/>
  <c r="T130" i="3" s="1"/>
  <c r="H130" i="3"/>
  <c r="E130" i="3"/>
  <c r="C130" i="3"/>
  <c r="B130" i="3"/>
  <c r="A130" i="3"/>
  <c r="Q129" i="3"/>
  <c r="N129" i="3"/>
  <c r="K129" i="3"/>
  <c r="H129" i="3"/>
  <c r="T129" i="3" s="1"/>
  <c r="E129" i="3"/>
  <c r="C129" i="3"/>
  <c r="B129" i="3"/>
  <c r="A129" i="3"/>
  <c r="Q128" i="3"/>
  <c r="N128" i="3"/>
  <c r="K128" i="3"/>
  <c r="H128" i="3"/>
  <c r="E128" i="3"/>
  <c r="C128" i="3"/>
  <c r="B128" i="3"/>
  <c r="A128" i="3"/>
  <c r="Q127" i="3"/>
  <c r="N127" i="3"/>
  <c r="K127" i="3"/>
  <c r="T127" i="3" s="1"/>
  <c r="H127" i="3"/>
  <c r="E127" i="3"/>
  <c r="C127" i="3"/>
  <c r="B127" i="3"/>
  <c r="A127" i="3"/>
  <c r="Q126" i="3"/>
  <c r="N126" i="3"/>
  <c r="K126" i="3"/>
  <c r="H126" i="3"/>
  <c r="T126" i="3" s="1"/>
  <c r="E126" i="3"/>
  <c r="C126" i="3"/>
  <c r="B126" i="3"/>
  <c r="A126" i="3"/>
  <c r="T125" i="3"/>
  <c r="U125" i="3" s="1"/>
  <c r="Q125" i="3"/>
  <c r="N125" i="3"/>
  <c r="K125" i="3"/>
  <c r="H125" i="3"/>
  <c r="E125" i="3"/>
  <c r="C125" i="3"/>
  <c r="B125" i="3"/>
  <c r="A125" i="3"/>
  <c r="Q124" i="3"/>
  <c r="T124" i="3" s="1"/>
  <c r="U124" i="3" s="1"/>
  <c r="N124" i="3"/>
  <c r="K124" i="3"/>
  <c r="H124" i="3"/>
  <c r="E124" i="3"/>
  <c r="C124" i="3"/>
  <c r="B124" i="3"/>
  <c r="A124" i="3"/>
  <c r="Q123" i="3"/>
  <c r="N123" i="3"/>
  <c r="K123" i="3"/>
  <c r="H123" i="3"/>
  <c r="E123" i="3"/>
  <c r="C123" i="3"/>
  <c r="B123" i="3"/>
  <c r="A123" i="3"/>
  <c r="Q122" i="3"/>
  <c r="N122" i="3"/>
  <c r="K122" i="3"/>
  <c r="H122" i="3"/>
  <c r="E122" i="3"/>
  <c r="C122" i="3"/>
  <c r="B122" i="3"/>
  <c r="A122" i="3"/>
  <c r="T121" i="3"/>
  <c r="Q121" i="3"/>
  <c r="N121" i="3"/>
  <c r="K121" i="3"/>
  <c r="H121" i="3"/>
  <c r="E121" i="3"/>
  <c r="C121" i="3"/>
  <c r="B121" i="3"/>
  <c r="A121" i="3"/>
  <c r="Q120" i="3"/>
  <c r="N120" i="3"/>
  <c r="K120" i="3"/>
  <c r="H120" i="3"/>
  <c r="E120" i="3"/>
  <c r="C120" i="3"/>
  <c r="B120" i="3"/>
  <c r="A120" i="3"/>
  <c r="Q119" i="3"/>
  <c r="N119" i="3"/>
  <c r="K119" i="3"/>
  <c r="H119" i="3"/>
  <c r="E119" i="3"/>
  <c r="C119" i="3"/>
  <c r="B119" i="3"/>
  <c r="A119" i="3"/>
  <c r="Q118" i="3"/>
  <c r="N118" i="3"/>
  <c r="K118" i="3"/>
  <c r="T118" i="3" s="1"/>
  <c r="H118" i="3"/>
  <c r="E118" i="3"/>
  <c r="C118" i="3"/>
  <c r="B118" i="3"/>
  <c r="A118" i="3"/>
  <c r="Q117" i="3"/>
  <c r="N117" i="3"/>
  <c r="K117" i="3"/>
  <c r="H117" i="3"/>
  <c r="E117" i="3"/>
  <c r="C117" i="3"/>
  <c r="B117" i="3"/>
  <c r="A117" i="3"/>
  <c r="Q116" i="3"/>
  <c r="N116" i="3"/>
  <c r="K116" i="3"/>
  <c r="H116" i="3"/>
  <c r="E116" i="3"/>
  <c r="C116" i="3"/>
  <c r="B116" i="3"/>
  <c r="A116" i="3"/>
  <c r="Q115" i="3"/>
  <c r="N115" i="3"/>
  <c r="K115" i="3"/>
  <c r="T115" i="3" s="1"/>
  <c r="H115" i="3"/>
  <c r="E115" i="3"/>
  <c r="C115" i="3"/>
  <c r="B115" i="3"/>
  <c r="A115" i="3"/>
  <c r="Q114" i="3"/>
  <c r="N114" i="3"/>
  <c r="K114" i="3"/>
  <c r="H114" i="3"/>
  <c r="T114" i="3" s="1"/>
  <c r="E114" i="3"/>
  <c r="C114" i="3"/>
  <c r="B114" i="3"/>
  <c r="A114" i="3"/>
  <c r="T113" i="3"/>
  <c r="U113" i="3" s="1"/>
  <c r="Q113" i="3"/>
  <c r="N113" i="3"/>
  <c r="K113" i="3"/>
  <c r="H113" i="3"/>
  <c r="E113" i="3"/>
  <c r="C113" i="3"/>
  <c r="B113" i="3"/>
  <c r="A113" i="3"/>
  <c r="Q112" i="3"/>
  <c r="T112" i="3" s="1"/>
  <c r="U112" i="3" s="1"/>
  <c r="N112" i="3"/>
  <c r="K112" i="3"/>
  <c r="H112" i="3"/>
  <c r="E112" i="3"/>
  <c r="C112" i="3"/>
  <c r="B112" i="3"/>
  <c r="A112" i="3"/>
  <c r="Q111" i="3"/>
  <c r="N111" i="3"/>
  <c r="K111" i="3"/>
  <c r="H111" i="3"/>
  <c r="E111" i="3"/>
  <c r="C111" i="3"/>
  <c r="B111" i="3"/>
  <c r="A111" i="3"/>
  <c r="Q110" i="3"/>
  <c r="N110" i="3"/>
  <c r="K110" i="3"/>
  <c r="H110" i="3"/>
  <c r="E110" i="3"/>
  <c r="C110" i="3"/>
  <c r="B110" i="3"/>
  <c r="A110" i="3"/>
  <c r="T109" i="3"/>
  <c r="Q109" i="3"/>
  <c r="N109" i="3"/>
  <c r="K109" i="3"/>
  <c r="H109" i="3"/>
  <c r="E109" i="3"/>
  <c r="C109" i="3"/>
  <c r="B109" i="3"/>
  <c r="A109" i="3"/>
  <c r="Q108" i="3"/>
  <c r="N108" i="3"/>
  <c r="K108" i="3"/>
  <c r="H108" i="3"/>
  <c r="E108" i="3"/>
  <c r="C108" i="3"/>
  <c r="B108" i="3"/>
  <c r="A108" i="3"/>
  <c r="Q107" i="3"/>
  <c r="N107" i="3"/>
  <c r="K107" i="3"/>
  <c r="H107" i="3"/>
  <c r="E107" i="3"/>
  <c r="C107" i="3"/>
  <c r="B107" i="3"/>
  <c r="A107" i="3"/>
  <c r="Q106" i="3"/>
  <c r="N106" i="3"/>
  <c r="K106" i="3"/>
  <c r="T106" i="3" s="1"/>
  <c r="H106" i="3"/>
  <c r="E106" i="3"/>
  <c r="C106" i="3"/>
  <c r="B106" i="3"/>
  <c r="A106" i="3"/>
  <c r="Q105" i="3"/>
  <c r="N105" i="3"/>
  <c r="K105" i="3"/>
  <c r="H105" i="3"/>
  <c r="E105" i="3"/>
  <c r="C105" i="3"/>
  <c r="B105" i="3"/>
  <c r="A105" i="3"/>
  <c r="T105" i="3" s="1"/>
  <c r="Q104" i="3"/>
  <c r="N104" i="3"/>
  <c r="K104" i="3"/>
  <c r="H104" i="3"/>
  <c r="E104" i="3"/>
  <c r="C104" i="3"/>
  <c r="B104" i="3"/>
  <c r="A104" i="3"/>
  <c r="Q103" i="3"/>
  <c r="N103" i="3"/>
  <c r="K103" i="3"/>
  <c r="T103" i="3" s="1"/>
  <c r="H103" i="3"/>
  <c r="C103" i="3"/>
  <c r="B103" i="3"/>
  <c r="A103" i="3"/>
  <c r="T102" i="3"/>
  <c r="U102" i="3" s="1"/>
  <c r="Q102" i="3"/>
  <c r="N102" i="3"/>
  <c r="K102" i="3"/>
  <c r="H102" i="3"/>
  <c r="E102" i="3"/>
  <c r="C102" i="3"/>
  <c r="B102" i="3"/>
  <c r="A102" i="3"/>
  <c r="Q101" i="3"/>
  <c r="T101" i="3" s="1"/>
  <c r="U101" i="3" s="1"/>
  <c r="N101" i="3"/>
  <c r="K101" i="3"/>
  <c r="H101" i="3"/>
  <c r="E101" i="3"/>
  <c r="C101" i="3"/>
  <c r="B101" i="3"/>
  <c r="A101" i="3"/>
  <c r="Q100" i="3"/>
  <c r="N100" i="3"/>
  <c r="K100" i="3"/>
  <c r="H100" i="3"/>
  <c r="E100" i="3"/>
  <c r="C100" i="3"/>
  <c r="B100" i="3"/>
  <c r="A100" i="3"/>
  <c r="Q99" i="3"/>
  <c r="N99" i="3"/>
  <c r="K99" i="3"/>
  <c r="H99" i="3"/>
  <c r="E99" i="3"/>
  <c r="C99" i="3"/>
  <c r="B99" i="3"/>
  <c r="A99" i="3"/>
  <c r="T98" i="3"/>
  <c r="Q98" i="3"/>
  <c r="N98" i="3"/>
  <c r="K98" i="3"/>
  <c r="H98" i="3"/>
  <c r="E98" i="3"/>
  <c r="C98" i="3"/>
  <c r="B98" i="3"/>
  <c r="A98" i="3"/>
  <c r="Q97" i="3"/>
  <c r="N97" i="3"/>
  <c r="K97" i="3"/>
  <c r="H97" i="3"/>
  <c r="E97" i="3"/>
  <c r="C97" i="3"/>
  <c r="B97" i="3"/>
  <c r="A97" i="3"/>
  <c r="Q96" i="3"/>
  <c r="N96" i="3"/>
  <c r="K96" i="3"/>
  <c r="H96" i="3"/>
  <c r="E96" i="3"/>
  <c r="C96" i="3"/>
  <c r="B96" i="3"/>
  <c r="A96" i="3"/>
  <c r="Q95" i="3"/>
  <c r="N95" i="3"/>
  <c r="K95" i="3"/>
  <c r="T95" i="3" s="1"/>
  <c r="H95" i="3"/>
  <c r="E95" i="3"/>
  <c r="C95" i="3"/>
  <c r="B95" i="3"/>
  <c r="A95" i="3"/>
  <c r="Q94" i="3"/>
  <c r="N94" i="3"/>
  <c r="K94" i="3"/>
  <c r="H94" i="3"/>
  <c r="E94" i="3"/>
  <c r="C94" i="3"/>
  <c r="B94" i="3"/>
  <c r="A94" i="3"/>
  <c r="T94" i="3" s="1"/>
  <c r="Q93" i="3"/>
  <c r="N93" i="3"/>
  <c r="K93" i="3"/>
  <c r="H93" i="3"/>
  <c r="E93" i="3"/>
  <c r="C93" i="3"/>
  <c r="B93" i="3"/>
  <c r="A93" i="3"/>
  <c r="Q92" i="3"/>
  <c r="N92" i="3"/>
  <c r="K92" i="3"/>
  <c r="T92" i="3" s="1"/>
  <c r="H92" i="3"/>
  <c r="E92" i="3"/>
  <c r="C92" i="3"/>
  <c r="B92" i="3"/>
  <c r="A92" i="3"/>
  <c r="Q91" i="3"/>
  <c r="N91" i="3"/>
  <c r="K91" i="3"/>
  <c r="H91" i="3"/>
  <c r="T91" i="3" s="1"/>
  <c r="E91" i="3"/>
  <c r="C91" i="3"/>
  <c r="B91" i="3"/>
  <c r="A91" i="3"/>
  <c r="T90" i="3"/>
  <c r="U90" i="3" s="1"/>
  <c r="Q90" i="3"/>
  <c r="N90" i="3"/>
  <c r="K90" i="3"/>
  <c r="H90" i="3"/>
  <c r="E90" i="3"/>
  <c r="C90" i="3"/>
  <c r="B90" i="3"/>
  <c r="A90" i="3"/>
  <c r="Q89" i="3"/>
  <c r="T89" i="3" s="1"/>
  <c r="U89" i="3" s="1"/>
  <c r="N89" i="3"/>
  <c r="K89" i="3"/>
  <c r="H89" i="3"/>
  <c r="E89" i="3"/>
  <c r="C89" i="3"/>
  <c r="B89" i="3"/>
  <c r="A89" i="3"/>
  <c r="Q88" i="3"/>
  <c r="N88" i="3"/>
  <c r="K88" i="3"/>
  <c r="H88" i="3"/>
  <c r="E88" i="3"/>
  <c r="C88" i="3"/>
  <c r="B88" i="3"/>
  <c r="A88" i="3"/>
  <c r="Q87" i="3"/>
  <c r="N87" i="3"/>
  <c r="K87" i="3"/>
  <c r="H87" i="3"/>
  <c r="E87" i="3"/>
  <c r="C87" i="3"/>
  <c r="B87" i="3"/>
  <c r="A87" i="3"/>
  <c r="T86" i="3"/>
  <c r="Q86" i="3"/>
  <c r="N86" i="3"/>
  <c r="K86" i="3"/>
  <c r="H86" i="3"/>
  <c r="E86" i="3"/>
  <c r="C86" i="3"/>
  <c r="B86" i="3"/>
  <c r="A86" i="3"/>
  <c r="Q85" i="3"/>
  <c r="N85" i="3"/>
  <c r="K85" i="3"/>
  <c r="H85" i="3"/>
  <c r="E85" i="3"/>
  <c r="C85" i="3"/>
  <c r="B85" i="3"/>
  <c r="A85" i="3"/>
  <c r="Q84" i="3"/>
  <c r="N84" i="3"/>
  <c r="K84" i="3"/>
  <c r="H84" i="3"/>
  <c r="E84" i="3"/>
  <c r="C84" i="3"/>
  <c r="B84" i="3"/>
  <c r="A84" i="3"/>
  <c r="Q83" i="3"/>
  <c r="N83" i="3"/>
  <c r="K83" i="3"/>
  <c r="T83" i="3" s="1"/>
  <c r="H83" i="3"/>
  <c r="E83" i="3"/>
  <c r="C83" i="3"/>
  <c r="B83" i="3"/>
  <c r="A83" i="3"/>
  <c r="Q82" i="3"/>
  <c r="N82" i="3"/>
  <c r="K82" i="3"/>
  <c r="H82" i="3"/>
  <c r="E82" i="3"/>
  <c r="C82" i="3"/>
  <c r="B82" i="3"/>
  <c r="A82" i="3"/>
  <c r="Q81" i="3"/>
  <c r="N81" i="3"/>
  <c r="K81" i="3"/>
  <c r="H81" i="3"/>
  <c r="E81" i="3"/>
  <c r="C81" i="3"/>
  <c r="B81" i="3"/>
  <c r="A81" i="3"/>
  <c r="Q80" i="3"/>
  <c r="N80" i="3"/>
  <c r="K80" i="3"/>
  <c r="T80" i="3" s="1"/>
  <c r="H80" i="3"/>
  <c r="E80" i="3"/>
  <c r="C80" i="3"/>
  <c r="B80" i="3"/>
  <c r="A80" i="3"/>
  <c r="Q79" i="3"/>
  <c r="N79" i="3"/>
  <c r="K79" i="3"/>
  <c r="H79" i="3"/>
  <c r="T79" i="3" s="1"/>
  <c r="E79" i="3"/>
  <c r="C79" i="3"/>
  <c r="B79" i="3"/>
  <c r="A79" i="3"/>
  <c r="T78" i="3"/>
  <c r="U78" i="3" s="1"/>
  <c r="Q78" i="3"/>
  <c r="N78" i="3"/>
  <c r="K78" i="3"/>
  <c r="H78" i="3"/>
  <c r="E78" i="3"/>
  <c r="C78" i="3"/>
  <c r="B78" i="3"/>
  <c r="A78" i="3"/>
  <c r="Q77" i="3"/>
  <c r="T77" i="3" s="1"/>
  <c r="U77" i="3" s="1"/>
  <c r="N77" i="3"/>
  <c r="K77" i="3"/>
  <c r="H77" i="3"/>
  <c r="E77" i="3"/>
  <c r="C77" i="3"/>
  <c r="B77" i="3"/>
  <c r="A77" i="3"/>
  <c r="Q76" i="3"/>
  <c r="N76" i="3"/>
  <c r="K76" i="3"/>
  <c r="H76" i="3"/>
  <c r="E76" i="3"/>
  <c r="C76" i="3"/>
  <c r="B76" i="3"/>
  <c r="A76" i="3"/>
  <c r="Q75" i="3"/>
  <c r="N75" i="3"/>
  <c r="K75" i="3"/>
  <c r="H75" i="3"/>
  <c r="E75" i="3"/>
  <c r="C75" i="3"/>
  <c r="B75" i="3"/>
  <c r="A75" i="3"/>
  <c r="T74" i="3"/>
  <c r="Q74" i="3"/>
  <c r="N74" i="3"/>
  <c r="K74" i="3"/>
  <c r="H74" i="3"/>
  <c r="E74" i="3"/>
  <c r="C74" i="3"/>
  <c r="B74" i="3"/>
  <c r="A74" i="3"/>
  <c r="Q73" i="3"/>
  <c r="N73" i="3"/>
  <c r="K73" i="3"/>
  <c r="H73" i="3"/>
  <c r="E73" i="3"/>
  <c r="C73" i="3"/>
  <c r="B73" i="3"/>
  <c r="A73" i="3"/>
  <c r="Q72" i="3"/>
  <c r="N72" i="3"/>
  <c r="K72" i="3"/>
  <c r="H72" i="3"/>
  <c r="E72" i="3"/>
  <c r="C72" i="3"/>
  <c r="B72" i="3"/>
  <c r="A72" i="3"/>
  <c r="Q71" i="3"/>
  <c r="N71" i="3"/>
  <c r="K71" i="3"/>
  <c r="T71" i="3" s="1"/>
  <c r="H71" i="3"/>
  <c r="E71" i="3"/>
  <c r="C71" i="3"/>
  <c r="B71" i="3"/>
  <c r="A71" i="3"/>
  <c r="Q70" i="3"/>
  <c r="N70" i="3"/>
  <c r="K70" i="3"/>
  <c r="H70" i="3"/>
  <c r="E70" i="3"/>
  <c r="C70" i="3"/>
  <c r="B70" i="3"/>
  <c r="A70" i="3"/>
  <c r="Q69" i="3"/>
  <c r="N69" i="3"/>
  <c r="K69" i="3"/>
  <c r="H69" i="3"/>
  <c r="E69" i="3"/>
  <c r="C69" i="3"/>
  <c r="B69" i="3"/>
  <c r="A69" i="3"/>
  <c r="Q68" i="3"/>
  <c r="N68" i="3"/>
  <c r="K68" i="3"/>
  <c r="T68" i="3" s="1"/>
  <c r="H68" i="3"/>
  <c r="E68" i="3"/>
  <c r="C68" i="3"/>
  <c r="B68" i="3"/>
  <c r="A68" i="3"/>
  <c r="Q67" i="3"/>
  <c r="N67" i="3"/>
  <c r="K67" i="3"/>
  <c r="H67" i="3"/>
  <c r="T67" i="3" s="1"/>
  <c r="E67" i="3"/>
  <c r="C67" i="3"/>
  <c r="B67" i="3"/>
  <c r="A67" i="3"/>
  <c r="T66" i="3"/>
  <c r="U66" i="3" s="1"/>
  <c r="Q66" i="3"/>
  <c r="N66" i="3"/>
  <c r="K66" i="3"/>
  <c r="H66" i="3"/>
  <c r="E66" i="3"/>
  <c r="C66" i="3"/>
  <c r="B66" i="3"/>
  <c r="A66" i="3"/>
  <c r="Q65" i="3"/>
  <c r="T65" i="3" s="1"/>
  <c r="U65" i="3" s="1"/>
  <c r="N65" i="3"/>
  <c r="K65" i="3"/>
  <c r="H65" i="3"/>
  <c r="E65" i="3"/>
  <c r="C65" i="3"/>
  <c r="B65" i="3"/>
  <c r="A65" i="3"/>
  <c r="Q64" i="3"/>
  <c r="N64" i="3"/>
  <c r="K64" i="3"/>
  <c r="H64" i="3"/>
  <c r="E64" i="3"/>
  <c r="C64" i="3"/>
  <c r="B64" i="3"/>
  <c r="A64" i="3"/>
  <c r="Q63" i="3"/>
  <c r="N63" i="3"/>
  <c r="K63" i="3"/>
  <c r="H63" i="3"/>
  <c r="E63" i="3"/>
  <c r="C63" i="3"/>
  <c r="B63" i="3"/>
  <c r="A63" i="3"/>
  <c r="T62" i="3"/>
  <c r="Q62" i="3"/>
  <c r="N62" i="3"/>
  <c r="K62" i="3"/>
  <c r="H62" i="3"/>
  <c r="E62" i="3"/>
  <c r="C62" i="3"/>
  <c r="B62" i="3"/>
  <c r="A62" i="3"/>
  <c r="Q61" i="3"/>
  <c r="N61" i="3"/>
  <c r="K61" i="3"/>
  <c r="H61" i="3"/>
  <c r="E61" i="3"/>
  <c r="C61" i="3"/>
  <c r="B61" i="3"/>
  <c r="A61" i="3"/>
  <c r="Q60" i="3"/>
  <c r="N60" i="3"/>
  <c r="K60" i="3"/>
  <c r="H60" i="3"/>
  <c r="E60" i="3"/>
  <c r="C60" i="3"/>
  <c r="B60" i="3"/>
  <c r="A60" i="3"/>
  <c r="Q59" i="3"/>
  <c r="N59" i="3"/>
  <c r="K59" i="3"/>
  <c r="T59" i="3" s="1"/>
  <c r="H59" i="3"/>
  <c r="E59" i="3"/>
  <c r="C59" i="3"/>
  <c r="B59" i="3"/>
  <c r="A59" i="3"/>
  <c r="Q58" i="3"/>
  <c r="N58" i="3"/>
  <c r="K58" i="3"/>
  <c r="H58" i="3"/>
  <c r="E58" i="3"/>
  <c r="C58" i="3"/>
  <c r="B58" i="3"/>
  <c r="A58" i="3"/>
  <c r="Q57" i="3"/>
  <c r="N57" i="3"/>
  <c r="K57" i="3"/>
  <c r="H57" i="3"/>
  <c r="E57" i="3"/>
  <c r="C57" i="3"/>
  <c r="B57" i="3"/>
  <c r="A57" i="3"/>
  <c r="Q56" i="3"/>
  <c r="N56" i="3"/>
  <c r="K56" i="3"/>
  <c r="T56" i="3" s="1"/>
  <c r="H56" i="3"/>
  <c r="E56" i="3"/>
  <c r="C56" i="3"/>
  <c r="B56" i="3"/>
  <c r="A56" i="3"/>
  <c r="Q55" i="3"/>
  <c r="N55" i="3"/>
  <c r="K55" i="3"/>
  <c r="H55" i="3"/>
  <c r="T55" i="3" s="1"/>
  <c r="E55" i="3"/>
  <c r="C55" i="3"/>
  <c r="B55" i="3"/>
  <c r="A55" i="3"/>
  <c r="T54" i="3"/>
  <c r="U54" i="3" s="1"/>
  <c r="Q54" i="3"/>
  <c r="N54" i="3"/>
  <c r="K54" i="3"/>
  <c r="H54" i="3"/>
  <c r="E54" i="3"/>
  <c r="C54" i="3"/>
  <c r="B54" i="3"/>
  <c r="A54" i="3"/>
  <c r="Q53" i="3"/>
  <c r="T53" i="3" s="1"/>
  <c r="U53" i="3" s="1"/>
  <c r="N53" i="3"/>
  <c r="K53" i="3"/>
  <c r="H53" i="3"/>
  <c r="E53" i="3"/>
  <c r="C53" i="3"/>
  <c r="B53" i="3"/>
  <c r="A53" i="3"/>
  <c r="Q52" i="3"/>
  <c r="N52" i="3"/>
  <c r="K52" i="3"/>
  <c r="H52" i="3"/>
  <c r="E52" i="3"/>
  <c r="C52" i="3"/>
  <c r="B52" i="3"/>
  <c r="A52" i="3"/>
  <c r="Q51" i="3"/>
  <c r="N51" i="3"/>
  <c r="K51" i="3"/>
  <c r="H51" i="3"/>
  <c r="E51" i="3"/>
  <c r="C51" i="3"/>
  <c r="B51" i="3"/>
  <c r="A51" i="3"/>
  <c r="T50" i="3"/>
  <c r="Q50" i="3"/>
  <c r="N50" i="3"/>
  <c r="K50" i="3"/>
  <c r="H50" i="3"/>
  <c r="E50" i="3"/>
  <c r="C50" i="3"/>
  <c r="B50" i="3"/>
  <c r="A50" i="3"/>
  <c r="Q49" i="3"/>
  <c r="N49" i="3"/>
  <c r="K49" i="3"/>
  <c r="H49" i="3"/>
  <c r="E49" i="3"/>
  <c r="C49" i="3"/>
  <c r="B49" i="3"/>
  <c r="A49" i="3"/>
  <c r="Q48" i="3"/>
  <c r="N48" i="3"/>
  <c r="K48" i="3"/>
  <c r="H48" i="3"/>
  <c r="E48" i="3"/>
  <c r="C48" i="3"/>
  <c r="B48" i="3"/>
  <c r="A48" i="3"/>
  <c r="Q47" i="3"/>
  <c r="N47" i="3"/>
  <c r="K47" i="3"/>
  <c r="T47" i="3" s="1"/>
  <c r="H47" i="3"/>
  <c r="E47" i="3"/>
  <c r="C47" i="3"/>
  <c r="B47" i="3"/>
  <c r="A47" i="3"/>
  <c r="Q46" i="3"/>
  <c r="N46" i="3"/>
  <c r="K46" i="3"/>
  <c r="H46" i="3"/>
  <c r="E46" i="3"/>
  <c r="C46" i="3"/>
  <c r="B46" i="3"/>
  <c r="A46" i="3"/>
  <c r="Q45" i="3"/>
  <c r="N45" i="3"/>
  <c r="K45" i="3"/>
  <c r="H45" i="3"/>
  <c r="E45" i="3"/>
  <c r="C45" i="3"/>
  <c r="B45" i="3"/>
  <c r="A45" i="3"/>
  <c r="Q44" i="3"/>
  <c r="N44" i="3"/>
  <c r="K44" i="3"/>
  <c r="T44" i="3" s="1"/>
  <c r="H44" i="3"/>
  <c r="E44" i="3"/>
  <c r="C44" i="3"/>
  <c r="B44" i="3"/>
  <c r="A44" i="3"/>
  <c r="Q43" i="3"/>
  <c r="N43" i="3"/>
  <c r="K43" i="3"/>
  <c r="H43" i="3"/>
  <c r="T43" i="3" s="1"/>
  <c r="E43" i="3"/>
  <c r="C43" i="3"/>
  <c r="B43" i="3"/>
  <c r="A43" i="3"/>
  <c r="T42" i="3"/>
  <c r="U42" i="3" s="1"/>
  <c r="Q42" i="3"/>
  <c r="N42" i="3"/>
  <c r="K42" i="3"/>
  <c r="H42" i="3"/>
  <c r="E42" i="3"/>
  <c r="C42" i="3"/>
  <c r="B42" i="3"/>
  <c r="A42" i="3"/>
  <c r="Q41" i="3"/>
  <c r="N41" i="3"/>
  <c r="K41" i="3"/>
  <c r="H41" i="3"/>
  <c r="E41" i="3"/>
  <c r="C41" i="3"/>
  <c r="B41" i="3"/>
  <c r="A41" i="3"/>
  <c r="Q40" i="3"/>
  <c r="N40" i="3"/>
  <c r="K40" i="3"/>
  <c r="H40" i="3"/>
  <c r="E40" i="3"/>
  <c r="C40" i="3"/>
  <c r="B40" i="3"/>
  <c r="A40" i="3"/>
  <c r="Q39" i="3"/>
  <c r="N39" i="3"/>
  <c r="K39" i="3"/>
  <c r="H39" i="3"/>
  <c r="E39" i="3"/>
  <c r="C39" i="3"/>
  <c r="B39" i="3"/>
  <c r="A39" i="3"/>
  <c r="T38" i="3"/>
  <c r="Q38" i="3"/>
  <c r="N38" i="3"/>
  <c r="K38" i="3"/>
  <c r="H38" i="3"/>
  <c r="E38" i="3"/>
  <c r="C38" i="3"/>
  <c r="B38" i="3"/>
  <c r="A38" i="3"/>
  <c r="Q37" i="3"/>
  <c r="N37" i="3"/>
  <c r="K37" i="3"/>
  <c r="H37" i="3"/>
  <c r="E37" i="3"/>
  <c r="C37" i="3"/>
  <c r="B37" i="3"/>
  <c r="A37" i="3"/>
  <c r="Q36" i="3"/>
  <c r="N36" i="3"/>
  <c r="K36" i="3"/>
  <c r="H36" i="3"/>
  <c r="E36" i="3"/>
  <c r="C36" i="3"/>
  <c r="B36" i="3"/>
  <c r="A36" i="3"/>
  <c r="Q35" i="3"/>
  <c r="N35" i="3"/>
  <c r="K35" i="3"/>
  <c r="T35" i="3" s="1"/>
  <c r="H35" i="3"/>
  <c r="E35" i="3"/>
  <c r="C35" i="3"/>
  <c r="B35" i="3"/>
  <c r="A35" i="3"/>
  <c r="Q34" i="3"/>
  <c r="N34" i="3"/>
  <c r="K34" i="3"/>
  <c r="H34" i="3"/>
  <c r="E34" i="3"/>
  <c r="C34" i="3"/>
  <c r="B34" i="3"/>
  <c r="A34" i="3"/>
  <c r="Q33" i="3"/>
  <c r="N33" i="3"/>
  <c r="K33" i="3"/>
  <c r="H33" i="3"/>
  <c r="E33" i="3"/>
  <c r="C33" i="3"/>
  <c r="B33" i="3"/>
  <c r="A33" i="3"/>
  <c r="Q32" i="3"/>
  <c r="N32" i="3"/>
  <c r="K32" i="3"/>
  <c r="T32" i="3" s="1"/>
  <c r="H32" i="3"/>
  <c r="E32" i="3"/>
  <c r="C32" i="3"/>
  <c r="B32" i="3"/>
  <c r="A32" i="3"/>
  <c r="Q31" i="3"/>
  <c r="N31" i="3"/>
  <c r="K31" i="3"/>
  <c r="H31" i="3"/>
  <c r="T31" i="3" s="1"/>
  <c r="E31" i="3"/>
  <c r="C31" i="3"/>
  <c r="B31" i="3"/>
  <c r="A31" i="3"/>
  <c r="T30" i="3"/>
  <c r="U30" i="3" s="1"/>
  <c r="Q30" i="3"/>
  <c r="N30" i="3"/>
  <c r="K30" i="3"/>
  <c r="H30" i="3"/>
  <c r="E30" i="3"/>
  <c r="C30" i="3"/>
  <c r="B30" i="3"/>
  <c r="A30" i="3"/>
  <c r="Q29" i="3"/>
  <c r="T29" i="3" s="1"/>
  <c r="U29" i="3" s="1"/>
  <c r="N29" i="3"/>
  <c r="K29" i="3"/>
  <c r="H29" i="3"/>
  <c r="E29" i="3"/>
  <c r="C29" i="3"/>
  <c r="B29" i="3"/>
  <c r="A29" i="3"/>
  <c r="Q28" i="3"/>
  <c r="N28" i="3"/>
  <c r="K28" i="3"/>
  <c r="H28" i="3"/>
  <c r="E28" i="3"/>
  <c r="C28" i="3"/>
  <c r="B28" i="3"/>
  <c r="A28" i="3"/>
  <c r="Q27" i="3"/>
  <c r="N27" i="3"/>
  <c r="K27" i="3"/>
  <c r="H27" i="3"/>
  <c r="E27" i="3"/>
  <c r="C27" i="3"/>
  <c r="B27" i="3"/>
  <c r="A27" i="3"/>
  <c r="T26" i="3"/>
  <c r="Q26" i="3"/>
  <c r="N26" i="3"/>
  <c r="K26" i="3"/>
  <c r="H26" i="3"/>
  <c r="E26" i="3"/>
  <c r="C26" i="3"/>
  <c r="B26" i="3"/>
  <c r="A26" i="3"/>
  <c r="Q25" i="3"/>
  <c r="N25" i="3"/>
  <c r="K25" i="3"/>
  <c r="H25" i="3"/>
  <c r="E25" i="3"/>
  <c r="C25" i="3"/>
  <c r="B25" i="3"/>
  <c r="A25" i="3"/>
  <c r="Q24" i="3"/>
  <c r="N24" i="3"/>
  <c r="K24" i="3"/>
  <c r="H24" i="3"/>
  <c r="E24" i="3"/>
  <c r="C24" i="3"/>
  <c r="B24" i="3"/>
  <c r="A24" i="3"/>
  <c r="Q23" i="3"/>
  <c r="N23" i="3"/>
  <c r="K23" i="3"/>
  <c r="H23" i="3"/>
  <c r="E23" i="3"/>
  <c r="C23" i="3"/>
  <c r="B23" i="3"/>
  <c r="A23" i="3"/>
  <c r="Q22" i="3"/>
  <c r="N22" i="3"/>
  <c r="K22" i="3"/>
  <c r="H22" i="3"/>
  <c r="E22" i="3"/>
  <c r="C22" i="3"/>
  <c r="B22" i="3"/>
  <c r="A22" i="3"/>
  <c r="Q21" i="3"/>
  <c r="N21" i="3"/>
  <c r="K21" i="3"/>
  <c r="H21" i="3"/>
  <c r="E21" i="3"/>
  <c r="C21" i="3"/>
  <c r="B21" i="3"/>
  <c r="A21" i="3"/>
  <c r="Q20" i="3"/>
  <c r="N20" i="3"/>
  <c r="K20" i="3"/>
  <c r="T20" i="3" s="1"/>
  <c r="H20" i="3"/>
  <c r="E20" i="3"/>
  <c r="C20" i="3"/>
  <c r="B20" i="3"/>
  <c r="A20" i="3"/>
  <c r="Q19" i="3"/>
  <c r="N19" i="3"/>
  <c r="K19" i="3"/>
  <c r="H19" i="3"/>
  <c r="E19" i="3"/>
  <c r="C19" i="3"/>
  <c r="B19" i="3"/>
  <c r="A19" i="3"/>
  <c r="T18" i="3"/>
  <c r="U18" i="3" s="1"/>
  <c r="Q18" i="3"/>
  <c r="N18" i="3"/>
  <c r="K18" i="3"/>
  <c r="H18" i="3"/>
  <c r="E18" i="3"/>
  <c r="C18" i="3"/>
  <c r="B18" i="3"/>
  <c r="A18" i="3"/>
  <c r="Q17" i="3"/>
  <c r="N17" i="3"/>
  <c r="K17" i="3"/>
  <c r="T17" i="3" s="1"/>
  <c r="U17" i="3" s="1"/>
  <c r="H17" i="3"/>
  <c r="E17" i="3"/>
  <c r="C17" i="3"/>
  <c r="B17" i="3"/>
  <c r="A17" i="3"/>
  <c r="Q16" i="3"/>
  <c r="N16" i="3"/>
  <c r="K16" i="3"/>
  <c r="H16" i="3"/>
  <c r="E16" i="3"/>
  <c r="C16" i="3"/>
  <c r="B16" i="3"/>
  <c r="A16" i="3"/>
  <c r="Q15" i="3"/>
  <c r="N15" i="3"/>
  <c r="K15" i="3"/>
  <c r="H15" i="3"/>
  <c r="E15" i="3"/>
  <c r="C15" i="3"/>
  <c r="B15" i="3"/>
  <c r="A15" i="3"/>
  <c r="T14" i="3"/>
  <c r="Q14" i="3"/>
  <c r="N14" i="3"/>
  <c r="K14" i="3"/>
  <c r="H14" i="3"/>
  <c r="E14" i="3"/>
  <c r="C14" i="3"/>
  <c r="B14" i="3"/>
  <c r="A14" i="3"/>
  <c r="Q13" i="3"/>
  <c r="N13" i="3"/>
  <c r="K13" i="3"/>
  <c r="H13" i="3"/>
  <c r="E13" i="3"/>
  <c r="C13" i="3"/>
  <c r="B13" i="3"/>
  <c r="A13" i="3"/>
  <c r="Q12" i="3"/>
  <c r="N12" i="3"/>
  <c r="K12" i="3"/>
  <c r="H12" i="3"/>
  <c r="E12" i="3"/>
  <c r="C12" i="3"/>
  <c r="B12" i="3"/>
  <c r="A12" i="3"/>
  <c r="Q11" i="3"/>
  <c r="N11" i="3"/>
  <c r="K11" i="3"/>
  <c r="T11" i="3" s="1"/>
  <c r="H11" i="3"/>
  <c r="E11" i="3"/>
  <c r="C11" i="3"/>
  <c r="B11" i="3"/>
  <c r="A11" i="3"/>
  <c r="Q10" i="3"/>
  <c r="N10" i="3"/>
  <c r="K10" i="3"/>
  <c r="H10" i="3"/>
  <c r="E10" i="3"/>
  <c r="C10" i="3"/>
  <c r="B10" i="3"/>
  <c r="A10" i="3"/>
  <c r="T10" i="3" s="1"/>
  <c r="Q9" i="3"/>
  <c r="N9" i="3"/>
  <c r="K9" i="3"/>
  <c r="H9" i="3"/>
  <c r="E9" i="3"/>
  <c r="C9" i="3"/>
  <c r="B9" i="3"/>
  <c r="A9" i="3"/>
  <c r="Q8" i="3"/>
  <c r="N8" i="3"/>
  <c r="K8" i="3"/>
  <c r="T8" i="3" s="1"/>
  <c r="H8" i="3"/>
  <c r="E8" i="3"/>
  <c r="C8" i="3"/>
  <c r="B8" i="3"/>
  <c r="A8" i="3"/>
  <c r="Q7" i="3"/>
  <c r="N7" i="3"/>
  <c r="K7" i="3"/>
  <c r="H7" i="3"/>
  <c r="T7" i="3" s="1"/>
  <c r="E7" i="3"/>
  <c r="C7" i="3"/>
  <c r="B7" i="3"/>
  <c r="A7" i="3"/>
  <c r="T6" i="3"/>
  <c r="U6" i="3" s="1"/>
  <c r="Q6" i="3"/>
  <c r="N6" i="3"/>
  <c r="K6" i="3"/>
  <c r="H6" i="3"/>
  <c r="E6" i="3"/>
  <c r="C6" i="3"/>
  <c r="B6" i="3"/>
  <c r="A6" i="3"/>
  <c r="Q5" i="3"/>
  <c r="N5" i="3"/>
  <c r="K5" i="3"/>
  <c r="T5" i="3" s="1"/>
  <c r="U5" i="3" s="1"/>
  <c r="H5" i="3"/>
  <c r="E5" i="3"/>
  <c r="C5" i="3"/>
  <c r="B5" i="3"/>
  <c r="A5" i="3"/>
  <c r="Q4" i="3"/>
  <c r="N4" i="3"/>
  <c r="K4" i="3"/>
  <c r="H4" i="3"/>
  <c r="E4" i="3"/>
  <c r="C4" i="3"/>
  <c r="B4" i="3"/>
  <c r="A4" i="3"/>
  <c r="Q3" i="3"/>
  <c r="N3" i="3"/>
  <c r="K3" i="3"/>
  <c r="H3" i="3"/>
  <c r="E3" i="3"/>
  <c r="C3" i="3"/>
  <c r="B3" i="3"/>
  <c r="A3" i="3"/>
  <c r="T2" i="3"/>
  <c r="Q2" i="3"/>
  <c r="N2" i="3"/>
  <c r="K2" i="3"/>
  <c r="H2" i="3"/>
  <c r="E2" i="3"/>
  <c r="C2" i="3"/>
  <c r="B2" i="3"/>
  <c r="A2" i="3"/>
  <c r="T41" i="3" l="1"/>
  <c r="U41" i="3" s="1"/>
  <c r="T23" i="3"/>
  <c r="V23" i="3" s="1"/>
  <c r="K23" i="2" s="1"/>
  <c r="T19" i="3"/>
  <c r="V19" i="3" s="1"/>
  <c r="K19" i="2" s="1"/>
  <c r="V43" i="3"/>
  <c r="U43" i="3"/>
  <c r="V91" i="3"/>
  <c r="U91" i="3"/>
  <c r="V151" i="3"/>
  <c r="K151" i="2" s="1"/>
  <c r="U151" i="3"/>
  <c r="V44" i="3"/>
  <c r="K44" i="2" s="1"/>
  <c r="U44" i="3"/>
  <c r="V47" i="3"/>
  <c r="U47" i="3"/>
  <c r="V150" i="3"/>
  <c r="U150" i="3"/>
  <c r="V165" i="3"/>
  <c r="K165" i="2" s="1"/>
  <c r="V31" i="3"/>
  <c r="U31" i="3"/>
  <c r="V103" i="3"/>
  <c r="U103" i="3"/>
  <c r="V106" i="3"/>
  <c r="U106" i="3"/>
  <c r="V56" i="3"/>
  <c r="U56" i="3"/>
  <c r="U59" i="3"/>
  <c r="V59" i="3"/>
  <c r="V115" i="3"/>
  <c r="K115" i="2" s="1"/>
  <c r="U115" i="3"/>
  <c r="V118" i="3"/>
  <c r="U118" i="3"/>
  <c r="V140" i="3"/>
  <c r="U140" i="3"/>
  <c r="V68" i="3"/>
  <c r="K68" i="2" s="1"/>
  <c r="U68" i="3"/>
  <c r="V71" i="3"/>
  <c r="U71" i="3"/>
  <c r="U129" i="3"/>
  <c r="V55" i="3"/>
  <c r="U55" i="3"/>
  <c r="V127" i="3"/>
  <c r="U127" i="3"/>
  <c r="U130" i="3"/>
  <c r="V130" i="3"/>
  <c r="V141" i="3"/>
  <c r="U141" i="3"/>
  <c r="V8" i="3"/>
  <c r="K8" i="2" s="1"/>
  <c r="U8" i="3"/>
  <c r="V11" i="3"/>
  <c r="U11" i="3"/>
  <c r="V80" i="3"/>
  <c r="U80" i="3"/>
  <c r="V83" i="3"/>
  <c r="U83" i="3"/>
  <c r="V114" i="3"/>
  <c r="K114" i="2" s="1"/>
  <c r="U114" i="3"/>
  <c r="V116" i="3"/>
  <c r="V139" i="3"/>
  <c r="U139" i="3"/>
  <c r="U162" i="3"/>
  <c r="V162" i="3"/>
  <c r="V67" i="3"/>
  <c r="U67" i="3"/>
  <c r="U23" i="3"/>
  <c r="V92" i="3"/>
  <c r="U92" i="3"/>
  <c r="V95" i="3"/>
  <c r="U95" i="3"/>
  <c r="V126" i="3"/>
  <c r="U126" i="3"/>
  <c r="V128" i="3"/>
  <c r="K128" i="2" s="1"/>
  <c r="V7" i="3"/>
  <c r="U7" i="3"/>
  <c r="V79" i="3"/>
  <c r="K79" i="2" s="1"/>
  <c r="U79" i="3"/>
  <c r="U138" i="3"/>
  <c r="V138" i="3"/>
  <c r="V153" i="3"/>
  <c r="U153" i="3"/>
  <c r="V21" i="3"/>
  <c r="K21" i="2" s="1"/>
  <c r="V20" i="3"/>
  <c r="U20" i="3"/>
  <c r="U15" i="3"/>
  <c r="V32" i="3"/>
  <c r="U32" i="3"/>
  <c r="U35" i="3"/>
  <c r="V35" i="3"/>
  <c r="N212" i="6"/>
  <c r="R212" i="6"/>
  <c r="S212" i="6"/>
  <c r="J212" i="6"/>
  <c r="I212" i="6"/>
  <c r="T212" i="6"/>
  <c r="Q212" i="6"/>
  <c r="N290" i="6"/>
  <c r="S290" i="6"/>
  <c r="R290" i="6"/>
  <c r="J290" i="6"/>
  <c r="I290" i="6"/>
  <c r="T290" i="6"/>
  <c r="Q290" i="6"/>
  <c r="S54" i="6"/>
  <c r="T54" i="6"/>
  <c r="R54" i="6"/>
  <c r="N54" i="6"/>
  <c r="Q54" i="6" s="1"/>
  <c r="J54" i="6"/>
  <c r="I54" i="6"/>
  <c r="E155" i="2"/>
  <c r="E139" i="2"/>
  <c r="E130" i="2"/>
  <c r="E84" i="2"/>
  <c r="E59" i="2"/>
  <c r="E114" i="2"/>
  <c r="E79" i="2"/>
  <c r="E166" i="2"/>
  <c r="E119" i="2"/>
  <c r="E135" i="2"/>
  <c r="E99" i="2"/>
  <c r="E94" i="2"/>
  <c r="E64" i="2"/>
  <c r="E115" i="2"/>
  <c r="E106" i="2"/>
  <c r="E85" i="2"/>
  <c r="E69" i="2"/>
  <c r="E60" i="2"/>
  <c r="E151" i="2"/>
  <c r="E90" i="2"/>
  <c r="E81" i="2"/>
  <c r="E55" i="2"/>
  <c r="E161" i="2"/>
  <c r="E136" i="2"/>
  <c r="E121" i="2"/>
  <c r="E111" i="2"/>
  <c r="E100" i="2"/>
  <c r="E96" i="2"/>
  <c r="E132" i="2"/>
  <c r="E91" i="2"/>
  <c r="E153" i="2"/>
  <c r="E137" i="2"/>
  <c r="E101" i="2"/>
  <c r="E158" i="2"/>
  <c r="E147" i="2"/>
  <c r="E122" i="2"/>
  <c r="E112" i="2"/>
  <c r="E97" i="2"/>
  <c r="E87" i="2"/>
  <c r="E76" i="2"/>
  <c r="E72" i="2"/>
  <c r="E163" i="2"/>
  <c r="E154" i="2"/>
  <c r="E133" i="2"/>
  <c r="E117" i="2"/>
  <c r="R64" i="6"/>
  <c r="T64" i="6"/>
  <c r="J64" i="6"/>
  <c r="I64" i="6"/>
  <c r="S64" i="6"/>
  <c r="Q64" i="6"/>
  <c r="N64" i="6"/>
  <c r="J413" i="6"/>
  <c r="I413" i="6"/>
  <c r="S413" i="6"/>
  <c r="R413" i="6"/>
  <c r="T413" i="6"/>
  <c r="N413" i="6"/>
  <c r="Q413" i="6"/>
  <c r="H23" i="9"/>
  <c r="G23" i="2" s="1"/>
  <c r="G154" i="2"/>
  <c r="G142" i="2"/>
  <c r="G130" i="2"/>
  <c r="G118" i="2"/>
  <c r="G106" i="2"/>
  <c r="G94" i="2"/>
  <c r="G82" i="2"/>
  <c r="G70" i="2"/>
  <c r="G58" i="2"/>
  <c r="G46" i="2"/>
  <c r="G34" i="2"/>
  <c r="G167" i="2"/>
  <c r="G144" i="2"/>
  <c r="G135" i="2"/>
  <c r="G120" i="2"/>
  <c r="G111" i="2"/>
  <c r="G96" i="2"/>
  <c r="G87" i="2"/>
  <c r="G72" i="2"/>
  <c r="G63" i="2"/>
  <c r="G48" i="2"/>
  <c r="G39" i="2"/>
  <c r="G24" i="2"/>
  <c r="G170" i="2"/>
  <c r="G137" i="2"/>
  <c r="G113" i="2"/>
  <c r="G89" i="2"/>
  <c r="G65" i="2"/>
  <c r="G41" i="2"/>
  <c r="G145" i="2"/>
  <c r="G124" i="2"/>
  <c r="G99" i="2"/>
  <c r="G74" i="2"/>
  <c r="G64" i="2"/>
  <c r="G49" i="2"/>
  <c r="G28" i="2"/>
  <c r="G115" i="2"/>
  <c r="G80" i="2"/>
  <c r="G69" i="2"/>
  <c r="G54" i="2"/>
  <c r="G160" i="2"/>
  <c r="G156" i="2"/>
  <c r="G150" i="2"/>
  <c r="G131" i="2"/>
  <c r="G110" i="2"/>
  <c r="G85" i="2"/>
  <c r="G60" i="2"/>
  <c r="G35" i="2"/>
  <c r="G151" i="2"/>
  <c r="G140" i="2"/>
  <c r="G125" i="2"/>
  <c r="G95" i="2"/>
  <c r="G90" i="2"/>
  <c r="G81" i="2"/>
  <c r="G55" i="2"/>
  <c r="G44" i="2"/>
  <c r="G29" i="2"/>
  <c r="G168" i="2"/>
  <c r="G161" i="2"/>
  <c r="G146" i="2"/>
  <c r="G136" i="2"/>
  <c r="G121" i="2"/>
  <c r="G100" i="2"/>
  <c r="G75" i="2"/>
  <c r="G50" i="2"/>
  <c r="G40" i="2"/>
  <c r="G25" i="2"/>
  <c r="G169" i="2"/>
  <c r="G157" i="2"/>
  <c r="G152" i="2"/>
  <c r="G141" i="2"/>
  <c r="G132" i="2"/>
  <c r="G126" i="2"/>
  <c r="G107" i="2"/>
  <c r="G91" i="2"/>
  <c r="G86" i="2"/>
  <c r="G61" i="2"/>
  <c r="G56" i="2"/>
  <c r="G45" i="2"/>
  <c r="G36" i="2"/>
  <c r="G30" i="2"/>
  <c r="G162" i="2"/>
  <c r="G153" i="2"/>
  <c r="G127" i="2"/>
  <c r="G116" i="2"/>
  <c r="G101" i="2"/>
  <c r="G71" i="2"/>
  <c r="G66" i="2"/>
  <c r="G57" i="2"/>
  <c r="G31" i="2"/>
  <c r="G158" i="2"/>
  <c r="G147" i="2"/>
  <c r="G122" i="2"/>
  <c r="G112" i="2"/>
  <c r="G97" i="2"/>
  <c r="G76" i="2"/>
  <c r="G51" i="2"/>
  <c r="G26" i="2"/>
  <c r="G163" i="2"/>
  <c r="G133" i="2"/>
  <c r="G128" i="2"/>
  <c r="G117" i="2"/>
  <c r="G108" i="2"/>
  <c r="G102" i="2"/>
  <c r="G83" i="2"/>
  <c r="G164" i="2"/>
  <c r="G143" i="2"/>
  <c r="G138" i="2"/>
  <c r="G129" i="2"/>
  <c r="G103" i="2"/>
  <c r="G92" i="2"/>
  <c r="G77" i="2"/>
  <c r="G47" i="2"/>
  <c r="G42" i="2"/>
  <c r="G33" i="2"/>
  <c r="G159" i="2"/>
  <c r="G148" i="2"/>
  <c r="G123" i="2"/>
  <c r="U321" i="3"/>
  <c r="V321" i="3"/>
  <c r="T321" i="3"/>
  <c r="T413" i="3"/>
  <c r="V413" i="3"/>
  <c r="U413" i="3"/>
  <c r="T170" i="3"/>
  <c r="V170" i="3" s="1"/>
  <c r="K170" i="2" s="1"/>
  <c r="I85" i="2"/>
  <c r="I99" i="2"/>
  <c r="I110" i="2"/>
  <c r="K38" i="2"/>
  <c r="K54" i="1"/>
  <c r="K6" i="1"/>
  <c r="K162" i="2"/>
  <c r="K154" i="2"/>
  <c r="K138" i="2"/>
  <c r="K130" i="2"/>
  <c r="K106" i="2"/>
  <c r="K140" i="2"/>
  <c r="K116" i="2"/>
  <c r="K92" i="2"/>
  <c r="K152" i="2"/>
  <c r="K141" i="2"/>
  <c r="K126" i="2"/>
  <c r="K111" i="2"/>
  <c r="K56" i="2"/>
  <c r="V2" i="3"/>
  <c r="K2" i="2" s="1"/>
  <c r="K127" i="2"/>
  <c r="K61" i="2"/>
  <c r="K31" i="2"/>
  <c r="U2" i="3"/>
  <c r="K91" i="2"/>
  <c r="K71" i="2"/>
  <c r="K20" i="2"/>
  <c r="K153" i="2"/>
  <c r="K147" i="2"/>
  <c r="K142" i="2"/>
  <c r="K32" i="2"/>
  <c r="K4" i="2"/>
  <c r="L4" i="2" s="1"/>
  <c r="K80" i="1"/>
  <c r="K143" i="2"/>
  <c r="K103" i="2"/>
  <c r="K83" i="2"/>
  <c r="K67" i="2"/>
  <c r="K47" i="2"/>
  <c r="K11" i="2"/>
  <c r="K6" i="2"/>
  <c r="L6" i="2" s="1"/>
  <c r="K79" i="1"/>
  <c r="K118" i="2"/>
  <c r="K159" i="2"/>
  <c r="K139" i="2"/>
  <c r="K105" i="2"/>
  <c r="K28" i="2"/>
  <c r="L28" i="2" s="1"/>
  <c r="K7" i="1"/>
  <c r="K150" i="2"/>
  <c r="V6" i="3"/>
  <c r="V14" i="3"/>
  <c r="K14" i="2" s="1"/>
  <c r="U14" i="3"/>
  <c r="V18" i="3"/>
  <c r="K18" i="2" s="1"/>
  <c r="L18" i="2" s="1"/>
  <c r="V26" i="3"/>
  <c r="K26" i="2" s="1"/>
  <c r="U26" i="3"/>
  <c r="V30" i="3"/>
  <c r="K30" i="2" s="1"/>
  <c r="V38" i="3"/>
  <c r="U38" i="3"/>
  <c r="V42" i="3"/>
  <c r="K42" i="2" s="1"/>
  <c r="V50" i="3"/>
  <c r="K50" i="2" s="1"/>
  <c r="U50" i="3"/>
  <c r="V54" i="3"/>
  <c r="V62" i="3"/>
  <c r="K62" i="2" s="1"/>
  <c r="U62" i="3"/>
  <c r="V66" i="3"/>
  <c r="K66" i="2" s="1"/>
  <c r="V74" i="3"/>
  <c r="K74" i="2" s="1"/>
  <c r="U74" i="3"/>
  <c r="V78" i="3"/>
  <c r="K78" i="2" s="1"/>
  <c r="V86" i="3"/>
  <c r="K86" i="2" s="1"/>
  <c r="U86" i="3"/>
  <c r="V90" i="3"/>
  <c r="K90" i="2" s="1"/>
  <c r="V98" i="3"/>
  <c r="K98" i="2" s="1"/>
  <c r="U98" i="3"/>
  <c r="V102" i="3"/>
  <c r="K102" i="2" s="1"/>
  <c r="V109" i="3"/>
  <c r="K109" i="2" s="1"/>
  <c r="U109" i="3"/>
  <c r="V113" i="3"/>
  <c r="K113" i="2" s="1"/>
  <c r="V121" i="3"/>
  <c r="K121" i="2" s="1"/>
  <c r="U121" i="3"/>
  <c r="V125" i="3"/>
  <c r="K125" i="2" s="1"/>
  <c r="T133" i="3"/>
  <c r="V136" i="3"/>
  <c r="K136" i="2" s="1"/>
  <c r="T144" i="3"/>
  <c r="V144" i="3" s="1"/>
  <c r="K144" i="2" s="1"/>
  <c r="U189" i="3"/>
  <c r="V189" i="3"/>
  <c r="T189" i="3"/>
  <c r="U208" i="3"/>
  <c r="T208" i="3"/>
  <c r="V218" i="3"/>
  <c r="U218" i="3"/>
  <c r="T218" i="3"/>
  <c r="T248" i="3"/>
  <c r="V248" i="3"/>
  <c r="U248" i="3"/>
  <c r="T262" i="3"/>
  <c r="U265" i="3"/>
  <c r="T265" i="3"/>
  <c r="T273" i="3"/>
  <c r="U295" i="3"/>
  <c r="T295" i="3"/>
  <c r="U319" i="3"/>
  <c r="T334" i="3"/>
  <c r="U354" i="3"/>
  <c r="T354" i="3"/>
  <c r="U376" i="3"/>
  <c r="U459" i="3"/>
  <c r="V486" i="3"/>
  <c r="U486" i="3"/>
  <c r="T486" i="3"/>
  <c r="G53" i="2"/>
  <c r="K54" i="2"/>
  <c r="K59" i="2"/>
  <c r="I80" i="2"/>
  <c r="I94" i="2"/>
  <c r="K94" i="1" s="1"/>
  <c r="K99" i="2"/>
  <c r="G114" i="2"/>
  <c r="T320" i="3"/>
  <c r="U320" i="3"/>
  <c r="V363" i="3"/>
  <c r="U363" i="3"/>
  <c r="T363" i="3"/>
  <c r="U377" i="3"/>
  <c r="T377" i="3"/>
  <c r="U412" i="3"/>
  <c r="T412" i="3"/>
  <c r="T470" i="3"/>
  <c r="V470" i="3"/>
  <c r="U470" i="3"/>
  <c r="K55" i="1"/>
  <c r="I68" i="2"/>
  <c r="K68" i="1" s="1"/>
  <c r="E98" i="2"/>
  <c r="V227" i="3"/>
  <c r="U227" i="3"/>
  <c r="T227" i="3"/>
  <c r="V258" i="3"/>
  <c r="U258" i="3"/>
  <c r="T258" i="3"/>
  <c r="V274" i="3"/>
  <c r="T274" i="3"/>
  <c r="V286" i="3"/>
  <c r="U286" i="3"/>
  <c r="T286" i="3"/>
  <c r="U427" i="3"/>
  <c r="T427" i="3"/>
  <c r="V442" i="3"/>
  <c r="U442" i="3"/>
  <c r="K43" i="2"/>
  <c r="I53" i="2"/>
  <c r="K53" i="1" s="1"/>
  <c r="E67" i="2"/>
  <c r="K80" i="2"/>
  <c r="K94" i="2"/>
  <c r="T13" i="3"/>
  <c r="V13" i="3" s="1"/>
  <c r="K13" i="2" s="1"/>
  <c r="T58" i="3"/>
  <c r="U58" i="3" s="1"/>
  <c r="T132" i="3"/>
  <c r="V132" i="3" s="1"/>
  <c r="K132" i="2" s="1"/>
  <c r="V161" i="3"/>
  <c r="K161" i="2" s="1"/>
  <c r="T200" i="3"/>
  <c r="V200" i="3"/>
  <c r="U200" i="3"/>
  <c r="U217" i="3"/>
  <c r="T217" i="3"/>
  <c r="U247" i="3"/>
  <c r="T247" i="3"/>
  <c r="V305" i="3"/>
  <c r="U305" i="3"/>
  <c r="T305" i="3"/>
  <c r="U314" i="3"/>
  <c r="V314" i="3"/>
  <c r="T314" i="3"/>
  <c r="U329" i="3"/>
  <c r="V329" i="3"/>
  <c r="T329" i="3"/>
  <c r="V346" i="3"/>
  <c r="U346" i="3"/>
  <c r="T346" i="3"/>
  <c r="V386" i="3"/>
  <c r="U386" i="3"/>
  <c r="T386" i="3"/>
  <c r="U453" i="3"/>
  <c r="V453" i="3"/>
  <c r="T453" i="3"/>
  <c r="I27" i="2"/>
  <c r="K35" i="2"/>
  <c r="I89" i="2"/>
  <c r="I135" i="2"/>
  <c r="I150" i="2"/>
  <c r="K150" i="1" s="1"/>
  <c r="G165" i="2"/>
  <c r="V53" i="3"/>
  <c r="K53" i="2" s="1"/>
  <c r="U61" i="3"/>
  <c r="T61" i="3"/>
  <c r="V61" i="3" s="1"/>
  <c r="T73" i="3"/>
  <c r="V73" i="3" s="1"/>
  <c r="K73" i="2" s="1"/>
  <c r="T82" i="3"/>
  <c r="U94" i="3"/>
  <c r="U105" i="3"/>
  <c r="U198" i="3"/>
  <c r="T243" i="3"/>
  <c r="U244" i="3"/>
  <c r="U284" i="3"/>
  <c r="U303" i="3"/>
  <c r="U362" i="3"/>
  <c r="T362" i="3"/>
  <c r="T402" i="3"/>
  <c r="T451" i="3"/>
  <c r="V485" i="3"/>
  <c r="U485" i="3"/>
  <c r="T485" i="3"/>
  <c r="V494" i="3"/>
  <c r="U494" i="3"/>
  <c r="T494" i="3"/>
  <c r="K105" i="1"/>
  <c r="I124" i="2"/>
  <c r="K124" i="1" s="1"/>
  <c r="G139" i="2"/>
  <c r="V163" i="3"/>
  <c r="K163" i="2" s="1"/>
  <c r="U477" i="3"/>
  <c r="V477" i="3"/>
  <c r="T477" i="3"/>
  <c r="V275" i="3"/>
  <c r="U275" i="3"/>
  <c r="T275" i="3"/>
  <c r="V306" i="3"/>
  <c r="U306" i="3"/>
  <c r="T306" i="3"/>
  <c r="V394" i="3"/>
  <c r="U394" i="3"/>
  <c r="T394" i="3"/>
  <c r="V443" i="3"/>
  <c r="U443" i="3"/>
  <c r="T443" i="3"/>
  <c r="V5" i="3"/>
  <c r="K5" i="2" s="1"/>
  <c r="L5" i="2" s="1"/>
  <c r="V17" i="3"/>
  <c r="K17" i="2" s="1"/>
  <c r="T25" i="3"/>
  <c r="V25" i="3" s="1"/>
  <c r="K25" i="2" s="1"/>
  <c r="T37" i="3"/>
  <c r="V37" i="3" s="1"/>
  <c r="K37" i="2" s="1"/>
  <c r="T46" i="3"/>
  <c r="U46" i="3" s="1"/>
  <c r="T70" i="3"/>
  <c r="U70" i="3" s="1"/>
  <c r="V77" i="3"/>
  <c r="K77" i="2" s="1"/>
  <c r="V89" i="3"/>
  <c r="K89" i="2" s="1"/>
  <c r="V101" i="3"/>
  <c r="K101" i="2" s="1"/>
  <c r="T108" i="3"/>
  <c r="V108" i="3" s="1"/>
  <c r="K108" i="2" s="1"/>
  <c r="V112" i="3"/>
  <c r="K112" i="2" s="1"/>
  <c r="T117" i="3"/>
  <c r="U117" i="3" s="1"/>
  <c r="V124" i="3"/>
  <c r="K124" i="2" s="1"/>
  <c r="T169" i="3"/>
  <c r="U10" i="3"/>
  <c r="T21" i="3"/>
  <c r="K21" i="1" s="1"/>
  <c r="T57" i="3"/>
  <c r="T128" i="3"/>
  <c r="U135" i="3"/>
  <c r="T147" i="3"/>
  <c r="V147" i="3" s="1"/>
  <c r="U214" i="3"/>
  <c r="V225" i="3"/>
  <c r="V10" i="3"/>
  <c r="K10" i="2" s="1"/>
  <c r="T24" i="3"/>
  <c r="T36" i="3"/>
  <c r="T48" i="3"/>
  <c r="T60" i="3"/>
  <c r="T72" i="3"/>
  <c r="K72" i="1" s="1"/>
  <c r="T84" i="3"/>
  <c r="U93" i="3"/>
  <c r="V94" i="3"/>
  <c r="T96" i="3"/>
  <c r="V105" i="3"/>
  <c r="T107" i="3"/>
  <c r="U116" i="3"/>
  <c r="V117" i="3"/>
  <c r="K117" i="2" s="1"/>
  <c r="T119" i="3"/>
  <c r="U128" i="3"/>
  <c r="V129" i="3"/>
  <c r="K129" i="2" s="1"/>
  <c r="T131" i="3"/>
  <c r="V146" i="3"/>
  <c r="K146" i="2" s="1"/>
  <c r="T146" i="3"/>
  <c r="U146" i="3" s="1"/>
  <c r="T166" i="3"/>
  <c r="V166" i="3" s="1"/>
  <c r="K166" i="2" s="1"/>
  <c r="V179" i="3"/>
  <c r="U179" i="3"/>
  <c r="T179" i="3"/>
  <c r="T197" i="3"/>
  <c r="V198" i="3"/>
  <c r="V210" i="3"/>
  <c r="U210" i="3"/>
  <c r="T210" i="3"/>
  <c r="V226" i="3"/>
  <c r="T226" i="3"/>
  <c r="V238" i="3"/>
  <c r="U238" i="3"/>
  <c r="T238" i="3"/>
  <c r="U243" i="3"/>
  <c r="V267" i="3"/>
  <c r="U267" i="3"/>
  <c r="T267" i="3"/>
  <c r="T283" i="3"/>
  <c r="V284" i="3"/>
  <c r="T302" i="3"/>
  <c r="V303" i="3"/>
  <c r="T327" i="3"/>
  <c r="U344" i="3"/>
  <c r="T356" i="3"/>
  <c r="U356" i="3"/>
  <c r="V356" i="3"/>
  <c r="T359" i="3"/>
  <c r="V370" i="3"/>
  <c r="U370" i="3"/>
  <c r="T370" i="3"/>
  <c r="U402" i="3"/>
  <c r="T404" i="3"/>
  <c r="U404" i="3"/>
  <c r="V404" i="3"/>
  <c r="V436" i="3"/>
  <c r="U436" i="3"/>
  <c r="T436" i="3"/>
  <c r="U451" i="3"/>
  <c r="V469" i="3"/>
  <c r="U469" i="3"/>
  <c r="T469" i="3"/>
  <c r="T482" i="3"/>
  <c r="K7" i="2"/>
  <c r="I52" i="2"/>
  <c r="G62" i="2"/>
  <c r="E88" i="2"/>
  <c r="E113" i="2"/>
  <c r="E143" i="2"/>
  <c r="V337" i="3"/>
  <c r="U337" i="3"/>
  <c r="T337" i="3"/>
  <c r="I90" i="2"/>
  <c r="K90" i="1" s="1"/>
  <c r="I55" i="2"/>
  <c r="I44" i="2"/>
  <c r="K44" i="1" s="1"/>
  <c r="I29" i="2"/>
  <c r="K29" i="1" s="1"/>
  <c r="I100" i="2"/>
  <c r="I75" i="2"/>
  <c r="I65" i="2"/>
  <c r="I50" i="2"/>
  <c r="K50" i="1" s="1"/>
  <c r="I19" i="2"/>
  <c r="I14" i="2"/>
  <c r="K14" i="1" s="1"/>
  <c r="I61" i="2"/>
  <c r="I168" i="2"/>
  <c r="I161" i="2"/>
  <c r="I146" i="2"/>
  <c r="I157" i="2"/>
  <c r="I152" i="2"/>
  <c r="K152" i="1" s="1"/>
  <c r="I141" i="2"/>
  <c r="K141" i="1" s="1"/>
  <c r="I126" i="2"/>
  <c r="K126" i="1" s="1"/>
  <c r="I111" i="2"/>
  <c r="I86" i="2"/>
  <c r="K86" i="1" s="1"/>
  <c r="I70" i="2"/>
  <c r="I56" i="2"/>
  <c r="K56" i="1" s="1"/>
  <c r="I45" i="2"/>
  <c r="K45" i="1" s="1"/>
  <c r="I30" i="2"/>
  <c r="K30" i="1" s="1"/>
  <c r="I147" i="2"/>
  <c r="I137" i="2"/>
  <c r="K137" i="1" s="1"/>
  <c r="I122" i="2"/>
  <c r="I76" i="2"/>
  <c r="I51" i="2"/>
  <c r="K51" i="1" s="1"/>
  <c r="I41" i="2"/>
  <c r="K41" i="1" s="1"/>
  <c r="I26" i="2"/>
  <c r="I20" i="2"/>
  <c r="I15" i="2"/>
  <c r="I170" i="2"/>
  <c r="K170" i="1" s="1"/>
  <c r="I163" i="2"/>
  <c r="K163" i="1" s="1"/>
  <c r="I142" i="2"/>
  <c r="K142" i="1" s="1"/>
  <c r="I133" i="2"/>
  <c r="I128" i="2"/>
  <c r="I117" i="2"/>
  <c r="I102" i="2"/>
  <c r="K102" i="1" s="1"/>
  <c r="I87" i="2"/>
  <c r="K87" i="1" s="1"/>
  <c r="I62" i="2"/>
  <c r="K62" i="1" s="1"/>
  <c r="I46" i="2"/>
  <c r="I37" i="2"/>
  <c r="I32" i="2"/>
  <c r="K32" i="1" s="1"/>
  <c r="I164" i="2"/>
  <c r="K164" i="1" s="1"/>
  <c r="I154" i="2"/>
  <c r="I143" i="2"/>
  <c r="K143" i="1" s="1"/>
  <c r="I138" i="2"/>
  <c r="K138" i="1" s="1"/>
  <c r="I103" i="2"/>
  <c r="K103" i="1" s="1"/>
  <c r="I92" i="2"/>
  <c r="K92" i="1" s="1"/>
  <c r="I77" i="2"/>
  <c r="K77" i="1" s="1"/>
  <c r="I58" i="2"/>
  <c r="I47" i="2"/>
  <c r="K47" i="1" s="1"/>
  <c r="I42" i="2"/>
  <c r="K42" i="1" s="1"/>
  <c r="I21" i="2"/>
  <c r="L21" i="2" s="1"/>
  <c r="I16" i="2"/>
  <c r="I11" i="2"/>
  <c r="I148" i="2"/>
  <c r="K148" i="1" s="1"/>
  <c r="I123" i="2"/>
  <c r="I113" i="2"/>
  <c r="I98" i="2"/>
  <c r="K98" i="1" s="1"/>
  <c r="I165" i="2"/>
  <c r="I134" i="2"/>
  <c r="K134" i="1" s="1"/>
  <c r="I118" i="2"/>
  <c r="K118" i="1" s="1"/>
  <c r="I109" i="2"/>
  <c r="K109" i="1" s="1"/>
  <c r="I104" i="2"/>
  <c r="I93" i="2"/>
  <c r="I78" i="2"/>
  <c r="K78" i="1" s="1"/>
  <c r="I63" i="2"/>
  <c r="I38" i="2"/>
  <c r="K38" i="1" s="1"/>
  <c r="I22" i="2"/>
  <c r="I17" i="2"/>
  <c r="K17" i="1" s="1"/>
  <c r="I166" i="2"/>
  <c r="K166" i="1" s="1"/>
  <c r="I155" i="2"/>
  <c r="I149" i="2"/>
  <c r="K149" i="1" s="1"/>
  <c r="I130" i="2"/>
  <c r="K130" i="1" s="1"/>
  <c r="I119" i="2"/>
  <c r="I114" i="2"/>
  <c r="K114" i="1" s="1"/>
  <c r="T428" i="3"/>
  <c r="V428" i="3"/>
  <c r="U428" i="3"/>
  <c r="K128" i="1"/>
  <c r="T158" i="3"/>
  <c r="V158" i="3" s="1"/>
  <c r="K158" i="2" s="1"/>
  <c r="T22" i="3"/>
  <c r="V22" i="3" s="1"/>
  <c r="K22" i="2" s="1"/>
  <c r="V29" i="3"/>
  <c r="K29" i="2" s="1"/>
  <c r="T34" i="3"/>
  <c r="V41" i="3"/>
  <c r="K41" i="2" s="1"/>
  <c r="T49" i="3"/>
  <c r="V49" i="3" s="1"/>
  <c r="V65" i="3"/>
  <c r="K65" i="2" s="1"/>
  <c r="T85" i="3"/>
  <c r="V85" i="3" s="1"/>
  <c r="K85" i="2" s="1"/>
  <c r="T97" i="3"/>
  <c r="V97" i="3" s="1"/>
  <c r="K97" i="2" s="1"/>
  <c r="U120" i="3"/>
  <c r="T120" i="3"/>
  <c r="V120" i="3" s="1"/>
  <c r="T9" i="3"/>
  <c r="V9" i="3" s="1"/>
  <c r="K9" i="2" s="1"/>
  <c r="L9" i="2" s="1"/>
  <c r="U22" i="3"/>
  <c r="T33" i="3"/>
  <c r="T45" i="3"/>
  <c r="V45" i="3" s="1"/>
  <c r="K45" i="2" s="1"/>
  <c r="L45" i="2" s="1"/>
  <c r="T69" i="3"/>
  <c r="V69" i="3" s="1"/>
  <c r="K69" i="2" s="1"/>
  <c r="T81" i="3"/>
  <c r="U81" i="3" s="1"/>
  <c r="T93" i="3"/>
  <c r="K93" i="1" s="1"/>
  <c r="T104" i="3"/>
  <c r="V104" i="3" s="1"/>
  <c r="K104" i="2" s="1"/>
  <c r="T116" i="3"/>
  <c r="T12" i="3"/>
  <c r="K12" i="1" s="1"/>
  <c r="U45" i="3"/>
  <c r="U69" i="3"/>
  <c r="U4" i="3"/>
  <c r="U40" i="3"/>
  <c r="U64" i="3"/>
  <c r="U88" i="3"/>
  <c r="V149" i="3"/>
  <c r="K149" i="2" s="1"/>
  <c r="V157" i="3"/>
  <c r="K157" i="2" s="1"/>
  <c r="T157" i="3"/>
  <c r="U157" i="3" s="1"/>
  <c r="V160" i="3"/>
  <c r="K160" i="2" s="1"/>
  <c r="T165" i="3"/>
  <c r="K165" i="1" s="1"/>
  <c r="U166" i="3"/>
  <c r="T168" i="3"/>
  <c r="V168" i="3" s="1"/>
  <c r="K168" i="2" s="1"/>
  <c r="T177" i="3"/>
  <c r="T196" i="3"/>
  <c r="U197" i="3"/>
  <c r="U199" i="3"/>
  <c r="T199" i="3"/>
  <c r="V257" i="3"/>
  <c r="U257" i="3"/>
  <c r="T257" i="3"/>
  <c r="T282" i="3"/>
  <c r="U283" i="3"/>
  <c r="U285" i="3"/>
  <c r="V285" i="3"/>
  <c r="T285" i="3"/>
  <c r="T301" i="3"/>
  <c r="U302" i="3"/>
  <c r="U304" i="3"/>
  <c r="T304" i="3"/>
  <c r="U311" i="3"/>
  <c r="V327" i="3"/>
  <c r="V344" i="3"/>
  <c r="U359" i="3"/>
  <c r="U368" i="3"/>
  <c r="U383" i="3"/>
  <c r="T401" i="3"/>
  <c r="V419" i="3"/>
  <c r="T419" i="3"/>
  <c r="U419" i="3"/>
  <c r="T452" i="3"/>
  <c r="U452" i="3"/>
  <c r="T466" i="3"/>
  <c r="U482" i="3"/>
  <c r="K154" i="1"/>
  <c r="I13" i="2"/>
  <c r="I34" i="2"/>
  <c r="G104" i="2"/>
  <c r="K120" i="2"/>
  <c r="T135" i="3"/>
  <c r="V135" i="3" s="1"/>
  <c r="K135" i="2" s="1"/>
  <c r="U155" i="3"/>
  <c r="T164" i="3"/>
  <c r="V164" i="3" s="1"/>
  <c r="K164" i="2" s="1"/>
  <c r="U165" i="3"/>
  <c r="T176" i="3"/>
  <c r="V177" i="3"/>
  <c r="T195" i="3"/>
  <c r="U196" i="3"/>
  <c r="U236" i="3"/>
  <c r="U255" i="3"/>
  <c r="U282" i="3"/>
  <c r="U301" i="3"/>
  <c r="V311" i="3"/>
  <c r="V313" i="3"/>
  <c r="U313" i="3"/>
  <c r="T313" i="3"/>
  <c r="V328" i="3"/>
  <c r="U328" i="3"/>
  <c r="T328" i="3"/>
  <c r="T343" i="3"/>
  <c r="U345" i="3"/>
  <c r="V345" i="3"/>
  <c r="T345" i="3"/>
  <c r="V368" i="3"/>
  <c r="V383" i="3"/>
  <c r="V385" i="3"/>
  <c r="U385" i="3"/>
  <c r="T385" i="3"/>
  <c r="U401" i="3"/>
  <c r="T417" i="3"/>
  <c r="T433" i="3"/>
  <c r="U466" i="3"/>
  <c r="U484" i="3"/>
  <c r="T484" i="3"/>
  <c r="K5" i="1"/>
  <c r="I39" i="2"/>
  <c r="K55" i="2"/>
  <c r="E57" i="2"/>
  <c r="E66" i="2"/>
  <c r="E83" i="2"/>
  <c r="G88" i="2"/>
  <c r="G134" i="2"/>
  <c r="G149" i="2"/>
  <c r="U164" i="3"/>
  <c r="T167" i="3"/>
  <c r="U167" i="3" s="1"/>
  <c r="U176" i="3"/>
  <c r="V178" i="3"/>
  <c r="T178" i="3"/>
  <c r="V190" i="3"/>
  <c r="U190" i="3"/>
  <c r="T190" i="3"/>
  <c r="U195" i="3"/>
  <c r="V219" i="3"/>
  <c r="U219" i="3"/>
  <c r="T219" i="3"/>
  <c r="V236" i="3"/>
  <c r="V255" i="3"/>
  <c r="U343" i="3"/>
  <c r="V417" i="3"/>
  <c r="U433" i="3"/>
  <c r="V493" i="3"/>
  <c r="U493" i="3"/>
  <c r="T493" i="3"/>
  <c r="K49" i="2"/>
  <c r="E108" i="2"/>
  <c r="E123" i="2"/>
  <c r="E138" i="2"/>
  <c r="I167" i="2"/>
  <c r="U159" i="3"/>
  <c r="V134" i="3"/>
  <c r="K134" i="2" s="1"/>
  <c r="U134" i="3"/>
  <c r="T134" i="3"/>
  <c r="V155" i="3"/>
  <c r="K155" i="2" s="1"/>
  <c r="V3" i="3"/>
  <c r="K3" i="2" s="1"/>
  <c r="L3" i="2" s="1"/>
  <c r="T3" i="3"/>
  <c r="U3" i="3" s="1"/>
  <c r="T4" i="3"/>
  <c r="V4" i="3" s="1"/>
  <c r="T15" i="3"/>
  <c r="T16" i="3"/>
  <c r="V16" i="3" s="1"/>
  <c r="K16" i="2" s="1"/>
  <c r="T27" i="3"/>
  <c r="T28" i="3"/>
  <c r="V28" i="3" s="1"/>
  <c r="V39" i="3"/>
  <c r="K39" i="2" s="1"/>
  <c r="T39" i="3"/>
  <c r="K39" i="1" s="1"/>
  <c r="T40" i="3"/>
  <c r="V40" i="3" s="1"/>
  <c r="K40" i="2" s="1"/>
  <c r="V51" i="3"/>
  <c r="K51" i="2" s="1"/>
  <c r="T51" i="3"/>
  <c r="U51" i="3" s="1"/>
  <c r="T52" i="3"/>
  <c r="V52" i="3" s="1"/>
  <c r="K52" i="2" s="1"/>
  <c r="T63" i="3"/>
  <c r="V63" i="3" s="1"/>
  <c r="K63" i="2" s="1"/>
  <c r="T64" i="3"/>
  <c r="V64" i="3" s="1"/>
  <c r="T75" i="3"/>
  <c r="U75" i="3" s="1"/>
  <c r="T76" i="3"/>
  <c r="V76" i="3" s="1"/>
  <c r="K76" i="2" s="1"/>
  <c r="V87" i="3"/>
  <c r="K87" i="2" s="1"/>
  <c r="T87" i="3"/>
  <c r="U87" i="3" s="1"/>
  <c r="T88" i="3"/>
  <c r="V88" i="3" s="1"/>
  <c r="K88" i="2" s="1"/>
  <c r="V99" i="3"/>
  <c r="T99" i="3"/>
  <c r="U99" i="3" s="1"/>
  <c r="T100" i="3"/>
  <c r="V100" i="3" s="1"/>
  <c r="K100" i="2" s="1"/>
  <c r="T110" i="3"/>
  <c r="K110" i="1" s="1"/>
  <c r="T111" i="3"/>
  <c r="V111" i="3" s="1"/>
  <c r="T122" i="3"/>
  <c r="K122" i="1" s="1"/>
  <c r="T123" i="3"/>
  <c r="V123" i="3" s="1"/>
  <c r="K123" i="2" s="1"/>
  <c r="V137" i="3"/>
  <c r="K137" i="2" s="1"/>
  <c r="T145" i="3"/>
  <c r="K145" i="1" s="1"/>
  <c r="V148" i="3"/>
  <c r="K148" i="2" s="1"/>
  <c r="U156" i="3"/>
  <c r="T156" i="3"/>
  <c r="V156" i="3" s="1"/>
  <c r="K156" i="2" s="1"/>
  <c r="V209" i="3"/>
  <c r="U209" i="3"/>
  <c r="T209" i="3"/>
  <c r="U237" i="3"/>
  <c r="V237" i="3"/>
  <c r="T237" i="3"/>
  <c r="U256" i="3"/>
  <c r="T256" i="3"/>
  <c r="V266" i="3"/>
  <c r="U266" i="3"/>
  <c r="T266" i="3"/>
  <c r="T296" i="3"/>
  <c r="V296" i="3"/>
  <c r="U296" i="3"/>
  <c r="V320" i="3"/>
  <c r="V355" i="3"/>
  <c r="U355" i="3"/>
  <c r="T355" i="3"/>
  <c r="V364" i="3"/>
  <c r="U364" i="3"/>
  <c r="T364" i="3"/>
  <c r="V377" i="3"/>
  <c r="V379" i="3"/>
  <c r="U379" i="3"/>
  <c r="T379" i="3"/>
  <c r="T393" i="3"/>
  <c r="V412" i="3"/>
  <c r="U434" i="3"/>
  <c r="T434" i="3"/>
  <c r="U462" i="3"/>
  <c r="V462" i="3"/>
  <c r="T462" i="3"/>
  <c r="K71" i="1"/>
  <c r="K64" i="2"/>
  <c r="I69" i="2"/>
  <c r="K69" i="1" s="1"/>
  <c r="I74" i="2"/>
  <c r="K74" i="1" s="1"/>
  <c r="K95" i="2"/>
  <c r="G119" i="2"/>
  <c r="I12" i="2"/>
  <c r="I158" i="2"/>
  <c r="I169" i="2"/>
  <c r="I159" i="2"/>
  <c r="K159" i="1" s="1"/>
  <c r="I153" i="2"/>
  <c r="I145" i="2"/>
  <c r="I136" i="2"/>
  <c r="K136" i="1" s="1"/>
  <c r="I129" i="2"/>
  <c r="K129" i="1" s="1"/>
  <c r="I121" i="2"/>
  <c r="K121" i="1" s="1"/>
  <c r="I112" i="2"/>
  <c r="K112" i="1" s="1"/>
  <c r="I105" i="2"/>
  <c r="I97" i="2"/>
  <c r="I88" i="2"/>
  <c r="I81" i="2"/>
  <c r="I73" i="2"/>
  <c r="I64" i="2"/>
  <c r="I57" i="2"/>
  <c r="I49" i="2"/>
  <c r="K49" i="1" s="1"/>
  <c r="I40" i="2"/>
  <c r="I33" i="2"/>
  <c r="I25" i="2"/>
  <c r="I160" i="2"/>
  <c r="K160" i="1" s="1"/>
  <c r="I139" i="2"/>
  <c r="K139" i="1" s="1"/>
  <c r="I131" i="2"/>
  <c r="K131" i="1" s="1"/>
  <c r="I115" i="2"/>
  <c r="K115" i="1" s="1"/>
  <c r="I107" i="2"/>
  <c r="I91" i="2"/>
  <c r="K91" i="1" s="1"/>
  <c r="I83" i="2"/>
  <c r="K83" i="1" s="1"/>
  <c r="I67" i="2"/>
  <c r="K67" i="1" s="1"/>
  <c r="I59" i="2"/>
  <c r="K59" i="1" s="1"/>
  <c r="I43" i="2"/>
  <c r="K43" i="1" s="1"/>
  <c r="I35" i="2"/>
  <c r="K35" i="1" s="1"/>
  <c r="I18" i="2"/>
  <c r="K18" i="1" s="1"/>
  <c r="I10" i="2"/>
  <c r="K10" i="1" s="1"/>
  <c r="V375" i="3"/>
  <c r="V392" i="3"/>
  <c r="U424" i="3"/>
  <c r="V441" i="3"/>
  <c r="U481" i="3"/>
  <c r="J157" i="2"/>
  <c r="J145" i="2"/>
  <c r="J133" i="2"/>
  <c r="J121" i="2"/>
  <c r="J109" i="2"/>
  <c r="J97" i="2"/>
  <c r="J85" i="2"/>
  <c r="J73" i="2"/>
  <c r="J61" i="2"/>
  <c r="K61" i="1" s="1"/>
  <c r="J49" i="2"/>
  <c r="J37" i="2"/>
  <c r="J25" i="2"/>
  <c r="J13" i="2"/>
  <c r="J159" i="2"/>
  <c r="J170" i="2"/>
  <c r="J137" i="2"/>
  <c r="J113" i="2"/>
  <c r="J89" i="2"/>
  <c r="J65" i="2"/>
  <c r="J41" i="2"/>
  <c r="J16" i="2"/>
  <c r="J8" i="2"/>
  <c r="K8" i="1" s="1"/>
  <c r="J161" i="2"/>
  <c r="J155" i="2"/>
  <c r="J147" i="2"/>
  <c r="J123" i="2"/>
  <c r="J99" i="2"/>
  <c r="K99" i="1" s="1"/>
  <c r="J75" i="2"/>
  <c r="J51" i="2"/>
  <c r="J27" i="2"/>
  <c r="J19" i="2"/>
  <c r="K19" i="1" s="1"/>
  <c r="J11" i="2"/>
  <c r="J2" i="2"/>
  <c r="K2" i="1" s="1"/>
  <c r="T37" i="6"/>
  <c r="E37" i="2" s="1"/>
  <c r="S37" i="6"/>
  <c r="R37" i="6"/>
  <c r="Q37" i="6"/>
  <c r="N37" i="6"/>
  <c r="J37" i="6"/>
  <c r="I37" i="6"/>
  <c r="V490" i="3"/>
  <c r="U490" i="3"/>
  <c r="T13" i="6"/>
  <c r="E13" i="2" s="1"/>
  <c r="S13" i="6"/>
  <c r="R13" i="6"/>
  <c r="N13" i="6"/>
  <c r="Q13" i="6" s="1"/>
  <c r="J13" i="6"/>
  <c r="I13" i="6"/>
  <c r="E110" i="2"/>
  <c r="E102" i="2"/>
  <c r="E86" i="2"/>
  <c r="E78" i="2"/>
  <c r="E62" i="2"/>
  <c r="E54" i="2"/>
  <c r="E30" i="2"/>
  <c r="E22" i="2"/>
  <c r="E168" i="2"/>
  <c r="E15" i="2"/>
  <c r="S58" i="6"/>
  <c r="J58" i="6"/>
  <c r="I58" i="6"/>
  <c r="T58" i="6"/>
  <c r="E58" i="2" s="1"/>
  <c r="R58" i="6"/>
  <c r="Q58" i="6"/>
  <c r="N58" i="6"/>
  <c r="T316" i="6"/>
  <c r="S316" i="6"/>
  <c r="R316" i="6"/>
  <c r="Q316" i="6"/>
  <c r="J316" i="6"/>
  <c r="I316" i="6"/>
  <c r="N316" i="6"/>
  <c r="T369" i="6"/>
  <c r="Q369" i="6"/>
  <c r="N369" i="6"/>
  <c r="R369" i="6"/>
  <c r="S369" i="6"/>
  <c r="J369" i="6"/>
  <c r="I369" i="6"/>
  <c r="T371" i="6"/>
  <c r="S371" i="6"/>
  <c r="Q371" i="6"/>
  <c r="N371" i="6"/>
  <c r="I371" i="6"/>
  <c r="R371" i="6"/>
  <c r="J371" i="6"/>
  <c r="V201" i="3"/>
  <c r="V249" i="3"/>
  <c r="V297" i="3"/>
  <c r="U322" i="3"/>
  <c r="V365" i="3"/>
  <c r="V380" i="3"/>
  <c r="V405" i="3"/>
  <c r="V414" i="3"/>
  <c r="V429" i="3"/>
  <c r="U463" i="3"/>
  <c r="U478" i="3"/>
  <c r="J10" i="2"/>
  <c r="J15" i="2"/>
  <c r="J20" i="2"/>
  <c r="J26" i="2"/>
  <c r="I31" i="2"/>
  <c r="K31" i="1" s="1"/>
  <c r="J57" i="2"/>
  <c r="I66" i="2"/>
  <c r="K66" i="1" s="1"/>
  <c r="I71" i="2"/>
  <c r="J76" i="2"/>
  <c r="I82" i="2"/>
  <c r="I101" i="2"/>
  <c r="K101" i="1" s="1"/>
  <c r="I116" i="2"/>
  <c r="J122" i="2"/>
  <c r="I127" i="2"/>
  <c r="K127" i="1" s="1"/>
  <c r="J153" i="2"/>
  <c r="K153" i="1" s="1"/>
  <c r="E160" i="2"/>
  <c r="I162" i="2"/>
  <c r="K162" i="1" s="1"/>
  <c r="T308" i="3"/>
  <c r="U308" i="3"/>
  <c r="U335" i="3"/>
  <c r="T369" i="3"/>
  <c r="T418" i="3"/>
  <c r="U461" i="3"/>
  <c r="U476" i="3"/>
  <c r="J81" i="2"/>
  <c r="I95" i="2"/>
  <c r="K95" i="1" s="1"/>
  <c r="J100" i="2"/>
  <c r="I106" i="2"/>
  <c r="K106" i="1" s="1"/>
  <c r="I125" i="2"/>
  <c r="K125" i="1" s="1"/>
  <c r="I140" i="2"/>
  <c r="K140" i="1" s="1"/>
  <c r="J146" i="2"/>
  <c r="I151" i="2"/>
  <c r="K151" i="1" s="1"/>
  <c r="J168" i="2"/>
  <c r="I156" i="2"/>
  <c r="T26" i="6"/>
  <c r="E26" i="2" s="1"/>
  <c r="S26" i="6"/>
  <c r="R26" i="6"/>
  <c r="N26" i="6"/>
  <c r="Q26" i="6" s="1"/>
  <c r="J26" i="6"/>
  <c r="I26" i="6"/>
  <c r="T44" i="6"/>
  <c r="S44" i="6"/>
  <c r="R44" i="6"/>
  <c r="N44" i="6"/>
  <c r="Q44" i="6" s="1"/>
  <c r="J44" i="6"/>
  <c r="I44" i="6"/>
  <c r="T66" i="6"/>
  <c r="S66" i="6"/>
  <c r="R66" i="6"/>
  <c r="N66" i="6"/>
  <c r="Q66" i="6" s="1"/>
  <c r="J66" i="6"/>
  <c r="I66" i="6"/>
  <c r="T84" i="6"/>
  <c r="S84" i="6"/>
  <c r="Q84" i="6"/>
  <c r="R84" i="6"/>
  <c r="N84" i="6"/>
  <c r="J84" i="6"/>
  <c r="I84" i="6"/>
  <c r="I134" i="6"/>
  <c r="J134" i="6"/>
  <c r="S134" i="6"/>
  <c r="R134" i="6"/>
  <c r="T134" i="6"/>
  <c r="E134" i="2" s="1"/>
  <c r="N134" i="6"/>
  <c r="Q134" i="6" s="1"/>
  <c r="R177" i="6"/>
  <c r="N177" i="6"/>
  <c r="T177" i="6"/>
  <c r="I177" i="6"/>
  <c r="S177" i="6"/>
  <c r="Q177" i="6"/>
  <c r="J177" i="6"/>
  <c r="I271" i="6"/>
  <c r="S271" i="6"/>
  <c r="T271" i="6"/>
  <c r="Q271" i="6"/>
  <c r="N271" i="6"/>
  <c r="R271" i="6"/>
  <c r="J271" i="6"/>
  <c r="R275" i="6"/>
  <c r="S275" i="6"/>
  <c r="Q275" i="6"/>
  <c r="J275" i="6"/>
  <c r="I275" i="6"/>
  <c r="T275" i="6"/>
  <c r="N275" i="6"/>
  <c r="T31" i="6"/>
  <c r="E31" i="2" s="1"/>
  <c r="S31" i="6"/>
  <c r="R31" i="6"/>
  <c r="Q31" i="6"/>
  <c r="N31" i="6"/>
  <c r="J31" i="6"/>
  <c r="I31" i="6"/>
  <c r="T49" i="6"/>
  <c r="E49" i="2" s="1"/>
  <c r="S49" i="6"/>
  <c r="R49" i="6"/>
  <c r="Q49" i="6"/>
  <c r="N49" i="6"/>
  <c r="J49" i="6"/>
  <c r="I49" i="6"/>
  <c r="T14" i="6"/>
  <c r="E14" i="2" s="1"/>
  <c r="S14" i="6"/>
  <c r="R14" i="6"/>
  <c r="N14" i="6"/>
  <c r="Q14" i="6" s="1"/>
  <c r="J14" i="6"/>
  <c r="I14" i="6"/>
  <c r="I80" i="6"/>
  <c r="T80" i="6"/>
  <c r="E80" i="2" s="1"/>
  <c r="R80" i="6"/>
  <c r="S80" i="6"/>
  <c r="Q80" i="6"/>
  <c r="N80" i="6"/>
  <c r="J80" i="6"/>
  <c r="I193" i="6"/>
  <c r="J193" i="6"/>
  <c r="T193" i="6"/>
  <c r="Q193" i="6"/>
  <c r="N193" i="6"/>
  <c r="S193" i="6"/>
  <c r="R193" i="6"/>
  <c r="R261" i="6"/>
  <c r="N261" i="6"/>
  <c r="S261" i="6"/>
  <c r="Q261" i="6"/>
  <c r="T261" i="6"/>
  <c r="J261" i="6"/>
  <c r="I261" i="6"/>
  <c r="S3" i="6"/>
  <c r="E152" i="2"/>
  <c r="E140" i="2"/>
  <c r="E128" i="2"/>
  <c r="E116" i="2"/>
  <c r="E68" i="2"/>
  <c r="E56" i="2"/>
  <c r="E44" i="2"/>
  <c r="E32" i="2"/>
  <c r="E8" i="2"/>
  <c r="R3" i="6"/>
  <c r="N3" i="6"/>
  <c r="Q3" i="6" s="1"/>
  <c r="J3" i="6"/>
  <c r="I3" i="6"/>
  <c r="R100" i="6"/>
  <c r="N100" i="6"/>
  <c r="Q100" i="6" s="1"/>
  <c r="J100" i="6"/>
  <c r="T100" i="6"/>
  <c r="S100" i="6"/>
  <c r="I100" i="6"/>
  <c r="Q120" i="6"/>
  <c r="N173" i="6"/>
  <c r="T173" i="6"/>
  <c r="S173" i="6"/>
  <c r="Q173" i="6"/>
  <c r="R173" i="6"/>
  <c r="J173" i="6"/>
  <c r="I173" i="6"/>
  <c r="I269" i="6"/>
  <c r="T269" i="6"/>
  <c r="S269" i="6"/>
  <c r="R269" i="6"/>
  <c r="Q269" i="6"/>
  <c r="N269" i="6"/>
  <c r="J269" i="6"/>
  <c r="N389" i="6"/>
  <c r="T389" i="6"/>
  <c r="S389" i="6"/>
  <c r="Q389" i="6"/>
  <c r="J389" i="6"/>
  <c r="R389" i="6"/>
  <c r="I389" i="6"/>
  <c r="T19" i="6"/>
  <c r="E19" i="2" s="1"/>
  <c r="S19" i="6"/>
  <c r="R19" i="6"/>
  <c r="N19" i="6"/>
  <c r="Q19" i="6" s="1"/>
  <c r="J19" i="6"/>
  <c r="I19" i="6"/>
  <c r="T32" i="6"/>
  <c r="S32" i="6"/>
  <c r="R32" i="6"/>
  <c r="N32" i="6"/>
  <c r="Q32" i="6" s="1"/>
  <c r="J32" i="6"/>
  <c r="I32" i="6"/>
  <c r="T50" i="6"/>
  <c r="E50" i="2" s="1"/>
  <c r="S50" i="6"/>
  <c r="R50" i="6"/>
  <c r="N50" i="6"/>
  <c r="Q50" i="6" s="1"/>
  <c r="J50" i="6"/>
  <c r="I50" i="6"/>
  <c r="T186" i="6"/>
  <c r="R186" i="6"/>
  <c r="J186" i="6"/>
  <c r="Q186" i="6"/>
  <c r="N186" i="6"/>
  <c r="I186" i="6"/>
  <c r="S186" i="6"/>
  <c r="R255" i="6"/>
  <c r="J255" i="6"/>
  <c r="T255" i="6"/>
  <c r="S255" i="6"/>
  <c r="Q255" i="6"/>
  <c r="N255" i="6"/>
  <c r="I255" i="6"/>
  <c r="T7" i="6"/>
  <c r="E7" i="2" s="1"/>
  <c r="L7" i="2" s="1"/>
  <c r="S7" i="6"/>
  <c r="R7" i="6"/>
  <c r="N7" i="6"/>
  <c r="Q7" i="6" s="1"/>
  <c r="J7" i="6"/>
  <c r="I7" i="6"/>
  <c r="R243" i="6"/>
  <c r="N243" i="6"/>
  <c r="T243" i="6"/>
  <c r="Q243" i="6"/>
  <c r="J243" i="6"/>
  <c r="I243" i="6"/>
  <c r="S243" i="6"/>
  <c r="T20" i="6"/>
  <c r="E20" i="2" s="1"/>
  <c r="S20" i="6"/>
  <c r="R20" i="6"/>
  <c r="N20" i="6"/>
  <c r="Q20" i="6" s="1"/>
  <c r="J20" i="6"/>
  <c r="I20" i="6"/>
  <c r="T77" i="6"/>
  <c r="E77" i="2" s="1"/>
  <c r="R77" i="6"/>
  <c r="I77" i="6"/>
  <c r="S77" i="6"/>
  <c r="N77" i="6"/>
  <c r="Q77" i="6" s="1"/>
  <c r="J77" i="6"/>
  <c r="T167" i="6"/>
  <c r="E167" i="2" s="1"/>
  <c r="S167" i="6"/>
  <c r="R167" i="6"/>
  <c r="N167" i="6"/>
  <c r="Q167" i="6" s="1"/>
  <c r="J167" i="6"/>
  <c r="I167" i="6"/>
  <c r="T38" i="6"/>
  <c r="E38" i="2" s="1"/>
  <c r="L38" i="2" s="1"/>
  <c r="S38" i="6"/>
  <c r="R38" i="6"/>
  <c r="N38" i="6"/>
  <c r="Q38" i="6" s="1"/>
  <c r="J38" i="6"/>
  <c r="I38" i="6"/>
  <c r="N87" i="6"/>
  <c r="Q87" i="6" s="1"/>
  <c r="J87" i="6"/>
  <c r="I87" i="6"/>
  <c r="T87" i="6"/>
  <c r="S87" i="6"/>
  <c r="R87" i="6"/>
  <c r="T127" i="6"/>
  <c r="E127" i="2" s="1"/>
  <c r="S127" i="6"/>
  <c r="R127" i="6"/>
  <c r="N127" i="6"/>
  <c r="Q127" i="6"/>
  <c r="J127" i="6"/>
  <c r="I127" i="6"/>
  <c r="N308" i="6"/>
  <c r="S308" i="6"/>
  <c r="Q308" i="6"/>
  <c r="J308" i="6"/>
  <c r="T308" i="6"/>
  <c r="R308" i="6"/>
  <c r="I308" i="6"/>
  <c r="E126" i="2"/>
  <c r="E150" i="2"/>
  <c r="E165" i="2"/>
  <c r="T8" i="6"/>
  <c r="S8" i="6"/>
  <c r="R8" i="6"/>
  <c r="N8" i="6"/>
  <c r="Q8" i="6" s="1"/>
  <c r="J8" i="6"/>
  <c r="I8" i="6"/>
  <c r="T25" i="6"/>
  <c r="E25" i="2" s="1"/>
  <c r="S25" i="6"/>
  <c r="R25" i="6"/>
  <c r="N25" i="6"/>
  <c r="Q25" i="6" s="1"/>
  <c r="J25" i="6"/>
  <c r="I25" i="6"/>
  <c r="T43" i="6"/>
  <c r="E43" i="2" s="1"/>
  <c r="S43" i="6"/>
  <c r="R43" i="6"/>
  <c r="N43" i="6"/>
  <c r="Q43" i="6" s="1"/>
  <c r="J43" i="6"/>
  <c r="I43" i="6"/>
  <c r="T238" i="6"/>
  <c r="J238" i="6"/>
  <c r="S238" i="6"/>
  <c r="R238" i="6"/>
  <c r="N238" i="6"/>
  <c r="I238" i="6"/>
  <c r="Q238" i="6"/>
  <c r="Q4" i="6"/>
  <c r="T29" i="6"/>
  <c r="E29" i="2" s="1"/>
  <c r="T35" i="6"/>
  <c r="E35" i="2" s="1"/>
  <c r="T41" i="6"/>
  <c r="E41" i="2" s="1"/>
  <c r="T47" i="6"/>
  <c r="E47" i="2" s="1"/>
  <c r="Q55" i="6"/>
  <c r="J75" i="6"/>
  <c r="I92" i="6"/>
  <c r="R92" i="6"/>
  <c r="N92" i="6"/>
  <c r="Q92" i="6" s="1"/>
  <c r="N95" i="6"/>
  <c r="Q95" i="6" s="1"/>
  <c r="R98" i="6"/>
  <c r="Q103" i="6"/>
  <c r="J105" i="6"/>
  <c r="R115" i="6"/>
  <c r="N120" i="6"/>
  <c r="N129" i="6"/>
  <c r="Q129" i="6" s="1"/>
  <c r="S129" i="6"/>
  <c r="I129" i="6"/>
  <c r="T131" i="6"/>
  <c r="E131" i="2" s="1"/>
  <c r="S131" i="6"/>
  <c r="Q131" i="6"/>
  <c r="N139" i="6"/>
  <c r="Q139" i="6" s="1"/>
  <c r="I139" i="6"/>
  <c r="S139" i="6"/>
  <c r="J142" i="6"/>
  <c r="N146" i="6"/>
  <c r="Q146" i="6" s="1"/>
  <c r="I156" i="6"/>
  <c r="R156" i="6"/>
  <c r="Q156" i="6"/>
  <c r="N156" i="6"/>
  <c r="Q180" i="6"/>
  <c r="I197" i="6"/>
  <c r="R197" i="6"/>
  <c r="N197" i="6"/>
  <c r="J197" i="6"/>
  <c r="T197" i="6"/>
  <c r="S197" i="6"/>
  <c r="Q197" i="6"/>
  <c r="R201" i="6"/>
  <c r="S201" i="6"/>
  <c r="N201" i="6"/>
  <c r="J201" i="6"/>
  <c r="I201" i="6"/>
  <c r="S209" i="6"/>
  <c r="R209" i="6"/>
  <c r="Q209" i="6"/>
  <c r="N209" i="6"/>
  <c r="J209" i="6"/>
  <c r="T246" i="6"/>
  <c r="S246" i="6"/>
  <c r="Q246" i="6"/>
  <c r="N246" i="6"/>
  <c r="R326" i="6"/>
  <c r="J326" i="6"/>
  <c r="T326" i="6"/>
  <c r="S326" i="6"/>
  <c r="N326" i="6"/>
  <c r="I326" i="6"/>
  <c r="Q326" i="6"/>
  <c r="R55" i="6"/>
  <c r="N69" i="6"/>
  <c r="Q69" i="6"/>
  <c r="J69" i="6"/>
  <c r="I69" i="6"/>
  <c r="T89" i="6"/>
  <c r="E89" i="2" s="1"/>
  <c r="I89" i="6"/>
  <c r="R89" i="6"/>
  <c r="T109" i="6"/>
  <c r="E109" i="2" s="1"/>
  <c r="I109" i="6"/>
  <c r="R109" i="6"/>
  <c r="I235" i="6"/>
  <c r="S235" i="6"/>
  <c r="R235" i="6"/>
  <c r="Q235" i="6"/>
  <c r="T235" i="6"/>
  <c r="R239" i="6"/>
  <c r="T239" i="6"/>
  <c r="S239" i="6"/>
  <c r="Q239" i="6"/>
  <c r="N239" i="6"/>
  <c r="I239" i="6"/>
  <c r="Q53" i="6"/>
  <c r="J53" i="6"/>
  <c r="T71" i="6"/>
  <c r="E71" i="2" s="1"/>
  <c r="I71" i="6"/>
  <c r="I74" i="6"/>
  <c r="R74" i="6"/>
  <c r="N74" i="6"/>
  <c r="Q74" i="6" s="1"/>
  <c r="R124" i="6"/>
  <c r="I124" i="6"/>
  <c r="S124" i="6"/>
  <c r="N141" i="6"/>
  <c r="R141" i="6"/>
  <c r="Q141" i="6"/>
  <c r="J141" i="6"/>
  <c r="R160" i="6"/>
  <c r="J160" i="6"/>
  <c r="T160" i="6"/>
  <c r="S160" i="6"/>
  <c r="I160" i="6"/>
  <c r="I179" i="6"/>
  <c r="T179" i="6"/>
  <c r="Q179" i="6"/>
  <c r="S179" i="6"/>
  <c r="I181" i="6"/>
  <c r="S181" i="6"/>
  <c r="Q181" i="6"/>
  <c r="T181" i="6"/>
  <c r="R181" i="6"/>
  <c r="J181" i="6"/>
  <c r="I295" i="6"/>
  <c r="T295" i="6"/>
  <c r="S295" i="6"/>
  <c r="R295" i="6"/>
  <c r="R297" i="6"/>
  <c r="N297" i="6"/>
  <c r="T297" i="6"/>
  <c r="Q297" i="6"/>
  <c r="J297" i="6"/>
  <c r="S297" i="6"/>
  <c r="I297" i="6"/>
  <c r="T339" i="6"/>
  <c r="J339" i="6"/>
  <c r="S339" i="6"/>
  <c r="R339" i="6"/>
  <c r="I2" i="6"/>
  <c r="N96" i="6"/>
  <c r="Q96" i="6" s="1"/>
  <c r="J96" i="6"/>
  <c r="I104" i="6"/>
  <c r="S104" i="6"/>
  <c r="R104" i="6"/>
  <c r="N104" i="6"/>
  <c r="Q104" i="6" s="1"/>
  <c r="J129" i="6"/>
  <c r="I131" i="6"/>
  <c r="J139" i="6"/>
  <c r="T145" i="6"/>
  <c r="E145" i="2" s="1"/>
  <c r="R145" i="6"/>
  <c r="Q145" i="6"/>
  <c r="N145" i="6"/>
  <c r="I145" i="6"/>
  <c r="J156" i="6"/>
  <c r="I187" i="6"/>
  <c r="S187" i="6"/>
  <c r="R187" i="6"/>
  <c r="N194" i="6"/>
  <c r="R194" i="6"/>
  <c r="S194" i="6"/>
  <c r="Q194" i="6"/>
  <c r="T194" i="6"/>
  <c r="J194" i="6"/>
  <c r="I194" i="6"/>
  <c r="Q201" i="6"/>
  <c r="I209" i="6"/>
  <c r="I217" i="6"/>
  <c r="S217" i="6"/>
  <c r="T217" i="6"/>
  <c r="R217" i="6"/>
  <c r="Q217" i="6"/>
  <c r="J217" i="6"/>
  <c r="R279" i="6"/>
  <c r="N279" i="6"/>
  <c r="T279" i="6"/>
  <c r="S279" i="6"/>
  <c r="J279" i="6"/>
  <c r="I279" i="6"/>
  <c r="Q279" i="6"/>
  <c r="T327" i="6"/>
  <c r="R327" i="6"/>
  <c r="S327" i="6"/>
  <c r="Q327" i="6"/>
  <c r="N327" i="6"/>
  <c r="J327" i="6"/>
  <c r="I327" i="6"/>
  <c r="R350" i="6"/>
  <c r="Q350" i="6"/>
  <c r="I350" i="6"/>
  <c r="S350" i="6"/>
  <c r="N350" i="6"/>
  <c r="T350" i="6"/>
  <c r="J350" i="6"/>
  <c r="R374" i="6"/>
  <c r="S374" i="6"/>
  <c r="Q374" i="6"/>
  <c r="N374" i="6"/>
  <c r="J374" i="6"/>
  <c r="I374" i="6"/>
  <c r="T400" i="6"/>
  <c r="Q400" i="6"/>
  <c r="N400" i="6"/>
  <c r="S400" i="6"/>
  <c r="J400" i="6"/>
  <c r="I400" i="6"/>
  <c r="R400" i="6"/>
  <c r="T65" i="6"/>
  <c r="E65" i="2" s="1"/>
  <c r="R65" i="6"/>
  <c r="N65" i="6"/>
  <c r="Q65" i="6" s="1"/>
  <c r="N111" i="6"/>
  <c r="Q111" i="6" s="1"/>
  <c r="J111" i="6"/>
  <c r="I111" i="6"/>
  <c r="R126" i="6"/>
  <c r="N126" i="6"/>
  <c r="Q126" i="6" s="1"/>
  <c r="J126" i="6"/>
  <c r="N135" i="6"/>
  <c r="Q135" i="6" s="1"/>
  <c r="R135" i="6"/>
  <c r="S135" i="6"/>
  <c r="I164" i="6"/>
  <c r="T164" i="6"/>
  <c r="E164" i="2" s="1"/>
  <c r="R164" i="6"/>
  <c r="N242" i="6"/>
  <c r="T242" i="6"/>
  <c r="S242" i="6"/>
  <c r="Q242" i="6"/>
  <c r="J242" i="6"/>
  <c r="S382" i="6"/>
  <c r="N382" i="6"/>
  <c r="J382" i="6"/>
  <c r="T382" i="6"/>
  <c r="R382" i="6"/>
  <c r="Q486" i="6"/>
  <c r="N486" i="6"/>
  <c r="J486" i="6"/>
  <c r="I486" i="6"/>
  <c r="T486" i="6"/>
  <c r="S486" i="6"/>
  <c r="R486" i="6"/>
  <c r="I24" i="2"/>
  <c r="I36" i="2"/>
  <c r="I48" i="2"/>
  <c r="I60" i="2"/>
  <c r="I72" i="2"/>
  <c r="I84" i="2"/>
  <c r="I96" i="2"/>
  <c r="I108" i="2"/>
  <c r="K108" i="1" s="1"/>
  <c r="I120" i="2"/>
  <c r="I132" i="2"/>
  <c r="I144" i="2"/>
  <c r="N2" i="6"/>
  <c r="Q2" i="6" s="1"/>
  <c r="J6" i="6"/>
  <c r="J12" i="6"/>
  <c r="J18" i="6"/>
  <c r="J24" i="6"/>
  <c r="J30" i="6"/>
  <c r="J36" i="6"/>
  <c r="J42" i="6"/>
  <c r="I53" i="6"/>
  <c r="N59" i="6"/>
  <c r="Q59" i="6" s="1"/>
  <c r="J59" i="6"/>
  <c r="S69" i="6"/>
  <c r="J71" i="6"/>
  <c r="J74" i="6"/>
  <c r="Q78" i="6"/>
  <c r="N78" i="6"/>
  <c r="J78" i="6"/>
  <c r="N89" i="6"/>
  <c r="Q89" i="6" s="1"/>
  <c r="T92" i="6"/>
  <c r="E92" i="2" s="1"/>
  <c r="N109" i="6"/>
  <c r="Q109" i="6" s="1"/>
  <c r="J124" i="6"/>
  <c r="R129" i="6"/>
  <c r="N131" i="6"/>
  <c r="R139" i="6"/>
  <c r="I141" i="6"/>
  <c r="Q149" i="6"/>
  <c r="T156" i="6"/>
  <c r="E156" i="2" s="1"/>
  <c r="N160" i="6"/>
  <c r="Q160" i="6" s="1"/>
  <c r="N176" i="6"/>
  <c r="R176" i="6"/>
  <c r="T176" i="6"/>
  <c r="S176" i="6"/>
  <c r="J179" i="6"/>
  <c r="N181" i="6"/>
  <c r="T202" i="6"/>
  <c r="J202" i="6"/>
  <c r="S202" i="6"/>
  <c r="Q202" i="6"/>
  <c r="N202" i="6"/>
  <c r="I202" i="6"/>
  <c r="N235" i="6"/>
  <c r="R246" i="6"/>
  <c r="N260" i="6"/>
  <c r="T260" i="6"/>
  <c r="R260" i="6"/>
  <c r="Q260" i="6"/>
  <c r="I260" i="6"/>
  <c r="R293" i="6"/>
  <c r="S293" i="6"/>
  <c r="N293" i="6"/>
  <c r="J293" i="6"/>
  <c r="T293" i="6"/>
  <c r="J295" i="6"/>
  <c r="T333" i="6"/>
  <c r="Q333" i="6"/>
  <c r="N333" i="6"/>
  <c r="I333" i="6"/>
  <c r="S333" i="6"/>
  <c r="R333" i="6"/>
  <c r="J333" i="6"/>
  <c r="R335" i="6"/>
  <c r="N335" i="6"/>
  <c r="J335" i="6"/>
  <c r="T335" i="6"/>
  <c r="I339" i="6"/>
  <c r="Q341" i="6"/>
  <c r="I341" i="6"/>
  <c r="S341" i="6"/>
  <c r="R341" i="6"/>
  <c r="J341" i="6"/>
  <c r="T341" i="6"/>
  <c r="N341" i="6"/>
  <c r="N53" i="6"/>
  <c r="N71" i="6"/>
  <c r="Q71" i="6" s="1"/>
  <c r="S74" i="6"/>
  <c r="T83" i="6"/>
  <c r="R83" i="6"/>
  <c r="Q83" i="6"/>
  <c r="N83" i="6"/>
  <c r="I83" i="6"/>
  <c r="N93" i="6"/>
  <c r="Q93" i="6" s="1"/>
  <c r="T93" i="6"/>
  <c r="E93" i="2" s="1"/>
  <c r="S93" i="6"/>
  <c r="J104" i="6"/>
  <c r="N124" i="6"/>
  <c r="Q124" i="6" s="1"/>
  <c r="S141" i="6"/>
  <c r="N157" i="6"/>
  <c r="T157" i="6"/>
  <c r="E157" i="2" s="1"/>
  <c r="S157" i="6"/>
  <c r="Q157" i="6"/>
  <c r="T161" i="6"/>
  <c r="R161" i="6"/>
  <c r="J161" i="6"/>
  <c r="I161" i="6"/>
  <c r="R166" i="6"/>
  <c r="T166" i="6"/>
  <c r="N166" i="6"/>
  <c r="Q166" i="6"/>
  <c r="J166" i="6"/>
  <c r="I166" i="6"/>
  <c r="T172" i="6"/>
  <c r="S172" i="6"/>
  <c r="N172" i="6"/>
  <c r="J172" i="6"/>
  <c r="I172" i="6"/>
  <c r="R189" i="6"/>
  <c r="N189" i="6"/>
  <c r="T189" i="6"/>
  <c r="J189" i="6"/>
  <c r="S189" i="6"/>
  <c r="Q189" i="6"/>
  <c r="T280" i="6"/>
  <c r="S280" i="6"/>
  <c r="R280" i="6"/>
  <c r="Q280" i="6"/>
  <c r="N280" i="6"/>
  <c r="J280" i="6"/>
  <c r="I280" i="6"/>
  <c r="T310" i="6"/>
  <c r="J310" i="6"/>
  <c r="S310" i="6"/>
  <c r="I310" i="6"/>
  <c r="I323" i="6"/>
  <c r="Q323" i="6"/>
  <c r="T323" i="6"/>
  <c r="S323" i="6"/>
  <c r="N323" i="6"/>
  <c r="J323" i="6"/>
  <c r="R323" i="6"/>
  <c r="R386" i="6"/>
  <c r="Q386" i="6"/>
  <c r="I386" i="6"/>
  <c r="N386" i="6"/>
  <c r="T386" i="6"/>
  <c r="S386" i="6"/>
  <c r="J386" i="6"/>
  <c r="Q480" i="6"/>
  <c r="N480" i="6"/>
  <c r="J480" i="6"/>
  <c r="I480" i="6"/>
  <c r="S480" i="6"/>
  <c r="R480" i="6"/>
  <c r="T480" i="6"/>
  <c r="R2" i="6"/>
  <c r="J11" i="6"/>
  <c r="J17" i="6"/>
  <c r="J23" i="6"/>
  <c r="J29" i="6"/>
  <c r="J35" i="6"/>
  <c r="J41" i="6"/>
  <c r="J47" i="6"/>
  <c r="R53" i="6"/>
  <c r="T61" i="6"/>
  <c r="E61" i="2" s="1"/>
  <c r="S61" i="6"/>
  <c r="I65" i="6"/>
  <c r="T74" i="6"/>
  <c r="E74" i="2" s="1"/>
  <c r="S89" i="6"/>
  <c r="R96" i="6"/>
  <c r="I98" i="6"/>
  <c r="J98" i="6"/>
  <c r="S98" i="6"/>
  <c r="T104" i="6"/>
  <c r="E104" i="2" s="1"/>
  <c r="S109" i="6"/>
  <c r="R111" i="6"/>
  <c r="I126" i="6"/>
  <c r="R130" i="6"/>
  <c r="N130" i="6"/>
  <c r="S130" i="6"/>
  <c r="Q130" i="6"/>
  <c r="J130" i="6"/>
  <c r="Q132" i="6"/>
  <c r="I135" i="6"/>
  <c r="T141" i="6"/>
  <c r="E141" i="2" s="1"/>
  <c r="L141" i="2" s="1"/>
  <c r="J164" i="6"/>
  <c r="R179" i="6"/>
  <c r="T220" i="6"/>
  <c r="J220" i="6"/>
  <c r="R220" i="6"/>
  <c r="Q220" i="6"/>
  <c r="I242" i="6"/>
  <c r="Q295" i="6"/>
  <c r="N337" i="6"/>
  <c r="S337" i="6"/>
  <c r="J337" i="6"/>
  <c r="I337" i="6"/>
  <c r="T337" i="6"/>
  <c r="R337" i="6"/>
  <c r="Q337" i="6"/>
  <c r="Q339" i="6"/>
  <c r="I382" i="6"/>
  <c r="J467" i="6"/>
  <c r="I467" i="6"/>
  <c r="S467" i="6"/>
  <c r="R467" i="6"/>
  <c r="T467" i="6"/>
  <c r="Q467" i="6"/>
  <c r="N467" i="6"/>
  <c r="J473" i="6"/>
  <c r="I473" i="6"/>
  <c r="S473" i="6"/>
  <c r="R473" i="6"/>
  <c r="T473" i="6"/>
  <c r="N473" i="6"/>
  <c r="S53" i="6"/>
  <c r="J65" i="6"/>
  <c r="R71" i="6"/>
  <c r="N75" i="6"/>
  <c r="T75" i="6"/>
  <c r="E75" i="2" s="1"/>
  <c r="S75" i="6"/>
  <c r="Q75" i="6"/>
  <c r="T95" i="6"/>
  <c r="E95" i="2" s="1"/>
  <c r="R95" i="6"/>
  <c r="I95" i="6"/>
  <c r="S96" i="6"/>
  <c r="N103" i="6"/>
  <c r="S103" i="6"/>
  <c r="I103" i="6"/>
  <c r="N105" i="6"/>
  <c r="Q105" i="6" s="1"/>
  <c r="T105" i="6"/>
  <c r="E105" i="2" s="1"/>
  <c r="R105" i="6"/>
  <c r="S111" i="6"/>
  <c r="N115" i="6"/>
  <c r="Q115" i="6" s="1"/>
  <c r="J115" i="6"/>
  <c r="I120" i="6"/>
  <c r="T120" i="6"/>
  <c r="E120" i="2" s="1"/>
  <c r="R120" i="6"/>
  <c r="T124" i="6"/>
  <c r="E124" i="2" s="1"/>
  <c r="L124" i="2" s="1"/>
  <c r="S126" i="6"/>
  <c r="J135" i="6"/>
  <c r="R142" i="6"/>
  <c r="T142" i="6"/>
  <c r="E142" i="2" s="1"/>
  <c r="S142" i="6"/>
  <c r="N142" i="6"/>
  <c r="Q142" i="6" s="1"/>
  <c r="I146" i="6"/>
  <c r="T146" i="6"/>
  <c r="E146" i="2" s="1"/>
  <c r="R146" i="6"/>
  <c r="N164" i="6"/>
  <c r="Q164" i="6" s="1"/>
  <c r="I170" i="6"/>
  <c r="R170" i="6"/>
  <c r="J170" i="6"/>
  <c r="T170" i="6"/>
  <c r="E170" i="2" s="1"/>
  <c r="L170" i="2" s="1"/>
  <c r="S170" i="6"/>
  <c r="N170" i="6"/>
  <c r="Q170" i="6" s="1"/>
  <c r="N180" i="6"/>
  <c r="T180" i="6"/>
  <c r="S180" i="6"/>
  <c r="I180" i="6"/>
  <c r="N200" i="6"/>
  <c r="S200" i="6"/>
  <c r="J200" i="6"/>
  <c r="T200" i="6"/>
  <c r="R200" i="6"/>
  <c r="Q200" i="6"/>
  <c r="T208" i="6"/>
  <c r="S208" i="6"/>
  <c r="Q208" i="6"/>
  <c r="J208" i="6"/>
  <c r="I208" i="6"/>
  <c r="N208" i="6"/>
  <c r="S227" i="6"/>
  <c r="Q227" i="6"/>
  <c r="N227" i="6"/>
  <c r="T227" i="6"/>
  <c r="R227" i="6"/>
  <c r="I227" i="6"/>
  <c r="N234" i="6"/>
  <c r="T234" i="6"/>
  <c r="Q234" i="6"/>
  <c r="I234" i="6"/>
  <c r="J234" i="6"/>
  <c r="R242" i="6"/>
  <c r="J260" i="6"/>
  <c r="T363" i="6"/>
  <c r="N363" i="6"/>
  <c r="Q363" i="6"/>
  <c r="S363" i="6"/>
  <c r="J363" i="6"/>
  <c r="I363" i="6"/>
  <c r="R363" i="6"/>
  <c r="Q382" i="6"/>
  <c r="T107" i="6"/>
  <c r="E107" i="2" s="1"/>
  <c r="J107" i="6"/>
  <c r="I122" i="6"/>
  <c r="S122" i="6"/>
  <c r="R148" i="6"/>
  <c r="N148" i="6"/>
  <c r="Q148" i="6" s="1"/>
  <c r="I152" i="6"/>
  <c r="J152" i="6"/>
  <c r="I175" i="6"/>
  <c r="J175" i="6"/>
  <c r="S175" i="6"/>
  <c r="N175" i="6"/>
  <c r="R219" i="6"/>
  <c r="T219" i="6"/>
  <c r="N219" i="6"/>
  <c r="I219" i="6"/>
  <c r="I241" i="6"/>
  <c r="S241" i="6"/>
  <c r="Q241" i="6"/>
  <c r="N241" i="6"/>
  <c r="I247" i="6"/>
  <c r="J247" i="6"/>
  <c r="T247" i="6"/>
  <c r="N254" i="6"/>
  <c r="T254" i="6"/>
  <c r="S254" i="6"/>
  <c r="N284" i="6"/>
  <c r="R284" i="6"/>
  <c r="T284" i="6"/>
  <c r="I287" i="6"/>
  <c r="T287" i="6"/>
  <c r="R287" i="6"/>
  <c r="Q287" i="6"/>
  <c r="R309" i="6"/>
  <c r="T309" i="6"/>
  <c r="S309" i="6"/>
  <c r="N309" i="6"/>
  <c r="J309" i="6"/>
  <c r="R320" i="6"/>
  <c r="S320" i="6"/>
  <c r="Q320" i="6"/>
  <c r="N320" i="6"/>
  <c r="R329" i="6"/>
  <c r="T329" i="6"/>
  <c r="Q329" i="6"/>
  <c r="N329" i="6"/>
  <c r="I329" i="6"/>
  <c r="J431" i="6"/>
  <c r="I431" i="6"/>
  <c r="R431" i="6"/>
  <c r="S431" i="6"/>
  <c r="Q431" i="6"/>
  <c r="T431" i="6"/>
  <c r="N431" i="6"/>
  <c r="Q444" i="6"/>
  <c r="N444" i="6"/>
  <c r="J444" i="6"/>
  <c r="R444" i="6"/>
  <c r="I444" i="6"/>
  <c r="T444" i="6"/>
  <c r="S444" i="6"/>
  <c r="T482" i="6"/>
  <c r="S482" i="6"/>
  <c r="N482" i="6"/>
  <c r="Q482" i="6"/>
  <c r="J482" i="6"/>
  <c r="R482" i="6"/>
  <c r="T245" i="6"/>
  <c r="R245" i="6"/>
  <c r="Q245" i="6"/>
  <c r="J245" i="6"/>
  <c r="I245" i="6"/>
  <c r="R263" i="6"/>
  <c r="N263" i="6"/>
  <c r="J263" i="6"/>
  <c r="I265" i="6"/>
  <c r="J265" i="6"/>
  <c r="S265" i="6"/>
  <c r="R265" i="6"/>
  <c r="N270" i="6"/>
  <c r="J270" i="6"/>
  <c r="R282" i="6"/>
  <c r="N282" i="6"/>
  <c r="J282" i="6"/>
  <c r="T294" i="6"/>
  <c r="S294" i="6"/>
  <c r="R294" i="6"/>
  <c r="N294" i="6"/>
  <c r="J294" i="6"/>
  <c r="N296" i="6"/>
  <c r="J296" i="6"/>
  <c r="I313" i="6"/>
  <c r="T313" i="6"/>
  <c r="R313" i="6"/>
  <c r="Q313" i="6"/>
  <c r="R383" i="6"/>
  <c r="Q383" i="6"/>
  <c r="S383" i="6"/>
  <c r="I383" i="6"/>
  <c r="T383" i="6"/>
  <c r="N383" i="6"/>
  <c r="T398" i="6"/>
  <c r="N398" i="6"/>
  <c r="R398" i="6"/>
  <c r="I398" i="6"/>
  <c r="S398" i="6"/>
  <c r="J398" i="6"/>
  <c r="J437" i="6"/>
  <c r="I437" i="6"/>
  <c r="T437" i="6"/>
  <c r="Q437" i="6"/>
  <c r="S437" i="6"/>
  <c r="R437" i="6"/>
  <c r="Q450" i="6"/>
  <c r="N450" i="6"/>
  <c r="J450" i="6"/>
  <c r="I450" i="6"/>
  <c r="S450" i="6"/>
  <c r="R450" i="6"/>
  <c r="Q60" i="6"/>
  <c r="Q70" i="6"/>
  <c r="N99" i="6"/>
  <c r="Q99" i="6" s="1"/>
  <c r="R99" i="6"/>
  <c r="T125" i="6"/>
  <c r="E125" i="2" s="1"/>
  <c r="J125" i="6"/>
  <c r="R138" i="6"/>
  <c r="I140" i="6"/>
  <c r="S140" i="6"/>
  <c r="N188" i="6"/>
  <c r="J188" i="6"/>
  <c r="T204" i="6"/>
  <c r="S204" i="6"/>
  <c r="N204" i="6"/>
  <c r="I204" i="6"/>
  <c r="N206" i="6"/>
  <c r="T206" i="6"/>
  <c r="R231" i="6"/>
  <c r="T231" i="6"/>
  <c r="Q231" i="6"/>
  <c r="N231" i="6"/>
  <c r="R249" i="6"/>
  <c r="S249" i="6"/>
  <c r="Q249" i="6"/>
  <c r="J249" i="6"/>
  <c r="I249" i="6"/>
  <c r="N272" i="6"/>
  <c r="T272" i="6"/>
  <c r="R272" i="6"/>
  <c r="Q272" i="6"/>
  <c r="T298" i="6"/>
  <c r="S298" i="6"/>
  <c r="Q298" i="6"/>
  <c r="N298" i="6"/>
  <c r="S317" i="6"/>
  <c r="R317" i="6"/>
  <c r="I324" i="6"/>
  <c r="Q324" i="6"/>
  <c r="T324" i="6"/>
  <c r="R338" i="6"/>
  <c r="S338" i="6"/>
  <c r="Q338" i="6"/>
  <c r="T338" i="6"/>
  <c r="N338" i="6"/>
  <c r="I338" i="6"/>
  <c r="R344" i="6"/>
  <c r="T344" i="6"/>
  <c r="Q344" i="6"/>
  <c r="N344" i="6"/>
  <c r="N396" i="6"/>
  <c r="J396" i="6"/>
  <c r="S396" i="6"/>
  <c r="R396" i="6"/>
  <c r="I396" i="6"/>
  <c r="Q396" i="6"/>
  <c r="R60" i="6"/>
  <c r="I73" i="6"/>
  <c r="I82" i="6"/>
  <c r="I91" i="6"/>
  <c r="I107" i="6"/>
  <c r="I114" i="6"/>
  <c r="I118" i="6"/>
  <c r="J122" i="6"/>
  <c r="I133" i="6"/>
  <c r="I144" i="6"/>
  <c r="I148" i="6"/>
  <c r="N152" i="6"/>
  <c r="Q152" i="6" s="1"/>
  <c r="N165" i="6"/>
  <c r="Q165" i="6" s="1"/>
  <c r="I169" i="6"/>
  <c r="N216" i="6"/>
  <c r="S216" i="6"/>
  <c r="Q216" i="6"/>
  <c r="J216" i="6"/>
  <c r="J219" i="6"/>
  <c r="T226" i="6"/>
  <c r="S226" i="6"/>
  <c r="R226" i="6"/>
  <c r="J226" i="6"/>
  <c r="J241" i="6"/>
  <c r="N247" i="6"/>
  <c r="I254" i="6"/>
  <c r="T256" i="6"/>
  <c r="J256" i="6"/>
  <c r="S256" i="6"/>
  <c r="Q256" i="6"/>
  <c r="N256" i="6"/>
  <c r="R267" i="6"/>
  <c r="S267" i="6"/>
  <c r="N267" i="6"/>
  <c r="J267" i="6"/>
  <c r="I284" i="6"/>
  <c r="J287" i="6"/>
  <c r="I301" i="6"/>
  <c r="J301" i="6"/>
  <c r="T301" i="6"/>
  <c r="R301" i="6"/>
  <c r="Q301" i="6"/>
  <c r="I309" i="6"/>
  <c r="I320" i="6"/>
  <c r="J329" i="6"/>
  <c r="S346" i="6"/>
  <c r="N346" i="6"/>
  <c r="J346" i="6"/>
  <c r="R346" i="6"/>
  <c r="Q346" i="6"/>
  <c r="R365" i="6"/>
  <c r="Q365" i="6"/>
  <c r="S365" i="6"/>
  <c r="N365" i="6"/>
  <c r="I365" i="6"/>
  <c r="T381" i="6"/>
  <c r="N381" i="6"/>
  <c r="R381" i="6"/>
  <c r="S381" i="6"/>
  <c r="Q381" i="6"/>
  <c r="I381" i="6"/>
  <c r="T387" i="6"/>
  <c r="Q387" i="6"/>
  <c r="N387" i="6"/>
  <c r="S387" i="6"/>
  <c r="S415" i="6"/>
  <c r="R415" i="6"/>
  <c r="Q415" i="6"/>
  <c r="I415" i="6"/>
  <c r="N415" i="6"/>
  <c r="J415" i="6"/>
  <c r="T415" i="6"/>
  <c r="T428" i="6"/>
  <c r="S428" i="6"/>
  <c r="N428" i="6"/>
  <c r="R428" i="6"/>
  <c r="Q428" i="6"/>
  <c r="J428" i="6"/>
  <c r="I428" i="6"/>
  <c r="I482" i="6"/>
  <c r="J491" i="6"/>
  <c r="I491" i="6"/>
  <c r="S491" i="6"/>
  <c r="R491" i="6"/>
  <c r="T491" i="6"/>
  <c r="N491" i="6"/>
  <c r="Q491" i="6"/>
  <c r="T70" i="6"/>
  <c r="E70" i="2" s="1"/>
  <c r="J73" i="6"/>
  <c r="J82" i="6"/>
  <c r="J91" i="6"/>
  <c r="N107" i="6"/>
  <c r="Q107" i="6" s="1"/>
  <c r="T113" i="6"/>
  <c r="S113" i="6"/>
  <c r="J114" i="6"/>
  <c r="N117" i="6"/>
  <c r="Q117" i="6" s="1"/>
  <c r="R117" i="6"/>
  <c r="J118" i="6"/>
  <c r="N122" i="6"/>
  <c r="Q122" i="6" s="1"/>
  <c r="J133" i="6"/>
  <c r="T143" i="6"/>
  <c r="J143" i="6"/>
  <c r="J144" i="6"/>
  <c r="J148" i="6"/>
  <c r="I158" i="6"/>
  <c r="S158" i="6"/>
  <c r="J159" i="6"/>
  <c r="J162" i="6"/>
  <c r="N169" i="6"/>
  <c r="Q169" i="6" s="1"/>
  <c r="R171" i="6"/>
  <c r="N171" i="6"/>
  <c r="S171" i="6"/>
  <c r="R174" i="6"/>
  <c r="J174" i="6"/>
  <c r="R175" i="6"/>
  <c r="N182" i="6"/>
  <c r="R182" i="6"/>
  <c r="I182" i="6"/>
  <c r="R185" i="6"/>
  <c r="S185" i="6"/>
  <c r="J185" i="6"/>
  <c r="T190" i="6"/>
  <c r="S190" i="6"/>
  <c r="Q190" i="6"/>
  <c r="N190" i="6"/>
  <c r="R213" i="6"/>
  <c r="T213" i="6"/>
  <c r="S213" i="6"/>
  <c r="Q219" i="6"/>
  <c r="I223" i="6"/>
  <c r="R223" i="6"/>
  <c r="N223" i="6"/>
  <c r="J223" i="6"/>
  <c r="S228" i="6"/>
  <c r="R228" i="6"/>
  <c r="T240" i="6"/>
  <c r="J240" i="6"/>
  <c r="R241" i="6"/>
  <c r="N245" i="6"/>
  <c r="Q247" i="6"/>
  <c r="J254" i="6"/>
  <c r="I263" i="6"/>
  <c r="N265" i="6"/>
  <c r="I270" i="6"/>
  <c r="I282" i="6"/>
  <c r="J284" i="6"/>
  <c r="N287" i="6"/>
  <c r="I294" i="6"/>
  <c r="I296" i="6"/>
  <c r="Q309" i="6"/>
  <c r="J313" i="6"/>
  <c r="J320" i="6"/>
  <c r="S329" i="6"/>
  <c r="N379" i="6"/>
  <c r="T379" i="6"/>
  <c r="S379" i="6"/>
  <c r="R379" i="6"/>
  <c r="J379" i="6"/>
  <c r="I379" i="6"/>
  <c r="J383" i="6"/>
  <c r="Q398" i="6"/>
  <c r="N437" i="6"/>
  <c r="T450" i="6"/>
  <c r="J76" i="6"/>
  <c r="Q81" i="6"/>
  <c r="T82" i="6"/>
  <c r="E82" i="2" s="1"/>
  <c r="R86" i="6"/>
  <c r="J94" i="6"/>
  <c r="S99" i="6"/>
  <c r="N102" i="6"/>
  <c r="Q102" i="6" s="1"/>
  <c r="N106" i="6"/>
  <c r="Q106" i="6" s="1"/>
  <c r="R110" i="6"/>
  <c r="R112" i="6"/>
  <c r="N112" i="6"/>
  <c r="Q112" i="6" s="1"/>
  <c r="J113" i="6"/>
  <c r="I116" i="6"/>
  <c r="J116" i="6"/>
  <c r="J117" i="6"/>
  <c r="T118" i="6"/>
  <c r="E118" i="2" s="1"/>
  <c r="Q121" i="6"/>
  <c r="R125" i="6"/>
  <c r="N128" i="6"/>
  <c r="Q128" i="6" s="1"/>
  <c r="R140" i="6"/>
  <c r="N143" i="6"/>
  <c r="Q143" i="6" s="1"/>
  <c r="T144" i="6"/>
  <c r="E144" i="2" s="1"/>
  <c r="L144" i="2" s="1"/>
  <c r="Q147" i="6"/>
  <c r="T149" i="6"/>
  <c r="E149" i="2" s="1"/>
  <c r="S149" i="6"/>
  <c r="N153" i="6"/>
  <c r="Q153" i="6" s="1"/>
  <c r="R153" i="6"/>
  <c r="J154" i="6"/>
  <c r="N158" i="6"/>
  <c r="Q158" i="6" s="1"/>
  <c r="T159" i="6"/>
  <c r="E159" i="2" s="1"/>
  <c r="T162" i="6"/>
  <c r="E162" i="2" s="1"/>
  <c r="R165" i="6"/>
  <c r="T169" i="6"/>
  <c r="E169" i="2" s="1"/>
  <c r="J171" i="6"/>
  <c r="N174" i="6"/>
  <c r="Q182" i="6"/>
  <c r="N185" i="6"/>
  <c r="J190" i="6"/>
  <c r="I205" i="6"/>
  <c r="T205" i="6"/>
  <c r="R205" i="6"/>
  <c r="Q205" i="6"/>
  <c r="J213" i="6"/>
  <c r="I215" i="6"/>
  <c r="S215" i="6"/>
  <c r="N215" i="6"/>
  <c r="T216" i="6"/>
  <c r="S223" i="6"/>
  <c r="Q226" i="6"/>
  <c r="J228" i="6"/>
  <c r="N230" i="6"/>
  <c r="R230" i="6"/>
  <c r="T230" i="6"/>
  <c r="J230" i="6"/>
  <c r="N240" i="6"/>
  <c r="I253" i="6"/>
  <c r="S253" i="6"/>
  <c r="T253" i="6"/>
  <c r="R253" i="6"/>
  <c r="N253" i="6"/>
  <c r="J253" i="6"/>
  <c r="R257" i="6"/>
  <c r="T257" i="6"/>
  <c r="Q257" i="6"/>
  <c r="N257" i="6"/>
  <c r="T264" i="6"/>
  <c r="R264" i="6"/>
  <c r="Q264" i="6"/>
  <c r="J264" i="6"/>
  <c r="I264" i="6"/>
  <c r="T267" i="6"/>
  <c r="T270" i="6"/>
  <c r="I283" i="6"/>
  <c r="J283" i="6"/>
  <c r="T283" i="6"/>
  <c r="S283" i="6"/>
  <c r="Q283" i="6"/>
  <c r="N283" i="6"/>
  <c r="T296" i="6"/>
  <c r="N302" i="6"/>
  <c r="R302" i="6"/>
  <c r="S302" i="6"/>
  <c r="Q302" i="6"/>
  <c r="I305" i="6"/>
  <c r="S305" i="6"/>
  <c r="R305" i="6"/>
  <c r="N305" i="6"/>
  <c r="J305" i="6"/>
  <c r="T312" i="6"/>
  <c r="S312" i="6"/>
  <c r="Q312" i="6"/>
  <c r="N312" i="6"/>
  <c r="I312" i="6"/>
  <c r="R387" i="6"/>
  <c r="Q408" i="6"/>
  <c r="N408" i="6"/>
  <c r="J408" i="6"/>
  <c r="T408" i="6"/>
  <c r="R408" i="6"/>
  <c r="I408" i="6"/>
  <c r="Q468" i="6"/>
  <c r="N468" i="6"/>
  <c r="J468" i="6"/>
  <c r="I468" i="6"/>
  <c r="S468" i="6"/>
  <c r="T468" i="6"/>
  <c r="S481" i="6"/>
  <c r="R481" i="6"/>
  <c r="Q481" i="6"/>
  <c r="I481" i="6"/>
  <c r="J481" i="6"/>
  <c r="T481" i="6"/>
  <c r="N481" i="6"/>
  <c r="J449" i="6"/>
  <c r="I449" i="6"/>
  <c r="S449" i="6"/>
  <c r="R449" i="6"/>
  <c r="T449" i="6"/>
  <c r="T464" i="6"/>
  <c r="S464" i="6"/>
  <c r="N464" i="6"/>
  <c r="Q464" i="6"/>
  <c r="J464" i="6"/>
  <c r="R464" i="6"/>
  <c r="I464" i="6"/>
  <c r="Q498" i="6"/>
  <c r="N498" i="6"/>
  <c r="J498" i="6"/>
  <c r="I498" i="6"/>
  <c r="S498" i="6"/>
  <c r="S258" i="6"/>
  <c r="T273" i="6"/>
  <c r="T288" i="6"/>
  <c r="T314" i="6"/>
  <c r="N319" i="6"/>
  <c r="J319" i="6"/>
  <c r="Q319" i="6"/>
  <c r="N343" i="6"/>
  <c r="T343" i="6"/>
  <c r="S343" i="6"/>
  <c r="N355" i="6"/>
  <c r="S355" i="6"/>
  <c r="J355" i="6"/>
  <c r="I355" i="6"/>
  <c r="T393" i="6"/>
  <c r="R393" i="6"/>
  <c r="I393" i="6"/>
  <c r="N449" i="6"/>
  <c r="S457" i="6"/>
  <c r="R457" i="6"/>
  <c r="Q457" i="6"/>
  <c r="I457" i="6"/>
  <c r="J457" i="6"/>
  <c r="N457" i="6"/>
  <c r="R207" i="6"/>
  <c r="N207" i="6"/>
  <c r="I211" i="6"/>
  <c r="J211" i="6"/>
  <c r="T244" i="6"/>
  <c r="S244" i="6"/>
  <c r="N248" i="6"/>
  <c r="R248" i="6"/>
  <c r="T274" i="6"/>
  <c r="J274" i="6"/>
  <c r="I289" i="6"/>
  <c r="S289" i="6"/>
  <c r="R315" i="6"/>
  <c r="N315" i="6"/>
  <c r="R332" i="6"/>
  <c r="Q332" i="6"/>
  <c r="I332" i="6"/>
  <c r="T357" i="6"/>
  <c r="N357" i="6"/>
  <c r="I360" i="6"/>
  <c r="T360" i="6"/>
  <c r="Q360" i="6"/>
  <c r="N360" i="6"/>
  <c r="J360" i="6"/>
  <c r="N391" i="6"/>
  <c r="S391" i="6"/>
  <c r="J391" i="6"/>
  <c r="I391" i="6"/>
  <c r="R391" i="6"/>
  <c r="T416" i="6"/>
  <c r="S416" i="6"/>
  <c r="N416" i="6"/>
  <c r="R416" i="6"/>
  <c r="I416" i="6"/>
  <c r="Q449" i="6"/>
  <c r="S487" i="6"/>
  <c r="R487" i="6"/>
  <c r="Q487" i="6"/>
  <c r="I487" i="6"/>
  <c r="J487" i="6"/>
  <c r="T487" i="6"/>
  <c r="T184" i="6"/>
  <c r="J184" i="6"/>
  <c r="I199" i="6"/>
  <c r="S199" i="6"/>
  <c r="I222" i="6"/>
  <c r="R225" i="6"/>
  <c r="N225" i="6"/>
  <c r="I229" i="6"/>
  <c r="J229" i="6"/>
  <c r="I237" i="6"/>
  <c r="I252" i="6"/>
  <c r="T262" i="6"/>
  <c r="S262" i="6"/>
  <c r="N266" i="6"/>
  <c r="R266" i="6"/>
  <c r="I278" i="6"/>
  <c r="T292" i="6"/>
  <c r="J292" i="6"/>
  <c r="I307" i="6"/>
  <c r="S307" i="6"/>
  <c r="I319" i="6"/>
  <c r="J322" i="6"/>
  <c r="I343" i="6"/>
  <c r="T351" i="6"/>
  <c r="Q351" i="6"/>
  <c r="N351" i="6"/>
  <c r="J351" i="6"/>
  <c r="Q355" i="6"/>
  <c r="I362" i="6"/>
  <c r="N373" i="6"/>
  <c r="S373" i="6"/>
  <c r="J373" i="6"/>
  <c r="I373" i="6"/>
  <c r="Q373" i="6"/>
  <c r="T375" i="6"/>
  <c r="Q375" i="6"/>
  <c r="R380" i="6"/>
  <c r="Q380" i="6"/>
  <c r="I380" i="6"/>
  <c r="J393" i="6"/>
  <c r="R399" i="6"/>
  <c r="I399" i="6"/>
  <c r="T399" i="6"/>
  <c r="S399" i="6"/>
  <c r="T457" i="6"/>
  <c r="T498" i="6"/>
  <c r="T345" i="6"/>
  <c r="N345" i="6"/>
  <c r="J345" i="6"/>
  <c r="S364" i="6"/>
  <c r="N364" i="6"/>
  <c r="J364" i="6"/>
  <c r="R364" i="6"/>
  <c r="I395" i="6"/>
  <c r="R395" i="6"/>
  <c r="J395" i="6"/>
  <c r="Q395" i="6"/>
  <c r="S433" i="6"/>
  <c r="R433" i="6"/>
  <c r="Q433" i="6"/>
  <c r="I433" i="6"/>
  <c r="J433" i="6"/>
  <c r="T433" i="6"/>
  <c r="N433" i="6"/>
  <c r="S469" i="6"/>
  <c r="R469" i="6"/>
  <c r="Q469" i="6"/>
  <c r="I469" i="6"/>
  <c r="J469" i="6"/>
  <c r="T469" i="6"/>
  <c r="N469" i="6"/>
  <c r="S493" i="6"/>
  <c r="R493" i="6"/>
  <c r="Q493" i="6"/>
  <c r="I493" i="6"/>
  <c r="J493" i="6"/>
  <c r="T493" i="6"/>
  <c r="S499" i="6"/>
  <c r="R499" i="6"/>
  <c r="Q499" i="6"/>
  <c r="I499" i="6"/>
  <c r="J499" i="6"/>
  <c r="N499" i="6"/>
  <c r="T499" i="6"/>
  <c r="N203" i="6"/>
  <c r="Q207" i="6"/>
  <c r="R211" i="6"/>
  <c r="Q218" i="6"/>
  <c r="Q222" i="6"/>
  <c r="Q233" i="6"/>
  <c r="Q237" i="6"/>
  <c r="N244" i="6"/>
  <c r="Q248" i="6"/>
  <c r="R252" i="6"/>
  <c r="Q259" i="6"/>
  <c r="Q274" i="6"/>
  <c r="R278" i="6"/>
  <c r="N285" i="6"/>
  <c r="Q289" i="6"/>
  <c r="N311" i="6"/>
  <c r="Q315" i="6"/>
  <c r="T319" i="6"/>
  <c r="R322" i="6"/>
  <c r="Q328" i="6"/>
  <c r="S332" i="6"/>
  <c r="I342" i="6"/>
  <c r="T342" i="6"/>
  <c r="Q342" i="6"/>
  <c r="N342" i="6"/>
  <c r="R343" i="6"/>
  <c r="R347" i="6"/>
  <c r="Q347" i="6"/>
  <c r="Q357" i="6"/>
  <c r="Q359" i="6"/>
  <c r="I359" i="6"/>
  <c r="T359" i="6"/>
  <c r="N361" i="6"/>
  <c r="T361" i="6"/>
  <c r="S361" i="6"/>
  <c r="Q361" i="6"/>
  <c r="Q362" i="6"/>
  <c r="R392" i="6"/>
  <c r="S392" i="6"/>
  <c r="Q392" i="6"/>
  <c r="N392" i="6"/>
  <c r="S393" i="6"/>
  <c r="J461" i="6"/>
  <c r="I461" i="6"/>
  <c r="S461" i="6"/>
  <c r="R461" i="6"/>
  <c r="I378" i="6"/>
  <c r="T378" i="6"/>
  <c r="Q378" i="6"/>
  <c r="N378" i="6"/>
  <c r="J407" i="6"/>
  <c r="I407" i="6"/>
  <c r="T407" i="6"/>
  <c r="Q407" i="6"/>
  <c r="N407" i="6"/>
  <c r="Q414" i="6"/>
  <c r="N414" i="6"/>
  <c r="J414" i="6"/>
  <c r="I414" i="6"/>
  <c r="S421" i="6"/>
  <c r="R421" i="6"/>
  <c r="Q421" i="6"/>
  <c r="I421" i="6"/>
  <c r="Q426" i="6"/>
  <c r="N426" i="6"/>
  <c r="J426" i="6"/>
  <c r="T426" i="6"/>
  <c r="S426" i="6"/>
  <c r="J455" i="6"/>
  <c r="I455" i="6"/>
  <c r="S455" i="6"/>
  <c r="R455" i="6"/>
  <c r="T455" i="6"/>
  <c r="Q462" i="6"/>
  <c r="N462" i="6"/>
  <c r="J462" i="6"/>
  <c r="I462" i="6"/>
  <c r="S462" i="6"/>
  <c r="R462" i="6"/>
  <c r="J479" i="6"/>
  <c r="I479" i="6"/>
  <c r="S479" i="6"/>
  <c r="R479" i="6"/>
  <c r="Q402" i="6"/>
  <c r="N402" i="6"/>
  <c r="T402" i="6"/>
  <c r="S402" i="6"/>
  <c r="T404" i="6"/>
  <c r="S404" i="6"/>
  <c r="N404" i="6"/>
  <c r="Q404" i="6"/>
  <c r="J404" i="6"/>
  <c r="T494" i="6"/>
  <c r="S494" i="6"/>
  <c r="N494" i="6"/>
  <c r="Q494" i="6"/>
  <c r="J494" i="6"/>
  <c r="I494" i="6"/>
  <c r="J497" i="6"/>
  <c r="I497" i="6"/>
  <c r="S497" i="6"/>
  <c r="R497" i="6"/>
  <c r="T497" i="6"/>
  <c r="Q432" i="6"/>
  <c r="N432" i="6"/>
  <c r="J432" i="6"/>
  <c r="N325" i="6"/>
  <c r="T325" i="6"/>
  <c r="R356" i="6"/>
  <c r="S356" i="6"/>
  <c r="Q356" i="6"/>
  <c r="R368" i="6"/>
  <c r="Q368" i="6"/>
  <c r="I368" i="6"/>
  <c r="Q377" i="6"/>
  <c r="I377" i="6"/>
  <c r="R378" i="6"/>
  <c r="R397" i="6"/>
  <c r="I397" i="6"/>
  <c r="T397" i="6"/>
  <c r="I402" i="6"/>
  <c r="I404" i="6"/>
  <c r="S407" i="6"/>
  <c r="S414" i="6"/>
  <c r="N421" i="6"/>
  <c r="R426" i="6"/>
  <c r="S439" i="6"/>
  <c r="R439" i="6"/>
  <c r="Q439" i="6"/>
  <c r="I439" i="6"/>
  <c r="N439" i="6"/>
  <c r="S451" i="6"/>
  <c r="R451" i="6"/>
  <c r="Q451" i="6"/>
  <c r="I451" i="6"/>
  <c r="J451" i="6"/>
  <c r="Q455" i="6"/>
  <c r="S463" i="6"/>
  <c r="R463" i="6"/>
  <c r="Q463" i="6"/>
  <c r="I463" i="6"/>
  <c r="J463" i="6"/>
  <c r="S475" i="6"/>
  <c r="R475" i="6"/>
  <c r="Q475" i="6"/>
  <c r="I475" i="6"/>
  <c r="J475" i="6"/>
  <c r="Q479" i="6"/>
  <c r="J485" i="6"/>
  <c r="I485" i="6"/>
  <c r="S485" i="6"/>
  <c r="R485" i="6"/>
  <c r="T485" i="6"/>
  <c r="R494" i="6"/>
  <c r="N497" i="6"/>
  <c r="J401" i="6"/>
  <c r="I401" i="6"/>
  <c r="S401" i="6"/>
  <c r="N401" i="6"/>
  <c r="S403" i="6"/>
  <c r="R403" i="6"/>
  <c r="I403" i="6"/>
  <c r="Q403" i="6"/>
  <c r="S432" i="6"/>
  <c r="S409" i="6"/>
  <c r="R409" i="6"/>
  <c r="Q409" i="6"/>
  <c r="I409" i="6"/>
  <c r="Q420" i="6"/>
  <c r="N420" i="6"/>
  <c r="J420" i="6"/>
  <c r="S420" i="6"/>
  <c r="T422" i="6"/>
  <c r="S422" i="6"/>
  <c r="N422" i="6"/>
  <c r="J422" i="6"/>
  <c r="J425" i="6"/>
  <c r="I425" i="6"/>
  <c r="N425" i="6"/>
  <c r="Q438" i="6"/>
  <c r="N438" i="6"/>
  <c r="J438" i="6"/>
  <c r="T440" i="6"/>
  <c r="S440" i="6"/>
  <c r="N440" i="6"/>
  <c r="T458" i="6"/>
  <c r="S458" i="6"/>
  <c r="N458" i="6"/>
  <c r="T476" i="6"/>
  <c r="S476" i="6"/>
  <c r="N476" i="6"/>
  <c r="J443" i="6"/>
  <c r="I443" i="6"/>
  <c r="Q456" i="6"/>
  <c r="N456" i="6"/>
  <c r="J456" i="6"/>
  <c r="I456" i="6"/>
  <c r="Q474" i="6"/>
  <c r="N474" i="6"/>
  <c r="J474" i="6"/>
  <c r="I474" i="6"/>
  <c r="Q492" i="6"/>
  <c r="N492" i="6"/>
  <c r="J492" i="6"/>
  <c r="I492" i="6"/>
  <c r="S492" i="6"/>
  <c r="R492" i="6"/>
  <c r="N336" i="6"/>
  <c r="N354" i="6"/>
  <c r="N372" i="6"/>
  <c r="N390" i="6"/>
  <c r="N409" i="6"/>
  <c r="J419" i="6"/>
  <c r="I419" i="6"/>
  <c r="R420" i="6"/>
  <c r="Q422" i="6"/>
  <c r="T434" i="6"/>
  <c r="S434" i="6"/>
  <c r="N434" i="6"/>
  <c r="R438" i="6"/>
  <c r="J440" i="6"/>
  <c r="S445" i="6"/>
  <c r="R445" i="6"/>
  <c r="Q445" i="6"/>
  <c r="I445" i="6"/>
  <c r="T452" i="6"/>
  <c r="S452" i="6"/>
  <c r="N452" i="6"/>
  <c r="J458" i="6"/>
  <c r="T470" i="6"/>
  <c r="S470" i="6"/>
  <c r="N470" i="6"/>
  <c r="T488" i="6"/>
  <c r="S488" i="6"/>
  <c r="N488" i="6"/>
  <c r="T410" i="6"/>
  <c r="S410" i="6"/>
  <c r="N410" i="6"/>
  <c r="S427" i="6"/>
  <c r="R427" i="6"/>
  <c r="Q427" i="6"/>
  <c r="I427" i="6"/>
  <c r="T446" i="6"/>
  <c r="S446" i="6"/>
  <c r="N446" i="6"/>
  <c r="L164" i="2" l="1"/>
  <c r="K23" i="1"/>
  <c r="L92" i="2"/>
  <c r="L71" i="2"/>
  <c r="L89" i="2"/>
  <c r="L32" i="2"/>
  <c r="L159" i="2"/>
  <c r="L127" i="2"/>
  <c r="L77" i="2"/>
  <c r="L118" i="2"/>
  <c r="L61" i="2"/>
  <c r="L80" i="2"/>
  <c r="L146" i="2"/>
  <c r="L56" i="2"/>
  <c r="L95" i="2"/>
  <c r="U19" i="3"/>
  <c r="L134" i="2"/>
  <c r="L142" i="2"/>
  <c r="L51" i="2"/>
  <c r="K11" i="1"/>
  <c r="L129" i="2"/>
  <c r="L19" i="2"/>
  <c r="L162" i="2"/>
  <c r="L74" i="2"/>
  <c r="L126" i="2"/>
  <c r="K97" i="1"/>
  <c r="L143" i="2"/>
  <c r="K20" i="1"/>
  <c r="K116" i="1"/>
  <c r="K26" i="1"/>
  <c r="K65" i="1"/>
  <c r="K84" i="1"/>
  <c r="K57" i="1"/>
  <c r="L42" i="2"/>
  <c r="K27" i="1"/>
  <c r="L52" i="2"/>
  <c r="K133" i="1"/>
  <c r="K89" i="1"/>
  <c r="L120" i="2"/>
  <c r="L35" i="2"/>
  <c r="K15" i="1"/>
  <c r="K34" i="1"/>
  <c r="K155" i="1"/>
  <c r="K119" i="1"/>
  <c r="L116" i="2"/>
  <c r="L11" i="2"/>
  <c r="L83" i="2"/>
  <c r="K33" i="1"/>
  <c r="K113" i="1"/>
  <c r="K147" i="1"/>
  <c r="K161" i="1"/>
  <c r="L10" i="2"/>
  <c r="L103" i="2"/>
  <c r="L125" i="2"/>
  <c r="L20" i="2"/>
  <c r="L105" i="2"/>
  <c r="L140" i="2"/>
  <c r="L109" i="2"/>
  <c r="L16" i="2"/>
  <c r="L39" i="2"/>
  <c r="L148" i="2"/>
  <c r="L63" i="2"/>
  <c r="L149" i="2"/>
  <c r="L104" i="2"/>
  <c r="L65" i="2"/>
  <c r="L157" i="2"/>
  <c r="L156" i="2"/>
  <c r="L73" i="2"/>
  <c r="L66" i="2"/>
  <c r="L113" i="2"/>
  <c r="U36" i="3"/>
  <c r="V36" i="3"/>
  <c r="K36" i="2" s="1"/>
  <c r="L36" i="2" s="1"/>
  <c r="U34" i="3"/>
  <c r="K104" i="1"/>
  <c r="K22" i="1"/>
  <c r="K158" i="1"/>
  <c r="K146" i="1"/>
  <c r="K157" i="1"/>
  <c r="K144" i="1"/>
  <c r="L117" i="2"/>
  <c r="L158" i="2"/>
  <c r="L55" i="2"/>
  <c r="L17" i="2"/>
  <c r="V93" i="3"/>
  <c r="K93" i="2" s="1"/>
  <c r="L93" i="2" s="1"/>
  <c r="K82" i="1"/>
  <c r="L25" i="2"/>
  <c r="U73" i="3"/>
  <c r="U13" i="3"/>
  <c r="L53" i="2"/>
  <c r="U133" i="3"/>
  <c r="K88" i="1"/>
  <c r="K4" i="1"/>
  <c r="L64" i="2"/>
  <c r="L79" i="2"/>
  <c r="U63" i="3"/>
  <c r="U110" i="3"/>
  <c r="U123" i="3"/>
  <c r="L88" i="2"/>
  <c r="V107" i="3"/>
  <c r="K107" i="2" s="1"/>
  <c r="L107" i="2" s="1"/>
  <c r="U107" i="3"/>
  <c r="U24" i="3"/>
  <c r="V24" i="3"/>
  <c r="K24" i="2" s="1"/>
  <c r="L24" i="2" s="1"/>
  <c r="L8" i="2"/>
  <c r="L152" i="2"/>
  <c r="L49" i="2"/>
  <c r="L22" i="2"/>
  <c r="L37" i="2"/>
  <c r="V122" i="3"/>
  <c r="K122" i="2" s="1"/>
  <c r="L122" i="2" s="1"/>
  <c r="V75" i="3"/>
  <c r="K75" i="2" s="1"/>
  <c r="L75" i="2" s="1"/>
  <c r="V27" i="3"/>
  <c r="K27" i="2" s="1"/>
  <c r="L27" i="2" s="1"/>
  <c r="U111" i="3"/>
  <c r="V167" i="3"/>
  <c r="K167" i="2" s="1"/>
  <c r="L167" i="2" s="1"/>
  <c r="U21" i="3"/>
  <c r="K28" i="1"/>
  <c r="V133" i="3"/>
  <c r="K133" i="2" s="1"/>
  <c r="L133" i="2" s="1"/>
  <c r="K58" i="1"/>
  <c r="K3" i="1"/>
  <c r="K167" i="1"/>
  <c r="K13" i="1"/>
  <c r="K156" i="1"/>
  <c r="L154" i="2"/>
  <c r="L101" i="2"/>
  <c r="L94" i="2"/>
  <c r="V82" i="3"/>
  <c r="K82" i="2" s="1"/>
  <c r="L82" i="2" s="1"/>
  <c r="U39" i="3"/>
  <c r="L168" i="2"/>
  <c r="L2" i="2"/>
  <c r="U100" i="3"/>
  <c r="U33" i="3"/>
  <c r="U104" i="3"/>
  <c r="K169" i="1"/>
  <c r="K9" i="1"/>
  <c r="K46" i="1"/>
  <c r="K168" i="1"/>
  <c r="U170" i="3"/>
  <c r="L40" i="2"/>
  <c r="L163" i="2"/>
  <c r="L90" i="2"/>
  <c r="L99" i="2"/>
  <c r="V57" i="3"/>
  <c r="K57" i="2" s="1"/>
  <c r="L57" i="2" s="1"/>
  <c r="V46" i="3"/>
  <c r="K46" i="2" s="1"/>
  <c r="L46" i="2" s="1"/>
  <c r="L128" i="2"/>
  <c r="L50" i="2"/>
  <c r="L30" i="2"/>
  <c r="L160" i="2"/>
  <c r="L138" i="2"/>
  <c r="U12" i="3"/>
  <c r="V12" i="3"/>
  <c r="K12" i="2" s="1"/>
  <c r="L12" i="2" s="1"/>
  <c r="U158" i="3"/>
  <c r="V96" i="3"/>
  <c r="K96" i="2" s="1"/>
  <c r="L96" i="2" s="1"/>
  <c r="U96" i="3"/>
  <c r="U9" i="3"/>
  <c r="U169" i="3"/>
  <c r="K63" i="1"/>
  <c r="K16" i="1"/>
  <c r="K81" i="1"/>
  <c r="K24" i="1"/>
  <c r="K96" i="1"/>
  <c r="L137" i="2"/>
  <c r="L114" i="2"/>
  <c r="V81" i="3"/>
  <c r="K81" i="2" s="1"/>
  <c r="L81" i="2" s="1"/>
  <c r="L29" i="2"/>
  <c r="U57" i="3"/>
  <c r="L43" i="2"/>
  <c r="L44" i="2"/>
  <c r="L26" i="2"/>
  <c r="L54" i="2"/>
  <c r="L13" i="2"/>
  <c r="V110" i="3"/>
  <c r="K110" i="2" s="1"/>
  <c r="L110" i="2" s="1"/>
  <c r="V15" i="3"/>
  <c r="K15" i="2" s="1"/>
  <c r="L15" i="2" s="1"/>
  <c r="L123" i="2"/>
  <c r="U168" i="3"/>
  <c r="U76" i="3"/>
  <c r="U97" i="3"/>
  <c r="V169" i="3"/>
  <c r="K169" i="2" s="1"/>
  <c r="L169" i="2" s="1"/>
  <c r="U37" i="3"/>
  <c r="K76" i="1"/>
  <c r="L67" i="2"/>
  <c r="K64" i="1"/>
  <c r="K100" i="1"/>
  <c r="K37" i="1"/>
  <c r="K117" i="1"/>
  <c r="K25" i="1"/>
  <c r="K52" i="1"/>
  <c r="L76" i="2"/>
  <c r="L153" i="2"/>
  <c r="L59" i="2"/>
  <c r="U48" i="3"/>
  <c r="V48" i="3"/>
  <c r="K48" i="2" s="1"/>
  <c r="L48" i="2" s="1"/>
  <c r="L161" i="2"/>
  <c r="L166" i="2"/>
  <c r="L135" i="2"/>
  <c r="L68" i="2"/>
  <c r="L14" i="2"/>
  <c r="L78" i="2"/>
  <c r="U52" i="3"/>
  <c r="U85" i="3"/>
  <c r="K40" i="1"/>
  <c r="U131" i="3"/>
  <c r="V131" i="3"/>
  <c r="K131" i="2" s="1"/>
  <c r="L131" i="2" s="1"/>
  <c r="U84" i="3"/>
  <c r="V84" i="3"/>
  <c r="K84" i="2" s="1"/>
  <c r="L84" i="2" s="1"/>
  <c r="U25" i="3"/>
  <c r="K73" i="1"/>
  <c r="K70" i="1"/>
  <c r="K85" i="1"/>
  <c r="L97" i="2"/>
  <c r="L111" i="2"/>
  <c r="V34" i="3"/>
  <c r="K34" i="2" s="1"/>
  <c r="L34" i="2" s="1"/>
  <c r="V70" i="3"/>
  <c r="K70" i="2" s="1"/>
  <c r="L70" i="2" s="1"/>
  <c r="V58" i="3"/>
  <c r="K58" i="2" s="1"/>
  <c r="L58" i="2" s="1"/>
  <c r="U27" i="3"/>
  <c r="L147" i="2"/>
  <c r="L62" i="2"/>
  <c r="K107" i="1"/>
  <c r="U82" i="3"/>
  <c r="K75" i="1"/>
  <c r="K48" i="1"/>
  <c r="K120" i="1"/>
  <c r="L112" i="2"/>
  <c r="L121" i="2"/>
  <c r="L69" i="2"/>
  <c r="V33" i="3"/>
  <c r="K33" i="2" s="1"/>
  <c r="L33" i="2" s="1"/>
  <c r="L41" i="2"/>
  <c r="L100" i="2"/>
  <c r="L165" i="2"/>
  <c r="L31" i="2"/>
  <c r="U28" i="3"/>
  <c r="K111" i="1"/>
  <c r="L23" i="2"/>
  <c r="L91" i="2"/>
  <c r="L136" i="2"/>
  <c r="L85" i="2"/>
  <c r="L130" i="2"/>
  <c r="U122" i="3"/>
  <c r="L132" i="2"/>
  <c r="L115" i="2"/>
  <c r="L155" i="2"/>
  <c r="L108" i="2"/>
  <c r="L98" i="2"/>
  <c r="K36" i="1"/>
  <c r="L87" i="2"/>
  <c r="L151" i="2"/>
  <c r="L86" i="2"/>
  <c r="L150" i="2"/>
  <c r="L102" i="2"/>
  <c r="U145" i="3"/>
  <c r="U72" i="3"/>
  <c r="V72" i="3"/>
  <c r="K72" i="2" s="1"/>
  <c r="L72" i="2" s="1"/>
  <c r="L47" i="2"/>
  <c r="V145" i="3"/>
  <c r="K145" i="2" s="1"/>
  <c r="L145" i="2" s="1"/>
  <c r="U16" i="3"/>
  <c r="U49" i="3"/>
  <c r="V119" i="3"/>
  <c r="K119" i="2" s="1"/>
  <c r="L119" i="2" s="1"/>
  <c r="U119" i="3"/>
  <c r="V60" i="3"/>
  <c r="K60" i="2" s="1"/>
  <c r="L60" i="2" s="1"/>
  <c r="U60" i="3"/>
  <c r="U108" i="3"/>
  <c r="U147" i="3"/>
  <c r="U132" i="3"/>
  <c r="U144" i="3"/>
  <c r="K135" i="1"/>
  <c r="K123" i="1"/>
  <c r="K60" i="1"/>
  <c r="K132" i="1"/>
  <c r="L106" i="2"/>
  <c r="L139" i="2"/>
</calcChain>
</file>

<file path=xl/sharedStrings.xml><?xml version="1.0" encoding="utf-8"?>
<sst xmlns="http://schemas.openxmlformats.org/spreadsheetml/2006/main" count="1943" uniqueCount="668">
  <si>
    <t>Tag</t>
  </si>
  <si>
    <t>Name</t>
  </si>
  <si>
    <t>Loc</t>
  </si>
  <si>
    <t>Violation 1</t>
  </si>
  <si>
    <t>Sev 1</t>
  </si>
  <si>
    <t>Corr 1?</t>
  </si>
  <si>
    <t>Violation 2</t>
  </si>
  <si>
    <t>Sev 2</t>
  </si>
  <si>
    <t>Corr 2?</t>
  </si>
  <si>
    <t>Violation 3</t>
  </si>
  <si>
    <t>Sev 3</t>
  </si>
  <si>
    <t>Corr 3?</t>
  </si>
  <si>
    <t>Violation 4</t>
  </si>
  <si>
    <t>Sev 4</t>
  </si>
  <si>
    <t>Corr 4?</t>
  </si>
  <si>
    <t>Violation 5</t>
  </si>
  <si>
    <t>Sev 5</t>
  </si>
  <si>
    <t>Corr 5?</t>
  </si>
  <si>
    <t>Notes</t>
  </si>
  <si>
    <t>Net Points</t>
  </si>
  <si>
    <t>Status</t>
  </si>
  <si>
    <t>Result</t>
  </si>
  <si>
    <t>NEC 110.26(C)(2),(3) - Elec Rm Panic Hardware</t>
  </si>
  <si>
    <t>No</t>
  </si>
  <si>
    <t>NFPA 70E Article 120.2/OSHA 1910.333(b)(2): LOTO</t>
  </si>
  <si>
    <t>NEC 110.12 - Damaged Enclosure / Structural Integrity</t>
  </si>
  <si>
    <t>handle damage dryer #1</t>
  </si>
  <si>
    <t>NFPA 70E 130.5(B) - Condition of Maintenance Impact on Arc Flash</t>
  </si>
  <si>
    <t>Overdutied? Not opened.</t>
  </si>
  <si>
    <t>NEC 408.7 - Unused Openings</t>
  </si>
  <si>
    <t>NEC 408.4(A) - Circuit Identification</t>
  </si>
  <si>
    <t>Temp Breaker Blanks Installed to minimize size open</t>
  </si>
  <si>
    <t>NEC 110.26 - Working Space</t>
  </si>
  <si>
    <t>Equipment Cleanliness and Maintenance Condition</t>
  </si>
  <si>
    <t>NEC 110.16 &amp; NFPA 70E 130.5(H) Arc Flash Labeling &amp; Study Validation</t>
  </si>
  <si>
    <t>Yes</t>
  </si>
  <si>
    <t>NEC 240.83 - Breaker Ampere Rating Illegibly Marked / Defaced</t>
  </si>
  <si>
    <t>NEC 240.4 / 240.6(A) - OCPD Sizing /Stand Ratings</t>
  </si>
  <si>
    <t>NEC 240.4(B) - Small Conductor OCPD Oversized</t>
  </si>
  <si>
    <t>125A Supply breaker; 40A Fuses; 30A Rated Load 8AWG</t>
  </si>
  <si>
    <t>CB6 = 125A Supply breaker; 40A Fuses; 30A Rated Load 8AWG</t>
  </si>
  <si>
    <t>NFPA 70B 17.2 - VFD Cooling Fan Inoperable / Clogged</t>
  </si>
  <si>
    <t>NFPA 70E 130.4 / NEC 110.27(A) - Exposed Live Parts</t>
  </si>
  <si>
    <t>NEC 110.16(B) - Arc Flash Hazard Labeling (2026 Expansion)</t>
  </si>
  <si>
    <t>Condition of Maintenance / AF Labeling and IR Loading</t>
  </si>
  <si>
    <t>NEC 110.3(B) - (Screws/Clips) Listing and Labeling</t>
  </si>
  <si>
    <t>NFPA 70B 5.2.1 - Water Intrusion / Moisture Damage Evidence</t>
  </si>
  <si>
    <t>Display HMI damaged.</t>
  </si>
  <si>
    <t>NEC 110.21(A) / 450.11 - Missing or Damaged Equipment Nameplate</t>
  </si>
  <si>
    <t>NEC 110.3(B) / 408.7 - Combined Hardware/KO Seal</t>
  </si>
  <si>
    <t>NEC 300.11 Support Race &amp; Cables / Ceiling Grid</t>
  </si>
  <si>
    <t>cord hanging out of disco unsupported</t>
  </si>
  <si>
    <t>Major (3pts)</t>
  </si>
  <si>
    <t>Air Leak from Valve in Top Left Corner (no tube connected but flowing)</t>
  </si>
  <si>
    <t>NEC 110.3(B) / 210.4(B) - Breaker Handle Tie Not Listed/Approved</t>
  </si>
  <si>
    <t>Wrong Code, Control Handle not properly connected.</t>
  </si>
  <si>
    <t>Conductors in cabinet are LIVE and only electrical taped off "safe"</t>
  </si>
  <si>
    <t>Asset Tag</t>
  </si>
  <si>
    <t>Functional Name</t>
  </si>
  <si>
    <t>Location</t>
  </si>
  <si>
    <t>Equipment Type</t>
  </si>
  <si>
    <t>Manufacturer</t>
  </si>
  <si>
    <t>Model</t>
  </si>
  <si>
    <t>Serial #</t>
  </si>
  <si>
    <t>Voltage</t>
  </si>
  <si>
    <t>Criticality</t>
  </si>
  <si>
    <t>Maint. Status</t>
  </si>
  <si>
    <t>Health Score</t>
  </si>
  <si>
    <t>Program Status</t>
  </si>
  <si>
    <t>20260648</t>
  </si>
  <si>
    <t>Main Building Disconnect (Sec 1 of 3)</t>
  </si>
  <si>
    <t>Electrical Room #2</t>
  </si>
  <si>
    <t>Distribution Switchboard Multi Cover (Per Section)</t>
  </si>
  <si>
    <t>Square D</t>
  </si>
  <si>
    <t>Production Critical (High)</t>
  </si>
  <si>
    <t>Overdue (&lt;2 Cycles)</t>
  </si>
  <si>
    <t>20260649</t>
  </si>
  <si>
    <t>Main Building Disconnect (Sec 2 of 3)</t>
  </si>
  <si>
    <t>20260650</t>
  </si>
  <si>
    <t>Main Building Disconnect (Sec 3 of 3)</t>
  </si>
  <si>
    <t>20260651</t>
  </si>
  <si>
    <t>Power Cond. #1 Disconnect</t>
  </si>
  <si>
    <t>Individual Disconnect Switch</t>
  </si>
  <si>
    <t>General/Comfort (Low)</t>
  </si>
  <si>
    <t>20260652</t>
  </si>
  <si>
    <t>Power Cond. #2 Disconnect</t>
  </si>
  <si>
    <t>20260653</t>
  </si>
  <si>
    <t>LP #1</t>
  </si>
  <si>
    <t>Branch Circuit Panel &lt;=400A</t>
  </si>
  <si>
    <t>20260654</t>
  </si>
  <si>
    <t>P-1</t>
  </si>
  <si>
    <t>20260655</t>
  </si>
  <si>
    <t>P-2</t>
  </si>
  <si>
    <t>20260656</t>
  </si>
  <si>
    <t>DP #4</t>
  </si>
  <si>
    <t>20260657</t>
  </si>
  <si>
    <t>DP #5</t>
  </si>
  <si>
    <t>20260658</t>
  </si>
  <si>
    <t>DP #6</t>
  </si>
  <si>
    <t>20260659</t>
  </si>
  <si>
    <t>PDP</t>
  </si>
  <si>
    <t>Distribution Panel Single Front &gt;=600A</t>
  </si>
  <si>
    <t>20260660</t>
  </si>
  <si>
    <t>T-2</t>
  </si>
  <si>
    <t>480V/208V/120V Transformer - Dry &lt;250 kva</t>
  </si>
  <si>
    <t>20260661</t>
  </si>
  <si>
    <t>OH XFMR</t>
  </si>
  <si>
    <t>20260662</t>
  </si>
  <si>
    <t>DP7 Freezer</t>
  </si>
  <si>
    <t>Electrical Room #3</t>
  </si>
  <si>
    <t>Verified (Current)</t>
  </si>
  <si>
    <t>20260663</t>
  </si>
  <si>
    <t>(N/A 75 KVA XFMR)</t>
  </si>
  <si>
    <t>20260664</t>
  </si>
  <si>
    <t>(N/A PNL)</t>
  </si>
  <si>
    <t>20260665</t>
  </si>
  <si>
    <t>USES</t>
  </si>
  <si>
    <t>20260666</t>
  </si>
  <si>
    <t>Fan (P3-4/6/8)</t>
  </si>
  <si>
    <t>Individual Motor Starter</t>
  </si>
  <si>
    <t>20260667</t>
  </si>
  <si>
    <t>20260668</t>
  </si>
  <si>
    <t>P3</t>
  </si>
  <si>
    <t>20260669</t>
  </si>
  <si>
    <t>DP7</t>
  </si>
  <si>
    <t>20260670</t>
  </si>
  <si>
    <t>CP-DP7 [Sec. 1]</t>
  </si>
  <si>
    <t>20260671</t>
  </si>
  <si>
    <t>CP-DP7 [Sec. 2]</t>
  </si>
  <si>
    <t>20260672</t>
  </si>
  <si>
    <t>CP-DP7 [Sec. 3]</t>
  </si>
  <si>
    <t>20260673</t>
  </si>
  <si>
    <t>20260674</t>
  </si>
  <si>
    <t>MDP-2 [Sec. 1]</t>
  </si>
  <si>
    <t>Electrical Room #1</t>
  </si>
  <si>
    <t>20260675</t>
  </si>
  <si>
    <t>MDP-2 [Sec. 2]</t>
  </si>
  <si>
    <t>20260676</t>
  </si>
  <si>
    <t>Vacuum Exhaust</t>
  </si>
  <si>
    <t>20260677</t>
  </si>
  <si>
    <t>Air Knife</t>
  </si>
  <si>
    <t>20260678</t>
  </si>
  <si>
    <t>CP-Dryer #2</t>
  </si>
  <si>
    <t>Electrical Room #4</t>
  </si>
  <si>
    <t>20260679</t>
  </si>
  <si>
    <t>CP-Silo Alley</t>
  </si>
  <si>
    <t>20260680</t>
  </si>
  <si>
    <t>Machine Control</t>
  </si>
  <si>
    <t>20260681</t>
  </si>
  <si>
    <t>CP-Dryer #1 [Sec. 1]</t>
  </si>
  <si>
    <t>20260682</t>
  </si>
  <si>
    <t>CP-Dryer #1 [Sec. 2]</t>
  </si>
  <si>
    <t>20260683</t>
  </si>
  <si>
    <t>CP-Packout [Sec. 1]</t>
  </si>
  <si>
    <t>20260684</t>
  </si>
  <si>
    <t>CP-Packout [Sec. 2]</t>
  </si>
  <si>
    <t>20260685</t>
  </si>
  <si>
    <t>CP-Packout [Sec. 3]</t>
  </si>
  <si>
    <t>20260686</t>
  </si>
  <si>
    <t>CP-5110</t>
  </si>
  <si>
    <t>Variable Frequency Drives &lt;=50hp</t>
  </si>
  <si>
    <t>20260687</t>
  </si>
  <si>
    <t>CP-5120</t>
  </si>
  <si>
    <t>20260688</t>
  </si>
  <si>
    <t>RF-7101</t>
  </si>
  <si>
    <t>20260689</t>
  </si>
  <si>
    <t>RF-7102</t>
  </si>
  <si>
    <t>20260690</t>
  </si>
  <si>
    <t>RF-7103</t>
  </si>
  <si>
    <t>20260691</t>
  </si>
  <si>
    <t>RF-7104</t>
  </si>
  <si>
    <t>20260692</t>
  </si>
  <si>
    <t>DP-10</t>
  </si>
  <si>
    <t>20260693</t>
  </si>
  <si>
    <t>Cooling Towers</t>
  </si>
  <si>
    <t>Individual Molded Case Breaker &gt;=600A</t>
  </si>
  <si>
    <t>20260694</t>
  </si>
  <si>
    <t>PP FF-2</t>
  </si>
  <si>
    <t>20260695</t>
  </si>
  <si>
    <t>LP FF-1</t>
  </si>
  <si>
    <t>20260696</t>
  </si>
  <si>
    <t>PP FF-1</t>
  </si>
  <si>
    <t>20260697</t>
  </si>
  <si>
    <t>PP FF-1A</t>
  </si>
  <si>
    <t>20260698</t>
  </si>
  <si>
    <t>CP-5110 &amp; CP-5120</t>
  </si>
  <si>
    <t>MCC: Individual Disconnect Switch</t>
  </si>
  <si>
    <t>20260699</t>
  </si>
  <si>
    <t>Electrical Room #4 Mezzanine</t>
  </si>
  <si>
    <t>20260700</t>
  </si>
  <si>
    <t>20260701</t>
  </si>
  <si>
    <t>20260702</t>
  </si>
  <si>
    <t>20260703</t>
  </si>
  <si>
    <t>20260704</t>
  </si>
  <si>
    <t>20260705</t>
  </si>
  <si>
    <t>15 kVa Transformer</t>
  </si>
  <si>
    <t>Packaging</t>
  </si>
  <si>
    <t>20260706</t>
  </si>
  <si>
    <t>Color Sorter Transformer</t>
  </si>
  <si>
    <t>20260707</t>
  </si>
  <si>
    <t>LP3 Sub-Panel</t>
  </si>
  <si>
    <t>20260708</t>
  </si>
  <si>
    <t>LP3</t>
  </si>
  <si>
    <t>20260709</t>
  </si>
  <si>
    <t>Color Sorter Supply</t>
  </si>
  <si>
    <t>20260710</t>
  </si>
  <si>
    <t>HP3</t>
  </si>
  <si>
    <t>20260711</t>
  </si>
  <si>
    <t>HP3-1</t>
  </si>
  <si>
    <t>20260712</t>
  </si>
  <si>
    <t>SW 2</t>
  </si>
  <si>
    <t>20260713</t>
  </si>
  <si>
    <t>20260714</t>
  </si>
  <si>
    <t>LP-1</t>
  </si>
  <si>
    <t>Receiving Station</t>
  </si>
  <si>
    <t>20260715</t>
  </si>
  <si>
    <t>Photo-Eye Ctl'd Contactor</t>
  </si>
  <si>
    <t>Lighting Contactor &lt;=50 hp</t>
  </si>
  <si>
    <t>20260716</t>
  </si>
  <si>
    <t>LP1A</t>
  </si>
  <si>
    <t>20260717</t>
  </si>
  <si>
    <t>Pool Pump #1 Main Disconnect</t>
  </si>
  <si>
    <t>20260718</t>
  </si>
  <si>
    <t>Pool Pump #2 Main Disconnect</t>
  </si>
  <si>
    <t>20260719</t>
  </si>
  <si>
    <t>Pool Pump #1 VFD</t>
  </si>
  <si>
    <t>20260720</t>
  </si>
  <si>
    <t>Pool Pump #2 VFD</t>
  </si>
  <si>
    <t>20260721</t>
  </si>
  <si>
    <t>45 kVA Transformer</t>
  </si>
  <si>
    <t>20260722</t>
  </si>
  <si>
    <t>45 kVA Transformer Disconnect</t>
  </si>
  <si>
    <t>20260723</t>
  </si>
  <si>
    <t>Bay 25 480V Outlet Disconnect</t>
  </si>
  <si>
    <t>20260724</t>
  </si>
  <si>
    <t>Compressor Disconnect</t>
  </si>
  <si>
    <t>20260725</t>
  </si>
  <si>
    <t>PP1 Transformer Disconnect</t>
  </si>
  <si>
    <t>20260726</t>
  </si>
  <si>
    <t>PP1 Welding Recept. Disconnect</t>
  </si>
  <si>
    <t>20260727</t>
  </si>
  <si>
    <t>PP-1</t>
  </si>
  <si>
    <t>20260728</t>
  </si>
  <si>
    <t>20260729</t>
  </si>
  <si>
    <t>LP-2</t>
  </si>
  <si>
    <t>20260730</t>
  </si>
  <si>
    <t>Weld Gutter Disconnect</t>
  </si>
  <si>
    <t>20260731</t>
  </si>
  <si>
    <t>20260732</t>
  </si>
  <si>
    <t>Lighting XFMR Disconnect</t>
  </si>
  <si>
    <t>20260733</t>
  </si>
  <si>
    <t>Pool Pump #6/7 Disconnect</t>
  </si>
  <si>
    <t>20260734</t>
  </si>
  <si>
    <t>Trash Conveyor Disconnect</t>
  </si>
  <si>
    <t>20260735</t>
  </si>
  <si>
    <t>Dewatering Table Disconnect</t>
  </si>
  <si>
    <t>20260736</t>
  </si>
  <si>
    <t>Recycling Pump Disconnect</t>
  </si>
  <si>
    <t>20260737</t>
  </si>
  <si>
    <t>Trash Conveyor Starter</t>
  </si>
  <si>
    <t>20260738</t>
  </si>
  <si>
    <t>Dewatering Table Starter</t>
  </si>
  <si>
    <t>20260739</t>
  </si>
  <si>
    <t>CIP System #2</t>
  </si>
  <si>
    <t>Production Area</t>
  </si>
  <si>
    <t>20260740</t>
  </si>
  <si>
    <t>BD1</t>
  </si>
  <si>
    <t>20260741</t>
  </si>
  <si>
    <t>SLS-19</t>
  </si>
  <si>
    <t>20260742</t>
  </si>
  <si>
    <t>SPX</t>
  </si>
  <si>
    <t>20260743</t>
  </si>
  <si>
    <t>MCC #4 [Sec.1]</t>
  </si>
  <si>
    <t>Motor Control Center (Per vertical section)</t>
  </si>
  <si>
    <t>20260744</t>
  </si>
  <si>
    <t>MCC #4 [Sec.2]</t>
  </si>
  <si>
    <t>20260745</t>
  </si>
  <si>
    <t>MCC #4 [Sec.3]</t>
  </si>
  <si>
    <t>20260746</t>
  </si>
  <si>
    <t>CP-Evap. #1 Disconnect</t>
  </si>
  <si>
    <t>20260747</t>
  </si>
  <si>
    <t>Evaporator #1 [Sec. 1]</t>
  </si>
  <si>
    <t>20260748</t>
  </si>
  <si>
    <t>Evaporator #1 [Sec. 2]</t>
  </si>
  <si>
    <t>20260749</t>
  </si>
  <si>
    <t xml:space="preserve">Pig Systems </t>
  </si>
  <si>
    <t>20260750</t>
  </si>
  <si>
    <t>20260751</t>
  </si>
  <si>
    <t>RO-1</t>
  </si>
  <si>
    <t>20260752</t>
  </si>
  <si>
    <t>KOCH Sytems Controller</t>
  </si>
  <si>
    <t>20260753</t>
  </si>
  <si>
    <t>KOCH Sytems Controls</t>
  </si>
  <si>
    <t>20260754</t>
  </si>
  <si>
    <t>Evaporator #3</t>
  </si>
  <si>
    <t>20260755</t>
  </si>
  <si>
    <t>CP-Evap. #3 Disconnect</t>
  </si>
  <si>
    <t>20260756</t>
  </si>
  <si>
    <t>CP-DTS Sub Line #1 [Sec. 1]</t>
  </si>
  <si>
    <t>20260757</t>
  </si>
  <si>
    <t>CP-DTS Sub Line #1 [Sec. 2]</t>
  </si>
  <si>
    <t>20260758</t>
  </si>
  <si>
    <t>CP-DTS Sub Line #1 [Sec. 3]</t>
  </si>
  <si>
    <t>20260759</t>
  </si>
  <si>
    <t>DP-1</t>
  </si>
  <si>
    <t>20260760</t>
  </si>
  <si>
    <t>20260761</t>
  </si>
  <si>
    <t>FS-Slice Line</t>
  </si>
  <si>
    <t>20260762</t>
  </si>
  <si>
    <t>20260763</t>
  </si>
  <si>
    <t>CP-1 [Sec. 1]</t>
  </si>
  <si>
    <t>20260764</t>
  </si>
  <si>
    <t>CP-1 [Sec. 2]</t>
  </si>
  <si>
    <t>20260765</t>
  </si>
  <si>
    <t>CP-1 [Sec. 3]</t>
  </si>
  <si>
    <t>20260766</t>
  </si>
  <si>
    <t>CP-DTS Sub Line #2 [Sec. 1]</t>
  </si>
  <si>
    <t>20260767</t>
  </si>
  <si>
    <t>CP-DTS Sub Line #2 [Sec. 2]</t>
  </si>
  <si>
    <t>20260768</t>
  </si>
  <si>
    <t>CP-DTS Sub Line #2 [Sec.3]</t>
  </si>
  <si>
    <t>20260769</t>
  </si>
  <si>
    <t>DP-2</t>
  </si>
  <si>
    <t>20260770</t>
  </si>
  <si>
    <t>Exhasut Fan Cabinet</t>
  </si>
  <si>
    <t>20260771</t>
  </si>
  <si>
    <t>Processing Controls</t>
  </si>
  <si>
    <t>20260772</t>
  </si>
  <si>
    <t>Welding Receptacle</t>
  </si>
  <si>
    <t>20260773</t>
  </si>
  <si>
    <t>Drum Oiler #2</t>
  </si>
  <si>
    <t>20260774</t>
  </si>
  <si>
    <t>Zone A/B/C Controls</t>
  </si>
  <si>
    <t>Processing Area</t>
  </si>
  <si>
    <t>20260775</t>
  </si>
  <si>
    <t>Baler Disconnect</t>
  </si>
  <si>
    <t>20260776</t>
  </si>
  <si>
    <t>Baler Controller</t>
  </si>
  <si>
    <t>20260777</t>
  </si>
  <si>
    <t>Three-Phase Outlet Disconnect</t>
  </si>
  <si>
    <t>Warehouse</t>
  </si>
  <si>
    <t>20260778</t>
  </si>
  <si>
    <t>New Addition Panel</t>
  </si>
  <si>
    <t>20260779</t>
  </si>
  <si>
    <t>AGT - R&amp;D</t>
  </si>
  <si>
    <t>Boiler Room</t>
  </si>
  <si>
    <t>Individual Combination Motor Starter</t>
  </si>
  <si>
    <t>20260780</t>
  </si>
  <si>
    <t>VS - R&amp;D</t>
  </si>
  <si>
    <t>20260781</t>
  </si>
  <si>
    <t>RED PP-1</t>
  </si>
  <si>
    <t>20260782</t>
  </si>
  <si>
    <t>RED PP-2</t>
  </si>
  <si>
    <t>20260783</t>
  </si>
  <si>
    <t>CP-Boiler #1 Disconnect</t>
  </si>
  <si>
    <t>20260784</t>
  </si>
  <si>
    <t>CP-Boiler #1</t>
  </si>
  <si>
    <t>20260785</t>
  </si>
  <si>
    <t>-</t>
  </si>
  <si>
    <t>20260786</t>
  </si>
  <si>
    <t>20260787</t>
  </si>
  <si>
    <t>Boiler Mechanical Room</t>
  </si>
  <si>
    <t>20260788</t>
  </si>
  <si>
    <t>20260789</t>
  </si>
  <si>
    <t>20260790</t>
  </si>
  <si>
    <t>20260791</t>
  </si>
  <si>
    <t>100 HP Compressor Disconnect</t>
  </si>
  <si>
    <t>Compressor Room</t>
  </si>
  <si>
    <t>20260792</t>
  </si>
  <si>
    <t>100 HP Compressor</t>
  </si>
  <si>
    <t>Compressed Air Equipment</t>
  </si>
  <si>
    <t>20260793</t>
  </si>
  <si>
    <t>150 HP Compressor</t>
  </si>
  <si>
    <t>20260794</t>
  </si>
  <si>
    <t>20260795</t>
  </si>
  <si>
    <t>Air Dryer Disconnect</t>
  </si>
  <si>
    <t>20260796</t>
  </si>
  <si>
    <t>Air Dryer</t>
  </si>
  <si>
    <t>20260797</t>
  </si>
  <si>
    <t>150 HP Compressor Disconnect</t>
  </si>
  <si>
    <t>Maintenance Area</t>
  </si>
  <si>
    <t>20260798</t>
  </si>
  <si>
    <t>Maintenance PP-1</t>
  </si>
  <si>
    <t>20260799</t>
  </si>
  <si>
    <t>20260800</t>
  </si>
  <si>
    <t>20260801</t>
  </si>
  <si>
    <t>20260802</t>
  </si>
  <si>
    <t>Outside of Maintenance Area</t>
  </si>
  <si>
    <t>20260803</t>
  </si>
  <si>
    <t>HVAC Equipment</t>
  </si>
  <si>
    <t>20260804</t>
  </si>
  <si>
    <t>ATS #1</t>
  </si>
  <si>
    <t>Basement</t>
  </si>
  <si>
    <t>Auto Transfer Switch &lt;=400A</t>
  </si>
  <si>
    <t>20260805</t>
  </si>
  <si>
    <t>Panel #3 Main Disconnect</t>
  </si>
  <si>
    <t>20260806</t>
  </si>
  <si>
    <t>Transformer #2 Disconnect</t>
  </si>
  <si>
    <t>20260807</t>
  </si>
  <si>
    <t>LP-1 Main Disconnect</t>
  </si>
  <si>
    <t>20260808</t>
  </si>
  <si>
    <t>Panel #1</t>
  </si>
  <si>
    <t>20260809</t>
  </si>
  <si>
    <t>Panel #4</t>
  </si>
  <si>
    <t>20260810</t>
  </si>
  <si>
    <t>Panel #2</t>
  </si>
  <si>
    <t>20260811</t>
  </si>
  <si>
    <t>Transformer #1</t>
  </si>
  <si>
    <t>20260812</t>
  </si>
  <si>
    <t>Transformer #2</t>
  </si>
  <si>
    <t>20260813</t>
  </si>
  <si>
    <t>Panel #3</t>
  </si>
  <si>
    <t>20260814</t>
  </si>
  <si>
    <t>Hallway</t>
  </si>
  <si>
    <t>480V Primary Transformer - Oil Filled &lt;5000kVA</t>
  </si>
  <si>
    <t>Energized</t>
  </si>
  <si>
    <t>Insul</t>
  </si>
  <si>
    <t>DLRO</t>
  </si>
  <si>
    <t>Torque</t>
  </si>
  <si>
    <t>IR</t>
  </si>
  <si>
    <t>US</t>
  </si>
  <si>
    <t>Code</t>
  </si>
  <si>
    <t>OVERALL STATUS</t>
  </si>
  <si>
    <t>Phase (Point)</t>
  </si>
  <si>
    <t>Component</t>
  </si>
  <si>
    <t>PASS</t>
  </si>
  <si>
    <t>518 1-3</t>
  </si>
  <si>
    <t>A-Phase</t>
  </si>
  <si>
    <t>Cable Term</t>
  </si>
  <si>
    <t>FAIL</t>
  </si>
  <si>
    <t xml:space="preserve">4-5; AMP- 51.4, 46.3, 51.6, mVOLT-275.2, 106.9, 74.9 </t>
  </si>
  <si>
    <t>Overdutied Equipment Tag, Did not open Live.</t>
  </si>
  <si>
    <t>6-8; AMP- 24, 24, 22 (rated 180A) 111/amb TTR De energized testing</t>
  </si>
  <si>
    <t>Lug/Term</t>
  </si>
  <si>
    <t>519 1-3; 31.7/31.7/30.4; mv: 131.7/88.7/81.3</t>
  </si>
  <si>
    <t xml:space="preserve"> </t>
  </si>
  <si>
    <t>C-Phase</t>
  </si>
  <si>
    <t>520 1-5; overheating contactor, 2</t>
  </si>
  <si>
    <t>Fuse Clip</t>
  </si>
  <si>
    <t>521 1-3; AMPS= 7.8/7.6/7.7 mVAC- A=24mV, B=16mV, C=457mV</t>
  </si>
  <si>
    <t>Failure Mode</t>
  </si>
  <si>
    <t>dB Level</t>
  </si>
  <si>
    <t>Phase</t>
  </si>
  <si>
    <t>Wire</t>
  </si>
  <si>
    <t>V-AB</t>
  </si>
  <si>
    <t>V-BC</t>
  </si>
  <si>
    <t>V-CA</t>
  </si>
  <si>
    <t>AvgV</t>
  </si>
  <si>
    <t>V-Imb%</t>
  </si>
  <si>
    <t>A-A</t>
  </si>
  <si>
    <t>A-B</t>
  </si>
  <si>
    <t>A-C</t>
  </si>
  <si>
    <t>AvgA</t>
  </si>
  <si>
    <t>Rated Amps</t>
  </si>
  <si>
    <t>OCPD</t>
  </si>
  <si>
    <t>Load%</t>
  </si>
  <si>
    <t>I-Imb%</t>
  </si>
  <si>
    <t>Analysis</t>
  </si>
  <si>
    <t>Summary</t>
  </si>
  <si>
    <t>Life Safety (High)</t>
  </si>
  <si>
    <t>Single Phase</t>
  </si>
  <si>
    <t>2-Wire</t>
  </si>
  <si>
    <t>Breaker (Line)</t>
  </si>
  <si>
    <t>Arcing</t>
  </si>
  <si>
    <t>Critical (5pts)</t>
  </si>
  <si>
    <t>Three Phase</t>
  </si>
  <si>
    <t>3-Wire</t>
  </si>
  <si>
    <t>Breaker (Load)</t>
  </si>
  <si>
    <t>Tracking</t>
  </si>
  <si>
    <t>B-Phase</t>
  </si>
  <si>
    <t>480V/208V/120V Transformer - Dry &gt;=250 kva</t>
  </si>
  <si>
    <t>MONITOR</t>
  </si>
  <si>
    <t>Support/Utility (Med)</t>
  </si>
  <si>
    <t>Critical (&gt;2 Cycles/Unknown)</t>
  </si>
  <si>
    <t>DC</t>
  </si>
  <si>
    <t>4-Wire</t>
  </si>
  <si>
    <t>Bus Joint</t>
  </si>
  <si>
    <t>Corona</t>
  </si>
  <si>
    <t>XFMR Cond. of Maint. / AF Labeling and IR Loading</t>
  </si>
  <si>
    <t>N/A</t>
  </si>
  <si>
    <t>Vibration</t>
  </si>
  <si>
    <t>Neutral</t>
  </si>
  <si>
    <t>Auto Transfer Switch &gt;400A</t>
  </si>
  <si>
    <t>Unknown</t>
  </si>
  <si>
    <t>Mech Loose</t>
  </si>
  <si>
    <t>Multi-Phase</t>
  </si>
  <si>
    <t>VFD with Undefeatable Interlock Handle</t>
  </si>
  <si>
    <t>Minor (1pt)</t>
  </si>
  <si>
    <t>Motor Bearing</t>
  </si>
  <si>
    <t>Ground</t>
  </si>
  <si>
    <t>Bus Duct - Vertical or Horizontal (Per 10ft)</t>
  </si>
  <si>
    <t>Switchgear/Bus</t>
  </si>
  <si>
    <t>Transformer</t>
  </si>
  <si>
    <t>NEC 110.12 - Mechanical Execution of Work</t>
  </si>
  <si>
    <t>VFD</t>
  </si>
  <si>
    <t>NEC 110.14(A) - Terminations</t>
  </si>
  <si>
    <t>NEC 110.14(D) - Torque Requirements</t>
  </si>
  <si>
    <t>NEC 110.21(B) - Labeling Methods &amp; Durability</t>
  </si>
  <si>
    <t>NEC 110.22(A) - ID of Disconnecting Means</t>
  </si>
  <si>
    <t>NEC 110.24 - Available Fault Current Labeling</t>
  </si>
  <si>
    <t>MCC: Combination Motor Starters</t>
  </si>
  <si>
    <t>NEC 110.26(A)(4) - Working Space &amp; Egress (90-Degree Door)</t>
  </si>
  <si>
    <t>MCC: Molded Case Breaker</t>
  </si>
  <si>
    <t>NEC 110.26(E) Dedicated Electrical Equipment Space</t>
  </si>
  <si>
    <t>MCC: Motor Starters</t>
  </si>
  <si>
    <t>NEC 110.26(C)(2),(3) - Small Electric Room Egress</t>
  </si>
  <si>
    <t>Motor Control Panel (MCP)</t>
  </si>
  <si>
    <t>VFD Motor Control Panel (VFD-MCP)</t>
  </si>
  <si>
    <t>Switchboard Molded Case Breakers &gt;=600A</t>
  </si>
  <si>
    <t>NEC 240.21(C) - Tap Rules (10-ft, 25-ft, Outside Taps)</t>
  </si>
  <si>
    <t>Switchgear - Incoming Main Service (Per Section)</t>
  </si>
  <si>
    <t>NEC 250.6(A) - Objectionable Current on Ground</t>
  </si>
  <si>
    <t>Switchgear Safety Disconnects</t>
  </si>
  <si>
    <t>NEC 250.30(A)(1) - SDS/XFMR Bonding Jumper</t>
  </si>
  <si>
    <t>Uninterruptible Power Supply (UPS) &lt;50kVA</t>
  </si>
  <si>
    <t>NEC 250.97 - Bonding for Over 250 Volts (Bushings)</t>
  </si>
  <si>
    <t>Uninterruptible Power Supply (UPS) &gt;=50kVA</t>
  </si>
  <si>
    <t>NEC 250.102(C) Bond Jumper Sz / Parallel Raceways</t>
  </si>
  <si>
    <t>Variable Frequency Drives 51-200hp</t>
  </si>
  <si>
    <t>NEC 250.122 Equipment Grounding Conductor Sizing</t>
  </si>
  <si>
    <t>NEC 300.4 Protect Phys Dmg (Bush/Sleeve/Edge)</t>
  </si>
  <si>
    <t>Motors &lt;50hp</t>
  </si>
  <si>
    <t>NEC 300.5(D) - Underground Raceway / Cover Depth</t>
  </si>
  <si>
    <t>Motors 51-200hp</t>
  </si>
  <si>
    <t>Motors 201-500hp</t>
  </si>
  <si>
    <t>NEC 300.14 - Free Conductor Length</t>
  </si>
  <si>
    <t>NEC 312.5(C) - Cable Entry (NM/MC into Panels)</t>
  </si>
  <si>
    <t>NEC 312.8 Panelboard Wire Fill / Splicing in Cabinets</t>
  </si>
  <si>
    <t>Wire Trough/Large Junction Boxes</t>
  </si>
  <si>
    <t>NEC 348.30(A) - FMC Support and Securement</t>
  </si>
  <si>
    <t>NEC 350.30(A) - LFMC Support and Securement</t>
  </si>
  <si>
    <t>NEC 358.30(A) - EMT Support and Securement</t>
  </si>
  <si>
    <t>NEC 404.8 - Switch Mounting</t>
  </si>
  <si>
    <t>NEC 406.5 - Receptacle Faceplate / Mounting</t>
  </si>
  <si>
    <t>NEC 408.43 Grounding and Bonding of Panelboards</t>
  </si>
  <si>
    <t>NEC 430.8 - Marking on Motor Controllers</t>
  </si>
  <si>
    <t>NEC 430.98 - Motor Control Center (MCC) Disconnect Marking</t>
  </si>
  <si>
    <t>NEC 430.102(B) Local Disco. Means for Motors</t>
  </si>
  <si>
    <t>NEC 430.250 / 430.52 Motor FLC &amp; OCP Sizing</t>
  </si>
  <si>
    <t>NEC 450.3(B) - Transformer OCPD Protection</t>
  </si>
  <si>
    <t>NEC 700.7 - Emergency System Labeling</t>
  </si>
  <si>
    <t>NEC 700.10(D) - Emergency System Wiring Separation</t>
  </si>
  <si>
    <t>NEC 701.10 - Legally Req. Standby Wiring Separation</t>
  </si>
  <si>
    <t>NEC 708 - COPS</t>
  </si>
  <si>
    <t>NFPA 70B 6.2 - Electrical Maintenance Program (EMP) Implementation</t>
  </si>
  <si>
    <t>NFPA 70B 9.3.2 / NEC 310.15 - IR Thermography Phase Imbalance</t>
  </si>
  <si>
    <t>NFPA 72 10.6.5.2 - Fire Alarm Disconnect Marking and Access</t>
  </si>
  <si>
    <t>NFPA 72 10.4.1 - Fire Alarm Device Physical Damage</t>
  </si>
  <si>
    <t>NFPA 110 8.3.7 - Starting Battery Maintenance</t>
  </si>
  <si>
    <t>NFPA 110 8.3.4 - Maint./Test of Life Safety Equipment</t>
  </si>
  <si>
    <t>OSHA 1910.303(b)(2) - Approval/Listing of Equip</t>
  </si>
  <si>
    <t>OSHA 1910.305(G) - Flexible Cords Misuse</t>
  </si>
  <si>
    <t>NEC 110.12 - Cracked / Broken Insulation or Bushing</t>
  </si>
  <si>
    <t>NEC 230.62(B) - Damaged or Deteriorated Service Conductors</t>
  </si>
  <si>
    <t>NFPA 70B 5.1.3 - Equipment Deterioration Requiring Immediate Action</t>
  </si>
  <si>
    <t>NFPA 70B 11.3 - Evidence of Overheating / Discoloration (Thermal Damage)</t>
  </si>
  <si>
    <t>NFPA 70B 11.3 - Corrosion on Bus / Connections Requiring Remediation</t>
  </si>
  <si>
    <t>NFPA 70B 11.3 - Contamination / Carbon Tracking on Insulation</t>
  </si>
  <si>
    <t>NEC 312.5(A) - Missing or Improper Enclosure Cover</t>
  </si>
  <si>
    <t>NEC 110.9 - Interrupting Rating (kAIC)</t>
  </si>
  <si>
    <t>NEC 110.3(B) / 240.7 - Wrong or Non-Listed Breaker Installed</t>
  </si>
  <si>
    <t>NEC 110.15 / 200.6 / 200.7 / 210.5 / 215.12(C) - Conductor ID / Color Coding</t>
  </si>
  <si>
    <t>NEC 240.60(B)(C) / 240.11 - Fuse Type Mismatch / Noninterchangeable</t>
  </si>
  <si>
    <t>NEC 250.12 - Grounding / Bonding Surface Not Cleaned of Paint or Coatings</t>
  </si>
  <si>
    <t>NEC 300.4(G) - Conduit Bushing / Conductor Protection at Fittings</t>
  </si>
  <si>
    <t>NEC 314.15 - Covers for Damp or Wet Locations</t>
  </si>
  <si>
    <t>NEC 110.13 / 450.9 / 450.21 - Transformer Ventilation Clearance</t>
  </si>
  <si>
    <t>NFPA 70B 4.2.7 / 4.3 / 6.1-6.7 / 9.3 / 9.4 - EMP Administration Deficiencies</t>
  </si>
  <si>
    <t>NFPA 70E 110.3 / 110.4 / 105.3 / 130.7 - Electrical Safety Program, Training &amp; PPE</t>
  </si>
  <si>
    <t>NEC 110.28 - Enclosure Not Suitable for Environment (NEMA Rating)</t>
  </si>
  <si>
    <t>NEC 312.7 - Damp/Wet Location Enclosure / Drainage Provisions</t>
  </si>
  <si>
    <t>NEC 110.3(B) - Unapproved Field Modification / Non-Listed Assembly</t>
  </si>
  <si>
    <t>NEC 110.14(B) - Splices Not in Approved Junction / Pull Box</t>
  </si>
  <si>
    <t>NEC 408.36 - Unauthorized Back-Fed Breaker (No Retaining Clip)</t>
  </si>
  <si>
    <t>NEC 408.36 - Tandem / Double-Tap Breaker in Non-CTL Panel</t>
  </si>
  <si>
    <t>NEC 230.71 - More Than 6 Service Disconnecting Means</t>
  </si>
  <si>
    <t>NEC 110.26(A)(1) - Insufficient Working Space Depth (&lt; 3ft)</t>
  </si>
  <si>
    <t>NEC 110.26(A)(2) - Insufficient Working Space Width (&lt; 30in)</t>
  </si>
  <si>
    <t>NEC 110.26(A)(3) - Insufficient Working Space Height (&lt; 6.5ft)</t>
  </si>
  <si>
    <t>NEC 110.26(B) - Working Space Obstructed / Used for Storage</t>
  </si>
  <si>
    <t>NEC 110.26(D) - Illumination Not Provided for Working Space</t>
  </si>
  <si>
    <t>NEC 110.26(F) - Dedicated Equipment Space Violation (Outdoor)</t>
  </si>
  <si>
    <t>NEC 250.4(A)(1) - Grounding of Electrical System Not Maintained</t>
  </si>
  <si>
    <t>NEC 250.8 - Improper Connection of Grounding / Bonding Conductors</t>
  </si>
  <si>
    <t>NEC 250.10 - Protection of Ground Clamps / Fittings</t>
  </si>
  <si>
    <t>NEC 250.28 - Main Bonding Jumper Missing or Undersized</t>
  </si>
  <si>
    <t>NEC 250.50 - Grounding Electrode System Incomplete</t>
  </si>
  <si>
    <t>NEC 250.53 - Grounding Electrode Conductor Installation</t>
  </si>
  <si>
    <t>NEC 250.64 - Grounding Electrode Conductor Size / Protection</t>
  </si>
  <si>
    <t>NEC 250.119 - EGC Not Identified / Green or Bare Required</t>
  </si>
  <si>
    <t>NEC 250.148 - EGC Continuity in Junction / Pull Box</t>
  </si>
  <si>
    <t>NEC 240.15(A) - Single-Pole Breaker on Multi-Wire Branch Circuit</t>
  </si>
  <si>
    <t>NEC 240.24(A) - OCPD Not Readily Accessible</t>
  </si>
  <si>
    <t>NEC 240.24(B) - OCPD Near Easily Ignitable Material</t>
  </si>
  <si>
    <t>NEC 240.24(D) - OCPD Located in Bathroom</t>
  </si>
  <si>
    <t>NEC 240.60(B) - Cartridge Fuse Class / Rejection Feature Missing</t>
  </si>
  <si>
    <t>NFPA 70B 5.2.1 - Active Water / Condensation Inside Enclosure</t>
  </si>
  <si>
    <t>NFPA 70B 5.2.2 - Pest / Rodent Intrusion and Nesting Evidence</t>
  </si>
  <si>
    <t>NFPA 70B 5.2.3 - Excessive Dust / Debris Accumulation in Enclosure</t>
  </si>
  <si>
    <t>NFPA 70B 5.2.3 - Chemical / Oil Contamination on Equipment</t>
  </si>
  <si>
    <t>NEC 110.11 - Deteriorating Agents (Chemical / Environmental Exposure)</t>
  </si>
  <si>
    <t>NEC 408.3(A) - Switchboard Not Accessible from Front Only</t>
  </si>
  <si>
    <t>NEC 408.3(B) - Switchboard Installed in Damp / Wet Location</t>
  </si>
  <si>
    <t>NEC 408.3(F) - Switchboard Overcurrent Protection Missing</t>
  </si>
  <si>
    <t>NEC 230.66 - Service Equipment Not Marked / Approved as Such</t>
  </si>
  <si>
    <t>NEC 230.70(A) - Service Disconnect Not Readily Accessible</t>
  </si>
  <si>
    <t>NEC 450.9 - Transformer Ventilation Obstructed</t>
  </si>
  <si>
    <t>NEC 450.11 - Transformer Marking Missing or Damaged</t>
  </si>
  <si>
    <t>NEC 450.13 - Transformer Not Accessible / Properly Guarded</t>
  </si>
  <si>
    <t>NEC 450.21(A) - Dry-Type XFMR Clearance from Combustibles</t>
  </si>
  <si>
    <t>NEC 450.27 - Oil-Insulated XFMR Vault / Containment Required</t>
  </si>
  <si>
    <t>NFPA 70B 11.9 - Transformer Oil Level / Condition (Oil-Filled)</t>
  </si>
  <si>
    <t>NFPA 70B 11.9 - Transformer Oil Leak Evidence</t>
  </si>
  <si>
    <t>NEC 430.9(B) - Motor Control Devices Not Properly Marked</t>
  </si>
  <si>
    <t>NEC 430.14(A) - Motor Location / Ventilation Inadequate</t>
  </si>
  <si>
    <t>NEC 430.51 - Motor Branch Circuit OCPD Type Not Suitable</t>
  </si>
  <si>
    <t>NEC 430.109 - Motor Disconnect Type Not Suitable for Application</t>
  </si>
  <si>
    <t>NEC 430.110 - Motor Disconnect Ampere Rating Insufficient</t>
  </si>
  <si>
    <t>NEC 430.232 - Motor Not Protected Against Overload</t>
  </si>
  <si>
    <t>NFPA 110 7.2 - Generator Visual Inspection Deficiency</t>
  </si>
  <si>
    <t>NFPA 110 7.3 - Generator Coolant / Fluid Level Issue</t>
  </si>
  <si>
    <t>NFPA 110 7.9 - Generator Exercising / Load Test Not Current</t>
  </si>
  <si>
    <t>NFPA 110 8.4.2 - ATS Failure to Transfer (Functional Test)</t>
  </si>
  <si>
    <t>NEC 700.5(A) - Transfer Equipment Not Listed / Approved</t>
  </si>
  <si>
    <t>NEC 700.12 - Emergency Source Capacity Insufficient</t>
  </si>
  <si>
    <t>NEC 702.5 - Optional Standby OCPD Accessibility</t>
  </si>
  <si>
    <t>NEC 430.122 - VFD Branch Circuit Conductor Sizing</t>
  </si>
  <si>
    <t>NEC 430.131 - VFD Bypass Overcurrent Protection</t>
  </si>
  <si>
    <t>NFPA 70B 17.2 - VFD Filter / Capacitor Condition</t>
  </si>
  <si>
    <t>NEC 300.15 - Box / Fitting Required at Each Conductor Splice</t>
  </si>
  <si>
    <t>NEC 300.17 - Raceway Overfill / Conductor Fill Exceeded</t>
  </si>
  <si>
    <t>NEC 300.22 - Wiring in Ducts / Plenum Spaces Not Permitted</t>
  </si>
  <si>
    <t>NEC 310.15(B) - Conductor Ampacity Derate Required</t>
  </si>
  <si>
    <t>NEC 358.10 - EMT Use Not Permitted in This Location</t>
  </si>
  <si>
    <t>NEC 334.15 - NM Cable Not Protected / Exposed Run</t>
  </si>
  <si>
    <t>NEC 362.10 - ENT Use Not Permitted in This Location</t>
  </si>
  <si>
    <t>NEC 460.8(A) - Capacitor Conductor Ampacity Insufficient</t>
  </si>
  <si>
    <t>NEC 460.8(B) - Capacitor OCPD Rating Incorrect</t>
  </si>
  <si>
    <t>NEC 460.9 - Capacitor Discharge Method Not Provided</t>
  </si>
  <si>
    <t>NEC 368.17 - Bus Duct Overcurrent Protection at Tap Points</t>
  </si>
  <si>
    <t>NEC 368.12 - Bus Duct Use Not Permitted in This Location</t>
  </si>
  <si>
    <t>NFPA 70B 16.1 - UPS Battery Condition / Maintenance Overdue</t>
  </si>
  <si>
    <t>NFPA 70B 16.1 - UPS Bypass / Transfer Issue</t>
  </si>
  <si>
    <t>NFPA 70B 5.1.2 - Equipment Past Recommended Service Interval</t>
  </si>
  <si>
    <t>NFPA 70B 9.2.1 - Loose Connection Found During Inspection</t>
  </si>
  <si>
    <t>NFPA 70B 9.2.2 - Evidence of Arcing / Pitting on Contacts</t>
  </si>
  <si>
    <t>NFPA 70B 9.3.1 - Contact / Insulation Resistance Below Minimum</t>
  </si>
  <si>
    <t>NFPA 70B 9.7 - Circuit Breaker Trip Test Overdue / Failed</t>
  </si>
  <si>
    <t>NFPA 70B 9.7 - Breaker Mechanism Binding / Inoperable</t>
  </si>
  <si>
    <t>NFPA 70B 12.2 - Switchgear / Switchboard Interlock Defeated</t>
  </si>
  <si>
    <t>NFPA 70B 12.2 - Draw-Out Element Racking Mechanism Defective</t>
  </si>
  <si>
    <t>NEC 240.4 / 240.4(B) - Supply OCPD Exceeds Conductor Ampacity</t>
  </si>
  <si>
    <t>NEC 110.3(B) / 240.4(A) - OCPD Exceeds Equipment Nameplate Current Rating</t>
  </si>
  <si>
    <t>NEC 110.3(B) / NFPA 70B 17.2 - VFD Operator Interface / Display Damaged or Inoperable</t>
  </si>
  <si>
    <t>Field Observation - Mechanical / Pneumatic Deficiency Noted (Non-Electrical)</t>
  </si>
  <si>
    <t>NEC 110.3(B) / 110.12 - Door-Mounted Breaker Operating Rod Disconnected or Inoperable</t>
  </si>
  <si>
    <t>TestV</t>
  </si>
  <si>
    <t>Ph-Ph</t>
  </si>
  <si>
    <t>Ph-G</t>
  </si>
  <si>
    <t>PI</t>
  </si>
  <si>
    <t>Temp</t>
  </si>
  <si>
    <t>Ph-A</t>
  </si>
  <si>
    <t>Ph-B</t>
  </si>
  <si>
    <t>Ph-C</t>
  </si>
  <si>
    <t>Dev%</t>
  </si>
  <si>
    <t>Connection Type</t>
  </si>
  <si>
    <t>Spec</t>
  </si>
  <si>
    <t>Verified?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</si>
</sst>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00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/>
    </xf>
    <xf numFmtId="164" fontId="1" fillId="2" borderId="0" xfId="0" applyNumberFormat="1" applyFont="1" applyFill="1" applyAlignment="1">
      <alignment horizontal="center"/>
    </xf>
    <xf numFmtId="164" fontId="0" fillId="0" borderId="0" xfId="0" applyNumberFormat="1"/>
    <xf numFmtId="49" fontId="1" fillId="2" borderId="0" xfId="0" applyNumberFormat="1" applyFont="1" applyFill="1" applyAlignment="1">
      <alignment horizontal="center"/>
    </xf>
    <xf numFmtId="49" fontId="0" fillId="0" borderId="0" xfId="0" applyNumberFormat="1"/>
  </cellXfs>
  <cellStyles count="1">
    <cellStyle name="Normal" xfId="0" builtinId="0"/>
  </cellStyles>
  <dxfs count="5">
    <dxf>
      <fill>
        <patternFill patternType="solid">
          <fgColor rgb="FFFF0000"/>
        </patternFill>
      </fill>
    </dxf>
    <dxf>
      <fill>
        <patternFill patternType="solid">
          <fgColor rgb="FFFFA500"/>
        </patternFill>
      </fill>
    </dxf>
    <dxf>
      <fill>
        <patternFill patternType="solid">
          <fgColor rgb="FFFFFF00"/>
        </patternFill>
      </fill>
    </dxf>
    <dxf>
      <fill>
        <patternFill patternType="solid">
          <fgColor rgb="FFFF0000"/>
        </patternFill>
      </fill>
    </dxf>
    <dxf>
      <numFmt numFmtId="30" formatCode="@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EquipmentInformation" displayName="Table_EquipmentInformation" ref="A1:M500">
  <autoFilter ref="A1:M500" xr:uid="{00000000-0009-0000-0100-000001000000}"/>
  <tableColumns count="13">
    <tableColumn id="1" xr3:uid="{00000000-0010-0000-0000-000001000000}" name="Asset Tag"/>
    <tableColumn id="2" xr3:uid="{00000000-0010-0000-0000-000002000000}" name="Functional Name"/>
    <tableColumn id="3" xr3:uid="{00000000-0010-0000-0000-000003000000}" name="Location"/>
    <tableColumn id="4" xr3:uid="{00000000-0010-0000-0000-000004000000}" name="Equipment Type"/>
    <tableColumn id="5" xr3:uid="{00000000-0010-0000-0000-000005000000}" name="Manufacturer"/>
    <tableColumn id="6" xr3:uid="{00000000-0010-0000-0000-000006000000}" name="Model"/>
    <tableColumn id="7" xr3:uid="{00000000-0010-0000-0000-000007000000}" name="Serial #"/>
    <tableColumn id="8" xr3:uid="{00000000-0010-0000-0000-000008000000}" name="Voltage"/>
    <tableColumn id="9" xr3:uid="{00000000-0010-0000-0000-000009000000}" name="Criticality"/>
    <tableColumn id="10" xr3:uid="{00000000-0010-0000-0000-00000A000000}" name="Maint. Status"/>
    <tableColumn id="11" xr3:uid="{00000000-0010-0000-0000-00000B000000}" name="Health Score"/>
    <tableColumn id="12" xr3:uid="{00000000-0010-0000-0000-00000C000000}" name="Program Status"/>
    <tableColumn id="13" xr3:uid="{00000000-0010-0000-0000-00000D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MasterDashboard" displayName="Table_MasterDashboard" ref="A1:L500">
  <autoFilter ref="A1:L500" xr:uid="{00000000-0009-0000-0100-000002000000}"/>
  <tableColumns count="12">
    <tableColumn id="1" xr3:uid="{00000000-0010-0000-0100-000001000000}" name="Asset Tag"/>
    <tableColumn id="2" xr3:uid="{00000000-0010-0000-0100-000002000000}" name="Functional Name"/>
    <tableColumn id="3" xr3:uid="{00000000-0010-0000-0100-000003000000}" name="Location"/>
    <tableColumn id="4" xr3:uid="{00000000-0010-0000-0100-000004000000}" name="Equipment Type"/>
    <tableColumn id="5" xr3:uid="{00000000-0010-0000-0100-000005000000}" name="Energized"/>
    <tableColumn id="6" xr3:uid="{00000000-0010-0000-0100-000006000000}" name="Insul"/>
    <tableColumn id="7" xr3:uid="{00000000-0010-0000-0100-000007000000}" name="DLRO"/>
    <tableColumn id="8" xr3:uid="{00000000-0010-0000-0100-000008000000}" name="Torque"/>
    <tableColumn id="9" xr3:uid="{00000000-0010-0000-0100-000009000000}" name="IR"/>
    <tableColumn id="10" xr3:uid="{00000000-0010-0000-0100-00000A000000}" name="US"/>
    <tableColumn id="11" xr3:uid="{00000000-0010-0000-0100-00000B000000}" name="Code"/>
    <tableColumn id="12" xr3:uid="{00000000-0010-0000-0100-00000C000000}" name="OVERALL 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CodeViolations" displayName="Table_CodeViolations" ref="A1:V500">
  <autoFilter ref="A1:V500" xr:uid="{00000000-0009-0000-0100-000003000000}"/>
  <tableColumns count="22">
    <tableColumn id="1" xr3:uid="{00000000-0010-0000-0200-000001000000}" name="Tag"/>
    <tableColumn id="2" xr3:uid="{00000000-0010-0000-0200-000002000000}" name="Name"/>
    <tableColumn id="3" xr3:uid="{00000000-0010-0000-0200-000003000000}" name="Loc"/>
    <tableColumn id="4" xr3:uid="{00000000-0010-0000-0200-000004000000}" name="Violation 1"/>
    <tableColumn id="5" xr3:uid="{00000000-0010-0000-0200-000005000000}" name="Sev 1"/>
    <tableColumn id="6" xr3:uid="{00000000-0010-0000-0200-000006000000}" name="Corr 1?"/>
    <tableColumn id="7" xr3:uid="{00000000-0010-0000-0200-000007000000}" name="Violation 2"/>
    <tableColumn id="8" xr3:uid="{00000000-0010-0000-0200-000008000000}" name="Sev 2"/>
    <tableColumn id="9" xr3:uid="{00000000-0010-0000-0200-000009000000}" name="Corr 2?"/>
    <tableColumn id="10" xr3:uid="{00000000-0010-0000-0200-00000A000000}" name="Violation 3"/>
    <tableColumn id="11" xr3:uid="{00000000-0010-0000-0200-00000B000000}" name="Sev 3"/>
    <tableColumn id="12" xr3:uid="{00000000-0010-0000-0200-00000C000000}" name="Corr 3?"/>
    <tableColumn id="13" xr3:uid="{00000000-0010-0000-0200-00000D000000}" name="Violation 4"/>
    <tableColumn id="14" xr3:uid="{00000000-0010-0000-0200-00000E000000}" name="Sev 4"/>
    <tableColumn id="15" xr3:uid="{00000000-0010-0000-0200-00000F000000}" name="Corr 4?"/>
    <tableColumn id="16" xr3:uid="{00000000-0010-0000-0200-000010000000}" name="Violation 5"/>
    <tableColumn id="17" xr3:uid="{00000000-0010-0000-0200-000011000000}" name="Sev 5"/>
    <tableColumn id="18" xr3:uid="{00000000-0010-0000-0200-000012000000}" name="Corr 5?"/>
    <tableColumn id="19" xr3:uid="{00000000-0010-0000-0200-000013000000}" name="Notes"/>
    <tableColumn id="20" xr3:uid="{00000000-0010-0000-0200-000014000000}" name="Net Points"/>
    <tableColumn id="21" xr3:uid="{00000000-0010-0000-0200-000015000000}" name="Status"/>
    <tableColumn id="22" xr3:uid="{00000000-0010-0000-0200-000016000000}" name="Resul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Infrared" displayName="Table_Infrared" ref="A1:G500">
  <autoFilter ref="A1:G500" xr:uid="{00000000-0009-0000-0100-000004000000}"/>
  <tableColumns count="7">
    <tableColumn id="1" xr3:uid="{00000000-0010-0000-0300-000001000000}" name="Tag"/>
    <tableColumn id="2" xr3:uid="{00000000-0010-0000-0300-000002000000}" name="Name"/>
    <tableColumn id="3" xr3:uid="{00000000-0010-0000-0300-000003000000}" name="Loc"/>
    <tableColumn id="4" xr3:uid="{00000000-0010-0000-0300-000004000000}" name="Phase (Point)"/>
    <tableColumn id="5" xr3:uid="{00000000-0010-0000-0300-000005000000}" name="Component"/>
    <tableColumn id="6" xr3:uid="{00000000-0010-0000-0300-000006000000}" name="Result"/>
    <tableColumn id="7" xr3:uid="{00000000-0010-0000-0300-000007000000}" name="Notes" dataDxfId="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Ultrasonic" displayName="Table_Ultrasonic" ref="A1:H500">
  <autoFilter ref="A1:H500" xr:uid="{00000000-0009-0000-0100-000005000000}"/>
  <tableColumns count="8">
    <tableColumn id="1" xr3:uid="{00000000-0010-0000-0400-000001000000}" name="Tag"/>
    <tableColumn id="2" xr3:uid="{00000000-0010-0000-0400-000002000000}" name="Name"/>
    <tableColumn id="3" xr3:uid="{00000000-0010-0000-0400-000003000000}" name="Loc"/>
    <tableColumn id="4" xr3:uid="{00000000-0010-0000-0400-000004000000}" name="Component"/>
    <tableColumn id="5" xr3:uid="{00000000-0010-0000-0400-000005000000}" name="Failure Mode"/>
    <tableColumn id="6" xr3:uid="{00000000-0010-0000-0400-000006000000}" name="dB Level"/>
    <tableColumn id="7" xr3:uid="{00000000-0010-0000-0400-000007000000}" name="Result"/>
    <tableColumn id="8" xr3:uid="{00000000-0010-0000-0400-000008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EnergizedData" displayName="Table_EnergizedData" ref="A1:T500">
  <autoFilter ref="A1:T500" xr:uid="{00000000-0009-0000-0100-000006000000}"/>
  <tableColumns count="20">
    <tableColumn id="1" xr3:uid="{00000000-0010-0000-0500-000001000000}" name="Tag"/>
    <tableColumn id="2" xr3:uid="{00000000-0010-0000-0500-000002000000}" name="Name"/>
    <tableColumn id="3" xr3:uid="{00000000-0010-0000-0500-000003000000}" name="Loc"/>
    <tableColumn id="4" xr3:uid="{00000000-0010-0000-0500-000004000000}" name="Phase"/>
    <tableColumn id="5" xr3:uid="{00000000-0010-0000-0500-000005000000}" name="Wire"/>
    <tableColumn id="6" xr3:uid="{00000000-0010-0000-0500-000006000000}" name="V-AB"/>
    <tableColumn id="7" xr3:uid="{00000000-0010-0000-0500-000007000000}" name="V-BC"/>
    <tableColumn id="8" xr3:uid="{00000000-0010-0000-0500-000008000000}" name="V-CA"/>
    <tableColumn id="9" xr3:uid="{00000000-0010-0000-0500-000009000000}" name="AvgV"/>
    <tableColumn id="10" xr3:uid="{00000000-0010-0000-0500-00000A000000}" name="V-Imb%"/>
    <tableColumn id="11" xr3:uid="{00000000-0010-0000-0500-00000B000000}" name="A-A"/>
    <tableColumn id="12" xr3:uid="{00000000-0010-0000-0500-00000C000000}" name="A-B"/>
    <tableColumn id="13" xr3:uid="{00000000-0010-0000-0500-00000D000000}" name="A-C"/>
    <tableColumn id="14" xr3:uid="{00000000-0010-0000-0500-00000E000000}" name="AvgA"/>
    <tableColumn id="15" xr3:uid="{00000000-0010-0000-0500-00000F000000}" name="Rated Amps"/>
    <tableColumn id="16" xr3:uid="{00000000-0010-0000-0500-000010000000}" name="OCPD"/>
    <tableColumn id="17" xr3:uid="{00000000-0010-0000-0500-000011000000}" name="Load%"/>
    <tableColumn id="18" xr3:uid="{00000000-0010-0000-0500-000012000000}" name="I-Imb%"/>
    <tableColumn id="19" xr3:uid="{00000000-0010-0000-0500-000013000000}" name="Analysis"/>
    <tableColumn id="20" xr3:uid="{00000000-0010-0000-0500-000014000000}" name="Summa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Insulation" displayName="Table_Insulation" ref="A1:J500">
  <autoFilter ref="A1:J500" xr:uid="{00000000-0009-0000-0100-000007000000}"/>
  <tableColumns count="10">
    <tableColumn id="1" xr3:uid="{00000000-0010-0000-0600-000001000000}" name="Tag"/>
    <tableColumn id="2" xr3:uid="{00000000-0010-0000-0600-000002000000}" name="Name"/>
    <tableColumn id="3" xr3:uid="{00000000-0010-0000-0600-000003000000}" name="Loc"/>
    <tableColumn id="4" xr3:uid="{00000000-0010-0000-0600-000004000000}" name="TestV"/>
    <tableColumn id="5" xr3:uid="{00000000-0010-0000-0600-000005000000}" name="Ph-Ph"/>
    <tableColumn id="6" xr3:uid="{00000000-0010-0000-0600-000006000000}" name="Ph-G"/>
    <tableColumn id="7" xr3:uid="{00000000-0010-0000-0600-000007000000}" name="PI"/>
    <tableColumn id="8" xr3:uid="{00000000-0010-0000-0600-000008000000}" name="Temp"/>
    <tableColumn id="9" xr3:uid="{00000000-0010-0000-0600-000009000000}" name="Result"/>
    <tableColumn id="10" xr3:uid="{00000000-0010-0000-0600-00000A000000}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DLRO" displayName="Table_DLRO" ref="A1:I500">
  <autoFilter ref="A1:I500" xr:uid="{00000000-0009-0000-0100-000008000000}"/>
  <tableColumns count="9">
    <tableColumn id="1" xr3:uid="{00000000-0010-0000-0700-000001000000}" name="Tag"/>
    <tableColumn id="2" xr3:uid="{00000000-0010-0000-0700-000002000000}" name="Name"/>
    <tableColumn id="3" xr3:uid="{00000000-0010-0000-0700-000003000000}" name="Loc"/>
    <tableColumn id="4" xr3:uid="{00000000-0010-0000-0700-000004000000}" name="Ph-A"/>
    <tableColumn id="5" xr3:uid="{00000000-0010-0000-0700-000005000000}" name="Ph-B"/>
    <tableColumn id="6" xr3:uid="{00000000-0010-0000-0700-000006000000}" name="Ph-C"/>
    <tableColumn id="7" xr3:uid="{00000000-0010-0000-0700-000007000000}" name="Dev%"/>
    <tableColumn id="8" xr3:uid="{00000000-0010-0000-0700-000008000000}" name="Result"/>
    <tableColumn id="9" xr3:uid="{00000000-0010-0000-0700-000009000000}" name="Not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Torque" displayName="Table_Torque" ref="A1:I500">
  <autoFilter ref="A1:I500" xr:uid="{00000000-0009-0000-0100-000009000000}"/>
  <tableColumns count="9">
    <tableColumn id="1" xr3:uid="{00000000-0010-0000-0800-000001000000}" name="Tag"/>
    <tableColumn id="2" xr3:uid="{00000000-0010-0000-0800-000002000000}" name="Name"/>
    <tableColumn id="3" xr3:uid="{00000000-0010-0000-0800-000003000000}" name="Loc"/>
    <tableColumn id="4" xr3:uid="{00000000-0010-0000-0800-000004000000}" name="Phase"/>
    <tableColumn id="5" xr3:uid="{00000000-0010-0000-0800-000005000000}" name="Connection Type"/>
    <tableColumn id="6" xr3:uid="{00000000-0010-0000-0800-000006000000}" name="Spec"/>
    <tableColumn id="7" xr3:uid="{00000000-0010-0000-0800-000007000000}" name="Verified?"/>
    <tableColumn id="8" xr3:uid="{00000000-0010-0000-0800-000008000000}" name="Result"/>
    <tableColumn id="9" xr3:uid="{00000000-0010-0000-0800-000009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99"/>
  <sheetViews>
    <sheetView zoomScale="120" workbookViewId="0">
      <pane ySplit="1" topLeftCell="A2" activePane="bottomLeft" state="frozen"/>
      <selection pane="bottomLeft" activeCell="D174" sqref="D174"/>
    </sheetView>
  </sheetViews>
  <sheetFormatPr defaultRowHeight="15" x14ac:dyDescent="0.25"/>
  <cols>
    <col min="1" max="1" width="20" customWidth="1"/>
    <col min="2" max="2" width="34.28515625" customWidth="1"/>
    <col min="3" max="3" width="29" customWidth="1"/>
    <col min="4" max="4" width="49" customWidth="1"/>
    <col min="5" max="5" width="29.7109375" customWidth="1"/>
    <col min="6" max="8" width="20" customWidth="1"/>
    <col min="9" max="9" width="23.85546875" customWidth="1"/>
    <col min="10" max="13" width="20" customWidth="1"/>
  </cols>
  <sheetData>
    <row r="1" spans="1:13" x14ac:dyDescent="0.25">
      <c r="A1" s="1" t="s">
        <v>57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18</v>
      </c>
    </row>
    <row r="2" spans="1:13" x14ac:dyDescent="0.25">
      <c r="A2" t="s">
        <v>69</v>
      </c>
      <c r="B2" t="s">
        <v>70</v>
      </c>
      <c r="C2" t="s">
        <v>71</v>
      </c>
      <c r="D2" t="s">
        <v>72</v>
      </c>
      <c r="E2" t="s">
        <v>73</v>
      </c>
      <c r="I2" t="s">
        <v>74</v>
      </c>
      <c r="J2" t="s">
        <v>75</v>
      </c>
      <c r="K2" t="str">
        <f>IF(A2="","", IF(OR(SUMIF('Code Violations'!A:A, A2, 'Code Violations'!T:T)&gt;=5, VLOOKUP(A2, 'Master Dashboard'!A:L, 9, FALSE)="FAIL", VLOOKUP(A2, 'Master Dashboard'!A:L, 10, FALSE)="FAIL", ISNUMBER(SEARCH("Critical", J2))), "3-Red", IF(SUMIF('Code Violations'!A:A, A2, 'Code Violations'!T:T)&gt;=1, "2-Yellow", "1-White")))</f>
        <v>3-Red</v>
      </c>
      <c r="L2" t="str">
        <f t="shared" ref="L2:L33" si="0">IF(J2="","", IF(ISNUMBER(SEARCH("Critical", J2)), "CRITICAL FAIL", IF(ISNUMBER(SEARCH("Overdue", J2)), "FAIL", "COMPLIANT")))</f>
        <v>FAIL</v>
      </c>
    </row>
    <row r="3" spans="1:13" x14ac:dyDescent="0.25">
      <c r="A3" t="s">
        <v>76</v>
      </c>
      <c r="B3" t="s">
        <v>77</v>
      </c>
      <c r="C3" t="s">
        <v>71</v>
      </c>
      <c r="D3" t="s">
        <v>72</v>
      </c>
      <c r="E3" t="s">
        <v>73</v>
      </c>
      <c r="I3" t="s">
        <v>74</v>
      </c>
      <c r="J3" t="s">
        <v>75</v>
      </c>
      <c r="K3" t="str">
        <f>IF(A3="","", IF(OR(SUMIF('Code Violations'!A:A, A3, 'Code Violations'!T:T)&gt;=5, VLOOKUP(A3, 'Master Dashboard'!A:L, 9, FALSE)="FAIL", VLOOKUP(A3, 'Master Dashboard'!A:L, 10, FALSE)="FAIL", ISNUMBER(SEARCH("Critical", J3))), "3-Red", IF(SUMIF('Code Violations'!A:A, A3, 'Code Violations'!T:T)&gt;=1, "2-Yellow", "1-White")))</f>
        <v>3-Red</v>
      </c>
      <c r="L3" t="str">
        <f t="shared" si="0"/>
        <v>FAIL</v>
      </c>
    </row>
    <row r="4" spans="1:13" x14ac:dyDescent="0.25">
      <c r="A4" t="s">
        <v>78</v>
      </c>
      <c r="B4" t="s">
        <v>79</v>
      </c>
      <c r="C4" t="s">
        <v>71</v>
      </c>
      <c r="D4" t="s">
        <v>72</v>
      </c>
      <c r="E4" t="s">
        <v>73</v>
      </c>
      <c r="I4" t="s">
        <v>74</v>
      </c>
      <c r="J4" t="s">
        <v>75</v>
      </c>
      <c r="K4" t="str">
        <f>IF(A4="","", IF(OR(SUMIF('Code Violations'!A:A, A4, 'Code Violations'!T:T)&gt;=5, VLOOKUP(A4, 'Master Dashboard'!A:L, 9, FALSE)="FAIL", VLOOKUP(A4, 'Master Dashboard'!A:L, 10, FALSE)="FAIL", ISNUMBER(SEARCH("Critical", J4))), "3-Red", IF(SUMIF('Code Violations'!A:A, A4, 'Code Violations'!T:T)&gt;=1, "2-Yellow", "1-White")))</f>
        <v>3-Red</v>
      </c>
      <c r="L4" t="str">
        <f t="shared" si="0"/>
        <v>FAIL</v>
      </c>
    </row>
    <row r="5" spans="1:13" x14ac:dyDescent="0.25">
      <c r="A5" t="s">
        <v>80</v>
      </c>
      <c r="B5" t="s">
        <v>81</v>
      </c>
      <c r="C5" t="s">
        <v>71</v>
      </c>
      <c r="D5" t="s">
        <v>82</v>
      </c>
      <c r="E5" t="s">
        <v>73</v>
      </c>
      <c r="I5" t="s">
        <v>83</v>
      </c>
      <c r="J5" t="s">
        <v>75</v>
      </c>
      <c r="K5" t="str">
        <f>IF(A5="","", IF(OR(SUMIF('Code Violations'!A:A, A5, 'Code Violations'!T:T)&gt;=5, VLOOKUP(A5, 'Master Dashboard'!A:L, 9, FALSE)="FAIL", VLOOKUP(A5, 'Master Dashboard'!A:L, 10, FALSE)="FAIL", ISNUMBER(SEARCH("Critical", J5))), "3-Red", IF(SUMIF('Code Violations'!A:A, A5, 'Code Violations'!T:T)&gt;=1, "2-Yellow", "1-White")))</f>
        <v>1-White</v>
      </c>
      <c r="L5" t="str">
        <f t="shared" si="0"/>
        <v>FAIL</v>
      </c>
    </row>
    <row r="6" spans="1:13" x14ac:dyDescent="0.25">
      <c r="A6" t="s">
        <v>84</v>
      </c>
      <c r="B6" t="s">
        <v>85</v>
      </c>
      <c r="C6" t="s">
        <v>71</v>
      </c>
      <c r="D6" t="s">
        <v>82</v>
      </c>
      <c r="E6" t="s">
        <v>73</v>
      </c>
      <c r="J6" t="s">
        <v>75</v>
      </c>
      <c r="K6" t="str">
        <f>IF(A6="","", IF(OR(SUMIF('Code Violations'!A:A, A6, 'Code Violations'!T:T)&gt;=5, VLOOKUP(A6, 'Master Dashboard'!A:L, 9, FALSE)="FAIL", VLOOKUP(A6, 'Master Dashboard'!A:L, 10, FALSE)="FAIL", ISNUMBER(SEARCH("Critical", J6))), "3-Red", IF(SUMIF('Code Violations'!A:A, A6, 'Code Violations'!T:T)&gt;=1, "2-Yellow", "1-White")))</f>
        <v>1-White</v>
      </c>
      <c r="L6" t="str">
        <f t="shared" si="0"/>
        <v>FAIL</v>
      </c>
    </row>
    <row r="7" spans="1:13" x14ac:dyDescent="0.25">
      <c r="A7" t="s">
        <v>86</v>
      </c>
      <c r="B7" t="s">
        <v>87</v>
      </c>
      <c r="C7" t="s">
        <v>71</v>
      </c>
      <c r="D7" t="s">
        <v>88</v>
      </c>
      <c r="E7" t="s">
        <v>73</v>
      </c>
      <c r="J7" t="s">
        <v>75</v>
      </c>
      <c r="K7" t="str">
        <f>IF(A7="","", IF(OR(SUMIF('Code Violations'!A:A, A7, 'Code Violations'!T:T)&gt;=5, VLOOKUP(A7, 'Master Dashboard'!A:L, 9, FALSE)="FAIL", VLOOKUP(A7, 'Master Dashboard'!A:L, 10, FALSE)="FAIL", ISNUMBER(SEARCH("Critical", J7))), "3-Red", IF(SUMIF('Code Violations'!A:A, A7, 'Code Violations'!T:T)&gt;=1, "2-Yellow", "1-White")))</f>
        <v>3-Red</v>
      </c>
      <c r="L7" t="str">
        <f t="shared" si="0"/>
        <v>FAIL</v>
      </c>
    </row>
    <row r="8" spans="1:13" x14ac:dyDescent="0.25">
      <c r="A8" t="s">
        <v>89</v>
      </c>
      <c r="B8" t="s">
        <v>90</v>
      </c>
      <c r="C8" t="s">
        <v>71</v>
      </c>
      <c r="D8" t="s">
        <v>88</v>
      </c>
      <c r="E8" t="s">
        <v>73</v>
      </c>
      <c r="J8" t="s">
        <v>75</v>
      </c>
      <c r="K8" t="str">
        <f>IF(A8="","", IF(OR(SUMIF('Code Violations'!A:A, A8, 'Code Violations'!T:T)&gt;=5, VLOOKUP(A8, 'Master Dashboard'!A:L, 9, FALSE)="FAIL", VLOOKUP(A8, 'Master Dashboard'!A:L, 10, FALSE)="FAIL", ISNUMBER(SEARCH("Critical", J8))), "3-Red", IF(SUMIF('Code Violations'!A:A, A8, 'Code Violations'!T:T)&gt;=1, "2-Yellow", "1-White")))</f>
        <v>2-Yellow</v>
      </c>
      <c r="L8" t="str">
        <f t="shared" si="0"/>
        <v>FAIL</v>
      </c>
    </row>
    <row r="9" spans="1:13" x14ac:dyDescent="0.25">
      <c r="A9" t="s">
        <v>91</v>
      </c>
      <c r="B9" t="s">
        <v>92</v>
      </c>
      <c r="C9" t="s">
        <v>71</v>
      </c>
      <c r="D9" t="s">
        <v>88</v>
      </c>
      <c r="E9" t="s">
        <v>73</v>
      </c>
      <c r="J9" t="s">
        <v>75</v>
      </c>
      <c r="K9" t="str">
        <f>IF(A9="","", IF(OR(SUMIF('Code Violations'!A:A, A9, 'Code Violations'!T:T)&gt;=5, VLOOKUP(A9, 'Master Dashboard'!A:L, 9, FALSE)="FAIL", VLOOKUP(A9, 'Master Dashboard'!A:L, 10, FALSE)="FAIL", ISNUMBER(SEARCH("Critical", J9))), "3-Red", IF(SUMIF('Code Violations'!A:A, A9, 'Code Violations'!T:T)&gt;=1, "2-Yellow", "1-White")))</f>
        <v>3-Red</v>
      </c>
      <c r="L9" t="str">
        <f t="shared" si="0"/>
        <v>FAIL</v>
      </c>
    </row>
    <row r="10" spans="1:13" x14ac:dyDescent="0.25">
      <c r="A10" t="s">
        <v>93</v>
      </c>
      <c r="B10" t="s">
        <v>94</v>
      </c>
      <c r="C10" t="s">
        <v>71</v>
      </c>
      <c r="D10" t="s">
        <v>88</v>
      </c>
      <c r="E10" t="s">
        <v>73</v>
      </c>
      <c r="J10" t="s">
        <v>75</v>
      </c>
      <c r="K10" t="str">
        <f>IF(A10="","", IF(OR(SUMIF('Code Violations'!A:A, A10, 'Code Violations'!T:T)&gt;=5, VLOOKUP(A10, 'Master Dashboard'!A:L, 9, FALSE)="FAIL", VLOOKUP(A10, 'Master Dashboard'!A:L, 10, FALSE)="FAIL", ISNUMBER(SEARCH("Critical", J10))), "3-Red", IF(SUMIF('Code Violations'!A:A, A10, 'Code Violations'!T:T)&gt;=1, "2-Yellow", "1-White")))</f>
        <v>2-Yellow</v>
      </c>
      <c r="L10" t="str">
        <f t="shared" si="0"/>
        <v>FAIL</v>
      </c>
    </row>
    <row r="11" spans="1:13" x14ac:dyDescent="0.25">
      <c r="A11" t="s">
        <v>95</v>
      </c>
      <c r="B11" t="s">
        <v>96</v>
      </c>
      <c r="C11" t="s">
        <v>71</v>
      </c>
      <c r="D11" t="s">
        <v>88</v>
      </c>
      <c r="E11" t="s">
        <v>73</v>
      </c>
      <c r="J11" t="s">
        <v>75</v>
      </c>
      <c r="K11" t="str">
        <f>IF(A11="","", IF(OR(SUMIF('Code Violations'!A:A, A11, 'Code Violations'!T:T)&gt;=5, VLOOKUP(A11, 'Master Dashboard'!A:L, 9, FALSE)="FAIL", VLOOKUP(A11, 'Master Dashboard'!A:L, 10, FALSE)="FAIL", ISNUMBER(SEARCH("Critical", J11))), "3-Red", IF(SUMIF('Code Violations'!A:A, A11, 'Code Violations'!T:T)&gt;=1, "2-Yellow", "1-White")))</f>
        <v>1-White</v>
      </c>
      <c r="L11" t="str">
        <f t="shared" si="0"/>
        <v>FAIL</v>
      </c>
    </row>
    <row r="12" spans="1:13" x14ac:dyDescent="0.25">
      <c r="A12" t="s">
        <v>97</v>
      </c>
      <c r="B12" t="s">
        <v>98</v>
      </c>
      <c r="C12" t="s">
        <v>71</v>
      </c>
      <c r="D12" t="s">
        <v>88</v>
      </c>
      <c r="E12" t="s">
        <v>73</v>
      </c>
      <c r="J12" t="s">
        <v>75</v>
      </c>
      <c r="K12" t="str">
        <f>IF(A12="","", IF(OR(SUMIF('Code Violations'!A:A, A12, 'Code Violations'!T:T)&gt;=5, VLOOKUP(A12, 'Master Dashboard'!A:L, 9, FALSE)="FAIL", VLOOKUP(A12, 'Master Dashboard'!A:L, 10, FALSE)="FAIL", ISNUMBER(SEARCH("Critical", J12))), "3-Red", IF(SUMIF('Code Violations'!A:A, A12, 'Code Violations'!T:T)&gt;=1, "2-Yellow", "1-White")))</f>
        <v>1-White</v>
      </c>
      <c r="L12" t="str">
        <f t="shared" si="0"/>
        <v>FAIL</v>
      </c>
    </row>
    <row r="13" spans="1:13" x14ac:dyDescent="0.25">
      <c r="A13" t="s">
        <v>99</v>
      </c>
      <c r="B13" t="s">
        <v>100</v>
      </c>
      <c r="C13" t="s">
        <v>71</v>
      </c>
      <c r="D13" t="s">
        <v>101</v>
      </c>
      <c r="E13" t="s">
        <v>73</v>
      </c>
      <c r="J13" t="s">
        <v>75</v>
      </c>
      <c r="K13" t="str">
        <f>IF(A13="","", IF(OR(SUMIF('Code Violations'!A:A, A13, 'Code Violations'!T:T)&gt;=5, VLOOKUP(A13, 'Master Dashboard'!A:L, 9, FALSE)="FAIL", VLOOKUP(A13, 'Master Dashboard'!A:L, 10, FALSE)="FAIL", ISNUMBER(SEARCH("Critical", J13))), "3-Red", IF(SUMIF('Code Violations'!A:A, A13, 'Code Violations'!T:T)&gt;=1, "2-Yellow", "1-White")))</f>
        <v>2-Yellow</v>
      </c>
      <c r="L13" t="str">
        <f t="shared" si="0"/>
        <v>FAIL</v>
      </c>
    </row>
    <row r="14" spans="1:13" x14ac:dyDescent="0.25">
      <c r="A14" t="s">
        <v>102</v>
      </c>
      <c r="B14" t="s">
        <v>103</v>
      </c>
      <c r="C14" t="s">
        <v>71</v>
      </c>
      <c r="D14" t="s">
        <v>104</v>
      </c>
      <c r="E14" t="s">
        <v>73</v>
      </c>
      <c r="J14" t="s">
        <v>75</v>
      </c>
      <c r="K14" t="str">
        <f>IF(A14="","", IF(OR(SUMIF('Code Violations'!A:A, A14, 'Code Violations'!T:T)&gt;=5, VLOOKUP(A14, 'Master Dashboard'!A:L, 9, FALSE)="FAIL", VLOOKUP(A14, 'Master Dashboard'!A:L, 10, FALSE)="FAIL", ISNUMBER(SEARCH("Critical", J14))), "3-Red", IF(SUMIF('Code Violations'!A:A, A14, 'Code Violations'!T:T)&gt;=1, "2-Yellow", "1-White")))</f>
        <v>3-Red</v>
      </c>
      <c r="L14" t="str">
        <f t="shared" si="0"/>
        <v>FAIL</v>
      </c>
    </row>
    <row r="15" spans="1:13" x14ac:dyDescent="0.25">
      <c r="A15" t="s">
        <v>105</v>
      </c>
      <c r="B15" t="s">
        <v>106</v>
      </c>
      <c r="C15" t="s">
        <v>71</v>
      </c>
      <c r="D15" t="s">
        <v>104</v>
      </c>
      <c r="E15" t="s">
        <v>73</v>
      </c>
      <c r="J15" t="s">
        <v>75</v>
      </c>
      <c r="K15" t="str">
        <f>IF(A15="","", IF(OR(SUMIF('Code Violations'!A:A, A15, 'Code Violations'!T:T)&gt;=5, VLOOKUP(A15, 'Master Dashboard'!A:L, 9, FALSE)="FAIL", VLOOKUP(A15, 'Master Dashboard'!A:L, 10, FALSE)="FAIL", ISNUMBER(SEARCH("Critical", J15))), "3-Red", IF(SUMIF('Code Violations'!A:A, A15, 'Code Violations'!T:T)&gt;=1, "2-Yellow", "1-White")))</f>
        <v>1-White</v>
      </c>
      <c r="L15" t="str">
        <f t="shared" si="0"/>
        <v>FAIL</v>
      </c>
    </row>
    <row r="16" spans="1:13" x14ac:dyDescent="0.25">
      <c r="A16" t="s">
        <v>107</v>
      </c>
      <c r="B16" t="s">
        <v>108</v>
      </c>
      <c r="C16" t="s">
        <v>109</v>
      </c>
      <c r="D16" t="s">
        <v>88</v>
      </c>
      <c r="E16" t="s">
        <v>73</v>
      </c>
      <c r="J16" t="s">
        <v>110</v>
      </c>
      <c r="K16" t="str">
        <f>IF(A16="","", IF(OR(SUMIF('Code Violations'!A:A, A16, 'Code Violations'!T:T)&gt;=5, VLOOKUP(A16, 'Master Dashboard'!A:L, 9, FALSE)="FAIL", VLOOKUP(A16, 'Master Dashboard'!A:L, 10, FALSE)="FAIL", ISNUMBER(SEARCH("Critical", J16))), "3-Red", IF(SUMIF('Code Violations'!A:A, A16, 'Code Violations'!T:T)&gt;=1, "2-Yellow", "1-White")))</f>
        <v>3-Red</v>
      </c>
      <c r="L16" t="str">
        <f t="shared" si="0"/>
        <v>COMPLIANT</v>
      </c>
    </row>
    <row r="17" spans="1:12" x14ac:dyDescent="0.25">
      <c r="A17" t="s">
        <v>111</v>
      </c>
      <c r="B17" t="s">
        <v>112</v>
      </c>
      <c r="C17" t="s">
        <v>109</v>
      </c>
      <c r="D17" t="s">
        <v>104</v>
      </c>
      <c r="E17" t="s">
        <v>73</v>
      </c>
      <c r="J17" t="s">
        <v>75</v>
      </c>
      <c r="K17" t="str">
        <f>IF(A17="","", IF(OR(SUMIF('Code Violations'!A:A, A17, 'Code Violations'!T:T)&gt;=5, VLOOKUP(A17, 'Master Dashboard'!A:L, 9, FALSE)="FAIL", VLOOKUP(A17, 'Master Dashboard'!A:L, 10, FALSE)="FAIL", ISNUMBER(SEARCH("Critical", J17))), "3-Red", IF(SUMIF('Code Violations'!A:A, A17, 'Code Violations'!T:T)&gt;=1, "2-Yellow", "1-White")))</f>
        <v>3-Red</v>
      </c>
      <c r="L17" t="str">
        <f t="shared" si="0"/>
        <v>FAIL</v>
      </c>
    </row>
    <row r="18" spans="1:12" x14ac:dyDescent="0.25">
      <c r="A18" t="s">
        <v>113</v>
      </c>
      <c r="B18" t="s">
        <v>114</v>
      </c>
      <c r="C18" t="s">
        <v>109</v>
      </c>
      <c r="D18" t="s">
        <v>88</v>
      </c>
      <c r="E18" t="s">
        <v>73</v>
      </c>
      <c r="J18" t="s">
        <v>75</v>
      </c>
      <c r="K18" t="str">
        <f>IF(A18="","", IF(OR(SUMIF('Code Violations'!A:A, A18, 'Code Violations'!T:T)&gt;=5, VLOOKUP(A18, 'Master Dashboard'!A:L, 9, FALSE)="FAIL", VLOOKUP(A18, 'Master Dashboard'!A:L, 10, FALSE)="FAIL", ISNUMBER(SEARCH("Critical", J18))), "3-Red", IF(SUMIF('Code Violations'!A:A, A18, 'Code Violations'!T:T)&gt;=1, "2-Yellow", "1-White")))</f>
        <v>3-Red</v>
      </c>
      <c r="L18" t="str">
        <f t="shared" si="0"/>
        <v>FAIL</v>
      </c>
    </row>
    <row r="19" spans="1:12" x14ac:dyDescent="0.25">
      <c r="A19" t="s">
        <v>115</v>
      </c>
      <c r="B19" t="s">
        <v>116</v>
      </c>
      <c r="C19" t="s">
        <v>109</v>
      </c>
      <c r="D19" t="s">
        <v>82</v>
      </c>
      <c r="E19" t="s">
        <v>73</v>
      </c>
      <c r="J19" t="s">
        <v>75</v>
      </c>
      <c r="K19" t="str">
        <f>IF(A19="","", IF(OR(SUMIF('Code Violations'!A:A, A19, 'Code Violations'!T:T)&gt;=5, VLOOKUP(A19, 'Master Dashboard'!A:L, 9, FALSE)="FAIL", VLOOKUP(A19, 'Master Dashboard'!A:L, 10, FALSE)="FAIL", ISNUMBER(SEARCH("Critical", J19))), "3-Red", IF(SUMIF('Code Violations'!A:A, A19, 'Code Violations'!T:T)&gt;=1, "2-Yellow", "1-White")))</f>
        <v>3-Red</v>
      </c>
      <c r="L19" t="str">
        <f t="shared" si="0"/>
        <v>FAIL</v>
      </c>
    </row>
    <row r="20" spans="1:12" x14ac:dyDescent="0.25">
      <c r="A20" t="s">
        <v>117</v>
      </c>
      <c r="B20" t="s">
        <v>118</v>
      </c>
      <c r="C20" t="s">
        <v>109</v>
      </c>
      <c r="D20" t="s">
        <v>119</v>
      </c>
      <c r="E20" t="s">
        <v>73</v>
      </c>
      <c r="J20" t="s">
        <v>75</v>
      </c>
      <c r="K20" t="str">
        <f>IF(A20="","", IF(OR(SUMIF('Code Violations'!A:A, A20, 'Code Violations'!T:T)&gt;=5, VLOOKUP(A20, 'Master Dashboard'!A:L, 9, FALSE)="FAIL", VLOOKUP(A20, 'Master Dashboard'!A:L, 10, FALSE)="FAIL", ISNUMBER(SEARCH("Critical", J20))), "3-Red", IF(SUMIF('Code Violations'!A:A, A20, 'Code Violations'!T:T)&gt;=1, "2-Yellow", "1-White")))</f>
        <v>1-White</v>
      </c>
      <c r="L20" t="str">
        <f t="shared" si="0"/>
        <v>FAIL</v>
      </c>
    </row>
    <row r="21" spans="1:12" x14ac:dyDescent="0.25">
      <c r="A21" t="s">
        <v>120</v>
      </c>
      <c r="B21" t="s">
        <v>118</v>
      </c>
      <c r="C21" t="s">
        <v>109</v>
      </c>
      <c r="D21" t="s">
        <v>119</v>
      </c>
      <c r="E21" t="s">
        <v>73</v>
      </c>
      <c r="J21" t="s">
        <v>75</v>
      </c>
      <c r="K21" t="str">
        <f>IF(A21="","", IF(OR(SUMIF('Code Violations'!A:A, A21, 'Code Violations'!T:T)&gt;=5, VLOOKUP(A21, 'Master Dashboard'!A:L, 9, FALSE)="FAIL", VLOOKUP(A21, 'Master Dashboard'!A:L, 10, FALSE)="FAIL", ISNUMBER(SEARCH("Critical", J21))), "3-Red", IF(SUMIF('Code Violations'!A:A, A21, 'Code Violations'!T:T)&gt;=1, "2-Yellow", "1-White")))</f>
        <v>1-White</v>
      </c>
      <c r="L21" t="str">
        <f t="shared" si="0"/>
        <v>FAIL</v>
      </c>
    </row>
    <row r="22" spans="1:12" x14ac:dyDescent="0.25">
      <c r="A22" t="s">
        <v>121</v>
      </c>
      <c r="B22" t="s">
        <v>122</v>
      </c>
      <c r="C22" t="s">
        <v>109</v>
      </c>
      <c r="D22" t="s">
        <v>88</v>
      </c>
      <c r="E22" t="s">
        <v>73</v>
      </c>
      <c r="J22" t="s">
        <v>75</v>
      </c>
      <c r="K22" t="str">
        <f>IF(A22="","", IF(OR(SUMIF('Code Violations'!A:A, A22, 'Code Violations'!T:T)&gt;=5, VLOOKUP(A22, 'Master Dashboard'!A:L, 9, FALSE)="FAIL", VLOOKUP(A22, 'Master Dashboard'!A:L, 10, FALSE)="FAIL", ISNUMBER(SEARCH("Critical", J22))), "3-Red", IF(SUMIF('Code Violations'!A:A, A22, 'Code Violations'!T:T)&gt;=1, "2-Yellow", "1-White")))</f>
        <v>1-White</v>
      </c>
      <c r="L22" t="str">
        <f t="shared" si="0"/>
        <v>FAIL</v>
      </c>
    </row>
    <row r="23" spans="1:12" x14ac:dyDescent="0.25">
      <c r="A23" t="s">
        <v>123</v>
      </c>
      <c r="B23" t="s">
        <v>124</v>
      </c>
      <c r="C23" t="s">
        <v>109</v>
      </c>
      <c r="D23" t="s">
        <v>101</v>
      </c>
      <c r="E23" t="s">
        <v>73</v>
      </c>
      <c r="J23" t="s">
        <v>75</v>
      </c>
      <c r="K23" t="str">
        <f>IF(A23="","", IF(OR(SUMIF('Code Violations'!A:A, A23, 'Code Violations'!T:T)&gt;=5, VLOOKUP(A23, 'Master Dashboard'!A:L, 9, FALSE)="FAIL", VLOOKUP(A23, 'Master Dashboard'!A:L, 10, FALSE)="FAIL", ISNUMBER(SEARCH("Critical", J23))), "3-Red", IF(SUMIF('Code Violations'!A:A, A23, 'Code Violations'!T:T)&gt;=1, "2-Yellow", "1-White")))</f>
        <v>3-Red</v>
      </c>
      <c r="L23" t="str">
        <f t="shared" si="0"/>
        <v>FAIL</v>
      </c>
    </row>
    <row r="24" spans="1:12" x14ac:dyDescent="0.25">
      <c r="A24" t="s">
        <v>125</v>
      </c>
      <c r="B24" t="s">
        <v>126</v>
      </c>
      <c r="C24" t="s">
        <v>109</v>
      </c>
      <c r="D24" t="s">
        <v>506</v>
      </c>
      <c r="J24" t="s">
        <v>75</v>
      </c>
      <c r="K24" t="str">
        <f>IF(A24="","", IF(OR(SUMIF('Code Violations'!A:A, A24, 'Code Violations'!T:T)&gt;=5, VLOOKUP(A24, 'Master Dashboard'!A:L, 9, FALSE)="FAIL", VLOOKUP(A24, 'Master Dashboard'!A:L, 10, FALSE)="FAIL", ISNUMBER(SEARCH("Critical", J24))), "3-Red", IF(SUMIF('Code Violations'!A:A, A24, 'Code Violations'!T:T)&gt;=1, "2-Yellow", "1-White")))</f>
        <v>1-White</v>
      </c>
      <c r="L24" t="str">
        <f t="shared" si="0"/>
        <v>FAIL</v>
      </c>
    </row>
    <row r="25" spans="1:12" x14ac:dyDescent="0.25">
      <c r="A25" t="s">
        <v>127</v>
      </c>
      <c r="B25" t="s">
        <v>128</v>
      </c>
      <c r="C25" t="s">
        <v>109</v>
      </c>
      <c r="D25" t="s">
        <v>506</v>
      </c>
      <c r="J25" t="s">
        <v>75</v>
      </c>
      <c r="K25" t="str">
        <f>IF(A25="","", IF(OR(SUMIF('Code Violations'!A:A, A25, 'Code Violations'!T:T)&gt;=5, VLOOKUP(A25, 'Master Dashboard'!A:L, 9, FALSE)="FAIL", VLOOKUP(A25, 'Master Dashboard'!A:L, 10, FALSE)="FAIL", ISNUMBER(SEARCH("Critical", J25))), "3-Red", IF(SUMIF('Code Violations'!A:A, A25, 'Code Violations'!T:T)&gt;=1, "2-Yellow", "1-White")))</f>
        <v>3-Red</v>
      </c>
      <c r="L25" t="str">
        <f t="shared" si="0"/>
        <v>FAIL</v>
      </c>
    </row>
    <row r="26" spans="1:12" x14ac:dyDescent="0.25">
      <c r="A26" t="s">
        <v>129</v>
      </c>
      <c r="B26" t="s">
        <v>130</v>
      </c>
      <c r="C26" t="s">
        <v>109</v>
      </c>
      <c r="D26" t="s">
        <v>506</v>
      </c>
      <c r="J26" t="s">
        <v>75</v>
      </c>
      <c r="K26" t="str">
        <f>IF(A26="","", IF(OR(SUMIF('Code Violations'!A:A, A26, 'Code Violations'!T:T)&gt;=5, VLOOKUP(A26, 'Master Dashboard'!A:L, 9, FALSE)="FAIL", VLOOKUP(A26, 'Master Dashboard'!A:L, 10, FALSE)="FAIL", ISNUMBER(SEARCH("Critical", J26))), "3-Red", IF(SUMIF('Code Violations'!A:A, A26, 'Code Violations'!T:T)&gt;=1, "2-Yellow", "1-White")))</f>
        <v>1-White</v>
      </c>
      <c r="L26" t="str">
        <f t="shared" si="0"/>
        <v>FAIL</v>
      </c>
    </row>
    <row r="27" spans="1:12" x14ac:dyDescent="0.25">
      <c r="A27" t="s">
        <v>131</v>
      </c>
      <c r="B27" t="s">
        <v>106</v>
      </c>
      <c r="C27" t="s">
        <v>109</v>
      </c>
      <c r="D27" t="s">
        <v>104</v>
      </c>
      <c r="E27" t="s">
        <v>73</v>
      </c>
      <c r="J27" t="s">
        <v>75</v>
      </c>
      <c r="K27" t="str">
        <f>IF(A27="","", IF(OR(SUMIF('Code Violations'!A:A, A27, 'Code Violations'!T:T)&gt;=5, VLOOKUP(A27, 'Master Dashboard'!A:L, 9, FALSE)="FAIL", VLOOKUP(A27, 'Master Dashboard'!A:L, 10, FALSE)="FAIL", ISNUMBER(SEARCH("Critical", J27))), "3-Red", IF(SUMIF('Code Violations'!A:A, A27, 'Code Violations'!T:T)&gt;=1, "2-Yellow", "1-White")))</f>
        <v>1-White</v>
      </c>
      <c r="L27" t="str">
        <f t="shared" si="0"/>
        <v>FAIL</v>
      </c>
    </row>
    <row r="28" spans="1:12" x14ac:dyDescent="0.25">
      <c r="A28" t="s">
        <v>132</v>
      </c>
      <c r="B28" t="s">
        <v>133</v>
      </c>
      <c r="C28" t="s">
        <v>134</v>
      </c>
      <c r="D28" t="s">
        <v>72</v>
      </c>
      <c r="J28" t="s">
        <v>75</v>
      </c>
      <c r="K28" t="str">
        <f>IF(A28="","", IF(OR(SUMIF('Code Violations'!A:A, A28, 'Code Violations'!T:T)&gt;=5, VLOOKUP(A28, 'Master Dashboard'!A:L, 9, FALSE)="FAIL", VLOOKUP(A28, 'Master Dashboard'!A:L, 10, FALSE)="FAIL", ISNUMBER(SEARCH("Critical", J28))), "3-Red", IF(SUMIF('Code Violations'!A:A, A28, 'Code Violations'!T:T)&gt;=1, "2-Yellow", "1-White")))</f>
        <v>1-White</v>
      </c>
      <c r="L28" t="str">
        <f t="shared" si="0"/>
        <v>FAIL</v>
      </c>
    </row>
    <row r="29" spans="1:12" x14ac:dyDescent="0.25">
      <c r="A29" t="s">
        <v>135</v>
      </c>
      <c r="B29" t="s">
        <v>136</v>
      </c>
      <c r="C29" t="s">
        <v>134</v>
      </c>
      <c r="D29" t="s">
        <v>72</v>
      </c>
      <c r="J29" t="s">
        <v>75</v>
      </c>
      <c r="K29" t="str">
        <f>IF(A29="","", IF(OR(SUMIF('Code Violations'!A:A, A29, 'Code Violations'!T:T)&gt;=5, VLOOKUP(A29, 'Master Dashboard'!A:L, 9, FALSE)="FAIL", VLOOKUP(A29, 'Master Dashboard'!A:L, 10, FALSE)="FAIL", ISNUMBER(SEARCH("Critical", J29))), "3-Red", IF(SUMIF('Code Violations'!A:A, A29, 'Code Violations'!T:T)&gt;=1, "2-Yellow", "1-White")))</f>
        <v>1-White</v>
      </c>
      <c r="L29" t="str">
        <f t="shared" si="0"/>
        <v>FAIL</v>
      </c>
    </row>
    <row r="30" spans="1:12" x14ac:dyDescent="0.25">
      <c r="A30" t="s">
        <v>137</v>
      </c>
      <c r="B30" t="s">
        <v>138</v>
      </c>
      <c r="C30" t="s">
        <v>134</v>
      </c>
      <c r="D30" t="s">
        <v>119</v>
      </c>
      <c r="J30" t="s">
        <v>75</v>
      </c>
      <c r="K30" t="str">
        <f>IF(A30="","", IF(OR(SUMIF('Code Violations'!A:A, A30, 'Code Violations'!T:T)&gt;=5, VLOOKUP(A30, 'Master Dashboard'!A:L, 9, FALSE)="FAIL", VLOOKUP(A30, 'Master Dashboard'!A:L, 10, FALSE)="FAIL", ISNUMBER(SEARCH("Critical", J30))), "3-Red", IF(SUMIF('Code Violations'!A:A, A30, 'Code Violations'!T:T)&gt;=1, "2-Yellow", "1-White")))</f>
        <v>1-White</v>
      </c>
      <c r="L30" t="str">
        <f t="shared" si="0"/>
        <v>FAIL</v>
      </c>
    </row>
    <row r="31" spans="1:12" x14ac:dyDescent="0.25">
      <c r="A31" t="s">
        <v>139</v>
      </c>
      <c r="B31" t="s">
        <v>140</v>
      </c>
      <c r="C31" t="s">
        <v>134</v>
      </c>
      <c r="D31" t="s">
        <v>119</v>
      </c>
      <c r="J31" t="s">
        <v>75</v>
      </c>
      <c r="K31" t="str">
        <f>IF(A31="","", IF(OR(SUMIF('Code Violations'!A:A, A31, 'Code Violations'!T:T)&gt;=5, VLOOKUP(A31, 'Master Dashboard'!A:L, 9, FALSE)="FAIL", VLOOKUP(A31, 'Master Dashboard'!A:L, 10, FALSE)="FAIL", ISNUMBER(SEARCH("Critical", J31))), "3-Red", IF(SUMIF('Code Violations'!A:A, A31, 'Code Violations'!T:T)&gt;=1, "2-Yellow", "1-White")))</f>
        <v>1-White</v>
      </c>
      <c r="L31" t="str">
        <f t="shared" si="0"/>
        <v>FAIL</v>
      </c>
    </row>
    <row r="32" spans="1:12" x14ac:dyDescent="0.25">
      <c r="A32" t="s">
        <v>141</v>
      </c>
      <c r="B32" t="s">
        <v>142</v>
      </c>
      <c r="C32" t="s">
        <v>143</v>
      </c>
      <c r="D32" t="s">
        <v>506</v>
      </c>
      <c r="J32" t="s">
        <v>75</v>
      </c>
      <c r="K32" t="str">
        <f>IF(A32="","", IF(OR(SUMIF('Code Violations'!A:A, A32, 'Code Violations'!T:T)&gt;=5, VLOOKUP(A32, 'Master Dashboard'!A:L, 9, FALSE)="FAIL", VLOOKUP(A32, 'Master Dashboard'!A:L, 10, FALSE)="FAIL", ISNUMBER(SEARCH("Critical", J32))), "3-Red", IF(SUMIF('Code Violations'!A:A, A32, 'Code Violations'!T:T)&gt;=1, "2-Yellow", "1-White")))</f>
        <v>3-Red</v>
      </c>
      <c r="L32" t="str">
        <f t="shared" si="0"/>
        <v>FAIL</v>
      </c>
    </row>
    <row r="33" spans="1:12" x14ac:dyDescent="0.25">
      <c r="A33" t="s">
        <v>144</v>
      </c>
      <c r="B33" t="s">
        <v>145</v>
      </c>
      <c r="C33" t="s">
        <v>143</v>
      </c>
      <c r="D33" t="s">
        <v>506</v>
      </c>
      <c r="J33" t="s">
        <v>75</v>
      </c>
      <c r="K33" t="str">
        <f>IF(A33="","", IF(OR(SUMIF('Code Violations'!A:A, A33, 'Code Violations'!T:T)&gt;=5, VLOOKUP(A33, 'Master Dashboard'!A:L, 9, FALSE)="FAIL", VLOOKUP(A33, 'Master Dashboard'!A:L, 10, FALSE)="FAIL", ISNUMBER(SEARCH("Critical", J33))), "3-Red", IF(SUMIF('Code Violations'!A:A, A33, 'Code Violations'!T:T)&gt;=1, "2-Yellow", "1-White")))</f>
        <v>1-White</v>
      </c>
      <c r="L33" t="str">
        <f t="shared" si="0"/>
        <v>FAIL</v>
      </c>
    </row>
    <row r="34" spans="1:12" x14ac:dyDescent="0.25">
      <c r="A34" t="s">
        <v>146</v>
      </c>
      <c r="B34" t="s">
        <v>147</v>
      </c>
      <c r="C34" t="s">
        <v>143</v>
      </c>
      <c r="D34" t="s">
        <v>506</v>
      </c>
      <c r="J34" t="s">
        <v>75</v>
      </c>
      <c r="K34" t="str">
        <f>IF(A34="","", IF(OR(SUMIF('Code Violations'!A:A, A34, 'Code Violations'!T:T)&gt;=5, VLOOKUP(A34, 'Master Dashboard'!A:L, 9, FALSE)="FAIL", VLOOKUP(A34, 'Master Dashboard'!A:L, 10, FALSE)="FAIL", ISNUMBER(SEARCH("Critical", J34))), "3-Red", IF(SUMIF('Code Violations'!A:A, A34, 'Code Violations'!T:T)&gt;=1, "2-Yellow", "1-White")))</f>
        <v>3-Red</v>
      </c>
      <c r="L34" t="str">
        <f t="shared" ref="L34:L65" si="1">IF(J34="","", IF(ISNUMBER(SEARCH("Critical", J34)), "CRITICAL FAIL", IF(ISNUMBER(SEARCH("Overdue", J34)), "FAIL", "COMPLIANT")))</f>
        <v>FAIL</v>
      </c>
    </row>
    <row r="35" spans="1:12" x14ac:dyDescent="0.25">
      <c r="A35" t="s">
        <v>148</v>
      </c>
      <c r="B35" t="s">
        <v>149</v>
      </c>
      <c r="C35" t="s">
        <v>143</v>
      </c>
      <c r="D35" t="s">
        <v>506</v>
      </c>
      <c r="J35" t="s">
        <v>75</v>
      </c>
      <c r="K35" t="str">
        <f>IF(A35="","", IF(OR(SUMIF('Code Violations'!A:A, A35, 'Code Violations'!T:T)&gt;=5, VLOOKUP(A35, 'Master Dashboard'!A:L, 9, FALSE)="FAIL", VLOOKUP(A35, 'Master Dashboard'!A:L, 10, FALSE)="FAIL", ISNUMBER(SEARCH("Critical", J35))), "3-Red", IF(SUMIF('Code Violations'!A:A, A35, 'Code Violations'!T:T)&gt;=1, "2-Yellow", "1-White")))</f>
        <v>1-White</v>
      </c>
      <c r="L35" t="str">
        <f t="shared" si="1"/>
        <v>FAIL</v>
      </c>
    </row>
    <row r="36" spans="1:12" x14ac:dyDescent="0.25">
      <c r="A36" t="s">
        <v>150</v>
      </c>
      <c r="B36" t="s">
        <v>151</v>
      </c>
      <c r="C36" t="s">
        <v>143</v>
      </c>
      <c r="D36" t="s">
        <v>506</v>
      </c>
      <c r="J36" t="s">
        <v>75</v>
      </c>
      <c r="K36" t="str">
        <f>IF(A36="","", IF(OR(SUMIF('Code Violations'!A:A, A36, 'Code Violations'!T:T)&gt;=5, VLOOKUP(A36, 'Master Dashboard'!A:L, 9, FALSE)="FAIL", VLOOKUP(A36, 'Master Dashboard'!A:L, 10, FALSE)="FAIL", ISNUMBER(SEARCH("Critical", J36))), "3-Red", IF(SUMIF('Code Violations'!A:A, A36, 'Code Violations'!T:T)&gt;=1, "2-Yellow", "1-White")))</f>
        <v>3-Red</v>
      </c>
      <c r="L36" t="str">
        <f t="shared" si="1"/>
        <v>FAIL</v>
      </c>
    </row>
    <row r="37" spans="1:12" x14ac:dyDescent="0.25">
      <c r="A37" t="s">
        <v>152</v>
      </c>
      <c r="B37" t="s">
        <v>153</v>
      </c>
      <c r="C37" t="s">
        <v>143</v>
      </c>
      <c r="D37" t="s">
        <v>506</v>
      </c>
      <c r="J37" t="s">
        <v>75</v>
      </c>
      <c r="K37" t="str">
        <f>IF(A37="","", IF(OR(SUMIF('Code Violations'!A:A, A37, 'Code Violations'!T:T)&gt;=5, VLOOKUP(A37, 'Master Dashboard'!A:L, 9, FALSE)="FAIL", VLOOKUP(A37, 'Master Dashboard'!A:L, 10, FALSE)="FAIL", ISNUMBER(SEARCH("Critical", J37))), "3-Red", IF(SUMIF('Code Violations'!A:A, A37, 'Code Violations'!T:T)&gt;=1, "2-Yellow", "1-White")))</f>
        <v>1-White</v>
      </c>
      <c r="L37" t="str">
        <f t="shared" si="1"/>
        <v>FAIL</v>
      </c>
    </row>
    <row r="38" spans="1:12" x14ac:dyDescent="0.25">
      <c r="A38" t="s">
        <v>154</v>
      </c>
      <c r="B38" t="s">
        <v>155</v>
      </c>
      <c r="C38" t="s">
        <v>143</v>
      </c>
      <c r="D38" t="s">
        <v>506</v>
      </c>
      <c r="J38" t="s">
        <v>75</v>
      </c>
      <c r="K38" t="str">
        <f>IF(A38="","", IF(OR(SUMIF('Code Violations'!A:A, A38, 'Code Violations'!T:T)&gt;=5, VLOOKUP(A38, 'Master Dashboard'!A:L, 9, FALSE)="FAIL", VLOOKUP(A38, 'Master Dashboard'!A:L, 10, FALSE)="FAIL", ISNUMBER(SEARCH("Critical", J38))), "3-Red", IF(SUMIF('Code Violations'!A:A, A38, 'Code Violations'!T:T)&gt;=1, "2-Yellow", "1-White")))</f>
        <v>1-White</v>
      </c>
      <c r="L38" t="str">
        <f t="shared" si="1"/>
        <v>FAIL</v>
      </c>
    </row>
    <row r="39" spans="1:12" x14ac:dyDescent="0.25">
      <c r="A39" t="s">
        <v>156</v>
      </c>
      <c r="B39" t="s">
        <v>157</v>
      </c>
      <c r="C39" t="s">
        <v>143</v>
      </c>
      <c r="D39" t="s">
        <v>506</v>
      </c>
      <c r="J39" t="s">
        <v>75</v>
      </c>
      <c r="K39" t="str">
        <f>IF(A39="","", IF(OR(SUMIF('Code Violations'!A:A, A39, 'Code Violations'!T:T)&gt;=5, VLOOKUP(A39, 'Master Dashboard'!A:L, 9, FALSE)="FAIL", VLOOKUP(A39, 'Master Dashboard'!A:L, 10, FALSE)="FAIL", ISNUMBER(SEARCH("Critical", J39))), "3-Red", IF(SUMIF('Code Violations'!A:A, A39, 'Code Violations'!T:T)&gt;=1, "2-Yellow", "1-White")))</f>
        <v>1-White</v>
      </c>
      <c r="L39" t="str">
        <f t="shared" si="1"/>
        <v>FAIL</v>
      </c>
    </row>
    <row r="40" spans="1:12" x14ac:dyDescent="0.25">
      <c r="A40" t="s">
        <v>158</v>
      </c>
      <c r="B40" t="s">
        <v>159</v>
      </c>
      <c r="C40" t="s">
        <v>143</v>
      </c>
      <c r="D40" t="s">
        <v>160</v>
      </c>
      <c r="J40" t="s">
        <v>75</v>
      </c>
      <c r="K40" t="str">
        <f>IF(A40="","", IF(OR(SUMIF('Code Violations'!A:A, A40, 'Code Violations'!T:T)&gt;=5, VLOOKUP(A40, 'Master Dashboard'!A:L, 9, FALSE)="FAIL", VLOOKUP(A40, 'Master Dashboard'!A:L, 10, FALSE)="FAIL", ISNUMBER(SEARCH("Critical", J40))), "3-Red", IF(SUMIF('Code Violations'!A:A, A40, 'Code Violations'!T:T)&gt;=1, "2-Yellow", "1-White")))</f>
        <v>1-White</v>
      </c>
      <c r="L40" t="str">
        <f t="shared" si="1"/>
        <v>FAIL</v>
      </c>
    </row>
    <row r="41" spans="1:12" x14ac:dyDescent="0.25">
      <c r="A41" t="s">
        <v>161</v>
      </c>
      <c r="B41" t="s">
        <v>162</v>
      </c>
      <c r="C41" t="s">
        <v>143</v>
      </c>
      <c r="D41" t="s">
        <v>160</v>
      </c>
      <c r="J41" t="s">
        <v>75</v>
      </c>
      <c r="K41" t="str">
        <f>IF(A41="","", IF(OR(SUMIF('Code Violations'!A:A, A41, 'Code Violations'!T:T)&gt;=5, VLOOKUP(A41, 'Master Dashboard'!A:L, 9, FALSE)="FAIL", VLOOKUP(A41, 'Master Dashboard'!A:L, 10, FALSE)="FAIL", ISNUMBER(SEARCH("Critical", J41))), "3-Red", IF(SUMIF('Code Violations'!A:A, A41, 'Code Violations'!T:T)&gt;=1, "2-Yellow", "1-White")))</f>
        <v>2-Yellow</v>
      </c>
      <c r="L41" t="str">
        <f t="shared" si="1"/>
        <v>FAIL</v>
      </c>
    </row>
    <row r="42" spans="1:12" x14ac:dyDescent="0.25">
      <c r="A42" t="s">
        <v>163</v>
      </c>
      <c r="B42" t="s">
        <v>164</v>
      </c>
      <c r="C42" t="s">
        <v>143</v>
      </c>
      <c r="D42" t="s">
        <v>160</v>
      </c>
      <c r="J42" t="s">
        <v>75</v>
      </c>
      <c r="K42" t="str">
        <f>IF(A42="","", IF(OR(SUMIF('Code Violations'!A:A, A42, 'Code Violations'!T:T)&gt;=5, VLOOKUP(A42, 'Master Dashboard'!A:L, 9, FALSE)="FAIL", VLOOKUP(A42, 'Master Dashboard'!A:L, 10, FALSE)="FAIL", ISNUMBER(SEARCH("Critical", J42))), "3-Red", IF(SUMIF('Code Violations'!A:A, A42, 'Code Violations'!T:T)&gt;=1, "2-Yellow", "1-White")))</f>
        <v>1-White</v>
      </c>
      <c r="L42" t="str">
        <f t="shared" si="1"/>
        <v>FAIL</v>
      </c>
    </row>
    <row r="43" spans="1:12" x14ac:dyDescent="0.25">
      <c r="A43" t="s">
        <v>165</v>
      </c>
      <c r="B43" t="s">
        <v>166</v>
      </c>
      <c r="C43" t="s">
        <v>143</v>
      </c>
      <c r="D43" t="s">
        <v>160</v>
      </c>
      <c r="J43" t="s">
        <v>75</v>
      </c>
      <c r="K43" t="str">
        <f>IF(A43="","", IF(OR(SUMIF('Code Violations'!A:A, A43, 'Code Violations'!T:T)&gt;=5, VLOOKUP(A43, 'Master Dashboard'!A:L, 9, FALSE)="FAIL", VLOOKUP(A43, 'Master Dashboard'!A:L, 10, FALSE)="FAIL", ISNUMBER(SEARCH("Critical", J43))), "3-Red", IF(SUMIF('Code Violations'!A:A, A43, 'Code Violations'!T:T)&gt;=1, "2-Yellow", "1-White")))</f>
        <v>1-White</v>
      </c>
      <c r="L43" t="str">
        <f t="shared" si="1"/>
        <v>FAIL</v>
      </c>
    </row>
    <row r="44" spans="1:12" x14ac:dyDescent="0.25">
      <c r="A44" t="s">
        <v>167</v>
      </c>
      <c r="B44" t="s">
        <v>168</v>
      </c>
      <c r="C44" t="s">
        <v>143</v>
      </c>
      <c r="D44" t="s">
        <v>160</v>
      </c>
      <c r="J44" t="s">
        <v>75</v>
      </c>
      <c r="K44" t="str">
        <f>IF(A44="","", IF(OR(SUMIF('Code Violations'!A:A, A44, 'Code Violations'!T:T)&gt;=5, VLOOKUP(A44, 'Master Dashboard'!A:L, 9, FALSE)="FAIL", VLOOKUP(A44, 'Master Dashboard'!A:L, 10, FALSE)="FAIL", ISNUMBER(SEARCH("Critical", J44))), "3-Red", IF(SUMIF('Code Violations'!A:A, A44, 'Code Violations'!T:T)&gt;=1, "2-Yellow", "1-White")))</f>
        <v>1-White</v>
      </c>
      <c r="L44" t="str">
        <f t="shared" si="1"/>
        <v>FAIL</v>
      </c>
    </row>
    <row r="45" spans="1:12" x14ac:dyDescent="0.25">
      <c r="A45" t="s">
        <v>169</v>
      </c>
      <c r="B45" t="s">
        <v>170</v>
      </c>
      <c r="C45" t="s">
        <v>143</v>
      </c>
      <c r="D45" t="s">
        <v>160</v>
      </c>
      <c r="J45" t="s">
        <v>75</v>
      </c>
      <c r="K45" t="str">
        <f>IF(A45="","", IF(OR(SUMIF('Code Violations'!A:A, A45, 'Code Violations'!T:T)&gt;=5, VLOOKUP(A45, 'Master Dashboard'!A:L, 9, FALSE)="FAIL", VLOOKUP(A45, 'Master Dashboard'!A:L, 10, FALSE)="FAIL", ISNUMBER(SEARCH("Critical", J45))), "3-Red", IF(SUMIF('Code Violations'!A:A, A45, 'Code Violations'!T:T)&gt;=1, "2-Yellow", "1-White")))</f>
        <v>3-Red</v>
      </c>
      <c r="L45" t="str">
        <f t="shared" si="1"/>
        <v>FAIL</v>
      </c>
    </row>
    <row r="46" spans="1:12" x14ac:dyDescent="0.25">
      <c r="A46" t="s">
        <v>171</v>
      </c>
      <c r="B46" t="s">
        <v>172</v>
      </c>
      <c r="C46" t="s">
        <v>143</v>
      </c>
      <c r="D46" t="s">
        <v>101</v>
      </c>
      <c r="J46" t="s">
        <v>75</v>
      </c>
      <c r="K46" t="str">
        <f>IF(A46="","", IF(OR(SUMIF('Code Violations'!A:A, A46, 'Code Violations'!T:T)&gt;=5, VLOOKUP(A46, 'Master Dashboard'!A:L, 9, FALSE)="FAIL", VLOOKUP(A46, 'Master Dashboard'!A:L, 10, FALSE)="FAIL", ISNUMBER(SEARCH("Critical", J46))), "3-Red", IF(SUMIF('Code Violations'!A:A, A46, 'Code Violations'!T:T)&gt;=1, "2-Yellow", "1-White")))</f>
        <v>1-White</v>
      </c>
      <c r="L46" t="str">
        <f t="shared" si="1"/>
        <v>FAIL</v>
      </c>
    </row>
    <row r="47" spans="1:12" x14ac:dyDescent="0.25">
      <c r="A47" t="s">
        <v>173</v>
      </c>
      <c r="B47" t="s">
        <v>174</v>
      </c>
      <c r="C47" t="s">
        <v>143</v>
      </c>
      <c r="D47" t="s">
        <v>175</v>
      </c>
      <c r="J47" t="s">
        <v>75</v>
      </c>
      <c r="K47" t="str">
        <f>IF(A47="","", IF(OR(SUMIF('Code Violations'!A:A, A47, 'Code Violations'!T:T)&gt;=5, VLOOKUP(A47, 'Master Dashboard'!A:L, 9, FALSE)="FAIL", VLOOKUP(A47, 'Master Dashboard'!A:L, 10, FALSE)="FAIL", ISNUMBER(SEARCH("Critical", J47))), "3-Red", IF(SUMIF('Code Violations'!A:A, A47, 'Code Violations'!T:T)&gt;=1, "2-Yellow", "1-White")))</f>
        <v>1-White</v>
      </c>
      <c r="L47" t="str">
        <f t="shared" si="1"/>
        <v>FAIL</v>
      </c>
    </row>
    <row r="48" spans="1:12" x14ac:dyDescent="0.25">
      <c r="A48" t="s">
        <v>176</v>
      </c>
      <c r="B48" t="s">
        <v>177</v>
      </c>
      <c r="C48" t="s">
        <v>143</v>
      </c>
      <c r="D48" t="s">
        <v>88</v>
      </c>
      <c r="J48" t="s">
        <v>75</v>
      </c>
      <c r="K48" t="str">
        <f>IF(A48="","", IF(OR(SUMIF('Code Violations'!A:A, A48, 'Code Violations'!T:T)&gt;=5, VLOOKUP(A48, 'Master Dashboard'!A:L, 9, FALSE)="FAIL", VLOOKUP(A48, 'Master Dashboard'!A:L, 10, FALSE)="FAIL", ISNUMBER(SEARCH("Critical", J48))), "3-Red", IF(SUMIF('Code Violations'!A:A, A48, 'Code Violations'!T:T)&gt;=1, "2-Yellow", "1-White")))</f>
        <v>1-White</v>
      </c>
      <c r="L48" t="str">
        <f t="shared" si="1"/>
        <v>FAIL</v>
      </c>
    </row>
    <row r="49" spans="1:12" x14ac:dyDescent="0.25">
      <c r="A49" t="s">
        <v>178</v>
      </c>
      <c r="B49" t="s">
        <v>179</v>
      </c>
      <c r="C49" t="s">
        <v>143</v>
      </c>
      <c r="D49" t="s">
        <v>88</v>
      </c>
      <c r="J49" t="s">
        <v>75</v>
      </c>
      <c r="K49" t="str">
        <f>IF(A49="","", IF(OR(SUMIF('Code Violations'!A:A, A49, 'Code Violations'!T:T)&gt;=5, VLOOKUP(A49, 'Master Dashboard'!A:L, 9, FALSE)="FAIL", VLOOKUP(A49, 'Master Dashboard'!A:L, 10, FALSE)="FAIL", ISNUMBER(SEARCH("Critical", J49))), "3-Red", IF(SUMIF('Code Violations'!A:A, A49, 'Code Violations'!T:T)&gt;=1, "2-Yellow", "1-White")))</f>
        <v>1-White</v>
      </c>
      <c r="L49" t="str">
        <f t="shared" si="1"/>
        <v>FAIL</v>
      </c>
    </row>
    <row r="50" spans="1:12" x14ac:dyDescent="0.25">
      <c r="A50" t="s">
        <v>180</v>
      </c>
      <c r="B50" t="s">
        <v>181</v>
      </c>
      <c r="C50" t="s">
        <v>143</v>
      </c>
      <c r="D50" t="s">
        <v>88</v>
      </c>
      <c r="J50" t="s">
        <v>75</v>
      </c>
      <c r="K50" t="str">
        <f>IF(A50="","", IF(OR(SUMIF('Code Violations'!A:A, A50, 'Code Violations'!T:T)&gt;=5, VLOOKUP(A50, 'Master Dashboard'!A:L, 9, FALSE)="FAIL", VLOOKUP(A50, 'Master Dashboard'!A:L, 10, FALSE)="FAIL", ISNUMBER(SEARCH("Critical", J50))), "3-Red", IF(SUMIF('Code Violations'!A:A, A50, 'Code Violations'!T:T)&gt;=1, "2-Yellow", "1-White")))</f>
        <v>2-Yellow</v>
      </c>
      <c r="L50" t="str">
        <f t="shared" si="1"/>
        <v>FAIL</v>
      </c>
    </row>
    <row r="51" spans="1:12" x14ac:dyDescent="0.25">
      <c r="A51" t="s">
        <v>182</v>
      </c>
      <c r="B51" t="s">
        <v>183</v>
      </c>
      <c r="C51" t="s">
        <v>143</v>
      </c>
      <c r="D51" t="s">
        <v>88</v>
      </c>
      <c r="J51" t="s">
        <v>75</v>
      </c>
      <c r="K51" t="str">
        <f>IF(A51="","", IF(OR(SUMIF('Code Violations'!A:A, A51, 'Code Violations'!T:T)&gt;=5, VLOOKUP(A51, 'Master Dashboard'!A:L, 9, FALSE)="FAIL", VLOOKUP(A51, 'Master Dashboard'!A:L, 10, FALSE)="FAIL", ISNUMBER(SEARCH("Critical", J51))), "3-Red", IF(SUMIF('Code Violations'!A:A, A51, 'Code Violations'!T:T)&gt;=1, "2-Yellow", "1-White")))</f>
        <v>1-White</v>
      </c>
      <c r="L51" t="str">
        <f t="shared" si="1"/>
        <v>FAIL</v>
      </c>
    </row>
    <row r="52" spans="1:12" x14ac:dyDescent="0.25">
      <c r="A52" t="s">
        <v>184</v>
      </c>
      <c r="B52" t="s">
        <v>185</v>
      </c>
      <c r="C52" t="s">
        <v>143</v>
      </c>
      <c r="D52" t="s">
        <v>186</v>
      </c>
      <c r="J52" t="s">
        <v>75</v>
      </c>
      <c r="K52" t="str">
        <f>IF(A52="","", IF(OR(SUMIF('Code Violations'!A:A, A52, 'Code Violations'!T:T)&gt;=5, VLOOKUP(A52, 'Master Dashboard'!A:L, 9, FALSE)="FAIL", VLOOKUP(A52, 'Master Dashboard'!A:L, 10, FALSE)="FAIL", ISNUMBER(SEARCH("Critical", J52))), "3-Red", IF(SUMIF('Code Violations'!A:A, A52, 'Code Violations'!T:T)&gt;=1, "2-Yellow", "1-White")))</f>
        <v>1-White</v>
      </c>
      <c r="L52" t="str">
        <f t="shared" si="1"/>
        <v>FAIL</v>
      </c>
    </row>
    <row r="53" spans="1:12" x14ac:dyDescent="0.25">
      <c r="A53" t="s">
        <v>187</v>
      </c>
      <c r="C53" t="s">
        <v>188</v>
      </c>
      <c r="D53" t="s">
        <v>101</v>
      </c>
      <c r="J53" t="s">
        <v>75</v>
      </c>
      <c r="K53" t="str">
        <f>IF(A53="","", IF(OR(SUMIF('Code Violations'!A:A, A53, 'Code Violations'!T:T)&gt;=5, VLOOKUP(A53, 'Master Dashboard'!A:L, 9, FALSE)="FAIL", VLOOKUP(A53, 'Master Dashboard'!A:L, 10, FALSE)="FAIL", ISNUMBER(SEARCH("Critical", J53))), "3-Red", IF(SUMIF('Code Violations'!A:A, A53, 'Code Violations'!T:T)&gt;=1, "2-Yellow", "1-White")))</f>
        <v>1-White</v>
      </c>
      <c r="L53" t="str">
        <f t="shared" si="1"/>
        <v>FAIL</v>
      </c>
    </row>
    <row r="54" spans="1:12" x14ac:dyDescent="0.25">
      <c r="A54" t="s">
        <v>189</v>
      </c>
      <c r="C54" t="s">
        <v>188</v>
      </c>
      <c r="D54" t="s">
        <v>88</v>
      </c>
      <c r="J54" t="s">
        <v>75</v>
      </c>
      <c r="K54" t="str">
        <f>IF(A54="","", IF(OR(SUMIF('Code Violations'!A:A, A54, 'Code Violations'!T:T)&gt;=5, VLOOKUP(A54, 'Master Dashboard'!A:L, 9, FALSE)="FAIL", VLOOKUP(A54, 'Master Dashboard'!A:L, 10, FALSE)="FAIL", ISNUMBER(SEARCH("Critical", J54))), "3-Red", IF(SUMIF('Code Violations'!A:A, A54, 'Code Violations'!T:T)&gt;=1, "2-Yellow", "1-White")))</f>
        <v>1-White</v>
      </c>
      <c r="L54" t="str">
        <f t="shared" si="1"/>
        <v>FAIL</v>
      </c>
    </row>
    <row r="55" spans="1:12" x14ac:dyDescent="0.25">
      <c r="A55" t="s">
        <v>190</v>
      </c>
      <c r="C55" t="s">
        <v>188</v>
      </c>
      <c r="D55" t="s">
        <v>506</v>
      </c>
      <c r="J55" t="s">
        <v>75</v>
      </c>
      <c r="K55" t="str">
        <f>IF(A55="","", IF(OR(SUMIF('Code Violations'!A:A, A55, 'Code Violations'!T:T)&gt;=5, VLOOKUP(A55, 'Master Dashboard'!A:L, 9, FALSE)="FAIL", VLOOKUP(A55, 'Master Dashboard'!A:L, 10, FALSE)="FAIL", ISNUMBER(SEARCH("Critical", J55))), "3-Red", IF(SUMIF('Code Violations'!A:A, A55, 'Code Violations'!T:T)&gt;=1, "2-Yellow", "1-White")))</f>
        <v>1-White</v>
      </c>
      <c r="L55" t="str">
        <f t="shared" si="1"/>
        <v>FAIL</v>
      </c>
    </row>
    <row r="56" spans="1:12" x14ac:dyDescent="0.25">
      <c r="A56" t="s">
        <v>191</v>
      </c>
      <c r="C56" t="s">
        <v>188</v>
      </c>
      <c r="D56" t="s">
        <v>506</v>
      </c>
      <c r="J56" t="s">
        <v>75</v>
      </c>
      <c r="K56" t="str">
        <f>IF(A56="","", IF(OR(SUMIF('Code Violations'!A:A, A56, 'Code Violations'!T:T)&gt;=5, VLOOKUP(A56, 'Master Dashboard'!A:L, 9, FALSE)="FAIL", VLOOKUP(A56, 'Master Dashboard'!A:L, 10, FALSE)="FAIL", ISNUMBER(SEARCH("Critical", J56))), "3-Red", IF(SUMIF('Code Violations'!A:A, A56, 'Code Violations'!T:T)&gt;=1, "2-Yellow", "1-White")))</f>
        <v>1-White</v>
      </c>
      <c r="L56" t="str">
        <f t="shared" si="1"/>
        <v>FAIL</v>
      </c>
    </row>
    <row r="57" spans="1:12" x14ac:dyDescent="0.25">
      <c r="A57" t="s">
        <v>192</v>
      </c>
      <c r="C57" t="s">
        <v>188</v>
      </c>
      <c r="D57" t="s">
        <v>506</v>
      </c>
      <c r="J57" t="s">
        <v>75</v>
      </c>
      <c r="K57" t="str">
        <f>IF(A57="","", IF(OR(SUMIF('Code Violations'!A:A, A57, 'Code Violations'!T:T)&gt;=5, VLOOKUP(A57, 'Master Dashboard'!A:L, 9, FALSE)="FAIL", VLOOKUP(A57, 'Master Dashboard'!A:L, 10, FALSE)="FAIL", ISNUMBER(SEARCH("Critical", J57))), "3-Red", IF(SUMIF('Code Violations'!A:A, A57, 'Code Violations'!T:T)&gt;=1, "2-Yellow", "1-White")))</f>
        <v>1-White</v>
      </c>
      <c r="L57" t="str">
        <f t="shared" si="1"/>
        <v>FAIL</v>
      </c>
    </row>
    <row r="58" spans="1:12" x14ac:dyDescent="0.25">
      <c r="A58" t="s">
        <v>193</v>
      </c>
      <c r="C58" t="s">
        <v>188</v>
      </c>
      <c r="D58" t="s">
        <v>506</v>
      </c>
      <c r="J58" t="s">
        <v>75</v>
      </c>
      <c r="K58" t="str">
        <f>IF(A58="","", IF(OR(SUMIF('Code Violations'!A:A, A58, 'Code Violations'!T:T)&gt;=5, VLOOKUP(A58, 'Master Dashboard'!A:L, 9, FALSE)="FAIL", VLOOKUP(A58, 'Master Dashboard'!A:L, 10, FALSE)="FAIL", ISNUMBER(SEARCH("Critical", J58))), "3-Red", IF(SUMIF('Code Violations'!A:A, A58, 'Code Violations'!T:T)&gt;=1, "2-Yellow", "1-White")))</f>
        <v>1-White</v>
      </c>
      <c r="L58" t="str">
        <f t="shared" si="1"/>
        <v>FAIL</v>
      </c>
    </row>
    <row r="59" spans="1:12" x14ac:dyDescent="0.25">
      <c r="A59" t="s">
        <v>194</v>
      </c>
      <c r="B59" t="s">
        <v>195</v>
      </c>
      <c r="C59" t="s">
        <v>196</v>
      </c>
      <c r="D59" t="s">
        <v>104</v>
      </c>
      <c r="J59" t="s">
        <v>75</v>
      </c>
      <c r="K59" t="str">
        <f>IF(A59="","", IF(OR(SUMIF('Code Violations'!A:A, A59, 'Code Violations'!T:T)&gt;=5, VLOOKUP(A59, 'Master Dashboard'!A:L, 9, FALSE)="FAIL", VLOOKUP(A59, 'Master Dashboard'!A:L, 10, FALSE)="FAIL", ISNUMBER(SEARCH("Critical", J59))), "3-Red", IF(SUMIF('Code Violations'!A:A, A59, 'Code Violations'!T:T)&gt;=1, "2-Yellow", "1-White")))</f>
        <v>1-White</v>
      </c>
      <c r="L59" t="str">
        <f t="shared" si="1"/>
        <v>FAIL</v>
      </c>
    </row>
    <row r="60" spans="1:12" x14ac:dyDescent="0.25">
      <c r="A60" t="s">
        <v>197</v>
      </c>
      <c r="B60" t="s">
        <v>198</v>
      </c>
      <c r="C60" t="s">
        <v>196</v>
      </c>
      <c r="D60" t="s">
        <v>104</v>
      </c>
      <c r="J60" t="s">
        <v>75</v>
      </c>
      <c r="K60" t="str">
        <f>IF(A60="","", IF(OR(SUMIF('Code Violations'!A:A, A60, 'Code Violations'!T:T)&gt;=5, VLOOKUP(A60, 'Master Dashboard'!A:L, 9, FALSE)="FAIL", VLOOKUP(A60, 'Master Dashboard'!A:L, 10, FALSE)="FAIL", ISNUMBER(SEARCH("Critical", J60))), "3-Red", IF(SUMIF('Code Violations'!A:A, A60, 'Code Violations'!T:T)&gt;=1, "2-Yellow", "1-White")))</f>
        <v>2-Yellow</v>
      </c>
      <c r="L60" t="str">
        <f t="shared" si="1"/>
        <v>FAIL</v>
      </c>
    </row>
    <row r="61" spans="1:12" x14ac:dyDescent="0.25">
      <c r="A61" t="s">
        <v>199</v>
      </c>
      <c r="B61" t="s">
        <v>200</v>
      </c>
      <c r="C61" t="s">
        <v>196</v>
      </c>
      <c r="D61" t="s">
        <v>88</v>
      </c>
      <c r="J61" t="s">
        <v>75</v>
      </c>
      <c r="K61" t="str">
        <f>IF(A61="","", IF(OR(SUMIF('Code Violations'!A:A, A61, 'Code Violations'!T:T)&gt;=5, VLOOKUP(A61, 'Master Dashboard'!A:L, 9, FALSE)="FAIL", VLOOKUP(A61, 'Master Dashboard'!A:L, 10, FALSE)="FAIL", ISNUMBER(SEARCH("Critical", J61))), "3-Red", IF(SUMIF('Code Violations'!A:A, A61, 'Code Violations'!T:T)&gt;=1, "2-Yellow", "1-White")))</f>
        <v>1-White</v>
      </c>
      <c r="L61" t="str">
        <f t="shared" si="1"/>
        <v>FAIL</v>
      </c>
    </row>
    <row r="62" spans="1:12" x14ac:dyDescent="0.25">
      <c r="A62" t="s">
        <v>201</v>
      </c>
      <c r="B62" t="s">
        <v>202</v>
      </c>
      <c r="C62" t="s">
        <v>196</v>
      </c>
      <c r="D62" t="s">
        <v>88</v>
      </c>
      <c r="J62" t="s">
        <v>75</v>
      </c>
      <c r="K62" t="str">
        <f>IF(A62="","", IF(OR(SUMIF('Code Violations'!A:A, A62, 'Code Violations'!T:T)&gt;=5, VLOOKUP(A62, 'Master Dashboard'!A:L, 9, FALSE)="FAIL", VLOOKUP(A62, 'Master Dashboard'!A:L, 10, FALSE)="FAIL", ISNUMBER(SEARCH("Critical", J62))), "3-Red", IF(SUMIF('Code Violations'!A:A, A62, 'Code Violations'!T:T)&gt;=1, "2-Yellow", "1-White")))</f>
        <v>2-Yellow</v>
      </c>
      <c r="L62" t="str">
        <f t="shared" si="1"/>
        <v>FAIL</v>
      </c>
    </row>
    <row r="63" spans="1:12" x14ac:dyDescent="0.25">
      <c r="A63" t="s">
        <v>203</v>
      </c>
      <c r="B63" t="s">
        <v>204</v>
      </c>
      <c r="C63" t="s">
        <v>196</v>
      </c>
      <c r="D63" t="s">
        <v>82</v>
      </c>
      <c r="J63" t="s">
        <v>75</v>
      </c>
      <c r="K63" t="str">
        <f>IF(A63="","", IF(OR(SUMIF('Code Violations'!A:A, A63, 'Code Violations'!T:T)&gt;=5, VLOOKUP(A63, 'Master Dashboard'!A:L, 9, FALSE)="FAIL", VLOOKUP(A63, 'Master Dashboard'!A:L, 10, FALSE)="FAIL", ISNUMBER(SEARCH("Critical", J63))), "3-Red", IF(SUMIF('Code Violations'!A:A, A63, 'Code Violations'!T:T)&gt;=1, "2-Yellow", "1-White")))</f>
        <v>1-White</v>
      </c>
      <c r="L63" t="str">
        <f t="shared" si="1"/>
        <v>FAIL</v>
      </c>
    </row>
    <row r="64" spans="1:12" x14ac:dyDescent="0.25">
      <c r="A64" t="s">
        <v>205</v>
      </c>
      <c r="B64" t="s">
        <v>206</v>
      </c>
      <c r="C64" t="s">
        <v>196</v>
      </c>
      <c r="D64" t="s">
        <v>88</v>
      </c>
      <c r="J64" t="s">
        <v>75</v>
      </c>
      <c r="K64" t="str">
        <f>IF(A64="","", IF(OR(SUMIF('Code Violations'!A:A, A64, 'Code Violations'!T:T)&gt;=5, VLOOKUP(A64, 'Master Dashboard'!A:L, 9, FALSE)="FAIL", VLOOKUP(A64, 'Master Dashboard'!A:L, 10, FALSE)="FAIL", ISNUMBER(SEARCH("Critical", J64))), "3-Red", IF(SUMIF('Code Violations'!A:A, A64, 'Code Violations'!T:T)&gt;=1, "2-Yellow", "1-White")))</f>
        <v>1-White</v>
      </c>
      <c r="L64" t="str">
        <f t="shared" si="1"/>
        <v>FAIL</v>
      </c>
    </row>
    <row r="65" spans="1:12" x14ac:dyDescent="0.25">
      <c r="A65" t="s">
        <v>207</v>
      </c>
      <c r="B65" t="s">
        <v>208</v>
      </c>
      <c r="C65" t="s">
        <v>196</v>
      </c>
      <c r="D65" t="s">
        <v>88</v>
      </c>
      <c r="J65" t="s">
        <v>75</v>
      </c>
      <c r="K65" t="str">
        <f>IF(A65="","", IF(OR(SUMIF('Code Violations'!A:A, A65, 'Code Violations'!T:T)&gt;=5, VLOOKUP(A65, 'Master Dashboard'!A:L, 9, FALSE)="FAIL", VLOOKUP(A65, 'Master Dashboard'!A:L, 10, FALSE)="FAIL", ISNUMBER(SEARCH("Critical", J65))), "3-Red", IF(SUMIF('Code Violations'!A:A, A65, 'Code Violations'!T:T)&gt;=1, "2-Yellow", "1-White")))</f>
        <v>2-Yellow</v>
      </c>
      <c r="L65" t="str">
        <f t="shared" si="1"/>
        <v>FAIL</v>
      </c>
    </row>
    <row r="66" spans="1:12" x14ac:dyDescent="0.25">
      <c r="A66" t="s">
        <v>209</v>
      </c>
      <c r="B66" t="s">
        <v>210</v>
      </c>
      <c r="C66" t="s">
        <v>196</v>
      </c>
      <c r="D66" t="s">
        <v>506</v>
      </c>
      <c r="J66" t="s">
        <v>75</v>
      </c>
      <c r="K66" t="str">
        <f>IF(A66="","", IF(OR(SUMIF('Code Violations'!A:A, A66, 'Code Violations'!T:T)&gt;=5, VLOOKUP(A66, 'Master Dashboard'!A:L, 9, FALSE)="FAIL", VLOOKUP(A66, 'Master Dashboard'!A:L, 10, FALSE)="FAIL", ISNUMBER(SEARCH("Critical", J66))), "3-Red", IF(SUMIF('Code Violations'!A:A, A66, 'Code Violations'!T:T)&gt;=1, "2-Yellow", "1-White")))</f>
        <v>1-White</v>
      </c>
      <c r="L66" t="str">
        <f t="shared" ref="L66:L97" si="2">IF(J66="","", IF(ISNUMBER(SEARCH("Critical", J66)), "CRITICAL FAIL", IF(ISNUMBER(SEARCH("Overdue", J66)), "FAIL", "COMPLIANT")))</f>
        <v>FAIL</v>
      </c>
    </row>
    <row r="67" spans="1:12" x14ac:dyDescent="0.25">
      <c r="A67" t="s">
        <v>211</v>
      </c>
      <c r="C67" t="s">
        <v>196</v>
      </c>
      <c r="D67" t="s">
        <v>506</v>
      </c>
      <c r="J67" t="s">
        <v>75</v>
      </c>
      <c r="K67" t="str">
        <f>IF(A67="","", IF(OR(SUMIF('Code Violations'!A:A, A67, 'Code Violations'!T:T)&gt;=5, VLOOKUP(A67, 'Master Dashboard'!A:L, 9, FALSE)="FAIL", VLOOKUP(A67, 'Master Dashboard'!A:L, 10, FALSE)="FAIL", ISNUMBER(SEARCH("Critical", J67))), "3-Red", IF(SUMIF('Code Violations'!A:A, A67, 'Code Violations'!T:T)&gt;=1, "2-Yellow", "1-White")))</f>
        <v>1-White</v>
      </c>
      <c r="L67" t="str">
        <f t="shared" si="2"/>
        <v>FAIL</v>
      </c>
    </row>
    <row r="68" spans="1:12" x14ac:dyDescent="0.25">
      <c r="A68" t="s">
        <v>212</v>
      </c>
      <c r="B68" t="s">
        <v>213</v>
      </c>
      <c r="C68" t="s">
        <v>214</v>
      </c>
      <c r="D68" t="s">
        <v>88</v>
      </c>
      <c r="J68" t="s">
        <v>75</v>
      </c>
      <c r="K68" t="str">
        <f>IF(A68="","", IF(OR(SUMIF('Code Violations'!A:A, A68, 'Code Violations'!T:T)&gt;=5, VLOOKUP(A68, 'Master Dashboard'!A:L, 9, FALSE)="FAIL", VLOOKUP(A68, 'Master Dashboard'!A:L, 10, FALSE)="FAIL", ISNUMBER(SEARCH("Critical", J68))), "3-Red", IF(SUMIF('Code Violations'!A:A, A68, 'Code Violations'!T:T)&gt;=1, "2-Yellow", "1-White")))</f>
        <v>1-White</v>
      </c>
      <c r="L68" t="str">
        <f t="shared" si="2"/>
        <v>FAIL</v>
      </c>
    </row>
    <row r="69" spans="1:12" x14ac:dyDescent="0.25">
      <c r="A69" t="s">
        <v>215</v>
      </c>
      <c r="B69" t="s">
        <v>216</v>
      </c>
      <c r="C69" t="s">
        <v>214</v>
      </c>
      <c r="D69" t="s">
        <v>217</v>
      </c>
      <c r="J69" t="s">
        <v>75</v>
      </c>
      <c r="K69" t="str">
        <f>IF(A69="","", IF(OR(SUMIF('Code Violations'!A:A, A69, 'Code Violations'!T:T)&gt;=5, VLOOKUP(A69, 'Master Dashboard'!A:L, 9, FALSE)="FAIL", VLOOKUP(A69, 'Master Dashboard'!A:L, 10, FALSE)="FAIL", ISNUMBER(SEARCH("Critical", J69))), "3-Red", IF(SUMIF('Code Violations'!A:A, A69, 'Code Violations'!T:T)&gt;=1, "2-Yellow", "1-White")))</f>
        <v>1-White</v>
      </c>
      <c r="L69" t="str">
        <f t="shared" si="2"/>
        <v>FAIL</v>
      </c>
    </row>
    <row r="70" spans="1:12" x14ac:dyDescent="0.25">
      <c r="A70" t="s">
        <v>218</v>
      </c>
      <c r="B70" t="s">
        <v>219</v>
      </c>
      <c r="C70" t="s">
        <v>214</v>
      </c>
      <c r="D70" t="s">
        <v>88</v>
      </c>
      <c r="J70" t="s">
        <v>75</v>
      </c>
      <c r="K70" t="str">
        <f>IF(A70="","", IF(OR(SUMIF('Code Violations'!A:A, A70, 'Code Violations'!T:T)&gt;=5, VLOOKUP(A70, 'Master Dashboard'!A:L, 9, FALSE)="FAIL", VLOOKUP(A70, 'Master Dashboard'!A:L, 10, FALSE)="FAIL", ISNUMBER(SEARCH("Critical", J70))), "3-Red", IF(SUMIF('Code Violations'!A:A, A70, 'Code Violations'!T:T)&gt;=1, "2-Yellow", "1-White")))</f>
        <v>1-White</v>
      </c>
      <c r="L70" t="str">
        <f t="shared" si="2"/>
        <v>FAIL</v>
      </c>
    </row>
    <row r="71" spans="1:12" x14ac:dyDescent="0.25">
      <c r="A71" t="s">
        <v>220</v>
      </c>
      <c r="B71" t="s">
        <v>221</v>
      </c>
      <c r="C71" t="s">
        <v>214</v>
      </c>
      <c r="D71" t="s">
        <v>82</v>
      </c>
      <c r="J71" t="s">
        <v>75</v>
      </c>
      <c r="K71" t="str">
        <f>IF(A71="","", IF(OR(SUMIF('Code Violations'!A:A, A71, 'Code Violations'!T:T)&gt;=5, VLOOKUP(A71, 'Master Dashboard'!A:L, 9, FALSE)="FAIL", VLOOKUP(A71, 'Master Dashboard'!A:L, 10, FALSE)="FAIL", ISNUMBER(SEARCH("Critical", J71))), "3-Red", IF(SUMIF('Code Violations'!A:A, A71, 'Code Violations'!T:T)&gt;=1, "2-Yellow", "1-White")))</f>
        <v>1-White</v>
      </c>
      <c r="L71" t="str">
        <f t="shared" si="2"/>
        <v>FAIL</v>
      </c>
    </row>
    <row r="72" spans="1:12" x14ac:dyDescent="0.25">
      <c r="A72" t="s">
        <v>222</v>
      </c>
      <c r="B72" t="s">
        <v>223</v>
      </c>
      <c r="C72" t="s">
        <v>214</v>
      </c>
      <c r="D72" t="s">
        <v>82</v>
      </c>
      <c r="J72" t="s">
        <v>75</v>
      </c>
      <c r="K72" t="str">
        <f>IF(A72="","", IF(OR(SUMIF('Code Violations'!A:A, A72, 'Code Violations'!T:T)&gt;=5, VLOOKUP(A72, 'Master Dashboard'!A:L, 9, FALSE)="FAIL", VLOOKUP(A72, 'Master Dashboard'!A:L, 10, FALSE)="FAIL", ISNUMBER(SEARCH("Critical", J72))), "3-Red", IF(SUMIF('Code Violations'!A:A, A72, 'Code Violations'!T:T)&gt;=1, "2-Yellow", "1-White")))</f>
        <v>1-White</v>
      </c>
      <c r="L72" t="str">
        <f t="shared" si="2"/>
        <v>FAIL</v>
      </c>
    </row>
    <row r="73" spans="1:12" x14ac:dyDescent="0.25">
      <c r="A73" t="s">
        <v>224</v>
      </c>
      <c r="B73" t="s">
        <v>225</v>
      </c>
      <c r="C73" t="s">
        <v>214</v>
      </c>
      <c r="D73" t="s">
        <v>160</v>
      </c>
      <c r="J73" t="s">
        <v>75</v>
      </c>
      <c r="K73" t="str">
        <f>IF(A73="","", IF(OR(SUMIF('Code Violations'!A:A, A73, 'Code Violations'!T:T)&gt;=5, VLOOKUP(A73, 'Master Dashboard'!A:L, 9, FALSE)="FAIL", VLOOKUP(A73, 'Master Dashboard'!A:L, 10, FALSE)="FAIL", ISNUMBER(SEARCH("Critical", J73))), "3-Red", IF(SUMIF('Code Violations'!A:A, A73, 'Code Violations'!T:T)&gt;=1, "2-Yellow", "1-White")))</f>
        <v>1-White</v>
      </c>
      <c r="L73" t="str">
        <f t="shared" si="2"/>
        <v>FAIL</v>
      </c>
    </row>
    <row r="74" spans="1:12" x14ac:dyDescent="0.25">
      <c r="A74" t="s">
        <v>226</v>
      </c>
      <c r="B74" t="s">
        <v>227</v>
      </c>
      <c r="C74" t="s">
        <v>214</v>
      </c>
      <c r="D74" t="s">
        <v>160</v>
      </c>
      <c r="J74" t="s">
        <v>75</v>
      </c>
      <c r="K74" t="str">
        <f>IF(A74="","", IF(OR(SUMIF('Code Violations'!A:A, A74, 'Code Violations'!T:T)&gt;=5, VLOOKUP(A74, 'Master Dashboard'!A:L, 9, FALSE)="FAIL", VLOOKUP(A74, 'Master Dashboard'!A:L, 10, FALSE)="FAIL", ISNUMBER(SEARCH("Critical", J74))), "3-Red", IF(SUMIF('Code Violations'!A:A, A74, 'Code Violations'!T:T)&gt;=1, "2-Yellow", "1-White")))</f>
        <v>1-White</v>
      </c>
      <c r="L74" t="str">
        <f t="shared" si="2"/>
        <v>FAIL</v>
      </c>
    </row>
    <row r="75" spans="1:12" x14ac:dyDescent="0.25">
      <c r="A75" t="s">
        <v>228</v>
      </c>
      <c r="B75" t="s">
        <v>229</v>
      </c>
      <c r="C75" t="s">
        <v>214</v>
      </c>
      <c r="D75" t="s">
        <v>104</v>
      </c>
      <c r="J75" t="s">
        <v>75</v>
      </c>
      <c r="K75" t="str">
        <f>IF(A75="","", IF(OR(SUMIF('Code Violations'!A:A, A75, 'Code Violations'!T:T)&gt;=5, VLOOKUP(A75, 'Master Dashboard'!A:L, 9, FALSE)="FAIL", VLOOKUP(A75, 'Master Dashboard'!A:L, 10, FALSE)="FAIL", ISNUMBER(SEARCH("Critical", J75))), "3-Red", IF(SUMIF('Code Violations'!A:A, A75, 'Code Violations'!T:T)&gt;=1, "2-Yellow", "1-White")))</f>
        <v>1-White</v>
      </c>
      <c r="L75" t="str">
        <f t="shared" si="2"/>
        <v>FAIL</v>
      </c>
    </row>
    <row r="76" spans="1:12" x14ac:dyDescent="0.25">
      <c r="A76" t="s">
        <v>230</v>
      </c>
      <c r="B76" t="s">
        <v>231</v>
      </c>
      <c r="C76" t="s">
        <v>214</v>
      </c>
      <c r="D76" t="s">
        <v>82</v>
      </c>
      <c r="J76" t="s">
        <v>75</v>
      </c>
      <c r="K76" t="str">
        <f>IF(A76="","", IF(OR(SUMIF('Code Violations'!A:A, A76, 'Code Violations'!T:T)&gt;=5, VLOOKUP(A76, 'Master Dashboard'!A:L, 9, FALSE)="FAIL", VLOOKUP(A76, 'Master Dashboard'!A:L, 10, FALSE)="FAIL", ISNUMBER(SEARCH("Critical", J76))), "3-Red", IF(SUMIF('Code Violations'!A:A, A76, 'Code Violations'!T:T)&gt;=1, "2-Yellow", "1-White")))</f>
        <v>1-White</v>
      </c>
      <c r="L76" t="str">
        <f t="shared" si="2"/>
        <v>FAIL</v>
      </c>
    </row>
    <row r="77" spans="1:12" x14ac:dyDescent="0.25">
      <c r="A77" t="s">
        <v>232</v>
      </c>
      <c r="B77" t="s">
        <v>233</v>
      </c>
      <c r="C77" t="s">
        <v>214</v>
      </c>
      <c r="D77" t="s">
        <v>82</v>
      </c>
      <c r="J77" t="s">
        <v>75</v>
      </c>
      <c r="K77" t="str">
        <f>IF(A77="","", IF(OR(SUMIF('Code Violations'!A:A, A77, 'Code Violations'!T:T)&gt;=5, VLOOKUP(A77, 'Master Dashboard'!A:L, 9, FALSE)="FAIL", VLOOKUP(A77, 'Master Dashboard'!A:L, 10, FALSE)="FAIL", ISNUMBER(SEARCH("Critical", J77))), "3-Red", IF(SUMIF('Code Violations'!A:A, A77, 'Code Violations'!T:T)&gt;=1, "2-Yellow", "1-White")))</f>
        <v>1-White</v>
      </c>
      <c r="L77" t="str">
        <f t="shared" si="2"/>
        <v>FAIL</v>
      </c>
    </row>
    <row r="78" spans="1:12" x14ac:dyDescent="0.25">
      <c r="A78" t="s">
        <v>234</v>
      </c>
      <c r="B78" t="s">
        <v>235</v>
      </c>
      <c r="C78" t="s">
        <v>214</v>
      </c>
      <c r="D78" t="s">
        <v>82</v>
      </c>
      <c r="J78" t="s">
        <v>75</v>
      </c>
      <c r="K78" t="str">
        <f>IF(A78="","", IF(OR(SUMIF('Code Violations'!A:A, A78, 'Code Violations'!T:T)&gt;=5, VLOOKUP(A78, 'Master Dashboard'!A:L, 9, FALSE)="FAIL", VLOOKUP(A78, 'Master Dashboard'!A:L, 10, FALSE)="FAIL", ISNUMBER(SEARCH("Critical", J78))), "3-Red", IF(SUMIF('Code Violations'!A:A, A78, 'Code Violations'!T:T)&gt;=1, "2-Yellow", "1-White")))</f>
        <v>1-White</v>
      </c>
      <c r="L78" t="str">
        <f t="shared" si="2"/>
        <v>FAIL</v>
      </c>
    </row>
    <row r="79" spans="1:12" x14ac:dyDescent="0.25">
      <c r="A79" t="s">
        <v>236</v>
      </c>
      <c r="B79" t="s">
        <v>237</v>
      </c>
      <c r="C79" t="s">
        <v>214</v>
      </c>
      <c r="D79" t="s">
        <v>82</v>
      </c>
      <c r="J79" t="s">
        <v>75</v>
      </c>
      <c r="K79" t="str">
        <f>IF(A79="","", IF(OR(SUMIF('Code Violations'!A:A, A79, 'Code Violations'!T:T)&gt;=5, VLOOKUP(A79, 'Master Dashboard'!A:L, 9, FALSE)="FAIL", VLOOKUP(A79, 'Master Dashboard'!A:L, 10, FALSE)="FAIL", ISNUMBER(SEARCH("Critical", J79))), "3-Red", IF(SUMIF('Code Violations'!A:A, A79, 'Code Violations'!T:T)&gt;=1, "2-Yellow", "1-White")))</f>
        <v>1-White</v>
      </c>
      <c r="L79" t="str">
        <f t="shared" si="2"/>
        <v>FAIL</v>
      </c>
    </row>
    <row r="80" spans="1:12" x14ac:dyDescent="0.25">
      <c r="A80" t="s">
        <v>238</v>
      </c>
      <c r="B80" t="s">
        <v>239</v>
      </c>
      <c r="C80" t="s">
        <v>214</v>
      </c>
      <c r="D80" t="s">
        <v>82</v>
      </c>
      <c r="J80" t="s">
        <v>75</v>
      </c>
      <c r="K80" t="str">
        <f>IF(A80="","", IF(OR(SUMIF('Code Violations'!A:A, A80, 'Code Violations'!T:T)&gt;=5, VLOOKUP(A80, 'Master Dashboard'!A:L, 9, FALSE)="FAIL", VLOOKUP(A80, 'Master Dashboard'!A:L, 10, FALSE)="FAIL", ISNUMBER(SEARCH("Critical", J80))), "3-Red", IF(SUMIF('Code Violations'!A:A, A80, 'Code Violations'!T:T)&gt;=1, "2-Yellow", "1-White")))</f>
        <v>1-White</v>
      </c>
      <c r="L80" t="str">
        <f t="shared" si="2"/>
        <v>FAIL</v>
      </c>
    </row>
    <row r="81" spans="1:12" x14ac:dyDescent="0.25">
      <c r="A81" t="s">
        <v>240</v>
      </c>
      <c r="B81" t="s">
        <v>241</v>
      </c>
      <c r="C81" t="s">
        <v>214</v>
      </c>
      <c r="D81" t="s">
        <v>88</v>
      </c>
      <c r="J81" t="s">
        <v>75</v>
      </c>
      <c r="K81" t="str">
        <f>IF(A81="","", IF(OR(SUMIF('Code Violations'!A:A, A81, 'Code Violations'!T:T)&gt;=5, VLOOKUP(A81, 'Master Dashboard'!A:L, 9, FALSE)="FAIL", VLOOKUP(A81, 'Master Dashboard'!A:L, 10, FALSE)="FAIL", ISNUMBER(SEARCH("Critical", J81))), "3-Red", IF(SUMIF('Code Violations'!A:A, A81, 'Code Violations'!T:T)&gt;=1, "2-Yellow", "1-White")))</f>
        <v>3-Red</v>
      </c>
      <c r="L81" t="str">
        <f t="shared" si="2"/>
        <v>FAIL</v>
      </c>
    </row>
    <row r="82" spans="1:12" x14ac:dyDescent="0.25">
      <c r="A82" t="s">
        <v>242</v>
      </c>
      <c r="B82" t="s">
        <v>106</v>
      </c>
      <c r="C82" t="s">
        <v>214</v>
      </c>
      <c r="D82" t="s">
        <v>104</v>
      </c>
      <c r="J82" t="s">
        <v>75</v>
      </c>
      <c r="K82" t="str">
        <f>IF(A82="","", IF(OR(SUMIF('Code Violations'!A:A, A82, 'Code Violations'!T:T)&gt;=5, VLOOKUP(A82, 'Master Dashboard'!A:L, 9, FALSE)="FAIL", VLOOKUP(A82, 'Master Dashboard'!A:L, 10, FALSE)="FAIL", ISNUMBER(SEARCH("Critical", J82))), "3-Red", IF(SUMIF('Code Violations'!A:A, A82, 'Code Violations'!T:T)&gt;=1, "2-Yellow", "1-White")))</f>
        <v>1-White</v>
      </c>
      <c r="L82" t="str">
        <f t="shared" si="2"/>
        <v>FAIL</v>
      </c>
    </row>
    <row r="83" spans="1:12" x14ac:dyDescent="0.25">
      <c r="A83" t="s">
        <v>243</v>
      </c>
      <c r="B83" t="s">
        <v>244</v>
      </c>
      <c r="C83" t="s">
        <v>214</v>
      </c>
      <c r="D83" t="s">
        <v>88</v>
      </c>
      <c r="J83" t="s">
        <v>75</v>
      </c>
      <c r="K83" t="str">
        <f>IF(A83="","", IF(OR(SUMIF('Code Violations'!A:A, A83, 'Code Violations'!T:T)&gt;=5, VLOOKUP(A83, 'Master Dashboard'!A:L, 9, FALSE)="FAIL", VLOOKUP(A83, 'Master Dashboard'!A:L, 10, FALSE)="FAIL", ISNUMBER(SEARCH("Critical", J83))), "3-Red", IF(SUMIF('Code Violations'!A:A, A83, 'Code Violations'!T:T)&gt;=1, "2-Yellow", "1-White")))</f>
        <v>1-White</v>
      </c>
      <c r="L83" t="str">
        <f t="shared" si="2"/>
        <v>FAIL</v>
      </c>
    </row>
    <row r="84" spans="1:12" x14ac:dyDescent="0.25">
      <c r="A84" t="s">
        <v>245</v>
      </c>
      <c r="B84" t="s">
        <v>246</v>
      </c>
      <c r="C84" t="s">
        <v>214</v>
      </c>
      <c r="D84" t="s">
        <v>82</v>
      </c>
      <c r="J84" t="s">
        <v>75</v>
      </c>
      <c r="K84" t="str">
        <f>IF(A84="","", IF(OR(SUMIF('Code Violations'!A:A, A84, 'Code Violations'!T:T)&gt;=5, VLOOKUP(A84, 'Master Dashboard'!A:L, 9, FALSE)="FAIL", VLOOKUP(A84, 'Master Dashboard'!A:L, 10, FALSE)="FAIL", ISNUMBER(SEARCH("Critical", J84))), "3-Red", IF(SUMIF('Code Violations'!A:A, A84, 'Code Violations'!T:T)&gt;=1, "2-Yellow", "1-White")))</f>
        <v>1-White</v>
      </c>
      <c r="L84" t="str">
        <f t="shared" si="2"/>
        <v>FAIL</v>
      </c>
    </row>
    <row r="85" spans="1:12" x14ac:dyDescent="0.25">
      <c r="A85" t="s">
        <v>247</v>
      </c>
      <c r="B85" t="s">
        <v>106</v>
      </c>
      <c r="C85" t="s">
        <v>214</v>
      </c>
      <c r="D85" t="s">
        <v>104</v>
      </c>
      <c r="J85" t="s">
        <v>75</v>
      </c>
      <c r="K85" t="str">
        <f>IF(A85="","", IF(OR(SUMIF('Code Violations'!A:A, A85, 'Code Violations'!T:T)&gt;=5, VLOOKUP(A85, 'Master Dashboard'!A:L, 9, FALSE)="FAIL", VLOOKUP(A85, 'Master Dashboard'!A:L, 10, FALSE)="FAIL", ISNUMBER(SEARCH("Critical", J85))), "3-Red", IF(SUMIF('Code Violations'!A:A, A85, 'Code Violations'!T:T)&gt;=1, "2-Yellow", "1-White")))</f>
        <v>1-White</v>
      </c>
      <c r="L85" t="str">
        <f t="shared" si="2"/>
        <v>FAIL</v>
      </c>
    </row>
    <row r="86" spans="1:12" x14ac:dyDescent="0.25">
      <c r="A86" t="s">
        <v>248</v>
      </c>
      <c r="B86" t="s">
        <v>249</v>
      </c>
      <c r="C86" t="s">
        <v>214</v>
      </c>
      <c r="D86" t="s">
        <v>82</v>
      </c>
      <c r="J86" t="s">
        <v>75</v>
      </c>
      <c r="K86" t="str">
        <f>IF(A86="","", IF(OR(SUMIF('Code Violations'!A:A, A86, 'Code Violations'!T:T)&gt;=5, VLOOKUP(A86, 'Master Dashboard'!A:L, 9, FALSE)="FAIL", VLOOKUP(A86, 'Master Dashboard'!A:L, 10, FALSE)="FAIL", ISNUMBER(SEARCH("Critical", J86))), "3-Red", IF(SUMIF('Code Violations'!A:A, A86, 'Code Violations'!T:T)&gt;=1, "2-Yellow", "1-White")))</f>
        <v>1-White</v>
      </c>
      <c r="L86" t="str">
        <f t="shared" si="2"/>
        <v>FAIL</v>
      </c>
    </row>
    <row r="87" spans="1:12" x14ac:dyDescent="0.25">
      <c r="A87" t="s">
        <v>250</v>
      </c>
      <c r="B87" t="s">
        <v>251</v>
      </c>
      <c r="C87" t="s">
        <v>214</v>
      </c>
      <c r="D87" t="s">
        <v>82</v>
      </c>
      <c r="J87" t="s">
        <v>75</v>
      </c>
      <c r="K87" t="str">
        <f>IF(A87="","", IF(OR(SUMIF('Code Violations'!A:A, A87, 'Code Violations'!T:T)&gt;=5, VLOOKUP(A87, 'Master Dashboard'!A:L, 9, FALSE)="FAIL", VLOOKUP(A87, 'Master Dashboard'!A:L, 10, FALSE)="FAIL", ISNUMBER(SEARCH("Critical", J87))), "3-Red", IF(SUMIF('Code Violations'!A:A, A87, 'Code Violations'!T:T)&gt;=1, "2-Yellow", "1-White")))</f>
        <v>1-White</v>
      </c>
      <c r="L87" t="str">
        <f t="shared" si="2"/>
        <v>FAIL</v>
      </c>
    </row>
    <row r="88" spans="1:12" x14ac:dyDescent="0.25">
      <c r="A88" t="s">
        <v>252</v>
      </c>
      <c r="B88" t="s">
        <v>253</v>
      </c>
      <c r="C88" t="s">
        <v>214</v>
      </c>
      <c r="D88" t="s">
        <v>82</v>
      </c>
      <c r="J88" t="s">
        <v>75</v>
      </c>
      <c r="K88" t="str">
        <f>IF(A88="","", IF(OR(SUMIF('Code Violations'!A:A, A88, 'Code Violations'!T:T)&gt;=5, VLOOKUP(A88, 'Master Dashboard'!A:L, 9, FALSE)="FAIL", VLOOKUP(A88, 'Master Dashboard'!A:L, 10, FALSE)="FAIL", ISNUMBER(SEARCH("Critical", J88))), "3-Red", IF(SUMIF('Code Violations'!A:A, A88, 'Code Violations'!T:T)&gt;=1, "2-Yellow", "1-White")))</f>
        <v>1-White</v>
      </c>
      <c r="L88" t="str">
        <f t="shared" si="2"/>
        <v>FAIL</v>
      </c>
    </row>
    <row r="89" spans="1:12" x14ac:dyDescent="0.25">
      <c r="A89" t="s">
        <v>254</v>
      </c>
      <c r="B89" t="s">
        <v>255</v>
      </c>
      <c r="C89" t="s">
        <v>214</v>
      </c>
      <c r="D89" t="s">
        <v>82</v>
      </c>
      <c r="J89" t="s">
        <v>75</v>
      </c>
      <c r="K89" t="str">
        <f>IF(A89="","", IF(OR(SUMIF('Code Violations'!A:A, A89, 'Code Violations'!T:T)&gt;=5, VLOOKUP(A89, 'Master Dashboard'!A:L, 9, FALSE)="FAIL", VLOOKUP(A89, 'Master Dashboard'!A:L, 10, FALSE)="FAIL", ISNUMBER(SEARCH("Critical", J89))), "3-Red", IF(SUMIF('Code Violations'!A:A, A89, 'Code Violations'!T:T)&gt;=1, "2-Yellow", "1-White")))</f>
        <v>2-Yellow</v>
      </c>
      <c r="L89" t="str">
        <f t="shared" si="2"/>
        <v>FAIL</v>
      </c>
    </row>
    <row r="90" spans="1:12" x14ac:dyDescent="0.25">
      <c r="A90" t="s">
        <v>256</v>
      </c>
      <c r="B90" t="s">
        <v>257</v>
      </c>
      <c r="C90" t="s">
        <v>214</v>
      </c>
      <c r="D90" t="s">
        <v>82</v>
      </c>
      <c r="J90" t="s">
        <v>75</v>
      </c>
      <c r="K90" t="str">
        <f>IF(A90="","", IF(OR(SUMIF('Code Violations'!A:A, A90, 'Code Violations'!T:T)&gt;=5, VLOOKUP(A90, 'Master Dashboard'!A:L, 9, FALSE)="FAIL", VLOOKUP(A90, 'Master Dashboard'!A:L, 10, FALSE)="FAIL", ISNUMBER(SEARCH("Critical", J90))), "3-Red", IF(SUMIF('Code Violations'!A:A, A90, 'Code Violations'!T:T)&gt;=1, "2-Yellow", "1-White")))</f>
        <v>1-White</v>
      </c>
      <c r="L90" t="str">
        <f t="shared" si="2"/>
        <v>FAIL</v>
      </c>
    </row>
    <row r="91" spans="1:12" x14ac:dyDescent="0.25">
      <c r="A91" t="s">
        <v>258</v>
      </c>
      <c r="B91" t="s">
        <v>259</v>
      </c>
      <c r="C91" t="s">
        <v>214</v>
      </c>
      <c r="D91" t="s">
        <v>119</v>
      </c>
      <c r="J91" t="s">
        <v>75</v>
      </c>
      <c r="K91" t="str">
        <f>IF(A91="","", IF(OR(SUMIF('Code Violations'!A:A, A91, 'Code Violations'!T:T)&gt;=5, VLOOKUP(A91, 'Master Dashboard'!A:L, 9, FALSE)="FAIL", VLOOKUP(A91, 'Master Dashboard'!A:L, 10, FALSE)="FAIL", ISNUMBER(SEARCH("Critical", J91))), "3-Red", IF(SUMIF('Code Violations'!A:A, A91, 'Code Violations'!T:T)&gt;=1, "2-Yellow", "1-White")))</f>
        <v>1-White</v>
      </c>
      <c r="L91" t="str">
        <f t="shared" si="2"/>
        <v>FAIL</v>
      </c>
    </row>
    <row r="92" spans="1:12" x14ac:dyDescent="0.25">
      <c r="A92" t="s">
        <v>260</v>
      </c>
      <c r="B92" t="s">
        <v>261</v>
      </c>
      <c r="C92" t="s">
        <v>214</v>
      </c>
      <c r="D92" t="s">
        <v>119</v>
      </c>
      <c r="J92" t="s">
        <v>75</v>
      </c>
      <c r="K92" t="str">
        <f>IF(A92="","", IF(OR(SUMIF('Code Violations'!A:A, A92, 'Code Violations'!T:T)&gt;=5, VLOOKUP(A92, 'Master Dashboard'!A:L, 9, FALSE)="FAIL", VLOOKUP(A92, 'Master Dashboard'!A:L, 10, FALSE)="FAIL", ISNUMBER(SEARCH("Critical", J92))), "3-Red", IF(SUMIF('Code Violations'!A:A, A92, 'Code Violations'!T:T)&gt;=1, "2-Yellow", "1-White")))</f>
        <v>1-White</v>
      </c>
      <c r="L92" t="str">
        <f t="shared" si="2"/>
        <v>FAIL</v>
      </c>
    </row>
    <row r="93" spans="1:12" x14ac:dyDescent="0.25">
      <c r="A93" t="s">
        <v>262</v>
      </c>
      <c r="B93" t="s">
        <v>263</v>
      </c>
      <c r="C93" t="s">
        <v>264</v>
      </c>
      <c r="D93" t="s">
        <v>506</v>
      </c>
      <c r="J93" t="s">
        <v>75</v>
      </c>
      <c r="K93" t="str">
        <f>IF(A93="","", IF(OR(SUMIF('Code Violations'!A:A, A93, 'Code Violations'!T:T)&gt;=5, VLOOKUP(A93, 'Master Dashboard'!A:L, 9, FALSE)="FAIL", VLOOKUP(A93, 'Master Dashboard'!A:L, 10, FALSE)="FAIL", ISNUMBER(SEARCH("Critical", J93))), "3-Red", IF(SUMIF('Code Violations'!A:A, A93, 'Code Violations'!T:T)&gt;=1, "2-Yellow", "1-White")))</f>
        <v>1-White</v>
      </c>
      <c r="L93" t="str">
        <f t="shared" si="2"/>
        <v>FAIL</v>
      </c>
    </row>
    <row r="94" spans="1:12" x14ac:dyDescent="0.25">
      <c r="A94" t="s">
        <v>265</v>
      </c>
      <c r="B94" t="s">
        <v>266</v>
      </c>
      <c r="C94" t="s">
        <v>264</v>
      </c>
      <c r="D94" t="s">
        <v>506</v>
      </c>
      <c r="J94" t="s">
        <v>75</v>
      </c>
      <c r="K94" t="str">
        <f>IF(A94="","", IF(OR(SUMIF('Code Violations'!A:A, A94, 'Code Violations'!T:T)&gt;=5, VLOOKUP(A94, 'Master Dashboard'!A:L, 9, FALSE)="FAIL", VLOOKUP(A94, 'Master Dashboard'!A:L, 10, FALSE)="FAIL", ISNUMBER(SEARCH("Critical", J94))), "3-Red", IF(SUMIF('Code Violations'!A:A, A94, 'Code Violations'!T:T)&gt;=1, "2-Yellow", "1-White")))</f>
        <v>1-White</v>
      </c>
      <c r="L94" t="str">
        <f t="shared" si="2"/>
        <v>FAIL</v>
      </c>
    </row>
    <row r="95" spans="1:12" x14ac:dyDescent="0.25">
      <c r="A95" t="s">
        <v>267</v>
      </c>
      <c r="B95" t="s">
        <v>268</v>
      </c>
      <c r="C95" t="s">
        <v>264</v>
      </c>
      <c r="D95" t="s">
        <v>506</v>
      </c>
      <c r="J95" t="s">
        <v>75</v>
      </c>
      <c r="K95" t="str">
        <f>IF(A95="","", IF(OR(SUMIF('Code Violations'!A:A, A95, 'Code Violations'!T:T)&gt;=5, VLOOKUP(A95, 'Master Dashboard'!A:L, 9, FALSE)="FAIL", VLOOKUP(A95, 'Master Dashboard'!A:L, 10, FALSE)="FAIL", ISNUMBER(SEARCH("Critical", J95))), "3-Red", IF(SUMIF('Code Violations'!A:A, A95, 'Code Violations'!T:T)&gt;=1, "2-Yellow", "1-White")))</f>
        <v>1-White</v>
      </c>
      <c r="L95" t="str">
        <f t="shared" si="2"/>
        <v>FAIL</v>
      </c>
    </row>
    <row r="96" spans="1:12" x14ac:dyDescent="0.25">
      <c r="A96" t="s">
        <v>269</v>
      </c>
      <c r="B96" t="s">
        <v>270</v>
      </c>
      <c r="C96" t="s">
        <v>264</v>
      </c>
      <c r="D96" t="s">
        <v>506</v>
      </c>
      <c r="J96" t="s">
        <v>75</v>
      </c>
      <c r="K96" t="str">
        <f>IF(A96="","", IF(OR(SUMIF('Code Violations'!A:A, A96, 'Code Violations'!T:T)&gt;=5, VLOOKUP(A96, 'Master Dashboard'!A:L, 9, FALSE)="FAIL", VLOOKUP(A96, 'Master Dashboard'!A:L, 10, FALSE)="FAIL", ISNUMBER(SEARCH("Critical", J96))), "3-Red", IF(SUMIF('Code Violations'!A:A, A96, 'Code Violations'!T:T)&gt;=1, "2-Yellow", "1-White")))</f>
        <v>1-White</v>
      </c>
      <c r="L96" t="str">
        <f t="shared" si="2"/>
        <v>FAIL</v>
      </c>
    </row>
    <row r="97" spans="1:12" x14ac:dyDescent="0.25">
      <c r="A97" t="s">
        <v>271</v>
      </c>
      <c r="B97" t="s">
        <v>272</v>
      </c>
      <c r="C97" t="s">
        <v>264</v>
      </c>
      <c r="D97" t="s">
        <v>273</v>
      </c>
      <c r="J97" t="s">
        <v>75</v>
      </c>
      <c r="K97" t="str">
        <f>IF(A97="","", IF(OR(SUMIF('Code Violations'!A:A, A97, 'Code Violations'!T:T)&gt;=5, VLOOKUP(A97, 'Master Dashboard'!A:L, 9, FALSE)="FAIL", VLOOKUP(A97, 'Master Dashboard'!A:L, 10, FALSE)="FAIL", ISNUMBER(SEARCH("Critical", J97))), "3-Red", IF(SUMIF('Code Violations'!A:A, A97, 'Code Violations'!T:T)&gt;=1, "2-Yellow", "1-White")))</f>
        <v>3-Red</v>
      </c>
      <c r="L97" t="str">
        <f t="shared" si="2"/>
        <v>FAIL</v>
      </c>
    </row>
    <row r="98" spans="1:12" x14ac:dyDescent="0.25">
      <c r="A98" t="s">
        <v>274</v>
      </c>
      <c r="B98" t="s">
        <v>275</v>
      </c>
      <c r="C98" t="s">
        <v>264</v>
      </c>
      <c r="D98" t="s">
        <v>273</v>
      </c>
      <c r="J98" t="s">
        <v>75</v>
      </c>
      <c r="K98" t="str">
        <f>IF(A98="","", IF(OR(SUMIF('Code Violations'!A:A, A98, 'Code Violations'!T:T)&gt;=5, VLOOKUP(A98, 'Master Dashboard'!A:L, 9, FALSE)="FAIL", VLOOKUP(A98, 'Master Dashboard'!A:L, 10, FALSE)="FAIL", ISNUMBER(SEARCH("Critical", J98))), "3-Red", IF(SUMIF('Code Violations'!A:A, A98, 'Code Violations'!T:T)&gt;=1, "2-Yellow", "1-White")))</f>
        <v>1-White</v>
      </c>
      <c r="L98" t="str">
        <f t="shared" ref="L98:L129" si="3">IF(J98="","", IF(ISNUMBER(SEARCH("Critical", J98)), "CRITICAL FAIL", IF(ISNUMBER(SEARCH("Overdue", J98)), "FAIL", "COMPLIANT")))</f>
        <v>FAIL</v>
      </c>
    </row>
    <row r="99" spans="1:12" x14ac:dyDescent="0.25">
      <c r="A99" t="s">
        <v>276</v>
      </c>
      <c r="B99" t="s">
        <v>277</v>
      </c>
      <c r="C99" t="s">
        <v>264</v>
      </c>
      <c r="D99" t="s">
        <v>273</v>
      </c>
      <c r="J99" t="s">
        <v>75</v>
      </c>
      <c r="K99" t="str">
        <f>IF(A99="","", IF(OR(SUMIF('Code Violations'!A:A, A99, 'Code Violations'!T:T)&gt;=5, VLOOKUP(A99, 'Master Dashboard'!A:L, 9, FALSE)="FAIL", VLOOKUP(A99, 'Master Dashboard'!A:L, 10, FALSE)="FAIL", ISNUMBER(SEARCH("Critical", J99))), "3-Red", IF(SUMIF('Code Violations'!A:A, A99, 'Code Violations'!T:T)&gt;=1, "2-Yellow", "1-White")))</f>
        <v>1-White</v>
      </c>
      <c r="L99" t="str">
        <f t="shared" si="3"/>
        <v>FAIL</v>
      </c>
    </row>
    <row r="100" spans="1:12" x14ac:dyDescent="0.25">
      <c r="A100" t="s">
        <v>278</v>
      </c>
      <c r="B100" t="s">
        <v>279</v>
      </c>
      <c r="C100" t="s">
        <v>264</v>
      </c>
      <c r="D100" t="s">
        <v>82</v>
      </c>
      <c r="J100" t="s">
        <v>75</v>
      </c>
      <c r="K100" t="str">
        <f>IF(A100="","", IF(OR(SUMIF('Code Violations'!A:A, A100, 'Code Violations'!T:T)&gt;=5, VLOOKUP(A100, 'Master Dashboard'!A:L, 9, FALSE)="FAIL", VLOOKUP(A100, 'Master Dashboard'!A:L, 10, FALSE)="FAIL", ISNUMBER(SEARCH("Critical", J100))), "3-Red", IF(SUMIF('Code Violations'!A:A, A100, 'Code Violations'!T:T)&gt;=1, "2-Yellow", "1-White")))</f>
        <v>1-White</v>
      </c>
      <c r="L100" t="str">
        <f t="shared" si="3"/>
        <v>FAIL</v>
      </c>
    </row>
    <row r="101" spans="1:12" x14ac:dyDescent="0.25">
      <c r="A101" t="s">
        <v>280</v>
      </c>
      <c r="B101" t="s">
        <v>281</v>
      </c>
      <c r="C101" t="s">
        <v>264</v>
      </c>
      <c r="D101" t="s">
        <v>506</v>
      </c>
      <c r="J101" t="s">
        <v>75</v>
      </c>
      <c r="K101" t="str">
        <f>IF(A101="","", IF(OR(SUMIF('Code Violations'!A:A, A101, 'Code Violations'!T:T)&gt;=5, VLOOKUP(A101, 'Master Dashboard'!A:L, 9, FALSE)="FAIL", VLOOKUP(A101, 'Master Dashboard'!A:L, 10, FALSE)="FAIL", ISNUMBER(SEARCH("Critical", J101))), "3-Red", IF(SUMIF('Code Violations'!A:A, A101, 'Code Violations'!T:T)&gt;=1, "2-Yellow", "1-White")))</f>
        <v>1-White</v>
      </c>
      <c r="L101" t="str">
        <f t="shared" si="3"/>
        <v>FAIL</v>
      </c>
    </row>
    <row r="102" spans="1:12" x14ac:dyDescent="0.25">
      <c r="A102" t="s">
        <v>282</v>
      </c>
      <c r="B102" t="s">
        <v>283</v>
      </c>
      <c r="C102" t="s">
        <v>264</v>
      </c>
      <c r="D102" t="s">
        <v>506</v>
      </c>
      <c r="J102" t="s">
        <v>75</v>
      </c>
      <c r="K102" t="str">
        <f>IF(A102="","", IF(OR(SUMIF('Code Violations'!A:A, A102, 'Code Violations'!T:T)&gt;=5, VLOOKUP(A102, 'Master Dashboard'!A:L, 9, FALSE)="FAIL", VLOOKUP(A102, 'Master Dashboard'!A:L, 10, FALSE)="FAIL", ISNUMBER(SEARCH("Critical", J102))), "3-Red", IF(SUMIF('Code Violations'!A:A, A102, 'Code Violations'!T:T)&gt;=1, "2-Yellow", "1-White")))</f>
        <v>3-Red</v>
      </c>
      <c r="L102" t="str">
        <f t="shared" si="3"/>
        <v>FAIL</v>
      </c>
    </row>
    <row r="103" spans="1:12" x14ac:dyDescent="0.25">
      <c r="A103" t="s">
        <v>284</v>
      </c>
      <c r="B103" t="s">
        <v>285</v>
      </c>
      <c r="C103" t="s">
        <v>264</v>
      </c>
      <c r="D103" t="s">
        <v>506</v>
      </c>
      <c r="J103" t="s">
        <v>75</v>
      </c>
      <c r="K103" t="str">
        <f>IF(A103="","", IF(OR(SUMIF('Code Violations'!A:A, A103, 'Code Violations'!T:T)&gt;=5, VLOOKUP(A103, 'Master Dashboard'!A:L, 9, FALSE)="FAIL", VLOOKUP(A103, 'Master Dashboard'!A:L, 10, FALSE)="FAIL", ISNUMBER(SEARCH("Critical", J103))), "3-Red", IF(SUMIF('Code Violations'!A:A, A103, 'Code Violations'!T:T)&gt;=1, "2-Yellow", "1-White")))</f>
        <v>2-Yellow</v>
      </c>
      <c r="L103" t="str">
        <f t="shared" si="3"/>
        <v>FAIL</v>
      </c>
    </row>
    <row r="104" spans="1:12" x14ac:dyDescent="0.25">
      <c r="A104" t="s">
        <v>286</v>
      </c>
      <c r="B104" t="s">
        <v>145</v>
      </c>
      <c r="C104" t="s">
        <v>264</v>
      </c>
      <c r="D104" t="s">
        <v>506</v>
      </c>
      <c r="J104" t="s">
        <v>75</v>
      </c>
      <c r="K104" t="str">
        <f>IF(A104="","", IF(OR(SUMIF('Code Violations'!A:A, A104, 'Code Violations'!T:T)&gt;=5, VLOOKUP(A104, 'Master Dashboard'!A:L, 9, FALSE)="FAIL", VLOOKUP(A104, 'Master Dashboard'!A:L, 10, FALSE)="FAIL", ISNUMBER(SEARCH("Critical", J104))), "3-Red", IF(SUMIF('Code Violations'!A:A, A104, 'Code Violations'!T:T)&gt;=1, "2-Yellow", "1-White")))</f>
        <v>1-White</v>
      </c>
      <c r="L104" t="str">
        <f t="shared" si="3"/>
        <v>FAIL</v>
      </c>
    </row>
    <row r="105" spans="1:12" x14ac:dyDescent="0.25">
      <c r="A105" t="s">
        <v>287</v>
      </c>
      <c r="B105" t="s">
        <v>288</v>
      </c>
      <c r="C105" t="s">
        <v>264</v>
      </c>
      <c r="D105" t="s">
        <v>506</v>
      </c>
      <c r="J105" t="s">
        <v>75</v>
      </c>
      <c r="K105" t="str">
        <f>IF(A105="","", IF(OR(SUMIF('Code Violations'!A:A, A105, 'Code Violations'!T:T)&gt;=5, VLOOKUP(A105, 'Master Dashboard'!A:L, 9, FALSE)="FAIL", VLOOKUP(A105, 'Master Dashboard'!A:L, 10, FALSE)="FAIL", ISNUMBER(SEARCH("Critical", J105))), "3-Red", IF(SUMIF('Code Violations'!A:A, A105, 'Code Violations'!T:T)&gt;=1, "2-Yellow", "1-White")))</f>
        <v>1-White</v>
      </c>
      <c r="L105" t="str">
        <f t="shared" si="3"/>
        <v>FAIL</v>
      </c>
    </row>
    <row r="106" spans="1:12" x14ac:dyDescent="0.25">
      <c r="A106" t="s">
        <v>289</v>
      </c>
      <c r="B106" t="s">
        <v>290</v>
      </c>
      <c r="C106" t="s">
        <v>264</v>
      </c>
      <c r="D106" t="s">
        <v>506</v>
      </c>
      <c r="J106" t="s">
        <v>75</v>
      </c>
      <c r="K106" t="str">
        <f>IF(A106="","", IF(OR(SUMIF('Code Violations'!A:A, A106, 'Code Violations'!T:T)&gt;=5, VLOOKUP(A106, 'Master Dashboard'!A:L, 9, FALSE)="FAIL", VLOOKUP(A106, 'Master Dashboard'!A:L, 10, FALSE)="FAIL", ISNUMBER(SEARCH("Critical", J106))), "3-Red", IF(SUMIF('Code Violations'!A:A, A106, 'Code Violations'!T:T)&gt;=1, "2-Yellow", "1-White")))</f>
        <v>1-White</v>
      </c>
      <c r="L106" t="str">
        <f t="shared" si="3"/>
        <v>FAIL</v>
      </c>
    </row>
    <row r="107" spans="1:12" x14ac:dyDescent="0.25">
      <c r="A107" t="s">
        <v>291</v>
      </c>
      <c r="B107" t="s">
        <v>292</v>
      </c>
      <c r="C107" t="s">
        <v>264</v>
      </c>
      <c r="D107" t="s">
        <v>506</v>
      </c>
      <c r="J107" t="s">
        <v>75</v>
      </c>
      <c r="K107" t="str">
        <f>IF(A107="","", IF(OR(SUMIF('Code Violations'!A:A, A107, 'Code Violations'!T:T)&gt;=5, VLOOKUP(A107, 'Master Dashboard'!A:L, 9, FALSE)="FAIL", VLOOKUP(A107, 'Master Dashboard'!A:L, 10, FALSE)="FAIL", ISNUMBER(SEARCH("Critical", J107))), "3-Red", IF(SUMIF('Code Violations'!A:A, A107, 'Code Violations'!T:T)&gt;=1, "2-Yellow", "1-White")))</f>
        <v>1-White</v>
      </c>
      <c r="L107" t="str">
        <f t="shared" si="3"/>
        <v>FAIL</v>
      </c>
    </row>
    <row r="108" spans="1:12" x14ac:dyDescent="0.25">
      <c r="A108" t="s">
        <v>293</v>
      </c>
      <c r="B108" t="s">
        <v>294</v>
      </c>
      <c r="C108" t="s">
        <v>264</v>
      </c>
      <c r="D108" t="s">
        <v>506</v>
      </c>
      <c r="J108" t="s">
        <v>75</v>
      </c>
      <c r="K108" t="str">
        <f>IF(A108="","", IF(OR(SUMIF('Code Violations'!A:A, A108, 'Code Violations'!T:T)&gt;=5, VLOOKUP(A108, 'Master Dashboard'!A:L, 9, FALSE)="FAIL", VLOOKUP(A108, 'Master Dashboard'!A:L, 10, FALSE)="FAIL", ISNUMBER(SEARCH("Critical", J108))), "3-Red", IF(SUMIF('Code Violations'!A:A, A108, 'Code Violations'!T:T)&gt;=1, "2-Yellow", "1-White")))</f>
        <v>1-White</v>
      </c>
      <c r="L108" t="str">
        <f t="shared" si="3"/>
        <v>FAIL</v>
      </c>
    </row>
    <row r="109" spans="1:12" x14ac:dyDescent="0.25">
      <c r="A109" t="s">
        <v>295</v>
      </c>
      <c r="B109" t="s">
        <v>296</v>
      </c>
      <c r="C109" t="s">
        <v>264</v>
      </c>
      <c r="D109" t="s">
        <v>506</v>
      </c>
      <c r="J109" t="s">
        <v>75</v>
      </c>
      <c r="K109" t="str">
        <f>IF(A109="","", IF(OR(SUMIF('Code Violations'!A:A, A109, 'Code Violations'!T:T)&gt;=5, VLOOKUP(A109, 'Master Dashboard'!A:L, 9, FALSE)="FAIL", VLOOKUP(A109, 'Master Dashboard'!A:L, 10, FALSE)="FAIL", ISNUMBER(SEARCH("Critical", J109))), "3-Red", IF(SUMIF('Code Violations'!A:A, A109, 'Code Violations'!T:T)&gt;=1, "2-Yellow", "1-White")))</f>
        <v>1-White</v>
      </c>
      <c r="L109" t="str">
        <f t="shared" si="3"/>
        <v>FAIL</v>
      </c>
    </row>
    <row r="110" spans="1:12" x14ac:dyDescent="0.25">
      <c r="A110" t="s">
        <v>297</v>
      </c>
      <c r="B110" t="s">
        <v>298</v>
      </c>
      <c r="C110" t="s">
        <v>264</v>
      </c>
      <c r="D110" t="s">
        <v>506</v>
      </c>
      <c r="J110" t="s">
        <v>75</v>
      </c>
      <c r="K110" t="str">
        <f>IF(A110="","", IF(OR(SUMIF('Code Violations'!A:A, A110, 'Code Violations'!T:T)&gt;=5, VLOOKUP(A110, 'Master Dashboard'!A:L, 9, FALSE)="FAIL", VLOOKUP(A110, 'Master Dashboard'!A:L, 10, FALSE)="FAIL", ISNUMBER(SEARCH("Critical", J110))), "3-Red", IF(SUMIF('Code Violations'!A:A, A110, 'Code Violations'!T:T)&gt;=1, "2-Yellow", "1-White")))</f>
        <v>1-White</v>
      </c>
      <c r="L110" t="str">
        <f t="shared" si="3"/>
        <v>FAIL</v>
      </c>
    </row>
    <row r="111" spans="1:12" x14ac:dyDescent="0.25">
      <c r="A111" t="s">
        <v>299</v>
      </c>
      <c r="B111" t="s">
        <v>300</v>
      </c>
      <c r="C111" t="s">
        <v>264</v>
      </c>
      <c r="D111" t="s">
        <v>506</v>
      </c>
      <c r="J111" t="s">
        <v>75</v>
      </c>
      <c r="K111" t="str">
        <f>IF(A111="","", IF(OR(SUMIF('Code Violations'!A:A, A111, 'Code Violations'!T:T)&gt;=5, VLOOKUP(A111, 'Master Dashboard'!A:L, 9, FALSE)="FAIL", VLOOKUP(A111, 'Master Dashboard'!A:L, 10, FALSE)="FAIL", ISNUMBER(SEARCH("Critical", J111))), "3-Red", IF(SUMIF('Code Violations'!A:A, A111, 'Code Violations'!T:T)&gt;=1, "2-Yellow", "1-White")))</f>
        <v>1-White</v>
      </c>
      <c r="L111" t="str">
        <f t="shared" si="3"/>
        <v>FAIL</v>
      </c>
    </row>
    <row r="112" spans="1:12" x14ac:dyDescent="0.25">
      <c r="A112" t="s">
        <v>301</v>
      </c>
      <c r="B112" t="s">
        <v>302</v>
      </c>
      <c r="C112" t="s">
        <v>264</v>
      </c>
      <c r="D112" t="s">
        <v>506</v>
      </c>
      <c r="J112" t="s">
        <v>75</v>
      </c>
      <c r="K112" t="str">
        <f>IF(A112="","", IF(OR(SUMIF('Code Violations'!A:A, A112, 'Code Violations'!T:T)&gt;=5, VLOOKUP(A112, 'Master Dashboard'!A:L, 9, FALSE)="FAIL", VLOOKUP(A112, 'Master Dashboard'!A:L, 10, FALSE)="FAIL", ISNUMBER(SEARCH("Critical", J112))), "3-Red", IF(SUMIF('Code Violations'!A:A, A112, 'Code Violations'!T:T)&gt;=1, "2-Yellow", "1-White")))</f>
        <v>2-Yellow</v>
      </c>
      <c r="L112" t="str">
        <f t="shared" si="3"/>
        <v>FAIL</v>
      </c>
    </row>
    <row r="113" spans="1:12" x14ac:dyDescent="0.25">
      <c r="A113" t="s">
        <v>303</v>
      </c>
      <c r="B113" t="s">
        <v>304</v>
      </c>
      <c r="C113" t="s">
        <v>264</v>
      </c>
      <c r="D113" t="s">
        <v>101</v>
      </c>
      <c r="J113" t="s">
        <v>75</v>
      </c>
      <c r="K113" t="str">
        <f>IF(A113="","", IF(OR(SUMIF('Code Violations'!A:A, A113, 'Code Violations'!T:T)&gt;=5, VLOOKUP(A113, 'Master Dashboard'!A:L, 9, FALSE)="FAIL", VLOOKUP(A113, 'Master Dashboard'!A:L, 10, FALSE)="FAIL", ISNUMBER(SEARCH("Critical", J113))), "3-Red", IF(SUMIF('Code Violations'!A:A, A113, 'Code Violations'!T:T)&gt;=1, "2-Yellow", "1-White")))</f>
        <v>1-White</v>
      </c>
      <c r="L113" t="str">
        <f t="shared" si="3"/>
        <v>FAIL</v>
      </c>
    </row>
    <row r="114" spans="1:12" x14ac:dyDescent="0.25">
      <c r="A114" t="s">
        <v>305</v>
      </c>
      <c r="B114" t="s">
        <v>90</v>
      </c>
      <c r="C114" t="s">
        <v>264</v>
      </c>
      <c r="D114" t="s">
        <v>88</v>
      </c>
      <c r="J114" t="s">
        <v>75</v>
      </c>
      <c r="K114" t="str">
        <f>IF(A114="","", IF(OR(SUMIF('Code Violations'!A:A, A114, 'Code Violations'!T:T)&gt;=5, VLOOKUP(A114, 'Master Dashboard'!A:L, 9, FALSE)="FAIL", VLOOKUP(A114, 'Master Dashboard'!A:L, 10, FALSE)="FAIL", ISNUMBER(SEARCH("Critical", J114))), "3-Red", IF(SUMIF('Code Violations'!A:A, A114, 'Code Violations'!T:T)&gt;=1, "2-Yellow", "1-White")))</f>
        <v>1-White</v>
      </c>
      <c r="L114" t="str">
        <f t="shared" si="3"/>
        <v>FAIL</v>
      </c>
    </row>
    <row r="115" spans="1:12" x14ac:dyDescent="0.25">
      <c r="A115" t="s">
        <v>306</v>
      </c>
      <c r="B115" t="s">
        <v>307</v>
      </c>
      <c r="C115" t="s">
        <v>264</v>
      </c>
      <c r="D115" t="s">
        <v>82</v>
      </c>
      <c r="J115" t="s">
        <v>75</v>
      </c>
      <c r="K115" t="str">
        <f>IF(A115="","", IF(OR(SUMIF('Code Violations'!A:A, A115, 'Code Violations'!T:T)&gt;=5, VLOOKUP(A115, 'Master Dashboard'!A:L, 9, FALSE)="FAIL", VLOOKUP(A115, 'Master Dashboard'!A:L, 10, FALSE)="FAIL", ISNUMBER(SEARCH("Critical", J115))), "3-Red", IF(SUMIF('Code Violations'!A:A, A115, 'Code Violations'!T:T)&gt;=1, "2-Yellow", "1-White")))</f>
        <v>1-White</v>
      </c>
      <c r="L115" t="str">
        <f t="shared" si="3"/>
        <v>FAIL</v>
      </c>
    </row>
    <row r="116" spans="1:12" x14ac:dyDescent="0.25">
      <c r="A116" t="s">
        <v>308</v>
      </c>
      <c r="B116" t="s">
        <v>106</v>
      </c>
      <c r="C116" t="s">
        <v>264</v>
      </c>
      <c r="D116" t="s">
        <v>104</v>
      </c>
      <c r="J116" t="s">
        <v>75</v>
      </c>
      <c r="K116" t="str">
        <f>IF(A116="","", IF(OR(SUMIF('Code Violations'!A:A, A116, 'Code Violations'!T:T)&gt;=5, VLOOKUP(A116, 'Master Dashboard'!A:L, 9, FALSE)="FAIL", VLOOKUP(A116, 'Master Dashboard'!A:L, 10, FALSE)="FAIL", ISNUMBER(SEARCH("Critical", J116))), "3-Red", IF(SUMIF('Code Violations'!A:A, A116, 'Code Violations'!T:T)&gt;=1, "2-Yellow", "1-White")))</f>
        <v>1-White</v>
      </c>
      <c r="L116" t="str">
        <f t="shared" si="3"/>
        <v>FAIL</v>
      </c>
    </row>
    <row r="117" spans="1:12" x14ac:dyDescent="0.25">
      <c r="A117" t="s">
        <v>309</v>
      </c>
      <c r="B117" t="s">
        <v>310</v>
      </c>
      <c r="C117" t="s">
        <v>264</v>
      </c>
      <c r="D117" t="s">
        <v>506</v>
      </c>
      <c r="J117" t="s">
        <v>75</v>
      </c>
      <c r="K117" t="str">
        <f>IF(A117="","", IF(OR(SUMIF('Code Violations'!A:A, A117, 'Code Violations'!T:T)&gt;=5, VLOOKUP(A117, 'Master Dashboard'!A:L, 9, FALSE)="FAIL", VLOOKUP(A117, 'Master Dashboard'!A:L, 10, FALSE)="FAIL", ISNUMBER(SEARCH("Critical", J117))), "3-Red", IF(SUMIF('Code Violations'!A:A, A117, 'Code Violations'!T:T)&gt;=1, "2-Yellow", "1-White")))</f>
        <v>1-White</v>
      </c>
      <c r="L117" t="str">
        <f t="shared" si="3"/>
        <v>FAIL</v>
      </c>
    </row>
    <row r="118" spans="1:12" x14ac:dyDescent="0.25">
      <c r="A118" t="s">
        <v>311</v>
      </c>
      <c r="B118" t="s">
        <v>312</v>
      </c>
      <c r="C118" t="s">
        <v>264</v>
      </c>
      <c r="D118" t="s">
        <v>506</v>
      </c>
      <c r="J118" t="s">
        <v>75</v>
      </c>
      <c r="K118" t="str">
        <f>IF(A118="","", IF(OR(SUMIF('Code Violations'!A:A, A118, 'Code Violations'!T:T)&gt;=5, VLOOKUP(A118, 'Master Dashboard'!A:L, 9, FALSE)="FAIL", VLOOKUP(A118, 'Master Dashboard'!A:L, 10, FALSE)="FAIL", ISNUMBER(SEARCH("Critical", J118))), "3-Red", IF(SUMIF('Code Violations'!A:A, A118, 'Code Violations'!T:T)&gt;=1, "2-Yellow", "1-White")))</f>
        <v>1-White</v>
      </c>
      <c r="L118" t="str">
        <f t="shared" si="3"/>
        <v>FAIL</v>
      </c>
    </row>
    <row r="119" spans="1:12" x14ac:dyDescent="0.25">
      <c r="A119" t="s">
        <v>313</v>
      </c>
      <c r="B119" t="s">
        <v>314</v>
      </c>
      <c r="C119" t="s">
        <v>264</v>
      </c>
      <c r="D119" t="s">
        <v>506</v>
      </c>
      <c r="J119" t="s">
        <v>75</v>
      </c>
      <c r="K119" t="str">
        <f>IF(A119="","", IF(OR(SUMIF('Code Violations'!A:A, A119, 'Code Violations'!T:T)&gt;=5, VLOOKUP(A119, 'Master Dashboard'!A:L, 9, FALSE)="FAIL", VLOOKUP(A119, 'Master Dashboard'!A:L, 10, FALSE)="FAIL", ISNUMBER(SEARCH("Critical", J119))), "3-Red", IF(SUMIF('Code Violations'!A:A, A119, 'Code Violations'!T:T)&gt;=1, "2-Yellow", "1-White")))</f>
        <v>1-White</v>
      </c>
      <c r="L119" t="str">
        <f t="shared" si="3"/>
        <v>FAIL</v>
      </c>
    </row>
    <row r="120" spans="1:12" x14ac:dyDescent="0.25">
      <c r="A120" t="s">
        <v>315</v>
      </c>
      <c r="B120" t="s">
        <v>316</v>
      </c>
      <c r="C120" t="s">
        <v>264</v>
      </c>
      <c r="D120" t="s">
        <v>506</v>
      </c>
      <c r="J120" t="s">
        <v>75</v>
      </c>
      <c r="K120" t="str">
        <f>IF(A120="","", IF(OR(SUMIF('Code Violations'!A:A, A120, 'Code Violations'!T:T)&gt;=5, VLOOKUP(A120, 'Master Dashboard'!A:L, 9, FALSE)="FAIL", VLOOKUP(A120, 'Master Dashboard'!A:L, 10, FALSE)="FAIL", ISNUMBER(SEARCH("Critical", J120))), "3-Red", IF(SUMIF('Code Violations'!A:A, A120, 'Code Violations'!T:T)&gt;=1, "2-Yellow", "1-White")))</f>
        <v>2-Yellow</v>
      </c>
      <c r="L120" t="str">
        <f t="shared" si="3"/>
        <v>FAIL</v>
      </c>
    </row>
    <row r="121" spans="1:12" x14ac:dyDescent="0.25">
      <c r="A121" t="s">
        <v>317</v>
      </c>
      <c r="B121" t="s">
        <v>318</v>
      </c>
      <c r="C121" t="s">
        <v>264</v>
      </c>
      <c r="D121" t="s">
        <v>506</v>
      </c>
      <c r="J121" t="s">
        <v>75</v>
      </c>
      <c r="K121" t="str">
        <f>IF(A121="","", IF(OR(SUMIF('Code Violations'!A:A, A121, 'Code Violations'!T:T)&gt;=5, VLOOKUP(A121, 'Master Dashboard'!A:L, 9, FALSE)="FAIL", VLOOKUP(A121, 'Master Dashboard'!A:L, 10, FALSE)="FAIL", ISNUMBER(SEARCH("Critical", J121))), "3-Red", IF(SUMIF('Code Violations'!A:A, A121, 'Code Violations'!T:T)&gt;=1, "2-Yellow", "1-White")))</f>
        <v>1-White</v>
      </c>
      <c r="L121" t="str">
        <f t="shared" si="3"/>
        <v>FAIL</v>
      </c>
    </row>
    <row r="122" spans="1:12" x14ac:dyDescent="0.25">
      <c r="A122" t="s">
        <v>319</v>
      </c>
      <c r="B122" t="s">
        <v>320</v>
      </c>
      <c r="C122" t="s">
        <v>264</v>
      </c>
      <c r="D122" t="s">
        <v>506</v>
      </c>
      <c r="J122" t="s">
        <v>75</v>
      </c>
      <c r="K122" t="str">
        <f>IF(A122="","", IF(OR(SUMIF('Code Violations'!A:A, A122, 'Code Violations'!T:T)&gt;=5, VLOOKUP(A122, 'Master Dashboard'!A:L, 9, FALSE)="FAIL", VLOOKUP(A122, 'Master Dashboard'!A:L, 10, FALSE)="FAIL", ISNUMBER(SEARCH("Critical", J122))), "3-Red", IF(SUMIF('Code Violations'!A:A, A122, 'Code Violations'!T:T)&gt;=1, "2-Yellow", "1-White")))</f>
        <v>1-White</v>
      </c>
      <c r="L122" t="str">
        <f t="shared" si="3"/>
        <v>FAIL</v>
      </c>
    </row>
    <row r="123" spans="1:12" x14ac:dyDescent="0.25">
      <c r="A123" t="s">
        <v>321</v>
      </c>
      <c r="B123" t="s">
        <v>322</v>
      </c>
      <c r="C123" t="s">
        <v>264</v>
      </c>
      <c r="D123" t="s">
        <v>101</v>
      </c>
      <c r="J123" t="s">
        <v>75</v>
      </c>
      <c r="K123" t="str">
        <f>IF(A123="","", IF(OR(SUMIF('Code Violations'!A:A, A123, 'Code Violations'!T:T)&gt;=5, VLOOKUP(A123, 'Master Dashboard'!A:L, 9, FALSE)="FAIL", VLOOKUP(A123, 'Master Dashboard'!A:L, 10, FALSE)="FAIL", ISNUMBER(SEARCH("Critical", J123))), "3-Red", IF(SUMIF('Code Violations'!A:A, A123, 'Code Violations'!T:T)&gt;=1, "2-Yellow", "1-White")))</f>
        <v>3-Red</v>
      </c>
      <c r="L123" t="str">
        <f t="shared" si="3"/>
        <v>FAIL</v>
      </c>
    </row>
    <row r="124" spans="1:12" x14ac:dyDescent="0.25">
      <c r="A124" t="s">
        <v>323</v>
      </c>
      <c r="B124" t="s">
        <v>324</v>
      </c>
      <c r="C124" t="s">
        <v>264</v>
      </c>
      <c r="D124" t="s">
        <v>506</v>
      </c>
      <c r="J124" t="s">
        <v>75</v>
      </c>
      <c r="K124" t="str">
        <f>IF(A124="","", IF(OR(SUMIF('Code Violations'!A:A, A124, 'Code Violations'!T:T)&gt;=5, VLOOKUP(A124, 'Master Dashboard'!A:L, 9, FALSE)="FAIL", VLOOKUP(A124, 'Master Dashboard'!A:L, 10, FALSE)="FAIL", ISNUMBER(SEARCH("Critical", J124))), "3-Red", IF(SUMIF('Code Violations'!A:A, A124, 'Code Violations'!T:T)&gt;=1, "2-Yellow", "1-White")))</f>
        <v>1-White</v>
      </c>
      <c r="L124" t="str">
        <f t="shared" si="3"/>
        <v>FAIL</v>
      </c>
    </row>
    <row r="125" spans="1:12" x14ac:dyDescent="0.25">
      <c r="A125" t="s">
        <v>325</v>
      </c>
      <c r="B125" t="s">
        <v>326</v>
      </c>
      <c r="C125" t="s">
        <v>264</v>
      </c>
      <c r="D125" t="s">
        <v>506</v>
      </c>
      <c r="J125" t="s">
        <v>75</v>
      </c>
      <c r="K125" t="str">
        <f>IF(A125="","", IF(OR(SUMIF('Code Violations'!A:A, A125, 'Code Violations'!T:T)&gt;=5, VLOOKUP(A125, 'Master Dashboard'!A:L, 9, FALSE)="FAIL", VLOOKUP(A125, 'Master Dashboard'!A:L, 10, FALSE)="FAIL", ISNUMBER(SEARCH("Critical", J125))), "3-Red", IF(SUMIF('Code Violations'!A:A, A125, 'Code Violations'!T:T)&gt;=1, "2-Yellow", "1-White")))</f>
        <v>1-White</v>
      </c>
      <c r="L125" t="str">
        <f t="shared" si="3"/>
        <v>FAIL</v>
      </c>
    </row>
    <row r="126" spans="1:12" x14ac:dyDescent="0.25">
      <c r="A126" t="s">
        <v>327</v>
      </c>
      <c r="B126" t="s">
        <v>328</v>
      </c>
      <c r="C126" t="s">
        <v>264</v>
      </c>
      <c r="D126" t="s">
        <v>82</v>
      </c>
      <c r="J126" t="s">
        <v>75</v>
      </c>
      <c r="K126" t="str">
        <f>IF(A126="","", IF(OR(SUMIF('Code Violations'!A:A, A126, 'Code Violations'!T:T)&gt;=5, VLOOKUP(A126, 'Master Dashboard'!A:L, 9, FALSE)="FAIL", VLOOKUP(A126, 'Master Dashboard'!A:L, 10, FALSE)="FAIL", ISNUMBER(SEARCH("Critical", J126))), "3-Red", IF(SUMIF('Code Violations'!A:A, A126, 'Code Violations'!T:T)&gt;=1, "2-Yellow", "1-White")))</f>
        <v>1-White</v>
      </c>
      <c r="L126" t="str">
        <f t="shared" si="3"/>
        <v>FAIL</v>
      </c>
    </row>
    <row r="127" spans="1:12" x14ac:dyDescent="0.25">
      <c r="A127" t="s">
        <v>329</v>
      </c>
      <c r="B127" t="s">
        <v>330</v>
      </c>
      <c r="C127" t="s">
        <v>264</v>
      </c>
      <c r="D127" t="s">
        <v>506</v>
      </c>
      <c r="J127" t="s">
        <v>75</v>
      </c>
      <c r="K127" t="str">
        <f>IF(A127="","", IF(OR(SUMIF('Code Violations'!A:A, A127, 'Code Violations'!T:T)&gt;=5, VLOOKUP(A127, 'Master Dashboard'!A:L, 9, FALSE)="FAIL", VLOOKUP(A127, 'Master Dashboard'!A:L, 10, FALSE)="FAIL", ISNUMBER(SEARCH("Critical", J127))), "3-Red", IF(SUMIF('Code Violations'!A:A, A127, 'Code Violations'!T:T)&gt;=1, "2-Yellow", "1-White")))</f>
        <v>1-White</v>
      </c>
      <c r="L127" t="str">
        <f t="shared" si="3"/>
        <v>FAIL</v>
      </c>
    </row>
    <row r="128" spans="1:12" x14ac:dyDescent="0.25">
      <c r="A128" t="s">
        <v>331</v>
      </c>
      <c r="B128" t="s">
        <v>332</v>
      </c>
      <c r="C128" t="s">
        <v>333</v>
      </c>
      <c r="D128" t="s">
        <v>506</v>
      </c>
      <c r="J128" t="s">
        <v>75</v>
      </c>
      <c r="K128" t="str">
        <f>IF(A128="","", IF(OR(SUMIF('Code Violations'!A:A, A128, 'Code Violations'!T:T)&gt;=5, VLOOKUP(A128, 'Master Dashboard'!A:L, 9, FALSE)="FAIL", VLOOKUP(A128, 'Master Dashboard'!A:L, 10, FALSE)="FAIL", ISNUMBER(SEARCH("Critical", J128))), "3-Red", IF(SUMIF('Code Violations'!A:A, A128, 'Code Violations'!T:T)&gt;=1, "2-Yellow", "1-White")))</f>
        <v>1-White</v>
      </c>
      <c r="L128" t="str">
        <f t="shared" si="3"/>
        <v>FAIL</v>
      </c>
    </row>
    <row r="129" spans="1:12" x14ac:dyDescent="0.25">
      <c r="A129" t="s">
        <v>334</v>
      </c>
      <c r="B129" t="s">
        <v>335</v>
      </c>
      <c r="C129" t="s">
        <v>196</v>
      </c>
      <c r="D129" t="s">
        <v>506</v>
      </c>
      <c r="J129" t="s">
        <v>75</v>
      </c>
      <c r="K129" t="str">
        <f>IF(A129="","", IF(OR(SUMIF('Code Violations'!A:A, A129, 'Code Violations'!T:T)&gt;=5, VLOOKUP(A129, 'Master Dashboard'!A:L, 9, FALSE)="FAIL", VLOOKUP(A129, 'Master Dashboard'!A:L, 10, FALSE)="FAIL", ISNUMBER(SEARCH("Critical", J129))), "3-Red", IF(SUMIF('Code Violations'!A:A, A129, 'Code Violations'!T:T)&gt;=1, "2-Yellow", "1-White")))</f>
        <v>1-White</v>
      </c>
      <c r="L129" t="str">
        <f t="shared" si="3"/>
        <v>FAIL</v>
      </c>
    </row>
    <row r="130" spans="1:12" x14ac:dyDescent="0.25">
      <c r="A130" t="s">
        <v>336</v>
      </c>
      <c r="B130" t="s">
        <v>337</v>
      </c>
      <c r="C130" t="s">
        <v>196</v>
      </c>
      <c r="D130" t="s">
        <v>506</v>
      </c>
      <c r="J130" t="s">
        <v>75</v>
      </c>
      <c r="K130" t="str">
        <f>IF(A130="","", IF(OR(SUMIF('Code Violations'!A:A, A130, 'Code Violations'!T:T)&gt;=5, VLOOKUP(A130, 'Master Dashboard'!A:L, 9, FALSE)="FAIL", VLOOKUP(A130, 'Master Dashboard'!A:L, 10, FALSE)="FAIL", ISNUMBER(SEARCH("Critical", J130))), "3-Red", IF(SUMIF('Code Violations'!A:A, A130, 'Code Violations'!T:T)&gt;=1, "2-Yellow", "1-White")))</f>
        <v>1-White</v>
      </c>
      <c r="L130" t="str">
        <f t="shared" ref="L130:L160" si="4">IF(J130="","", IF(ISNUMBER(SEARCH("Critical", J130)), "CRITICAL FAIL", IF(ISNUMBER(SEARCH("Overdue", J130)), "FAIL", "COMPLIANT")))</f>
        <v>FAIL</v>
      </c>
    </row>
    <row r="131" spans="1:12" x14ac:dyDescent="0.25">
      <c r="A131" t="s">
        <v>338</v>
      </c>
      <c r="B131" t="s">
        <v>339</v>
      </c>
      <c r="C131" t="s">
        <v>340</v>
      </c>
      <c r="D131" t="s">
        <v>82</v>
      </c>
      <c r="J131" t="s">
        <v>75</v>
      </c>
      <c r="K131" t="str">
        <f>IF(A131="","", IF(OR(SUMIF('Code Violations'!A:A, A131, 'Code Violations'!T:T)&gt;=5, VLOOKUP(A131, 'Master Dashboard'!A:L, 9, FALSE)="FAIL", VLOOKUP(A131, 'Master Dashboard'!A:L, 10, FALSE)="FAIL", ISNUMBER(SEARCH("Critical", J131))), "3-Red", IF(SUMIF('Code Violations'!A:A, A131, 'Code Violations'!T:T)&gt;=1, "2-Yellow", "1-White")))</f>
        <v>1-White</v>
      </c>
      <c r="L131" t="str">
        <f t="shared" si="4"/>
        <v>FAIL</v>
      </c>
    </row>
    <row r="132" spans="1:12" x14ac:dyDescent="0.25">
      <c r="A132" t="s">
        <v>341</v>
      </c>
      <c r="B132" t="s">
        <v>342</v>
      </c>
      <c r="C132" t="s">
        <v>340</v>
      </c>
      <c r="D132" t="s">
        <v>88</v>
      </c>
      <c r="J132" t="s">
        <v>75</v>
      </c>
      <c r="K132" t="str">
        <f>IF(A132="","", IF(OR(SUMIF('Code Violations'!A:A, A132, 'Code Violations'!T:T)&gt;=5, VLOOKUP(A132, 'Master Dashboard'!A:L, 9, FALSE)="FAIL", VLOOKUP(A132, 'Master Dashboard'!A:L, 10, FALSE)="FAIL", ISNUMBER(SEARCH("Critical", J132))), "3-Red", IF(SUMIF('Code Violations'!A:A, A132, 'Code Violations'!T:T)&gt;=1, "2-Yellow", "1-White")))</f>
        <v>1-White</v>
      </c>
      <c r="L132" t="str">
        <f t="shared" si="4"/>
        <v>FAIL</v>
      </c>
    </row>
    <row r="133" spans="1:12" x14ac:dyDescent="0.25">
      <c r="A133" t="s">
        <v>343</v>
      </c>
      <c r="B133" t="s">
        <v>344</v>
      </c>
      <c r="C133" t="s">
        <v>345</v>
      </c>
      <c r="D133" t="s">
        <v>346</v>
      </c>
      <c r="J133" t="s">
        <v>75</v>
      </c>
      <c r="K133" t="str">
        <f>IF(A133="","", IF(OR(SUMIF('Code Violations'!A:A, A133, 'Code Violations'!T:T)&gt;=5, VLOOKUP(A133, 'Master Dashboard'!A:L, 9, FALSE)="FAIL", VLOOKUP(A133, 'Master Dashboard'!A:L, 10, FALSE)="FAIL", ISNUMBER(SEARCH("Critical", J133))), "3-Red", IF(SUMIF('Code Violations'!A:A, A133, 'Code Violations'!T:T)&gt;=1, "2-Yellow", "1-White")))</f>
        <v>1-White</v>
      </c>
      <c r="L133" t="str">
        <f t="shared" si="4"/>
        <v>FAIL</v>
      </c>
    </row>
    <row r="134" spans="1:12" x14ac:dyDescent="0.25">
      <c r="A134" t="s">
        <v>347</v>
      </c>
      <c r="B134" t="s">
        <v>348</v>
      </c>
      <c r="C134" t="s">
        <v>345</v>
      </c>
      <c r="D134" t="s">
        <v>346</v>
      </c>
      <c r="J134" t="s">
        <v>75</v>
      </c>
      <c r="K134" t="str">
        <f>IF(A134="","", IF(OR(SUMIF('Code Violations'!A:A, A134, 'Code Violations'!T:T)&gt;=5, VLOOKUP(A134, 'Master Dashboard'!A:L, 9, FALSE)="FAIL", VLOOKUP(A134, 'Master Dashboard'!A:L, 10, FALSE)="FAIL", ISNUMBER(SEARCH("Critical", J134))), "3-Red", IF(SUMIF('Code Violations'!A:A, A134, 'Code Violations'!T:T)&gt;=1, "2-Yellow", "1-White")))</f>
        <v>1-White</v>
      </c>
      <c r="L134" t="str">
        <f t="shared" si="4"/>
        <v>FAIL</v>
      </c>
    </row>
    <row r="135" spans="1:12" x14ac:dyDescent="0.25">
      <c r="A135" t="s">
        <v>349</v>
      </c>
      <c r="B135" t="s">
        <v>350</v>
      </c>
      <c r="C135" t="s">
        <v>345</v>
      </c>
      <c r="D135" t="s">
        <v>346</v>
      </c>
      <c r="J135" t="s">
        <v>75</v>
      </c>
      <c r="K135" t="str">
        <f>IF(A135="","", IF(OR(SUMIF('Code Violations'!A:A, A135, 'Code Violations'!T:T)&gt;=5, VLOOKUP(A135, 'Master Dashboard'!A:L, 9, FALSE)="FAIL", VLOOKUP(A135, 'Master Dashboard'!A:L, 10, FALSE)="FAIL", ISNUMBER(SEARCH("Critical", J135))), "3-Red", IF(SUMIF('Code Violations'!A:A, A135, 'Code Violations'!T:T)&gt;=1, "2-Yellow", "1-White")))</f>
        <v>1-White</v>
      </c>
      <c r="L135" t="str">
        <f t="shared" si="4"/>
        <v>FAIL</v>
      </c>
    </row>
    <row r="136" spans="1:12" x14ac:dyDescent="0.25">
      <c r="A136" t="s">
        <v>351</v>
      </c>
      <c r="B136" t="s">
        <v>352</v>
      </c>
      <c r="C136" t="s">
        <v>345</v>
      </c>
      <c r="D136" t="s">
        <v>346</v>
      </c>
      <c r="J136" t="s">
        <v>75</v>
      </c>
      <c r="K136" t="str">
        <f>IF(A136="","", IF(OR(SUMIF('Code Violations'!A:A, A136, 'Code Violations'!T:T)&gt;=5, VLOOKUP(A136, 'Master Dashboard'!A:L, 9, FALSE)="FAIL", VLOOKUP(A136, 'Master Dashboard'!A:L, 10, FALSE)="FAIL", ISNUMBER(SEARCH("Critical", J136))), "3-Red", IF(SUMIF('Code Violations'!A:A, A136, 'Code Violations'!T:T)&gt;=1, "2-Yellow", "1-White")))</f>
        <v>1-White</v>
      </c>
      <c r="L136" t="str">
        <f t="shared" si="4"/>
        <v>FAIL</v>
      </c>
    </row>
    <row r="137" spans="1:12" x14ac:dyDescent="0.25">
      <c r="A137" t="s">
        <v>353</v>
      </c>
      <c r="B137" t="s">
        <v>354</v>
      </c>
      <c r="C137" t="s">
        <v>345</v>
      </c>
      <c r="D137" t="s">
        <v>82</v>
      </c>
      <c r="J137" t="s">
        <v>75</v>
      </c>
      <c r="K137" t="str">
        <f>IF(A137="","", IF(OR(SUMIF('Code Violations'!A:A, A137, 'Code Violations'!T:T)&gt;=5, VLOOKUP(A137, 'Master Dashboard'!A:L, 9, FALSE)="FAIL", VLOOKUP(A137, 'Master Dashboard'!A:L, 10, FALSE)="FAIL", ISNUMBER(SEARCH("Critical", J137))), "3-Red", IF(SUMIF('Code Violations'!A:A, A137, 'Code Violations'!T:T)&gt;=1, "2-Yellow", "1-White")))</f>
        <v>1-White</v>
      </c>
      <c r="L137" t="str">
        <f t="shared" si="4"/>
        <v>FAIL</v>
      </c>
    </row>
    <row r="138" spans="1:12" x14ac:dyDescent="0.25">
      <c r="A138" t="s">
        <v>355</v>
      </c>
      <c r="B138" t="s">
        <v>356</v>
      </c>
      <c r="C138" t="s">
        <v>345</v>
      </c>
      <c r="D138" t="s">
        <v>506</v>
      </c>
      <c r="J138" t="s">
        <v>75</v>
      </c>
      <c r="K138" t="str">
        <f>IF(A138="","", IF(OR(SUMIF('Code Violations'!A:A, A138, 'Code Violations'!T:T)&gt;=5, VLOOKUP(A138, 'Master Dashboard'!A:L, 9, FALSE)="FAIL", VLOOKUP(A138, 'Master Dashboard'!A:L, 10, FALSE)="FAIL", ISNUMBER(SEARCH("Critical", J138))), "3-Red", IF(SUMIF('Code Violations'!A:A, A138, 'Code Violations'!T:T)&gt;=1, "2-Yellow", "1-White")))</f>
        <v>3-Red</v>
      </c>
      <c r="L138" t="str">
        <f t="shared" si="4"/>
        <v>FAIL</v>
      </c>
    </row>
    <row r="139" spans="1:12" x14ac:dyDescent="0.25">
      <c r="A139" t="s">
        <v>357</v>
      </c>
      <c r="B139" t="s">
        <v>358</v>
      </c>
      <c r="C139" t="s">
        <v>345</v>
      </c>
      <c r="D139" t="s">
        <v>506</v>
      </c>
      <c r="J139" t="s">
        <v>75</v>
      </c>
      <c r="K139" t="str">
        <f>IF(A139="","", IF(OR(SUMIF('Code Violations'!A:A, A139, 'Code Violations'!T:T)&gt;=5, VLOOKUP(A139, 'Master Dashboard'!A:L, 9, FALSE)="FAIL", VLOOKUP(A139, 'Master Dashboard'!A:L, 10, FALSE)="FAIL", ISNUMBER(SEARCH("Critical", J139))), "3-Red", IF(SUMIF('Code Violations'!A:A, A139, 'Code Violations'!T:T)&gt;=1, "2-Yellow", "1-White")))</f>
        <v>1-White</v>
      </c>
      <c r="L139" t="str">
        <f t="shared" si="4"/>
        <v>FAIL</v>
      </c>
    </row>
    <row r="140" spans="1:12" x14ac:dyDescent="0.25">
      <c r="A140" t="s">
        <v>359</v>
      </c>
      <c r="B140" t="s">
        <v>358</v>
      </c>
      <c r="C140" t="s">
        <v>345</v>
      </c>
      <c r="D140" t="s">
        <v>506</v>
      </c>
      <c r="J140" t="s">
        <v>75</v>
      </c>
      <c r="K140" t="str">
        <f>IF(A140="","", IF(OR(SUMIF('Code Violations'!A:A, A140, 'Code Violations'!T:T)&gt;=5, VLOOKUP(A140, 'Master Dashboard'!A:L, 9, FALSE)="FAIL", VLOOKUP(A140, 'Master Dashboard'!A:L, 10, FALSE)="FAIL", ISNUMBER(SEARCH("Critical", J140))), "3-Red", IF(SUMIF('Code Violations'!A:A, A140, 'Code Violations'!T:T)&gt;=1, "2-Yellow", "1-White")))</f>
        <v>1-White</v>
      </c>
      <c r="L140" t="str">
        <f t="shared" si="4"/>
        <v>FAIL</v>
      </c>
    </row>
    <row r="141" spans="1:12" x14ac:dyDescent="0.25">
      <c r="A141" t="s">
        <v>360</v>
      </c>
      <c r="B141" t="s">
        <v>358</v>
      </c>
      <c r="C141" t="s">
        <v>361</v>
      </c>
      <c r="D141" t="s">
        <v>82</v>
      </c>
      <c r="J141" t="s">
        <v>75</v>
      </c>
      <c r="K141" t="str">
        <f>IF(A141="","", IF(OR(SUMIF('Code Violations'!A:A, A141, 'Code Violations'!T:T)&gt;=5, VLOOKUP(A141, 'Master Dashboard'!A:L, 9, FALSE)="FAIL", VLOOKUP(A141, 'Master Dashboard'!A:L, 10, FALSE)="FAIL", ISNUMBER(SEARCH("Critical", J141))), "3-Red", IF(SUMIF('Code Violations'!A:A, A141, 'Code Violations'!T:T)&gt;=1, "2-Yellow", "1-White")))</f>
        <v>1-White</v>
      </c>
      <c r="L141" t="str">
        <f t="shared" si="4"/>
        <v>FAIL</v>
      </c>
    </row>
    <row r="142" spans="1:12" x14ac:dyDescent="0.25">
      <c r="A142" t="s">
        <v>362</v>
      </c>
      <c r="B142" t="s">
        <v>358</v>
      </c>
      <c r="C142" t="s">
        <v>361</v>
      </c>
      <c r="D142" t="s">
        <v>346</v>
      </c>
      <c r="J142" t="s">
        <v>75</v>
      </c>
      <c r="K142" t="str">
        <f>IF(A142="","", IF(OR(SUMIF('Code Violations'!A:A, A142, 'Code Violations'!T:T)&gt;=5, VLOOKUP(A142, 'Master Dashboard'!A:L, 9, FALSE)="FAIL", VLOOKUP(A142, 'Master Dashboard'!A:L, 10, FALSE)="FAIL", ISNUMBER(SEARCH("Critical", J142))), "3-Red", IF(SUMIF('Code Violations'!A:A, A142, 'Code Violations'!T:T)&gt;=1, "2-Yellow", "1-White")))</f>
        <v>1-White</v>
      </c>
      <c r="L142" t="str">
        <f t="shared" si="4"/>
        <v>FAIL</v>
      </c>
    </row>
    <row r="143" spans="1:12" x14ac:dyDescent="0.25">
      <c r="A143" t="s">
        <v>363</v>
      </c>
      <c r="C143" t="s">
        <v>361</v>
      </c>
      <c r="D143" t="s">
        <v>506</v>
      </c>
      <c r="J143" t="s">
        <v>75</v>
      </c>
      <c r="K143" t="str">
        <f>IF(A143="","", IF(OR(SUMIF('Code Violations'!A:A, A143, 'Code Violations'!T:T)&gt;=5, VLOOKUP(A143, 'Master Dashboard'!A:L, 9, FALSE)="FAIL", VLOOKUP(A143, 'Master Dashboard'!A:L, 10, FALSE)="FAIL", ISNUMBER(SEARCH("Critical", J143))), "3-Red", IF(SUMIF('Code Violations'!A:A, A143, 'Code Violations'!T:T)&gt;=1, "2-Yellow", "1-White")))</f>
        <v>1-White</v>
      </c>
      <c r="L143" t="str">
        <f t="shared" si="4"/>
        <v>FAIL</v>
      </c>
    </row>
    <row r="144" spans="1:12" x14ac:dyDescent="0.25">
      <c r="A144" t="s">
        <v>364</v>
      </c>
      <c r="C144" t="s">
        <v>361</v>
      </c>
      <c r="D144" t="s">
        <v>506</v>
      </c>
      <c r="J144" t="s">
        <v>75</v>
      </c>
      <c r="K144" t="str">
        <f>IF(A144="","", IF(OR(SUMIF('Code Violations'!A:A, A144, 'Code Violations'!T:T)&gt;=5, VLOOKUP(A144, 'Master Dashboard'!A:L, 9, FALSE)="FAIL", VLOOKUP(A144, 'Master Dashboard'!A:L, 10, FALSE)="FAIL", ISNUMBER(SEARCH("Critical", J144))), "3-Red", IF(SUMIF('Code Violations'!A:A, A144, 'Code Violations'!T:T)&gt;=1, "2-Yellow", "1-White")))</f>
        <v>1-White</v>
      </c>
      <c r="L144" t="str">
        <f t="shared" si="4"/>
        <v>FAIL</v>
      </c>
    </row>
    <row r="145" spans="1:12" x14ac:dyDescent="0.25">
      <c r="A145" t="s">
        <v>365</v>
      </c>
      <c r="B145" t="s">
        <v>366</v>
      </c>
      <c r="C145" t="s">
        <v>367</v>
      </c>
      <c r="D145" t="s">
        <v>82</v>
      </c>
      <c r="J145" t="s">
        <v>75</v>
      </c>
      <c r="K145" t="str">
        <f>IF(A145="","", IF(OR(SUMIF('Code Violations'!A:A, A145, 'Code Violations'!T:T)&gt;=5, VLOOKUP(A145, 'Master Dashboard'!A:L, 9, FALSE)="FAIL", VLOOKUP(A145, 'Master Dashboard'!A:L, 10, FALSE)="FAIL", ISNUMBER(SEARCH("Critical", J145))), "3-Red", IF(SUMIF('Code Violations'!A:A, A145, 'Code Violations'!T:T)&gt;=1, "2-Yellow", "1-White")))</f>
        <v>1-White</v>
      </c>
      <c r="L145" t="str">
        <f t="shared" si="4"/>
        <v>FAIL</v>
      </c>
    </row>
    <row r="146" spans="1:12" x14ac:dyDescent="0.25">
      <c r="A146" t="s">
        <v>368</v>
      </c>
      <c r="B146" t="s">
        <v>369</v>
      </c>
      <c r="C146" t="s">
        <v>367</v>
      </c>
      <c r="D146" t="s">
        <v>370</v>
      </c>
      <c r="J146" t="s">
        <v>75</v>
      </c>
      <c r="K146" t="str">
        <f>IF(A146="","", IF(OR(SUMIF('Code Violations'!A:A, A146, 'Code Violations'!T:T)&gt;=5, VLOOKUP(A146, 'Master Dashboard'!A:L, 9, FALSE)="FAIL", VLOOKUP(A146, 'Master Dashboard'!A:L, 10, FALSE)="FAIL", ISNUMBER(SEARCH("Critical", J146))), "3-Red", IF(SUMIF('Code Violations'!A:A, A146, 'Code Violations'!T:T)&gt;=1, "2-Yellow", "1-White")))</f>
        <v>1-White</v>
      </c>
      <c r="L146" t="str">
        <f t="shared" si="4"/>
        <v>FAIL</v>
      </c>
    </row>
    <row r="147" spans="1:12" x14ac:dyDescent="0.25">
      <c r="A147" t="s">
        <v>371</v>
      </c>
      <c r="B147" t="s">
        <v>372</v>
      </c>
      <c r="C147" t="s">
        <v>367</v>
      </c>
      <c r="D147" t="s">
        <v>370</v>
      </c>
      <c r="J147" t="s">
        <v>75</v>
      </c>
      <c r="K147" t="str">
        <f>IF(A147="","", IF(OR(SUMIF('Code Violations'!A:A, A147, 'Code Violations'!T:T)&gt;=5, VLOOKUP(A147, 'Master Dashboard'!A:L, 9, FALSE)="FAIL", VLOOKUP(A147, 'Master Dashboard'!A:L, 10, FALSE)="FAIL", ISNUMBER(SEARCH("Critical", J147))), "3-Red", IF(SUMIF('Code Violations'!A:A, A147, 'Code Violations'!T:T)&gt;=1, "2-Yellow", "1-White")))</f>
        <v>1-White</v>
      </c>
      <c r="L147" t="str">
        <f t="shared" si="4"/>
        <v>FAIL</v>
      </c>
    </row>
    <row r="148" spans="1:12" x14ac:dyDescent="0.25">
      <c r="A148" t="s">
        <v>373</v>
      </c>
      <c r="B148" t="s">
        <v>324</v>
      </c>
      <c r="C148" t="s">
        <v>367</v>
      </c>
      <c r="D148" t="s">
        <v>506</v>
      </c>
      <c r="J148" t="s">
        <v>75</v>
      </c>
      <c r="K148" t="str">
        <f>IF(A148="","", IF(OR(SUMIF('Code Violations'!A:A, A148, 'Code Violations'!T:T)&gt;=5, VLOOKUP(A148, 'Master Dashboard'!A:L, 9, FALSE)="FAIL", VLOOKUP(A148, 'Master Dashboard'!A:L, 10, FALSE)="FAIL", ISNUMBER(SEARCH("Critical", J148))), "3-Red", IF(SUMIF('Code Violations'!A:A, A148, 'Code Violations'!T:T)&gt;=1, "2-Yellow", "1-White")))</f>
        <v>1-White</v>
      </c>
      <c r="L148" t="str">
        <f t="shared" si="4"/>
        <v>FAIL</v>
      </c>
    </row>
    <row r="149" spans="1:12" x14ac:dyDescent="0.25">
      <c r="A149" t="s">
        <v>374</v>
      </c>
      <c r="B149" t="s">
        <v>375</v>
      </c>
      <c r="C149" t="s">
        <v>367</v>
      </c>
      <c r="D149" t="s">
        <v>82</v>
      </c>
      <c r="J149" t="s">
        <v>75</v>
      </c>
      <c r="K149" t="str">
        <f>IF(A149="","", IF(OR(SUMIF('Code Violations'!A:A, A149, 'Code Violations'!T:T)&gt;=5, VLOOKUP(A149, 'Master Dashboard'!A:L, 9, FALSE)="FAIL", VLOOKUP(A149, 'Master Dashboard'!A:L, 10, FALSE)="FAIL", ISNUMBER(SEARCH("Critical", J149))), "3-Red", IF(SUMIF('Code Violations'!A:A, A149, 'Code Violations'!T:T)&gt;=1, "2-Yellow", "1-White")))</f>
        <v>1-White</v>
      </c>
      <c r="L149" t="str">
        <f t="shared" si="4"/>
        <v>FAIL</v>
      </c>
    </row>
    <row r="150" spans="1:12" x14ac:dyDescent="0.25">
      <c r="A150" t="s">
        <v>376</v>
      </c>
      <c r="B150" t="s">
        <v>377</v>
      </c>
      <c r="C150" t="s">
        <v>367</v>
      </c>
      <c r="D150" t="s">
        <v>370</v>
      </c>
      <c r="J150" t="s">
        <v>75</v>
      </c>
      <c r="K150" t="str">
        <f>IF(A150="","", IF(OR(SUMIF('Code Violations'!A:A, A150, 'Code Violations'!T:T)&gt;=5, VLOOKUP(A150, 'Master Dashboard'!A:L, 9, FALSE)="FAIL", VLOOKUP(A150, 'Master Dashboard'!A:L, 10, FALSE)="FAIL", ISNUMBER(SEARCH("Critical", J150))), "3-Red", IF(SUMIF('Code Violations'!A:A, A150, 'Code Violations'!T:T)&gt;=1, "2-Yellow", "1-White")))</f>
        <v>1-White</v>
      </c>
      <c r="L150" t="str">
        <f t="shared" si="4"/>
        <v>FAIL</v>
      </c>
    </row>
    <row r="151" spans="1:12" x14ac:dyDescent="0.25">
      <c r="A151" t="s">
        <v>378</v>
      </c>
      <c r="B151" t="s">
        <v>379</v>
      </c>
      <c r="C151" t="s">
        <v>380</v>
      </c>
      <c r="D151" t="s">
        <v>82</v>
      </c>
      <c r="J151" t="s">
        <v>75</v>
      </c>
      <c r="K151" t="str">
        <f>IF(A151="","", IF(OR(SUMIF('Code Violations'!A:A, A151, 'Code Violations'!T:T)&gt;=5, VLOOKUP(A151, 'Master Dashboard'!A:L, 9, FALSE)="FAIL", VLOOKUP(A151, 'Master Dashboard'!A:L, 10, FALSE)="FAIL", ISNUMBER(SEARCH("Critical", J151))), "3-Red", IF(SUMIF('Code Violations'!A:A, A151, 'Code Violations'!T:T)&gt;=1, "2-Yellow", "1-White")))</f>
        <v>1-White</v>
      </c>
      <c r="L151" t="str">
        <f t="shared" si="4"/>
        <v>FAIL</v>
      </c>
    </row>
    <row r="152" spans="1:12" x14ac:dyDescent="0.25">
      <c r="A152" t="s">
        <v>381</v>
      </c>
      <c r="B152" t="s">
        <v>382</v>
      </c>
      <c r="C152" t="s">
        <v>380</v>
      </c>
      <c r="D152" t="s">
        <v>88</v>
      </c>
      <c r="J152" t="s">
        <v>75</v>
      </c>
      <c r="K152" t="str">
        <f>IF(A152="","", IF(OR(SUMIF('Code Violations'!A:A, A152, 'Code Violations'!T:T)&gt;=5, VLOOKUP(A152, 'Master Dashboard'!A:L, 9, FALSE)="FAIL", VLOOKUP(A152, 'Master Dashboard'!A:L, 10, FALSE)="FAIL", ISNUMBER(SEARCH("Critical", J152))), "3-Red", IF(SUMIF('Code Violations'!A:A, A152, 'Code Violations'!T:T)&gt;=1, "2-Yellow", "1-White")))</f>
        <v>1-White</v>
      </c>
      <c r="L152" t="str">
        <f t="shared" si="4"/>
        <v>FAIL</v>
      </c>
    </row>
    <row r="153" spans="1:12" x14ac:dyDescent="0.25">
      <c r="A153" t="s">
        <v>383</v>
      </c>
      <c r="C153" t="s">
        <v>380</v>
      </c>
      <c r="D153" t="s">
        <v>82</v>
      </c>
      <c r="J153" t="s">
        <v>75</v>
      </c>
      <c r="K153" t="str">
        <f>IF(A153="","", IF(OR(SUMIF('Code Violations'!A:A, A153, 'Code Violations'!T:T)&gt;=5, VLOOKUP(A153, 'Master Dashboard'!A:L, 9, FALSE)="FAIL", VLOOKUP(A153, 'Master Dashboard'!A:L, 10, FALSE)="FAIL", ISNUMBER(SEARCH("Critical", J153))), "3-Red", IF(SUMIF('Code Violations'!A:A, A153, 'Code Violations'!T:T)&gt;=1, "2-Yellow", "1-White")))</f>
        <v>1-White</v>
      </c>
      <c r="L153" t="str">
        <f t="shared" si="4"/>
        <v>FAIL</v>
      </c>
    </row>
    <row r="154" spans="1:12" x14ac:dyDescent="0.25">
      <c r="A154" t="s">
        <v>384</v>
      </c>
      <c r="C154" t="s">
        <v>380</v>
      </c>
      <c r="D154" t="s">
        <v>82</v>
      </c>
      <c r="J154" t="s">
        <v>75</v>
      </c>
      <c r="K154" t="str">
        <f>IF(A154="","", IF(OR(SUMIF('Code Violations'!A:A, A154, 'Code Violations'!T:T)&gt;=5, VLOOKUP(A154, 'Master Dashboard'!A:L, 9, FALSE)="FAIL", VLOOKUP(A154, 'Master Dashboard'!A:L, 10, FALSE)="FAIL", ISNUMBER(SEARCH("Critical", J154))), "3-Red", IF(SUMIF('Code Violations'!A:A, A154, 'Code Violations'!T:T)&gt;=1, "2-Yellow", "1-White")))</f>
        <v>1-White</v>
      </c>
      <c r="L154" t="str">
        <f t="shared" si="4"/>
        <v>FAIL</v>
      </c>
    </row>
    <row r="155" spans="1:12" x14ac:dyDescent="0.25">
      <c r="A155" t="s">
        <v>385</v>
      </c>
      <c r="C155" t="s">
        <v>380</v>
      </c>
      <c r="D155" t="s">
        <v>82</v>
      </c>
      <c r="J155" t="s">
        <v>75</v>
      </c>
      <c r="K155" t="str">
        <f>IF(A155="","", IF(OR(SUMIF('Code Violations'!A:A, A155, 'Code Violations'!T:T)&gt;=5, VLOOKUP(A155, 'Master Dashboard'!A:L, 9, FALSE)="FAIL", VLOOKUP(A155, 'Master Dashboard'!A:L, 10, FALSE)="FAIL", ISNUMBER(SEARCH("Critical", J155))), "3-Red", IF(SUMIF('Code Violations'!A:A, A155, 'Code Violations'!T:T)&gt;=1, "2-Yellow", "1-White")))</f>
        <v>1-White</v>
      </c>
      <c r="L155" t="str">
        <f t="shared" si="4"/>
        <v>FAIL</v>
      </c>
    </row>
    <row r="156" spans="1:12" x14ac:dyDescent="0.25">
      <c r="A156" t="s">
        <v>386</v>
      </c>
      <c r="C156" t="s">
        <v>387</v>
      </c>
      <c r="D156" t="s">
        <v>82</v>
      </c>
      <c r="J156" t="s">
        <v>75</v>
      </c>
      <c r="K156" t="str">
        <f>IF(A156="","", IF(OR(SUMIF('Code Violations'!A:A, A156, 'Code Violations'!T:T)&gt;=5, VLOOKUP(A156, 'Master Dashboard'!A:L, 9, FALSE)="FAIL", VLOOKUP(A156, 'Master Dashboard'!A:L, 10, FALSE)="FAIL", ISNUMBER(SEARCH("Critical", J156))), "3-Red", IF(SUMIF('Code Violations'!A:A, A156, 'Code Violations'!T:T)&gt;=1, "2-Yellow", "1-White")))</f>
        <v>1-White</v>
      </c>
      <c r="L156" t="str">
        <f t="shared" si="4"/>
        <v>FAIL</v>
      </c>
    </row>
    <row r="157" spans="1:12" x14ac:dyDescent="0.25">
      <c r="A157" t="s">
        <v>388</v>
      </c>
      <c r="C157" t="s">
        <v>387</v>
      </c>
      <c r="D157" t="s">
        <v>389</v>
      </c>
      <c r="J157" t="s">
        <v>75</v>
      </c>
      <c r="K157" t="str">
        <f>IF(A157="","", IF(OR(SUMIF('Code Violations'!A:A, A157, 'Code Violations'!T:T)&gt;=5, VLOOKUP(A157, 'Master Dashboard'!A:L, 9, FALSE)="FAIL", VLOOKUP(A157, 'Master Dashboard'!A:L, 10, FALSE)="FAIL", ISNUMBER(SEARCH("Critical", J157))), "3-Red", IF(SUMIF('Code Violations'!A:A, A157, 'Code Violations'!T:T)&gt;=1, "2-Yellow", "1-White")))</f>
        <v>1-White</v>
      </c>
      <c r="L157" t="str">
        <f t="shared" si="4"/>
        <v>FAIL</v>
      </c>
    </row>
    <row r="158" spans="1:12" x14ac:dyDescent="0.25">
      <c r="A158" t="s">
        <v>390</v>
      </c>
      <c r="B158" t="s">
        <v>391</v>
      </c>
      <c r="C158" t="s">
        <v>392</v>
      </c>
      <c r="D158" t="s">
        <v>393</v>
      </c>
      <c r="J158" t="s">
        <v>75</v>
      </c>
      <c r="K158" t="str">
        <f>IF(A158="","", IF(OR(SUMIF('Code Violations'!A:A, A158, 'Code Violations'!T:T)&gt;=5, VLOOKUP(A158, 'Master Dashboard'!A:L, 9, FALSE)="FAIL", VLOOKUP(A158, 'Master Dashboard'!A:L, 10, FALSE)="FAIL", ISNUMBER(SEARCH("Critical", J158))), "3-Red", IF(SUMIF('Code Violations'!A:A, A158, 'Code Violations'!T:T)&gt;=1, "2-Yellow", "1-White")))</f>
        <v>1-White</v>
      </c>
      <c r="L158" t="str">
        <f t="shared" si="4"/>
        <v>FAIL</v>
      </c>
    </row>
    <row r="159" spans="1:12" x14ac:dyDescent="0.25">
      <c r="A159" t="s">
        <v>394</v>
      </c>
      <c r="B159" t="s">
        <v>395</v>
      </c>
      <c r="C159" t="s">
        <v>392</v>
      </c>
      <c r="D159" t="s">
        <v>175</v>
      </c>
      <c r="J159" t="s">
        <v>75</v>
      </c>
      <c r="K159" t="str">
        <f>IF(A159="","", IF(OR(SUMIF('Code Violations'!A:A, A159, 'Code Violations'!T:T)&gt;=5, VLOOKUP(A159, 'Master Dashboard'!A:L, 9, FALSE)="FAIL", VLOOKUP(A159, 'Master Dashboard'!A:L, 10, FALSE)="FAIL", ISNUMBER(SEARCH("Critical", J159))), "3-Red", IF(SUMIF('Code Violations'!A:A, A159, 'Code Violations'!T:T)&gt;=1, "2-Yellow", "1-White")))</f>
        <v>1-White</v>
      </c>
      <c r="L159" t="str">
        <f t="shared" si="4"/>
        <v>FAIL</v>
      </c>
    </row>
    <row r="160" spans="1:12" x14ac:dyDescent="0.25">
      <c r="A160" t="s">
        <v>396</v>
      </c>
      <c r="B160" t="s">
        <v>397</v>
      </c>
      <c r="C160" t="s">
        <v>392</v>
      </c>
      <c r="D160" t="s">
        <v>175</v>
      </c>
      <c r="J160" t="s">
        <v>75</v>
      </c>
      <c r="K160" t="str">
        <f>IF(A160="","", IF(OR(SUMIF('Code Violations'!A:A, A160, 'Code Violations'!T:T)&gt;=5, VLOOKUP(A160, 'Master Dashboard'!A:L, 9, FALSE)="FAIL", VLOOKUP(A160, 'Master Dashboard'!A:L, 10, FALSE)="FAIL", ISNUMBER(SEARCH("Critical", J160))), "3-Red", IF(SUMIF('Code Violations'!A:A, A160, 'Code Violations'!T:T)&gt;=1, "2-Yellow", "1-White")))</f>
        <v>1-White</v>
      </c>
      <c r="L160" t="str">
        <f t="shared" si="4"/>
        <v>FAIL</v>
      </c>
    </row>
    <row r="161" spans="1:12" x14ac:dyDescent="0.25">
      <c r="A161" t="s">
        <v>398</v>
      </c>
      <c r="B161" t="s">
        <v>399</v>
      </c>
      <c r="C161" t="s">
        <v>392</v>
      </c>
      <c r="D161" t="s">
        <v>175</v>
      </c>
      <c r="K161" t="str">
        <f>IF(A161="","", IF(OR(SUMIF('Code Violations'!A:A, A161, 'Code Violations'!T:T)&gt;=5, VLOOKUP(A161, 'Master Dashboard'!A:L, 9, FALSE)="FAIL", VLOOKUP(A161, 'Master Dashboard'!A:L, 10, FALSE)="FAIL", ISNUMBER(SEARCH("Critical", J161))), "3-Red", IF(SUMIF('Code Violations'!A:A, A161, 'Code Violations'!T:T)&gt;=1, "2-Yellow", "1-White")))</f>
        <v>1-White</v>
      </c>
    </row>
    <row r="162" spans="1:12" x14ac:dyDescent="0.25">
      <c r="A162" t="s">
        <v>400</v>
      </c>
      <c r="B162" t="s">
        <v>401</v>
      </c>
      <c r="C162" t="s">
        <v>392</v>
      </c>
      <c r="D162" t="s">
        <v>88</v>
      </c>
      <c r="K162" t="str">
        <f>IF(A162="","", IF(OR(SUMIF('Code Violations'!A:A, A162, 'Code Violations'!T:T)&gt;=5, VLOOKUP(A162, 'Master Dashboard'!A:L, 9, FALSE)="FAIL", VLOOKUP(A162, 'Master Dashboard'!A:L, 10, FALSE)="FAIL", ISNUMBER(SEARCH("Critical", J162))), "3-Red", IF(SUMIF('Code Violations'!A:A, A162, 'Code Violations'!T:T)&gt;=1, "2-Yellow", "1-White")))</f>
        <v>2-Yellow</v>
      </c>
      <c r="L162" t="str">
        <f t="shared" ref="L162:L225" si="5">IF(J162="","", IF(ISNUMBER(SEARCH("Critical", J162)), "CRITICAL FAIL", IF(ISNUMBER(SEARCH("Overdue", J162)), "FAIL", "COMPLIANT")))</f>
        <v/>
      </c>
    </row>
    <row r="163" spans="1:12" x14ac:dyDescent="0.25">
      <c r="A163" t="s">
        <v>402</v>
      </c>
      <c r="B163" t="s">
        <v>403</v>
      </c>
      <c r="C163" t="s">
        <v>392</v>
      </c>
      <c r="D163" t="s">
        <v>88</v>
      </c>
      <c r="K163" t="str">
        <f>IF(A163="","", IF(OR(SUMIF('Code Violations'!A:A, A163, 'Code Violations'!T:T)&gt;=5, VLOOKUP(A163, 'Master Dashboard'!A:L, 9, FALSE)="FAIL", VLOOKUP(A163, 'Master Dashboard'!A:L, 10, FALSE)="FAIL", ISNUMBER(SEARCH("Critical", J163))), "3-Red", IF(SUMIF('Code Violations'!A:A, A163, 'Code Violations'!T:T)&gt;=1, "2-Yellow", "1-White")))</f>
        <v>1-White</v>
      </c>
      <c r="L163" t="str">
        <f t="shared" si="5"/>
        <v/>
      </c>
    </row>
    <row r="164" spans="1:12" x14ac:dyDescent="0.25">
      <c r="A164" t="s">
        <v>404</v>
      </c>
      <c r="B164" t="s">
        <v>405</v>
      </c>
      <c r="C164" t="s">
        <v>392</v>
      </c>
      <c r="D164" t="s">
        <v>88</v>
      </c>
      <c r="K164" t="str">
        <f>IF(A164="","", IF(OR(SUMIF('Code Violations'!A:A, A164, 'Code Violations'!T:T)&gt;=5, VLOOKUP(A164, 'Master Dashboard'!A:L, 9, FALSE)="FAIL", VLOOKUP(A164, 'Master Dashboard'!A:L, 10, FALSE)="FAIL", ISNUMBER(SEARCH("Critical", J164))), "3-Red", IF(SUMIF('Code Violations'!A:A, A164, 'Code Violations'!T:T)&gt;=1, "2-Yellow", "1-White")))</f>
        <v>1-White</v>
      </c>
      <c r="L164" t="str">
        <f t="shared" si="5"/>
        <v/>
      </c>
    </row>
    <row r="165" spans="1:12" x14ac:dyDescent="0.25">
      <c r="A165" t="s">
        <v>406</v>
      </c>
      <c r="B165" t="s">
        <v>407</v>
      </c>
      <c r="C165" t="s">
        <v>392</v>
      </c>
      <c r="D165" t="s">
        <v>104</v>
      </c>
      <c r="K165" t="str">
        <f>IF(A165="","", IF(OR(SUMIF('Code Violations'!A:A, A165, 'Code Violations'!T:T)&gt;=5, VLOOKUP(A165, 'Master Dashboard'!A:L, 9, FALSE)="FAIL", VLOOKUP(A165, 'Master Dashboard'!A:L, 10, FALSE)="FAIL", ISNUMBER(SEARCH("Critical", J165))), "3-Red", IF(SUMIF('Code Violations'!A:A, A165, 'Code Violations'!T:T)&gt;=1, "2-Yellow", "1-White")))</f>
        <v>1-White</v>
      </c>
      <c r="L165" t="str">
        <f t="shared" si="5"/>
        <v/>
      </c>
    </row>
    <row r="166" spans="1:12" x14ac:dyDescent="0.25">
      <c r="A166" t="s">
        <v>408</v>
      </c>
      <c r="B166" t="s">
        <v>409</v>
      </c>
      <c r="C166" t="s">
        <v>392</v>
      </c>
      <c r="D166" t="s">
        <v>104</v>
      </c>
      <c r="K166" t="str">
        <f>IF(A166="","", IF(OR(SUMIF('Code Violations'!A:A, A166, 'Code Violations'!T:T)&gt;=5, VLOOKUP(A166, 'Master Dashboard'!A:L, 9, FALSE)="FAIL", VLOOKUP(A166, 'Master Dashboard'!A:L, 10, FALSE)="FAIL", ISNUMBER(SEARCH("Critical", J166))), "3-Red", IF(SUMIF('Code Violations'!A:A, A166, 'Code Violations'!T:T)&gt;=1, "2-Yellow", "1-White")))</f>
        <v>1-White</v>
      </c>
      <c r="L166" t="str">
        <f t="shared" si="5"/>
        <v/>
      </c>
    </row>
    <row r="167" spans="1:12" x14ac:dyDescent="0.25">
      <c r="A167" t="s">
        <v>410</v>
      </c>
      <c r="B167" t="s">
        <v>411</v>
      </c>
      <c r="C167" t="s">
        <v>392</v>
      </c>
      <c r="D167" t="s">
        <v>88</v>
      </c>
      <c r="K167" t="str">
        <f>IF(A167="","", IF(OR(SUMIF('Code Violations'!A:A, A167, 'Code Violations'!T:T)&gt;=5, VLOOKUP(A167, 'Master Dashboard'!A:L, 9, FALSE)="FAIL", VLOOKUP(A167, 'Master Dashboard'!A:L, 10, FALSE)="FAIL", ISNUMBER(SEARCH("Critical", J167))), "3-Red", IF(SUMIF('Code Violations'!A:A, A167, 'Code Violations'!T:T)&gt;=1, "2-Yellow", "1-White")))</f>
        <v>1-White</v>
      </c>
      <c r="L167" t="str">
        <f t="shared" si="5"/>
        <v/>
      </c>
    </row>
    <row r="168" spans="1:12" x14ac:dyDescent="0.25">
      <c r="A168" t="s">
        <v>412</v>
      </c>
      <c r="C168" t="s">
        <v>413</v>
      </c>
      <c r="D168" t="s">
        <v>88</v>
      </c>
      <c r="K168" t="str">
        <f>IF(A168="","", IF(OR(SUMIF('Code Violations'!A:A, A168, 'Code Violations'!T:T)&gt;=5, VLOOKUP(A168, 'Master Dashboard'!A:L, 9, FALSE)="FAIL", VLOOKUP(A168, 'Master Dashboard'!A:L, 10, FALSE)="FAIL", ISNUMBER(SEARCH("Critical", J168))), "3-Red", IF(SUMIF('Code Violations'!A:A, A168, 'Code Violations'!T:T)&gt;=1, "2-Yellow", "1-White")))</f>
        <v>1-White</v>
      </c>
      <c r="L168" t="str">
        <f t="shared" si="5"/>
        <v/>
      </c>
    </row>
    <row r="169" spans="1:12" x14ac:dyDescent="0.25">
      <c r="K169" t="str">
        <f>IF(A169="","", IF(OR(SUMIF('Code Violations'!A:A, A169, 'Code Violations'!T:T)&gt;=5, VLOOKUP(A169, 'Master Dashboard'!A:L, 9, FALSE)="FAIL", VLOOKUP(A169, 'Master Dashboard'!A:L, 10, FALSE)="FAIL", ISNUMBER(SEARCH("Critical", J169))), "3-Red", IF(SUMIF('Code Violations'!A:A, A169, 'Code Violations'!T:T)&gt;=1, "2-Yellow", "1-White")))</f>
        <v/>
      </c>
      <c r="L169" t="str">
        <f t="shared" si="5"/>
        <v/>
      </c>
    </row>
    <row r="170" spans="1:12" x14ac:dyDescent="0.25">
      <c r="K170" t="str">
        <f>IF(A170="","", IF(OR(SUMIF('Code Violations'!A:A, A170, 'Code Violations'!T:T)&gt;=5, VLOOKUP(A170, 'Master Dashboard'!A:L, 9, FALSE)="FAIL", VLOOKUP(A170, 'Master Dashboard'!A:L, 10, FALSE)="FAIL", ISNUMBER(SEARCH("Critical", J170))), "3-Red", IF(SUMIF('Code Violations'!A:A, A170, 'Code Violations'!T:T)&gt;=1, "2-Yellow", "1-White")))</f>
        <v/>
      </c>
      <c r="L170" t="str">
        <f t="shared" si="5"/>
        <v/>
      </c>
    </row>
    <row r="171" spans="1:12" x14ac:dyDescent="0.25">
      <c r="K171" t="str">
        <f>IF(A171="","", IF(OR(SUMIF('Code Violations'!A:A, A171, 'Code Violations'!T:T)&gt;=5, VLOOKUP(A171, 'Master Dashboard'!A:L, 9, FALSE)="FAIL", VLOOKUP(A171, 'Master Dashboard'!A:L, 10, FALSE)="FAIL", ISNUMBER(SEARCH("Critical", J171))), "3-Red", IF(SUMIF('Code Violations'!A:A, A171, 'Code Violations'!T:T)&gt;=1, "2-Yellow", "1-White")))</f>
        <v/>
      </c>
      <c r="L171" t="str">
        <f t="shared" si="5"/>
        <v/>
      </c>
    </row>
    <row r="172" spans="1:12" x14ac:dyDescent="0.25">
      <c r="K172" t="str">
        <f>IF(A172="","", IF(OR(SUMIF('Code Violations'!A:A, A172, 'Code Violations'!T:T)&gt;=5, VLOOKUP(A172, 'Master Dashboard'!A:L, 9, FALSE)="FAIL", VLOOKUP(A172, 'Master Dashboard'!A:L, 10, FALSE)="FAIL", ISNUMBER(SEARCH("Critical", J172))), "3-Red", IF(SUMIF('Code Violations'!A:A, A172, 'Code Violations'!T:T)&gt;=1, "2-Yellow", "1-White")))</f>
        <v/>
      </c>
      <c r="L172" t="str">
        <f t="shared" si="5"/>
        <v/>
      </c>
    </row>
    <row r="173" spans="1:12" x14ac:dyDescent="0.25">
      <c r="K173" t="str">
        <f>IF(A173="","", IF(OR(SUMIF('Code Violations'!A:A, A173, 'Code Violations'!T:T)&gt;=5, VLOOKUP(A173, 'Master Dashboard'!A:L, 9, FALSE)="FAIL", VLOOKUP(A173, 'Master Dashboard'!A:L, 10, FALSE)="FAIL", ISNUMBER(SEARCH("Critical", J173))), "3-Red", IF(SUMIF('Code Violations'!A:A, A173, 'Code Violations'!T:T)&gt;=1, "2-Yellow", "1-White")))</f>
        <v/>
      </c>
      <c r="L173" t="str">
        <f t="shared" si="5"/>
        <v/>
      </c>
    </row>
    <row r="174" spans="1:12" x14ac:dyDescent="0.25">
      <c r="K174" t="str">
        <f>IF(A174="","", IF(OR(SUMIF('Code Violations'!A:A, A174, 'Code Violations'!T:T)&gt;=5, VLOOKUP(A174, 'Master Dashboard'!A:L, 9, FALSE)="FAIL", VLOOKUP(A174, 'Master Dashboard'!A:L, 10, FALSE)="FAIL", ISNUMBER(SEARCH("Critical", J174))), "3-Red", IF(SUMIF('Code Violations'!A:A, A174, 'Code Violations'!T:T)&gt;=1, "2-Yellow", "1-White")))</f>
        <v/>
      </c>
      <c r="L174" t="str">
        <f t="shared" si="5"/>
        <v/>
      </c>
    </row>
    <row r="175" spans="1:12" x14ac:dyDescent="0.25">
      <c r="K175" t="str">
        <f>IF(A175="","", IF(OR(SUMIF('Code Violations'!A:A, A175, 'Code Violations'!T:T)&gt;=5, VLOOKUP(A175, 'Master Dashboard'!A:L, 9, FALSE)="FAIL", VLOOKUP(A175, 'Master Dashboard'!A:L, 10, FALSE)="FAIL", ISNUMBER(SEARCH("Critical", J175))), "3-Red", IF(SUMIF('Code Violations'!A:A, A175, 'Code Violations'!T:T)&gt;=1, "2-Yellow", "1-White")))</f>
        <v/>
      </c>
      <c r="L175" t="str">
        <f t="shared" si="5"/>
        <v/>
      </c>
    </row>
    <row r="176" spans="1:12" x14ac:dyDescent="0.25">
      <c r="K176" t="str">
        <f>IF(A176="","", IF(OR(SUMIF('Code Violations'!A:A, A176, 'Code Violations'!T:T)&gt;=5, VLOOKUP(A176, 'Master Dashboard'!A:L, 9, FALSE)="FAIL", VLOOKUP(A176, 'Master Dashboard'!A:L, 10, FALSE)="FAIL", ISNUMBER(SEARCH("Critical", J176))), "3-Red", IF(SUMIF('Code Violations'!A:A, A176, 'Code Violations'!T:T)&gt;=1, "2-Yellow", "1-White")))</f>
        <v/>
      </c>
      <c r="L176" t="str">
        <f t="shared" si="5"/>
        <v/>
      </c>
    </row>
    <row r="177" spans="11:12" x14ac:dyDescent="0.25">
      <c r="K177" t="str">
        <f>IF(A177="","", IF(OR(SUMIF('Code Violations'!A:A, A177, 'Code Violations'!T:T)&gt;=5, VLOOKUP(A177, 'Master Dashboard'!A:L, 9, FALSE)="FAIL", VLOOKUP(A177, 'Master Dashboard'!A:L, 10, FALSE)="FAIL", ISNUMBER(SEARCH("Critical", J177))), "3-Red", IF(SUMIF('Code Violations'!A:A, A177, 'Code Violations'!T:T)&gt;=1, "2-Yellow", "1-White")))</f>
        <v/>
      </c>
      <c r="L177" t="str">
        <f t="shared" si="5"/>
        <v/>
      </c>
    </row>
    <row r="178" spans="11:12" x14ac:dyDescent="0.25">
      <c r="K178" t="str">
        <f>IF(A178="","", IF(OR(SUMIF('Code Violations'!A:A, A178, 'Code Violations'!T:T)&gt;=5, VLOOKUP(A178, 'Master Dashboard'!A:L, 9, FALSE)="FAIL", VLOOKUP(A178, 'Master Dashboard'!A:L, 10, FALSE)="FAIL", ISNUMBER(SEARCH("Critical", J178))), "3-Red", IF(SUMIF('Code Violations'!A:A, A178, 'Code Violations'!T:T)&gt;=1, "2-Yellow", "1-White")))</f>
        <v/>
      </c>
      <c r="L178" t="str">
        <f t="shared" si="5"/>
        <v/>
      </c>
    </row>
    <row r="179" spans="11:12" x14ac:dyDescent="0.25">
      <c r="K179" t="str">
        <f>IF(A179="","", IF(OR(SUMIF('Code Violations'!A:A, A179, 'Code Violations'!T:T)&gt;=5, VLOOKUP(A179, 'Master Dashboard'!A:L, 9, FALSE)="FAIL", VLOOKUP(A179, 'Master Dashboard'!A:L, 10, FALSE)="FAIL", ISNUMBER(SEARCH("Critical", J179))), "3-Red", IF(SUMIF('Code Violations'!A:A, A179, 'Code Violations'!T:T)&gt;=1, "2-Yellow", "1-White")))</f>
        <v/>
      </c>
      <c r="L179" t="str">
        <f t="shared" si="5"/>
        <v/>
      </c>
    </row>
    <row r="180" spans="11:12" x14ac:dyDescent="0.25">
      <c r="K180" t="str">
        <f>IF(A180="","", IF(OR(SUMIF('Code Violations'!A:A, A180, 'Code Violations'!T:T)&gt;=5, VLOOKUP(A180, 'Master Dashboard'!A:L, 9, FALSE)="FAIL", VLOOKUP(A180, 'Master Dashboard'!A:L, 10, FALSE)="FAIL", ISNUMBER(SEARCH("Critical", J180))), "3-Red", IF(SUMIF('Code Violations'!A:A, A180, 'Code Violations'!T:T)&gt;=1, "2-Yellow", "1-White")))</f>
        <v/>
      </c>
      <c r="L180" t="str">
        <f t="shared" si="5"/>
        <v/>
      </c>
    </row>
    <row r="181" spans="11:12" x14ac:dyDescent="0.25">
      <c r="K181" t="str">
        <f>IF(A181="","", IF(OR(SUMIF('Code Violations'!A:A, A181, 'Code Violations'!T:T)&gt;=5, VLOOKUP(A181, 'Master Dashboard'!A:L, 9, FALSE)="FAIL", VLOOKUP(A181, 'Master Dashboard'!A:L, 10, FALSE)="FAIL", ISNUMBER(SEARCH("Critical", J181))), "3-Red", IF(SUMIF('Code Violations'!A:A, A181, 'Code Violations'!T:T)&gt;=1, "2-Yellow", "1-White")))</f>
        <v/>
      </c>
      <c r="L181" t="str">
        <f t="shared" si="5"/>
        <v/>
      </c>
    </row>
    <row r="182" spans="11:12" x14ac:dyDescent="0.25">
      <c r="K182" t="str">
        <f>IF(A182="","", IF(OR(SUMIF('Code Violations'!A:A, A182, 'Code Violations'!T:T)&gt;=5, VLOOKUP(A182, 'Master Dashboard'!A:L, 9, FALSE)="FAIL", VLOOKUP(A182, 'Master Dashboard'!A:L, 10, FALSE)="FAIL", ISNUMBER(SEARCH("Critical", J182))), "3-Red", IF(SUMIF('Code Violations'!A:A, A182, 'Code Violations'!T:T)&gt;=1, "2-Yellow", "1-White")))</f>
        <v/>
      </c>
      <c r="L182" t="str">
        <f t="shared" si="5"/>
        <v/>
      </c>
    </row>
    <row r="183" spans="11:12" x14ac:dyDescent="0.25">
      <c r="K183" t="str">
        <f>IF(A183="","", IF(OR(SUMIF('Code Violations'!A:A, A183, 'Code Violations'!T:T)&gt;=5, VLOOKUP(A183, 'Master Dashboard'!A:L, 9, FALSE)="FAIL", VLOOKUP(A183, 'Master Dashboard'!A:L, 10, FALSE)="FAIL", ISNUMBER(SEARCH("Critical", J183))), "3-Red", IF(SUMIF('Code Violations'!A:A, A183, 'Code Violations'!T:T)&gt;=1, "2-Yellow", "1-White")))</f>
        <v/>
      </c>
      <c r="L183" t="str">
        <f t="shared" si="5"/>
        <v/>
      </c>
    </row>
    <row r="184" spans="11:12" x14ac:dyDescent="0.25">
      <c r="K184" t="str">
        <f>IF(A184="","", IF(OR(SUMIF('Code Violations'!A:A, A184, 'Code Violations'!T:T)&gt;=5, VLOOKUP(A184, 'Master Dashboard'!A:L, 9, FALSE)="FAIL", VLOOKUP(A184, 'Master Dashboard'!A:L, 10, FALSE)="FAIL", ISNUMBER(SEARCH("Critical", J184))), "3-Red", IF(SUMIF('Code Violations'!A:A, A184, 'Code Violations'!T:T)&gt;=1, "2-Yellow", "1-White")))</f>
        <v/>
      </c>
      <c r="L184" t="str">
        <f t="shared" si="5"/>
        <v/>
      </c>
    </row>
    <row r="185" spans="11:12" x14ac:dyDescent="0.25">
      <c r="K185" t="str">
        <f>IF(A185="","", IF(OR(SUMIF('Code Violations'!A:A, A185, 'Code Violations'!T:T)&gt;=5, VLOOKUP(A185, 'Master Dashboard'!A:L, 9, FALSE)="FAIL", VLOOKUP(A185, 'Master Dashboard'!A:L, 10, FALSE)="FAIL", ISNUMBER(SEARCH("Critical", J185))), "3-Red", IF(SUMIF('Code Violations'!A:A, A185, 'Code Violations'!T:T)&gt;=1, "2-Yellow", "1-White")))</f>
        <v/>
      </c>
      <c r="L185" t="str">
        <f t="shared" si="5"/>
        <v/>
      </c>
    </row>
    <row r="186" spans="11:12" x14ac:dyDescent="0.25">
      <c r="K186" t="str">
        <f>IF(A186="","", IF(OR(SUMIF('Code Violations'!A:A, A186, 'Code Violations'!T:T)&gt;=5, VLOOKUP(A186, 'Master Dashboard'!A:L, 9, FALSE)="FAIL", VLOOKUP(A186, 'Master Dashboard'!A:L, 10, FALSE)="FAIL", ISNUMBER(SEARCH("Critical", J186))), "3-Red", IF(SUMIF('Code Violations'!A:A, A186, 'Code Violations'!T:T)&gt;=1, "2-Yellow", "1-White")))</f>
        <v/>
      </c>
      <c r="L186" t="str">
        <f t="shared" si="5"/>
        <v/>
      </c>
    </row>
    <row r="187" spans="11:12" x14ac:dyDescent="0.25">
      <c r="K187" t="str">
        <f>IF(A187="","", IF(OR(SUMIF('Code Violations'!A:A, A187, 'Code Violations'!T:T)&gt;=5, VLOOKUP(A187, 'Master Dashboard'!A:L, 9, FALSE)="FAIL", VLOOKUP(A187, 'Master Dashboard'!A:L, 10, FALSE)="FAIL", ISNUMBER(SEARCH("Critical", J187))), "3-Red", IF(SUMIF('Code Violations'!A:A, A187, 'Code Violations'!T:T)&gt;=1, "2-Yellow", "1-White")))</f>
        <v/>
      </c>
      <c r="L187" t="str">
        <f t="shared" si="5"/>
        <v/>
      </c>
    </row>
    <row r="188" spans="11:12" x14ac:dyDescent="0.25">
      <c r="K188" t="str">
        <f>IF(A188="","", IF(OR(SUMIF('Code Violations'!A:A, A188, 'Code Violations'!T:T)&gt;=5, VLOOKUP(A188, 'Master Dashboard'!A:L, 9, FALSE)="FAIL", VLOOKUP(A188, 'Master Dashboard'!A:L, 10, FALSE)="FAIL", ISNUMBER(SEARCH("Critical", J188))), "3-Red", IF(SUMIF('Code Violations'!A:A, A188, 'Code Violations'!T:T)&gt;=1, "2-Yellow", "1-White")))</f>
        <v/>
      </c>
      <c r="L188" t="str">
        <f t="shared" si="5"/>
        <v/>
      </c>
    </row>
    <row r="189" spans="11:12" x14ac:dyDescent="0.25">
      <c r="K189" t="str">
        <f>IF(A189="","", IF(OR(SUMIF('Code Violations'!A:A, A189, 'Code Violations'!T:T)&gt;=5, VLOOKUP(A189, 'Master Dashboard'!A:L, 9, FALSE)="FAIL", VLOOKUP(A189, 'Master Dashboard'!A:L, 10, FALSE)="FAIL", ISNUMBER(SEARCH("Critical", J189))), "3-Red", IF(SUMIF('Code Violations'!A:A, A189, 'Code Violations'!T:T)&gt;=1, "2-Yellow", "1-White")))</f>
        <v/>
      </c>
      <c r="L189" t="str">
        <f t="shared" si="5"/>
        <v/>
      </c>
    </row>
    <row r="190" spans="11:12" x14ac:dyDescent="0.25">
      <c r="K190" t="str">
        <f>IF(A190="","", IF(OR(SUMIF('Code Violations'!A:A, A190, 'Code Violations'!T:T)&gt;=5, VLOOKUP(A190, 'Master Dashboard'!A:L, 9, FALSE)="FAIL", VLOOKUP(A190, 'Master Dashboard'!A:L, 10, FALSE)="FAIL", ISNUMBER(SEARCH("Critical", J190))), "3-Red", IF(SUMIF('Code Violations'!A:A, A190, 'Code Violations'!T:T)&gt;=1, "2-Yellow", "1-White")))</f>
        <v/>
      </c>
      <c r="L190" t="str">
        <f t="shared" si="5"/>
        <v/>
      </c>
    </row>
    <row r="191" spans="11:12" x14ac:dyDescent="0.25">
      <c r="K191" t="str">
        <f>IF(A191="","", IF(OR(SUMIF('Code Violations'!A:A, A191, 'Code Violations'!T:T)&gt;=5, VLOOKUP(A191, 'Master Dashboard'!A:L, 9, FALSE)="FAIL", VLOOKUP(A191, 'Master Dashboard'!A:L, 10, FALSE)="FAIL", ISNUMBER(SEARCH("Critical", J191))), "3-Red", IF(SUMIF('Code Violations'!A:A, A191, 'Code Violations'!T:T)&gt;=1, "2-Yellow", "1-White")))</f>
        <v/>
      </c>
      <c r="L191" t="str">
        <f t="shared" si="5"/>
        <v/>
      </c>
    </row>
    <row r="192" spans="11:12" x14ac:dyDescent="0.25">
      <c r="K192" t="str">
        <f>IF(A192="","", IF(OR(SUMIF('Code Violations'!A:A, A192, 'Code Violations'!T:T)&gt;=5, VLOOKUP(A192, 'Master Dashboard'!A:L, 9, FALSE)="FAIL", VLOOKUP(A192, 'Master Dashboard'!A:L, 10, FALSE)="FAIL", ISNUMBER(SEARCH("Critical", J192))), "3-Red", IF(SUMIF('Code Violations'!A:A, A192, 'Code Violations'!T:T)&gt;=1, "2-Yellow", "1-White")))</f>
        <v/>
      </c>
      <c r="L192" t="str">
        <f t="shared" si="5"/>
        <v/>
      </c>
    </row>
    <row r="193" spans="11:12" x14ac:dyDescent="0.25">
      <c r="K193" t="str">
        <f>IF(A193="","", IF(OR(SUMIF('Code Violations'!A:A, A193, 'Code Violations'!T:T)&gt;=5, VLOOKUP(A193, 'Master Dashboard'!A:L, 9, FALSE)="FAIL", VLOOKUP(A193, 'Master Dashboard'!A:L, 10, FALSE)="FAIL", ISNUMBER(SEARCH("Critical", J193))), "3-Red", IF(SUMIF('Code Violations'!A:A, A193, 'Code Violations'!T:T)&gt;=1, "2-Yellow", "1-White")))</f>
        <v/>
      </c>
      <c r="L193" t="str">
        <f t="shared" si="5"/>
        <v/>
      </c>
    </row>
    <row r="194" spans="11:12" x14ac:dyDescent="0.25">
      <c r="K194" t="str">
        <f>IF(A194="","", IF(OR(SUMIF('Code Violations'!A:A, A194, 'Code Violations'!T:T)&gt;=5, VLOOKUP(A194, 'Master Dashboard'!A:L, 9, FALSE)="FAIL", VLOOKUP(A194, 'Master Dashboard'!A:L, 10, FALSE)="FAIL", ISNUMBER(SEARCH("Critical", J194))), "3-Red", IF(SUMIF('Code Violations'!A:A, A194, 'Code Violations'!T:T)&gt;=1, "2-Yellow", "1-White")))</f>
        <v/>
      </c>
      <c r="L194" t="str">
        <f t="shared" si="5"/>
        <v/>
      </c>
    </row>
    <row r="195" spans="11:12" x14ac:dyDescent="0.25">
      <c r="K195" t="str">
        <f>IF(A195="","", IF(OR(SUMIF('Code Violations'!A:A, A195, 'Code Violations'!T:T)&gt;=5, VLOOKUP(A195, 'Master Dashboard'!A:L, 9, FALSE)="FAIL", VLOOKUP(A195, 'Master Dashboard'!A:L, 10, FALSE)="FAIL", ISNUMBER(SEARCH("Critical", J195))), "3-Red", IF(SUMIF('Code Violations'!A:A, A195, 'Code Violations'!T:T)&gt;=1, "2-Yellow", "1-White")))</f>
        <v/>
      </c>
      <c r="L195" t="str">
        <f t="shared" si="5"/>
        <v/>
      </c>
    </row>
    <row r="196" spans="11:12" x14ac:dyDescent="0.25">
      <c r="K196" t="str">
        <f>IF(A196="","", IF(OR(SUMIF('Code Violations'!A:A, A196, 'Code Violations'!T:T)&gt;=5, VLOOKUP(A196, 'Master Dashboard'!A:L, 9, FALSE)="FAIL", VLOOKUP(A196, 'Master Dashboard'!A:L, 10, FALSE)="FAIL", ISNUMBER(SEARCH("Critical", J196))), "3-Red", IF(SUMIF('Code Violations'!A:A, A196, 'Code Violations'!T:T)&gt;=1, "2-Yellow", "1-White")))</f>
        <v/>
      </c>
      <c r="L196" t="str">
        <f t="shared" si="5"/>
        <v/>
      </c>
    </row>
    <row r="197" spans="11:12" x14ac:dyDescent="0.25">
      <c r="K197" t="str">
        <f>IF(A197="","", IF(OR(SUMIF('Code Violations'!A:A, A197, 'Code Violations'!T:T)&gt;=5, VLOOKUP(A197, 'Master Dashboard'!A:L, 9, FALSE)="FAIL", VLOOKUP(A197, 'Master Dashboard'!A:L, 10, FALSE)="FAIL", ISNUMBER(SEARCH("Critical", J197))), "3-Red", IF(SUMIF('Code Violations'!A:A, A197, 'Code Violations'!T:T)&gt;=1, "2-Yellow", "1-White")))</f>
        <v/>
      </c>
      <c r="L197" t="str">
        <f t="shared" si="5"/>
        <v/>
      </c>
    </row>
    <row r="198" spans="11:12" x14ac:dyDescent="0.25">
      <c r="K198" t="str">
        <f>IF(A198="","", IF(OR(SUMIF('Code Violations'!A:A, A198, 'Code Violations'!T:T)&gt;=5, VLOOKUP(A198, 'Master Dashboard'!A:L, 9, FALSE)="FAIL", VLOOKUP(A198, 'Master Dashboard'!A:L, 10, FALSE)="FAIL", ISNUMBER(SEARCH("Critical", J198))), "3-Red", IF(SUMIF('Code Violations'!A:A, A198, 'Code Violations'!T:T)&gt;=1, "2-Yellow", "1-White")))</f>
        <v/>
      </c>
      <c r="L198" t="str">
        <f t="shared" si="5"/>
        <v/>
      </c>
    </row>
    <row r="199" spans="11:12" x14ac:dyDescent="0.25">
      <c r="K199" t="str">
        <f>IF(A199="","", IF(OR(SUMIF('Code Violations'!A:A, A199, 'Code Violations'!T:T)&gt;=5, VLOOKUP(A199, 'Master Dashboard'!A:L, 9, FALSE)="FAIL", VLOOKUP(A199, 'Master Dashboard'!A:L, 10, FALSE)="FAIL", ISNUMBER(SEARCH("Critical", J199))), "3-Red", IF(SUMIF('Code Violations'!A:A, A199, 'Code Violations'!T:T)&gt;=1, "2-Yellow", "1-White")))</f>
        <v/>
      </c>
      <c r="L199" t="str">
        <f t="shared" si="5"/>
        <v/>
      </c>
    </row>
    <row r="200" spans="11:12" x14ac:dyDescent="0.25">
      <c r="K200" t="str">
        <f>IF(A200="","", IF(OR(SUMIF('Code Violations'!A:A, A200, 'Code Violations'!T:T)&gt;=5, VLOOKUP(A200, 'Master Dashboard'!A:L, 9, FALSE)="FAIL", VLOOKUP(A200, 'Master Dashboard'!A:L, 10, FALSE)="FAIL", ISNUMBER(SEARCH("Critical", J200))), "3-Red", IF(SUMIF('Code Violations'!A:A, A200, 'Code Violations'!T:T)&gt;=1, "2-Yellow", "1-White")))</f>
        <v/>
      </c>
      <c r="L200" t="str">
        <f t="shared" si="5"/>
        <v/>
      </c>
    </row>
    <row r="201" spans="11:12" x14ac:dyDescent="0.25">
      <c r="K201" t="str">
        <f>IF(A201="","", IF(OR(SUMIF('Code Violations'!A:A, A201, 'Code Violations'!T:T)&gt;=5, VLOOKUP(A201, 'Master Dashboard'!A:L, 9, FALSE)="FAIL", VLOOKUP(A201, 'Master Dashboard'!A:L, 10, FALSE)="FAIL", ISNUMBER(SEARCH("Critical", J201))), "3-Red", IF(SUMIF('Code Violations'!A:A, A201, 'Code Violations'!T:T)&gt;=1, "2-Yellow", "1-White")))</f>
        <v/>
      </c>
      <c r="L201" t="str">
        <f t="shared" si="5"/>
        <v/>
      </c>
    </row>
    <row r="202" spans="11:12" x14ac:dyDescent="0.25">
      <c r="K202" t="str">
        <f>IF(A202="","", IF(OR(SUMIF('Code Violations'!A:A, A202, 'Code Violations'!T:T)&gt;=5, VLOOKUP(A202, 'Master Dashboard'!A:L, 9, FALSE)="FAIL", VLOOKUP(A202, 'Master Dashboard'!A:L, 10, FALSE)="FAIL", ISNUMBER(SEARCH("Critical", J202))), "3-Red", IF(SUMIF('Code Violations'!A:A, A202, 'Code Violations'!T:T)&gt;=1, "2-Yellow", "1-White")))</f>
        <v/>
      </c>
      <c r="L202" t="str">
        <f t="shared" si="5"/>
        <v/>
      </c>
    </row>
    <row r="203" spans="11:12" x14ac:dyDescent="0.25">
      <c r="K203" t="str">
        <f>IF(A203="","", IF(OR(SUMIF('Code Violations'!A:A, A203, 'Code Violations'!T:T)&gt;=5, VLOOKUP(A203, 'Master Dashboard'!A:L, 9, FALSE)="FAIL", VLOOKUP(A203, 'Master Dashboard'!A:L, 10, FALSE)="FAIL", ISNUMBER(SEARCH("Critical", J203))), "3-Red", IF(SUMIF('Code Violations'!A:A, A203, 'Code Violations'!T:T)&gt;=1, "2-Yellow", "1-White")))</f>
        <v/>
      </c>
      <c r="L203" t="str">
        <f t="shared" si="5"/>
        <v/>
      </c>
    </row>
    <row r="204" spans="11:12" x14ac:dyDescent="0.25">
      <c r="K204" t="str">
        <f>IF(A204="","", IF(OR(SUMIF('Code Violations'!A:A, A204, 'Code Violations'!T:T)&gt;=5, VLOOKUP(A204, 'Master Dashboard'!A:L, 9, FALSE)="FAIL", VLOOKUP(A204, 'Master Dashboard'!A:L, 10, FALSE)="FAIL", ISNUMBER(SEARCH("Critical", J204))), "3-Red", IF(SUMIF('Code Violations'!A:A, A204, 'Code Violations'!T:T)&gt;=1, "2-Yellow", "1-White")))</f>
        <v/>
      </c>
      <c r="L204" t="str">
        <f t="shared" si="5"/>
        <v/>
      </c>
    </row>
    <row r="205" spans="11:12" x14ac:dyDescent="0.25">
      <c r="K205" t="str">
        <f>IF(A205="","", IF(OR(SUMIF('Code Violations'!A:A, A205, 'Code Violations'!T:T)&gt;=5, VLOOKUP(A205, 'Master Dashboard'!A:L, 9, FALSE)="FAIL", VLOOKUP(A205, 'Master Dashboard'!A:L, 10, FALSE)="FAIL", ISNUMBER(SEARCH("Critical", J205))), "3-Red", IF(SUMIF('Code Violations'!A:A, A205, 'Code Violations'!T:T)&gt;=1, "2-Yellow", "1-White")))</f>
        <v/>
      </c>
      <c r="L205" t="str">
        <f t="shared" si="5"/>
        <v/>
      </c>
    </row>
    <row r="206" spans="11:12" x14ac:dyDescent="0.25">
      <c r="K206" t="str">
        <f>IF(A206="","", IF(OR(SUMIF('Code Violations'!A:A, A206, 'Code Violations'!T:T)&gt;=5, VLOOKUP(A206, 'Master Dashboard'!A:L, 9, FALSE)="FAIL", VLOOKUP(A206, 'Master Dashboard'!A:L, 10, FALSE)="FAIL", ISNUMBER(SEARCH("Critical", J206))), "3-Red", IF(SUMIF('Code Violations'!A:A, A206, 'Code Violations'!T:T)&gt;=1, "2-Yellow", "1-White")))</f>
        <v/>
      </c>
      <c r="L206" t="str">
        <f t="shared" si="5"/>
        <v/>
      </c>
    </row>
    <row r="207" spans="11:12" x14ac:dyDescent="0.25">
      <c r="K207" t="str">
        <f>IF(A207="","", IF(OR(SUMIF('Code Violations'!A:A, A207, 'Code Violations'!T:T)&gt;=5, VLOOKUP(A207, 'Master Dashboard'!A:L, 9, FALSE)="FAIL", VLOOKUP(A207, 'Master Dashboard'!A:L, 10, FALSE)="FAIL", ISNUMBER(SEARCH("Critical", J207))), "3-Red", IF(SUMIF('Code Violations'!A:A, A207, 'Code Violations'!T:T)&gt;=1, "2-Yellow", "1-White")))</f>
        <v/>
      </c>
      <c r="L207" t="str">
        <f t="shared" si="5"/>
        <v/>
      </c>
    </row>
    <row r="208" spans="11:12" x14ac:dyDescent="0.25">
      <c r="K208" t="str">
        <f>IF(A208="","", IF(OR(SUMIF('Code Violations'!A:A, A208, 'Code Violations'!T:T)&gt;=5, VLOOKUP(A208, 'Master Dashboard'!A:L, 9, FALSE)="FAIL", VLOOKUP(A208, 'Master Dashboard'!A:L, 10, FALSE)="FAIL", ISNUMBER(SEARCH("Critical", J208))), "3-Red", IF(SUMIF('Code Violations'!A:A, A208, 'Code Violations'!T:T)&gt;=1, "2-Yellow", "1-White")))</f>
        <v/>
      </c>
      <c r="L208" t="str">
        <f t="shared" si="5"/>
        <v/>
      </c>
    </row>
    <row r="209" spans="11:12" x14ac:dyDescent="0.25">
      <c r="K209" t="str">
        <f>IF(A209="","", IF(OR(SUMIF('Code Violations'!A:A, A209, 'Code Violations'!T:T)&gt;=5, VLOOKUP(A209, 'Master Dashboard'!A:L, 9, FALSE)="FAIL", VLOOKUP(A209, 'Master Dashboard'!A:L, 10, FALSE)="FAIL", ISNUMBER(SEARCH("Critical", J209))), "3-Red", IF(SUMIF('Code Violations'!A:A, A209, 'Code Violations'!T:T)&gt;=1, "2-Yellow", "1-White")))</f>
        <v/>
      </c>
      <c r="L209" t="str">
        <f t="shared" si="5"/>
        <v/>
      </c>
    </row>
    <row r="210" spans="11:12" x14ac:dyDescent="0.25">
      <c r="K210" t="str">
        <f>IF(A210="","", IF(OR(SUMIF('Code Violations'!A:A, A210, 'Code Violations'!T:T)&gt;=5, VLOOKUP(A210, 'Master Dashboard'!A:L, 9, FALSE)="FAIL", VLOOKUP(A210, 'Master Dashboard'!A:L, 10, FALSE)="FAIL", ISNUMBER(SEARCH("Critical", J210))), "3-Red", IF(SUMIF('Code Violations'!A:A, A210, 'Code Violations'!T:T)&gt;=1, "2-Yellow", "1-White")))</f>
        <v/>
      </c>
      <c r="L210" t="str">
        <f t="shared" si="5"/>
        <v/>
      </c>
    </row>
    <row r="211" spans="11:12" x14ac:dyDescent="0.25">
      <c r="K211" t="str">
        <f>IF(A211="","", IF(OR(SUMIF('Code Violations'!A:A, A211, 'Code Violations'!T:T)&gt;=5, VLOOKUP(A211, 'Master Dashboard'!A:L, 9, FALSE)="FAIL", VLOOKUP(A211, 'Master Dashboard'!A:L, 10, FALSE)="FAIL", ISNUMBER(SEARCH("Critical", J211))), "3-Red", IF(SUMIF('Code Violations'!A:A, A211, 'Code Violations'!T:T)&gt;=1, "2-Yellow", "1-White")))</f>
        <v/>
      </c>
      <c r="L211" t="str">
        <f t="shared" si="5"/>
        <v/>
      </c>
    </row>
    <row r="212" spans="11:12" x14ac:dyDescent="0.25">
      <c r="K212" t="str">
        <f>IF(A212="","", IF(OR(SUMIF('Code Violations'!A:A, A212, 'Code Violations'!T:T)&gt;=5, VLOOKUP(A212, 'Master Dashboard'!A:L, 9, FALSE)="FAIL", VLOOKUP(A212, 'Master Dashboard'!A:L, 10, FALSE)="FAIL", ISNUMBER(SEARCH("Critical", J212))), "3-Red", IF(SUMIF('Code Violations'!A:A, A212, 'Code Violations'!T:T)&gt;=1, "2-Yellow", "1-White")))</f>
        <v/>
      </c>
      <c r="L212" t="str">
        <f t="shared" si="5"/>
        <v/>
      </c>
    </row>
    <row r="213" spans="11:12" x14ac:dyDescent="0.25">
      <c r="K213" t="str">
        <f>IF(A213="","", IF(OR(SUMIF('Code Violations'!A:A, A213, 'Code Violations'!T:T)&gt;=5, VLOOKUP(A213, 'Master Dashboard'!A:L, 9, FALSE)="FAIL", VLOOKUP(A213, 'Master Dashboard'!A:L, 10, FALSE)="FAIL", ISNUMBER(SEARCH("Critical", J213))), "3-Red", IF(SUMIF('Code Violations'!A:A, A213, 'Code Violations'!T:T)&gt;=1, "2-Yellow", "1-White")))</f>
        <v/>
      </c>
      <c r="L213" t="str">
        <f t="shared" si="5"/>
        <v/>
      </c>
    </row>
    <row r="214" spans="11:12" x14ac:dyDescent="0.25">
      <c r="K214" t="str">
        <f>IF(A214="","", IF(OR(SUMIF('Code Violations'!A:A, A214, 'Code Violations'!T:T)&gt;=5, VLOOKUP(A214, 'Master Dashboard'!A:L, 9, FALSE)="FAIL", VLOOKUP(A214, 'Master Dashboard'!A:L, 10, FALSE)="FAIL", ISNUMBER(SEARCH("Critical", J214))), "3-Red", IF(SUMIF('Code Violations'!A:A, A214, 'Code Violations'!T:T)&gt;=1, "2-Yellow", "1-White")))</f>
        <v/>
      </c>
      <c r="L214" t="str">
        <f t="shared" si="5"/>
        <v/>
      </c>
    </row>
    <row r="215" spans="11:12" x14ac:dyDescent="0.25">
      <c r="K215" t="str">
        <f>IF(A215="","", IF(OR(SUMIF('Code Violations'!A:A, A215, 'Code Violations'!T:T)&gt;=5, VLOOKUP(A215, 'Master Dashboard'!A:L, 9, FALSE)="FAIL", VLOOKUP(A215, 'Master Dashboard'!A:L, 10, FALSE)="FAIL", ISNUMBER(SEARCH("Critical", J215))), "3-Red", IF(SUMIF('Code Violations'!A:A, A215, 'Code Violations'!T:T)&gt;=1, "2-Yellow", "1-White")))</f>
        <v/>
      </c>
      <c r="L215" t="str">
        <f t="shared" si="5"/>
        <v/>
      </c>
    </row>
    <row r="216" spans="11:12" x14ac:dyDescent="0.25">
      <c r="K216" t="str">
        <f>IF(A216="","", IF(OR(SUMIF('Code Violations'!A:A, A216, 'Code Violations'!T:T)&gt;=5, VLOOKUP(A216, 'Master Dashboard'!A:L, 9, FALSE)="FAIL", VLOOKUP(A216, 'Master Dashboard'!A:L, 10, FALSE)="FAIL", ISNUMBER(SEARCH("Critical", J216))), "3-Red", IF(SUMIF('Code Violations'!A:A, A216, 'Code Violations'!T:T)&gt;=1, "2-Yellow", "1-White")))</f>
        <v/>
      </c>
      <c r="L216" t="str">
        <f t="shared" si="5"/>
        <v/>
      </c>
    </row>
    <row r="217" spans="11:12" x14ac:dyDescent="0.25">
      <c r="K217" t="str">
        <f>IF(A217="","", IF(OR(SUMIF('Code Violations'!A:A, A217, 'Code Violations'!T:T)&gt;=5, VLOOKUP(A217, 'Master Dashboard'!A:L, 9, FALSE)="FAIL", VLOOKUP(A217, 'Master Dashboard'!A:L, 10, FALSE)="FAIL", ISNUMBER(SEARCH("Critical", J217))), "3-Red", IF(SUMIF('Code Violations'!A:A, A217, 'Code Violations'!T:T)&gt;=1, "2-Yellow", "1-White")))</f>
        <v/>
      </c>
      <c r="L217" t="str">
        <f t="shared" si="5"/>
        <v/>
      </c>
    </row>
    <row r="218" spans="11:12" x14ac:dyDescent="0.25">
      <c r="K218" t="str">
        <f>IF(A218="","", IF(OR(SUMIF('Code Violations'!A:A, A218, 'Code Violations'!T:T)&gt;=5, VLOOKUP(A218, 'Master Dashboard'!A:L, 9, FALSE)="FAIL", VLOOKUP(A218, 'Master Dashboard'!A:L, 10, FALSE)="FAIL", ISNUMBER(SEARCH("Critical", J218))), "3-Red", IF(SUMIF('Code Violations'!A:A, A218, 'Code Violations'!T:T)&gt;=1, "2-Yellow", "1-White")))</f>
        <v/>
      </c>
      <c r="L218" t="str">
        <f t="shared" si="5"/>
        <v/>
      </c>
    </row>
    <row r="219" spans="11:12" x14ac:dyDescent="0.25">
      <c r="K219" t="str">
        <f>IF(A219="","", IF(OR(SUMIF('Code Violations'!A:A, A219, 'Code Violations'!T:T)&gt;=5, VLOOKUP(A219, 'Master Dashboard'!A:L, 9, FALSE)="FAIL", VLOOKUP(A219, 'Master Dashboard'!A:L, 10, FALSE)="FAIL", ISNUMBER(SEARCH("Critical", J219))), "3-Red", IF(SUMIF('Code Violations'!A:A, A219, 'Code Violations'!T:T)&gt;=1, "2-Yellow", "1-White")))</f>
        <v/>
      </c>
      <c r="L219" t="str">
        <f t="shared" si="5"/>
        <v/>
      </c>
    </row>
    <row r="220" spans="11:12" x14ac:dyDescent="0.25">
      <c r="K220" t="str">
        <f>IF(A220="","", IF(OR(SUMIF('Code Violations'!A:A, A220, 'Code Violations'!T:T)&gt;=5, VLOOKUP(A220, 'Master Dashboard'!A:L, 9, FALSE)="FAIL", VLOOKUP(A220, 'Master Dashboard'!A:L, 10, FALSE)="FAIL", ISNUMBER(SEARCH("Critical", J220))), "3-Red", IF(SUMIF('Code Violations'!A:A, A220, 'Code Violations'!T:T)&gt;=1, "2-Yellow", "1-White")))</f>
        <v/>
      </c>
      <c r="L220" t="str">
        <f t="shared" si="5"/>
        <v/>
      </c>
    </row>
    <row r="221" spans="11:12" x14ac:dyDescent="0.25">
      <c r="K221" t="str">
        <f>IF(A221="","", IF(OR(SUMIF('Code Violations'!A:A, A221, 'Code Violations'!T:T)&gt;=5, VLOOKUP(A221, 'Master Dashboard'!A:L, 9, FALSE)="FAIL", VLOOKUP(A221, 'Master Dashboard'!A:L, 10, FALSE)="FAIL", ISNUMBER(SEARCH("Critical", J221))), "3-Red", IF(SUMIF('Code Violations'!A:A, A221, 'Code Violations'!T:T)&gt;=1, "2-Yellow", "1-White")))</f>
        <v/>
      </c>
      <c r="L221" t="str">
        <f t="shared" si="5"/>
        <v/>
      </c>
    </row>
    <row r="222" spans="11:12" x14ac:dyDescent="0.25">
      <c r="K222" t="str">
        <f>IF(A222="","", IF(OR(SUMIF('Code Violations'!A:A, A222, 'Code Violations'!T:T)&gt;=5, VLOOKUP(A222, 'Master Dashboard'!A:L, 9, FALSE)="FAIL", VLOOKUP(A222, 'Master Dashboard'!A:L, 10, FALSE)="FAIL", ISNUMBER(SEARCH("Critical", J222))), "3-Red", IF(SUMIF('Code Violations'!A:A, A222, 'Code Violations'!T:T)&gt;=1, "2-Yellow", "1-White")))</f>
        <v/>
      </c>
      <c r="L222" t="str">
        <f t="shared" si="5"/>
        <v/>
      </c>
    </row>
    <row r="223" spans="11:12" x14ac:dyDescent="0.25">
      <c r="K223" t="str">
        <f>IF(A223="","", IF(OR(SUMIF('Code Violations'!A:A, A223, 'Code Violations'!T:T)&gt;=5, VLOOKUP(A223, 'Master Dashboard'!A:L, 9, FALSE)="FAIL", VLOOKUP(A223, 'Master Dashboard'!A:L, 10, FALSE)="FAIL", ISNUMBER(SEARCH("Critical", J223))), "3-Red", IF(SUMIF('Code Violations'!A:A, A223, 'Code Violations'!T:T)&gt;=1, "2-Yellow", "1-White")))</f>
        <v/>
      </c>
      <c r="L223" t="str">
        <f t="shared" si="5"/>
        <v/>
      </c>
    </row>
    <row r="224" spans="11:12" x14ac:dyDescent="0.25">
      <c r="K224" t="str">
        <f>IF(A224="","", IF(OR(SUMIF('Code Violations'!A:A, A224, 'Code Violations'!T:T)&gt;=5, VLOOKUP(A224, 'Master Dashboard'!A:L, 9, FALSE)="FAIL", VLOOKUP(A224, 'Master Dashboard'!A:L, 10, FALSE)="FAIL", ISNUMBER(SEARCH("Critical", J224))), "3-Red", IF(SUMIF('Code Violations'!A:A, A224, 'Code Violations'!T:T)&gt;=1, "2-Yellow", "1-White")))</f>
        <v/>
      </c>
      <c r="L224" t="str">
        <f t="shared" si="5"/>
        <v/>
      </c>
    </row>
    <row r="225" spans="11:12" x14ac:dyDescent="0.25">
      <c r="K225" t="str">
        <f>IF(A225="","", IF(OR(SUMIF('Code Violations'!A:A, A225, 'Code Violations'!T:T)&gt;=5, VLOOKUP(A225, 'Master Dashboard'!A:L, 9, FALSE)="FAIL", VLOOKUP(A225, 'Master Dashboard'!A:L, 10, FALSE)="FAIL", ISNUMBER(SEARCH("Critical", J225))), "3-Red", IF(SUMIF('Code Violations'!A:A, A225, 'Code Violations'!T:T)&gt;=1, "2-Yellow", "1-White")))</f>
        <v/>
      </c>
      <c r="L225" t="str">
        <f t="shared" si="5"/>
        <v/>
      </c>
    </row>
    <row r="226" spans="11:12" x14ac:dyDescent="0.25">
      <c r="K226" t="str">
        <f>IF(A226="","", IF(OR(SUMIF('Code Violations'!A:A, A226, 'Code Violations'!T:T)&gt;=5, VLOOKUP(A226, 'Master Dashboard'!A:L, 9, FALSE)="FAIL", VLOOKUP(A226, 'Master Dashboard'!A:L, 10, FALSE)="FAIL", ISNUMBER(SEARCH("Critical", J226))), "3-Red", IF(SUMIF('Code Violations'!A:A, A226, 'Code Violations'!T:T)&gt;=1, "2-Yellow", "1-White")))</f>
        <v/>
      </c>
      <c r="L226" t="str">
        <f t="shared" ref="L226:L289" si="6">IF(J226="","", IF(ISNUMBER(SEARCH("Critical", J226)), "CRITICAL FAIL", IF(ISNUMBER(SEARCH("Overdue", J226)), "FAIL", "COMPLIANT")))</f>
        <v/>
      </c>
    </row>
    <row r="227" spans="11:12" x14ac:dyDescent="0.25">
      <c r="K227" t="str">
        <f>IF(A227="","", IF(OR(SUMIF('Code Violations'!A:A, A227, 'Code Violations'!T:T)&gt;=5, VLOOKUP(A227, 'Master Dashboard'!A:L, 9, FALSE)="FAIL", VLOOKUP(A227, 'Master Dashboard'!A:L, 10, FALSE)="FAIL", ISNUMBER(SEARCH("Critical", J227))), "3-Red", IF(SUMIF('Code Violations'!A:A, A227, 'Code Violations'!T:T)&gt;=1, "2-Yellow", "1-White")))</f>
        <v/>
      </c>
      <c r="L227" t="str">
        <f t="shared" si="6"/>
        <v/>
      </c>
    </row>
    <row r="228" spans="11:12" x14ac:dyDescent="0.25">
      <c r="K228" t="str">
        <f>IF(A228="","", IF(OR(SUMIF('Code Violations'!A:A, A228, 'Code Violations'!T:T)&gt;=5, VLOOKUP(A228, 'Master Dashboard'!A:L, 9, FALSE)="FAIL", VLOOKUP(A228, 'Master Dashboard'!A:L, 10, FALSE)="FAIL", ISNUMBER(SEARCH("Critical", J228))), "3-Red", IF(SUMIF('Code Violations'!A:A, A228, 'Code Violations'!T:T)&gt;=1, "2-Yellow", "1-White")))</f>
        <v/>
      </c>
      <c r="L228" t="str">
        <f t="shared" si="6"/>
        <v/>
      </c>
    </row>
    <row r="229" spans="11:12" x14ac:dyDescent="0.25">
      <c r="K229" t="str">
        <f>IF(A229="","", IF(OR(SUMIF('Code Violations'!A:A, A229, 'Code Violations'!T:T)&gt;=5, VLOOKUP(A229, 'Master Dashboard'!A:L, 9, FALSE)="FAIL", VLOOKUP(A229, 'Master Dashboard'!A:L, 10, FALSE)="FAIL", ISNUMBER(SEARCH("Critical", J229))), "3-Red", IF(SUMIF('Code Violations'!A:A, A229, 'Code Violations'!T:T)&gt;=1, "2-Yellow", "1-White")))</f>
        <v/>
      </c>
      <c r="L229" t="str">
        <f t="shared" si="6"/>
        <v/>
      </c>
    </row>
    <row r="230" spans="11:12" x14ac:dyDescent="0.25">
      <c r="K230" t="str">
        <f>IF(A230="","", IF(OR(SUMIF('Code Violations'!A:A, A230, 'Code Violations'!T:T)&gt;=5, VLOOKUP(A230, 'Master Dashboard'!A:L, 9, FALSE)="FAIL", VLOOKUP(A230, 'Master Dashboard'!A:L, 10, FALSE)="FAIL", ISNUMBER(SEARCH("Critical", J230))), "3-Red", IF(SUMIF('Code Violations'!A:A, A230, 'Code Violations'!T:T)&gt;=1, "2-Yellow", "1-White")))</f>
        <v/>
      </c>
      <c r="L230" t="str">
        <f t="shared" si="6"/>
        <v/>
      </c>
    </row>
    <row r="231" spans="11:12" x14ac:dyDescent="0.25">
      <c r="K231" t="str">
        <f>IF(A231="","", IF(OR(SUMIF('Code Violations'!A:A, A231, 'Code Violations'!T:T)&gt;=5, VLOOKUP(A231, 'Master Dashboard'!A:L, 9, FALSE)="FAIL", VLOOKUP(A231, 'Master Dashboard'!A:L, 10, FALSE)="FAIL", ISNUMBER(SEARCH("Critical", J231))), "3-Red", IF(SUMIF('Code Violations'!A:A, A231, 'Code Violations'!T:T)&gt;=1, "2-Yellow", "1-White")))</f>
        <v/>
      </c>
      <c r="L231" t="str">
        <f t="shared" si="6"/>
        <v/>
      </c>
    </row>
    <row r="232" spans="11:12" x14ac:dyDescent="0.25">
      <c r="K232" t="str">
        <f>IF(A232="","", IF(OR(SUMIF('Code Violations'!A:A, A232, 'Code Violations'!T:T)&gt;=5, VLOOKUP(A232, 'Master Dashboard'!A:L, 9, FALSE)="FAIL", VLOOKUP(A232, 'Master Dashboard'!A:L, 10, FALSE)="FAIL", ISNUMBER(SEARCH("Critical", J232))), "3-Red", IF(SUMIF('Code Violations'!A:A, A232, 'Code Violations'!T:T)&gt;=1, "2-Yellow", "1-White")))</f>
        <v/>
      </c>
      <c r="L232" t="str">
        <f t="shared" si="6"/>
        <v/>
      </c>
    </row>
    <row r="233" spans="11:12" x14ac:dyDescent="0.25">
      <c r="K233" t="str">
        <f>IF(A233="","", IF(OR(SUMIF('Code Violations'!A:A, A233, 'Code Violations'!T:T)&gt;=5, VLOOKUP(A233, 'Master Dashboard'!A:L, 9, FALSE)="FAIL", VLOOKUP(A233, 'Master Dashboard'!A:L, 10, FALSE)="FAIL", ISNUMBER(SEARCH("Critical", J233))), "3-Red", IF(SUMIF('Code Violations'!A:A, A233, 'Code Violations'!T:T)&gt;=1, "2-Yellow", "1-White")))</f>
        <v/>
      </c>
      <c r="L233" t="str">
        <f t="shared" si="6"/>
        <v/>
      </c>
    </row>
    <row r="234" spans="11:12" x14ac:dyDescent="0.25">
      <c r="K234" t="str">
        <f>IF(A234="","", IF(OR(SUMIF('Code Violations'!A:A, A234, 'Code Violations'!T:T)&gt;=5, VLOOKUP(A234, 'Master Dashboard'!A:L, 9, FALSE)="FAIL", VLOOKUP(A234, 'Master Dashboard'!A:L, 10, FALSE)="FAIL", ISNUMBER(SEARCH("Critical", J234))), "3-Red", IF(SUMIF('Code Violations'!A:A, A234, 'Code Violations'!T:T)&gt;=1, "2-Yellow", "1-White")))</f>
        <v/>
      </c>
      <c r="L234" t="str">
        <f t="shared" si="6"/>
        <v/>
      </c>
    </row>
    <row r="235" spans="11:12" x14ac:dyDescent="0.25">
      <c r="K235" t="str">
        <f>IF(A235="","", IF(OR(SUMIF('Code Violations'!A:A, A235, 'Code Violations'!T:T)&gt;=5, VLOOKUP(A235, 'Master Dashboard'!A:L, 9, FALSE)="FAIL", VLOOKUP(A235, 'Master Dashboard'!A:L, 10, FALSE)="FAIL", ISNUMBER(SEARCH("Critical", J235))), "3-Red", IF(SUMIF('Code Violations'!A:A, A235, 'Code Violations'!T:T)&gt;=1, "2-Yellow", "1-White")))</f>
        <v/>
      </c>
      <c r="L235" t="str">
        <f t="shared" si="6"/>
        <v/>
      </c>
    </row>
    <row r="236" spans="11:12" x14ac:dyDescent="0.25">
      <c r="K236" t="str">
        <f>IF(A236="","", IF(OR(SUMIF('Code Violations'!A:A, A236, 'Code Violations'!T:T)&gt;=5, VLOOKUP(A236, 'Master Dashboard'!A:L, 9, FALSE)="FAIL", VLOOKUP(A236, 'Master Dashboard'!A:L, 10, FALSE)="FAIL", ISNUMBER(SEARCH("Critical", J236))), "3-Red", IF(SUMIF('Code Violations'!A:A, A236, 'Code Violations'!T:T)&gt;=1, "2-Yellow", "1-White")))</f>
        <v/>
      </c>
      <c r="L236" t="str">
        <f t="shared" si="6"/>
        <v/>
      </c>
    </row>
    <row r="237" spans="11:12" x14ac:dyDescent="0.25">
      <c r="K237" t="str">
        <f>IF(A237="","", IF(OR(SUMIF('Code Violations'!A:A, A237, 'Code Violations'!T:T)&gt;=5, VLOOKUP(A237, 'Master Dashboard'!A:L, 9, FALSE)="FAIL", VLOOKUP(A237, 'Master Dashboard'!A:L, 10, FALSE)="FAIL", ISNUMBER(SEARCH("Critical", J237))), "3-Red", IF(SUMIF('Code Violations'!A:A, A237, 'Code Violations'!T:T)&gt;=1, "2-Yellow", "1-White")))</f>
        <v/>
      </c>
      <c r="L237" t="str">
        <f t="shared" si="6"/>
        <v/>
      </c>
    </row>
    <row r="238" spans="11:12" x14ac:dyDescent="0.25">
      <c r="K238" t="str">
        <f>IF(A238="","", IF(OR(SUMIF('Code Violations'!A:A, A238, 'Code Violations'!T:T)&gt;=5, VLOOKUP(A238, 'Master Dashboard'!A:L, 9, FALSE)="FAIL", VLOOKUP(A238, 'Master Dashboard'!A:L, 10, FALSE)="FAIL", ISNUMBER(SEARCH("Critical", J238))), "3-Red", IF(SUMIF('Code Violations'!A:A, A238, 'Code Violations'!T:T)&gt;=1, "2-Yellow", "1-White")))</f>
        <v/>
      </c>
      <c r="L238" t="str">
        <f t="shared" si="6"/>
        <v/>
      </c>
    </row>
    <row r="239" spans="11:12" x14ac:dyDescent="0.25">
      <c r="K239" t="str">
        <f>IF(A239="","", IF(OR(SUMIF('Code Violations'!A:A, A239, 'Code Violations'!T:T)&gt;=5, VLOOKUP(A239, 'Master Dashboard'!A:L, 9, FALSE)="FAIL", VLOOKUP(A239, 'Master Dashboard'!A:L, 10, FALSE)="FAIL", ISNUMBER(SEARCH("Critical", J239))), "3-Red", IF(SUMIF('Code Violations'!A:A, A239, 'Code Violations'!T:T)&gt;=1, "2-Yellow", "1-White")))</f>
        <v/>
      </c>
      <c r="L239" t="str">
        <f t="shared" si="6"/>
        <v/>
      </c>
    </row>
    <row r="240" spans="11:12" x14ac:dyDescent="0.25">
      <c r="K240" t="str">
        <f>IF(A240="","", IF(OR(SUMIF('Code Violations'!A:A, A240, 'Code Violations'!T:T)&gt;=5, VLOOKUP(A240, 'Master Dashboard'!A:L, 9, FALSE)="FAIL", VLOOKUP(A240, 'Master Dashboard'!A:L, 10, FALSE)="FAIL", ISNUMBER(SEARCH("Critical", J240))), "3-Red", IF(SUMIF('Code Violations'!A:A, A240, 'Code Violations'!T:T)&gt;=1, "2-Yellow", "1-White")))</f>
        <v/>
      </c>
      <c r="L240" t="str">
        <f t="shared" si="6"/>
        <v/>
      </c>
    </row>
    <row r="241" spans="11:12" x14ac:dyDescent="0.25">
      <c r="K241" t="str">
        <f>IF(A241="","", IF(OR(SUMIF('Code Violations'!A:A, A241, 'Code Violations'!T:T)&gt;=5, VLOOKUP(A241, 'Master Dashboard'!A:L, 9, FALSE)="FAIL", VLOOKUP(A241, 'Master Dashboard'!A:L, 10, FALSE)="FAIL", ISNUMBER(SEARCH("Critical", J241))), "3-Red", IF(SUMIF('Code Violations'!A:A, A241, 'Code Violations'!T:T)&gt;=1, "2-Yellow", "1-White")))</f>
        <v/>
      </c>
      <c r="L241" t="str">
        <f t="shared" si="6"/>
        <v/>
      </c>
    </row>
    <row r="242" spans="11:12" x14ac:dyDescent="0.25">
      <c r="K242" t="str">
        <f>IF(A242="","", IF(OR(SUMIF('Code Violations'!A:A, A242, 'Code Violations'!T:T)&gt;=5, VLOOKUP(A242, 'Master Dashboard'!A:L, 9, FALSE)="FAIL", VLOOKUP(A242, 'Master Dashboard'!A:L, 10, FALSE)="FAIL", ISNUMBER(SEARCH("Critical", J242))), "3-Red", IF(SUMIF('Code Violations'!A:A, A242, 'Code Violations'!T:T)&gt;=1, "2-Yellow", "1-White")))</f>
        <v/>
      </c>
      <c r="L242" t="str">
        <f t="shared" si="6"/>
        <v/>
      </c>
    </row>
    <row r="243" spans="11:12" x14ac:dyDescent="0.25">
      <c r="K243" t="str">
        <f>IF(A243="","", IF(OR(SUMIF('Code Violations'!A:A, A243, 'Code Violations'!T:T)&gt;=5, VLOOKUP(A243, 'Master Dashboard'!A:L, 9, FALSE)="FAIL", VLOOKUP(A243, 'Master Dashboard'!A:L, 10, FALSE)="FAIL", ISNUMBER(SEARCH("Critical", J243))), "3-Red", IF(SUMIF('Code Violations'!A:A, A243, 'Code Violations'!T:T)&gt;=1, "2-Yellow", "1-White")))</f>
        <v/>
      </c>
      <c r="L243" t="str">
        <f t="shared" si="6"/>
        <v/>
      </c>
    </row>
    <row r="244" spans="11:12" x14ac:dyDescent="0.25">
      <c r="K244" t="str">
        <f>IF(A244="","", IF(OR(SUMIF('Code Violations'!A:A, A244, 'Code Violations'!T:T)&gt;=5, VLOOKUP(A244, 'Master Dashboard'!A:L, 9, FALSE)="FAIL", VLOOKUP(A244, 'Master Dashboard'!A:L, 10, FALSE)="FAIL", ISNUMBER(SEARCH("Critical", J244))), "3-Red", IF(SUMIF('Code Violations'!A:A, A244, 'Code Violations'!T:T)&gt;=1, "2-Yellow", "1-White")))</f>
        <v/>
      </c>
      <c r="L244" t="str">
        <f t="shared" si="6"/>
        <v/>
      </c>
    </row>
    <row r="245" spans="11:12" x14ac:dyDescent="0.25">
      <c r="K245" t="str">
        <f>IF(A245="","", IF(OR(SUMIF('Code Violations'!A:A, A245, 'Code Violations'!T:T)&gt;=5, VLOOKUP(A245, 'Master Dashboard'!A:L, 9, FALSE)="FAIL", VLOOKUP(A245, 'Master Dashboard'!A:L, 10, FALSE)="FAIL", ISNUMBER(SEARCH("Critical", J245))), "3-Red", IF(SUMIF('Code Violations'!A:A, A245, 'Code Violations'!T:T)&gt;=1, "2-Yellow", "1-White")))</f>
        <v/>
      </c>
      <c r="L245" t="str">
        <f t="shared" si="6"/>
        <v/>
      </c>
    </row>
    <row r="246" spans="11:12" x14ac:dyDescent="0.25">
      <c r="K246" t="str">
        <f>IF(A246="","", IF(OR(SUMIF('Code Violations'!A:A, A246, 'Code Violations'!T:T)&gt;=5, VLOOKUP(A246, 'Master Dashboard'!A:L, 9, FALSE)="FAIL", VLOOKUP(A246, 'Master Dashboard'!A:L, 10, FALSE)="FAIL", ISNUMBER(SEARCH("Critical", J246))), "3-Red", IF(SUMIF('Code Violations'!A:A, A246, 'Code Violations'!T:T)&gt;=1, "2-Yellow", "1-White")))</f>
        <v/>
      </c>
      <c r="L246" t="str">
        <f t="shared" si="6"/>
        <v/>
      </c>
    </row>
    <row r="247" spans="11:12" x14ac:dyDescent="0.25">
      <c r="K247" t="str">
        <f>IF(A247="","", IF(OR(SUMIF('Code Violations'!A:A, A247, 'Code Violations'!T:T)&gt;=5, VLOOKUP(A247, 'Master Dashboard'!A:L, 9, FALSE)="FAIL", VLOOKUP(A247, 'Master Dashboard'!A:L, 10, FALSE)="FAIL", ISNUMBER(SEARCH("Critical", J247))), "3-Red", IF(SUMIF('Code Violations'!A:A, A247, 'Code Violations'!T:T)&gt;=1, "2-Yellow", "1-White")))</f>
        <v/>
      </c>
      <c r="L247" t="str">
        <f t="shared" si="6"/>
        <v/>
      </c>
    </row>
    <row r="248" spans="11:12" x14ac:dyDescent="0.25">
      <c r="K248" t="str">
        <f>IF(A248="","", IF(OR(SUMIF('Code Violations'!A:A, A248, 'Code Violations'!T:T)&gt;=5, VLOOKUP(A248, 'Master Dashboard'!A:L, 9, FALSE)="FAIL", VLOOKUP(A248, 'Master Dashboard'!A:L, 10, FALSE)="FAIL", ISNUMBER(SEARCH("Critical", J248))), "3-Red", IF(SUMIF('Code Violations'!A:A, A248, 'Code Violations'!T:T)&gt;=1, "2-Yellow", "1-White")))</f>
        <v/>
      </c>
      <c r="L248" t="str">
        <f t="shared" si="6"/>
        <v/>
      </c>
    </row>
    <row r="249" spans="11:12" x14ac:dyDescent="0.25">
      <c r="K249" t="str">
        <f>IF(A249="","", IF(OR(SUMIF('Code Violations'!A:A, A249, 'Code Violations'!T:T)&gt;=5, VLOOKUP(A249, 'Master Dashboard'!A:L, 9, FALSE)="FAIL", VLOOKUP(A249, 'Master Dashboard'!A:L, 10, FALSE)="FAIL", ISNUMBER(SEARCH("Critical", J249))), "3-Red", IF(SUMIF('Code Violations'!A:A, A249, 'Code Violations'!T:T)&gt;=1, "2-Yellow", "1-White")))</f>
        <v/>
      </c>
      <c r="L249" t="str">
        <f t="shared" si="6"/>
        <v/>
      </c>
    </row>
    <row r="250" spans="11:12" x14ac:dyDescent="0.25">
      <c r="K250" t="str">
        <f>IF(A250="","", IF(OR(SUMIF('Code Violations'!A:A, A250, 'Code Violations'!T:T)&gt;=5, VLOOKUP(A250, 'Master Dashboard'!A:L, 9, FALSE)="FAIL", VLOOKUP(A250, 'Master Dashboard'!A:L, 10, FALSE)="FAIL", ISNUMBER(SEARCH("Critical", J250))), "3-Red", IF(SUMIF('Code Violations'!A:A, A250, 'Code Violations'!T:T)&gt;=1, "2-Yellow", "1-White")))</f>
        <v/>
      </c>
      <c r="L250" t="str">
        <f t="shared" si="6"/>
        <v/>
      </c>
    </row>
    <row r="251" spans="11:12" x14ac:dyDescent="0.25">
      <c r="K251" t="str">
        <f>IF(A251="","", IF(OR(SUMIF('Code Violations'!A:A, A251, 'Code Violations'!T:T)&gt;=5, VLOOKUP(A251, 'Master Dashboard'!A:L, 9, FALSE)="FAIL", VLOOKUP(A251, 'Master Dashboard'!A:L, 10, FALSE)="FAIL", ISNUMBER(SEARCH("Critical", J251))), "3-Red", IF(SUMIF('Code Violations'!A:A, A251, 'Code Violations'!T:T)&gt;=1, "2-Yellow", "1-White")))</f>
        <v/>
      </c>
      <c r="L251" t="str">
        <f t="shared" si="6"/>
        <v/>
      </c>
    </row>
    <row r="252" spans="11:12" x14ac:dyDescent="0.25">
      <c r="K252" t="str">
        <f>IF(A252="","", IF(OR(SUMIF('Code Violations'!A:A, A252, 'Code Violations'!T:T)&gt;=5, VLOOKUP(A252, 'Master Dashboard'!A:L, 9, FALSE)="FAIL", VLOOKUP(A252, 'Master Dashboard'!A:L, 10, FALSE)="FAIL", ISNUMBER(SEARCH("Critical", J252))), "3-Red", IF(SUMIF('Code Violations'!A:A, A252, 'Code Violations'!T:T)&gt;=1, "2-Yellow", "1-White")))</f>
        <v/>
      </c>
      <c r="L252" t="str">
        <f t="shared" si="6"/>
        <v/>
      </c>
    </row>
    <row r="253" spans="11:12" x14ac:dyDescent="0.25">
      <c r="K253" t="str">
        <f>IF(A253="","", IF(OR(SUMIF('Code Violations'!A:A, A253, 'Code Violations'!T:T)&gt;=5, VLOOKUP(A253, 'Master Dashboard'!A:L, 9, FALSE)="FAIL", VLOOKUP(A253, 'Master Dashboard'!A:L, 10, FALSE)="FAIL", ISNUMBER(SEARCH("Critical", J253))), "3-Red", IF(SUMIF('Code Violations'!A:A, A253, 'Code Violations'!T:T)&gt;=1, "2-Yellow", "1-White")))</f>
        <v/>
      </c>
      <c r="L253" t="str">
        <f t="shared" si="6"/>
        <v/>
      </c>
    </row>
    <row r="254" spans="11:12" x14ac:dyDescent="0.25">
      <c r="K254" t="str">
        <f>IF(A254="","", IF(OR(SUMIF('Code Violations'!A:A, A254, 'Code Violations'!T:T)&gt;=5, VLOOKUP(A254, 'Master Dashboard'!A:L, 9, FALSE)="FAIL", VLOOKUP(A254, 'Master Dashboard'!A:L, 10, FALSE)="FAIL", ISNUMBER(SEARCH("Critical", J254))), "3-Red", IF(SUMIF('Code Violations'!A:A, A254, 'Code Violations'!T:T)&gt;=1, "2-Yellow", "1-White")))</f>
        <v/>
      </c>
      <c r="L254" t="str">
        <f t="shared" si="6"/>
        <v/>
      </c>
    </row>
    <row r="255" spans="11:12" x14ac:dyDescent="0.25">
      <c r="K255" t="str">
        <f>IF(A255="","", IF(OR(SUMIF('Code Violations'!A:A, A255, 'Code Violations'!T:T)&gt;=5, VLOOKUP(A255, 'Master Dashboard'!A:L, 9, FALSE)="FAIL", VLOOKUP(A255, 'Master Dashboard'!A:L, 10, FALSE)="FAIL", ISNUMBER(SEARCH("Critical", J255))), "3-Red", IF(SUMIF('Code Violations'!A:A, A255, 'Code Violations'!T:T)&gt;=1, "2-Yellow", "1-White")))</f>
        <v/>
      </c>
      <c r="L255" t="str">
        <f t="shared" si="6"/>
        <v/>
      </c>
    </row>
    <row r="256" spans="11:12" x14ac:dyDescent="0.25">
      <c r="K256" t="str">
        <f>IF(A256="","", IF(OR(SUMIF('Code Violations'!A:A, A256, 'Code Violations'!T:T)&gt;=5, VLOOKUP(A256, 'Master Dashboard'!A:L, 9, FALSE)="FAIL", VLOOKUP(A256, 'Master Dashboard'!A:L, 10, FALSE)="FAIL", ISNUMBER(SEARCH("Critical", J256))), "3-Red", IF(SUMIF('Code Violations'!A:A, A256, 'Code Violations'!T:T)&gt;=1, "2-Yellow", "1-White")))</f>
        <v/>
      </c>
      <c r="L256" t="str">
        <f t="shared" si="6"/>
        <v/>
      </c>
    </row>
    <row r="257" spans="11:12" x14ac:dyDescent="0.25">
      <c r="K257" t="str">
        <f>IF(A257="","", IF(OR(SUMIF('Code Violations'!A:A, A257, 'Code Violations'!T:T)&gt;=5, VLOOKUP(A257, 'Master Dashboard'!A:L, 9, FALSE)="FAIL", VLOOKUP(A257, 'Master Dashboard'!A:L, 10, FALSE)="FAIL", ISNUMBER(SEARCH("Critical", J257))), "3-Red", IF(SUMIF('Code Violations'!A:A, A257, 'Code Violations'!T:T)&gt;=1, "2-Yellow", "1-White")))</f>
        <v/>
      </c>
      <c r="L257" t="str">
        <f t="shared" si="6"/>
        <v/>
      </c>
    </row>
    <row r="258" spans="11:12" x14ac:dyDescent="0.25">
      <c r="K258" t="str">
        <f>IF(A258="","", IF(OR(SUMIF('Code Violations'!A:A, A258, 'Code Violations'!T:T)&gt;=5, VLOOKUP(A258, 'Master Dashboard'!A:L, 9, FALSE)="FAIL", VLOOKUP(A258, 'Master Dashboard'!A:L, 10, FALSE)="FAIL", ISNUMBER(SEARCH("Critical", J258))), "3-Red", IF(SUMIF('Code Violations'!A:A, A258, 'Code Violations'!T:T)&gt;=1, "2-Yellow", "1-White")))</f>
        <v/>
      </c>
      <c r="L258" t="str">
        <f t="shared" si="6"/>
        <v/>
      </c>
    </row>
    <row r="259" spans="11:12" x14ac:dyDescent="0.25">
      <c r="K259" t="str">
        <f>IF(A259="","", IF(OR(SUMIF('Code Violations'!A:A, A259, 'Code Violations'!T:T)&gt;=5, VLOOKUP(A259, 'Master Dashboard'!A:L, 9, FALSE)="FAIL", VLOOKUP(A259, 'Master Dashboard'!A:L, 10, FALSE)="FAIL", ISNUMBER(SEARCH("Critical", J259))), "3-Red", IF(SUMIF('Code Violations'!A:A, A259, 'Code Violations'!T:T)&gt;=1, "2-Yellow", "1-White")))</f>
        <v/>
      </c>
      <c r="L259" t="str">
        <f t="shared" si="6"/>
        <v/>
      </c>
    </row>
    <row r="260" spans="11:12" x14ac:dyDescent="0.25">
      <c r="K260" t="str">
        <f>IF(A260="","", IF(OR(SUMIF('Code Violations'!A:A, A260, 'Code Violations'!T:T)&gt;=5, VLOOKUP(A260, 'Master Dashboard'!A:L, 9, FALSE)="FAIL", VLOOKUP(A260, 'Master Dashboard'!A:L, 10, FALSE)="FAIL", ISNUMBER(SEARCH("Critical", J260))), "3-Red", IF(SUMIF('Code Violations'!A:A, A260, 'Code Violations'!T:T)&gt;=1, "2-Yellow", "1-White")))</f>
        <v/>
      </c>
      <c r="L260" t="str">
        <f t="shared" si="6"/>
        <v/>
      </c>
    </row>
    <row r="261" spans="11:12" x14ac:dyDescent="0.25">
      <c r="K261" t="str">
        <f>IF(A261="","", IF(OR(SUMIF('Code Violations'!A:A, A261, 'Code Violations'!T:T)&gt;=5, VLOOKUP(A261, 'Master Dashboard'!A:L, 9, FALSE)="FAIL", VLOOKUP(A261, 'Master Dashboard'!A:L, 10, FALSE)="FAIL", ISNUMBER(SEARCH("Critical", J261))), "3-Red", IF(SUMIF('Code Violations'!A:A, A261, 'Code Violations'!T:T)&gt;=1, "2-Yellow", "1-White")))</f>
        <v/>
      </c>
      <c r="L261" t="str">
        <f t="shared" si="6"/>
        <v/>
      </c>
    </row>
    <row r="262" spans="11:12" x14ac:dyDescent="0.25">
      <c r="K262" t="str">
        <f>IF(A262="","", IF(OR(SUMIF('Code Violations'!A:A, A262, 'Code Violations'!T:T)&gt;=5, VLOOKUP(A262, 'Master Dashboard'!A:L, 9, FALSE)="FAIL", VLOOKUP(A262, 'Master Dashboard'!A:L, 10, FALSE)="FAIL", ISNUMBER(SEARCH("Critical", J262))), "3-Red", IF(SUMIF('Code Violations'!A:A, A262, 'Code Violations'!T:T)&gt;=1, "2-Yellow", "1-White")))</f>
        <v/>
      </c>
      <c r="L262" t="str">
        <f t="shared" si="6"/>
        <v/>
      </c>
    </row>
    <row r="263" spans="11:12" x14ac:dyDescent="0.25">
      <c r="K263" t="str">
        <f>IF(A263="","", IF(OR(SUMIF('Code Violations'!A:A, A263, 'Code Violations'!T:T)&gt;=5, VLOOKUP(A263, 'Master Dashboard'!A:L, 9, FALSE)="FAIL", VLOOKUP(A263, 'Master Dashboard'!A:L, 10, FALSE)="FAIL", ISNUMBER(SEARCH("Critical", J263))), "3-Red", IF(SUMIF('Code Violations'!A:A, A263, 'Code Violations'!T:T)&gt;=1, "2-Yellow", "1-White")))</f>
        <v/>
      </c>
      <c r="L263" t="str">
        <f t="shared" si="6"/>
        <v/>
      </c>
    </row>
    <row r="264" spans="11:12" x14ac:dyDescent="0.25">
      <c r="K264" t="str">
        <f>IF(A264="","", IF(OR(SUMIF('Code Violations'!A:A, A264, 'Code Violations'!T:T)&gt;=5, VLOOKUP(A264, 'Master Dashboard'!A:L, 9, FALSE)="FAIL", VLOOKUP(A264, 'Master Dashboard'!A:L, 10, FALSE)="FAIL", ISNUMBER(SEARCH("Critical", J264))), "3-Red", IF(SUMIF('Code Violations'!A:A, A264, 'Code Violations'!T:T)&gt;=1, "2-Yellow", "1-White")))</f>
        <v/>
      </c>
      <c r="L264" t="str">
        <f t="shared" si="6"/>
        <v/>
      </c>
    </row>
    <row r="265" spans="11:12" x14ac:dyDescent="0.25">
      <c r="K265" t="str">
        <f>IF(A265="","", IF(OR(SUMIF('Code Violations'!A:A, A265, 'Code Violations'!T:T)&gt;=5, VLOOKUP(A265, 'Master Dashboard'!A:L, 9, FALSE)="FAIL", VLOOKUP(A265, 'Master Dashboard'!A:L, 10, FALSE)="FAIL", ISNUMBER(SEARCH("Critical", J265))), "3-Red", IF(SUMIF('Code Violations'!A:A, A265, 'Code Violations'!T:T)&gt;=1, "2-Yellow", "1-White")))</f>
        <v/>
      </c>
      <c r="L265" t="str">
        <f t="shared" si="6"/>
        <v/>
      </c>
    </row>
    <row r="266" spans="11:12" x14ac:dyDescent="0.25">
      <c r="K266" t="str">
        <f>IF(A266="","", IF(OR(SUMIF('Code Violations'!A:A, A266, 'Code Violations'!T:T)&gt;=5, VLOOKUP(A266, 'Master Dashboard'!A:L, 9, FALSE)="FAIL", VLOOKUP(A266, 'Master Dashboard'!A:L, 10, FALSE)="FAIL", ISNUMBER(SEARCH("Critical", J266))), "3-Red", IF(SUMIF('Code Violations'!A:A, A266, 'Code Violations'!T:T)&gt;=1, "2-Yellow", "1-White")))</f>
        <v/>
      </c>
      <c r="L266" t="str">
        <f t="shared" si="6"/>
        <v/>
      </c>
    </row>
    <row r="267" spans="11:12" x14ac:dyDescent="0.25">
      <c r="K267" t="str">
        <f>IF(A267="","", IF(OR(SUMIF('Code Violations'!A:A, A267, 'Code Violations'!T:T)&gt;=5, VLOOKUP(A267, 'Master Dashboard'!A:L, 9, FALSE)="FAIL", VLOOKUP(A267, 'Master Dashboard'!A:L, 10, FALSE)="FAIL", ISNUMBER(SEARCH("Critical", J267))), "3-Red", IF(SUMIF('Code Violations'!A:A, A267, 'Code Violations'!T:T)&gt;=1, "2-Yellow", "1-White")))</f>
        <v/>
      </c>
      <c r="L267" t="str">
        <f t="shared" si="6"/>
        <v/>
      </c>
    </row>
    <row r="268" spans="11:12" x14ac:dyDescent="0.25">
      <c r="K268" t="str">
        <f>IF(A268="","", IF(OR(SUMIF('Code Violations'!A:A, A268, 'Code Violations'!T:T)&gt;=5, VLOOKUP(A268, 'Master Dashboard'!A:L, 9, FALSE)="FAIL", VLOOKUP(A268, 'Master Dashboard'!A:L, 10, FALSE)="FAIL", ISNUMBER(SEARCH("Critical", J268))), "3-Red", IF(SUMIF('Code Violations'!A:A, A268, 'Code Violations'!T:T)&gt;=1, "2-Yellow", "1-White")))</f>
        <v/>
      </c>
      <c r="L268" t="str">
        <f t="shared" si="6"/>
        <v/>
      </c>
    </row>
    <row r="269" spans="11:12" x14ac:dyDescent="0.25">
      <c r="K269" t="str">
        <f>IF(A269="","", IF(OR(SUMIF('Code Violations'!A:A, A269, 'Code Violations'!T:T)&gt;=5, VLOOKUP(A269, 'Master Dashboard'!A:L, 9, FALSE)="FAIL", VLOOKUP(A269, 'Master Dashboard'!A:L, 10, FALSE)="FAIL", ISNUMBER(SEARCH("Critical", J269))), "3-Red", IF(SUMIF('Code Violations'!A:A, A269, 'Code Violations'!T:T)&gt;=1, "2-Yellow", "1-White")))</f>
        <v/>
      </c>
      <c r="L269" t="str">
        <f t="shared" si="6"/>
        <v/>
      </c>
    </row>
    <row r="270" spans="11:12" x14ac:dyDescent="0.25">
      <c r="K270" t="str">
        <f>IF(A270="","", IF(OR(SUMIF('Code Violations'!A:A, A270, 'Code Violations'!T:T)&gt;=5, VLOOKUP(A270, 'Master Dashboard'!A:L, 9, FALSE)="FAIL", VLOOKUP(A270, 'Master Dashboard'!A:L, 10, FALSE)="FAIL", ISNUMBER(SEARCH("Critical", J270))), "3-Red", IF(SUMIF('Code Violations'!A:A, A270, 'Code Violations'!T:T)&gt;=1, "2-Yellow", "1-White")))</f>
        <v/>
      </c>
      <c r="L270" t="str">
        <f t="shared" si="6"/>
        <v/>
      </c>
    </row>
    <row r="271" spans="11:12" x14ac:dyDescent="0.25">
      <c r="K271" t="str">
        <f>IF(A271="","", IF(OR(SUMIF('Code Violations'!A:A, A271, 'Code Violations'!T:T)&gt;=5, VLOOKUP(A271, 'Master Dashboard'!A:L, 9, FALSE)="FAIL", VLOOKUP(A271, 'Master Dashboard'!A:L, 10, FALSE)="FAIL", ISNUMBER(SEARCH("Critical", J271))), "3-Red", IF(SUMIF('Code Violations'!A:A, A271, 'Code Violations'!T:T)&gt;=1, "2-Yellow", "1-White")))</f>
        <v/>
      </c>
      <c r="L271" t="str">
        <f t="shared" si="6"/>
        <v/>
      </c>
    </row>
    <row r="272" spans="11:12" x14ac:dyDescent="0.25">
      <c r="K272" t="str">
        <f>IF(A272="","", IF(OR(SUMIF('Code Violations'!A:A, A272, 'Code Violations'!T:T)&gt;=5, VLOOKUP(A272, 'Master Dashboard'!A:L, 9, FALSE)="FAIL", VLOOKUP(A272, 'Master Dashboard'!A:L, 10, FALSE)="FAIL", ISNUMBER(SEARCH("Critical", J272))), "3-Red", IF(SUMIF('Code Violations'!A:A, A272, 'Code Violations'!T:T)&gt;=1, "2-Yellow", "1-White")))</f>
        <v/>
      </c>
      <c r="L272" t="str">
        <f t="shared" si="6"/>
        <v/>
      </c>
    </row>
    <row r="273" spans="11:12" x14ac:dyDescent="0.25">
      <c r="K273" t="str">
        <f>IF(A273="","", IF(OR(SUMIF('Code Violations'!A:A, A273, 'Code Violations'!T:T)&gt;=5, VLOOKUP(A273, 'Master Dashboard'!A:L, 9, FALSE)="FAIL", VLOOKUP(A273, 'Master Dashboard'!A:L, 10, FALSE)="FAIL", ISNUMBER(SEARCH("Critical", J273))), "3-Red", IF(SUMIF('Code Violations'!A:A, A273, 'Code Violations'!T:T)&gt;=1, "2-Yellow", "1-White")))</f>
        <v/>
      </c>
      <c r="L273" t="str">
        <f t="shared" si="6"/>
        <v/>
      </c>
    </row>
    <row r="274" spans="11:12" x14ac:dyDescent="0.25">
      <c r="K274" t="str">
        <f>IF(A274="","", IF(OR(SUMIF('Code Violations'!A:A, A274, 'Code Violations'!T:T)&gt;=5, VLOOKUP(A274, 'Master Dashboard'!A:L, 9, FALSE)="FAIL", VLOOKUP(A274, 'Master Dashboard'!A:L, 10, FALSE)="FAIL", ISNUMBER(SEARCH("Critical", J274))), "3-Red", IF(SUMIF('Code Violations'!A:A, A274, 'Code Violations'!T:T)&gt;=1, "2-Yellow", "1-White")))</f>
        <v/>
      </c>
      <c r="L274" t="str">
        <f t="shared" si="6"/>
        <v/>
      </c>
    </row>
    <row r="275" spans="11:12" x14ac:dyDescent="0.25">
      <c r="K275" t="str">
        <f>IF(A275="","", IF(OR(SUMIF('Code Violations'!A:A, A275, 'Code Violations'!T:T)&gt;=5, VLOOKUP(A275, 'Master Dashboard'!A:L, 9, FALSE)="FAIL", VLOOKUP(A275, 'Master Dashboard'!A:L, 10, FALSE)="FAIL", ISNUMBER(SEARCH("Critical", J275))), "3-Red", IF(SUMIF('Code Violations'!A:A, A275, 'Code Violations'!T:T)&gt;=1, "2-Yellow", "1-White")))</f>
        <v/>
      </c>
      <c r="L275" t="str">
        <f t="shared" si="6"/>
        <v/>
      </c>
    </row>
    <row r="276" spans="11:12" x14ac:dyDescent="0.25">
      <c r="K276" t="str">
        <f>IF(A276="","", IF(OR(SUMIF('Code Violations'!A:A, A276, 'Code Violations'!T:T)&gt;=5, VLOOKUP(A276, 'Master Dashboard'!A:L, 9, FALSE)="FAIL", VLOOKUP(A276, 'Master Dashboard'!A:L, 10, FALSE)="FAIL", ISNUMBER(SEARCH("Critical", J276))), "3-Red", IF(SUMIF('Code Violations'!A:A, A276, 'Code Violations'!T:T)&gt;=1, "2-Yellow", "1-White")))</f>
        <v/>
      </c>
      <c r="L276" t="str">
        <f t="shared" si="6"/>
        <v/>
      </c>
    </row>
    <row r="277" spans="11:12" x14ac:dyDescent="0.25">
      <c r="K277" t="str">
        <f>IF(A277="","", IF(OR(SUMIF('Code Violations'!A:A, A277, 'Code Violations'!T:T)&gt;=5, VLOOKUP(A277, 'Master Dashboard'!A:L, 9, FALSE)="FAIL", VLOOKUP(A277, 'Master Dashboard'!A:L, 10, FALSE)="FAIL", ISNUMBER(SEARCH("Critical", J277))), "3-Red", IF(SUMIF('Code Violations'!A:A, A277, 'Code Violations'!T:T)&gt;=1, "2-Yellow", "1-White")))</f>
        <v/>
      </c>
      <c r="L277" t="str">
        <f t="shared" si="6"/>
        <v/>
      </c>
    </row>
    <row r="278" spans="11:12" x14ac:dyDescent="0.25">
      <c r="K278" t="str">
        <f>IF(A278="","", IF(OR(SUMIF('Code Violations'!A:A, A278, 'Code Violations'!T:T)&gt;=5, VLOOKUP(A278, 'Master Dashboard'!A:L, 9, FALSE)="FAIL", VLOOKUP(A278, 'Master Dashboard'!A:L, 10, FALSE)="FAIL", ISNUMBER(SEARCH("Critical", J278))), "3-Red", IF(SUMIF('Code Violations'!A:A, A278, 'Code Violations'!T:T)&gt;=1, "2-Yellow", "1-White")))</f>
        <v/>
      </c>
      <c r="L278" t="str">
        <f t="shared" si="6"/>
        <v/>
      </c>
    </row>
    <row r="279" spans="11:12" x14ac:dyDescent="0.25">
      <c r="K279" t="str">
        <f>IF(A279="","", IF(OR(SUMIF('Code Violations'!A:A, A279, 'Code Violations'!T:T)&gt;=5, VLOOKUP(A279, 'Master Dashboard'!A:L, 9, FALSE)="FAIL", VLOOKUP(A279, 'Master Dashboard'!A:L, 10, FALSE)="FAIL", ISNUMBER(SEARCH("Critical", J279))), "3-Red", IF(SUMIF('Code Violations'!A:A, A279, 'Code Violations'!T:T)&gt;=1, "2-Yellow", "1-White")))</f>
        <v/>
      </c>
      <c r="L279" t="str">
        <f t="shared" si="6"/>
        <v/>
      </c>
    </row>
    <row r="280" spans="11:12" x14ac:dyDescent="0.25">
      <c r="K280" t="str">
        <f>IF(A280="","", IF(OR(SUMIF('Code Violations'!A:A, A280, 'Code Violations'!T:T)&gt;=5, VLOOKUP(A280, 'Master Dashboard'!A:L, 9, FALSE)="FAIL", VLOOKUP(A280, 'Master Dashboard'!A:L, 10, FALSE)="FAIL", ISNUMBER(SEARCH("Critical", J280))), "3-Red", IF(SUMIF('Code Violations'!A:A, A280, 'Code Violations'!T:T)&gt;=1, "2-Yellow", "1-White")))</f>
        <v/>
      </c>
      <c r="L280" t="str">
        <f t="shared" si="6"/>
        <v/>
      </c>
    </row>
    <row r="281" spans="11:12" x14ac:dyDescent="0.25">
      <c r="K281" t="str">
        <f>IF(A281="","", IF(OR(SUMIF('Code Violations'!A:A, A281, 'Code Violations'!T:T)&gt;=5, VLOOKUP(A281, 'Master Dashboard'!A:L, 9, FALSE)="FAIL", VLOOKUP(A281, 'Master Dashboard'!A:L, 10, FALSE)="FAIL", ISNUMBER(SEARCH("Critical", J281))), "3-Red", IF(SUMIF('Code Violations'!A:A, A281, 'Code Violations'!T:T)&gt;=1, "2-Yellow", "1-White")))</f>
        <v/>
      </c>
      <c r="L281" t="str">
        <f t="shared" si="6"/>
        <v/>
      </c>
    </row>
    <row r="282" spans="11:12" x14ac:dyDescent="0.25">
      <c r="K282" t="str">
        <f>IF(A282="","", IF(OR(SUMIF('Code Violations'!A:A, A282, 'Code Violations'!T:T)&gt;=5, VLOOKUP(A282, 'Master Dashboard'!A:L, 9, FALSE)="FAIL", VLOOKUP(A282, 'Master Dashboard'!A:L, 10, FALSE)="FAIL", ISNUMBER(SEARCH("Critical", J282))), "3-Red", IF(SUMIF('Code Violations'!A:A, A282, 'Code Violations'!T:T)&gt;=1, "2-Yellow", "1-White")))</f>
        <v/>
      </c>
      <c r="L282" t="str">
        <f t="shared" si="6"/>
        <v/>
      </c>
    </row>
    <row r="283" spans="11:12" x14ac:dyDescent="0.25">
      <c r="K283" t="str">
        <f>IF(A283="","", IF(OR(SUMIF('Code Violations'!A:A, A283, 'Code Violations'!T:T)&gt;=5, VLOOKUP(A283, 'Master Dashboard'!A:L, 9, FALSE)="FAIL", VLOOKUP(A283, 'Master Dashboard'!A:L, 10, FALSE)="FAIL", ISNUMBER(SEARCH("Critical", J283))), "3-Red", IF(SUMIF('Code Violations'!A:A, A283, 'Code Violations'!T:T)&gt;=1, "2-Yellow", "1-White")))</f>
        <v/>
      </c>
      <c r="L283" t="str">
        <f t="shared" si="6"/>
        <v/>
      </c>
    </row>
    <row r="284" spans="11:12" x14ac:dyDescent="0.25">
      <c r="K284" t="str">
        <f>IF(A284="","", IF(OR(SUMIF('Code Violations'!A:A, A284, 'Code Violations'!T:T)&gt;=5, VLOOKUP(A284, 'Master Dashboard'!A:L, 9, FALSE)="FAIL", VLOOKUP(A284, 'Master Dashboard'!A:L, 10, FALSE)="FAIL", ISNUMBER(SEARCH("Critical", J284))), "3-Red", IF(SUMIF('Code Violations'!A:A, A284, 'Code Violations'!T:T)&gt;=1, "2-Yellow", "1-White")))</f>
        <v/>
      </c>
      <c r="L284" t="str">
        <f t="shared" si="6"/>
        <v/>
      </c>
    </row>
    <row r="285" spans="11:12" x14ac:dyDescent="0.25">
      <c r="K285" t="str">
        <f>IF(A285="","", IF(OR(SUMIF('Code Violations'!A:A, A285, 'Code Violations'!T:T)&gt;=5, VLOOKUP(A285, 'Master Dashboard'!A:L, 9, FALSE)="FAIL", VLOOKUP(A285, 'Master Dashboard'!A:L, 10, FALSE)="FAIL", ISNUMBER(SEARCH("Critical", J285))), "3-Red", IF(SUMIF('Code Violations'!A:A, A285, 'Code Violations'!T:T)&gt;=1, "2-Yellow", "1-White")))</f>
        <v/>
      </c>
      <c r="L285" t="str">
        <f t="shared" si="6"/>
        <v/>
      </c>
    </row>
    <row r="286" spans="11:12" x14ac:dyDescent="0.25">
      <c r="K286" t="str">
        <f>IF(A286="","", IF(OR(SUMIF('Code Violations'!A:A, A286, 'Code Violations'!T:T)&gt;=5, VLOOKUP(A286, 'Master Dashboard'!A:L, 9, FALSE)="FAIL", VLOOKUP(A286, 'Master Dashboard'!A:L, 10, FALSE)="FAIL", ISNUMBER(SEARCH("Critical", J286))), "3-Red", IF(SUMIF('Code Violations'!A:A, A286, 'Code Violations'!T:T)&gt;=1, "2-Yellow", "1-White")))</f>
        <v/>
      </c>
      <c r="L286" t="str">
        <f t="shared" si="6"/>
        <v/>
      </c>
    </row>
    <row r="287" spans="11:12" x14ac:dyDescent="0.25">
      <c r="K287" t="str">
        <f>IF(A287="","", IF(OR(SUMIF('Code Violations'!A:A, A287, 'Code Violations'!T:T)&gt;=5, VLOOKUP(A287, 'Master Dashboard'!A:L, 9, FALSE)="FAIL", VLOOKUP(A287, 'Master Dashboard'!A:L, 10, FALSE)="FAIL", ISNUMBER(SEARCH("Critical", J287))), "3-Red", IF(SUMIF('Code Violations'!A:A, A287, 'Code Violations'!T:T)&gt;=1, "2-Yellow", "1-White")))</f>
        <v/>
      </c>
      <c r="L287" t="str">
        <f t="shared" si="6"/>
        <v/>
      </c>
    </row>
    <row r="288" spans="11:12" x14ac:dyDescent="0.25">
      <c r="K288" t="str">
        <f>IF(A288="","", IF(OR(SUMIF('Code Violations'!A:A, A288, 'Code Violations'!T:T)&gt;=5, VLOOKUP(A288, 'Master Dashboard'!A:L, 9, FALSE)="FAIL", VLOOKUP(A288, 'Master Dashboard'!A:L, 10, FALSE)="FAIL", ISNUMBER(SEARCH("Critical", J288))), "3-Red", IF(SUMIF('Code Violations'!A:A, A288, 'Code Violations'!T:T)&gt;=1, "2-Yellow", "1-White")))</f>
        <v/>
      </c>
      <c r="L288" t="str">
        <f t="shared" si="6"/>
        <v/>
      </c>
    </row>
    <row r="289" spans="11:12" x14ac:dyDescent="0.25">
      <c r="K289" t="str">
        <f>IF(A289="","", IF(OR(SUMIF('Code Violations'!A:A, A289, 'Code Violations'!T:T)&gt;=5, VLOOKUP(A289, 'Master Dashboard'!A:L, 9, FALSE)="FAIL", VLOOKUP(A289, 'Master Dashboard'!A:L, 10, FALSE)="FAIL", ISNUMBER(SEARCH("Critical", J289))), "3-Red", IF(SUMIF('Code Violations'!A:A, A289, 'Code Violations'!T:T)&gt;=1, "2-Yellow", "1-White")))</f>
        <v/>
      </c>
      <c r="L289" t="str">
        <f t="shared" si="6"/>
        <v/>
      </c>
    </row>
    <row r="290" spans="11:12" x14ac:dyDescent="0.25">
      <c r="K290" t="str">
        <f>IF(A290="","", IF(OR(SUMIF('Code Violations'!A:A, A290, 'Code Violations'!T:T)&gt;=5, VLOOKUP(A290, 'Master Dashboard'!A:L, 9, FALSE)="FAIL", VLOOKUP(A290, 'Master Dashboard'!A:L, 10, FALSE)="FAIL", ISNUMBER(SEARCH("Critical", J290))), "3-Red", IF(SUMIF('Code Violations'!A:A, A290, 'Code Violations'!T:T)&gt;=1, "2-Yellow", "1-White")))</f>
        <v/>
      </c>
      <c r="L290" t="str">
        <f t="shared" ref="L290:L353" si="7">IF(J290="","", IF(ISNUMBER(SEARCH("Critical", J290)), "CRITICAL FAIL", IF(ISNUMBER(SEARCH("Overdue", J290)), "FAIL", "COMPLIANT")))</f>
        <v/>
      </c>
    </row>
    <row r="291" spans="11:12" x14ac:dyDescent="0.25">
      <c r="K291" t="str">
        <f>IF(A291="","", IF(OR(SUMIF('Code Violations'!A:A, A291, 'Code Violations'!T:T)&gt;=5, VLOOKUP(A291, 'Master Dashboard'!A:L, 9, FALSE)="FAIL", VLOOKUP(A291, 'Master Dashboard'!A:L, 10, FALSE)="FAIL", ISNUMBER(SEARCH("Critical", J291))), "3-Red", IF(SUMIF('Code Violations'!A:A, A291, 'Code Violations'!T:T)&gt;=1, "2-Yellow", "1-White")))</f>
        <v/>
      </c>
      <c r="L291" t="str">
        <f t="shared" si="7"/>
        <v/>
      </c>
    </row>
    <row r="292" spans="11:12" x14ac:dyDescent="0.25">
      <c r="K292" t="str">
        <f>IF(A292="","", IF(OR(SUMIF('Code Violations'!A:A, A292, 'Code Violations'!T:T)&gt;=5, VLOOKUP(A292, 'Master Dashboard'!A:L, 9, FALSE)="FAIL", VLOOKUP(A292, 'Master Dashboard'!A:L, 10, FALSE)="FAIL", ISNUMBER(SEARCH("Critical", J292))), "3-Red", IF(SUMIF('Code Violations'!A:A, A292, 'Code Violations'!T:T)&gt;=1, "2-Yellow", "1-White")))</f>
        <v/>
      </c>
      <c r="L292" t="str">
        <f t="shared" si="7"/>
        <v/>
      </c>
    </row>
    <row r="293" spans="11:12" x14ac:dyDescent="0.25">
      <c r="K293" t="str">
        <f>IF(A293="","", IF(OR(SUMIF('Code Violations'!A:A, A293, 'Code Violations'!T:T)&gt;=5, VLOOKUP(A293, 'Master Dashboard'!A:L, 9, FALSE)="FAIL", VLOOKUP(A293, 'Master Dashboard'!A:L, 10, FALSE)="FAIL", ISNUMBER(SEARCH("Critical", J293))), "3-Red", IF(SUMIF('Code Violations'!A:A, A293, 'Code Violations'!T:T)&gt;=1, "2-Yellow", "1-White")))</f>
        <v/>
      </c>
      <c r="L293" t="str">
        <f t="shared" si="7"/>
        <v/>
      </c>
    </row>
    <row r="294" spans="11:12" x14ac:dyDescent="0.25">
      <c r="K294" t="str">
        <f>IF(A294="","", IF(OR(SUMIF('Code Violations'!A:A, A294, 'Code Violations'!T:T)&gt;=5, VLOOKUP(A294, 'Master Dashboard'!A:L, 9, FALSE)="FAIL", VLOOKUP(A294, 'Master Dashboard'!A:L, 10, FALSE)="FAIL", ISNUMBER(SEARCH("Critical", J294))), "3-Red", IF(SUMIF('Code Violations'!A:A, A294, 'Code Violations'!T:T)&gt;=1, "2-Yellow", "1-White")))</f>
        <v/>
      </c>
      <c r="L294" t="str">
        <f t="shared" si="7"/>
        <v/>
      </c>
    </row>
    <row r="295" spans="11:12" x14ac:dyDescent="0.25">
      <c r="K295" t="str">
        <f>IF(A295="","", IF(OR(SUMIF('Code Violations'!A:A, A295, 'Code Violations'!T:T)&gt;=5, VLOOKUP(A295, 'Master Dashboard'!A:L, 9, FALSE)="FAIL", VLOOKUP(A295, 'Master Dashboard'!A:L, 10, FALSE)="FAIL", ISNUMBER(SEARCH("Critical", J295))), "3-Red", IF(SUMIF('Code Violations'!A:A, A295, 'Code Violations'!T:T)&gt;=1, "2-Yellow", "1-White")))</f>
        <v/>
      </c>
      <c r="L295" t="str">
        <f t="shared" si="7"/>
        <v/>
      </c>
    </row>
    <row r="296" spans="11:12" x14ac:dyDescent="0.25">
      <c r="K296" t="str">
        <f>IF(A296="","", IF(OR(SUMIF('Code Violations'!A:A, A296, 'Code Violations'!T:T)&gt;=5, VLOOKUP(A296, 'Master Dashboard'!A:L, 9, FALSE)="FAIL", VLOOKUP(A296, 'Master Dashboard'!A:L, 10, FALSE)="FAIL", ISNUMBER(SEARCH("Critical", J296))), "3-Red", IF(SUMIF('Code Violations'!A:A, A296, 'Code Violations'!T:T)&gt;=1, "2-Yellow", "1-White")))</f>
        <v/>
      </c>
      <c r="L296" t="str">
        <f t="shared" si="7"/>
        <v/>
      </c>
    </row>
    <row r="297" spans="11:12" x14ac:dyDescent="0.25">
      <c r="K297" t="str">
        <f>IF(A297="","", IF(OR(SUMIF('Code Violations'!A:A, A297, 'Code Violations'!T:T)&gt;=5, VLOOKUP(A297, 'Master Dashboard'!A:L, 9, FALSE)="FAIL", VLOOKUP(A297, 'Master Dashboard'!A:L, 10, FALSE)="FAIL", ISNUMBER(SEARCH("Critical", J297))), "3-Red", IF(SUMIF('Code Violations'!A:A, A297, 'Code Violations'!T:T)&gt;=1, "2-Yellow", "1-White")))</f>
        <v/>
      </c>
      <c r="L297" t="str">
        <f t="shared" si="7"/>
        <v/>
      </c>
    </row>
    <row r="298" spans="11:12" x14ac:dyDescent="0.25">
      <c r="K298" t="str">
        <f>IF(A298="","", IF(OR(SUMIF('Code Violations'!A:A, A298, 'Code Violations'!T:T)&gt;=5, VLOOKUP(A298, 'Master Dashboard'!A:L, 9, FALSE)="FAIL", VLOOKUP(A298, 'Master Dashboard'!A:L, 10, FALSE)="FAIL", ISNUMBER(SEARCH("Critical", J298))), "3-Red", IF(SUMIF('Code Violations'!A:A, A298, 'Code Violations'!T:T)&gt;=1, "2-Yellow", "1-White")))</f>
        <v/>
      </c>
      <c r="L298" t="str">
        <f t="shared" si="7"/>
        <v/>
      </c>
    </row>
    <row r="299" spans="11:12" x14ac:dyDescent="0.25">
      <c r="K299" t="str">
        <f>IF(A299="","", IF(OR(SUMIF('Code Violations'!A:A, A299, 'Code Violations'!T:T)&gt;=5, VLOOKUP(A299, 'Master Dashboard'!A:L, 9, FALSE)="FAIL", VLOOKUP(A299, 'Master Dashboard'!A:L, 10, FALSE)="FAIL", ISNUMBER(SEARCH("Critical", J299))), "3-Red", IF(SUMIF('Code Violations'!A:A, A299, 'Code Violations'!T:T)&gt;=1, "2-Yellow", "1-White")))</f>
        <v/>
      </c>
      <c r="L299" t="str">
        <f t="shared" si="7"/>
        <v/>
      </c>
    </row>
    <row r="300" spans="11:12" x14ac:dyDescent="0.25">
      <c r="K300" t="str">
        <f>IF(A300="","", IF(OR(SUMIF('Code Violations'!A:A, A300, 'Code Violations'!T:T)&gt;=5, VLOOKUP(A300, 'Master Dashboard'!A:L, 9, FALSE)="FAIL", VLOOKUP(A300, 'Master Dashboard'!A:L, 10, FALSE)="FAIL", ISNUMBER(SEARCH("Critical", J300))), "3-Red", IF(SUMIF('Code Violations'!A:A, A300, 'Code Violations'!T:T)&gt;=1, "2-Yellow", "1-White")))</f>
        <v/>
      </c>
      <c r="L300" t="str">
        <f t="shared" si="7"/>
        <v/>
      </c>
    </row>
    <row r="301" spans="11:12" x14ac:dyDescent="0.25">
      <c r="K301" t="str">
        <f>IF(A301="","", IF(OR(SUMIF('Code Violations'!A:A, A301, 'Code Violations'!T:T)&gt;=5, VLOOKUP(A301, 'Master Dashboard'!A:L, 9, FALSE)="FAIL", VLOOKUP(A301, 'Master Dashboard'!A:L, 10, FALSE)="FAIL", ISNUMBER(SEARCH("Critical", J301))), "3-Red", IF(SUMIF('Code Violations'!A:A, A301, 'Code Violations'!T:T)&gt;=1, "2-Yellow", "1-White")))</f>
        <v/>
      </c>
      <c r="L301" t="str">
        <f t="shared" si="7"/>
        <v/>
      </c>
    </row>
    <row r="302" spans="11:12" x14ac:dyDescent="0.25">
      <c r="K302" t="str">
        <f>IF(A302="","", IF(OR(SUMIF('Code Violations'!A:A, A302, 'Code Violations'!T:T)&gt;=5, VLOOKUP(A302, 'Master Dashboard'!A:L, 9, FALSE)="FAIL", VLOOKUP(A302, 'Master Dashboard'!A:L, 10, FALSE)="FAIL", ISNUMBER(SEARCH("Critical", J302))), "3-Red", IF(SUMIF('Code Violations'!A:A, A302, 'Code Violations'!T:T)&gt;=1, "2-Yellow", "1-White")))</f>
        <v/>
      </c>
      <c r="L302" t="str">
        <f t="shared" si="7"/>
        <v/>
      </c>
    </row>
    <row r="303" spans="11:12" x14ac:dyDescent="0.25">
      <c r="K303" t="str">
        <f>IF(A303="","", IF(OR(SUMIF('Code Violations'!A:A, A303, 'Code Violations'!T:T)&gt;=5, VLOOKUP(A303, 'Master Dashboard'!A:L, 9, FALSE)="FAIL", VLOOKUP(A303, 'Master Dashboard'!A:L, 10, FALSE)="FAIL", ISNUMBER(SEARCH("Critical", J303))), "3-Red", IF(SUMIF('Code Violations'!A:A, A303, 'Code Violations'!T:T)&gt;=1, "2-Yellow", "1-White")))</f>
        <v/>
      </c>
      <c r="L303" t="str">
        <f t="shared" si="7"/>
        <v/>
      </c>
    </row>
    <row r="304" spans="11:12" x14ac:dyDescent="0.25">
      <c r="K304" t="str">
        <f>IF(A304="","", IF(OR(SUMIF('Code Violations'!A:A, A304, 'Code Violations'!T:T)&gt;=5, VLOOKUP(A304, 'Master Dashboard'!A:L, 9, FALSE)="FAIL", VLOOKUP(A304, 'Master Dashboard'!A:L, 10, FALSE)="FAIL", ISNUMBER(SEARCH("Critical", J304))), "3-Red", IF(SUMIF('Code Violations'!A:A, A304, 'Code Violations'!T:T)&gt;=1, "2-Yellow", "1-White")))</f>
        <v/>
      </c>
      <c r="L304" t="str">
        <f t="shared" si="7"/>
        <v/>
      </c>
    </row>
    <row r="305" spans="11:12" x14ac:dyDescent="0.25">
      <c r="K305" t="str">
        <f>IF(A305="","", IF(OR(SUMIF('Code Violations'!A:A, A305, 'Code Violations'!T:T)&gt;=5, VLOOKUP(A305, 'Master Dashboard'!A:L, 9, FALSE)="FAIL", VLOOKUP(A305, 'Master Dashboard'!A:L, 10, FALSE)="FAIL", ISNUMBER(SEARCH("Critical", J305))), "3-Red", IF(SUMIF('Code Violations'!A:A, A305, 'Code Violations'!T:T)&gt;=1, "2-Yellow", "1-White")))</f>
        <v/>
      </c>
      <c r="L305" t="str">
        <f t="shared" si="7"/>
        <v/>
      </c>
    </row>
    <row r="306" spans="11:12" x14ac:dyDescent="0.25">
      <c r="K306" t="str">
        <f>IF(A306="","", IF(OR(SUMIF('Code Violations'!A:A, A306, 'Code Violations'!T:T)&gt;=5, VLOOKUP(A306, 'Master Dashboard'!A:L, 9, FALSE)="FAIL", VLOOKUP(A306, 'Master Dashboard'!A:L, 10, FALSE)="FAIL", ISNUMBER(SEARCH("Critical", J306))), "3-Red", IF(SUMIF('Code Violations'!A:A, A306, 'Code Violations'!T:T)&gt;=1, "2-Yellow", "1-White")))</f>
        <v/>
      </c>
      <c r="L306" t="str">
        <f t="shared" si="7"/>
        <v/>
      </c>
    </row>
    <row r="307" spans="11:12" x14ac:dyDescent="0.25">
      <c r="K307" t="str">
        <f>IF(A307="","", IF(OR(SUMIF('Code Violations'!A:A, A307, 'Code Violations'!T:T)&gt;=5, VLOOKUP(A307, 'Master Dashboard'!A:L, 9, FALSE)="FAIL", VLOOKUP(A307, 'Master Dashboard'!A:L, 10, FALSE)="FAIL", ISNUMBER(SEARCH("Critical", J307))), "3-Red", IF(SUMIF('Code Violations'!A:A, A307, 'Code Violations'!T:T)&gt;=1, "2-Yellow", "1-White")))</f>
        <v/>
      </c>
      <c r="L307" t="str">
        <f t="shared" si="7"/>
        <v/>
      </c>
    </row>
    <row r="308" spans="11:12" x14ac:dyDescent="0.25">
      <c r="K308" t="str">
        <f>IF(A308="","", IF(OR(SUMIF('Code Violations'!A:A, A308, 'Code Violations'!T:T)&gt;=5, VLOOKUP(A308, 'Master Dashboard'!A:L, 9, FALSE)="FAIL", VLOOKUP(A308, 'Master Dashboard'!A:L, 10, FALSE)="FAIL", ISNUMBER(SEARCH("Critical", J308))), "3-Red", IF(SUMIF('Code Violations'!A:A, A308, 'Code Violations'!T:T)&gt;=1, "2-Yellow", "1-White")))</f>
        <v/>
      </c>
      <c r="L308" t="str">
        <f t="shared" si="7"/>
        <v/>
      </c>
    </row>
    <row r="309" spans="11:12" x14ac:dyDescent="0.25">
      <c r="K309" t="str">
        <f>IF(A309="","", IF(OR(SUMIF('Code Violations'!A:A, A309, 'Code Violations'!T:T)&gt;=5, VLOOKUP(A309, 'Master Dashboard'!A:L, 9, FALSE)="FAIL", VLOOKUP(A309, 'Master Dashboard'!A:L, 10, FALSE)="FAIL", ISNUMBER(SEARCH("Critical", J309))), "3-Red", IF(SUMIF('Code Violations'!A:A, A309, 'Code Violations'!T:T)&gt;=1, "2-Yellow", "1-White")))</f>
        <v/>
      </c>
      <c r="L309" t="str">
        <f t="shared" si="7"/>
        <v/>
      </c>
    </row>
    <row r="310" spans="11:12" x14ac:dyDescent="0.25">
      <c r="K310" t="str">
        <f>IF(A310="","", IF(OR(SUMIF('Code Violations'!A:A, A310, 'Code Violations'!T:T)&gt;=5, VLOOKUP(A310, 'Master Dashboard'!A:L, 9, FALSE)="FAIL", VLOOKUP(A310, 'Master Dashboard'!A:L, 10, FALSE)="FAIL", ISNUMBER(SEARCH("Critical", J310))), "3-Red", IF(SUMIF('Code Violations'!A:A, A310, 'Code Violations'!T:T)&gt;=1, "2-Yellow", "1-White")))</f>
        <v/>
      </c>
      <c r="L310" t="str">
        <f t="shared" si="7"/>
        <v/>
      </c>
    </row>
    <row r="311" spans="11:12" x14ac:dyDescent="0.25">
      <c r="K311" t="str">
        <f>IF(A311="","", IF(OR(SUMIF('Code Violations'!A:A, A311, 'Code Violations'!T:T)&gt;=5, VLOOKUP(A311, 'Master Dashboard'!A:L, 9, FALSE)="FAIL", VLOOKUP(A311, 'Master Dashboard'!A:L, 10, FALSE)="FAIL", ISNUMBER(SEARCH("Critical", J311))), "3-Red", IF(SUMIF('Code Violations'!A:A, A311, 'Code Violations'!T:T)&gt;=1, "2-Yellow", "1-White")))</f>
        <v/>
      </c>
      <c r="L311" t="str">
        <f t="shared" si="7"/>
        <v/>
      </c>
    </row>
    <row r="312" spans="11:12" x14ac:dyDescent="0.25">
      <c r="K312" t="str">
        <f>IF(A312="","", IF(OR(SUMIF('Code Violations'!A:A, A312, 'Code Violations'!T:T)&gt;=5, VLOOKUP(A312, 'Master Dashboard'!A:L, 9, FALSE)="FAIL", VLOOKUP(A312, 'Master Dashboard'!A:L, 10, FALSE)="FAIL", ISNUMBER(SEARCH("Critical", J312))), "3-Red", IF(SUMIF('Code Violations'!A:A, A312, 'Code Violations'!T:T)&gt;=1, "2-Yellow", "1-White")))</f>
        <v/>
      </c>
      <c r="L312" t="str">
        <f t="shared" si="7"/>
        <v/>
      </c>
    </row>
    <row r="313" spans="11:12" x14ac:dyDescent="0.25">
      <c r="K313" t="str">
        <f>IF(A313="","", IF(OR(SUMIF('Code Violations'!A:A, A313, 'Code Violations'!T:T)&gt;=5, VLOOKUP(A313, 'Master Dashboard'!A:L, 9, FALSE)="FAIL", VLOOKUP(A313, 'Master Dashboard'!A:L, 10, FALSE)="FAIL", ISNUMBER(SEARCH("Critical", J313))), "3-Red", IF(SUMIF('Code Violations'!A:A, A313, 'Code Violations'!T:T)&gt;=1, "2-Yellow", "1-White")))</f>
        <v/>
      </c>
      <c r="L313" t="str">
        <f t="shared" si="7"/>
        <v/>
      </c>
    </row>
    <row r="314" spans="11:12" x14ac:dyDescent="0.25">
      <c r="K314" t="str">
        <f>IF(A314="","", IF(OR(SUMIF('Code Violations'!A:A, A314, 'Code Violations'!T:T)&gt;=5, VLOOKUP(A314, 'Master Dashboard'!A:L, 9, FALSE)="FAIL", VLOOKUP(A314, 'Master Dashboard'!A:L, 10, FALSE)="FAIL", ISNUMBER(SEARCH("Critical", J314))), "3-Red", IF(SUMIF('Code Violations'!A:A, A314, 'Code Violations'!T:T)&gt;=1, "2-Yellow", "1-White")))</f>
        <v/>
      </c>
      <c r="L314" t="str">
        <f t="shared" si="7"/>
        <v/>
      </c>
    </row>
    <row r="315" spans="11:12" x14ac:dyDescent="0.25">
      <c r="K315" t="str">
        <f>IF(A315="","", IF(OR(SUMIF('Code Violations'!A:A, A315, 'Code Violations'!T:T)&gt;=5, VLOOKUP(A315, 'Master Dashboard'!A:L, 9, FALSE)="FAIL", VLOOKUP(A315, 'Master Dashboard'!A:L, 10, FALSE)="FAIL", ISNUMBER(SEARCH("Critical", J315))), "3-Red", IF(SUMIF('Code Violations'!A:A, A315, 'Code Violations'!T:T)&gt;=1, "2-Yellow", "1-White")))</f>
        <v/>
      </c>
      <c r="L315" t="str">
        <f t="shared" si="7"/>
        <v/>
      </c>
    </row>
    <row r="316" spans="11:12" x14ac:dyDescent="0.25">
      <c r="K316" t="str">
        <f>IF(A316="","", IF(OR(SUMIF('Code Violations'!A:A, A316, 'Code Violations'!T:T)&gt;=5, VLOOKUP(A316, 'Master Dashboard'!A:L, 9, FALSE)="FAIL", VLOOKUP(A316, 'Master Dashboard'!A:L, 10, FALSE)="FAIL", ISNUMBER(SEARCH("Critical", J316))), "3-Red", IF(SUMIF('Code Violations'!A:A, A316, 'Code Violations'!T:T)&gt;=1, "2-Yellow", "1-White")))</f>
        <v/>
      </c>
      <c r="L316" t="str">
        <f t="shared" si="7"/>
        <v/>
      </c>
    </row>
    <row r="317" spans="11:12" x14ac:dyDescent="0.25">
      <c r="K317" t="str">
        <f>IF(A317="","", IF(OR(SUMIF('Code Violations'!A:A, A317, 'Code Violations'!T:T)&gt;=5, VLOOKUP(A317, 'Master Dashboard'!A:L, 9, FALSE)="FAIL", VLOOKUP(A317, 'Master Dashboard'!A:L, 10, FALSE)="FAIL", ISNUMBER(SEARCH("Critical", J317))), "3-Red", IF(SUMIF('Code Violations'!A:A, A317, 'Code Violations'!T:T)&gt;=1, "2-Yellow", "1-White")))</f>
        <v/>
      </c>
      <c r="L317" t="str">
        <f t="shared" si="7"/>
        <v/>
      </c>
    </row>
    <row r="318" spans="11:12" x14ac:dyDescent="0.25">
      <c r="K318" t="str">
        <f>IF(A318="","", IF(OR(SUMIF('Code Violations'!A:A, A318, 'Code Violations'!T:T)&gt;=5, VLOOKUP(A318, 'Master Dashboard'!A:L, 9, FALSE)="FAIL", VLOOKUP(A318, 'Master Dashboard'!A:L, 10, FALSE)="FAIL", ISNUMBER(SEARCH("Critical", J318))), "3-Red", IF(SUMIF('Code Violations'!A:A, A318, 'Code Violations'!T:T)&gt;=1, "2-Yellow", "1-White")))</f>
        <v/>
      </c>
      <c r="L318" t="str">
        <f t="shared" si="7"/>
        <v/>
      </c>
    </row>
    <row r="319" spans="11:12" x14ac:dyDescent="0.25">
      <c r="K319" t="str">
        <f>IF(A319="","", IF(OR(SUMIF('Code Violations'!A:A, A319, 'Code Violations'!T:T)&gt;=5, VLOOKUP(A319, 'Master Dashboard'!A:L, 9, FALSE)="FAIL", VLOOKUP(A319, 'Master Dashboard'!A:L, 10, FALSE)="FAIL", ISNUMBER(SEARCH("Critical", J319))), "3-Red", IF(SUMIF('Code Violations'!A:A, A319, 'Code Violations'!T:T)&gt;=1, "2-Yellow", "1-White")))</f>
        <v/>
      </c>
      <c r="L319" t="str">
        <f t="shared" si="7"/>
        <v/>
      </c>
    </row>
    <row r="320" spans="11:12" x14ac:dyDescent="0.25">
      <c r="K320" t="str">
        <f>IF(A320="","", IF(OR(SUMIF('Code Violations'!A:A, A320, 'Code Violations'!T:T)&gt;=5, VLOOKUP(A320, 'Master Dashboard'!A:L, 9, FALSE)="FAIL", VLOOKUP(A320, 'Master Dashboard'!A:L, 10, FALSE)="FAIL", ISNUMBER(SEARCH("Critical", J320))), "3-Red", IF(SUMIF('Code Violations'!A:A, A320, 'Code Violations'!T:T)&gt;=1, "2-Yellow", "1-White")))</f>
        <v/>
      </c>
      <c r="L320" t="str">
        <f t="shared" si="7"/>
        <v/>
      </c>
    </row>
    <row r="321" spans="11:12" x14ac:dyDescent="0.25">
      <c r="K321" t="str">
        <f>IF(A321="","", IF(OR(SUMIF('Code Violations'!A:A, A321, 'Code Violations'!T:T)&gt;=5, VLOOKUP(A321, 'Master Dashboard'!A:L, 9, FALSE)="FAIL", VLOOKUP(A321, 'Master Dashboard'!A:L, 10, FALSE)="FAIL", ISNUMBER(SEARCH("Critical", J321))), "3-Red", IF(SUMIF('Code Violations'!A:A, A321, 'Code Violations'!T:T)&gt;=1, "2-Yellow", "1-White")))</f>
        <v/>
      </c>
      <c r="L321" t="str">
        <f t="shared" si="7"/>
        <v/>
      </c>
    </row>
    <row r="322" spans="11:12" x14ac:dyDescent="0.25">
      <c r="K322" t="str">
        <f>IF(A322="","", IF(OR(SUMIF('Code Violations'!A:A, A322, 'Code Violations'!T:T)&gt;=5, VLOOKUP(A322, 'Master Dashboard'!A:L, 9, FALSE)="FAIL", VLOOKUP(A322, 'Master Dashboard'!A:L, 10, FALSE)="FAIL", ISNUMBER(SEARCH("Critical", J322))), "3-Red", IF(SUMIF('Code Violations'!A:A, A322, 'Code Violations'!T:T)&gt;=1, "2-Yellow", "1-White")))</f>
        <v/>
      </c>
      <c r="L322" t="str">
        <f t="shared" si="7"/>
        <v/>
      </c>
    </row>
    <row r="323" spans="11:12" x14ac:dyDescent="0.25">
      <c r="K323" t="str">
        <f>IF(A323="","", IF(OR(SUMIF('Code Violations'!A:A, A323, 'Code Violations'!T:T)&gt;=5, VLOOKUP(A323, 'Master Dashboard'!A:L, 9, FALSE)="FAIL", VLOOKUP(A323, 'Master Dashboard'!A:L, 10, FALSE)="FAIL", ISNUMBER(SEARCH("Critical", J323))), "3-Red", IF(SUMIF('Code Violations'!A:A, A323, 'Code Violations'!T:T)&gt;=1, "2-Yellow", "1-White")))</f>
        <v/>
      </c>
      <c r="L323" t="str">
        <f t="shared" si="7"/>
        <v/>
      </c>
    </row>
    <row r="324" spans="11:12" x14ac:dyDescent="0.25">
      <c r="K324" t="str">
        <f>IF(A324="","", IF(OR(SUMIF('Code Violations'!A:A, A324, 'Code Violations'!T:T)&gt;=5, VLOOKUP(A324, 'Master Dashboard'!A:L, 9, FALSE)="FAIL", VLOOKUP(A324, 'Master Dashboard'!A:L, 10, FALSE)="FAIL", ISNUMBER(SEARCH("Critical", J324))), "3-Red", IF(SUMIF('Code Violations'!A:A, A324, 'Code Violations'!T:T)&gt;=1, "2-Yellow", "1-White")))</f>
        <v/>
      </c>
      <c r="L324" t="str">
        <f t="shared" si="7"/>
        <v/>
      </c>
    </row>
    <row r="325" spans="11:12" x14ac:dyDescent="0.25">
      <c r="K325" t="str">
        <f>IF(A325="","", IF(OR(SUMIF('Code Violations'!A:A, A325, 'Code Violations'!T:T)&gt;=5, VLOOKUP(A325, 'Master Dashboard'!A:L, 9, FALSE)="FAIL", VLOOKUP(A325, 'Master Dashboard'!A:L, 10, FALSE)="FAIL", ISNUMBER(SEARCH("Critical", J325))), "3-Red", IF(SUMIF('Code Violations'!A:A, A325, 'Code Violations'!T:T)&gt;=1, "2-Yellow", "1-White")))</f>
        <v/>
      </c>
      <c r="L325" t="str">
        <f t="shared" si="7"/>
        <v/>
      </c>
    </row>
    <row r="326" spans="11:12" x14ac:dyDescent="0.25">
      <c r="K326" t="str">
        <f>IF(A326="","", IF(OR(SUMIF('Code Violations'!A:A, A326, 'Code Violations'!T:T)&gt;=5, VLOOKUP(A326, 'Master Dashboard'!A:L, 9, FALSE)="FAIL", VLOOKUP(A326, 'Master Dashboard'!A:L, 10, FALSE)="FAIL", ISNUMBER(SEARCH("Critical", J326))), "3-Red", IF(SUMIF('Code Violations'!A:A, A326, 'Code Violations'!T:T)&gt;=1, "2-Yellow", "1-White")))</f>
        <v/>
      </c>
      <c r="L326" t="str">
        <f t="shared" si="7"/>
        <v/>
      </c>
    </row>
    <row r="327" spans="11:12" x14ac:dyDescent="0.25">
      <c r="K327" t="str">
        <f>IF(A327="","", IF(OR(SUMIF('Code Violations'!A:A, A327, 'Code Violations'!T:T)&gt;=5, VLOOKUP(A327, 'Master Dashboard'!A:L, 9, FALSE)="FAIL", VLOOKUP(A327, 'Master Dashboard'!A:L, 10, FALSE)="FAIL", ISNUMBER(SEARCH("Critical", J327))), "3-Red", IF(SUMIF('Code Violations'!A:A, A327, 'Code Violations'!T:T)&gt;=1, "2-Yellow", "1-White")))</f>
        <v/>
      </c>
      <c r="L327" t="str">
        <f t="shared" si="7"/>
        <v/>
      </c>
    </row>
    <row r="328" spans="11:12" x14ac:dyDescent="0.25">
      <c r="K328" t="str">
        <f>IF(A328="","", IF(OR(SUMIF('Code Violations'!A:A, A328, 'Code Violations'!T:T)&gt;=5, VLOOKUP(A328, 'Master Dashboard'!A:L, 9, FALSE)="FAIL", VLOOKUP(A328, 'Master Dashboard'!A:L, 10, FALSE)="FAIL", ISNUMBER(SEARCH("Critical", J328))), "3-Red", IF(SUMIF('Code Violations'!A:A, A328, 'Code Violations'!T:T)&gt;=1, "2-Yellow", "1-White")))</f>
        <v/>
      </c>
      <c r="L328" t="str">
        <f t="shared" si="7"/>
        <v/>
      </c>
    </row>
    <row r="329" spans="11:12" x14ac:dyDescent="0.25">
      <c r="K329" t="str">
        <f>IF(A329="","", IF(OR(SUMIF('Code Violations'!A:A, A329, 'Code Violations'!T:T)&gt;=5, VLOOKUP(A329, 'Master Dashboard'!A:L, 9, FALSE)="FAIL", VLOOKUP(A329, 'Master Dashboard'!A:L, 10, FALSE)="FAIL", ISNUMBER(SEARCH("Critical", J329))), "3-Red", IF(SUMIF('Code Violations'!A:A, A329, 'Code Violations'!T:T)&gt;=1, "2-Yellow", "1-White")))</f>
        <v/>
      </c>
      <c r="L329" t="str">
        <f t="shared" si="7"/>
        <v/>
      </c>
    </row>
    <row r="330" spans="11:12" x14ac:dyDescent="0.25">
      <c r="K330" t="str">
        <f>IF(A330="","", IF(OR(SUMIF('Code Violations'!A:A, A330, 'Code Violations'!T:T)&gt;=5, VLOOKUP(A330, 'Master Dashboard'!A:L, 9, FALSE)="FAIL", VLOOKUP(A330, 'Master Dashboard'!A:L, 10, FALSE)="FAIL", ISNUMBER(SEARCH("Critical", J330))), "3-Red", IF(SUMIF('Code Violations'!A:A, A330, 'Code Violations'!T:T)&gt;=1, "2-Yellow", "1-White")))</f>
        <v/>
      </c>
      <c r="L330" t="str">
        <f t="shared" si="7"/>
        <v/>
      </c>
    </row>
    <row r="331" spans="11:12" x14ac:dyDescent="0.25">
      <c r="K331" t="str">
        <f>IF(A331="","", IF(OR(SUMIF('Code Violations'!A:A, A331, 'Code Violations'!T:T)&gt;=5, VLOOKUP(A331, 'Master Dashboard'!A:L, 9, FALSE)="FAIL", VLOOKUP(A331, 'Master Dashboard'!A:L, 10, FALSE)="FAIL", ISNUMBER(SEARCH("Critical", J331))), "3-Red", IF(SUMIF('Code Violations'!A:A, A331, 'Code Violations'!T:T)&gt;=1, "2-Yellow", "1-White")))</f>
        <v/>
      </c>
      <c r="L331" t="str">
        <f t="shared" si="7"/>
        <v/>
      </c>
    </row>
    <row r="332" spans="11:12" x14ac:dyDescent="0.25">
      <c r="K332" t="str">
        <f>IF(A332="","", IF(OR(SUMIF('Code Violations'!A:A, A332, 'Code Violations'!T:T)&gt;=5, VLOOKUP(A332, 'Master Dashboard'!A:L, 9, FALSE)="FAIL", VLOOKUP(A332, 'Master Dashboard'!A:L, 10, FALSE)="FAIL", ISNUMBER(SEARCH("Critical", J332))), "3-Red", IF(SUMIF('Code Violations'!A:A, A332, 'Code Violations'!T:T)&gt;=1, "2-Yellow", "1-White")))</f>
        <v/>
      </c>
      <c r="L332" t="str">
        <f t="shared" si="7"/>
        <v/>
      </c>
    </row>
    <row r="333" spans="11:12" x14ac:dyDescent="0.25">
      <c r="K333" t="str">
        <f>IF(A333="","", IF(OR(SUMIF('Code Violations'!A:A, A333, 'Code Violations'!T:T)&gt;=5, VLOOKUP(A333, 'Master Dashboard'!A:L, 9, FALSE)="FAIL", VLOOKUP(A333, 'Master Dashboard'!A:L, 10, FALSE)="FAIL", ISNUMBER(SEARCH("Critical", J333))), "3-Red", IF(SUMIF('Code Violations'!A:A, A333, 'Code Violations'!T:T)&gt;=1, "2-Yellow", "1-White")))</f>
        <v/>
      </c>
      <c r="L333" t="str">
        <f t="shared" si="7"/>
        <v/>
      </c>
    </row>
    <row r="334" spans="11:12" x14ac:dyDescent="0.25">
      <c r="K334" t="str">
        <f>IF(A334="","", IF(OR(SUMIF('Code Violations'!A:A, A334, 'Code Violations'!T:T)&gt;=5, VLOOKUP(A334, 'Master Dashboard'!A:L, 9, FALSE)="FAIL", VLOOKUP(A334, 'Master Dashboard'!A:L, 10, FALSE)="FAIL", ISNUMBER(SEARCH("Critical", J334))), "3-Red", IF(SUMIF('Code Violations'!A:A, A334, 'Code Violations'!T:T)&gt;=1, "2-Yellow", "1-White")))</f>
        <v/>
      </c>
      <c r="L334" t="str">
        <f t="shared" si="7"/>
        <v/>
      </c>
    </row>
    <row r="335" spans="11:12" x14ac:dyDescent="0.25">
      <c r="K335" t="str">
        <f>IF(A335="","", IF(OR(SUMIF('Code Violations'!A:A, A335, 'Code Violations'!T:T)&gt;=5, VLOOKUP(A335, 'Master Dashboard'!A:L, 9, FALSE)="FAIL", VLOOKUP(A335, 'Master Dashboard'!A:L, 10, FALSE)="FAIL", ISNUMBER(SEARCH("Critical", J335))), "3-Red", IF(SUMIF('Code Violations'!A:A, A335, 'Code Violations'!T:T)&gt;=1, "2-Yellow", "1-White")))</f>
        <v/>
      </c>
      <c r="L335" t="str">
        <f t="shared" si="7"/>
        <v/>
      </c>
    </row>
    <row r="336" spans="11:12" x14ac:dyDescent="0.25">
      <c r="K336" t="str">
        <f>IF(A336="","", IF(OR(SUMIF('Code Violations'!A:A, A336, 'Code Violations'!T:T)&gt;=5, VLOOKUP(A336, 'Master Dashboard'!A:L, 9, FALSE)="FAIL", VLOOKUP(A336, 'Master Dashboard'!A:L, 10, FALSE)="FAIL", ISNUMBER(SEARCH("Critical", J336))), "3-Red", IF(SUMIF('Code Violations'!A:A, A336, 'Code Violations'!T:T)&gt;=1, "2-Yellow", "1-White")))</f>
        <v/>
      </c>
      <c r="L336" t="str">
        <f t="shared" si="7"/>
        <v/>
      </c>
    </row>
    <row r="337" spans="11:12" x14ac:dyDescent="0.25">
      <c r="K337" t="str">
        <f>IF(A337="","", IF(OR(SUMIF('Code Violations'!A:A, A337, 'Code Violations'!T:T)&gt;=5, VLOOKUP(A337, 'Master Dashboard'!A:L, 9, FALSE)="FAIL", VLOOKUP(A337, 'Master Dashboard'!A:L, 10, FALSE)="FAIL", ISNUMBER(SEARCH("Critical", J337))), "3-Red", IF(SUMIF('Code Violations'!A:A, A337, 'Code Violations'!T:T)&gt;=1, "2-Yellow", "1-White")))</f>
        <v/>
      </c>
      <c r="L337" t="str">
        <f t="shared" si="7"/>
        <v/>
      </c>
    </row>
    <row r="338" spans="11:12" x14ac:dyDescent="0.25">
      <c r="K338" t="str">
        <f>IF(A338="","", IF(OR(SUMIF('Code Violations'!A:A, A338, 'Code Violations'!T:T)&gt;=5, VLOOKUP(A338, 'Master Dashboard'!A:L, 9, FALSE)="FAIL", VLOOKUP(A338, 'Master Dashboard'!A:L, 10, FALSE)="FAIL", ISNUMBER(SEARCH("Critical", J338))), "3-Red", IF(SUMIF('Code Violations'!A:A, A338, 'Code Violations'!T:T)&gt;=1, "2-Yellow", "1-White")))</f>
        <v/>
      </c>
      <c r="L338" t="str">
        <f t="shared" si="7"/>
        <v/>
      </c>
    </row>
    <row r="339" spans="11:12" x14ac:dyDescent="0.25">
      <c r="K339" t="str">
        <f>IF(A339="","", IF(OR(SUMIF('Code Violations'!A:A, A339, 'Code Violations'!T:T)&gt;=5, VLOOKUP(A339, 'Master Dashboard'!A:L, 9, FALSE)="FAIL", VLOOKUP(A339, 'Master Dashboard'!A:L, 10, FALSE)="FAIL", ISNUMBER(SEARCH("Critical", J339))), "3-Red", IF(SUMIF('Code Violations'!A:A, A339, 'Code Violations'!T:T)&gt;=1, "2-Yellow", "1-White")))</f>
        <v/>
      </c>
      <c r="L339" t="str">
        <f t="shared" si="7"/>
        <v/>
      </c>
    </row>
    <row r="340" spans="11:12" x14ac:dyDescent="0.25">
      <c r="K340" t="str">
        <f>IF(A340="","", IF(OR(SUMIF('Code Violations'!A:A, A340, 'Code Violations'!T:T)&gt;=5, VLOOKUP(A340, 'Master Dashboard'!A:L, 9, FALSE)="FAIL", VLOOKUP(A340, 'Master Dashboard'!A:L, 10, FALSE)="FAIL", ISNUMBER(SEARCH("Critical", J340))), "3-Red", IF(SUMIF('Code Violations'!A:A, A340, 'Code Violations'!T:T)&gt;=1, "2-Yellow", "1-White")))</f>
        <v/>
      </c>
      <c r="L340" t="str">
        <f t="shared" si="7"/>
        <v/>
      </c>
    </row>
    <row r="341" spans="11:12" x14ac:dyDescent="0.25">
      <c r="K341" t="str">
        <f>IF(A341="","", IF(OR(SUMIF('Code Violations'!A:A, A341, 'Code Violations'!T:T)&gt;=5, VLOOKUP(A341, 'Master Dashboard'!A:L, 9, FALSE)="FAIL", VLOOKUP(A341, 'Master Dashboard'!A:L, 10, FALSE)="FAIL", ISNUMBER(SEARCH("Critical", J341))), "3-Red", IF(SUMIF('Code Violations'!A:A, A341, 'Code Violations'!T:T)&gt;=1, "2-Yellow", "1-White")))</f>
        <v/>
      </c>
      <c r="L341" t="str">
        <f t="shared" si="7"/>
        <v/>
      </c>
    </row>
    <row r="342" spans="11:12" x14ac:dyDescent="0.25">
      <c r="K342" t="str">
        <f>IF(A342="","", IF(OR(SUMIF('Code Violations'!A:A, A342, 'Code Violations'!T:T)&gt;=5, VLOOKUP(A342, 'Master Dashboard'!A:L, 9, FALSE)="FAIL", VLOOKUP(A342, 'Master Dashboard'!A:L, 10, FALSE)="FAIL", ISNUMBER(SEARCH("Critical", J342))), "3-Red", IF(SUMIF('Code Violations'!A:A, A342, 'Code Violations'!T:T)&gt;=1, "2-Yellow", "1-White")))</f>
        <v/>
      </c>
      <c r="L342" t="str">
        <f t="shared" si="7"/>
        <v/>
      </c>
    </row>
    <row r="343" spans="11:12" x14ac:dyDescent="0.25">
      <c r="K343" t="str">
        <f>IF(A343="","", IF(OR(SUMIF('Code Violations'!A:A, A343, 'Code Violations'!T:T)&gt;=5, VLOOKUP(A343, 'Master Dashboard'!A:L, 9, FALSE)="FAIL", VLOOKUP(A343, 'Master Dashboard'!A:L, 10, FALSE)="FAIL", ISNUMBER(SEARCH("Critical", J343))), "3-Red", IF(SUMIF('Code Violations'!A:A, A343, 'Code Violations'!T:T)&gt;=1, "2-Yellow", "1-White")))</f>
        <v/>
      </c>
      <c r="L343" t="str">
        <f t="shared" si="7"/>
        <v/>
      </c>
    </row>
    <row r="344" spans="11:12" x14ac:dyDescent="0.25">
      <c r="K344" t="str">
        <f>IF(A344="","", IF(OR(SUMIF('Code Violations'!A:A, A344, 'Code Violations'!T:T)&gt;=5, VLOOKUP(A344, 'Master Dashboard'!A:L, 9, FALSE)="FAIL", VLOOKUP(A344, 'Master Dashboard'!A:L, 10, FALSE)="FAIL", ISNUMBER(SEARCH("Critical", J344))), "3-Red", IF(SUMIF('Code Violations'!A:A, A344, 'Code Violations'!T:T)&gt;=1, "2-Yellow", "1-White")))</f>
        <v/>
      </c>
      <c r="L344" t="str">
        <f t="shared" si="7"/>
        <v/>
      </c>
    </row>
    <row r="345" spans="11:12" x14ac:dyDescent="0.25">
      <c r="K345" t="str">
        <f>IF(A345="","", IF(OR(SUMIF('Code Violations'!A:A, A345, 'Code Violations'!T:T)&gt;=5, VLOOKUP(A345, 'Master Dashboard'!A:L, 9, FALSE)="FAIL", VLOOKUP(A345, 'Master Dashboard'!A:L, 10, FALSE)="FAIL", ISNUMBER(SEARCH("Critical", J345))), "3-Red", IF(SUMIF('Code Violations'!A:A, A345, 'Code Violations'!T:T)&gt;=1, "2-Yellow", "1-White")))</f>
        <v/>
      </c>
      <c r="L345" t="str">
        <f t="shared" si="7"/>
        <v/>
      </c>
    </row>
    <row r="346" spans="11:12" x14ac:dyDescent="0.25">
      <c r="K346" t="str">
        <f>IF(A346="","", IF(OR(SUMIF('Code Violations'!A:A, A346, 'Code Violations'!T:T)&gt;=5, VLOOKUP(A346, 'Master Dashboard'!A:L, 9, FALSE)="FAIL", VLOOKUP(A346, 'Master Dashboard'!A:L, 10, FALSE)="FAIL", ISNUMBER(SEARCH("Critical", J346))), "3-Red", IF(SUMIF('Code Violations'!A:A, A346, 'Code Violations'!T:T)&gt;=1, "2-Yellow", "1-White")))</f>
        <v/>
      </c>
      <c r="L346" t="str">
        <f t="shared" si="7"/>
        <v/>
      </c>
    </row>
    <row r="347" spans="11:12" x14ac:dyDescent="0.25">
      <c r="K347" t="str">
        <f>IF(A347="","", IF(OR(SUMIF('Code Violations'!A:A, A347, 'Code Violations'!T:T)&gt;=5, VLOOKUP(A347, 'Master Dashboard'!A:L, 9, FALSE)="FAIL", VLOOKUP(A347, 'Master Dashboard'!A:L, 10, FALSE)="FAIL", ISNUMBER(SEARCH("Critical", J347))), "3-Red", IF(SUMIF('Code Violations'!A:A, A347, 'Code Violations'!T:T)&gt;=1, "2-Yellow", "1-White")))</f>
        <v/>
      </c>
      <c r="L347" t="str">
        <f t="shared" si="7"/>
        <v/>
      </c>
    </row>
    <row r="348" spans="11:12" x14ac:dyDescent="0.25">
      <c r="K348" t="str">
        <f>IF(A348="","", IF(OR(SUMIF('Code Violations'!A:A, A348, 'Code Violations'!T:T)&gt;=5, VLOOKUP(A348, 'Master Dashboard'!A:L, 9, FALSE)="FAIL", VLOOKUP(A348, 'Master Dashboard'!A:L, 10, FALSE)="FAIL", ISNUMBER(SEARCH("Critical", J348))), "3-Red", IF(SUMIF('Code Violations'!A:A, A348, 'Code Violations'!T:T)&gt;=1, "2-Yellow", "1-White")))</f>
        <v/>
      </c>
      <c r="L348" t="str">
        <f t="shared" si="7"/>
        <v/>
      </c>
    </row>
    <row r="349" spans="11:12" x14ac:dyDescent="0.25">
      <c r="K349" t="str">
        <f>IF(A349="","", IF(OR(SUMIF('Code Violations'!A:A, A349, 'Code Violations'!T:T)&gt;=5, VLOOKUP(A349, 'Master Dashboard'!A:L, 9, FALSE)="FAIL", VLOOKUP(A349, 'Master Dashboard'!A:L, 10, FALSE)="FAIL", ISNUMBER(SEARCH("Critical", J349))), "3-Red", IF(SUMIF('Code Violations'!A:A, A349, 'Code Violations'!T:T)&gt;=1, "2-Yellow", "1-White")))</f>
        <v/>
      </c>
      <c r="L349" t="str">
        <f t="shared" si="7"/>
        <v/>
      </c>
    </row>
    <row r="350" spans="11:12" x14ac:dyDescent="0.25">
      <c r="K350" t="str">
        <f>IF(A350="","", IF(OR(SUMIF('Code Violations'!A:A, A350, 'Code Violations'!T:T)&gt;=5, VLOOKUP(A350, 'Master Dashboard'!A:L, 9, FALSE)="FAIL", VLOOKUP(A350, 'Master Dashboard'!A:L, 10, FALSE)="FAIL", ISNUMBER(SEARCH("Critical", J350))), "3-Red", IF(SUMIF('Code Violations'!A:A, A350, 'Code Violations'!T:T)&gt;=1, "2-Yellow", "1-White")))</f>
        <v/>
      </c>
      <c r="L350" t="str">
        <f t="shared" si="7"/>
        <v/>
      </c>
    </row>
    <row r="351" spans="11:12" x14ac:dyDescent="0.25">
      <c r="K351" t="str">
        <f>IF(A351="","", IF(OR(SUMIF('Code Violations'!A:A, A351, 'Code Violations'!T:T)&gt;=5, VLOOKUP(A351, 'Master Dashboard'!A:L, 9, FALSE)="FAIL", VLOOKUP(A351, 'Master Dashboard'!A:L, 10, FALSE)="FAIL", ISNUMBER(SEARCH("Critical", J351))), "3-Red", IF(SUMIF('Code Violations'!A:A, A351, 'Code Violations'!T:T)&gt;=1, "2-Yellow", "1-White")))</f>
        <v/>
      </c>
      <c r="L351" t="str">
        <f t="shared" si="7"/>
        <v/>
      </c>
    </row>
    <row r="352" spans="11:12" x14ac:dyDescent="0.25">
      <c r="K352" t="str">
        <f>IF(A352="","", IF(OR(SUMIF('Code Violations'!A:A, A352, 'Code Violations'!T:T)&gt;=5, VLOOKUP(A352, 'Master Dashboard'!A:L, 9, FALSE)="FAIL", VLOOKUP(A352, 'Master Dashboard'!A:L, 10, FALSE)="FAIL", ISNUMBER(SEARCH("Critical", J352))), "3-Red", IF(SUMIF('Code Violations'!A:A, A352, 'Code Violations'!T:T)&gt;=1, "2-Yellow", "1-White")))</f>
        <v/>
      </c>
      <c r="L352" t="str">
        <f t="shared" si="7"/>
        <v/>
      </c>
    </row>
    <row r="353" spans="11:12" x14ac:dyDescent="0.25">
      <c r="K353" t="str">
        <f>IF(A353="","", IF(OR(SUMIF('Code Violations'!A:A, A353, 'Code Violations'!T:T)&gt;=5, VLOOKUP(A353, 'Master Dashboard'!A:L, 9, FALSE)="FAIL", VLOOKUP(A353, 'Master Dashboard'!A:L, 10, FALSE)="FAIL", ISNUMBER(SEARCH("Critical", J353))), "3-Red", IF(SUMIF('Code Violations'!A:A, A353, 'Code Violations'!T:T)&gt;=1, "2-Yellow", "1-White")))</f>
        <v/>
      </c>
      <c r="L353" t="str">
        <f t="shared" si="7"/>
        <v/>
      </c>
    </row>
    <row r="354" spans="11:12" x14ac:dyDescent="0.25">
      <c r="K354" t="str">
        <f>IF(A354="","", IF(OR(SUMIF('Code Violations'!A:A, A354, 'Code Violations'!T:T)&gt;=5, VLOOKUP(A354, 'Master Dashboard'!A:L, 9, FALSE)="FAIL", VLOOKUP(A354, 'Master Dashboard'!A:L, 10, FALSE)="FAIL", ISNUMBER(SEARCH("Critical", J354))), "3-Red", IF(SUMIF('Code Violations'!A:A, A354, 'Code Violations'!T:T)&gt;=1, "2-Yellow", "1-White")))</f>
        <v/>
      </c>
      <c r="L354" t="str">
        <f t="shared" ref="L354:L417" si="8">IF(J354="","", IF(ISNUMBER(SEARCH("Critical", J354)), "CRITICAL FAIL", IF(ISNUMBER(SEARCH("Overdue", J354)), "FAIL", "COMPLIANT")))</f>
        <v/>
      </c>
    </row>
    <row r="355" spans="11:12" x14ac:dyDescent="0.25">
      <c r="K355" t="str">
        <f>IF(A355="","", IF(OR(SUMIF('Code Violations'!A:A, A355, 'Code Violations'!T:T)&gt;=5, VLOOKUP(A355, 'Master Dashboard'!A:L, 9, FALSE)="FAIL", VLOOKUP(A355, 'Master Dashboard'!A:L, 10, FALSE)="FAIL", ISNUMBER(SEARCH("Critical", J355))), "3-Red", IF(SUMIF('Code Violations'!A:A, A355, 'Code Violations'!T:T)&gt;=1, "2-Yellow", "1-White")))</f>
        <v/>
      </c>
      <c r="L355" t="str">
        <f t="shared" si="8"/>
        <v/>
      </c>
    </row>
    <row r="356" spans="11:12" x14ac:dyDescent="0.25">
      <c r="K356" t="str">
        <f>IF(A356="","", IF(OR(SUMIF('Code Violations'!A:A, A356, 'Code Violations'!T:T)&gt;=5, VLOOKUP(A356, 'Master Dashboard'!A:L, 9, FALSE)="FAIL", VLOOKUP(A356, 'Master Dashboard'!A:L, 10, FALSE)="FAIL", ISNUMBER(SEARCH("Critical", J356))), "3-Red", IF(SUMIF('Code Violations'!A:A, A356, 'Code Violations'!T:T)&gt;=1, "2-Yellow", "1-White")))</f>
        <v/>
      </c>
      <c r="L356" t="str">
        <f t="shared" si="8"/>
        <v/>
      </c>
    </row>
    <row r="357" spans="11:12" x14ac:dyDescent="0.25">
      <c r="K357" t="str">
        <f>IF(A357="","", IF(OR(SUMIF('Code Violations'!A:A, A357, 'Code Violations'!T:T)&gt;=5, VLOOKUP(A357, 'Master Dashboard'!A:L, 9, FALSE)="FAIL", VLOOKUP(A357, 'Master Dashboard'!A:L, 10, FALSE)="FAIL", ISNUMBER(SEARCH("Critical", J357))), "3-Red", IF(SUMIF('Code Violations'!A:A, A357, 'Code Violations'!T:T)&gt;=1, "2-Yellow", "1-White")))</f>
        <v/>
      </c>
      <c r="L357" t="str">
        <f t="shared" si="8"/>
        <v/>
      </c>
    </row>
    <row r="358" spans="11:12" x14ac:dyDescent="0.25">
      <c r="K358" t="str">
        <f>IF(A358="","", IF(OR(SUMIF('Code Violations'!A:A, A358, 'Code Violations'!T:T)&gt;=5, VLOOKUP(A358, 'Master Dashboard'!A:L, 9, FALSE)="FAIL", VLOOKUP(A358, 'Master Dashboard'!A:L, 10, FALSE)="FAIL", ISNUMBER(SEARCH("Critical", J358))), "3-Red", IF(SUMIF('Code Violations'!A:A, A358, 'Code Violations'!T:T)&gt;=1, "2-Yellow", "1-White")))</f>
        <v/>
      </c>
      <c r="L358" t="str">
        <f t="shared" si="8"/>
        <v/>
      </c>
    </row>
    <row r="359" spans="11:12" x14ac:dyDescent="0.25">
      <c r="K359" t="str">
        <f>IF(A359="","", IF(OR(SUMIF('Code Violations'!A:A, A359, 'Code Violations'!T:T)&gt;=5, VLOOKUP(A359, 'Master Dashboard'!A:L, 9, FALSE)="FAIL", VLOOKUP(A359, 'Master Dashboard'!A:L, 10, FALSE)="FAIL", ISNUMBER(SEARCH("Critical", J359))), "3-Red", IF(SUMIF('Code Violations'!A:A, A359, 'Code Violations'!T:T)&gt;=1, "2-Yellow", "1-White")))</f>
        <v/>
      </c>
      <c r="L359" t="str">
        <f t="shared" si="8"/>
        <v/>
      </c>
    </row>
    <row r="360" spans="11:12" x14ac:dyDescent="0.25">
      <c r="K360" t="str">
        <f>IF(A360="","", IF(OR(SUMIF('Code Violations'!A:A, A360, 'Code Violations'!T:T)&gt;=5, VLOOKUP(A360, 'Master Dashboard'!A:L, 9, FALSE)="FAIL", VLOOKUP(A360, 'Master Dashboard'!A:L, 10, FALSE)="FAIL", ISNUMBER(SEARCH("Critical", J360))), "3-Red", IF(SUMIF('Code Violations'!A:A, A360, 'Code Violations'!T:T)&gt;=1, "2-Yellow", "1-White")))</f>
        <v/>
      </c>
      <c r="L360" t="str">
        <f t="shared" si="8"/>
        <v/>
      </c>
    </row>
    <row r="361" spans="11:12" x14ac:dyDescent="0.25">
      <c r="K361" t="str">
        <f>IF(A361="","", IF(OR(SUMIF('Code Violations'!A:A, A361, 'Code Violations'!T:T)&gt;=5, VLOOKUP(A361, 'Master Dashboard'!A:L, 9, FALSE)="FAIL", VLOOKUP(A361, 'Master Dashboard'!A:L, 10, FALSE)="FAIL", ISNUMBER(SEARCH("Critical", J361))), "3-Red", IF(SUMIF('Code Violations'!A:A, A361, 'Code Violations'!T:T)&gt;=1, "2-Yellow", "1-White")))</f>
        <v/>
      </c>
      <c r="L361" t="str">
        <f t="shared" si="8"/>
        <v/>
      </c>
    </row>
    <row r="362" spans="11:12" x14ac:dyDescent="0.25">
      <c r="K362" t="str">
        <f>IF(A362="","", IF(OR(SUMIF('Code Violations'!A:A, A362, 'Code Violations'!T:T)&gt;=5, VLOOKUP(A362, 'Master Dashboard'!A:L, 9, FALSE)="FAIL", VLOOKUP(A362, 'Master Dashboard'!A:L, 10, FALSE)="FAIL", ISNUMBER(SEARCH("Critical", J362))), "3-Red", IF(SUMIF('Code Violations'!A:A, A362, 'Code Violations'!T:T)&gt;=1, "2-Yellow", "1-White")))</f>
        <v/>
      </c>
      <c r="L362" t="str">
        <f t="shared" si="8"/>
        <v/>
      </c>
    </row>
    <row r="363" spans="11:12" x14ac:dyDescent="0.25">
      <c r="K363" t="str">
        <f>IF(A363="","", IF(OR(SUMIF('Code Violations'!A:A, A363, 'Code Violations'!T:T)&gt;=5, VLOOKUP(A363, 'Master Dashboard'!A:L, 9, FALSE)="FAIL", VLOOKUP(A363, 'Master Dashboard'!A:L, 10, FALSE)="FAIL", ISNUMBER(SEARCH("Critical", J363))), "3-Red", IF(SUMIF('Code Violations'!A:A, A363, 'Code Violations'!T:T)&gt;=1, "2-Yellow", "1-White")))</f>
        <v/>
      </c>
      <c r="L363" t="str">
        <f t="shared" si="8"/>
        <v/>
      </c>
    </row>
    <row r="364" spans="11:12" x14ac:dyDescent="0.25">
      <c r="K364" t="str">
        <f>IF(A364="","", IF(OR(SUMIF('Code Violations'!A:A, A364, 'Code Violations'!T:T)&gt;=5, VLOOKUP(A364, 'Master Dashboard'!A:L, 9, FALSE)="FAIL", VLOOKUP(A364, 'Master Dashboard'!A:L, 10, FALSE)="FAIL", ISNUMBER(SEARCH("Critical", J364))), "3-Red", IF(SUMIF('Code Violations'!A:A, A364, 'Code Violations'!T:T)&gt;=1, "2-Yellow", "1-White")))</f>
        <v/>
      </c>
      <c r="L364" t="str">
        <f t="shared" si="8"/>
        <v/>
      </c>
    </row>
    <row r="365" spans="11:12" x14ac:dyDescent="0.25">
      <c r="K365" t="str">
        <f>IF(A365="","", IF(OR(SUMIF('Code Violations'!A:A, A365, 'Code Violations'!T:T)&gt;=5, VLOOKUP(A365, 'Master Dashboard'!A:L, 9, FALSE)="FAIL", VLOOKUP(A365, 'Master Dashboard'!A:L, 10, FALSE)="FAIL", ISNUMBER(SEARCH("Critical", J365))), "3-Red", IF(SUMIF('Code Violations'!A:A, A365, 'Code Violations'!T:T)&gt;=1, "2-Yellow", "1-White")))</f>
        <v/>
      </c>
      <c r="L365" t="str">
        <f t="shared" si="8"/>
        <v/>
      </c>
    </row>
    <row r="366" spans="11:12" x14ac:dyDescent="0.25">
      <c r="K366" t="str">
        <f>IF(A366="","", IF(OR(SUMIF('Code Violations'!A:A, A366, 'Code Violations'!T:T)&gt;=5, VLOOKUP(A366, 'Master Dashboard'!A:L, 9, FALSE)="FAIL", VLOOKUP(A366, 'Master Dashboard'!A:L, 10, FALSE)="FAIL", ISNUMBER(SEARCH("Critical", J366))), "3-Red", IF(SUMIF('Code Violations'!A:A, A366, 'Code Violations'!T:T)&gt;=1, "2-Yellow", "1-White")))</f>
        <v/>
      </c>
      <c r="L366" t="str">
        <f t="shared" si="8"/>
        <v/>
      </c>
    </row>
    <row r="367" spans="11:12" x14ac:dyDescent="0.25">
      <c r="K367" t="str">
        <f>IF(A367="","", IF(OR(SUMIF('Code Violations'!A:A, A367, 'Code Violations'!T:T)&gt;=5, VLOOKUP(A367, 'Master Dashboard'!A:L, 9, FALSE)="FAIL", VLOOKUP(A367, 'Master Dashboard'!A:L, 10, FALSE)="FAIL", ISNUMBER(SEARCH("Critical", J367))), "3-Red", IF(SUMIF('Code Violations'!A:A, A367, 'Code Violations'!T:T)&gt;=1, "2-Yellow", "1-White")))</f>
        <v/>
      </c>
      <c r="L367" t="str">
        <f t="shared" si="8"/>
        <v/>
      </c>
    </row>
    <row r="368" spans="11:12" x14ac:dyDescent="0.25">
      <c r="K368" t="str">
        <f>IF(A368="","", IF(OR(SUMIF('Code Violations'!A:A, A368, 'Code Violations'!T:T)&gt;=5, VLOOKUP(A368, 'Master Dashboard'!A:L, 9, FALSE)="FAIL", VLOOKUP(A368, 'Master Dashboard'!A:L, 10, FALSE)="FAIL", ISNUMBER(SEARCH("Critical", J368))), "3-Red", IF(SUMIF('Code Violations'!A:A, A368, 'Code Violations'!T:T)&gt;=1, "2-Yellow", "1-White")))</f>
        <v/>
      </c>
      <c r="L368" t="str">
        <f t="shared" si="8"/>
        <v/>
      </c>
    </row>
    <row r="369" spans="11:12" x14ac:dyDescent="0.25">
      <c r="K369" t="str">
        <f>IF(A369="","", IF(OR(SUMIF('Code Violations'!A:A, A369, 'Code Violations'!T:T)&gt;=5, VLOOKUP(A369, 'Master Dashboard'!A:L, 9, FALSE)="FAIL", VLOOKUP(A369, 'Master Dashboard'!A:L, 10, FALSE)="FAIL", ISNUMBER(SEARCH("Critical", J369))), "3-Red", IF(SUMIF('Code Violations'!A:A, A369, 'Code Violations'!T:T)&gt;=1, "2-Yellow", "1-White")))</f>
        <v/>
      </c>
      <c r="L369" t="str">
        <f t="shared" si="8"/>
        <v/>
      </c>
    </row>
    <row r="370" spans="11:12" x14ac:dyDescent="0.25">
      <c r="K370" t="str">
        <f>IF(A370="","", IF(OR(SUMIF('Code Violations'!A:A, A370, 'Code Violations'!T:T)&gt;=5, VLOOKUP(A370, 'Master Dashboard'!A:L, 9, FALSE)="FAIL", VLOOKUP(A370, 'Master Dashboard'!A:L, 10, FALSE)="FAIL", ISNUMBER(SEARCH("Critical", J370))), "3-Red", IF(SUMIF('Code Violations'!A:A, A370, 'Code Violations'!T:T)&gt;=1, "2-Yellow", "1-White")))</f>
        <v/>
      </c>
      <c r="L370" t="str">
        <f t="shared" si="8"/>
        <v/>
      </c>
    </row>
    <row r="371" spans="11:12" x14ac:dyDescent="0.25">
      <c r="K371" t="str">
        <f>IF(A371="","", IF(OR(SUMIF('Code Violations'!A:A, A371, 'Code Violations'!T:T)&gt;=5, VLOOKUP(A371, 'Master Dashboard'!A:L, 9, FALSE)="FAIL", VLOOKUP(A371, 'Master Dashboard'!A:L, 10, FALSE)="FAIL", ISNUMBER(SEARCH("Critical", J371))), "3-Red", IF(SUMIF('Code Violations'!A:A, A371, 'Code Violations'!T:T)&gt;=1, "2-Yellow", "1-White")))</f>
        <v/>
      </c>
      <c r="L371" t="str">
        <f t="shared" si="8"/>
        <v/>
      </c>
    </row>
    <row r="372" spans="11:12" x14ac:dyDescent="0.25">
      <c r="K372" t="str">
        <f>IF(A372="","", IF(OR(SUMIF('Code Violations'!A:A, A372, 'Code Violations'!T:T)&gt;=5, VLOOKUP(A372, 'Master Dashboard'!A:L, 9, FALSE)="FAIL", VLOOKUP(A372, 'Master Dashboard'!A:L, 10, FALSE)="FAIL", ISNUMBER(SEARCH("Critical", J372))), "3-Red", IF(SUMIF('Code Violations'!A:A, A372, 'Code Violations'!T:T)&gt;=1, "2-Yellow", "1-White")))</f>
        <v/>
      </c>
      <c r="L372" t="str">
        <f t="shared" si="8"/>
        <v/>
      </c>
    </row>
    <row r="373" spans="11:12" x14ac:dyDescent="0.25">
      <c r="K373" t="str">
        <f>IF(A373="","", IF(OR(SUMIF('Code Violations'!A:A, A373, 'Code Violations'!T:T)&gt;=5, VLOOKUP(A373, 'Master Dashboard'!A:L, 9, FALSE)="FAIL", VLOOKUP(A373, 'Master Dashboard'!A:L, 10, FALSE)="FAIL", ISNUMBER(SEARCH("Critical", J373))), "3-Red", IF(SUMIF('Code Violations'!A:A, A373, 'Code Violations'!T:T)&gt;=1, "2-Yellow", "1-White")))</f>
        <v/>
      </c>
      <c r="L373" t="str">
        <f t="shared" si="8"/>
        <v/>
      </c>
    </row>
    <row r="374" spans="11:12" x14ac:dyDescent="0.25">
      <c r="K374" t="str">
        <f>IF(A374="","", IF(OR(SUMIF('Code Violations'!A:A, A374, 'Code Violations'!T:T)&gt;=5, VLOOKUP(A374, 'Master Dashboard'!A:L, 9, FALSE)="FAIL", VLOOKUP(A374, 'Master Dashboard'!A:L, 10, FALSE)="FAIL", ISNUMBER(SEARCH("Critical", J374))), "3-Red", IF(SUMIF('Code Violations'!A:A, A374, 'Code Violations'!T:T)&gt;=1, "2-Yellow", "1-White")))</f>
        <v/>
      </c>
      <c r="L374" t="str">
        <f t="shared" si="8"/>
        <v/>
      </c>
    </row>
    <row r="375" spans="11:12" x14ac:dyDescent="0.25">
      <c r="K375" t="str">
        <f>IF(A375="","", IF(OR(SUMIF('Code Violations'!A:A, A375, 'Code Violations'!T:T)&gt;=5, VLOOKUP(A375, 'Master Dashboard'!A:L, 9, FALSE)="FAIL", VLOOKUP(A375, 'Master Dashboard'!A:L, 10, FALSE)="FAIL", ISNUMBER(SEARCH("Critical", J375))), "3-Red", IF(SUMIF('Code Violations'!A:A, A375, 'Code Violations'!T:T)&gt;=1, "2-Yellow", "1-White")))</f>
        <v/>
      </c>
      <c r="L375" t="str">
        <f t="shared" si="8"/>
        <v/>
      </c>
    </row>
    <row r="376" spans="11:12" x14ac:dyDescent="0.25">
      <c r="K376" t="str">
        <f>IF(A376="","", IF(OR(SUMIF('Code Violations'!A:A, A376, 'Code Violations'!T:T)&gt;=5, VLOOKUP(A376, 'Master Dashboard'!A:L, 9, FALSE)="FAIL", VLOOKUP(A376, 'Master Dashboard'!A:L, 10, FALSE)="FAIL", ISNUMBER(SEARCH("Critical", J376))), "3-Red", IF(SUMIF('Code Violations'!A:A, A376, 'Code Violations'!T:T)&gt;=1, "2-Yellow", "1-White")))</f>
        <v/>
      </c>
      <c r="L376" t="str">
        <f t="shared" si="8"/>
        <v/>
      </c>
    </row>
    <row r="377" spans="11:12" x14ac:dyDescent="0.25">
      <c r="K377" t="str">
        <f>IF(A377="","", IF(OR(SUMIF('Code Violations'!A:A, A377, 'Code Violations'!T:T)&gt;=5, VLOOKUP(A377, 'Master Dashboard'!A:L, 9, FALSE)="FAIL", VLOOKUP(A377, 'Master Dashboard'!A:L, 10, FALSE)="FAIL", ISNUMBER(SEARCH("Critical", J377))), "3-Red", IF(SUMIF('Code Violations'!A:A, A377, 'Code Violations'!T:T)&gt;=1, "2-Yellow", "1-White")))</f>
        <v/>
      </c>
      <c r="L377" t="str">
        <f t="shared" si="8"/>
        <v/>
      </c>
    </row>
    <row r="378" spans="11:12" x14ac:dyDescent="0.25">
      <c r="K378" t="str">
        <f>IF(A378="","", IF(OR(SUMIF('Code Violations'!A:A, A378, 'Code Violations'!T:T)&gt;=5, VLOOKUP(A378, 'Master Dashboard'!A:L, 9, FALSE)="FAIL", VLOOKUP(A378, 'Master Dashboard'!A:L, 10, FALSE)="FAIL", ISNUMBER(SEARCH("Critical", J378))), "3-Red", IF(SUMIF('Code Violations'!A:A, A378, 'Code Violations'!T:T)&gt;=1, "2-Yellow", "1-White")))</f>
        <v/>
      </c>
      <c r="L378" t="str">
        <f t="shared" si="8"/>
        <v/>
      </c>
    </row>
    <row r="379" spans="11:12" x14ac:dyDescent="0.25">
      <c r="K379" t="str">
        <f>IF(A379="","", IF(OR(SUMIF('Code Violations'!A:A, A379, 'Code Violations'!T:T)&gt;=5, VLOOKUP(A379, 'Master Dashboard'!A:L, 9, FALSE)="FAIL", VLOOKUP(A379, 'Master Dashboard'!A:L, 10, FALSE)="FAIL", ISNUMBER(SEARCH("Critical", J379))), "3-Red", IF(SUMIF('Code Violations'!A:A, A379, 'Code Violations'!T:T)&gt;=1, "2-Yellow", "1-White")))</f>
        <v/>
      </c>
      <c r="L379" t="str">
        <f t="shared" si="8"/>
        <v/>
      </c>
    </row>
    <row r="380" spans="11:12" x14ac:dyDescent="0.25">
      <c r="K380" t="str">
        <f>IF(A380="","", IF(OR(SUMIF('Code Violations'!A:A, A380, 'Code Violations'!T:T)&gt;=5, VLOOKUP(A380, 'Master Dashboard'!A:L, 9, FALSE)="FAIL", VLOOKUP(A380, 'Master Dashboard'!A:L, 10, FALSE)="FAIL", ISNUMBER(SEARCH("Critical", J380))), "3-Red", IF(SUMIF('Code Violations'!A:A, A380, 'Code Violations'!T:T)&gt;=1, "2-Yellow", "1-White")))</f>
        <v/>
      </c>
      <c r="L380" t="str">
        <f t="shared" si="8"/>
        <v/>
      </c>
    </row>
    <row r="381" spans="11:12" x14ac:dyDescent="0.25">
      <c r="K381" t="str">
        <f>IF(A381="","", IF(OR(SUMIF('Code Violations'!A:A, A381, 'Code Violations'!T:T)&gt;=5, VLOOKUP(A381, 'Master Dashboard'!A:L, 9, FALSE)="FAIL", VLOOKUP(A381, 'Master Dashboard'!A:L, 10, FALSE)="FAIL", ISNUMBER(SEARCH("Critical", J381))), "3-Red", IF(SUMIF('Code Violations'!A:A, A381, 'Code Violations'!T:T)&gt;=1, "2-Yellow", "1-White")))</f>
        <v/>
      </c>
      <c r="L381" t="str">
        <f t="shared" si="8"/>
        <v/>
      </c>
    </row>
    <row r="382" spans="11:12" x14ac:dyDescent="0.25">
      <c r="K382" t="str">
        <f>IF(A382="","", IF(OR(SUMIF('Code Violations'!A:A, A382, 'Code Violations'!T:T)&gt;=5, VLOOKUP(A382, 'Master Dashboard'!A:L, 9, FALSE)="FAIL", VLOOKUP(A382, 'Master Dashboard'!A:L, 10, FALSE)="FAIL", ISNUMBER(SEARCH("Critical", J382))), "3-Red", IF(SUMIF('Code Violations'!A:A, A382, 'Code Violations'!T:T)&gt;=1, "2-Yellow", "1-White")))</f>
        <v/>
      </c>
      <c r="L382" t="str">
        <f t="shared" si="8"/>
        <v/>
      </c>
    </row>
    <row r="383" spans="11:12" x14ac:dyDescent="0.25">
      <c r="K383" t="str">
        <f>IF(A383="","", IF(OR(SUMIF('Code Violations'!A:A, A383, 'Code Violations'!T:T)&gt;=5, VLOOKUP(A383, 'Master Dashboard'!A:L, 9, FALSE)="FAIL", VLOOKUP(A383, 'Master Dashboard'!A:L, 10, FALSE)="FAIL", ISNUMBER(SEARCH("Critical", J383))), "3-Red", IF(SUMIF('Code Violations'!A:A, A383, 'Code Violations'!T:T)&gt;=1, "2-Yellow", "1-White")))</f>
        <v/>
      </c>
      <c r="L383" t="str">
        <f t="shared" si="8"/>
        <v/>
      </c>
    </row>
    <row r="384" spans="11:12" x14ac:dyDescent="0.25">
      <c r="K384" t="str">
        <f>IF(A384="","", IF(OR(SUMIF('Code Violations'!A:A, A384, 'Code Violations'!T:T)&gt;=5, VLOOKUP(A384, 'Master Dashboard'!A:L, 9, FALSE)="FAIL", VLOOKUP(A384, 'Master Dashboard'!A:L, 10, FALSE)="FAIL", ISNUMBER(SEARCH("Critical", J384))), "3-Red", IF(SUMIF('Code Violations'!A:A, A384, 'Code Violations'!T:T)&gt;=1, "2-Yellow", "1-White")))</f>
        <v/>
      </c>
      <c r="L384" t="str">
        <f t="shared" si="8"/>
        <v/>
      </c>
    </row>
    <row r="385" spans="11:12" x14ac:dyDescent="0.25">
      <c r="K385" t="str">
        <f>IF(A385="","", IF(OR(SUMIF('Code Violations'!A:A, A385, 'Code Violations'!T:T)&gt;=5, VLOOKUP(A385, 'Master Dashboard'!A:L, 9, FALSE)="FAIL", VLOOKUP(A385, 'Master Dashboard'!A:L, 10, FALSE)="FAIL", ISNUMBER(SEARCH("Critical", J385))), "3-Red", IF(SUMIF('Code Violations'!A:A, A385, 'Code Violations'!T:T)&gt;=1, "2-Yellow", "1-White")))</f>
        <v/>
      </c>
      <c r="L385" t="str">
        <f t="shared" si="8"/>
        <v/>
      </c>
    </row>
    <row r="386" spans="11:12" x14ac:dyDescent="0.25">
      <c r="K386" t="str">
        <f>IF(A386="","", IF(OR(SUMIF('Code Violations'!A:A, A386, 'Code Violations'!T:T)&gt;=5, VLOOKUP(A386, 'Master Dashboard'!A:L, 9, FALSE)="FAIL", VLOOKUP(A386, 'Master Dashboard'!A:L, 10, FALSE)="FAIL", ISNUMBER(SEARCH("Critical", J386))), "3-Red", IF(SUMIF('Code Violations'!A:A, A386, 'Code Violations'!T:T)&gt;=1, "2-Yellow", "1-White")))</f>
        <v/>
      </c>
      <c r="L386" t="str">
        <f t="shared" si="8"/>
        <v/>
      </c>
    </row>
    <row r="387" spans="11:12" x14ac:dyDescent="0.25">
      <c r="K387" t="str">
        <f>IF(A387="","", IF(OR(SUMIF('Code Violations'!A:A, A387, 'Code Violations'!T:T)&gt;=5, VLOOKUP(A387, 'Master Dashboard'!A:L, 9, FALSE)="FAIL", VLOOKUP(A387, 'Master Dashboard'!A:L, 10, FALSE)="FAIL", ISNUMBER(SEARCH("Critical", J387))), "3-Red", IF(SUMIF('Code Violations'!A:A, A387, 'Code Violations'!T:T)&gt;=1, "2-Yellow", "1-White")))</f>
        <v/>
      </c>
      <c r="L387" t="str">
        <f t="shared" si="8"/>
        <v/>
      </c>
    </row>
    <row r="388" spans="11:12" x14ac:dyDescent="0.25">
      <c r="K388" t="str">
        <f>IF(A388="","", IF(OR(SUMIF('Code Violations'!A:A, A388, 'Code Violations'!T:T)&gt;=5, VLOOKUP(A388, 'Master Dashboard'!A:L, 9, FALSE)="FAIL", VLOOKUP(A388, 'Master Dashboard'!A:L, 10, FALSE)="FAIL", ISNUMBER(SEARCH("Critical", J388))), "3-Red", IF(SUMIF('Code Violations'!A:A, A388, 'Code Violations'!T:T)&gt;=1, "2-Yellow", "1-White")))</f>
        <v/>
      </c>
      <c r="L388" t="str">
        <f t="shared" si="8"/>
        <v/>
      </c>
    </row>
    <row r="389" spans="11:12" x14ac:dyDescent="0.25">
      <c r="K389" t="str">
        <f>IF(A389="","", IF(OR(SUMIF('Code Violations'!A:A, A389, 'Code Violations'!T:T)&gt;=5, VLOOKUP(A389, 'Master Dashboard'!A:L, 9, FALSE)="FAIL", VLOOKUP(A389, 'Master Dashboard'!A:L, 10, FALSE)="FAIL", ISNUMBER(SEARCH("Critical", J389))), "3-Red", IF(SUMIF('Code Violations'!A:A, A389, 'Code Violations'!T:T)&gt;=1, "2-Yellow", "1-White")))</f>
        <v/>
      </c>
      <c r="L389" t="str">
        <f t="shared" si="8"/>
        <v/>
      </c>
    </row>
    <row r="390" spans="11:12" x14ac:dyDescent="0.25">
      <c r="K390" t="str">
        <f>IF(A390="","", IF(OR(SUMIF('Code Violations'!A:A, A390, 'Code Violations'!T:T)&gt;=5, VLOOKUP(A390, 'Master Dashboard'!A:L, 9, FALSE)="FAIL", VLOOKUP(A390, 'Master Dashboard'!A:L, 10, FALSE)="FAIL", ISNUMBER(SEARCH("Critical", J390))), "3-Red", IF(SUMIF('Code Violations'!A:A, A390, 'Code Violations'!T:T)&gt;=1, "2-Yellow", "1-White")))</f>
        <v/>
      </c>
      <c r="L390" t="str">
        <f t="shared" si="8"/>
        <v/>
      </c>
    </row>
    <row r="391" spans="11:12" x14ac:dyDescent="0.25">
      <c r="K391" t="str">
        <f>IF(A391="","", IF(OR(SUMIF('Code Violations'!A:A, A391, 'Code Violations'!T:T)&gt;=5, VLOOKUP(A391, 'Master Dashboard'!A:L, 9, FALSE)="FAIL", VLOOKUP(A391, 'Master Dashboard'!A:L, 10, FALSE)="FAIL", ISNUMBER(SEARCH("Critical", J391))), "3-Red", IF(SUMIF('Code Violations'!A:A, A391, 'Code Violations'!T:T)&gt;=1, "2-Yellow", "1-White")))</f>
        <v/>
      </c>
      <c r="L391" t="str">
        <f t="shared" si="8"/>
        <v/>
      </c>
    </row>
    <row r="392" spans="11:12" x14ac:dyDescent="0.25">
      <c r="K392" t="str">
        <f>IF(A392="","", IF(OR(SUMIF('Code Violations'!A:A, A392, 'Code Violations'!T:T)&gt;=5, VLOOKUP(A392, 'Master Dashboard'!A:L, 9, FALSE)="FAIL", VLOOKUP(A392, 'Master Dashboard'!A:L, 10, FALSE)="FAIL", ISNUMBER(SEARCH("Critical", J392))), "3-Red", IF(SUMIF('Code Violations'!A:A, A392, 'Code Violations'!T:T)&gt;=1, "2-Yellow", "1-White")))</f>
        <v/>
      </c>
      <c r="L392" t="str">
        <f t="shared" si="8"/>
        <v/>
      </c>
    </row>
    <row r="393" spans="11:12" x14ac:dyDescent="0.25">
      <c r="K393" t="str">
        <f>IF(A393="","", IF(OR(SUMIF('Code Violations'!A:A, A393, 'Code Violations'!T:T)&gt;=5, VLOOKUP(A393, 'Master Dashboard'!A:L, 9, FALSE)="FAIL", VLOOKUP(A393, 'Master Dashboard'!A:L, 10, FALSE)="FAIL", ISNUMBER(SEARCH("Critical", J393))), "3-Red", IF(SUMIF('Code Violations'!A:A, A393, 'Code Violations'!T:T)&gt;=1, "2-Yellow", "1-White")))</f>
        <v/>
      </c>
      <c r="L393" t="str">
        <f t="shared" si="8"/>
        <v/>
      </c>
    </row>
    <row r="394" spans="11:12" x14ac:dyDescent="0.25">
      <c r="K394" t="str">
        <f>IF(A394="","", IF(OR(SUMIF('Code Violations'!A:A, A394, 'Code Violations'!T:T)&gt;=5, VLOOKUP(A394, 'Master Dashboard'!A:L, 9, FALSE)="FAIL", VLOOKUP(A394, 'Master Dashboard'!A:L, 10, FALSE)="FAIL", ISNUMBER(SEARCH("Critical", J394))), "3-Red", IF(SUMIF('Code Violations'!A:A, A394, 'Code Violations'!T:T)&gt;=1, "2-Yellow", "1-White")))</f>
        <v/>
      </c>
      <c r="L394" t="str">
        <f t="shared" si="8"/>
        <v/>
      </c>
    </row>
    <row r="395" spans="11:12" x14ac:dyDescent="0.25">
      <c r="K395" t="str">
        <f>IF(A395="","", IF(OR(SUMIF('Code Violations'!A:A, A395, 'Code Violations'!T:T)&gt;=5, VLOOKUP(A395, 'Master Dashboard'!A:L, 9, FALSE)="FAIL", VLOOKUP(A395, 'Master Dashboard'!A:L, 10, FALSE)="FAIL", ISNUMBER(SEARCH("Critical", J395))), "3-Red", IF(SUMIF('Code Violations'!A:A, A395, 'Code Violations'!T:T)&gt;=1, "2-Yellow", "1-White")))</f>
        <v/>
      </c>
      <c r="L395" t="str">
        <f t="shared" si="8"/>
        <v/>
      </c>
    </row>
    <row r="396" spans="11:12" x14ac:dyDescent="0.25">
      <c r="K396" t="str">
        <f>IF(A396="","", IF(OR(SUMIF('Code Violations'!A:A, A396, 'Code Violations'!T:T)&gt;=5, VLOOKUP(A396, 'Master Dashboard'!A:L, 9, FALSE)="FAIL", VLOOKUP(A396, 'Master Dashboard'!A:L, 10, FALSE)="FAIL", ISNUMBER(SEARCH("Critical", J396))), "3-Red", IF(SUMIF('Code Violations'!A:A, A396, 'Code Violations'!T:T)&gt;=1, "2-Yellow", "1-White")))</f>
        <v/>
      </c>
      <c r="L396" t="str">
        <f t="shared" si="8"/>
        <v/>
      </c>
    </row>
    <row r="397" spans="11:12" x14ac:dyDescent="0.25">
      <c r="K397" t="str">
        <f>IF(A397="","", IF(OR(SUMIF('Code Violations'!A:A, A397, 'Code Violations'!T:T)&gt;=5, VLOOKUP(A397, 'Master Dashboard'!A:L, 9, FALSE)="FAIL", VLOOKUP(A397, 'Master Dashboard'!A:L, 10, FALSE)="FAIL", ISNUMBER(SEARCH("Critical", J397))), "3-Red", IF(SUMIF('Code Violations'!A:A, A397, 'Code Violations'!T:T)&gt;=1, "2-Yellow", "1-White")))</f>
        <v/>
      </c>
      <c r="L397" t="str">
        <f t="shared" si="8"/>
        <v/>
      </c>
    </row>
    <row r="398" spans="11:12" x14ac:dyDescent="0.25">
      <c r="K398" t="str">
        <f>IF(A398="","", IF(OR(SUMIF('Code Violations'!A:A, A398, 'Code Violations'!T:T)&gt;=5, VLOOKUP(A398, 'Master Dashboard'!A:L, 9, FALSE)="FAIL", VLOOKUP(A398, 'Master Dashboard'!A:L, 10, FALSE)="FAIL", ISNUMBER(SEARCH("Critical", J398))), "3-Red", IF(SUMIF('Code Violations'!A:A, A398, 'Code Violations'!T:T)&gt;=1, "2-Yellow", "1-White")))</f>
        <v/>
      </c>
      <c r="L398" t="str">
        <f t="shared" si="8"/>
        <v/>
      </c>
    </row>
    <row r="399" spans="11:12" x14ac:dyDescent="0.25">
      <c r="K399" t="str">
        <f>IF(A399="","", IF(OR(SUMIF('Code Violations'!A:A, A399, 'Code Violations'!T:T)&gt;=5, VLOOKUP(A399, 'Master Dashboard'!A:L, 9, FALSE)="FAIL", VLOOKUP(A399, 'Master Dashboard'!A:L, 10, FALSE)="FAIL", ISNUMBER(SEARCH("Critical", J399))), "3-Red", IF(SUMIF('Code Violations'!A:A, A399, 'Code Violations'!T:T)&gt;=1, "2-Yellow", "1-White")))</f>
        <v/>
      </c>
      <c r="L399" t="str">
        <f t="shared" si="8"/>
        <v/>
      </c>
    </row>
    <row r="400" spans="11:12" x14ac:dyDescent="0.25">
      <c r="K400" t="str">
        <f>IF(A400="","", IF(OR(SUMIF('Code Violations'!A:A, A400, 'Code Violations'!T:T)&gt;=5, VLOOKUP(A400, 'Master Dashboard'!A:L, 9, FALSE)="FAIL", VLOOKUP(A400, 'Master Dashboard'!A:L, 10, FALSE)="FAIL", ISNUMBER(SEARCH("Critical", J400))), "3-Red", IF(SUMIF('Code Violations'!A:A, A400, 'Code Violations'!T:T)&gt;=1, "2-Yellow", "1-White")))</f>
        <v/>
      </c>
      <c r="L400" t="str">
        <f t="shared" si="8"/>
        <v/>
      </c>
    </row>
    <row r="401" spans="11:12" x14ac:dyDescent="0.25">
      <c r="K401" t="str">
        <f>IF(A401="","", IF(OR(SUMIF('Code Violations'!A:A, A401, 'Code Violations'!T:T)&gt;=5, VLOOKUP(A401, 'Master Dashboard'!A:L, 9, FALSE)="FAIL", VLOOKUP(A401, 'Master Dashboard'!A:L, 10, FALSE)="FAIL", ISNUMBER(SEARCH("Critical", J401))), "3-Red", IF(SUMIF('Code Violations'!A:A, A401, 'Code Violations'!T:T)&gt;=1, "2-Yellow", "1-White")))</f>
        <v/>
      </c>
      <c r="L401" t="str">
        <f t="shared" si="8"/>
        <v/>
      </c>
    </row>
    <row r="402" spans="11:12" x14ac:dyDescent="0.25">
      <c r="K402" t="str">
        <f>IF(A402="","", IF(OR(SUMIF('Code Violations'!A:A, A402, 'Code Violations'!T:T)&gt;=5, VLOOKUP(A402, 'Master Dashboard'!A:L, 9, FALSE)="FAIL", VLOOKUP(A402, 'Master Dashboard'!A:L, 10, FALSE)="FAIL", ISNUMBER(SEARCH("Critical", J402))), "3-Red", IF(SUMIF('Code Violations'!A:A, A402, 'Code Violations'!T:T)&gt;=1, "2-Yellow", "1-White")))</f>
        <v/>
      </c>
      <c r="L402" t="str">
        <f t="shared" si="8"/>
        <v/>
      </c>
    </row>
    <row r="403" spans="11:12" x14ac:dyDescent="0.25">
      <c r="K403" t="str">
        <f>IF(A403="","", IF(OR(SUMIF('Code Violations'!A:A, A403, 'Code Violations'!T:T)&gt;=5, VLOOKUP(A403, 'Master Dashboard'!A:L, 9, FALSE)="FAIL", VLOOKUP(A403, 'Master Dashboard'!A:L, 10, FALSE)="FAIL", ISNUMBER(SEARCH("Critical", J403))), "3-Red", IF(SUMIF('Code Violations'!A:A, A403, 'Code Violations'!T:T)&gt;=1, "2-Yellow", "1-White")))</f>
        <v/>
      </c>
      <c r="L403" t="str">
        <f t="shared" si="8"/>
        <v/>
      </c>
    </row>
    <row r="404" spans="11:12" x14ac:dyDescent="0.25">
      <c r="K404" t="str">
        <f>IF(A404="","", IF(OR(SUMIF('Code Violations'!A:A, A404, 'Code Violations'!T:T)&gt;=5, VLOOKUP(A404, 'Master Dashboard'!A:L, 9, FALSE)="FAIL", VLOOKUP(A404, 'Master Dashboard'!A:L, 10, FALSE)="FAIL", ISNUMBER(SEARCH("Critical", J404))), "3-Red", IF(SUMIF('Code Violations'!A:A, A404, 'Code Violations'!T:T)&gt;=1, "2-Yellow", "1-White")))</f>
        <v/>
      </c>
      <c r="L404" t="str">
        <f t="shared" si="8"/>
        <v/>
      </c>
    </row>
    <row r="405" spans="11:12" x14ac:dyDescent="0.25">
      <c r="K405" t="str">
        <f>IF(A405="","", IF(OR(SUMIF('Code Violations'!A:A, A405, 'Code Violations'!T:T)&gt;=5, VLOOKUP(A405, 'Master Dashboard'!A:L, 9, FALSE)="FAIL", VLOOKUP(A405, 'Master Dashboard'!A:L, 10, FALSE)="FAIL", ISNUMBER(SEARCH("Critical", J405))), "3-Red", IF(SUMIF('Code Violations'!A:A, A405, 'Code Violations'!T:T)&gt;=1, "2-Yellow", "1-White")))</f>
        <v/>
      </c>
      <c r="L405" t="str">
        <f t="shared" si="8"/>
        <v/>
      </c>
    </row>
    <row r="406" spans="11:12" x14ac:dyDescent="0.25">
      <c r="K406" t="str">
        <f>IF(A406="","", IF(OR(SUMIF('Code Violations'!A:A, A406, 'Code Violations'!T:T)&gt;=5, VLOOKUP(A406, 'Master Dashboard'!A:L, 9, FALSE)="FAIL", VLOOKUP(A406, 'Master Dashboard'!A:L, 10, FALSE)="FAIL", ISNUMBER(SEARCH("Critical", J406))), "3-Red", IF(SUMIF('Code Violations'!A:A, A406, 'Code Violations'!T:T)&gt;=1, "2-Yellow", "1-White")))</f>
        <v/>
      </c>
      <c r="L406" t="str">
        <f t="shared" si="8"/>
        <v/>
      </c>
    </row>
    <row r="407" spans="11:12" x14ac:dyDescent="0.25">
      <c r="K407" t="str">
        <f>IF(A407="","", IF(OR(SUMIF('Code Violations'!A:A, A407, 'Code Violations'!T:T)&gt;=5, VLOOKUP(A407, 'Master Dashboard'!A:L, 9, FALSE)="FAIL", VLOOKUP(A407, 'Master Dashboard'!A:L, 10, FALSE)="FAIL", ISNUMBER(SEARCH("Critical", J407))), "3-Red", IF(SUMIF('Code Violations'!A:A, A407, 'Code Violations'!T:T)&gt;=1, "2-Yellow", "1-White")))</f>
        <v/>
      </c>
      <c r="L407" t="str">
        <f t="shared" si="8"/>
        <v/>
      </c>
    </row>
    <row r="408" spans="11:12" x14ac:dyDescent="0.25">
      <c r="K408" t="str">
        <f>IF(A408="","", IF(OR(SUMIF('Code Violations'!A:A, A408, 'Code Violations'!T:T)&gt;=5, VLOOKUP(A408, 'Master Dashboard'!A:L, 9, FALSE)="FAIL", VLOOKUP(A408, 'Master Dashboard'!A:L, 10, FALSE)="FAIL", ISNUMBER(SEARCH("Critical", J408))), "3-Red", IF(SUMIF('Code Violations'!A:A, A408, 'Code Violations'!T:T)&gt;=1, "2-Yellow", "1-White")))</f>
        <v/>
      </c>
      <c r="L408" t="str">
        <f t="shared" si="8"/>
        <v/>
      </c>
    </row>
    <row r="409" spans="11:12" x14ac:dyDescent="0.25">
      <c r="K409" t="str">
        <f>IF(A409="","", IF(OR(SUMIF('Code Violations'!A:A, A409, 'Code Violations'!T:T)&gt;=5, VLOOKUP(A409, 'Master Dashboard'!A:L, 9, FALSE)="FAIL", VLOOKUP(A409, 'Master Dashboard'!A:L, 10, FALSE)="FAIL", ISNUMBER(SEARCH("Critical", J409))), "3-Red", IF(SUMIF('Code Violations'!A:A, A409, 'Code Violations'!T:T)&gt;=1, "2-Yellow", "1-White")))</f>
        <v/>
      </c>
      <c r="L409" t="str">
        <f t="shared" si="8"/>
        <v/>
      </c>
    </row>
    <row r="410" spans="11:12" x14ac:dyDescent="0.25">
      <c r="K410" t="str">
        <f>IF(A410="","", IF(OR(SUMIF('Code Violations'!A:A, A410, 'Code Violations'!T:T)&gt;=5, VLOOKUP(A410, 'Master Dashboard'!A:L, 9, FALSE)="FAIL", VLOOKUP(A410, 'Master Dashboard'!A:L, 10, FALSE)="FAIL", ISNUMBER(SEARCH("Critical", J410))), "3-Red", IF(SUMIF('Code Violations'!A:A, A410, 'Code Violations'!T:T)&gt;=1, "2-Yellow", "1-White")))</f>
        <v/>
      </c>
      <c r="L410" t="str">
        <f t="shared" si="8"/>
        <v/>
      </c>
    </row>
    <row r="411" spans="11:12" x14ac:dyDescent="0.25">
      <c r="K411" t="str">
        <f>IF(A411="","", IF(OR(SUMIF('Code Violations'!A:A, A411, 'Code Violations'!T:T)&gt;=5, VLOOKUP(A411, 'Master Dashboard'!A:L, 9, FALSE)="FAIL", VLOOKUP(A411, 'Master Dashboard'!A:L, 10, FALSE)="FAIL", ISNUMBER(SEARCH("Critical", J411))), "3-Red", IF(SUMIF('Code Violations'!A:A, A411, 'Code Violations'!T:T)&gt;=1, "2-Yellow", "1-White")))</f>
        <v/>
      </c>
      <c r="L411" t="str">
        <f t="shared" si="8"/>
        <v/>
      </c>
    </row>
    <row r="412" spans="11:12" x14ac:dyDescent="0.25">
      <c r="K412" t="str">
        <f>IF(A412="","", IF(OR(SUMIF('Code Violations'!A:A, A412, 'Code Violations'!T:T)&gt;=5, VLOOKUP(A412, 'Master Dashboard'!A:L, 9, FALSE)="FAIL", VLOOKUP(A412, 'Master Dashboard'!A:L, 10, FALSE)="FAIL", ISNUMBER(SEARCH("Critical", J412))), "3-Red", IF(SUMIF('Code Violations'!A:A, A412, 'Code Violations'!T:T)&gt;=1, "2-Yellow", "1-White")))</f>
        <v/>
      </c>
      <c r="L412" t="str">
        <f t="shared" si="8"/>
        <v/>
      </c>
    </row>
    <row r="413" spans="11:12" x14ac:dyDescent="0.25">
      <c r="K413" t="str">
        <f>IF(A413="","", IF(OR(SUMIF('Code Violations'!A:A, A413, 'Code Violations'!T:T)&gt;=5, VLOOKUP(A413, 'Master Dashboard'!A:L, 9, FALSE)="FAIL", VLOOKUP(A413, 'Master Dashboard'!A:L, 10, FALSE)="FAIL", ISNUMBER(SEARCH("Critical", J413))), "3-Red", IF(SUMIF('Code Violations'!A:A, A413, 'Code Violations'!T:T)&gt;=1, "2-Yellow", "1-White")))</f>
        <v/>
      </c>
      <c r="L413" t="str">
        <f t="shared" si="8"/>
        <v/>
      </c>
    </row>
    <row r="414" spans="11:12" x14ac:dyDescent="0.25">
      <c r="K414" t="str">
        <f>IF(A414="","", IF(OR(SUMIF('Code Violations'!A:A, A414, 'Code Violations'!T:T)&gt;=5, VLOOKUP(A414, 'Master Dashboard'!A:L, 9, FALSE)="FAIL", VLOOKUP(A414, 'Master Dashboard'!A:L, 10, FALSE)="FAIL", ISNUMBER(SEARCH("Critical", J414))), "3-Red", IF(SUMIF('Code Violations'!A:A, A414, 'Code Violations'!T:T)&gt;=1, "2-Yellow", "1-White")))</f>
        <v/>
      </c>
      <c r="L414" t="str">
        <f t="shared" si="8"/>
        <v/>
      </c>
    </row>
    <row r="415" spans="11:12" x14ac:dyDescent="0.25">
      <c r="K415" t="str">
        <f>IF(A415="","", IF(OR(SUMIF('Code Violations'!A:A, A415, 'Code Violations'!T:T)&gt;=5, VLOOKUP(A415, 'Master Dashboard'!A:L, 9, FALSE)="FAIL", VLOOKUP(A415, 'Master Dashboard'!A:L, 10, FALSE)="FAIL", ISNUMBER(SEARCH("Critical", J415))), "3-Red", IF(SUMIF('Code Violations'!A:A, A415, 'Code Violations'!T:T)&gt;=1, "2-Yellow", "1-White")))</f>
        <v/>
      </c>
      <c r="L415" t="str">
        <f t="shared" si="8"/>
        <v/>
      </c>
    </row>
    <row r="416" spans="11:12" x14ac:dyDescent="0.25">
      <c r="K416" t="str">
        <f>IF(A416="","", IF(OR(SUMIF('Code Violations'!A:A, A416, 'Code Violations'!T:T)&gt;=5, VLOOKUP(A416, 'Master Dashboard'!A:L, 9, FALSE)="FAIL", VLOOKUP(A416, 'Master Dashboard'!A:L, 10, FALSE)="FAIL", ISNUMBER(SEARCH("Critical", J416))), "3-Red", IF(SUMIF('Code Violations'!A:A, A416, 'Code Violations'!T:T)&gt;=1, "2-Yellow", "1-White")))</f>
        <v/>
      </c>
      <c r="L416" t="str">
        <f t="shared" si="8"/>
        <v/>
      </c>
    </row>
    <row r="417" spans="11:12" x14ac:dyDescent="0.25">
      <c r="K417" t="str">
        <f>IF(A417="","", IF(OR(SUMIF('Code Violations'!A:A, A417, 'Code Violations'!T:T)&gt;=5, VLOOKUP(A417, 'Master Dashboard'!A:L, 9, FALSE)="FAIL", VLOOKUP(A417, 'Master Dashboard'!A:L, 10, FALSE)="FAIL", ISNUMBER(SEARCH("Critical", J417))), "3-Red", IF(SUMIF('Code Violations'!A:A, A417, 'Code Violations'!T:T)&gt;=1, "2-Yellow", "1-White")))</f>
        <v/>
      </c>
      <c r="L417" t="str">
        <f t="shared" si="8"/>
        <v/>
      </c>
    </row>
    <row r="418" spans="11:12" x14ac:dyDescent="0.25">
      <c r="K418" t="str">
        <f>IF(A418="","", IF(OR(SUMIF('Code Violations'!A:A, A418, 'Code Violations'!T:T)&gt;=5, VLOOKUP(A418, 'Master Dashboard'!A:L, 9, FALSE)="FAIL", VLOOKUP(A418, 'Master Dashboard'!A:L, 10, FALSE)="FAIL", ISNUMBER(SEARCH("Critical", J418))), "3-Red", IF(SUMIF('Code Violations'!A:A, A418, 'Code Violations'!T:T)&gt;=1, "2-Yellow", "1-White")))</f>
        <v/>
      </c>
      <c r="L418" t="str">
        <f t="shared" ref="L418:L481" si="9">IF(J418="","", IF(ISNUMBER(SEARCH("Critical", J418)), "CRITICAL FAIL", IF(ISNUMBER(SEARCH("Overdue", J418)), "FAIL", "COMPLIANT")))</f>
        <v/>
      </c>
    </row>
    <row r="419" spans="11:12" x14ac:dyDescent="0.25">
      <c r="K419" t="str">
        <f>IF(A419="","", IF(OR(SUMIF('Code Violations'!A:A, A419, 'Code Violations'!T:T)&gt;=5, VLOOKUP(A419, 'Master Dashboard'!A:L, 9, FALSE)="FAIL", VLOOKUP(A419, 'Master Dashboard'!A:L, 10, FALSE)="FAIL", ISNUMBER(SEARCH("Critical", J419))), "3-Red", IF(SUMIF('Code Violations'!A:A, A419, 'Code Violations'!T:T)&gt;=1, "2-Yellow", "1-White")))</f>
        <v/>
      </c>
      <c r="L419" t="str">
        <f t="shared" si="9"/>
        <v/>
      </c>
    </row>
    <row r="420" spans="11:12" x14ac:dyDescent="0.25">
      <c r="K420" t="str">
        <f>IF(A420="","", IF(OR(SUMIF('Code Violations'!A:A, A420, 'Code Violations'!T:T)&gt;=5, VLOOKUP(A420, 'Master Dashboard'!A:L, 9, FALSE)="FAIL", VLOOKUP(A420, 'Master Dashboard'!A:L, 10, FALSE)="FAIL", ISNUMBER(SEARCH("Critical", J420))), "3-Red", IF(SUMIF('Code Violations'!A:A, A420, 'Code Violations'!T:T)&gt;=1, "2-Yellow", "1-White")))</f>
        <v/>
      </c>
      <c r="L420" t="str">
        <f t="shared" si="9"/>
        <v/>
      </c>
    </row>
    <row r="421" spans="11:12" x14ac:dyDescent="0.25">
      <c r="K421" t="str">
        <f>IF(A421="","", IF(OR(SUMIF('Code Violations'!A:A, A421, 'Code Violations'!T:T)&gt;=5, VLOOKUP(A421, 'Master Dashboard'!A:L, 9, FALSE)="FAIL", VLOOKUP(A421, 'Master Dashboard'!A:L, 10, FALSE)="FAIL", ISNUMBER(SEARCH("Critical", J421))), "3-Red", IF(SUMIF('Code Violations'!A:A, A421, 'Code Violations'!T:T)&gt;=1, "2-Yellow", "1-White")))</f>
        <v/>
      </c>
      <c r="L421" t="str">
        <f t="shared" si="9"/>
        <v/>
      </c>
    </row>
    <row r="422" spans="11:12" x14ac:dyDescent="0.25">
      <c r="K422" t="str">
        <f>IF(A422="","", IF(OR(SUMIF('Code Violations'!A:A, A422, 'Code Violations'!T:T)&gt;=5, VLOOKUP(A422, 'Master Dashboard'!A:L, 9, FALSE)="FAIL", VLOOKUP(A422, 'Master Dashboard'!A:L, 10, FALSE)="FAIL", ISNUMBER(SEARCH("Critical", J422))), "3-Red", IF(SUMIF('Code Violations'!A:A, A422, 'Code Violations'!T:T)&gt;=1, "2-Yellow", "1-White")))</f>
        <v/>
      </c>
      <c r="L422" t="str">
        <f t="shared" si="9"/>
        <v/>
      </c>
    </row>
    <row r="423" spans="11:12" x14ac:dyDescent="0.25">
      <c r="K423" t="str">
        <f>IF(A423="","", IF(OR(SUMIF('Code Violations'!A:A, A423, 'Code Violations'!T:T)&gt;=5, VLOOKUP(A423, 'Master Dashboard'!A:L, 9, FALSE)="FAIL", VLOOKUP(A423, 'Master Dashboard'!A:L, 10, FALSE)="FAIL", ISNUMBER(SEARCH("Critical", J423))), "3-Red", IF(SUMIF('Code Violations'!A:A, A423, 'Code Violations'!T:T)&gt;=1, "2-Yellow", "1-White")))</f>
        <v/>
      </c>
      <c r="L423" t="str">
        <f t="shared" si="9"/>
        <v/>
      </c>
    </row>
    <row r="424" spans="11:12" x14ac:dyDescent="0.25">
      <c r="K424" t="str">
        <f>IF(A424="","", IF(OR(SUMIF('Code Violations'!A:A, A424, 'Code Violations'!T:T)&gt;=5, VLOOKUP(A424, 'Master Dashboard'!A:L, 9, FALSE)="FAIL", VLOOKUP(A424, 'Master Dashboard'!A:L, 10, FALSE)="FAIL", ISNUMBER(SEARCH("Critical", J424))), "3-Red", IF(SUMIF('Code Violations'!A:A, A424, 'Code Violations'!T:T)&gt;=1, "2-Yellow", "1-White")))</f>
        <v/>
      </c>
      <c r="L424" t="str">
        <f t="shared" si="9"/>
        <v/>
      </c>
    </row>
    <row r="425" spans="11:12" x14ac:dyDescent="0.25">
      <c r="K425" t="str">
        <f>IF(A425="","", IF(OR(SUMIF('Code Violations'!A:A, A425, 'Code Violations'!T:T)&gt;=5, VLOOKUP(A425, 'Master Dashboard'!A:L, 9, FALSE)="FAIL", VLOOKUP(A425, 'Master Dashboard'!A:L, 10, FALSE)="FAIL", ISNUMBER(SEARCH("Critical", J425))), "3-Red", IF(SUMIF('Code Violations'!A:A, A425, 'Code Violations'!T:T)&gt;=1, "2-Yellow", "1-White")))</f>
        <v/>
      </c>
      <c r="L425" t="str">
        <f t="shared" si="9"/>
        <v/>
      </c>
    </row>
    <row r="426" spans="11:12" x14ac:dyDescent="0.25">
      <c r="K426" t="str">
        <f>IF(A426="","", IF(OR(SUMIF('Code Violations'!A:A, A426, 'Code Violations'!T:T)&gt;=5, VLOOKUP(A426, 'Master Dashboard'!A:L, 9, FALSE)="FAIL", VLOOKUP(A426, 'Master Dashboard'!A:L, 10, FALSE)="FAIL", ISNUMBER(SEARCH("Critical", J426))), "3-Red", IF(SUMIF('Code Violations'!A:A, A426, 'Code Violations'!T:T)&gt;=1, "2-Yellow", "1-White")))</f>
        <v/>
      </c>
      <c r="L426" t="str">
        <f t="shared" si="9"/>
        <v/>
      </c>
    </row>
    <row r="427" spans="11:12" x14ac:dyDescent="0.25">
      <c r="K427" t="str">
        <f>IF(A427="","", IF(OR(SUMIF('Code Violations'!A:A, A427, 'Code Violations'!T:T)&gt;=5, VLOOKUP(A427, 'Master Dashboard'!A:L, 9, FALSE)="FAIL", VLOOKUP(A427, 'Master Dashboard'!A:L, 10, FALSE)="FAIL", ISNUMBER(SEARCH("Critical", J427))), "3-Red", IF(SUMIF('Code Violations'!A:A, A427, 'Code Violations'!T:T)&gt;=1, "2-Yellow", "1-White")))</f>
        <v/>
      </c>
      <c r="L427" t="str">
        <f t="shared" si="9"/>
        <v/>
      </c>
    </row>
    <row r="428" spans="11:12" x14ac:dyDescent="0.25">
      <c r="K428" t="str">
        <f>IF(A428="","", IF(OR(SUMIF('Code Violations'!A:A, A428, 'Code Violations'!T:T)&gt;=5, VLOOKUP(A428, 'Master Dashboard'!A:L, 9, FALSE)="FAIL", VLOOKUP(A428, 'Master Dashboard'!A:L, 10, FALSE)="FAIL", ISNUMBER(SEARCH("Critical", J428))), "3-Red", IF(SUMIF('Code Violations'!A:A, A428, 'Code Violations'!T:T)&gt;=1, "2-Yellow", "1-White")))</f>
        <v/>
      </c>
      <c r="L428" t="str">
        <f t="shared" si="9"/>
        <v/>
      </c>
    </row>
    <row r="429" spans="11:12" x14ac:dyDescent="0.25">
      <c r="K429" t="str">
        <f>IF(A429="","", IF(OR(SUMIF('Code Violations'!A:A, A429, 'Code Violations'!T:T)&gt;=5, VLOOKUP(A429, 'Master Dashboard'!A:L, 9, FALSE)="FAIL", VLOOKUP(A429, 'Master Dashboard'!A:L, 10, FALSE)="FAIL", ISNUMBER(SEARCH("Critical", J429))), "3-Red", IF(SUMIF('Code Violations'!A:A, A429, 'Code Violations'!T:T)&gt;=1, "2-Yellow", "1-White")))</f>
        <v/>
      </c>
      <c r="L429" t="str">
        <f t="shared" si="9"/>
        <v/>
      </c>
    </row>
    <row r="430" spans="11:12" x14ac:dyDescent="0.25">
      <c r="K430" t="str">
        <f>IF(A430="","", IF(OR(SUMIF('Code Violations'!A:A, A430, 'Code Violations'!T:T)&gt;=5, VLOOKUP(A430, 'Master Dashboard'!A:L, 9, FALSE)="FAIL", VLOOKUP(A430, 'Master Dashboard'!A:L, 10, FALSE)="FAIL", ISNUMBER(SEARCH("Critical", J430))), "3-Red", IF(SUMIF('Code Violations'!A:A, A430, 'Code Violations'!T:T)&gt;=1, "2-Yellow", "1-White")))</f>
        <v/>
      </c>
      <c r="L430" t="str">
        <f t="shared" si="9"/>
        <v/>
      </c>
    </row>
    <row r="431" spans="11:12" x14ac:dyDescent="0.25">
      <c r="K431" t="str">
        <f>IF(A431="","", IF(OR(SUMIF('Code Violations'!A:A, A431, 'Code Violations'!T:T)&gt;=5, VLOOKUP(A431, 'Master Dashboard'!A:L, 9, FALSE)="FAIL", VLOOKUP(A431, 'Master Dashboard'!A:L, 10, FALSE)="FAIL", ISNUMBER(SEARCH("Critical", J431))), "3-Red", IF(SUMIF('Code Violations'!A:A, A431, 'Code Violations'!T:T)&gt;=1, "2-Yellow", "1-White")))</f>
        <v/>
      </c>
      <c r="L431" t="str">
        <f t="shared" si="9"/>
        <v/>
      </c>
    </row>
    <row r="432" spans="11:12" x14ac:dyDescent="0.25">
      <c r="K432" t="str">
        <f>IF(A432="","", IF(OR(SUMIF('Code Violations'!A:A, A432, 'Code Violations'!T:T)&gt;=5, VLOOKUP(A432, 'Master Dashboard'!A:L, 9, FALSE)="FAIL", VLOOKUP(A432, 'Master Dashboard'!A:L, 10, FALSE)="FAIL", ISNUMBER(SEARCH("Critical", J432))), "3-Red", IF(SUMIF('Code Violations'!A:A, A432, 'Code Violations'!T:T)&gt;=1, "2-Yellow", "1-White")))</f>
        <v/>
      </c>
      <c r="L432" t="str">
        <f t="shared" si="9"/>
        <v/>
      </c>
    </row>
    <row r="433" spans="11:12" x14ac:dyDescent="0.25">
      <c r="K433" t="str">
        <f>IF(A433="","", IF(OR(SUMIF('Code Violations'!A:A, A433, 'Code Violations'!T:T)&gt;=5, VLOOKUP(A433, 'Master Dashboard'!A:L, 9, FALSE)="FAIL", VLOOKUP(A433, 'Master Dashboard'!A:L, 10, FALSE)="FAIL", ISNUMBER(SEARCH("Critical", J433))), "3-Red", IF(SUMIF('Code Violations'!A:A, A433, 'Code Violations'!T:T)&gt;=1, "2-Yellow", "1-White")))</f>
        <v/>
      </c>
      <c r="L433" t="str">
        <f t="shared" si="9"/>
        <v/>
      </c>
    </row>
    <row r="434" spans="11:12" x14ac:dyDescent="0.25">
      <c r="K434" t="str">
        <f>IF(A434="","", IF(OR(SUMIF('Code Violations'!A:A, A434, 'Code Violations'!T:T)&gt;=5, VLOOKUP(A434, 'Master Dashboard'!A:L, 9, FALSE)="FAIL", VLOOKUP(A434, 'Master Dashboard'!A:L, 10, FALSE)="FAIL", ISNUMBER(SEARCH("Critical", J434))), "3-Red", IF(SUMIF('Code Violations'!A:A, A434, 'Code Violations'!T:T)&gt;=1, "2-Yellow", "1-White")))</f>
        <v/>
      </c>
      <c r="L434" t="str">
        <f t="shared" si="9"/>
        <v/>
      </c>
    </row>
    <row r="435" spans="11:12" x14ac:dyDescent="0.25">
      <c r="K435" t="str">
        <f>IF(A435="","", IF(OR(SUMIF('Code Violations'!A:A, A435, 'Code Violations'!T:T)&gt;=5, VLOOKUP(A435, 'Master Dashboard'!A:L, 9, FALSE)="FAIL", VLOOKUP(A435, 'Master Dashboard'!A:L, 10, FALSE)="FAIL", ISNUMBER(SEARCH("Critical", J435))), "3-Red", IF(SUMIF('Code Violations'!A:A, A435, 'Code Violations'!T:T)&gt;=1, "2-Yellow", "1-White")))</f>
        <v/>
      </c>
      <c r="L435" t="str">
        <f t="shared" si="9"/>
        <v/>
      </c>
    </row>
    <row r="436" spans="11:12" x14ac:dyDescent="0.25">
      <c r="K436" t="str">
        <f>IF(A436="","", IF(OR(SUMIF('Code Violations'!A:A, A436, 'Code Violations'!T:T)&gt;=5, VLOOKUP(A436, 'Master Dashboard'!A:L, 9, FALSE)="FAIL", VLOOKUP(A436, 'Master Dashboard'!A:L, 10, FALSE)="FAIL", ISNUMBER(SEARCH("Critical", J436))), "3-Red", IF(SUMIF('Code Violations'!A:A, A436, 'Code Violations'!T:T)&gt;=1, "2-Yellow", "1-White")))</f>
        <v/>
      </c>
      <c r="L436" t="str">
        <f t="shared" si="9"/>
        <v/>
      </c>
    </row>
    <row r="437" spans="11:12" x14ac:dyDescent="0.25">
      <c r="K437" t="str">
        <f>IF(A437="","", IF(OR(SUMIF('Code Violations'!A:A, A437, 'Code Violations'!T:T)&gt;=5, VLOOKUP(A437, 'Master Dashboard'!A:L, 9, FALSE)="FAIL", VLOOKUP(A437, 'Master Dashboard'!A:L, 10, FALSE)="FAIL", ISNUMBER(SEARCH("Critical", J437))), "3-Red", IF(SUMIF('Code Violations'!A:A, A437, 'Code Violations'!T:T)&gt;=1, "2-Yellow", "1-White")))</f>
        <v/>
      </c>
      <c r="L437" t="str">
        <f t="shared" si="9"/>
        <v/>
      </c>
    </row>
    <row r="438" spans="11:12" x14ac:dyDescent="0.25">
      <c r="K438" t="str">
        <f>IF(A438="","", IF(OR(SUMIF('Code Violations'!A:A, A438, 'Code Violations'!T:T)&gt;=5, VLOOKUP(A438, 'Master Dashboard'!A:L, 9, FALSE)="FAIL", VLOOKUP(A438, 'Master Dashboard'!A:L, 10, FALSE)="FAIL", ISNUMBER(SEARCH("Critical", J438))), "3-Red", IF(SUMIF('Code Violations'!A:A, A438, 'Code Violations'!T:T)&gt;=1, "2-Yellow", "1-White")))</f>
        <v/>
      </c>
      <c r="L438" t="str">
        <f t="shared" si="9"/>
        <v/>
      </c>
    </row>
    <row r="439" spans="11:12" x14ac:dyDescent="0.25">
      <c r="K439" t="str">
        <f>IF(A439="","", IF(OR(SUMIF('Code Violations'!A:A, A439, 'Code Violations'!T:T)&gt;=5, VLOOKUP(A439, 'Master Dashboard'!A:L, 9, FALSE)="FAIL", VLOOKUP(A439, 'Master Dashboard'!A:L, 10, FALSE)="FAIL", ISNUMBER(SEARCH("Critical", J439))), "3-Red", IF(SUMIF('Code Violations'!A:A, A439, 'Code Violations'!T:T)&gt;=1, "2-Yellow", "1-White")))</f>
        <v/>
      </c>
      <c r="L439" t="str">
        <f t="shared" si="9"/>
        <v/>
      </c>
    </row>
    <row r="440" spans="11:12" x14ac:dyDescent="0.25">
      <c r="K440" t="str">
        <f>IF(A440="","", IF(OR(SUMIF('Code Violations'!A:A, A440, 'Code Violations'!T:T)&gt;=5, VLOOKUP(A440, 'Master Dashboard'!A:L, 9, FALSE)="FAIL", VLOOKUP(A440, 'Master Dashboard'!A:L, 10, FALSE)="FAIL", ISNUMBER(SEARCH("Critical", J440))), "3-Red", IF(SUMIF('Code Violations'!A:A, A440, 'Code Violations'!T:T)&gt;=1, "2-Yellow", "1-White")))</f>
        <v/>
      </c>
      <c r="L440" t="str">
        <f t="shared" si="9"/>
        <v/>
      </c>
    </row>
    <row r="441" spans="11:12" x14ac:dyDescent="0.25">
      <c r="K441" t="str">
        <f>IF(A441="","", IF(OR(SUMIF('Code Violations'!A:A, A441, 'Code Violations'!T:T)&gt;=5, VLOOKUP(A441, 'Master Dashboard'!A:L, 9, FALSE)="FAIL", VLOOKUP(A441, 'Master Dashboard'!A:L, 10, FALSE)="FAIL", ISNUMBER(SEARCH("Critical", J441))), "3-Red", IF(SUMIF('Code Violations'!A:A, A441, 'Code Violations'!T:T)&gt;=1, "2-Yellow", "1-White")))</f>
        <v/>
      </c>
      <c r="L441" t="str">
        <f t="shared" si="9"/>
        <v/>
      </c>
    </row>
    <row r="442" spans="11:12" x14ac:dyDescent="0.25">
      <c r="K442" t="str">
        <f>IF(A442="","", IF(OR(SUMIF('Code Violations'!A:A, A442, 'Code Violations'!T:T)&gt;=5, VLOOKUP(A442, 'Master Dashboard'!A:L, 9, FALSE)="FAIL", VLOOKUP(A442, 'Master Dashboard'!A:L, 10, FALSE)="FAIL", ISNUMBER(SEARCH("Critical", J442))), "3-Red", IF(SUMIF('Code Violations'!A:A, A442, 'Code Violations'!T:T)&gt;=1, "2-Yellow", "1-White")))</f>
        <v/>
      </c>
      <c r="L442" t="str">
        <f t="shared" si="9"/>
        <v/>
      </c>
    </row>
    <row r="443" spans="11:12" x14ac:dyDescent="0.25">
      <c r="K443" t="str">
        <f>IF(A443="","", IF(OR(SUMIF('Code Violations'!A:A, A443, 'Code Violations'!T:T)&gt;=5, VLOOKUP(A443, 'Master Dashboard'!A:L, 9, FALSE)="FAIL", VLOOKUP(A443, 'Master Dashboard'!A:L, 10, FALSE)="FAIL", ISNUMBER(SEARCH("Critical", J443))), "3-Red", IF(SUMIF('Code Violations'!A:A, A443, 'Code Violations'!T:T)&gt;=1, "2-Yellow", "1-White")))</f>
        <v/>
      </c>
      <c r="L443" t="str">
        <f t="shared" si="9"/>
        <v/>
      </c>
    </row>
    <row r="444" spans="11:12" x14ac:dyDescent="0.25">
      <c r="K444" t="str">
        <f>IF(A444="","", IF(OR(SUMIF('Code Violations'!A:A, A444, 'Code Violations'!T:T)&gt;=5, VLOOKUP(A444, 'Master Dashboard'!A:L, 9, FALSE)="FAIL", VLOOKUP(A444, 'Master Dashboard'!A:L, 10, FALSE)="FAIL", ISNUMBER(SEARCH("Critical", J444))), "3-Red", IF(SUMIF('Code Violations'!A:A, A444, 'Code Violations'!T:T)&gt;=1, "2-Yellow", "1-White")))</f>
        <v/>
      </c>
      <c r="L444" t="str">
        <f t="shared" si="9"/>
        <v/>
      </c>
    </row>
    <row r="445" spans="11:12" x14ac:dyDescent="0.25">
      <c r="K445" t="str">
        <f>IF(A445="","", IF(OR(SUMIF('Code Violations'!A:A, A445, 'Code Violations'!T:T)&gt;=5, VLOOKUP(A445, 'Master Dashboard'!A:L, 9, FALSE)="FAIL", VLOOKUP(A445, 'Master Dashboard'!A:L, 10, FALSE)="FAIL", ISNUMBER(SEARCH("Critical", J445))), "3-Red", IF(SUMIF('Code Violations'!A:A, A445, 'Code Violations'!T:T)&gt;=1, "2-Yellow", "1-White")))</f>
        <v/>
      </c>
      <c r="L445" t="str">
        <f t="shared" si="9"/>
        <v/>
      </c>
    </row>
    <row r="446" spans="11:12" x14ac:dyDescent="0.25">
      <c r="K446" t="str">
        <f>IF(A446="","", IF(OR(SUMIF('Code Violations'!A:A, A446, 'Code Violations'!T:T)&gt;=5, VLOOKUP(A446, 'Master Dashboard'!A:L, 9, FALSE)="FAIL", VLOOKUP(A446, 'Master Dashboard'!A:L, 10, FALSE)="FAIL", ISNUMBER(SEARCH("Critical", J446))), "3-Red", IF(SUMIF('Code Violations'!A:A, A446, 'Code Violations'!T:T)&gt;=1, "2-Yellow", "1-White")))</f>
        <v/>
      </c>
      <c r="L446" t="str">
        <f t="shared" si="9"/>
        <v/>
      </c>
    </row>
    <row r="447" spans="11:12" x14ac:dyDescent="0.25">
      <c r="K447" t="str">
        <f>IF(A447="","", IF(OR(SUMIF('Code Violations'!A:A, A447, 'Code Violations'!T:T)&gt;=5, VLOOKUP(A447, 'Master Dashboard'!A:L, 9, FALSE)="FAIL", VLOOKUP(A447, 'Master Dashboard'!A:L, 10, FALSE)="FAIL", ISNUMBER(SEARCH("Critical", J447))), "3-Red", IF(SUMIF('Code Violations'!A:A, A447, 'Code Violations'!T:T)&gt;=1, "2-Yellow", "1-White")))</f>
        <v/>
      </c>
      <c r="L447" t="str">
        <f t="shared" si="9"/>
        <v/>
      </c>
    </row>
    <row r="448" spans="11:12" x14ac:dyDescent="0.25">
      <c r="K448" t="str">
        <f>IF(A448="","", IF(OR(SUMIF('Code Violations'!A:A, A448, 'Code Violations'!T:T)&gt;=5, VLOOKUP(A448, 'Master Dashboard'!A:L, 9, FALSE)="FAIL", VLOOKUP(A448, 'Master Dashboard'!A:L, 10, FALSE)="FAIL", ISNUMBER(SEARCH("Critical", J448))), "3-Red", IF(SUMIF('Code Violations'!A:A, A448, 'Code Violations'!T:T)&gt;=1, "2-Yellow", "1-White")))</f>
        <v/>
      </c>
      <c r="L448" t="str">
        <f t="shared" si="9"/>
        <v/>
      </c>
    </row>
    <row r="449" spans="11:12" x14ac:dyDescent="0.25">
      <c r="K449" t="str">
        <f>IF(A449="","", IF(OR(SUMIF('Code Violations'!A:A, A449, 'Code Violations'!T:T)&gt;=5, VLOOKUP(A449, 'Master Dashboard'!A:L, 9, FALSE)="FAIL", VLOOKUP(A449, 'Master Dashboard'!A:L, 10, FALSE)="FAIL", ISNUMBER(SEARCH("Critical", J449))), "3-Red", IF(SUMIF('Code Violations'!A:A, A449, 'Code Violations'!T:T)&gt;=1, "2-Yellow", "1-White")))</f>
        <v/>
      </c>
      <c r="L449" t="str">
        <f t="shared" si="9"/>
        <v/>
      </c>
    </row>
    <row r="450" spans="11:12" x14ac:dyDescent="0.25">
      <c r="K450" t="str">
        <f>IF(A450="","", IF(OR(SUMIF('Code Violations'!A:A, A450, 'Code Violations'!T:T)&gt;=5, VLOOKUP(A450, 'Master Dashboard'!A:L, 9, FALSE)="FAIL", VLOOKUP(A450, 'Master Dashboard'!A:L, 10, FALSE)="FAIL", ISNUMBER(SEARCH("Critical", J450))), "3-Red", IF(SUMIF('Code Violations'!A:A, A450, 'Code Violations'!T:T)&gt;=1, "2-Yellow", "1-White")))</f>
        <v/>
      </c>
      <c r="L450" t="str">
        <f t="shared" si="9"/>
        <v/>
      </c>
    </row>
    <row r="451" spans="11:12" x14ac:dyDescent="0.25">
      <c r="K451" t="str">
        <f>IF(A451="","", IF(OR(SUMIF('Code Violations'!A:A, A451, 'Code Violations'!T:T)&gt;=5, VLOOKUP(A451, 'Master Dashboard'!A:L, 9, FALSE)="FAIL", VLOOKUP(A451, 'Master Dashboard'!A:L, 10, FALSE)="FAIL", ISNUMBER(SEARCH("Critical", J451))), "3-Red", IF(SUMIF('Code Violations'!A:A, A451, 'Code Violations'!T:T)&gt;=1, "2-Yellow", "1-White")))</f>
        <v/>
      </c>
      <c r="L451" t="str">
        <f t="shared" si="9"/>
        <v/>
      </c>
    </row>
    <row r="452" spans="11:12" x14ac:dyDescent="0.25">
      <c r="K452" t="str">
        <f>IF(A452="","", IF(OR(SUMIF('Code Violations'!A:A, A452, 'Code Violations'!T:T)&gt;=5, VLOOKUP(A452, 'Master Dashboard'!A:L, 9, FALSE)="FAIL", VLOOKUP(A452, 'Master Dashboard'!A:L, 10, FALSE)="FAIL", ISNUMBER(SEARCH("Critical", J452))), "3-Red", IF(SUMIF('Code Violations'!A:A, A452, 'Code Violations'!T:T)&gt;=1, "2-Yellow", "1-White")))</f>
        <v/>
      </c>
      <c r="L452" t="str">
        <f t="shared" si="9"/>
        <v/>
      </c>
    </row>
    <row r="453" spans="11:12" x14ac:dyDescent="0.25">
      <c r="K453" t="str">
        <f>IF(A453="","", IF(OR(SUMIF('Code Violations'!A:A, A453, 'Code Violations'!T:T)&gt;=5, VLOOKUP(A453, 'Master Dashboard'!A:L, 9, FALSE)="FAIL", VLOOKUP(A453, 'Master Dashboard'!A:L, 10, FALSE)="FAIL", ISNUMBER(SEARCH("Critical", J453))), "3-Red", IF(SUMIF('Code Violations'!A:A, A453, 'Code Violations'!T:T)&gt;=1, "2-Yellow", "1-White")))</f>
        <v/>
      </c>
      <c r="L453" t="str">
        <f t="shared" si="9"/>
        <v/>
      </c>
    </row>
    <row r="454" spans="11:12" x14ac:dyDescent="0.25">
      <c r="K454" t="str">
        <f>IF(A454="","", IF(OR(SUMIF('Code Violations'!A:A, A454, 'Code Violations'!T:T)&gt;=5, VLOOKUP(A454, 'Master Dashboard'!A:L, 9, FALSE)="FAIL", VLOOKUP(A454, 'Master Dashboard'!A:L, 10, FALSE)="FAIL", ISNUMBER(SEARCH("Critical", J454))), "3-Red", IF(SUMIF('Code Violations'!A:A, A454, 'Code Violations'!T:T)&gt;=1, "2-Yellow", "1-White")))</f>
        <v/>
      </c>
      <c r="L454" t="str">
        <f t="shared" si="9"/>
        <v/>
      </c>
    </row>
    <row r="455" spans="11:12" x14ac:dyDescent="0.25">
      <c r="K455" t="str">
        <f>IF(A455="","", IF(OR(SUMIF('Code Violations'!A:A, A455, 'Code Violations'!T:T)&gt;=5, VLOOKUP(A455, 'Master Dashboard'!A:L, 9, FALSE)="FAIL", VLOOKUP(A455, 'Master Dashboard'!A:L, 10, FALSE)="FAIL", ISNUMBER(SEARCH("Critical", J455))), "3-Red", IF(SUMIF('Code Violations'!A:A, A455, 'Code Violations'!T:T)&gt;=1, "2-Yellow", "1-White")))</f>
        <v/>
      </c>
      <c r="L455" t="str">
        <f t="shared" si="9"/>
        <v/>
      </c>
    </row>
    <row r="456" spans="11:12" x14ac:dyDescent="0.25">
      <c r="K456" t="str">
        <f>IF(A456="","", IF(OR(SUMIF('Code Violations'!A:A, A456, 'Code Violations'!T:T)&gt;=5, VLOOKUP(A456, 'Master Dashboard'!A:L, 9, FALSE)="FAIL", VLOOKUP(A456, 'Master Dashboard'!A:L, 10, FALSE)="FAIL", ISNUMBER(SEARCH("Critical", J456))), "3-Red", IF(SUMIF('Code Violations'!A:A, A456, 'Code Violations'!T:T)&gt;=1, "2-Yellow", "1-White")))</f>
        <v/>
      </c>
      <c r="L456" t="str">
        <f t="shared" si="9"/>
        <v/>
      </c>
    </row>
    <row r="457" spans="11:12" x14ac:dyDescent="0.25">
      <c r="K457" t="str">
        <f>IF(A457="","", IF(OR(SUMIF('Code Violations'!A:A, A457, 'Code Violations'!T:T)&gt;=5, VLOOKUP(A457, 'Master Dashboard'!A:L, 9, FALSE)="FAIL", VLOOKUP(A457, 'Master Dashboard'!A:L, 10, FALSE)="FAIL", ISNUMBER(SEARCH("Critical", J457))), "3-Red", IF(SUMIF('Code Violations'!A:A, A457, 'Code Violations'!T:T)&gt;=1, "2-Yellow", "1-White")))</f>
        <v/>
      </c>
      <c r="L457" t="str">
        <f t="shared" si="9"/>
        <v/>
      </c>
    </row>
    <row r="458" spans="11:12" x14ac:dyDescent="0.25">
      <c r="K458" t="str">
        <f>IF(A458="","", IF(OR(SUMIF('Code Violations'!A:A, A458, 'Code Violations'!T:T)&gt;=5, VLOOKUP(A458, 'Master Dashboard'!A:L, 9, FALSE)="FAIL", VLOOKUP(A458, 'Master Dashboard'!A:L, 10, FALSE)="FAIL", ISNUMBER(SEARCH("Critical", J458))), "3-Red", IF(SUMIF('Code Violations'!A:A, A458, 'Code Violations'!T:T)&gt;=1, "2-Yellow", "1-White")))</f>
        <v/>
      </c>
      <c r="L458" t="str">
        <f t="shared" si="9"/>
        <v/>
      </c>
    </row>
    <row r="459" spans="11:12" x14ac:dyDescent="0.25">
      <c r="K459" t="str">
        <f>IF(A459="","", IF(OR(SUMIF('Code Violations'!A:A, A459, 'Code Violations'!T:T)&gt;=5, VLOOKUP(A459, 'Master Dashboard'!A:L, 9, FALSE)="FAIL", VLOOKUP(A459, 'Master Dashboard'!A:L, 10, FALSE)="FAIL", ISNUMBER(SEARCH("Critical", J459))), "3-Red", IF(SUMIF('Code Violations'!A:A, A459, 'Code Violations'!T:T)&gt;=1, "2-Yellow", "1-White")))</f>
        <v/>
      </c>
      <c r="L459" t="str">
        <f t="shared" si="9"/>
        <v/>
      </c>
    </row>
    <row r="460" spans="11:12" x14ac:dyDescent="0.25">
      <c r="K460" t="str">
        <f>IF(A460="","", IF(OR(SUMIF('Code Violations'!A:A, A460, 'Code Violations'!T:T)&gt;=5, VLOOKUP(A460, 'Master Dashboard'!A:L, 9, FALSE)="FAIL", VLOOKUP(A460, 'Master Dashboard'!A:L, 10, FALSE)="FAIL", ISNUMBER(SEARCH("Critical", J460))), "3-Red", IF(SUMIF('Code Violations'!A:A, A460, 'Code Violations'!T:T)&gt;=1, "2-Yellow", "1-White")))</f>
        <v/>
      </c>
      <c r="L460" t="str">
        <f t="shared" si="9"/>
        <v/>
      </c>
    </row>
    <row r="461" spans="11:12" x14ac:dyDescent="0.25">
      <c r="K461" t="str">
        <f>IF(A461="","", IF(OR(SUMIF('Code Violations'!A:A, A461, 'Code Violations'!T:T)&gt;=5, VLOOKUP(A461, 'Master Dashboard'!A:L, 9, FALSE)="FAIL", VLOOKUP(A461, 'Master Dashboard'!A:L, 10, FALSE)="FAIL", ISNUMBER(SEARCH("Critical", J461))), "3-Red", IF(SUMIF('Code Violations'!A:A, A461, 'Code Violations'!T:T)&gt;=1, "2-Yellow", "1-White")))</f>
        <v/>
      </c>
      <c r="L461" t="str">
        <f t="shared" si="9"/>
        <v/>
      </c>
    </row>
    <row r="462" spans="11:12" x14ac:dyDescent="0.25">
      <c r="K462" t="str">
        <f>IF(A462="","", IF(OR(SUMIF('Code Violations'!A:A, A462, 'Code Violations'!T:T)&gt;=5, VLOOKUP(A462, 'Master Dashboard'!A:L, 9, FALSE)="FAIL", VLOOKUP(A462, 'Master Dashboard'!A:L, 10, FALSE)="FAIL", ISNUMBER(SEARCH("Critical", J462))), "3-Red", IF(SUMIF('Code Violations'!A:A, A462, 'Code Violations'!T:T)&gt;=1, "2-Yellow", "1-White")))</f>
        <v/>
      </c>
      <c r="L462" t="str">
        <f t="shared" si="9"/>
        <v/>
      </c>
    </row>
    <row r="463" spans="11:12" x14ac:dyDescent="0.25">
      <c r="K463" t="str">
        <f>IF(A463="","", IF(OR(SUMIF('Code Violations'!A:A, A463, 'Code Violations'!T:T)&gt;=5, VLOOKUP(A463, 'Master Dashboard'!A:L, 9, FALSE)="FAIL", VLOOKUP(A463, 'Master Dashboard'!A:L, 10, FALSE)="FAIL", ISNUMBER(SEARCH("Critical", J463))), "3-Red", IF(SUMIF('Code Violations'!A:A, A463, 'Code Violations'!T:T)&gt;=1, "2-Yellow", "1-White")))</f>
        <v/>
      </c>
      <c r="L463" t="str">
        <f t="shared" si="9"/>
        <v/>
      </c>
    </row>
    <row r="464" spans="11:12" x14ac:dyDescent="0.25">
      <c r="K464" t="str">
        <f>IF(A464="","", IF(OR(SUMIF('Code Violations'!A:A, A464, 'Code Violations'!T:T)&gt;=5, VLOOKUP(A464, 'Master Dashboard'!A:L, 9, FALSE)="FAIL", VLOOKUP(A464, 'Master Dashboard'!A:L, 10, FALSE)="FAIL", ISNUMBER(SEARCH("Critical", J464))), "3-Red", IF(SUMIF('Code Violations'!A:A, A464, 'Code Violations'!T:T)&gt;=1, "2-Yellow", "1-White")))</f>
        <v/>
      </c>
      <c r="L464" t="str">
        <f t="shared" si="9"/>
        <v/>
      </c>
    </row>
    <row r="465" spans="11:12" x14ac:dyDescent="0.25">
      <c r="K465" t="str">
        <f>IF(A465="","", IF(OR(SUMIF('Code Violations'!A:A, A465, 'Code Violations'!T:T)&gt;=5, VLOOKUP(A465, 'Master Dashboard'!A:L, 9, FALSE)="FAIL", VLOOKUP(A465, 'Master Dashboard'!A:L, 10, FALSE)="FAIL", ISNUMBER(SEARCH("Critical", J465))), "3-Red", IF(SUMIF('Code Violations'!A:A, A465, 'Code Violations'!T:T)&gt;=1, "2-Yellow", "1-White")))</f>
        <v/>
      </c>
      <c r="L465" t="str">
        <f t="shared" si="9"/>
        <v/>
      </c>
    </row>
    <row r="466" spans="11:12" x14ac:dyDescent="0.25">
      <c r="K466" t="str">
        <f>IF(A466="","", IF(OR(SUMIF('Code Violations'!A:A, A466, 'Code Violations'!T:T)&gt;=5, VLOOKUP(A466, 'Master Dashboard'!A:L, 9, FALSE)="FAIL", VLOOKUP(A466, 'Master Dashboard'!A:L, 10, FALSE)="FAIL", ISNUMBER(SEARCH("Critical", J466))), "3-Red", IF(SUMIF('Code Violations'!A:A, A466, 'Code Violations'!T:T)&gt;=1, "2-Yellow", "1-White")))</f>
        <v/>
      </c>
      <c r="L466" t="str">
        <f t="shared" si="9"/>
        <v/>
      </c>
    </row>
    <row r="467" spans="11:12" x14ac:dyDescent="0.25">
      <c r="K467" t="str">
        <f>IF(A467="","", IF(OR(SUMIF('Code Violations'!A:A, A467, 'Code Violations'!T:T)&gt;=5, VLOOKUP(A467, 'Master Dashboard'!A:L, 9, FALSE)="FAIL", VLOOKUP(A467, 'Master Dashboard'!A:L, 10, FALSE)="FAIL", ISNUMBER(SEARCH("Critical", J467))), "3-Red", IF(SUMIF('Code Violations'!A:A, A467, 'Code Violations'!T:T)&gt;=1, "2-Yellow", "1-White")))</f>
        <v/>
      </c>
      <c r="L467" t="str">
        <f t="shared" si="9"/>
        <v/>
      </c>
    </row>
    <row r="468" spans="11:12" x14ac:dyDescent="0.25">
      <c r="K468" t="str">
        <f>IF(A468="","", IF(OR(SUMIF('Code Violations'!A:A, A468, 'Code Violations'!T:T)&gt;=5, VLOOKUP(A468, 'Master Dashboard'!A:L, 9, FALSE)="FAIL", VLOOKUP(A468, 'Master Dashboard'!A:L, 10, FALSE)="FAIL", ISNUMBER(SEARCH("Critical", J468))), "3-Red", IF(SUMIF('Code Violations'!A:A, A468, 'Code Violations'!T:T)&gt;=1, "2-Yellow", "1-White")))</f>
        <v/>
      </c>
      <c r="L468" t="str">
        <f t="shared" si="9"/>
        <v/>
      </c>
    </row>
    <row r="469" spans="11:12" x14ac:dyDescent="0.25">
      <c r="K469" t="str">
        <f>IF(A469="","", IF(OR(SUMIF('Code Violations'!A:A, A469, 'Code Violations'!T:T)&gt;=5, VLOOKUP(A469, 'Master Dashboard'!A:L, 9, FALSE)="FAIL", VLOOKUP(A469, 'Master Dashboard'!A:L, 10, FALSE)="FAIL", ISNUMBER(SEARCH("Critical", J469))), "3-Red", IF(SUMIF('Code Violations'!A:A, A469, 'Code Violations'!T:T)&gt;=1, "2-Yellow", "1-White")))</f>
        <v/>
      </c>
      <c r="L469" t="str">
        <f t="shared" si="9"/>
        <v/>
      </c>
    </row>
    <row r="470" spans="11:12" x14ac:dyDescent="0.25">
      <c r="K470" t="str">
        <f>IF(A470="","", IF(OR(SUMIF('Code Violations'!A:A, A470, 'Code Violations'!T:T)&gt;=5, VLOOKUP(A470, 'Master Dashboard'!A:L, 9, FALSE)="FAIL", VLOOKUP(A470, 'Master Dashboard'!A:L, 10, FALSE)="FAIL", ISNUMBER(SEARCH("Critical", J470))), "3-Red", IF(SUMIF('Code Violations'!A:A, A470, 'Code Violations'!T:T)&gt;=1, "2-Yellow", "1-White")))</f>
        <v/>
      </c>
      <c r="L470" t="str">
        <f t="shared" si="9"/>
        <v/>
      </c>
    </row>
    <row r="471" spans="11:12" x14ac:dyDescent="0.25">
      <c r="K471" t="str">
        <f>IF(A471="","", IF(OR(SUMIF('Code Violations'!A:A, A471, 'Code Violations'!T:T)&gt;=5, VLOOKUP(A471, 'Master Dashboard'!A:L, 9, FALSE)="FAIL", VLOOKUP(A471, 'Master Dashboard'!A:L, 10, FALSE)="FAIL", ISNUMBER(SEARCH("Critical", J471))), "3-Red", IF(SUMIF('Code Violations'!A:A, A471, 'Code Violations'!T:T)&gt;=1, "2-Yellow", "1-White")))</f>
        <v/>
      </c>
      <c r="L471" t="str">
        <f t="shared" si="9"/>
        <v/>
      </c>
    </row>
    <row r="472" spans="11:12" x14ac:dyDescent="0.25">
      <c r="K472" t="str">
        <f>IF(A472="","", IF(OR(SUMIF('Code Violations'!A:A, A472, 'Code Violations'!T:T)&gt;=5, VLOOKUP(A472, 'Master Dashboard'!A:L, 9, FALSE)="FAIL", VLOOKUP(A472, 'Master Dashboard'!A:L, 10, FALSE)="FAIL", ISNUMBER(SEARCH("Critical", J472))), "3-Red", IF(SUMIF('Code Violations'!A:A, A472, 'Code Violations'!T:T)&gt;=1, "2-Yellow", "1-White")))</f>
        <v/>
      </c>
      <c r="L472" t="str">
        <f t="shared" si="9"/>
        <v/>
      </c>
    </row>
    <row r="473" spans="11:12" x14ac:dyDescent="0.25">
      <c r="K473" t="str">
        <f>IF(A473="","", IF(OR(SUMIF('Code Violations'!A:A, A473, 'Code Violations'!T:T)&gt;=5, VLOOKUP(A473, 'Master Dashboard'!A:L, 9, FALSE)="FAIL", VLOOKUP(A473, 'Master Dashboard'!A:L, 10, FALSE)="FAIL", ISNUMBER(SEARCH("Critical", J473))), "3-Red", IF(SUMIF('Code Violations'!A:A, A473, 'Code Violations'!T:T)&gt;=1, "2-Yellow", "1-White")))</f>
        <v/>
      </c>
      <c r="L473" t="str">
        <f t="shared" si="9"/>
        <v/>
      </c>
    </row>
    <row r="474" spans="11:12" x14ac:dyDescent="0.25">
      <c r="K474" t="str">
        <f>IF(A474="","", IF(OR(SUMIF('Code Violations'!A:A, A474, 'Code Violations'!T:T)&gt;=5, VLOOKUP(A474, 'Master Dashboard'!A:L, 9, FALSE)="FAIL", VLOOKUP(A474, 'Master Dashboard'!A:L, 10, FALSE)="FAIL", ISNUMBER(SEARCH("Critical", J474))), "3-Red", IF(SUMIF('Code Violations'!A:A, A474, 'Code Violations'!T:T)&gt;=1, "2-Yellow", "1-White")))</f>
        <v/>
      </c>
      <c r="L474" t="str">
        <f t="shared" si="9"/>
        <v/>
      </c>
    </row>
    <row r="475" spans="11:12" x14ac:dyDescent="0.25">
      <c r="K475" t="str">
        <f>IF(A475="","", IF(OR(SUMIF('Code Violations'!A:A, A475, 'Code Violations'!T:T)&gt;=5, VLOOKUP(A475, 'Master Dashboard'!A:L, 9, FALSE)="FAIL", VLOOKUP(A475, 'Master Dashboard'!A:L, 10, FALSE)="FAIL", ISNUMBER(SEARCH("Critical", J475))), "3-Red", IF(SUMIF('Code Violations'!A:A, A475, 'Code Violations'!T:T)&gt;=1, "2-Yellow", "1-White")))</f>
        <v/>
      </c>
      <c r="L475" t="str">
        <f t="shared" si="9"/>
        <v/>
      </c>
    </row>
    <row r="476" spans="11:12" x14ac:dyDescent="0.25">
      <c r="K476" t="str">
        <f>IF(A476="","", IF(OR(SUMIF('Code Violations'!A:A, A476, 'Code Violations'!T:T)&gt;=5, VLOOKUP(A476, 'Master Dashboard'!A:L, 9, FALSE)="FAIL", VLOOKUP(A476, 'Master Dashboard'!A:L, 10, FALSE)="FAIL", ISNUMBER(SEARCH("Critical", J476))), "3-Red", IF(SUMIF('Code Violations'!A:A, A476, 'Code Violations'!T:T)&gt;=1, "2-Yellow", "1-White")))</f>
        <v/>
      </c>
      <c r="L476" t="str">
        <f t="shared" si="9"/>
        <v/>
      </c>
    </row>
    <row r="477" spans="11:12" x14ac:dyDescent="0.25">
      <c r="K477" t="str">
        <f>IF(A477="","", IF(OR(SUMIF('Code Violations'!A:A, A477, 'Code Violations'!T:T)&gt;=5, VLOOKUP(A477, 'Master Dashboard'!A:L, 9, FALSE)="FAIL", VLOOKUP(A477, 'Master Dashboard'!A:L, 10, FALSE)="FAIL", ISNUMBER(SEARCH("Critical", J477))), "3-Red", IF(SUMIF('Code Violations'!A:A, A477, 'Code Violations'!T:T)&gt;=1, "2-Yellow", "1-White")))</f>
        <v/>
      </c>
      <c r="L477" t="str">
        <f t="shared" si="9"/>
        <v/>
      </c>
    </row>
    <row r="478" spans="11:12" x14ac:dyDescent="0.25">
      <c r="K478" t="str">
        <f>IF(A478="","", IF(OR(SUMIF('Code Violations'!A:A, A478, 'Code Violations'!T:T)&gt;=5, VLOOKUP(A478, 'Master Dashboard'!A:L, 9, FALSE)="FAIL", VLOOKUP(A478, 'Master Dashboard'!A:L, 10, FALSE)="FAIL", ISNUMBER(SEARCH("Critical", J478))), "3-Red", IF(SUMIF('Code Violations'!A:A, A478, 'Code Violations'!T:T)&gt;=1, "2-Yellow", "1-White")))</f>
        <v/>
      </c>
      <c r="L478" t="str">
        <f t="shared" si="9"/>
        <v/>
      </c>
    </row>
    <row r="479" spans="11:12" x14ac:dyDescent="0.25">
      <c r="K479" t="str">
        <f>IF(A479="","", IF(OR(SUMIF('Code Violations'!A:A, A479, 'Code Violations'!T:T)&gt;=5, VLOOKUP(A479, 'Master Dashboard'!A:L, 9, FALSE)="FAIL", VLOOKUP(A479, 'Master Dashboard'!A:L, 10, FALSE)="FAIL", ISNUMBER(SEARCH("Critical", J479))), "3-Red", IF(SUMIF('Code Violations'!A:A, A479, 'Code Violations'!T:T)&gt;=1, "2-Yellow", "1-White")))</f>
        <v/>
      </c>
      <c r="L479" t="str">
        <f t="shared" si="9"/>
        <v/>
      </c>
    </row>
    <row r="480" spans="11:12" x14ac:dyDescent="0.25">
      <c r="K480" t="str">
        <f>IF(A480="","", IF(OR(SUMIF('Code Violations'!A:A, A480, 'Code Violations'!T:T)&gt;=5, VLOOKUP(A480, 'Master Dashboard'!A:L, 9, FALSE)="FAIL", VLOOKUP(A480, 'Master Dashboard'!A:L, 10, FALSE)="FAIL", ISNUMBER(SEARCH("Critical", J480))), "3-Red", IF(SUMIF('Code Violations'!A:A, A480, 'Code Violations'!T:T)&gt;=1, "2-Yellow", "1-White")))</f>
        <v/>
      </c>
      <c r="L480" t="str">
        <f t="shared" si="9"/>
        <v/>
      </c>
    </row>
    <row r="481" spans="11:12" x14ac:dyDescent="0.25">
      <c r="K481" t="str">
        <f>IF(A481="","", IF(OR(SUMIF('Code Violations'!A:A, A481, 'Code Violations'!T:T)&gt;=5, VLOOKUP(A481, 'Master Dashboard'!A:L, 9, FALSE)="FAIL", VLOOKUP(A481, 'Master Dashboard'!A:L, 10, FALSE)="FAIL", ISNUMBER(SEARCH("Critical", J481))), "3-Red", IF(SUMIF('Code Violations'!A:A, A481, 'Code Violations'!T:T)&gt;=1, "2-Yellow", "1-White")))</f>
        <v/>
      </c>
      <c r="L481" t="str">
        <f t="shared" si="9"/>
        <v/>
      </c>
    </row>
    <row r="482" spans="11:12" x14ac:dyDescent="0.25">
      <c r="K482" t="str">
        <f>IF(A482="","", IF(OR(SUMIF('Code Violations'!A:A, A482, 'Code Violations'!T:T)&gt;=5, VLOOKUP(A482, 'Master Dashboard'!A:L, 9, FALSE)="FAIL", VLOOKUP(A482, 'Master Dashboard'!A:L, 10, FALSE)="FAIL", ISNUMBER(SEARCH("Critical", J482))), "3-Red", IF(SUMIF('Code Violations'!A:A, A482, 'Code Violations'!T:T)&gt;=1, "2-Yellow", "1-White")))</f>
        <v/>
      </c>
      <c r="L482" t="str">
        <f t="shared" ref="L482:L499" si="10">IF(J482="","", IF(ISNUMBER(SEARCH("Critical", J482)), "CRITICAL FAIL", IF(ISNUMBER(SEARCH("Overdue", J482)), "FAIL", "COMPLIANT")))</f>
        <v/>
      </c>
    </row>
    <row r="483" spans="11:12" x14ac:dyDescent="0.25">
      <c r="K483" t="str">
        <f>IF(A483="","", IF(OR(SUMIF('Code Violations'!A:A, A483, 'Code Violations'!T:T)&gt;=5, VLOOKUP(A483, 'Master Dashboard'!A:L, 9, FALSE)="FAIL", VLOOKUP(A483, 'Master Dashboard'!A:L, 10, FALSE)="FAIL", ISNUMBER(SEARCH("Critical", J483))), "3-Red", IF(SUMIF('Code Violations'!A:A, A483, 'Code Violations'!T:T)&gt;=1, "2-Yellow", "1-White")))</f>
        <v/>
      </c>
      <c r="L483" t="str">
        <f t="shared" si="10"/>
        <v/>
      </c>
    </row>
    <row r="484" spans="11:12" x14ac:dyDescent="0.25">
      <c r="K484" t="str">
        <f>IF(A484="","", IF(OR(SUMIF('Code Violations'!A:A, A484, 'Code Violations'!T:T)&gt;=5, VLOOKUP(A484, 'Master Dashboard'!A:L, 9, FALSE)="FAIL", VLOOKUP(A484, 'Master Dashboard'!A:L, 10, FALSE)="FAIL", ISNUMBER(SEARCH("Critical", J484))), "3-Red", IF(SUMIF('Code Violations'!A:A, A484, 'Code Violations'!T:T)&gt;=1, "2-Yellow", "1-White")))</f>
        <v/>
      </c>
      <c r="L484" t="str">
        <f t="shared" si="10"/>
        <v/>
      </c>
    </row>
    <row r="485" spans="11:12" x14ac:dyDescent="0.25">
      <c r="K485" t="str">
        <f>IF(A485="","", IF(OR(SUMIF('Code Violations'!A:A, A485, 'Code Violations'!T:T)&gt;=5, VLOOKUP(A485, 'Master Dashboard'!A:L, 9, FALSE)="FAIL", VLOOKUP(A485, 'Master Dashboard'!A:L, 10, FALSE)="FAIL", ISNUMBER(SEARCH("Critical", J485))), "3-Red", IF(SUMIF('Code Violations'!A:A, A485, 'Code Violations'!T:T)&gt;=1, "2-Yellow", "1-White")))</f>
        <v/>
      </c>
      <c r="L485" t="str">
        <f t="shared" si="10"/>
        <v/>
      </c>
    </row>
    <row r="486" spans="11:12" x14ac:dyDescent="0.25">
      <c r="K486" t="str">
        <f>IF(A486="","", IF(OR(SUMIF('Code Violations'!A:A, A486, 'Code Violations'!T:T)&gt;=5, VLOOKUP(A486, 'Master Dashboard'!A:L, 9, FALSE)="FAIL", VLOOKUP(A486, 'Master Dashboard'!A:L, 10, FALSE)="FAIL", ISNUMBER(SEARCH("Critical", J486))), "3-Red", IF(SUMIF('Code Violations'!A:A, A486, 'Code Violations'!T:T)&gt;=1, "2-Yellow", "1-White")))</f>
        <v/>
      </c>
      <c r="L486" t="str">
        <f t="shared" si="10"/>
        <v/>
      </c>
    </row>
    <row r="487" spans="11:12" x14ac:dyDescent="0.25">
      <c r="K487" t="str">
        <f>IF(A487="","", IF(OR(SUMIF('Code Violations'!A:A, A487, 'Code Violations'!T:T)&gt;=5, VLOOKUP(A487, 'Master Dashboard'!A:L, 9, FALSE)="FAIL", VLOOKUP(A487, 'Master Dashboard'!A:L, 10, FALSE)="FAIL", ISNUMBER(SEARCH("Critical", J487))), "3-Red", IF(SUMIF('Code Violations'!A:A, A487, 'Code Violations'!T:T)&gt;=1, "2-Yellow", "1-White")))</f>
        <v/>
      </c>
      <c r="L487" t="str">
        <f t="shared" si="10"/>
        <v/>
      </c>
    </row>
    <row r="488" spans="11:12" x14ac:dyDescent="0.25">
      <c r="K488" t="str">
        <f>IF(A488="","", IF(OR(SUMIF('Code Violations'!A:A, A488, 'Code Violations'!T:T)&gt;=5, VLOOKUP(A488, 'Master Dashboard'!A:L, 9, FALSE)="FAIL", VLOOKUP(A488, 'Master Dashboard'!A:L, 10, FALSE)="FAIL", ISNUMBER(SEARCH("Critical", J488))), "3-Red", IF(SUMIF('Code Violations'!A:A, A488, 'Code Violations'!T:T)&gt;=1, "2-Yellow", "1-White")))</f>
        <v/>
      </c>
      <c r="L488" t="str">
        <f t="shared" si="10"/>
        <v/>
      </c>
    </row>
    <row r="489" spans="11:12" x14ac:dyDescent="0.25">
      <c r="K489" t="str">
        <f>IF(A489="","", IF(OR(SUMIF('Code Violations'!A:A, A489, 'Code Violations'!T:T)&gt;=5, VLOOKUP(A489, 'Master Dashboard'!A:L, 9, FALSE)="FAIL", VLOOKUP(A489, 'Master Dashboard'!A:L, 10, FALSE)="FAIL", ISNUMBER(SEARCH("Critical", J489))), "3-Red", IF(SUMIF('Code Violations'!A:A, A489, 'Code Violations'!T:T)&gt;=1, "2-Yellow", "1-White")))</f>
        <v/>
      </c>
      <c r="L489" t="str">
        <f t="shared" si="10"/>
        <v/>
      </c>
    </row>
    <row r="490" spans="11:12" x14ac:dyDescent="0.25">
      <c r="K490" t="str">
        <f>IF(A490="","", IF(OR(SUMIF('Code Violations'!A:A, A490, 'Code Violations'!T:T)&gt;=5, VLOOKUP(A490, 'Master Dashboard'!A:L, 9, FALSE)="FAIL", VLOOKUP(A490, 'Master Dashboard'!A:L, 10, FALSE)="FAIL", ISNUMBER(SEARCH("Critical", J490))), "3-Red", IF(SUMIF('Code Violations'!A:A, A490, 'Code Violations'!T:T)&gt;=1, "2-Yellow", "1-White")))</f>
        <v/>
      </c>
      <c r="L490" t="str">
        <f t="shared" si="10"/>
        <v/>
      </c>
    </row>
    <row r="491" spans="11:12" x14ac:dyDescent="0.25">
      <c r="K491" t="str">
        <f>IF(A491="","", IF(OR(SUMIF('Code Violations'!A:A, A491, 'Code Violations'!T:T)&gt;=5, VLOOKUP(A491, 'Master Dashboard'!A:L, 9, FALSE)="FAIL", VLOOKUP(A491, 'Master Dashboard'!A:L, 10, FALSE)="FAIL", ISNUMBER(SEARCH("Critical", J491))), "3-Red", IF(SUMIF('Code Violations'!A:A, A491, 'Code Violations'!T:T)&gt;=1, "2-Yellow", "1-White")))</f>
        <v/>
      </c>
      <c r="L491" t="str">
        <f t="shared" si="10"/>
        <v/>
      </c>
    </row>
    <row r="492" spans="11:12" x14ac:dyDescent="0.25">
      <c r="K492" t="str">
        <f>IF(A492="","", IF(OR(SUMIF('Code Violations'!A:A, A492, 'Code Violations'!T:T)&gt;=5, VLOOKUP(A492, 'Master Dashboard'!A:L, 9, FALSE)="FAIL", VLOOKUP(A492, 'Master Dashboard'!A:L, 10, FALSE)="FAIL", ISNUMBER(SEARCH("Critical", J492))), "3-Red", IF(SUMIF('Code Violations'!A:A, A492, 'Code Violations'!T:T)&gt;=1, "2-Yellow", "1-White")))</f>
        <v/>
      </c>
      <c r="L492" t="str">
        <f t="shared" si="10"/>
        <v/>
      </c>
    </row>
    <row r="493" spans="11:12" x14ac:dyDescent="0.25">
      <c r="K493" t="str">
        <f>IF(A493="","", IF(OR(SUMIF('Code Violations'!A:A, A493, 'Code Violations'!T:T)&gt;=5, VLOOKUP(A493, 'Master Dashboard'!A:L, 9, FALSE)="FAIL", VLOOKUP(A493, 'Master Dashboard'!A:L, 10, FALSE)="FAIL", ISNUMBER(SEARCH("Critical", J493))), "3-Red", IF(SUMIF('Code Violations'!A:A, A493, 'Code Violations'!T:T)&gt;=1, "2-Yellow", "1-White")))</f>
        <v/>
      </c>
      <c r="L493" t="str">
        <f t="shared" si="10"/>
        <v/>
      </c>
    </row>
    <row r="494" spans="11:12" x14ac:dyDescent="0.25">
      <c r="K494" t="str">
        <f>IF(A494="","", IF(OR(SUMIF('Code Violations'!A:A, A494, 'Code Violations'!T:T)&gt;=5, VLOOKUP(A494, 'Master Dashboard'!A:L, 9, FALSE)="FAIL", VLOOKUP(A494, 'Master Dashboard'!A:L, 10, FALSE)="FAIL", ISNUMBER(SEARCH("Critical", J494))), "3-Red", IF(SUMIF('Code Violations'!A:A, A494, 'Code Violations'!T:T)&gt;=1, "2-Yellow", "1-White")))</f>
        <v/>
      </c>
      <c r="L494" t="str">
        <f t="shared" si="10"/>
        <v/>
      </c>
    </row>
    <row r="495" spans="11:12" x14ac:dyDescent="0.25">
      <c r="K495" t="str">
        <f>IF(A495="","", IF(OR(SUMIF('Code Violations'!A:A, A495, 'Code Violations'!T:T)&gt;=5, VLOOKUP(A495, 'Master Dashboard'!A:L, 9, FALSE)="FAIL", VLOOKUP(A495, 'Master Dashboard'!A:L, 10, FALSE)="FAIL", ISNUMBER(SEARCH("Critical", J495))), "3-Red", IF(SUMIF('Code Violations'!A:A, A495, 'Code Violations'!T:T)&gt;=1, "2-Yellow", "1-White")))</f>
        <v/>
      </c>
      <c r="L495" t="str">
        <f t="shared" si="10"/>
        <v/>
      </c>
    </row>
    <row r="496" spans="11:12" x14ac:dyDescent="0.25">
      <c r="K496" t="str">
        <f>IF(A496="","", IF(OR(SUMIF('Code Violations'!A:A, A496, 'Code Violations'!T:T)&gt;=5, VLOOKUP(A496, 'Master Dashboard'!A:L, 9, FALSE)="FAIL", VLOOKUP(A496, 'Master Dashboard'!A:L, 10, FALSE)="FAIL", ISNUMBER(SEARCH("Critical", J496))), "3-Red", IF(SUMIF('Code Violations'!A:A, A496, 'Code Violations'!T:T)&gt;=1, "2-Yellow", "1-White")))</f>
        <v/>
      </c>
      <c r="L496" t="str">
        <f t="shared" si="10"/>
        <v/>
      </c>
    </row>
    <row r="497" spans="11:12" x14ac:dyDescent="0.25">
      <c r="K497" t="str">
        <f>IF(A497="","", IF(OR(SUMIF('Code Violations'!A:A, A497, 'Code Violations'!T:T)&gt;=5, VLOOKUP(A497, 'Master Dashboard'!A:L, 9, FALSE)="FAIL", VLOOKUP(A497, 'Master Dashboard'!A:L, 10, FALSE)="FAIL", ISNUMBER(SEARCH("Critical", J497))), "3-Red", IF(SUMIF('Code Violations'!A:A, A497, 'Code Violations'!T:T)&gt;=1, "2-Yellow", "1-White")))</f>
        <v/>
      </c>
      <c r="L497" t="str">
        <f t="shared" si="10"/>
        <v/>
      </c>
    </row>
    <row r="498" spans="11:12" x14ac:dyDescent="0.25">
      <c r="K498" t="str">
        <f>IF(A498="","", IF(OR(SUMIF('Code Violations'!A:A, A498, 'Code Violations'!T:T)&gt;=5, VLOOKUP(A498, 'Master Dashboard'!A:L, 9, FALSE)="FAIL", VLOOKUP(A498, 'Master Dashboard'!A:L, 10, FALSE)="FAIL", ISNUMBER(SEARCH("Critical", J498))), "3-Red", IF(SUMIF('Code Violations'!A:A, A498, 'Code Violations'!T:T)&gt;=1, "2-Yellow", "1-White")))</f>
        <v/>
      </c>
      <c r="L498" t="str">
        <f t="shared" si="10"/>
        <v/>
      </c>
    </row>
    <row r="499" spans="11:12" x14ac:dyDescent="0.25">
      <c r="K499" t="str">
        <f>IF(A499="","", IF(OR(SUMIF('Code Violations'!A:A, A499, 'Code Violations'!T:T)&gt;=5, VLOOKUP(A499, 'Master Dashboard'!A:L, 9, FALSE)="FAIL", VLOOKUP(A499, 'Master Dashboard'!A:L, 10, FALSE)="FAIL", ISNUMBER(SEARCH("Critical", J499))), "3-Red", IF(SUMIF('Code Violations'!A:A, A499, 'Code Violations'!T:T)&gt;=1, "2-Yellow", "1-White")))</f>
        <v/>
      </c>
      <c r="L499" t="str">
        <f t="shared" si="10"/>
        <v/>
      </c>
    </row>
  </sheetData>
  <conditionalFormatting sqref="K2:K500">
    <cfRule type="expression" dxfId="3" priority="1" stopIfTrue="1">
      <formula>ISNUMBER(SEARCH("3-Red", K2))</formula>
    </cfRule>
    <cfRule type="expression" dxfId="2" priority="2" stopIfTrue="1">
      <formula>ISNUMBER(SEARCH("2-Yellow", K2))</formula>
    </cfRule>
  </conditionalFormatting>
  <dataValidations count="3">
    <dataValidation type="list" allowBlank="1" sqref="I2:I500" xr:uid="{00000000-0002-0000-0000-000000000000}">
      <formula1>List_Crit</formula1>
    </dataValidation>
    <dataValidation type="list" allowBlank="1" sqref="J2:J500" xr:uid="{00000000-0002-0000-0000-000001000000}">
      <formula1>List_Maint</formula1>
    </dataValidation>
    <dataValidation type="list" allowBlank="1" sqref="D2:D90 D92:D145 D147 D149 D151:D156 D158:D500" xr:uid="{00000000-0002-0000-0000-000002000000}">
      <formula1>List_Equip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99"/>
  <sheetViews>
    <sheetView workbookViewId="0">
      <pane ySplit="1" topLeftCell="A133" activePane="bottomLeft" state="frozen"/>
      <selection pane="bottomLeft" activeCell="L1" sqref="L1:L1048576"/>
    </sheetView>
  </sheetViews>
  <sheetFormatPr defaultRowHeight="15" x14ac:dyDescent="0.25"/>
  <cols>
    <col min="1" max="1" width="20" customWidth="1"/>
    <col min="2" max="2" width="28.7109375" customWidth="1"/>
    <col min="3" max="3" width="29.5703125" customWidth="1"/>
    <col min="4" max="4" width="47.85546875" customWidth="1"/>
    <col min="5" max="12" width="20" customWidth="1"/>
  </cols>
  <sheetData>
    <row r="1" spans="1:12" x14ac:dyDescent="0.25">
      <c r="A1" s="1" t="s">
        <v>57</v>
      </c>
      <c r="B1" s="1" t="s">
        <v>58</v>
      </c>
      <c r="C1" s="1" t="s">
        <v>59</v>
      </c>
      <c r="D1" s="1" t="s">
        <v>60</v>
      </c>
      <c r="E1" s="1" t="s">
        <v>415</v>
      </c>
      <c r="F1" s="1" t="s">
        <v>416</v>
      </c>
      <c r="G1" s="1" t="s">
        <v>417</v>
      </c>
      <c r="H1" s="1" t="s">
        <v>418</v>
      </c>
      <c r="I1" s="1" t="s">
        <v>419</v>
      </c>
      <c r="J1" s="1" t="s">
        <v>420</v>
      </c>
      <c r="K1" s="1" t="s">
        <v>421</v>
      </c>
      <c r="L1" s="1" t="s">
        <v>422</v>
      </c>
    </row>
    <row r="2" spans="1:12" x14ac:dyDescent="0.25">
      <c r="A2" t="s">
        <v>69</v>
      </c>
      <c r="B2" t="str">
        <f>IF('Equipment Information'!B2="","", 'Equipment Information'!B2)</f>
        <v>Main Building Disconnect (Sec 1 of 3)</v>
      </c>
      <c r="C2" t="str">
        <f>IF('Equipment Information'!C2="","", 'Equipment Information'!C2)</f>
        <v>Electrical Room #2</v>
      </c>
      <c r="D2" t="str">
        <f>IF('Equipment Information'!D2="","", 'Equipment Information'!D2)</f>
        <v>Distribution Switchboard Multi Cover (Per Section)</v>
      </c>
      <c r="E2" t="str">
        <f>IF(A2="","", IFERROR(VLOOKUP(A2, 'Energized Data'!A:T, 20, FALSE), "N/A"))</f>
        <v>PASS</v>
      </c>
      <c r="F2" t="str">
        <f>IF(A2="","", IFERROR(VLOOKUP(A2, Insulation!A:J, 9, FALSE), "N/A"))</f>
        <v>N/A</v>
      </c>
      <c r="G2" t="str">
        <f>IF(A2="","", IFERROR(VLOOKUP(A2, DLRO!A:I, 8, FALSE), "N/A"))</f>
        <v>N/A</v>
      </c>
      <c r="H2" t="str">
        <f>IF(A2="","", IFERROR(VLOOKUP(A2, Torque!A:I, 8, FALSE), "N/A"))</f>
        <v>N/A</v>
      </c>
      <c r="I2" t="str">
        <f>IF(A2="","", IFERROR(VLOOKUP(A2, Infrared!A:G, 6, FALSE), "N/A"))</f>
        <v>PASS</v>
      </c>
      <c r="J2" t="str">
        <f>IF(A2="","", IFERROR(VLOOKUP(A2, Ultrasonic!A:H, 7, FALSE), "N/A"))</f>
        <v>PASS</v>
      </c>
      <c r="K2" t="str">
        <f>IF(A2="","", IFERROR(VLOOKUP(A2, 'Code Violations'!A:V, 22, FALSE), "N/A"))</f>
        <v>FAIL</v>
      </c>
      <c r="L2" t="str">
        <f t="shared" ref="L2:L65" si="0">IF(A2="","", IF(COUNTIF(E2:K2, "FAIL")&gt;0, "FAIL", "PASS"))</f>
        <v>FAIL</v>
      </c>
    </row>
    <row r="3" spans="1:12" x14ac:dyDescent="0.25">
      <c r="A3" t="s">
        <v>76</v>
      </c>
      <c r="B3" t="str">
        <f>IF('Equipment Information'!B3="","", 'Equipment Information'!B3)</f>
        <v>Main Building Disconnect (Sec 2 of 3)</v>
      </c>
      <c r="C3" t="str">
        <f>IF('Equipment Information'!C3="","", 'Equipment Information'!C3)</f>
        <v>Electrical Room #2</v>
      </c>
      <c r="D3" t="str">
        <f>IF('Equipment Information'!D3="","", 'Equipment Information'!D3)</f>
        <v>Distribution Switchboard Multi Cover (Per Section)</v>
      </c>
      <c r="E3" t="str">
        <f>IF(A3="","", IFERROR(VLOOKUP(A3, 'Energized Data'!A:T, 20, FALSE), "N/A"))</f>
        <v>PASS</v>
      </c>
      <c r="F3" t="str">
        <f>IF(A3="","", IFERROR(VLOOKUP(A3, Insulation!A:J, 9, FALSE), "N/A"))</f>
        <v>N/A</v>
      </c>
      <c r="G3" t="str">
        <f>IF(A3="","", IFERROR(VLOOKUP(A3, DLRO!A:I, 8, FALSE), "N/A"))</f>
        <v>N/A</v>
      </c>
      <c r="H3" t="str">
        <f>IF(A3="","", IFERROR(VLOOKUP(A3, Torque!A:I, 8, FALSE), "N/A"))</f>
        <v>N/A</v>
      </c>
      <c r="I3" t="str">
        <f>IF(A3="","", IFERROR(VLOOKUP(A3, Infrared!A:G, 6, FALSE), "N/A"))</f>
        <v>FAIL</v>
      </c>
      <c r="J3" t="str">
        <f>IF(A3="","", IFERROR(VLOOKUP(A3, Ultrasonic!A:H, 7, FALSE), "N/A"))</f>
        <v>PASS</v>
      </c>
      <c r="K3" t="str">
        <f>IF(A3="","", IFERROR(VLOOKUP(A3, 'Code Violations'!A:V, 22, FALSE), "N/A"))</f>
        <v>PASS</v>
      </c>
      <c r="L3" t="str">
        <f t="shared" si="0"/>
        <v>FAIL</v>
      </c>
    </row>
    <row r="4" spans="1:12" x14ac:dyDescent="0.25">
      <c r="A4" t="s">
        <v>78</v>
      </c>
      <c r="B4" t="str">
        <f>IF('Equipment Information'!B4="","", 'Equipment Information'!B4)</f>
        <v>Main Building Disconnect (Sec 3 of 3)</v>
      </c>
      <c r="C4" t="str">
        <f>IF('Equipment Information'!C4="","", 'Equipment Information'!C4)</f>
        <v>Electrical Room #2</v>
      </c>
      <c r="D4" t="str">
        <f>IF('Equipment Information'!D4="","", 'Equipment Information'!D4)</f>
        <v>Distribution Switchboard Multi Cover (Per Section)</v>
      </c>
      <c r="E4" t="str">
        <f>IF(A4="","", IFERROR(VLOOKUP(A4, 'Energized Data'!A:T, 20, FALSE), "N/A"))</f>
        <v>PASS</v>
      </c>
      <c r="F4" t="str">
        <f>IF(A4="","", IFERROR(VLOOKUP(A4, Insulation!A:J, 9, FALSE), "N/A"))</f>
        <v>N/A</v>
      </c>
      <c r="G4" t="str">
        <f>IF(A4="","", IFERROR(VLOOKUP(A4, DLRO!A:I, 8, FALSE), "N/A"))</f>
        <v>N/A</v>
      </c>
      <c r="H4" t="str">
        <f>IF(A4="","", IFERROR(VLOOKUP(A4, Torque!A:I, 8, FALSE), "N/A"))</f>
        <v>N/A</v>
      </c>
      <c r="I4" t="str">
        <f>IF(A4="","", IFERROR(VLOOKUP(A4, Infrared!A:G, 6, FALSE), "N/A"))</f>
        <v>PASS</v>
      </c>
      <c r="J4" t="str">
        <f>IF(A4="","", IFERROR(VLOOKUP(A4, Ultrasonic!A:H, 7, FALSE), "N/A"))</f>
        <v>PASS</v>
      </c>
      <c r="K4" t="str">
        <f>IF(A4="","", IFERROR(VLOOKUP(A4, 'Code Violations'!A:V, 22, FALSE), "N/A"))</f>
        <v>FAIL</v>
      </c>
      <c r="L4" t="str">
        <f t="shared" si="0"/>
        <v>FAIL</v>
      </c>
    </row>
    <row r="5" spans="1:12" x14ac:dyDescent="0.25">
      <c r="A5" t="s">
        <v>80</v>
      </c>
      <c r="B5" t="str">
        <f>IF('Equipment Information'!B5="","", 'Equipment Information'!B5)</f>
        <v>Power Cond. #1 Disconnect</v>
      </c>
      <c r="C5" t="str">
        <f>IF('Equipment Information'!C5="","", 'Equipment Information'!C5)</f>
        <v>Electrical Room #2</v>
      </c>
      <c r="D5" t="str">
        <f>IF('Equipment Information'!D5="","", 'Equipment Information'!D5)</f>
        <v>Individual Disconnect Switch</v>
      </c>
      <c r="E5" t="str">
        <f>IF(A5="","", IFERROR(VLOOKUP(A5, 'Energized Data'!A:T, 20, FALSE), "N/A"))</f>
        <v>N/A</v>
      </c>
      <c r="F5" t="str">
        <f>IF(A5="","", IFERROR(VLOOKUP(A5, Insulation!A:J, 9, FALSE), "N/A"))</f>
        <v>N/A</v>
      </c>
      <c r="G5" t="str">
        <f>IF(A5="","", IFERROR(VLOOKUP(A5, DLRO!A:I, 8, FALSE), "N/A"))</f>
        <v>N/A</v>
      </c>
      <c r="H5" t="str">
        <f>IF(A5="","", IFERROR(VLOOKUP(A5, Torque!A:I, 8, FALSE), "N/A"))</f>
        <v>N/A</v>
      </c>
      <c r="I5" t="str">
        <f>IF(A5="","", IFERROR(VLOOKUP(A5, Infrared!A:G, 6, FALSE), "N/A"))</f>
        <v>PASS</v>
      </c>
      <c r="J5" t="str">
        <f>IF(A5="","", IFERROR(VLOOKUP(A5, Ultrasonic!A:H, 7, FALSE), "N/A"))</f>
        <v>PASS</v>
      </c>
      <c r="K5" t="str">
        <f>IF(A5="","", IFERROR(VLOOKUP(A5, 'Code Violations'!A:V, 22, FALSE), "N/A"))</f>
        <v>PASS</v>
      </c>
      <c r="L5" t="str">
        <f t="shared" si="0"/>
        <v>PASS</v>
      </c>
    </row>
    <row r="6" spans="1:12" x14ac:dyDescent="0.25">
      <c r="A6" t="s">
        <v>84</v>
      </c>
      <c r="B6" t="str">
        <f>IF('Equipment Information'!B6="","", 'Equipment Information'!B6)</f>
        <v>Power Cond. #2 Disconnect</v>
      </c>
      <c r="C6" t="str">
        <f>IF('Equipment Information'!C6="","", 'Equipment Information'!C6)</f>
        <v>Electrical Room #2</v>
      </c>
      <c r="D6" t="str">
        <f>IF('Equipment Information'!D6="","", 'Equipment Information'!D6)</f>
        <v>Individual Disconnect Switch</v>
      </c>
      <c r="E6" t="str">
        <f>IF(A6="","", IFERROR(VLOOKUP(A6, 'Energized Data'!A:T, 20, FALSE), "N/A"))</f>
        <v>N/A</v>
      </c>
      <c r="F6" t="str">
        <f>IF(A6="","", IFERROR(VLOOKUP(A6, Insulation!A:J, 9, FALSE), "N/A"))</f>
        <v>N/A</v>
      </c>
      <c r="G6" t="str">
        <f>IF(A6="","", IFERROR(VLOOKUP(A6, DLRO!A:I, 8, FALSE), "N/A"))</f>
        <v>N/A</v>
      </c>
      <c r="H6" t="str">
        <f>IF(A6="","", IFERROR(VLOOKUP(A6, Torque!A:I, 8, FALSE), "N/A"))</f>
        <v>N/A</v>
      </c>
      <c r="I6" t="str">
        <f>IF(A6="","", IFERROR(VLOOKUP(A6, Infrared!A:G, 6, FALSE), "N/A"))</f>
        <v>PASS</v>
      </c>
      <c r="J6" t="str">
        <f>IF(A6="","", IFERROR(VLOOKUP(A6, Ultrasonic!A:H, 7, FALSE), "N/A"))</f>
        <v>PASS</v>
      </c>
      <c r="K6" t="str">
        <f>IF(A6="","", IFERROR(VLOOKUP(A6, 'Code Violations'!A:V, 22, FALSE), "N/A"))</f>
        <v>PASS</v>
      </c>
      <c r="L6" t="str">
        <f t="shared" si="0"/>
        <v>PASS</v>
      </c>
    </row>
    <row r="7" spans="1:12" x14ac:dyDescent="0.25">
      <c r="A7" t="s">
        <v>86</v>
      </c>
      <c r="B7" t="str">
        <f>IF('Equipment Information'!B7="","", 'Equipment Information'!B7)</f>
        <v>LP #1</v>
      </c>
      <c r="C7" t="str">
        <f>IF('Equipment Information'!C7="","", 'Equipment Information'!C7)</f>
        <v>Electrical Room #2</v>
      </c>
      <c r="D7" t="str">
        <f>IF('Equipment Information'!D7="","", 'Equipment Information'!D7)</f>
        <v>Branch Circuit Panel &lt;=400A</v>
      </c>
      <c r="E7" t="str">
        <f>IF(A7="","", IFERROR(VLOOKUP(A7, 'Energized Data'!A:T, 20, FALSE), "N/A"))</f>
        <v>N/A</v>
      </c>
      <c r="F7" t="str">
        <f>IF(A7="","", IFERROR(VLOOKUP(A7, Insulation!A:J, 9, FALSE), "N/A"))</f>
        <v>N/A</v>
      </c>
      <c r="G7" t="str">
        <f>IF(A7="","", IFERROR(VLOOKUP(A7, DLRO!A:I, 8, FALSE), "N/A"))</f>
        <v>N/A</v>
      </c>
      <c r="H7" t="str">
        <f>IF(A7="","", IFERROR(VLOOKUP(A7, Torque!A:I, 8, FALSE), "N/A"))</f>
        <v>N/A</v>
      </c>
      <c r="I7" t="str">
        <f>IF(A7="","", IFERROR(VLOOKUP(A7, Infrared!A:G, 6, FALSE), "N/A"))</f>
        <v>N/A</v>
      </c>
      <c r="J7" t="str">
        <f>IF(A7="","", IFERROR(VLOOKUP(A7, Ultrasonic!A:H, 7, FALSE), "N/A"))</f>
        <v>PASS</v>
      </c>
      <c r="K7" t="str">
        <f>IF(A7="","", IFERROR(VLOOKUP(A7, 'Code Violations'!A:V, 22, FALSE), "N/A"))</f>
        <v>FAIL</v>
      </c>
      <c r="L7" t="str">
        <f t="shared" si="0"/>
        <v>FAIL</v>
      </c>
    </row>
    <row r="8" spans="1:12" x14ac:dyDescent="0.25">
      <c r="A8" t="s">
        <v>89</v>
      </c>
      <c r="B8" t="str">
        <f>IF('Equipment Information'!B8="","", 'Equipment Information'!B8)</f>
        <v>P-1</v>
      </c>
      <c r="C8" t="str">
        <f>IF('Equipment Information'!C8="","", 'Equipment Information'!C8)</f>
        <v>Electrical Room #2</v>
      </c>
      <c r="D8" t="str">
        <f>IF('Equipment Information'!D8="","", 'Equipment Information'!D8)</f>
        <v>Branch Circuit Panel &lt;=400A</v>
      </c>
      <c r="E8" t="str">
        <f>IF(A8="","", IFERROR(VLOOKUP(A8, 'Energized Data'!A:T, 20, FALSE), "N/A"))</f>
        <v>N/A</v>
      </c>
      <c r="F8" t="str">
        <f>IF(A8="","", IFERROR(VLOOKUP(A8, Insulation!A:J, 9, FALSE), "N/A"))</f>
        <v>N/A</v>
      </c>
      <c r="G8" t="str">
        <f>IF(A8="","", IFERROR(VLOOKUP(A8, DLRO!A:I, 8, FALSE), "N/A"))</f>
        <v>N/A</v>
      </c>
      <c r="H8" t="str">
        <f>IF(A8="","", IFERROR(VLOOKUP(A8, Torque!A:I, 8, FALSE), "N/A"))</f>
        <v>N/A</v>
      </c>
      <c r="I8" t="str">
        <f>IF(A8="","", IFERROR(VLOOKUP(A8, Infrared!A:G, 6, FALSE), "N/A"))</f>
        <v>PASS</v>
      </c>
      <c r="J8" t="str">
        <f>IF(A8="","", IFERROR(VLOOKUP(A8, Ultrasonic!A:H, 7, FALSE), "N/A"))</f>
        <v>PASS</v>
      </c>
      <c r="K8" t="str">
        <f>IF(A8="","", IFERROR(VLOOKUP(A8, 'Code Violations'!A:V, 22, FALSE), "N/A"))</f>
        <v>FAIL</v>
      </c>
      <c r="L8" t="str">
        <f t="shared" si="0"/>
        <v>FAIL</v>
      </c>
    </row>
    <row r="9" spans="1:12" x14ac:dyDescent="0.25">
      <c r="A9" t="s">
        <v>91</v>
      </c>
      <c r="B9" t="str">
        <f>IF('Equipment Information'!B9="","", 'Equipment Information'!B9)</f>
        <v>P-2</v>
      </c>
      <c r="C9" t="str">
        <f>IF('Equipment Information'!C9="","", 'Equipment Information'!C9)</f>
        <v>Electrical Room #2</v>
      </c>
      <c r="D9" t="str">
        <f>IF('Equipment Information'!D9="","", 'Equipment Information'!D9)</f>
        <v>Branch Circuit Panel &lt;=400A</v>
      </c>
      <c r="E9" t="str">
        <f>IF(A9="","", IFERROR(VLOOKUP(A9, 'Energized Data'!A:T, 20, FALSE), "N/A"))</f>
        <v>N/A</v>
      </c>
      <c r="F9" t="str">
        <f>IF(A9="","", IFERROR(VLOOKUP(A9, Insulation!A:J, 9, FALSE), "N/A"))</f>
        <v>N/A</v>
      </c>
      <c r="G9" t="str">
        <f>IF(A9="","", IFERROR(VLOOKUP(A9, DLRO!A:I, 8, FALSE), "N/A"))</f>
        <v>N/A</v>
      </c>
      <c r="H9" t="str">
        <f>IF(A9="","", IFERROR(VLOOKUP(A9, Torque!A:I, 8, FALSE), "N/A"))</f>
        <v>N/A</v>
      </c>
      <c r="I9" t="str">
        <f>IF(A9="","", IFERROR(VLOOKUP(A9, Infrared!A:G, 6, FALSE), "N/A"))</f>
        <v>PASS</v>
      </c>
      <c r="J9" t="str">
        <f>IF(A9="","", IFERROR(VLOOKUP(A9, Ultrasonic!A:H, 7, FALSE), "N/A"))</f>
        <v>PASS</v>
      </c>
      <c r="K9" t="str">
        <f>IF(A9="","", IFERROR(VLOOKUP(A9, 'Code Violations'!A:V, 22, FALSE), "N/A"))</f>
        <v>FAIL</v>
      </c>
      <c r="L9" t="str">
        <f t="shared" si="0"/>
        <v>FAIL</v>
      </c>
    </row>
    <row r="10" spans="1:12" x14ac:dyDescent="0.25">
      <c r="A10" t="s">
        <v>93</v>
      </c>
      <c r="B10" t="str">
        <f>IF('Equipment Information'!B10="","", 'Equipment Information'!B10)</f>
        <v>DP #4</v>
      </c>
      <c r="C10" t="str">
        <f>IF('Equipment Information'!C10="","", 'Equipment Information'!C10)</f>
        <v>Electrical Room #2</v>
      </c>
      <c r="D10" t="str">
        <f>IF('Equipment Information'!D10="","", 'Equipment Information'!D10)</f>
        <v>Branch Circuit Panel &lt;=400A</v>
      </c>
      <c r="E10" t="str">
        <f>IF(A10="","", IFERROR(VLOOKUP(A10, 'Energized Data'!A:T, 20, FALSE), "N/A"))</f>
        <v>N/A</v>
      </c>
      <c r="F10" t="str">
        <f>IF(A10="","", IFERROR(VLOOKUP(A10, Insulation!A:J, 9, FALSE), "N/A"))</f>
        <v>N/A</v>
      </c>
      <c r="G10" t="str">
        <f>IF(A10="","", IFERROR(VLOOKUP(A10, DLRO!A:I, 8, FALSE), "N/A"))</f>
        <v>N/A</v>
      </c>
      <c r="H10" t="str">
        <f>IF(A10="","", IFERROR(VLOOKUP(A10, Torque!A:I, 8, FALSE), "N/A"))</f>
        <v>N/A</v>
      </c>
      <c r="I10" t="str">
        <f>IF(A10="","", IFERROR(VLOOKUP(A10, Infrared!A:G, 6, FALSE), "N/A"))</f>
        <v>PASS</v>
      </c>
      <c r="J10" t="str">
        <f>IF(A10="","", IFERROR(VLOOKUP(A10, Ultrasonic!A:H, 7, FALSE), "N/A"))</f>
        <v>PASS</v>
      </c>
      <c r="K10" t="str">
        <f>IF(A10="","", IFERROR(VLOOKUP(A10, 'Code Violations'!A:V, 22, FALSE), "N/A"))</f>
        <v>FAIL</v>
      </c>
      <c r="L10" t="str">
        <f t="shared" si="0"/>
        <v>FAIL</v>
      </c>
    </row>
    <row r="11" spans="1:12" x14ac:dyDescent="0.25">
      <c r="A11" t="s">
        <v>95</v>
      </c>
      <c r="B11" t="str">
        <f>IF('Equipment Information'!B11="","", 'Equipment Information'!B11)</f>
        <v>DP #5</v>
      </c>
      <c r="C11" t="str">
        <f>IF('Equipment Information'!C11="","", 'Equipment Information'!C11)</f>
        <v>Electrical Room #2</v>
      </c>
      <c r="D11" t="str">
        <f>IF('Equipment Information'!D11="","", 'Equipment Information'!D11)</f>
        <v>Branch Circuit Panel &lt;=400A</v>
      </c>
      <c r="E11" t="str">
        <f>IF(A11="","", IFERROR(VLOOKUP(A11, 'Energized Data'!A:T, 20, FALSE), "N/A"))</f>
        <v>N/A</v>
      </c>
      <c r="F11" t="str">
        <f>IF(A11="","", IFERROR(VLOOKUP(A11, Insulation!A:J, 9, FALSE), "N/A"))</f>
        <v>N/A</v>
      </c>
      <c r="G11" t="str">
        <f>IF(A11="","", IFERROR(VLOOKUP(A11, DLRO!A:I, 8, FALSE), "N/A"))</f>
        <v>N/A</v>
      </c>
      <c r="H11" t="str">
        <f>IF(A11="","", IFERROR(VLOOKUP(A11, Torque!A:I, 8, FALSE), "N/A"))</f>
        <v>N/A</v>
      </c>
      <c r="I11" t="str">
        <f>IF(A11="","", IFERROR(VLOOKUP(A11, Infrared!A:G, 6, FALSE), "N/A"))</f>
        <v>PASS</v>
      </c>
      <c r="J11" t="str">
        <f>IF(A11="","", IFERROR(VLOOKUP(A11, Ultrasonic!A:H, 7, FALSE), "N/A"))</f>
        <v>PASS</v>
      </c>
      <c r="K11" t="str">
        <f>IF(A11="","", IFERROR(VLOOKUP(A11, 'Code Violations'!A:V, 22, FALSE), "N/A"))</f>
        <v>PASS</v>
      </c>
      <c r="L11" t="str">
        <f t="shared" si="0"/>
        <v>PASS</v>
      </c>
    </row>
    <row r="12" spans="1:12" x14ac:dyDescent="0.25">
      <c r="A12" t="s">
        <v>97</v>
      </c>
      <c r="B12" t="str">
        <f>IF('Equipment Information'!B12="","", 'Equipment Information'!B12)</f>
        <v>DP #6</v>
      </c>
      <c r="C12" t="str">
        <f>IF('Equipment Information'!C12="","", 'Equipment Information'!C12)</f>
        <v>Electrical Room #2</v>
      </c>
      <c r="D12" t="str">
        <f>IF('Equipment Information'!D12="","", 'Equipment Information'!D12)</f>
        <v>Branch Circuit Panel &lt;=400A</v>
      </c>
      <c r="E12" t="str">
        <f>IF(A12="","", IFERROR(VLOOKUP(A12, 'Energized Data'!A:T, 20, FALSE), "N/A"))</f>
        <v>N/A</v>
      </c>
      <c r="F12" t="str">
        <f>IF(A12="","", IFERROR(VLOOKUP(A12, Insulation!A:J, 9, FALSE), "N/A"))</f>
        <v>N/A</v>
      </c>
      <c r="G12" t="str">
        <f>IF(A12="","", IFERROR(VLOOKUP(A12, DLRO!A:I, 8, FALSE), "N/A"))</f>
        <v>N/A</v>
      </c>
      <c r="H12" t="str">
        <f>IF(A12="","", IFERROR(VLOOKUP(A12, Torque!A:I, 8, FALSE), "N/A"))</f>
        <v>N/A</v>
      </c>
      <c r="I12" t="str">
        <f>IF(A12="","", IFERROR(VLOOKUP(A12, Infrared!A:G, 6, FALSE), "N/A"))</f>
        <v>PASS</v>
      </c>
      <c r="J12" t="str">
        <f>IF(A12="","", IFERROR(VLOOKUP(A12, Ultrasonic!A:H, 7, FALSE), "N/A"))</f>
        <v>PASS</v>
      </c>
      <c r="K12" t="str">
        <f>IF(A12="","", IFERROR(VLOOKUP(A12, 'Code Violations'!A:V, 22, FALSE), "N/A"))</f>
        <v>PASS</v>
      </c>
      <c r="L12" t="str">
        <f t="shared" si="0"/>
        <v>PASS</v>
      </c>
    </row>
    <row r="13" spans="1:12" x14ac:dyDescent="0.25">
      <c r="A13" t="s">
        <v>99</v>
      </c>
      <c r="B13" t="str">
        <f>IF('Equipment Information'!B13="","", 'Equipment Information'!B13)</f>
        <v>PDP</v>
      </c>
      <c r="C13" t="str">
        <f>IF('Equipment Information'!C13="","", 'Equipment Information'!C13)</f>
        <v>Electrical Room #2</v>
      </c>
      <c r="D13" t="str">
        <f>IF('Equipment Information'!D13="","", 'Equipment Information'!D13)</f>
        <v>Distribution Panel Single Front &gt;=600A</v>
      </c>
      <c r="E13" t="str">
        <f>IF(A13="","", IFERROR(VLOOKUP(A13, 'Energized Data'!A:T, 20, FALSE), "N/A"))</f>
        <v>N/A</v>
      </c>
      <c r="F13" t="str">
        <f>IF(A13="","", IFERROR(VLOOKUP(A13, Insulation!A:J, 9, FALSE), "N/A"))</f>
        <v>N/A</v>
      </c>
      <c r="G13" t="str">
        <f>IF(A13="","", IFERROR(VLOOKUP(A13, DLRO!A:I, 8, FALSE), "N/A"))</f>
        <v>N/A</v>
      </c>
      <c r="H13" t="str">
        <f>IF(A13="","", IFERROR(VLOOKUP(A13, Torque!A:I, 8, FALSE), "N/A"))</f>
        <v>N/A</v>
      </c>
      <c r="I13" t="str">
        <f>IF(A13="","", IFERROR(VLOOKUP(A13, Infrared!A:G, 6, FALSE), "N/A"))</f>
        <v>PASS</v>
      </c>
      <c r="J13" t="str">
        <f>IF(A13="","", IFERROR(VLOOKUP(A13, Ultrasonic!A:H, 7, FALSE), "N/A"))</f>
        <v>PASS</v>
      </c>
      <c r="K13" t="str">
        <f>IF(A13="","", IFERROR(VLOOKUP(A13, 'Code Violations'!A:V, 22, FALSE), "N/A"))</f>
        <v>FAIL</v>
      </c>
      <c r="L13" t="str">
        <f t="shared" si="0"/>
        <v>FAIL</v>
      </c>
    </row>
    <row r="14" spans="1:12" x14ac:dyDescent="0.25">
      <c r="A14" t="s">
        <v>102</v>
      </c>
      <c r="B14" t="str">
        <f>IF('Equipment Information'!B14="","", 'Equipment Information'!B14)</f>
        <v>T-2</v>
      </c>
      <c r="C14" t="str">
        <f>IF('Equipment Information'!C14="","", 'Equipment Information'!C14)</f>
        <v>Electrical Room #2</v>
      </c>
      <c r="D14" t="str">
        <f>IF('Equipment Information'!D14="","", 'Equipment Information'!D14)</f>
        <v>480V/208V/120V Transformer - Dry &lt;250 kva</v>
      </c>
      <c r="E14" t="str">
        <f>IF(A14="","", IFERROR(VLOOKUP(A14, 'Energized Data'!A:T, 20, FALSE), "N/A"))</f>
        <v>N/A</v>
      </c>
      <c r="F14" t="str">
        <f>IF(A14="","", IFERROR(VLOOKUP(A14, Insulation!A:J, 9, FALSE), "N/A"))</f>
        <v>N/A</v>
      </c>
      <c r="G14" t="str">
        <f>IF(A14="","", IFERROR(VLOOKUP(A14, DLRO!A:I, 8, FALSE), "N/A"))</f>
        <v>N/A</v>
      </c>
      <c r="H14" t="str">
        <f>IF(A14="","", IFERROR(VLOOKUP(A14, Torque!A:I, 8, FALSE), "N/A"))</f>
        <v>N/A</v>
      </c>
      <c r="I14" t="str">
        <f>IF(A14="","", IFERROR(VLOOKUP(A14, Infrared!A:G, 6, FALSE), "N/A"))</f>
        <v>FAIL</v>
      </c>
      <c r="J14" t="str">
        <f>IF(A14="","", IFERROR(VLOOKUP(A14, Ultrasonic!A:H, 7, FALSE), "N/A"))</f>
        <v>PASS</v>
      </c>
      <c r="K14" t="str">
        <f>IF(A14="","", IFERROR(VLOOKUP(A14, 'Code Violations'!A:V, 22, FALSE), "N/A"))</f>
        <v>FAIL</v>
      </c>
      <c r="L14" t="str">
        <f t="shared" si="0"/>
        <v>FAIL</v>
      </c>
    </row>
    <row r="15" spans="1:12" x14ac:dyDescent="0.25">
      <c r="A15" t="s">
        <v>105</v>
      </c>
      <c r="B15" t="str">
        <f>IF('Equipment Information'!B15="","", 'Equipment Information'!B15)</f>
        <v>OH XFMR</v>
      </c>
      <c r="C15" t="str">
        <f>IF('Equipment Information'!C15="","", 'Equipment Information'!C15)</f>
        <v>Electrical Room #2</v>
      </c>
      <c r="D15" t="str">
        <f>IF('Equipment Information'!D15="","", 'Equipment Information'!D15)</f>
        <v>480V/208V/120V Transformer - Dry &lt;250 kva</v>
      </c>
      <c r="E15" t="str">
        <f>IF(A15="","", IFERROR(VLOOKUP(A15, 'Energized Data'!A:T, 20, FALSE), "N/A"))</f>
        <v>N/A</v>
      </c>
      <c r="F15" t="str">
        <f>IF(A15="","", IFERROR(VLOOKUP(A15, Insulation!A:J, 9, FALSE), "N/A"))</f>
        <v>N/A</v>
      </c>
      <c r="G15" t="str">
        <f>IF(A15="","", IFERROR(VLOOKUP(A15, DLRO!A:I, 8, FALSE), "N/A"))</f>
        <v>N/A</v>
      </c>
      <c r="H15" t="str">
        <f>IF(A15="","", IFERROR(VLOOKUP(A15, Torque!A:I, 8, FALSE), "N/A"))</f>
        <v>N/A</v>
      </c>
      <c r="I15" t="str">
        <f>IF(A15="","", IFERROR(VLOOKUP(A15, Infrared!A:G, 6, FALSE), "N/A"))</f>
        <v>N/A</v>
      </c>
      <c r="J15" t="str">
        <f>IF(A15="","", IFERROR(VLOOKUP(A15, Ultrasonic!A:H, 7, FALSE), "N/A"))</f>
        <v>PASS</v>
      </c>
      <c r="K15" t="str">
        <f>IF(A15="","", IFERROR(VLOOKUP(A15, 'Code Violations'!A:V, 22, FALSE), "N/A"))</f>
        <v>PASS</v>
      </c>
      <c r="L15" t="str">
        <f t="shared" si="0"/>
        <v>PASS</v>
      </c>
    </row>
    <row r="16" spans="1:12" x14ac:dyDescent="0.25">
      <c r="A16" t="s">
        <v>107</v>
      </c>
      <c r="B16" t="str">
        <f>IF('Equipment Information'!B16="","", 'Equipment Information'!B16)</f>
        <v>DP7 Freezer</v>
      </c>
      <c r="C16" t="str">
        <f>IF('Equipment Information'!C16="","", 'Equipment Information'!C16)</f>
        <v>Electrical Room #3</v>
      </c>
      <c r="D16" t="str">
        <f>IF('Equipment Information'!D16="","", 'Equipment Information'!D16)</f>
        <v>Branch Circuit Panel &lt;=400A</v>
      </c>
      <c r="E16" t="str">
        <f>IF(A16="","", IFERROR(VLOOKUP(A16, 'Energized Data'!A:T, 20, FALSE), "N/A"))</f>
        <v>N/A</v>
      </c>
      <c r="F16" t="str">
        <f>IF(A16="","", IFERROR(VLOOKUP(A16, Insulation!A:J, 9, FALSE), "N/A"))</f>
        <v>N/A</v>
      </c>
      <c r="G16" t="str">
        <f>IF(A16="","", IFERROR(VLOOKUP(A16, DLRO!A:I, 8, FALSE), "N/A"))</f>
        <v>N/A</v>
      </c>
      <c r="H16" t="str">
        <f>IF(A16="","", IFERROR(VLOOKUP(A16, Torque!A:I, 8, FALSE), "N/A"))</f>
        <v>N/A</v>
      </c>
      <c r="I16" t="str">
        <f>IF(A16="","", IFERROR(VLOOKUP(A16, Infrared!A:G, 6, FALSE), "N/A"))</f>
        <v>PASS</v>
      </c>
      <c r="J16" t="str">
        <f>IF(A16="","", IFERROR(VLOOKUP(A16, Ultrasonic!A:H, 7, FALSE), "N/A"))</f>
        <v>PASS</v>
      </c>
      <c r="K16" t="str">
        <f>IF(A16="","", IFERROR(VLOOKUP(A16, 'Code Violations'!A:V, 22, FALSE), "N/A"))</f>
        <v>FAIL</v>
      </c>
      <c r="L16" t="str">
        <f t="shared" si="0"/>
        <v>FAIL</v>
      </c>
    </row>
    <row r="17" spans="1:12" x14ac:dyDescent="0.25">
      <c r="A17" t="s">
        <v>111</v>
      </c>
      <c r="B17" t="str">
        <f>IF('Equipment Information'!B17="","", 'Equipment Information'!B17)</f>
        <v>(N/A 75 KVA XFMR)</v>
      </c>
      <c r="C17" t="str">
        <f>IF('Equipment Information'!C17="","", 'Equipment Information'!C17)</f>
        <v>Electrical Room #3</v>
      </c>
      <c r="D17" t="str">
        <f>IF('Equipment Information'!D17="","", 'Equipment Information'!D17)</f>
        <v>480V/208V/120V Transformer - Dry &lt;250 kva</v>
      </c>
      <c r="E17" t="str">
        <f>IF(A17="","", IFERROR(VLOOKUP(A17, 'Energized Data'!A:T, 20, FALSE), "N/A"))</f>
        <v>N/A</v>
      </c>
      <c r="F17" t="str">
        <f>IF(A17="","", IFERROR(VLOOKUP(A17, Insulation!A:J, 9, FALSE), "N/A"))</f>
        <v>N/A</v>
      </c>
      <c r="G17" t="str">
        <f>IF(A17="","", IFERROR(VLOOKUP(A17, DLRO!A:I, 8, FALSE), "N/A"))</f>
        <v>N/A</v>
      </c>
      <c r="H17" t="str">
        <f>IF(A17="","", IFERROR(VLOOKUP(A17, Torque!A:I, 8, FALSE), "N/A"))</f>
        <v>N/A</v>
      </c>
      <c r="I17" t="str">
        <f>IF(A17="","", IFERROR(VLOOKUP(A17, Infrared!A:G, 6, FALSE), "N/A"))</f>
        <v>PASS</v>
      </c>
      <c r="J17" t="str">
        <f>IF(A17="","", IFERROR(VLOOKUP(A17, Ultrasonic!A:H, 7, FALSE), "N/A"))</f>
        <v>PASS</v>
      </c>
      <c r="K17" t="str">
        <f>IF(A17="","", IFERROR(VLOOKUP(A17, 'Code Violations'!A:V, 22, FALSE), "N/A"))</f>
        <v>FAIL</v>
      </c>
      <c r="L17" t="str">
        <f t="shared" si="0"/>
        <v>FAIL</v>
      </c>
    </row>
    <row r="18" spans="1:12" x14ac:dyDescent="0.25">
      <c r="A18" t="s">
        <v>113</v>
      </c>
      <c r="B18" t="str">
        <f>IF('Equipment Information'!B18="","", 'Equipment Information'!B18)</f>
        <v>(N/A PNL)</v>
      </c>
      <c r="C18" t="str">
        <f>IF('Equipment Information'!C18="","", 'Equipment Information'!C18)</f>
        <v>Electrical Room #3</v>
      </c>
      <c r="D18" t="str">
        <f>IF('Equipment Information'!D18="","", 'Equipment Information'!D18)</f>
        <v>Branch Circuit Panel &lt;=400A</v>
      </c>
      <c r="E18" t="str">
        <f>IF(A18="","", IFERROR(VLOOKUP(A18, 'Energized Data'!A:T, 20, FALSE), "N/A"))</f>
        <v>N/A</v>
      </c>
      <c r="F18" t="str">
        <f>IF(A18="","", IFERROR(VLOOKUP(A18, Insulation!A:J, 9, FALSE), "N/A"))</f>
        <v>N/A</v>
      </c>
      <c r="G18" t="str">
        <f>IF(A18="","", IFERROR(VLOOKUP(A18, DLRO!A:I, 8, FALSE), "N/A"))</f>
        <v>N/A</v>
      </c>
      <c r="H18" t="str">
        <f>IF(A18="","", IFERROR(VLOOKUP(A18, Torque!A:I, 8, FALSE), "N/A"))</f>
        <v>N/A</v>
      </c>
      <c r="I18" t="str">
        <f>IF(A18="","", IFERROR(VLOOKUP(A18, Infrared!A:G, 6, FALSE), "N/A"))</f>
        <v>PASS</v>
      </c>
      <c r="J18" t="str">
        <f>IF(A18="","", IFERROR(VLOOKUP(A18, Ultrasonic!A:H, 7, FALSE), "N/A"))</f>
        <v>PASS</v>
      </c>
      <c r="K18" t="str">
        <f>IF(A18="","", IFERROR(VLOOKUP(A18, 'Code Violations'!A:V, 22, FALSE), "N/A"))</f>
        <v>FAIL</v>
      </c>
      <c r="L18" t="str">
        <f t="shared" si="0"/>
        <v>FAIL</v>
      </c>
    </row>
    <row r="19" spans="1:12" x14ac:dyDescent="0.25">
      <c r="A19" t="s">
        <v>115</v>
      </c>
      <c r="B19" t="str">
        <f>IF('Equipment Information'!B19="","", 'Equipment Information'!B19)</f>
        <v>USES</v>
      </c>
      <c r="C19" t="str">
        <f>IF('Equipment Information'!C19="","", 'Equipment Information'!C19)</f>
        <v>Electrical Room #3</v>
      </c>
      <c r="D19" t="str">
        <f>IF('Equipment Information'!D19="","", 'Equipment Information'!D19)</f>
        <v>Individual Disconnect Switch</v>
      </c>
      <c r="E19" t="str">
        <f>IF(A19="","", IFERROR(VLOOKUP(A19, 'Energized Data'!A:T, 20, FALSE), "N/A"))</f>
        <v>N/A</v>
      </c>
      <c r="F19" t="str">
        <f>IF(A19="","", IFERROR(VLOOKUP(A19, Insulation!A:J, 9, FALSE), "N/A"))</f>
        <v>N/A</v>
      </c>
      <c r="G19" t="str">
        <f>IF(A19="","", IFERROR(VLOOKUP(A19, DLRO!A:I, 8, FALSE), "N/A"))</f>
        <v>N/A</v>
      </c>
      <c r="H19" t="str">
        <f>IF(A19="","", IFERROR(VLOOKUP(A19, Torque!A:I, 8, FALSE), "N/A"))</f>
        <v>N/A</v>
      </c>
      <c r="I19" t="str">
        <f>IF(A19="","", IFERROR(VLOOKUP(A19, Infrared!A:G, 6, FALSE), "N/A"))</f>
        <v>PASS</v>
      </c>
      <c r="J19" t="str">
        <f>IF(A19="","", IFERROR(VLOOKUP(A19, Ultrasonic!A:H, 7, FALSE), "N/A"))</f>
        <v>PASS</v>
      </c>
      <c r="K19" t="str">
        <f>IF(A19="","", IFERROR(VLOOKUP(A19, 'Code Violations'!A:V, 22, FALSE), "N/A"))</f>
        <v>FAIL</v>
      </c>
      <c r="L19" t="str">
        <f t="shared" si="0"/>
        <v>FAIL</v>
      </c>
    </row>
    <row r="20" spans="1:12" x14ac:dyDescent="0.25">
      <c r="A20" t="s">
        <v>117</v>
      </c>
      <c r="B20" t="str">
        <f>IF('Equipment Information'!B20="","", 'Equipment Information'!B20)</f>
        <v>Fan (P3-4/6/8)</v>
      </c>
      <c r="C20" t="str">
        <f>IF('Equipment Information'!C20="","", 'Equipment Information'!C20)</f>
        <v>Electrical Room #3</v>
      </c>
      <c r="D20" t="str">
        <f>IF('Equipment Information'!D20="","", 'Equipment Information'!D20)</f>
        <v>Individual Motor Starter</v>
      </c>
      <c r="E20" t="str">
        <f>IF(A20="","", IFERROR(VLOOKUP(A20, 'Energized Data'!A:T, 20, FALSE), "N/A"))</f>
        <v>N/A</v>
      </c>
      <c r="F20" t="str">
        <f>IF(A20="","", IFERROR(VLOOKUP(A20, Insulation!A:J, 9, FALSE), "N/A"))</f>
        <v>N/A</v>
      </c>
      <c r="G20" t="str">
        <f>IF(A20="","", IFERROR(VLOOKUP(A20, DLRO!A:I, 8, FALSE), "N/A"))</f>
        <v>N/A</v>
      </c>
      <c r="H20" t="str">
        <f>IF(A20="","", IFERROR(VLOOKUP(A20, Torque!A:I, 8, FALSE), "N/A"))</f>
        <v>N/A</v>
      </c>
      <c r="I20" t="str">
        <f>IF(A20="","", IFERROR(VLOOKUP(A20, Infrared!A:G, 6, FALSE), "N/A"))</f>
        <v>PASS</v>
      </c>
      <c r="J20" t="str">
        <f>IF(A20="","", IFERROR(VLOOKUP(A20, Ultrasonic!A:H, 7, FALSE), "N/A"))</f>
        <v>PASS</v>
      </c>
      <c r="K20" t="str">
        <f>IF(A20="","", IFERROR(VLOOKUP(A20, 'Code Violations'!A:V, 22, FALSE), "N/A"))</f>
        <v>PASS</v>
      </c>
      <c r="L20" t="str">
        <f t="shared" si="0"/>
        <v>PASS</v>
      </c>
    </row>
    <row r="21" spans="1:12" x14ac:dyDescent="0.25">
      <c r="A21" t="s">
        <v>120</v>
      </c>
      <c r="B21" t="str">
        <f>IF('Equipment Information'!B21="","", 'Equipment Information'!B21)</f>
        <v>Fan (P3-4/6/8)</v>
      </c>
      <c r="C21" t="str">
        <f>IF('Equipment Information'!C21="","", 'Equipment Information'!C21)</f>
        <v>Electrical Room #3</v>
      </c>
      <c r="D21" t="str">
        <f>IF('Equipment Information'!D21="","", 'Equipment Information'!D21)</f>
        <v>Individual Motor Starter</v>
      </c>
      <c r="E21" t="str">
        <f>IF(A21="","", IFERROR(VLOOKUP(A21, 'Energized Data'!A:T, 20, FALSE), "N/A"))</f>
        <v>N/A</v>
      </c>
      <c r="F21" t="str">
        <f>IF(A21="","", IFERROR(VLOOKUP(A21, Insulation!A:J, 9, FALSE), "N/A"))</f>
        <v>N/A</v>
      </c>
      <c r="G21" t="str">
        <f>IF(A21="","", IFERROR(VLOOKUP(A21, DLRO!A:I, 8, FALSE), "N/A"))</f>
        <v>N/A</v>
      </c>
      <c r="H21" t="str">
        <f>IF(A21="","", IFERROR(VLOOKUP(A21, Torque!A:I, 8, FALSE), "N/A"))</f>
        <v>N/A</v>
      </c>
      <c r="I21" t="str">
        <f>IF(A21="","", IFERROR(VLOOKUP(A21, Infrared!A:G, 6, FALSE), "N/A"))</f>
        <v>PASS</v>
      </c>
      <c r="J21" t="str">
        <f>IF(A21="","", IFERROR(VLOOKUP(A21, Ultrasonic!A:H, 7, FALSE), "N/A"))</f>
        <v>PASS</v>
      </c>
      <c r="K21" t="str">
        <f>IF(A21="","", IFERROR(VLOOKUP(A21, 'Code Violations'!A:V, 22, FALSE), "N/A"))</f>
        <v>PASS</v>
      </c>
      <c r="L21" t="str">
        <f t="shared" si="0"/>
        <v>PASS</v>
      </c>
    </row>
    <row r="22" spans="1:12" x14ac:dyDescent="0.25">
      <c r="A22" t="s">
        <v>121</v>
      </c>
      <c r="B22" t="str">
        <f>IF('Equipment Information'!B22="","", 'Equipment Information'!B22)</f>
        <v>P3</v>
      </c>
      <c r="C22" t="str">
        <f>IF('Equipment Information'!C22="","", 'Equipment Information'!C22)</f>
        <v>Electrical Room #3</v>
      </c>
      <c r="D22" t="str">
        <f>IF('Equipment Information'!D22="","", 'Equipment Information'!D22)</f>
        <v>Branch Circuit Panel &lt;=400A</v>
      </c>
      <c r="E22" t="str">
        <f>IF(A22="","", IFERROR(VLOOKUP(A22, 'Energized Data'!A:T, 20, FALSE), "N/A"))</f>
        <v>N/A</v>
      </c>
      <c r="F22" t="str">
        <f>IF(A22="","", IFERROR(VLOOKUP(A22, Insulation!A:J, 9, FALSE), "N/A"))</f>
        <v>N/A</v>
      </c>
      <c r="G22" t="str">
        <f>IF(A22="","", IFERROR(VLOOKUP(A22, DLRO!A:I, 8, FALSE), "N/A"))</f>
        <v>N/A</v>
      </c>
      <c r="H22" t="str">
        <f>IF(A22="","", IFERROR(VLOOKUP(A22, Torque!A:I, 8, FALSE), "N/A"))</f>
        <v>N/A</v>
      </c>
      <c r="I22" t="str">
        <f>IF(A22="","", IFERROR(VLOOKUP(A22, Infrared!A:G, 6, FALSE), "N/A"))</f>
        <v>PASS</v>
      </c>
      <c r="J22" t="str">
        <f>IF(A22="","", IFERROR(VLOOKUP(A22, Ultrasonic!A:H, 7, FALSE), "N/A"))</f>
        <v>PASS</v>
      </c>
      <c r="K22" t="str">
        <f>IF(A22="","", IFERROR(VLOOKUP(A22, 'Code Violations'!A:V, 22, FALSE), "N/A"))</f>
        <v>PASS</v>
      </c>
      <c r="L22" t="str">
        <f t="shared" si="0"/>
        <v>PASS</v>
      </c>
    </row>
    <row r="23" spans="1:12" x14ac:dyDescent="0.25">
      <c r="A23" t="s">
        <v>123</v>
      </c>
      <c r="B23" t="str">
        <f>IF('Equipment Information'!B23="","", 'Equipment Information'!B23)</f>
        <v>DP7</v>
      </c>
      <c r="C23" t="str">
        <f>IF('Equipment Information'!C23="","", 'Equipment Information'!C23)</f>
        <v>Electrical Room #3</v>
      </c>
      <c r="D23" t="str">
        <f>IF('Equipment Information'!D23="","", 'Equipment Information'!D23)</f>
        <v>Distribution Panel Single Front &gt;=600A</v>
      </c>
      <c r="E23" t="str">
        <f>IF(A23="","", IFERROR(VLOOKUP(A23, 'Energized Data'!A:T, 20, FALSE), "N/A"))</f>
        <v>N/A</v>
      </c>
      <c r="F23" t="str">
        <f>IF(A23="","", IFERROR(VLOOKUP(A23, Insulation!A:J, 9, FALSE), "N/A"))</f>
        <v>N/A</v>
      </c>
      <c r="G23" t="str">
        <f>IF(A23="","", IFERROR(VLOOKUP(A23, DLRO!A:I, 8, FALSE), "N/A"))</f>
        <v>N/A</v>
      </c>
      <c r="H23" t="str">
        <f>IF(A23="","", IFERROR(VLOOKUP(A23, Torque!A:I, 8, FALSE), "N/A"))</f>
        <v>N/A</v>
      </c>
      <c r="I23" t="str">
        <f>IF(A23="","", IFERROR(VLOOKUP(A23, Infrared!A:G, 6, FALSE), "N/A"))</f>
        <v>PASS</v>
      </c>
      <c r="J23" t="str">
        <f>IF(A23="","", IFERROR(VLOOKUP(A23, Ultrasonic!A:H, 7, FALSE), "N/A"))</f>
        <v>PASS</v>
      </c>
      <c r="K23" t="str">
        <f>IF(A23="","", IFERROR(VLOOKUP(A23, 'Code Violations'!A:V, 22, FALSE), "N/A"))</f>
        <v>FAIL</v>
      </c>
      <c r="L23" t="str">
        <f t="shared" si="0"/>
        <v>FAIL</v>
      </c>
    </row>
    <row r="24" spans="1:12" x14ac:dyDescent="0.25">
      <c r="A24" t="s">
        <v>125</v>
      </c>
      <c r="B24" t="str">
        <f>IF('Equipment Information'!B24="","", 'Equipment Information'!B24)</f>
        <v>CP-DP7 [Sec. 1]</v>
      </c>
      <c r="C24" t="str">
        <f>IF('Equipment Information'!C24="","", 'Equipment Information'!C24)</f>
        <v>Electrical Room #3</v>
      </c>
      <c r="D24" t="str">
        <f>IF('Equipment Information'!D24="","", 'Equipment Information'!D24)</f>
        <v>Motor Control Panel (MCP)</v>
      </c>
      <c r="E24" t="str">
        <f>IF(A24="","", IFERROR(VLOOKUP(A24, 'Energized Data'!A:T, 20, FALSE), "N/A"))</f>
        <v>N/A</v>
      </c>
      <c r="F24" t="str">
        <f>IF(A24="","", IFERROR(VLOOKUP(A24, Insulation!A:J, 9, FALSE), "N/A"))</f>
        <v>N/A</v>
      </c>
      <c r="G24" t="str">
        <f>IF(A24="","", IFERROR(VLOOKUP(A24, DLRO!A:I, 8, FALSE), "N/A"))</f>
        <v>N/A</v>
      </c>
      <c r="H24" t="str">
        <f>IF(A24="","", IFERROR(VLOOKUP(A24, Torque!A:I, 8, FALSE), "N/A"))</f>
        <v>N/A</v>
      </c>
      <c r="I24" t="str">
        <f>IF(A24="","", IFERROR(VLOOKUP(A24, Infrared!A:G, 6, FALSE), "N/A"))</f>
        <v>PASS</v>
      </c>
      <c r="J24" t="str">
        <f>IF(A24="","", IFERROR(VLOOKUP(A24, Ultrasonic!A:H, 7, FALSE), "N/A"))</f>
        <v>PASS</v>
      </c>
      <c r="K24" t="str">
        <f>IF(A24="","", IFERROR(VLOOKUP(A24, 'Code Violations'!A:V, 22, FALSE), "N/A"))</f>
        <v>PASS</v>
      </c>
      <c r="L24" t="str">
        <f t="shared" si="0"/>
        <v>PASS</v>
      </c>
    </row>
    <row r="25" spans="1:12" x14ac:dyDescent="0.25">
      <c r="A25" t="s">
        <v>127</v>
      </c>
      <c r="B25" t="str">
        <f>IF('Equipment Information'!B25="","", 'Equipment Information'!B25)</f>
        <v>CP-DP7 [Sec. 2]</v>
      </c>
      <c r="C25" t="str">
        <f>IF('Equipment Information'!C25="","", 'Equipment Information'!C25)</f>
        <v>Electrical Room #3</v>
      </c>
      <c r="D25" t="str">
        <f>IF('Equipment Information'!D25="","", 'Equipment Information'!D25)</f>
        <v>Motor Control Panel (MCP)</v>
      </c>
      <c r="E25" t="str">
        <f>IF(A25="","", IFERROR(VLOOKUP(A25, 'Energized Data'!A:T, 20, FALSE), "N/A"))</f>
        <v>N/A</v>
      </c>
      <c r="F25" t="str">
        <f>IF(A25="","", IFERROR(VLOOKUP(A25, Insulation!A:J, 9, FALSE), "N/A"))</f>
        <v>N/A</v>
      </c>
      <c r="G25" t="str">
        <f>IF(A25="","", IFERROR(VLOOKUP(A25, DLRO!A:I, 8, FALSE), "N/A"))</f>
        <v>N/A</v>
      </c>
      <c r="H25" t="str">
        <f>IF(A25="","", IFERROR(VLOOKUP(A25, Torque!A:I, 8, FALSE), "N/A"))</f>
        <v>N/A</v>
      </c>
      <c r="I25" t="str">
        <f>IF(A25="","", IFERROR(VLOOKUP(A25, Infrared!A:G, 6, FALSE), "N/A"))</f>
        <v>PASS</v>
      </c>
      <c r="J25" t="str">
        <f>IF(A25="","", IFERROR(VLOOKUP(A25, Ultrasonic!A:H, 7, FALSE), "N/A"))</f>
        <v>PASS</v>
      </c>
      <c r="K25" t="str">
        <f>IF(A25="","", IFERROR(VLOOKUP(A25, 'Code Violations'!A:V, 22, FALSE), "N/A"))</f>
        <v>FAIL</v>
      </c>
      <c r="L25" t="str">
        <f t="shared" si="0"/>
        <v>FAIL</v>
      </c>
    </row>
    <row r="26" spans="1:12" x14ac:dyDescent="0.25">
      <c r="A26" t="s">
        <v>129</v>
      </c>
      <c r="B26" t="str">
        <f>IF('Equipment Information'!B26="","", 'Equipment Information'!B26)</f>
        <v>CP-DP7 [Sec. 3]</v>
      </c>
      <c r="C26" t="str">
        <f>IF('Equipment Information'!C26="","", 'Equipment Information'!C26)</f>
        <v>Electrical Room #3</v>
      </c>
      <c r="D26" t="str">
        <f>IF('Equipment Information'!D26="","", 'Equipment Information'!D26)</f>
        <v>Motor Control Panel (MCP)</v>
      </c>
      <c r="E26" t="str">
        <f>IF(A26="","", IFERROR(VLOOKUP(A26, 'Energized Data'!A:T, 20, FALSE), "N/A"))</f>
        <v>N/A</v>
      </c>
      <c r="F26" t="str">
        <f>IF(A26="","", IFERROR(VLOOKUP(A26, Insulation!A:J, 9, FALSE), "N/A"))</f>
        <v>N/A</v>
      </c>
      <c r="G26" t="str">
        <f>IF(A26="","", IFERROR(VLOOKUP(A26, DLRO!A:I, 8, FALSE), "N/A"))</f>
        <v>N/A</v>
      </c>
      <c r="H26" t="str">
        <f>IF(A26="","", IFERROR(VLOOKUP(A26, Torque!A:I, 8, FALSE), "N/A"))</f>
        <v>N/A</v>
      </c>
      <c r="I26" t="str">
        <f>IF(A26="","", IFERROR(VLOOKUP(A26, Infrared!A:G, 6, FALSE), "N/A"))</f>
        <v>PASS</v>
      </c>
      <c r="J26" t="str">
        <f>IF(A26="","", IFERROR(VLOOKUP(A26, Ultrasonic!A:H, 7, FALSE), "N/A"))</f>
        <v>PASS</v>
      </c>
      <c r="K26" t="str">
        <f>IF(A26="","", IFERROR(VLOOKUP(A26, 'Code Violations'!A:V, 22, FALSE), "N/A"))</f>
        <v>PASS</v>
      </c>
      <c r="L26" t="str">
        <f t="shared" si="0"/>
        <v>PASS</v>
      </c>
    </row>
    <row r="27" spans="1:12" x14ac:dyDescent="0.25">
      <c r="A27" t="s">
        <v>131</v>
      </c>
      <c r="B27" t="str">
        <f>IF('Equipment Information'!B27="","", 'Equipment Information'!B27)</f>
        <v>OH XFMR</v>
      </c>
      <c r="C27" t="str">
        <f>IF('Equipment Information'!C27="","", 'Equipment Information'!C27)</f>
        <v>Electrical Room #3</v>
      </c>
      <c r="D27" t="str">
        <f>IF('Equipment Information'!D27="","", 'Equipment Information'!D27)</f>
        <v>480V/208V/120V Transformer - Dry &lt;250 kva</v>
      </c>
      <c r="E27" t="str">
        <f>IF(A27="","", IFERROR(VLOOKUP(A27, 'Energized Data'!A:T, 20, FALSE), "N/A"))</f>
        <v>N/A</v>
      </c>
      <c r="F27" t="str">
        <f>IF(A27="","", IFERROR(VLOOKUP(A27, Insulation!A:J, 9, FALSE), "N/A"))</f>
        <v>N/A</v>
      </c>
      <c r="G27" t="str">
        <f>IF(A27="","", IFERROR(VLOOKUP(A27, DLRO!A:I, 8, FALSE), "N/A"))</f>
        <v>N/A</v>
      </c>
      <c r="H27" t="str">
        <f>IF(A27="","", IFERROR(VLOOKUP(A27, Torque!A:I, 8, FALSE), "N/A"))</f>
        <v>N/A</v>
      </c>
      <c r="I27" t="str">
        <f>IF(A27="","", IFERROR(VLOOKUP(A27, Infrared!A:G, 6, FALSE), "N/A"))</f>
        <v>N/A</v>
      </c>
      <c r="J27" t="str">
        <f>IF(A27="","", IFERROR(VLOOKUP(A27, Ultrasonic!A:H, 7, FALSE), "N/A"))</f>
        <v>PASS</v>
      </c>
      <c r="K27" t="str">
        <f>IF(A27="","", IFERROR(VLOOKUP(A27, 'Code Violations'!A:V, 22, FALSE), "N/A"))</f>
        <v>PASS</v>
      </c>
      <c r="L27" t="str">
        <f t="shared" si="0"/>
        <v>PASS</v>
      </c>
    </row>
    <row r="28" spans="1:12" x14ac:dyDescent="0.25">
      <c r="A28" t="s">
        <v>132</v>
      </c>
      <c r="B28" t="str">
        <f>IF('Equipment Information'!B28="","", 'Equipment Information'!B28)</f>
        <v>MDP-2 [Sec. 1]</v>
      </c>
      <c r="C28" t="str">
        <f>IF('Equipment Information'!C28="","", 'Equipment Information'!C28)</f>
        <v>Electrical Room #1</v>
      </c>
      <c r="D28" t="str">
        <f>IF('Equipment Information'!D28="","", 'Equipment Information'!D28)</f>
        <v>Distribution Switchboard Multi Cover (Per Section)</v>
      </c>
      <c r="E28" t="str">
        <f>IF(A28="","", IFERROR(VLOOKUP(A28, 'Energized Data'!A:T, 20, FALSE), "N/A"))</f>
        <v>N/A</v>
      </c>
      <c r="F28" t="str">
        <f>IF(A28="","", IFERROR(VLOOKUP(A28, Insulation!A:J, 9, FALSE), "N/A"))</f>
        <v>N/A</v>
      </c>
      <c r="G28" t="str">
        <f>IF(A28="","", IFERROR(VLOOKUP(A28, DLRO!A:I, 8, FALSE), "N/A"))</f>
        <v>N/A</v>
      </c>
      <c r="H28" t="str">
        <f>IF(A28="","", IFERROR(VLOOKUP(A28, Torque!A:I, 8, FALSE), "N/A"))</f>
        <v>N/A</v>
      </c>
      <c r="I28" t="str">
        <f>IF(A28="","", IFERROR(VLOOKUP(A28, Infrared!A:G, 6, FALSE), "N/A"))</f>
        <v>PASS</v>
      </c>
      <c r="J28" t="str">
        <f>IF(A28="","", IFERROR(VLOOKUP(A28, Ultrasonic!A:H, 7, FALSE), "N/A"))</f>
        <v>PASS</v>
      </c>
      <c r="K28" t="str">
        <f>IF(A28="","", IFERROR(VLOOKUP(A28, 'Code Violations'!A:V, 22, FALSE), "N/A"))</f>
        <v>PASS</v>
      </c>
      <c r="L28" t="str">
        <f t="shared" si="0"/>
        <v>PASS</v>
      </c>
    </row>
    <row r="29" spans="1:12" x14ac:dyDescent="0.25">
      <c r="A29" t="s">
        <v>135</v>
      </c>
      <c r="B29" t="str">
        <f>IF('Equipment Information'!B29="","", 'Equipment Information'!B29)</f>
        <v>MDP-2 [Sec. 2]</v>
      </c>
      <c r="C29" t="str">
        <f>IF('Equipment Information'!C29="","", 'Equipment Information'!C29)</f>
        <v>Electrical Room #1</v>
      </c>
      <c r="D29" t="str">
        <f>IF('Equipment Information'!D29="","", 'Equipment Information'!D29)</f>
        <v>Distribution Switchboard Multi Cover (Per Section)</v>
      </c>
      <c r="E29" t="str">
        <f>IF(A29="","", IFERROR(VLOOKUP(A29, 'Energized Data'!A:T, 20, FALSE), "N/A"))</f>
        <v>N/A</v>
      </c>
      <c r="F29" t="str">
        <f>IF(A29="","", IFERROR(VLOOKUP(A29, Insulation!A:J, 9, FALSE), "N/A"))</f>
        <v>N/A</v>
      </c>
      <c r="G29" t="str">
        <f>IF(A29="","", IFERROR(VLOOKUP(A29, DLRO!A:I, 8, FALSE), "N/A"))</f>
        <v>N/A</v>
      </c>
      <c r="H29" t="str">
        <f>IF(A29="","", IFERROR(VLOOKUP(A29, Torque!A:I, 8, FALSE), "N/A"))</f>
        <v>N/A</v>
      </c>
      <c r="I29" t="str">
        <f>IF(A29="","", IFERROR(VLOOKUP(A29, Infrared!A:G, 6, FALSE), "N/A"))</f>
        <v>PASS</v>
      </c>
      <c r="J29" t="str">
        <f>IF(A29="","", IFERROR(VLOOKUP(A29, Ultrasonic!A:H, 7, FALSE), "N/A"))</f>
        <v>PASS</v>
      </c>
      <c r="K29" t="str">
        <f>IF(A29="","", IFERROR(VLOOKUP(A29, 'Code Violations'!A:V, 22, FALSE), "N/A"))</f>
        <v>PASS</v>
      </c>
      <c r="L29" t="str">
        <f t="shared" si="0"/>
        <v>PASS</v>
      </c>
    </row>
    <row r="30" spans="1:12" x14ac:dyDescent="0.25">
      <c r="A30" t="s">
        <v>137</v>
      </c>
      <c r="B30" t="str">
        <f>IF('Equipment Information'!B30="","", 'Equipment Information'!B30)</f>
        <v>Vacuum Exhaust</v>
      </c>
      <c r="C30" t="str">
        <f>IF('Equipment Information'!C30="","", 'Equipment Information'!C30)</f>
        <v>Electrical Room #1</v>
      </c>
      <c r="D30" t="str">
        <f>IF('Equipment Information'!D30="","", 'Equipment Information'!D30)</f>
        <v>Individual Motor Starter</v>
      </c>
      <c r="E30" t="str">
        <f>IF(A30="","", IFERROR(VLOOKUP(A30, 'Energized Data'!A:T, 20, FALSE), "N/A"))</f>
        <v>N/A</v>
      </c>
      <c r="F30" t="str">
        <f>IF(A30="","", IFERROR(VLOOKUP(A30, Insulation!A:J, 9, FALSE), "N/A"))</f>
        <v>N/A</v>
      </c>
      <c r="G30" t="str">
        <f>IF(A30="","", IFERROR(VLOOKUP(A30, DLRO!A:I, 8, FALSE), "N/A"))</f>
        <v>N/A</v>
      </c>
      <c r="H30" t="str">
        <f>IF(A30="","", IFERROR(VLOOKUP(A30, Torque!A:I, 8, FALSE), "N/A"))</f>
        <v>N/A</v>
      </c>
      <c r="I30" t="str">
        <f>IF(A30="","", IFERROR(VLOOKUP(A30, Infrared!A:G, 6, FALSE), "N/A"))</f>
        <v>PASS</v>
      </c>
      <c r="J30" t="str">
        <f>IF(A30="","", IFERROR(VLOOKUP(A30, Ultrasonic!A:H, 7, FALSE), "N/A"))</f>
        <v>PASS</v>
      </c>
      <c r="K30" t="str">
        <f>IF(A30="","", IFERROR(VLOOKUP(A30, 'Code Violations'!A:V, 22, FALSE), "N/A"))</f>
        <v>PASS</v>
      </c>
      <c r="L30" t="str">
        <f t="shared" si="0"/>
        <v>PASS</v>
      </c>
    </row>
    <row r="31" spans="1:12" x14ac:dyDescent="0.25">
      <c r="A31" t="s">
        <v>139</v>
      </c>
      <c r="B31" t="str">
        <f>IF('Equipment Information'!B31="","", 'Equipment Information'!B31)</f>
        <v>Air Knife</v>
      </c>
      <c r="C31" t="str">
        <f>IF('Equipment Information'!C31="","", 'Equipment Information'!C31)</f>
        <v>Electrical Room #1</v>
      </c>
      <c r="D31" t="str">
        <f>IF('Equipment Information'!D31="","", 'Equipment Information'!D31)</f>
        <v>Individual Motor Starter</v>
      </c>
      <c r="E31" t="str">
        <f>IF(A31="","", IFERROR(VLOOKUP(A31, 'Energized Data'!A:T, 20, FALSE), "N/A"))</f>
        <v>N/A</v>
      </c>
      <c r="F31" t="str">
        <f>IF(A31="","", IFERROR(VLOOKUP(A31, Insulation!A:J, 9, FALSE), "N/A"))</f>
        <v>N/A</v>
      </c>
      <c r="G31" t="str">
        <f>IF(A31="","", IFERROR(VLOOKUP(A31, DLRO!A:I, 8, FALSE), "N/A"))</f>
        <v>N/A</v>
      </c>
      <c r="H31" t="str">
        <f>IF(A31="","", IFERROR(VLOOKUP(A31, Torque!A:I, 8, FALSE), "N/A"))</f>
        <v>N/A</v>
      </c>
      <c r="I31" t="str">
        <f>IF(A31="","", IFERROR(VLOOKUP(A31, Infrared!A:G, 6, FALSE), "N/A"))</f>
        <v>PASS</v>
      </c>
      <c r="J31" t="str">
        <f>IF(A31="","", IFERROR(VLOOKUP(A31, Ultrasonic!A:H, 7, FALSE), "N/A"))</f>
        <v>PASS</v>
      </c>
      <c r="K31" t="str">
        <f>IF(A31="","", IFERROR(VLOOKUP(A31, 'Code Violations'!A:V, 22, FALSE), "N/A"))</f>
        <v>PASS</v>
      </c>
      <c r="L31" t="str">
        <f t="shared" si="0"/>
        <v>PASS</v>
      </c>
    </row>
    <row r="32" spans="1:12" x14ac:dyDescent="0.25">
      <c r="A32" t="s">
        <v>141</v>
      </c>
      <c r="B32" t="str">
        <f>IF('Equipment Information'!B32="","", 'Equipment Information'!B32)</f>
        <v>CP-Dryer #2</v>
      </c>
      <c r="C32" t="str">
        <f>IF('Equipment Information'!C32="","", 'Equipment Information'!C32)</f>
        <v>Electrical Room #4</v>
      </c>
      <c r="D32" t="str">
        <f>IF('Equipment Information'!D32="","", 'Equipment Information'!D32)</f>
        <v>Motor Control Panel (MCP)</v>
      </c>
      <c r="E32" t="str">
        <f>IF(A32="","", IFERROR(VLOOKUP(A32, 'Energized Data'!A:T, 20, FALSE), "N/A"))</f>
        <v>N/A</v>
      </c>
      <c r="F32" t="str">
        <f>IF(A32="","", IFERROR(VLOOKUP(A32, Insulation!A:J, 9, FALSE), "N/A"))</f>
        <v>N/A</v>
      </c>
      <c r="G32" t="str">
        <f>IF(A32="","", IFERROR(VLOOKUP(A32, DLRO!A:I, 8, FALSE), "N/A"))</f>
        <v>N/A</v>
      </c>
      <c r="H32" t="str">
        <f>IF(A32="","", IFERROR(VLOOKUP(A32, Torque!A:I, 8, FALSE), "N/A"))</f>
        <v>N/A</v>
      </c>
      <c r="I32" t="str">
        <f>IF(A32="","", IFERROR(VLOOKUP(A32, Infrared!A:G, 6, FALSE), "N/A"))</f>
        <v>PASS</v>
      </c>
      <c r="J32" t="str">
        <f>IF(A32="","", IFERROR(VLOOKUP(A32, Ultrasonic!A:H, 7, FALSE), "N/A"))</f>
        <v>PASS</v>
      </c>
      <c r="K32" t="str">
        <f>IF(A32="","", IFERROR(VLOOKUP(A32, 'Code Violations'!A:V, 22, FALSE), "N/A"))</f>
        <v>FAIL</v>
      </c>
      <c r="L32" t="str">
        <f t="shared" si="0"/>
        <v>FAIL</v>
      </c>
    </row>
    <row r="33" spans="1:12" x14ac:dyDescent="0.25">
      <c r="A33" t="s">
        <v>144</v>
      </c>
      <c r="B33" t="str">
        <f>IF('Equipment Information'!B33="","", 'Equipment Information'!B33)</f>
        <v>CP-Silo Alley</v>
      </c>
      <c r="C33" t="str">
        <f>IF('Equipment Information'!C33="","", 'Equipment Information'!C33)</f>
        <v>Electrical Room #4</v>
      </c>
      <c r="D33" t="str">
        <f>IF('Equipment Information'!D33="","", 'Equipment Information'!D33)</f>
        <v>Motor Control Panel (MCP)</v>
      </c>
      <c r="E33" t="str">
        <f>IF(A33="","", IFERROR(VLOOKUP(A33, 'Energized Data'!A:T, 20, FALSE), "N/A"))</f>
        <v>N/A</v>
      </c>
      <c r="F33" t="str">
        <f>IF(A33="","", IFERROR(VLOOKUP(A33, Insulation!A:J, 9, FALSE), "N/A"))</f>
        <v>N/A</v>
      </c>
      <c r="G33" t="str">
        <f>IF(A33="","", IFERROR(VLOOKUP(A33, DLRO!A:I, 8, FALSE), "N/A"))</f>
        <v>N/A</v>
      </c>
      <c r="H33" t="str">
        <f>IF(A33="","", IFERROR(VLOOKUP(A33, Torque!A:I, 8, FALSE), "N/A"))</f>
        <v>N/A</v>
      </c>
      <c r="I33" t="str">
        <f>IF(A33="","", IFERROR(VLOOKUP(A33, Infrared!A:G, 6, FALSE), "N/A"))</f>
        <v>PASS</v>
      </c>
      <c r="J33" t="str">
        <f>IF(A33="","", IFERROR(VLOOKUP(A33, Ultrasonic!A:H, 7, FALSE), "N/A"))</f>
        <v>PASS</v>
      </c>
      <c r="K33" t="str">
        <f>IF(A33="","", IFERROR(VLOOKUP(A33, 'Code Violations'!A:V, 22, FALSE), "N/A"))</f>
        <v>PASS</v>
      </c>
      <c r="L33" t="str">
        <f t="shared" si="0"/>
        <v>PASS</v>
      </c>
    </row>
    <row r="34" spans="1:12" x14ac:dyDescent="0.25">
      <c r="A34" t="s">
        <v>146</v>
      </c>
      <c r="B34" t="str">
        <f>IF('Equipment Information'!B34="","", 'Equipment Information'!B34)</f>
        <v>Machine Control</v>
      </c>
      <c r="C34" t="str">
        <f>IF('Equipment Information'!C34="","", 'Equipment Information'!C34)</f>
        <v>Electrical Room #4</v>
      </c>
      <c r="D34" t="str">
        <f>IF('Equipment Information'!D34="","", 'Equipment Information'!D34)</f>
        <v>Motor Control Panel (MCP)</v>
      </c>
      <c r="E34" t="str">
        <f>IF(A34="","", IFERROR(VLOOKUP(A34, 'Energized Data'!A:T, 20, FALSE), "N/A"))</f>
        <v>N/A</v>
      </c>
      <c r="F34" t="str">
        <f>IF(A34="","", IFERROR(VLOOKUP(A34, Insulation!A:J, 9, FALSE), "N/A"))</f>
        <v>N/A</v>
      </c>
      <c r="G34" t="str">
        <f>IF(A34="","", IFERROR(VLOOKUP(A34, DLRO!A:I, 8, FALSE), "N/A"))</f>
        <v>N/A</v>
      </c>
      <c r="H34" t="str">
        <f>IF(A34="","", IFERROR(VLOOKUP(A34, Torque!A:I, 8, FALSE), "N/A"))</f>
        <v>N/A</v>
      </c>
      <c r="I34" t="str">
        <f>IF(A34="","", IFERROR(VLOOKUP(A34, Infrared!A:G, 6, FALSE), "N/A"))</f>
        <v>PASS</v>
      </c>
      <c r="J34" t="str">
        <f>IF(A34="","", IFERROR(VLOOKUP(A34, Ultrasonic!A:H, 7, FALSE), "N/A"))</f>
        <v>PASS</v>
      </c>
      <c r="K34" t="str">
        <f>IF(A34="","", IFERROR(VLOOKUP(A34, 'Code Violations'!A:V, 22, FALSE), "N/A"))</f>
        <v>FAIL</v>
      </c>
      <c r="L34" t="str">
        <f t="shared" si="0"/>
        <v>FAIL</v>
      </c>
    </row>
    <row r="35" spans="1:12" x14ac:dyDescent="0.25">
      <c r="A35" t="s">
        <v>148</v>
      </c>
      <c r="B35" t="str">
        <f>IF('Equipment Information'!B35="","", 'Equipment Information'!B35)</f>
        <v>CP-Dryer #1 [Sec. 1]</v>
      </c>
      <c r="C35" t="str">
        <f>IF('Equipment Information'!C35="","", 'Equipment Information'!C35)</f>
        <v>Electrical Room #4</v>
      </c>
      <c r="D35" t="str">
        <f>IF('Equipment Information'!D35="","", 'Equipment Information'!D35)</f>
        <v>Motor Control Panel (MCP)</v>
      </c>
      <c r="E35" t="str">
        <f>IF(A35="","", IFERROR(VLOOKUP(A35, 'Energized Data'!A:T, 20, FALSE), "N/A"))</f>
        <v>N/A</v>
      </c>
      <c r="F35" t="str">
        <f>IF(A35="","", IFERROR(VLOOKUP(A35, Insulation!A:J, 9, FALSE), "N/A"))</f>
        <v>N/A</v>
      </c>
      <c r="G35" t="str">
        <f>IF(A35="","", IFERROR(VLOOKUP(A35, DLRO!A:I, 8, FALSE), "N/A"))</f>
        <v>N/A</v>
      </c>
      <c r="H35" t="str">
        <f>IF(A35="","", IFERROR(VLOOKUP(A35, Torque!A:I, 8, FALSE), "N/A"))</f>
        <v>N/A</v>
      </c>
      <c r="I35" t="str">
        <f>IF(A35="","", IFERROR(VLOOKUP(A35, Infrared!A:G, 6, FALSE), "N/A"))</f>
        <v>N/A</v>
      </c>
      <c r="J35" t="str">
        <f>IF(A35="","", IFERROR(VLOOKUP(A35, Ultrasonic!A:H, 7, FALSE), "N/A"))</f>
        <v>PASS</v>
      </c>
      <c r="K35" t="str">
        <f>IF(A35="","", IFERROR(VLOOKUP(A35, 'Code Violations'!A:V, 22, FALSE), "N/A"))</f>
        <v>PASS</v>
      </c>
      <c r="L35" t="str">
        <f t="shared" si="0"/>
        <v>PASS</v>
      </c>
    </row>
    <row r="36" spans="1:12" x14ac:dyDescent="0.25">
      <c r="A36" t="s">
        <v>150</v>
      </c>
      <c r="B36" t="str">
        <f>IF('Equipment Information'!B36="","", 'Equipment Information'!B36)</f>
        <v>CP-Dryer #1 [Sec. 2]</v>
      </c>
      <c r="C36" t="str">
        <f>IF('Equipment Information'!C36="","", 'Equipment Information'!C36)</f>
        <v>Electrical Room #4</v>
      </c>
      <c r="D36" t="str">
        <f>IF('Equipment Information'!D36="","", 'Equipment Information'!D36)</f>
        <v>Motor Control Panel (MCP)</v>
      </c>
      <c r="E36" t="str">
        <f>IF(A36="","", IFERROR(VLOOKUP(A36, 'Energized Data'!A:T, 20, FALSE), "N/A"))</f>
        <v>N/A</v>
      </c>
      <c r="F36" t="str">
        <f>IF(A36="","", IFERROR(VLOOKUP(A36, Insulation!A:J, 9, FALSE), "N/A"))</f>
        <v>N/A</v>
      </c>
      <c r="G36" t="str">
        <f>IF(A36="","", IFERROR(VLOOKUP(A36, DLRO!A:I, 8, FALSE), "N/A"))</f>
        <v>N/A</v>
      </c>
      <c r="H36" t="str">
        <f>IF(A36="","", IFERROR(VLOOKUP(A36, Torque!A:I, 8, FALSE), "N/A"))</f>
        <v>N/A</v>
      </c>
      <c r="I36" t="str">
        <f>IF(A36="","", IFERROR(VLOOKUP(A36, Infrared!A:G, 6, FALSE), "N/A"))</f>
        <v>FAIL</v>
      </c>
      <c r="J36" t="str">
        <f>IF(A36="","", IFERROR(VLOOKUP(A36, Ultrasonic!A:H, 7, FALSE), "N/A"))</f>
        <v>PASS</v>
      </c>
      <c r="K36" t="str">
        <f>IF(A36="","", IFERROR(VLOOKUP(A36, 'Code Violations'!A:V, 22, FALSE), "N/A"))</f>
        <v>FAIL</v>
      </c>
      <c r="L36" t="str">
        <f t="shared" si="0"/>
        <v>FAIL</v>
      </c>
    </row>
    <row r="37" spans="1:12" x14ac:dyDescent="0.25">
      <c r="A37" t="s">
        <v>152</v>
      </c>
      <c r="B37" t="str">
        <f>IF('Equipment Information'!B37="","", 'Equipment Information'!B37)</f>
        <v>CP-Packout [Sec. 1]</v>
      </c>
      <c r="C37" t="str">
        <f>IF('Equipment Information'!C37="","", 'Equipment Information'!C37)</f>
        <v>Electrical Room #4</v>
      </c>
      <c r="D37" t="str">
        <f>IF('Equipment Information'!D37="","", 'Equipment Information'!D37)</f>
        <v>Motor Control Panel (MCP)</v>
      </c>
      <c r="E37" t="str">
        <f>IF(A37="","", IFERROR(VLOOKUP(A37, 'Energized Data'!A:T, 20, FALSE), "N/A"))</f>
        <v>N/A</v>
      </c>
      <c r="F37" t="str">
        <f>IF(A37="","", IFERROR(VLOOKUP(A37, Insulation!A:J, 9, FALSE), "N/A"))</f>
        <v>N/A</v>
      </c>
      <c r="G37" t="str">
        <f>IF(A37="","", IFERROR(VLOOKUP(A37, DLRO!A:I, 8, FALSE), "N/A"))</f>
        <v>N/A</v>
      </c>
      <c r="H37" t="str">
        <f>IF(A37="","", IFERROR(VLOOKUP(A37, Torque!A:I, 8, FALSE), "N/A"))</f>
        <v>N/A</v>
      </c>
      <c r="I37" t="str">
        <f>IF(A37="","", IFERROR(VLOOKUP(A37, Infrared!A:G, 6, FALSE), "N/A"))</f>
        <v>PASS</v>
      </c>
      <c r="J37" t="str">
        <f>IF(A37="","", IFERROR(VLOOKUP(A37, Ultrasonic!A:H, 7, FALSE), "N/A"))</f>
        <v>PASS</v>
      </c>
      <c r="K37" t="str">
        <f>IF(A37="","", IFERROR(VLOOKUP(A37, 'Code Violations'!A:V, 22, FALSE), "N/A"))</f>
        <v>PASS</v>
      </c>
      <c r="L37" t="str">
        <f t="shared" si="0"/>
        <v>PASS</v>
      </c>
    </row>
    <row r="38" spans="1:12" x14ac:dyDescent="0.25">
      <c r="A38" t="s">
        <v>154</v>
      </c>
      <c r="B38" t="str">
        <f>IF('Equipment Information'!B38="","", 'Equipment Information'!B38)</f>
        <v>CP-Packout [Sec. 2]</v>
      </c>
      <c r="C38" t="str">
        <f>IF('Equipment Information'!C38="","", 'Equipment Information'!C38)</f>
        <v>Electrical Room #4</v>
      </c>
      <c r="D38" t="str">
        <f>IF('Equipment Information'!D38="","", 'Equipment Information'!D38)</f>
        <v>Motor Control Panel (MCP)</v>
      </c>
      <c r="E38" t="str">
        <f>IF(A38="","", IFERROR(VLOOKUP(A38, 'Energized Data'!A:T, 20, FALSE), "N/A"))</f>
        <v>N/A</v>
      </c>
      <c r="F38" t="str">
        <f>IF(A38="","", IFERROR(VLOOKUP(A38, Insulation!A:J, 9, FALSE), "N/A"))</f>
        <v>N/A</v>
      </c>
      <c r="G38" t="str">
        <f>IF(A38="","", IFERROR(VLOOKUP(A38, DLRO!A:I, 8, FALSE), "N/A"))</f>
        <v>N/A</v>
      </c>
      <c r="H38" t="str">
        <f>IF(A38="","", IFERROR(VLOOKUP(A38, Torque!A:I, 8, FALSE), "N/A"))</f>
        <v>N/A</v>
      </c>
      <c r="I38" t="str">
        <f>IF(A38="","", IFERROR(VLOOKUP(A38, Infrared!A:G, 6, FALSE), "N/A"))</f>
        <v>PASS</v>
      </c>
      <c r="J38" t="str">
        <f>IF(A38="","", IFERROR(VLOOKUP(A38, Ultrasonic!A:H, 7, FALSE), "N/A"))</f>
        <v>PASS</v>
      </c>
      <c r="K38" t="str">
        <f>IF(A38="","", IFERROR(VLOOKUP(A38, 'Code Violations'!A:V, 22, FALSE), "N/A"))</f>
        <v>PASS</v>
      </c>
      <c r="L38" t="str">
        <f t="shared" si="0"/>
        <v>PASS</v>
      </c>
    </row>
    <row r="39" spans="1:12" x14ac:dyDescent="0.25">
      <c r="A39" t="s">
        <v>156</v>
      </c>
      <c r="B39" t="str">
        <f>IF('Equipment Information'!B39="","", 'Equipment Information'!B39)</f>
        <v>CP-Packout [Sec. 3]</v>
      </c>
      <c r="C39" t="str">
        <f>IF('Equipment Information'!C39="","", 'Equipment Information'!C39)</f>
        <v>Electrical Room #4</v>
      </c>
      <c r="D39" t="str">
        <f>IF('Equipment Information'!D39="","", 'Equipment Information'!D39)</f>
        <v>Motor Control Panel (MCP)</v>
      </c>
      <c r="E39" t="str">
        <f>IF(A39="","", IFERROR(VLOOKUP(A39, 'Energized Data'!A:T, 20, FALSE), "N/A"))</f>
        <v>N/A</v>
      </c>
      <c r="F39" t="str">
        <f>IF(A39="","", IFERROR(VLOOKUP(A39, Insulation!A:J, 9, FALSE), "N/A"))</f>
        <v>N/A</v>
      </c>
      <c r="G39" t="str">
        <f>IF(A39="","", IFERROR(VLOOKUP(A39, DLRO!A:I, 8, FALSE), "N/A"))</f>
        <v>N/A</v>
      </c>
      <c r="H39" t="str">
        <f>IF(A39="","", IFERROR(VLOOKUP(A39, Torque!A:I, 8, FALSE), "N/A"))</f>
        <v>N/A</v>
      </c>
      <c r="I39" t="str">
        <f>IF(A39="","", IFERROR(VLOOKUP(A39, Infrared!A:G, 6, FALSE), "N/A"))</f>
        <v>PASS</v>
      </c>
      <c r="J39" t="str">
        <f>IF(A39="","", IFERROR(VLOOKUP(A39, Ultrasonic!A:H, 7, FALSE), "N/A"))</f>
        <v>PASS</v>
      </c>
      <c r="K39" t="str">
        <f>IF(A39="","", IFERROR(VLOOKUP(A39, 'Code Violations'!A:V, 22, FALSE), "N/A"))</f>
        <v>PASS</v>
      </c>
      <c r="L39" t="str">
        <f t="shared" si="0"/>
        <v>PASS</v>
      </c>
    </row>
    <row r="40" spans="1:12" x14ac:dyDescent="0.25">
      <c r="A40" t="s">
        <v>158</v>
      </c>
      <c r="B40" t="str">
        <f>IF('Equipment Information'!B40="","", 'Equipment Information'!B40)</f>
        <v>CP-5110</v>
      </c>
      <c r="C40" t="str">
        <f>IF('Equipment Information'!C40="","", 'Equipment Information'!C40)</f>
        <v>Electrical Room #4</v>
      </c>
      <c r="D40" t="str">
        <f>IF('Equipment Information'!D40="","", 'Equipment Information'!D40)</f>
        <v>Variable Frequency Drives &lt;=50hp</v>
      </c>
      <c r="E40" t="str">
        <f>IF(A40="","", IFERROR(VLOOKUP(A40, 'Energized Data'!A:T, 20, FALSE), "N/A"))</f>
        <v>N/A</v>
      </c>
      <c r="F40" t="str">
        <f>IF(A40="","", IFERROR(VLOOKUP(A40, Insulation!A:J, 9, FALSE), "N/A"))</f>
        <v>N/A</v>
      </c>
      <c r="G40" t="str">
        <f>IF(A40="","", IFERROR(VLOOKUP(A40, DLRO!A:I, 8, FALSE), "N/A"))</f>
        <v>N/A</v>
      </c>
      <c r="H40" t="str">
        <f>IF(A40="","", IFERROR(VLOOKUP(A40, Torque!A:I, 8, FALSE), "N/A"))</f>
        <v>N/A</v>
      </c>
      <c r="I40" t="str">
        <f>IF(A40="","", IFERROR(VLOOKUP(A40, Infrared!A:G, 6, FALSE), "N/A"))</f>
        <v>PASS</v>
      </c>
      <c r="J40" t="str">
        <f>IF(A40="","", IFERROR(VLOOKUP(A40, Ultrasonic!A:H, 7, FALSE), "N/A"))</f>
        <v>PASS</v>
      </c>
      <c r="K40" t="str">
        <f>IF(A40="","", IFERROR(VLOOKUP(A40, 'Code Violations'!A:V, 22, FALSE), "N/A"))</f>
        <v>PASS</v>
      </c>
      <c r="L40" t="str">
        <f t="shared" si="0"/>
        <v>PASS</v>
      </c>
    </row>
    <row r="41" spans="1:12" x14ac:dyDescent="0.25">
      <c r="A41" t="s">
        <v>161</v>
      </c>
      <c r="B41" t="str">
        <f>IF('Equipment Information'!B41="","", 'Equipment Information'!B41)</f>
        <v>CP-5120</v>
      </c>
      <c r="C41" t="str">
        <f>IF('Equipment Information'!C41="","", 'Equipment Information'!C41)</f>
        <v>Electrical Room #4</v>
      </c>
      <c r="D41" t="str">
        <f>IF('Equipment Information'!D41="","", 'Equipment Information'!D41)</f>
        <v>Variable Frequency Drives &lt;=50hp</v>
      </c>
      <c r="E41" t="str">
        <f>IF(A41="","", IFERROR(VLOOKUP(A41, 'Energized Data'!A:T, 20, FALSE), "N/A"))</f>
        <v>N/A</v>
      </c>
      <c r="F41" t="str">
        <f>IF(A41="","", IFERROR(VLOOKUP(A41, Insulation!A:J, 9, FALSE), "N/A"))</f>
        <v>N/A</v>
      </c>
      <c r="G41" t="str">
        <f>IF(A41="","", IFERROR(VLOOKUP(A41, DLRO!A:I, 8, FALSE), "N/A"))</f>
        <v>N/A</v>
      </c>
      <c r="H41" t="str">
        <f>IF(A41="","", IFERROR(VLOOKUP(A41, Torque!A:I, 8, FALSE), "N/A"))</f>
        <v>N/A</v>
      </c>
      <c r="I41" t="str">
        <f>IF(A41="","", IFERROR(VLOOKUP(A41, Infrared!A:G, 6, FALSE), "N/A"))</f>
        <v>PASS</v>
      </c>
      <c r="J41" t="str">
        <f>IF(A41="","", IFERROR(VLOOKUP(A41, Ultrasonic!A:H, 7, FALSE), "N/A"))</f>
        <v>PASS</v>
      </c>
      <c r="K41" t="str">
        <f>IF(A41="","", IFERROR(VLOOKUP(A41, 'Code Violations'!A:V, 22, FALSE), "N/A"))</f>
        <v>FAIL</v>
      </c>
      <c r="L41" t="str">
        <f t="shared" si="0"/>
        <v>FAIL</v>
      </c>
    </row>
    <row r="42" spans="1:12" x14ac:dyDescent="0.25">
      <c r="A42" t="s">
        <v>163</v>
      </c>
      <c r="B42" t="str">
        <f>IF('Equipment Information'!B42="","", 'Equipment Information'!B42)</f>
        <v>RF-7101</v>
      </c>
      <c r="C42" t="str">
        <f>IF('Equipment Information'!C42="","", 'Equipment Information'!C42)</f>
        <v>Electrical Room #4</v>
      </c>
      <c r="D42" t="str">
        <f>IF('Equipment Information'!D42="","", 'Equipment Information'!D42)</f>
        <v>Variable Frequency Drives &lt;=50hp</v>
      </c>
      <c r="E42" t="str">
        <f>IF(A42="","", IFERROR(VLOOKUP(A42, 'Energized Data'!A:T, 20, FALSE), "N/A"))</f>
        <v>N/A</v>
      </c>
      <c r="F42" t="str">
        <f>IF(A42="","", IFERROR(VLOOKUP(A42, Insulation!A:J, 9, FALSE), "N/A"))</f>
        <v>N/A</v>
      </c>
      <c r="G42" t="str">
        <f>IF(A42="","", IFERROR(VLOOKUP(A42, DLRO!A:I, 8, FALSE), "N/A"))</f>
        <v>N/A</v>
      </c>
      <c r="H42" t="str">
        <f>IF(A42="","", IFERROR(VLOOKUP(A42, Torque!A:I, 8, FALSE), "N/A"))</f>
        <v>N/A</v>
      </c>
      <c r="I42" t="str">
        <f>IF(A42="","", IFERROR(VLOOKUP(A42, Infrared!A:G, 6, FALSE), "N/A"))</f>
        <v>PASS</v>
      </c>
      <c r="J42" t="str">
        <f>IF(A42="","", IFERROR(VLOOKUP(A42, Ultrasonic!A:H, 7, FALSE), "N/A"))</f>
        <v>PASS</v>
      </c>
      <c r="K42" t="str">
        <f>IF(A42="","", IFERROR(VLOOKUP(A42, 'Code Violations'!A:V, 22, FALSE), "N/A"))</f>
        <v>PASS</v>
      </c>
      <c r="L42" t="str">
        <f t="shared" si="0"/>
        <v>PASS</v>
      </c>
    </row>
    <row r="43" spans="1:12" x14ac:dyDescent="0.25">
      <c r="A43" t="s">
        <v>165</v>
      </c>
      <c r="B43" t="str">
        <f>IF('Equipment Information'!B43="","", 'Equipment Information'!B43)</f>
        <v>RF-7102</v>
      </c>
      <c r="C43" t="str">
        <f>IF('Equipment Information'!C43="","", 'Equipment Information'!C43)</f>
        <v>Electrical Room #4</v>
      </c>
      <c r="D43" t="str">
        <f>IF('Equipment Information'!D43="","", 'Equipment Information'!D43)</f>
        <v>Variable Frequency Drives &lt;=50hp</v>
      </c>
      <c r="E43" t="str">
        <f>IF(A43="","", IFERROR(VLOOKUP(A43, 'Energized Data'!A:T, 20, FALSE), "N/A"))</f>
        <v>N/A</v>
      </c>
      <c r="F43" t="str">
        <f>IF(A43="","", IFERROR(VLOOKUP(A43, Insulation!A:J, 9, FALSE), "N/A"))</f>
        <v>N/A</v>
      </c>
      <c r="G43" t="str">
        <f>IF(A43="","", IFERROR(VLOOKUP(A43, DLRO!A:I, 8, FALSE), "N/A"))</f>
        <v>N/A</v>
      </c>
      <c r="H43" t="str">
        <f>IF(A43="","", IFERROR(VLOOKUP(A43, Torque!A:I, 8, FALSE), "N/A"))</f>
        <v>N/A</v>
      </c>
      <c r="I43" t="str">
        <f>IF(A43="","", IFERROR(VLOOKUP(A43, Infrared!A:G, 6, FALSE), "N/A"))</f>
        <v>PASS</v>
      </c>
      <c r="J43" t="str">
        <f>IF(A43="","", IFERROR(VLOOKUP(A43, Ultrasonic!A:H, 7, FALSE), "N/A"))</f>
        <v>PASS</v>
      </c>
      <c r="K43" t="str">
        <f>IF(A43="","", IFERROR(VLOOKUP(A43, 'Code Violations'!A:V, 22, FALSE), "N/A"))</f>
        <v>PASS</v>
      </c>
      <c r="L43" t="str">
        <f t="shared" si="0"/>
        <v>PASS</v>
      </c>
    </row>
    <row r="44" spans="1:12" x14ac:dyDescent="0.25">
      <c r="A44" t="s">
        <v>167</v>
      </c>
      <c r="B44" t="str">
        <f>IF('Equipment Information'!B44="","", 'Equipment Information'!B44)</f>
        <v>RF-7103</v>
      </c>
      <c r="C44" t="str">
        <f>IF('Equipment Information'!C44="","", 'Equipment Information'!C44)</f>
        <v>Electrical Room #4</v>
      </c>
      <c r="D44" t="str">
        <f>IF('Equipment Information'!D44="","", 'Equipment Information'!D44)</f>
        <v>Variable Frequency Drives &lt;=50hp</v>
      </c>
      <c r="E44" t="str">
        <f>IF(A44="","", IFERROR(VLOOKUP(A44, 'Energized Data'!A:T, 20, FALSE), "N/A"))</f>
        <v>N/A</v>
      </c>
      <c r="F44" t="str">
        <f>IF(A44="","", IFERROR(VLOOKUP(A44, Insulation!A:J, 9, FALSE), "N/A"))</f>
        <v>N/A</v>
      </c>
      <c r="G44" t="str">
        <f>IF(A44="","", IFERROR(VLOOKUP(A44, DLRO!A:I, 8, FALSE), "N/A"))</f>
        <v>N/A</v>
      </c>
      <c r="H44" t="str">
        <f>IF(A44="","", IFERROR(VLOOKUP(A44, Torque!A:I, 8, FALSE), "N/A"))</f>
        <v>N/A</v>
      </c>
      <c r="I44" t="str">
        <f>IF(A44="","", IFERROR(VLOOKUP(A44, Infrared!A:G, 6, FALSE), "N/A"))</f>
        <v>PASS</v>
      </c>
      <c r="J44" t="str">
        <f>IF(A44="","", IFERROR(VLOOKUP(A44, Ultrasonic!A:H, 7, FALSE), "N/A"))</f>
        <v>PASS</v>
      </c>
      <c r="K44" t="str">
        <f>IF(A44="","", IFERROR(VLOOKUP(A44, 'Code Violations'!A:V, 22, FALSE), "N/A"))</f>
        <v>PASS</v>
      </c>
      <c r="L44" t="str">
        <f t="shared" si="0"/>
        <v>PASS</v>
      </c>
    </row>
    <row r="45" spans="1:12" x14ac:dyDescent="0.25">
      <c r="A45" t="s">
        <v>169</v>
      </c>
      <c r="B45" t="str">
        <f>IF('Equipment Information'!B45="","", 'Equipment Information'!B45)</f>
        <v>RF-7104</v>
      </c>
      <c r="C45" t="str">
        <f>IF('Equipment Information'!C45="","", 'Equipment Information'!C45)</f>
        <v>Electrical Room #4</v>
      </c>
      <c r="D45" t="str">
        <f>IF('Equipment Information'!D45="","", 'Equipment Information'!D45)</f>
        <v>Variable Frequency Drives &lt;=50hp</v>
      </c>
      <c r="E45" t="str">
        <f>IF(A45="","", IFERROR(VLOOKUP(A45, 'Energized Data'!A:T, 20, FALSE), "N/A"))</f>
        <v>N/A</v>
      </c>
      <c r="F45" t="str">
        <f>IF(A45="","", IFERROR(VLOOKUP(A45, Insulation!A:J, 9, FALSE), "N/A"))</f>
        <v>N/A</v>
      </c>
      <c r="G45" t="str">
        <f>IF(A45="","", IFERROR(VLOOKUP(A45, DLRO!A:I, 8, FALSE), "N/A"))</f>
        <v>N/A</v>
      </c>
      <c r="H45" t="str">
        <f>IF(A45="","", IFERROR(VLOOKUP(A45, Torque!A:I, 8, FALSE), "N/A"))</f>
        <v>N/A</v>
      </c>
      <c r="I45" t="str">
        <f>IF(A45="","", IFERROR(VLOOKUP(A45, Infrared!A:G, 6, FALSE), "N/A"))</f>
        <v>PASS</v>
      </c>
      <c r="J45" t="str">
        <f>IF(A45="","", IFERROR(VLOOKUP(A45, Ultrasonic!A:H, 7, FALSE), "N/A"))</f>
        <v>PASS</v>
      </c>
      <c r="K45" t="str">
        <f>IF(A45="","", IFERROR(VLOOKUP(A45, 'Code Violations'!A:V, 22, FALSE), "N/A"))</f>
        <v>FAIL</v>
      </c>
      <c r="L45" t="str">
        <f t="shared" si="0"/>
        <v>FAIL</v>
      </c>
    </row>
    <row r="46" spans="1:12" x14ac:dyDescent="0.25">
      <c r="A46" t="s">
        <v>171</v>
      </c>
      <c r="B46" t="str">
        <f>IF('Equipment Information'!B46="","", 'Equipment Information'!B46)</f>
        <v>DP-10</v>
      </c>
      <c r="C46" t="str">
        <f>IF('Equipment Information'!C46="","", 'Equipment Information'!C46)</f>
        <v>Electrical Room #4</v>
      </c>
      <c r="D46" t="str">
        <f>IF('Equipment Information'!D46="","", 'Equipment Information'!D46)</f>
        <v>Distribution Panel Single Front &gt;=600A</v>
      </c>
      <c r="E46" t="str">
        <f>IF(A46="","", IFERROR(VLOOKUP(A46, 'Energized Data'!A:T, 20, FALSE), "N/A"))</f>
        <v>N/A</v>
      </c>
      <c r="F46" t="str">
        <f>IF(A46="","", IFERROR(VLOOKUP(A46, Insulation!A:J, 9, FALSE), "N/A"))</f>
        <v>N/A</v>
      </c>
      <c r="G46" t="str">
        <f>IF(A46="","", IFERROR(VLOOKUP(A46, DLRO!A:I, 8, FALSE), "N/A"))</f>
        <v>N/A</v>
      </c>
      <c r="H46" t="str">
        <f>IF(A46="","", IFERROR(VLOOKUP(A46, Torque!A:I, 8, FALSE), "N/A"))</f>
        <v>N/A</v>
      </c>
      <c r="I46" t="str">
        <f>IF(A46="","", IFERROR(VLOOKUP(A46, Infrared!A:G, 6, FALSE), "N/A"))</f>
        <v>PASS</v>
      </c>
      <c r="J46" t="str">
        <f>IF(A46="","", IFERROR(VLOOKUP(A46, Ultrasonic!A:H, 7, FALSE), "N/A"))</f>
        <v>PASS</v>
      </c>
      <c r="K46" t="str">
        <f>IF(A46="","", IFERROR(VLOOKUP(A46, 'Code Violations'!A:V, 22, FALSE), "N/A"))</f>
        <v>PASS</v>
      </c>
      <c r="L46" t="str">
        <f t="shared" si="0"/>
        <v>PASS</v>
      </c>
    </row>
    <row r="47" spans="1:12" x14ac:dyDescent="0.25">
      <c r="A47" t="s">
        <v>173</v>
      </c>
      <c r="B47" t="str">
        <f>IF('Equipment Information'!B47="","", 'Equipment Information'!B47)</f>
        <v>Cooling Towers</v>
      </c>
      <c r="C47" t="str">
        <f>IF('Equipment Information'!C47="","", 'Equipment Information'!C47)</f>
        <v>Electrical Room #4</v>
      </c>
      <c r="D47" t="str">
        <f>IF('Equipment Information'!D47="","", 'Equipment Information'!D47)</f>
        <v>Individual Molded Case Breaker &gt;=600A</v>
      </c>
      <c r="E47" t="str">
        <f>IF(A47="","", IFERROR(VLOOKUP(A47, 'Energized Data'!A:T, 20, FALSE), "N/A"))</f>
        <v>N/A</v>
      </c>
      <c r="F47" t="str">
        <f>IF(A47="","", IFERROR(VLOOKUP(A47, Insulation!A:J, 9, FALSE), "N/A"))</f>
        <v>N/A</v>
      </c>
      <c r="G47" t="str">
        <f>IF(A47="","", IFERROR(VLOOKUP(A47, DLRO!A:I, 8, FALSE), "N/A"))</f>
        <v>N/A</v>
      </c>
      <c r="H47" t="str">
        <f>IF(A47="","", IFERROR(VLOOKUP(A47, Torque!A:I, 8, FALSE), "N/A"))</f>
        <v>N/A</v>
      </c>
      <c r="I47" t="str">
        <f>IF(A47="","", IFERROR(VLOOKUP(A47, Infrared!A:G, 6, FALSE), "N/A"))</f>
        <v>PASS</v>
      </c>
      <c r="J47" t="str">
        <f>IF(A47="","", IFERROR(VLOOKUP(A47, Ultrasonic!A:H, 7, FALSE), "N/A"))</f>
        <v>PASS</v>
      </c>
      <c r="K47" t="str">
        <f>IF(A47="","", IFERROR(VLOOKUP(A47, 'Code Violations'!A:V, 22, FALSE), "N/A"))</f>
        <v>PASS</v>
      </c>
      <c r="L47" t="str">
        <f t="shared" si="0"/>
        <v>PASS</v>
      </c>
    </row>
    <row r="48" spans="1:12" x14ac:dyDescent="0.25">
      <c r="A48" t="s">
        <v>176</v>
      </c>
      <c r="B48" t="str">
        <f>IF('Equipment Information'!B48="","", 'Equipment Information'!B48)</f>
        <v>PP FF-2</v>
      </c>
      <c r="C48" t="str">
        <f>IF('Equipment Information'!C48="","", 'Equipment Information'!C48)</f>
        <v>Electrical Room #4</v>
      </c>
      <c r="D48" t="str">
        <f>IF('Equipment Information'!D48="","", 'Equipment Information'!D48)</f>
        <v>Branch Circuit Panel &lt;=400A</v>
      </c>
      <c r="E48" t="str">
        <f>IF(A48="","", IFERROR(VLOOKUP(A48, 'Energized Data'!A:T, 20, FALSE), "N/A"))</f>
        <v>N/A</v>
      </c>
      <c r="F48" t="str">
        <f>IF(A48="","", IFERROR(VLOOKUP(A48, Insulation!A:J, 9, FALSE), "N/A"))</f>
        <v>N/A</v>
      </c>
      <c r="G48" t="str">
        <f>IF(A48="","", IFERROR(VLOOKUP(A48, DLRO!A:I, 8, FALSE), "N/A"))</f>
        <v>N/A</v>
      </c>
      <c r="H48" t="str">
        <f>IF(A48="","", IFERROR(VLOOKUP(A48, Torque!A:I, 8, FALSE), "N/A"))</f>
        <v>N/A</v>
      </c>
      <c r="I48" t="str">
        <f>IF(A48="","", IFERROR(VLOOKUP(A48, Infrared!A:G, 6, FALSE), "N/A"))</f>
        <v>PASS</v>
      </c>
      <c r="J48" t="str">
        <f>IF(A48="","", IFERROR(VLOOKUP(A48, Ultrasonic!A:H, 7, FALSE), "N/A"))</f>
        <v>PASS</v>
      </c>
      <c r="K48" t="str">
        <f>IF(A48="","", IFERROR(VLOOKUP(A48, 'Code Violations'!A:V, 22, FALSE), "N/A"))</f>
        <v>PASS</v>
      </c>
      <c r="L48" t="str">
        <f t="shared" si="0"/>
        <v>PASS</v>
      </c>
    </row>
    <row r="49" spans="1:12" x14ac:dyDescent="0.25">
      <c r="A49" t="s">
        <v>178</v>
      </c>
      <c r="B49" t="str">
        <f>IF('Equipment Information'!B49="","", 'Equipment Information'!B49)</f>
        <v>LP FF-1</v>
      </c>
      <c r="C49" t="str">
        <f>IF('Equipment Information'!C49="","", 'Equipment Information'!C49)</f>
        <v>Electrical Room #4</v>
      </c>
      <c r="D49" t="str">
        <f>IF('Equipment Information'!D49="","", 'Equipment Information'!D49)</f>
        <v>Branch Circuit Panel &lt;=400A</v>
      </c>
      <c r="E49" t="str">
        <f>IF(A49="","", IFERROR(VLOOKUP(A49, 'Energized Data'!A:T, 20, FALSE), "N/A"))</f>
        <v>N/A</v>
      </c>
      <c r="F49" t="str">
        <f>IF(A49="","", IFERROR(VLOOKUP(A49, Insulation!A:J, 9, FALSE), "N/A"))</f>
        <v>N/A</v>
      </c>
      <c r="G49" t="str">
        <f>IF(A49="","", IFERROR(VLOOKUP(A49, DLRO!A:I, 8, FALSE), "N/A"))</f>
        <v>N/A</v>
      </c>
      <c r="H49" t="str">
        <f>IF(A49="","", IFERROR(VLOOKUP(A49, Torque!A:I, 8, FALSE), "N/A"))</f>
        <v>N/A</v>
      </c>
      <c r="I49" t="str">
        <f>IF(A49="","", IFERROR(VLOOKUP(A49, Infrared!A:G, 6, FALSE), "N/A"))</f>
        <v>PASS</v>
      </c>
      <c r="J49" t="str">
        <f>IF(A49="","", IFERROR(VLOOKUP(A49, Ultrasonic!A:H, 7, FALSE), "N/A"))</f>
        <v>PASS</v>
      </c>
      <c r="K49" t="str">
        <f>IF(A49="","", IFERROR(VLOOKUP(A49, 'Code Violations'!A:V, 22, FALSE), "N/A"))</f>
        <v>PASS</v>
      </c>
      <c r="L49" t="str">
        <f t="shared" si="0"/>
        <v>PASS</v>
      </c>
    </row>
    <row r="50" spans="1:12" x14ac:dyDescent="0.25">
      <c r="A50" t="s">
        <v>180</v>
      </c>
      <c r="B50" t="str">
        <f>IF('Equipment Information'!B50="","", 'Equipment Information'!B50)</f>
        <v>PP FF-1</v>
      </c>
      <c r="C50" t="str">
        <f>IF('Equipment Information'!C50="","", 'Equipment Information'!C50)</f>
        <v>Electrical Room #4</v>
      </c>
      <c r="D50" t="str">
        <f>IF('Equipment Information'!D50="","", 'Equipment Information'!D50)</f>
        <v>Branch Circuit Panel &lt;=400A</v>
      </c>
      <c r="E50" t="str">
        <f>IF(A50="","", IFERROR(VLOOKUP(A50, 'Energized Data'!A:T, 20, FALSE), "N/A"))</f>
        <v>N/A</v>
      </c>
      <c r="F50" t="str">
        <f>IF(A50="","", IFERROR(VLOOKUP(A50, Insulation!A:J, 9, FALSE), "N/A"))</f>
        <v>N/A</v>
      </c>
      <c r="G50" t="str">
        <f>IF(A50="","", IFERROR(VLOOKUP(A50, DLRO!A:I, 8, FALSE), "N/A"))</f>
        <v>N/A</v>
      </c>
      <c r="H50" t="str">
        <f>IF(A50="","", IFERROR(VLOOKUP(A50, Torque!A:I, 8, FALSE), "N/A"))</f>
        <v>N/A</v>
      </c>
      <c r="I50" t="str">
        <f>IF(A50="","", IFERROR(VLOOKUP(A50, Infrared!A:G, 6, FALSE), "N/A"))</f>
        <v>PASS</v>
      </c>
      <c r="J50" t="str">
        <f>IF(A50="","", IFERROR(VLOOKUP(A50, Ultrasonic!A:H, 7, FALSE), "N/A"))</f>
        <v>PASS</v>
      </c>
      <c r="K50" t="str">
        <f>IF(A50="","", IFERROR(VLOOKUP(A50, 'Code Violations'!A:V, 22, FALSE), "N/A"))</f>
        <v>FAIL</v>
      </c>
      <c r="L50" t="str">
        <f t="shared" si="0"/>
        <v>FAIL</v>
      </c>
    </row>
    <row r="51" spans="1:12" x14ac:dyDescent="0.25">
      <c r="A51" t="s">
        <v>182</v>
      </c>
      <c r="B51" t="str">
        <f>IF('Equipment Information'!B51="","", 'Equipment Information'!B51)</f>
        <v>PP FF-1A</v>
      </c>
      <c r="C51" t="str">
        <f>IF('Equipment Information'!C51="","", 'Equipment Information'!C51)</f>
        <v>Electrical Room #4</v>
      </c>
      <c r="D51" t="str">
        <f>IF('Equipment Information'!D51="","", 'Equipment Information'!D51)</f>
        <v>Branch Circuit Panel &lt;=400A</v>
      </c>
      <c r="E51" t="str">
        <f>IF(A51="","", IFERROR(VLOOKUP(A51, 'Energized Data'!A:T, 20, FALSE), "N/A"))</f>
        <v>N/A</v>
      </c>
      <c r="F51" t="str">
        <f>IF(A51="","", IFERROR(VLOOKUP(A51, Insulation!A:J, 9, FALSE), "N/A"))</f>
        <v>N/A</v>
      </c>
      <c r="G51" t="str">
        <f>IF(A51="","", IFERROR(VLOOKUP(A51, DLRO!A:I, 8, FALSE), "N/A"))</f>
        <v>N/A</v>
      </c>
      <c r="H51" t="str">
        <f>IF(A51="","", IFERROR(VLOOKUP(A51, Torque!A:I, 8, FALSE), "N/A"))</f>
        <v>N/A</v>
      </c>
      <c r="I51" t="str">
        <f>IF(A51="","", IFERROR(VLOOKUP(A51, Infrared!A:G, 6, FALSE), "N/A"))</f>
        <v>PASS</v>
      </c>
      <c r="J51" t="str">
        <f>IF(A51="","", IFERROR(VLOOKUP(A51, Ultrasonic!A:H, 7, FALSE), "N/A"))</f>
        <v>PASS</v>
      </c>
      <c r="K51" t="str">
        <f>IF(A51="","", IFERROR(VLOOKUP(A51, 'Code Violations'!A:V, 22, FALSE), "N/A"))</f>
        <v>PASS</v>
      </c>
      <c r="L51" t="str">
        <f t="shared" si="0"/>
        <v>PASS</v>
      </c>
    </row>
    <row r="52" spans="1:12" x14ac:dyDescent="0.25">
      <c r="A52" t="s">
        <v>184</v>
      </c>
      <c r="B52" t="str">
        <f>IF('Equipment Information'!B52="","", 'Equipment Information'!B52)</f>
        <v>CP-5110 &amp; CP-5120</v>
      </c>
      <c r="C52" t="str">
        <f>IF('Equipment Information'!C52="","", 'Equipment Information'!C52)</f>
        <v>Electrical Room #4</v>
      </c>
      <c r="D52" t="str">
        <f>IF('Equipment Information'!D52="","", 'Equipment Information'!D52)</f>
        <v>MCC: Individual Disconnect Switch</v>
      </c>
      <c r="E52" t="str">
        <f>IF(A52="","", IFERROR(VLOOKUP(A52, 'Energized Data'!A:T, 20, FALSE), "N/A"))</f>
        <v>N/A</v>
      </c>
      <c r="F52" t="str">
        <f>IF(A52="","", IFERROR(VLOOKUP(A52, Insulation!A:J, 9, FALSE), "N/A"))</f>
        <v>N/A</v>
      </c>
      <c r="G52" t="str">
        <f>IF(A52="","", IFERROR(VLOOKUP(A52, DLRO!A:I, 8, FALSE), "N/A"))</f>
        <v>N/A</v>
      </c>
      <c r="H52" t="str">
        <f>IF(A52="","", IFERROR(VLOOKUP(A52, Torque!A:I, 8, FALSE), "N/A"))</f>
        <v>N/A</v>
      </c>
      <c r="I52" t="str">
        <f>IF(A52="","", IFERROR(VLOOKUP(A52, Infrared!A:G, 6, FALSE), "N/A"))</f>
        <v>PASS</v>
      </c>
      <c r="J52" t="str">
        <f>IF(A52="","", IFERROR(VLOOKUP(A52, Ultrasonic!A:H, 7, FALSE), "N/A"))</f>
        <v>PASS</v>
      </c>
      <c r="K52" t="str">
        <f>IF(A52="","", IFERROR(VLOOKUP(A52, 'Code Violations'!A:V, 22, FALSE), "N/A"))</f>
        <v>PASS</v>
      </c>
      <c r="L52" t="str">
        <f t="shared" si="0"/>
        <v>PASS</v>
      </c>
    </row>
    <row r="53" spans="1:12" x14ac:dyDescent="0.25">
      <c r="A53" t="s">
        <v>187</v>
      </c>
      <c r="B53" t="str">
        <f>IF('Equipment Information'!B53="","", 'Equipment Information'!B53)</f>
        <v/>
      </c>
      <c r="C53" t="str">
        <f>IF('Equipment Information'!C53="","", 'Equipment Information'!C53)</f>
        <v>Electrical Room #4 Mezzanine</v>
      </c>
      <c r="D53" t="str">
        <f>IF('Equipment Information'!D53="","", 'Equipment Information'!D53)</f>
        <v>Distribution Panel Single Front &gt;=600A</v>
      </c>
      <c r="E53" t="str">
        <f>IF(A53="","", IFERROR(VLOOKUP(A53, 'Energized Data'!A:T, 20, FALSE), "N/A"))</f>
        <v>N/A</v>
      </c>
      <c r="F53" t="str">
        <f>IF(A53="","", IFERROR(VLOOKUP(A53, Insulation!A:J, 9, FALSE), "N/A"))</f>
        <v>N/A</v>
      </c>
      <c r="G53" t="str">
        <f>IF(A53="","", IFERROR(VLOOKUP(A53, DLRO!A:I, 8, FALSE), "N/A"))</f>
        <v>N/A</v>
      </c>
      <c r="H53" t="str">
        <f>IF(A53="","", IFERROR(VLOOKUP(A53, Torque!A:I, 8, FALSE), "N/A"))</f>
        <v>N/A</v>
      </c>
      <c r="I53" t="str">
        <f>IF(A53="","", IFERROR(VLOOKUP(A53, Infrared!A:G, 6, FALSE), "N/A"))</f>
        <v>PASS</v>
      </c>
      <c r="J53" t="str">
        <f>IF(A53="","", IFERROR(VLOOKUP(A53, Ultrasonic!A:H, 7, FALSE), "N/A"))</f>
        <v>PASS</v>
      </c>
      <c r="K53" t="str">
        <f>IF(A53="","", IFERROR(VLOOKUP(A53, 'Code Violations'!A:V, 22, FALSE), "N/A"))</f>
        <v>PASS</v>
      </c>
      <c r="L53" t="str">
        <f t="shared" si="0"/>
        <v>PASS</v>
      </c>
    </row>
    <row r="54" spans="1:12" x14ac:dyDescent="0.25">
      <c r="A54" t="s">
        <v>189</v>
      </c>
      <c r="B54" t="str">
        <f>IF('Equipment Information'!B54="","", 'Equipment Information'!B54)</f>
        <v/>
      </c>
      <c r="C54" t="str">
        <f>IF('Equipment Information'!C54="","", 'Equipment Information'!C54)</f>
        <v>Electrical Room #4 Mezzanine</v>
      </c>
      <c r="D54" t="str">
        <f>IF('Equipment Information'!D54="","", 'Equipment Information'!D54)</f>
        <v>Branch Circuit Panel &lt;=400A</v>
      </c>
      <c r="E54" t="str">
        <f>IF(A54="","", IFERROR(VLOOKUP(A54, 'Energized Data'!A:T, 20, FALSE), "N/A"))</f>
        <v>N/A</v>
      </c>
      <c r="F54" t="str">
        <f>IF(A54="","", IFERROR(VLOOKUP(A54, Insulation!A:J, 9, FALSE), "N/A"))</f>
        <v>N/A</v>
      </c>
      <c r="G54" t="str">
        <f>IF(A54="","", IFERROR(VLOOKUP(A54, DLRO!A:I, 8, FALSE), "N/A"))</f>
        <v>N/A</v>
      </c>
      <c r="H54" t="str">
        <f>IF(A54="","", IFERROR(VLOOKUP(A54, Torque!A:I, 8, FALSE), "N/A"))</f>
        <v>N/A</v>
      </c>
      <c r="I54" t="str">
        <f>IF(A54="","", IFERROR(VLOOKUP(A54, Infrared!A:G, 6, FALSE), "N/A"))</f>
        <v>PASS</v>
      </c>
      <c r="J54" t="str">
        <f>IF(A54="","", IFERROR(VLOOKUP(A54, Ultrasonic!A:H, 7, FALSE), "N/A"))</f>
        <v>PASS</v>
      </c>
      <c r="K54" t="str">
        <f>IF(A54="","", IFERROR(VLOOKUP(A54, 'Code Violations'!A:V, 22, FALSE), "N/A"))</f>
        <v>PASS</v>
      </c>
      <c r="L54" t="str">
        <f t="shared" si="0"/>
        <v>PASS</v>
      </c>
    </row>
    <row r="55" spans="1:12" x14ac:dyDescent="0.25">
      <c r="A55" t="s">
        <v>190</v>
      </c>
      <c r="B55" t="str">
        <f>IF('Equipment Information'!B55="","", 'Equipment Information'!B55)</f>
        <v/>
      </c>
      <c r="C55" t="str">
        <f>IF('Equipment Information'!C55="","", 'Equipment Information'!C55)</f>
        <v>Electrical Room #4 Mezzanine</v>
      </c>
      <c r="D55" t="str">
        <f>IF('Equipment Information'!D55="","", 'Equipment Information'!D55)</f>
        <v>Motor Control Panel (MCP)</v>
      </c>
      <c r="E55" t="str">
        <f>IF(A55="","", IFERROR(VLOOKUP(A55, 'Energized Data'!A:T, 20, FALSE), "N/A"))</f>
        <v>N/A</v>
      </c>
      <c r="F55" t="str">
        <f>IF(A55="","", IFERROR(VLOOKUP(A55, Insulation!A:J, 9, FALSE), "N/A"))</f>
        <v>N/A</v>
      </c>
      <c r="G55" t="str">
        <f>IF(A55="","", IFERROR(VLOOKUP(A55, DLRO!A:I, 8, FALSE), "N/A"))</f>
        <v>N/A</v>
      </c>
      <c r="H55" t="str">
        <f>IF(A55="","", IFERROR(VLOOKUP(A55, Torque!A:I, 8, FALSE), "N/A"))</f>
        <v>N/A</v>
      </c>
      <c r="I55" t="str">
        <f>IF(A55="","", IFERROR(VLOOKUP(A55, Infrared!A:G, 6, FALSE), "N/A"))</f>
        <v>PASS</v>
      </c>
      <c r="J55" t="str">
        <f>IF(A55="","", IFERROR(VLOOKUP(A55, Ultrasonic!A:H, 7, FALSE), "N/A"))</f>
        <v>PASS</v>
      </c>
      <c r="K55" t="str">
        <f>IF(A55="","", IFERROR(VLOOKUP(A55, 'Code Violations'!A:V, 22, FALSE), "N/A"))</f>
        <v>PASS</v>
      </c>
      <c r="L55" t="str">
        <f t="shared" si="0"/>
        <v>PASS</v>
      </c>
    </row>
    <row r="56" spans="1:12" x14ac:dyDescent="0.25">
      <c r="A56" t="s">
        <v>191</v>
      </c>
      <c r="B56" t="str">
        <f>IF('Equipment Information'!B56="","", 'Equipment Information'!B56)</f>
        <v/>
      </c>
      <c r="C56" t="str">
        <f>IF('Equipment Information'!C56="","", 'Equipment Information'!C56)</f>
        <v>Electrical Room #4 Mezzanine</v>
      </c>
      <c r="D56" t="str">
        <f>IF('Equipment Information'!D56="","", 'Equipment Information'!D56)</f>
        <v>Motor Control Panel (MCP)</v>
      </c>
      <c r="E56" t="str">
        <f>IF(A56="","", IFERROR(VLOOKUP(A56, 'Energized Data'!A:T, 20, FALSE), "N/A"))</f>
        <v>N/A</v>
      </c>
      <c r="F56" t="str">
        <f>IF(A56="","", IFERROR(VLOOKUP(A56, Insulation!A:J, 9, FALSE), "N/A"))</f>
        <v>N/A</v>
      </c>
      <c r="G56" t="str">
        <f>IF(A56="","", IFERROR(VLOOKUP(A56, DLRO!A:I, 8, FALSE), "N/A"))</f>
        <v>N/A</v>
      </c>
      <c r="H56" t="str">
        <f>IF(A56="","", IFERROR(VLOOKUP(A56, Torque!A:I, 8, FALSE), "N/A"))</f>
        <v>N/A</v>
      </c>
      <c r="I56" t="str">
        <f>IF(A56="","", IFERROR(VLOOKUP(A56, Infrared!A:G, 6, FALSE), "N/A"))</f>
        <v>PASS</v>
      </c>
      <c r="J56" t="str">
        <f>IF(A56="","", IFERROR(VLOOKUP(A56, Ultrasonic!A:H, 7, FALSE), "N/A"))</f>
        <v>PASS</v>
      </c>
      <c r="K56" t="str">
        <f>IF(A56="","", IFERROR(VLOOKUP(A56, 'Code Violations'!A:V, 22, FALSE), "N/A"))</f>
        <v>PASS</v>
      </c>
      <c r="L56" t="str">
        <f t="shared" si="0"/>
        <v>PASS</v>
      </c>
    </row>
    <row r="57" spans="1:12" x14ac:dyDescent="0.25">
      <c r="A57" t="s">
        <v>192</v>
      </c>
      <c r="B57" t="str">
        <f>IF('Equipment Information'!B57="","", 'Equipment Information'!B57)</f>
        <v/>
      </c>
      <c r="C57" t="str">
        <f>IF('Equipment Information'!C57="","", 'Equipment Information'!C57)</f>
        <v>Electrical Room #4 Mezzanine</v>
      </c>
      <c r="D57" t="str">
        <f>IF('Equipment Information'!D57="","", 'Equipment Information'!D57)</f>
        <v>Motor Control Panel (MCP)</v>
      </c>
      <c r="E57" t="str">
        <f>IF(A57="","", IFERROR(VLOOKUP(A57, 'Energized Data'!A:T, 20, FALSE), "N/A"))</f>
        <v>N/A</v>
      </c>
      <c r="F57" t="str">
        <f>IF(A57="","", IFERROR(VLOOKUP(A57, Insulation!A:J, 9, FALSE), "N/A"))</f>
        <v>N/A</v>
      </c>
      <c r="G57" t="str">
        <f>IF(A57="","", IFERROR(VLOOKUP(A57, DLRO!A:I, 8, FALSE), "N/A"))</f>
        <v>N/A</v>
      </c>
      <c r="H57" t="str">
        <f>IF(A57="","", IFERROR(VLOOKUP(A57, Torque!A:I, 8, FALSE), "N/A"))</f>
        <v>N/A</v>
      </c>
      <c r="I57" t="str">
        <f>IF(A57="","", IFERROR(VLOOKUP(A57, Infrared!A:G, 6, FALSE), "N/A"))</f>
        <v>PASS</v>
      </c>
      <c r="J57" t="str">
        <f>IF(A57="","", IFERROR(VLOOKUP(A57, Ultrasonic!A:H, 7, FALSE), "N/A"))</f>
        <v>PASS</v>
      </c>
      <c r="K57" t="str">
        <f>IF(A57="","", IFERROR(VLOOKUP(A57, 'Code Violations'!A:V, 22, FALSE), "N/A"))</f>
        <v>PASS</v>
      </c>
      <c r="L57" t="str">
        <f t="shared" si="0"/>
        <v>PASS</v>
      </c>
    </row>
    <row r="58" spans="1:12" x14ac:dyDescent="0.25">
      <c r="A58" t="s">
        <v>193</v>
      </c>
      <c r="B58" t="str">
        <f>IF('Equipment Information'!B58="","", 'Equipment Information'!B58)</f>
        <v/>
      </c>
      <c r="C58" t="str">
        <f>IF('Equipment Information'!C58="","", 'Equipment Information'!C58)</f>
        <v>Electrical Room #4 Mezzanine</v>
      </c>
      <c r="D58" t="str">
        <f>IF('Equipment Information'!D58="","", 'Equipment Information'!D58)</f>
        <v>Motor Control Panel (MCP)</v>
      </c>
      <c r="E58" t="str">
        <f>IF(A58="","", IFERROR(VLOOKUP(A58, 'Energized Data'!A:T, 20, FALSE), "N/A"))</f>
        <v>N/A</v>
      </c>
      <c r="F58" t="str">
        <f>IF(A58="","", IFERROR(VLOOKUP(A58, Insulation!A:J, 9, FALSE), "N/A"))</f>
        <v>N/A</v>
      </c>
      <c r="G58" t="str">
        <f>IF(A58="","", IFERROR(VLOOKUP(A58, DLRO!A:I, 8, FALSE), "N/A"))</f>
        <v>N/A</v>
      </c>
      <c r="H58" t="str">
        <f>IF(A58="","", IFERROR(VLOOKUP(A58, Torque!A:I, 8, FALSE), "N/A"))</f>
        <v>N/A</v>
      </c>
      <c r="I58" t="str">
        <f>IF(A58="","", IFERROR(VLOOKUP(A58, Infrared!A:G, 6, FALSE), "N/A"))</f>
        <v>PASS</v>
      </c>
      <c r="J58" t="str">
        <f>IF(A58="","", IFERROR(VLOOKUP(A58, Ultrasonic!A:H, 7, FALSE), "N/A"))</f>
        <v>PASS</v>
      </c>
      <c r="K58" t="str">
        <f>IF(A58="","", IFERROR(VLOOKUP(A58, 'Code Violations'!A:V, 22, FALSE), "N/A"))</f>
        <v>PASS</v>
      </c>
      <c r="L58" t="str">
        <f t="shared" si="0"/>
        <v>PASS</v>
      </c>
    </row>
    <row r="59" spans="1:12" x14ac:dyDescent="0.25">
      <c r="A59" t="s">
        <v>194</v>
      </c>
      <c r="B59" t="str">
        <f>IF('Equipment Information'!B59="","", 'Equipment Information'!B59)</f>
        <v>15 kVa Transformer</v>
      </c>
      <c r="C59" t="str">
        <f>IF('Equipment Information'!C59="","", 'Equipment Information'!C59)</f>
        <v>Packaging</v>
      </c>
      <c r="D59" t="str">
        <f>IF('Equipment Information'!D59="","", 'Equipment Information'!D59)</f>
        <v>480V/208V/120V Transformer - Dry &lt;250 kva</v>
      </c>
      <c r="E59" t="str">
        <f>IF(A59="","", IFERROR(VLOOKUP(A59, 'Energized Data'!A:T, 20, FALSE), "N/A"))</f>
        <v>N/A</v>
      </c>
      <c r="F59" t="str">
        <f>IF(A59="","", IFERROR(VLOOKUP(A59, Insulation!A:J, 9, FALSE), "N/A"))</f>
        <v>N/A</v>
      </c>
      <c r="G59" t="str">
        <f>IF(A59="","", IFERROR(VLOOKUP(A59, DLRO!A:I, 8, FALSE), "N/A"))</f>
        <v>N/A</v>
      </c>
      <c r="H59" t="str">
        <f>IF(A59="","", IFERROR(VLOOKUP(A59, Torque!A:I, 8, FALSE), "N/A"))</f>
        <v>N/A</v>
      </c>
      <c r="I59" t="str">
        <f>IF(A59="","", IFERROR(VLOOKUP(A59, Infrared!A:G, 6, FALSE), "N/A"))</f>
        <v>PASS</v>
      </c>
      <c r="J59" t="str">
        <f>IF(A59="","", IFERROR(VLOOKUP(A59, Ultrasonic!A:H, 7, FALSE), "N/A"))</f>
        <v>PASS</v>
      </c>
      <c r="K59" t="str">
        <f>IF(A59="","", IFERROR(VLOOKUP(A59, 'Code Violations'!A:V, 22, FALSE), "N/A"))</f>
        <v>PASS</v>
      </c>
      <c r="L59" t="str">
        <f t="shared" si="0"/>
        <v>PASS</v>
      </c>
    </row>
    <row r="60" spans="1:12" x14ac:dyDescent="0.25">
      <c r="A60" t="s">
        <v>197</v>
      </c>
      <c r="B60" t="str">
        <f>IF('Equipment Information'!B60="","", 'Equipment Information'!B60)</f>
        <v>Color Sorter Transformer</v>
      </c>
      <c r="C60" t="str">
        <f>IF('Equipment Information'!C60="","", 'Equipment Information'!C60)</f>
        <v>Packaging</v>
      </c>
      <c r="D60" t="str">
        <f>IF('Equipment Information'!D60="","", 'Equipment Information'!D60)</f>
        <v>480V/208V/120V Transformer - Dry &lt;250 kva</v>
      </c>
      <c r="E60" t="str">
        <f>IF(A60="","", IFERROR(VLOOKUP(A60, 'Energized Data'!A:T, 20, FALSE), "N/A"))</f>
        <v>N/A</v>
      </c>
      <c r="F60" t="str">
        <f>IF(A60="","", IFERROR(VLOOKUP(A60, Insulation!A:J, 9, FALSE), "N/A"))</f>
        <v>N/A</v>
      </c>
      <c r="G60" t="str">
        <f>IF(A60="","", IFERROR(VLOOKUP(A60, DLRO!A:I, 8, FALSE), "N/A"))</f>
        <v>N/A</v>
      </c>
      <c r="H60" t="str">
        <f>IF(A60="","", IFERROR(VLOOKUP(A60, Torque!A:I, 8, FALSE), "N/A"))</f>
        <v>N/A</v>
      </c>
      <c r="I60" t="str">
        <f>IF(A60="","", IFERROR(VLOOKUP(A60, Infrared!A:G, 6, FALSE), "N/A"))</f>
        <v>PASS</v>
      </c>
      <c r="J60" t="str">
        <f>IF(A60="","", IFERROR(VLOOKUP(A60, Ultrasonic!A:H, 7, FALSE), "N/A"))</f>
        <v>PASS</v>
      </c>
      <c r="K60" t="str">
        <f>IF(A60="","", IFERROR(VLOOKUP(A60, 'Code Violations'!A:V, 22, FALSE), "N/A"))</f>
        <v>FAIL</v>
      </c>
      <c r="L60" t="str">
        <f t="shared" si="0"/>
        <v>FAIL</v>
      </c>
    </row>
    <row r="61" spans="1:12" x14ac:dyDescent="0.25">
      <c r="A61" t="s">
        <v>199</v>
      </c>
      <c r="B61" t="str">
        <f>IF('Equipment Information'!B61="","", 'Equipment Information'!B61)</f>
        <v>LP3 Sub-Panel</v>
      </c>
      <c r="C61" t="str">
        <f>IF('Equipment Information'!C61="","", 'Equipment Information'!C61)</f>
        <v>Packaging</v>
      </c>
      <c r="D61" t="str">
        <f>IF('Equipment Information'!D61="","", 'Equipment Information'!D61)</f>
        <v>Branch Circuit Panel &lt;=400A</v>
      </c>
      <c r="E61" t="str">
        <f>IF(A61="","", IFERROR(VLOOKUP(A61, 'Energized Data'!A:T, 20, FALSE), "N/A"))</f>
        <v>N/A</v>
      </c>
      <c r="F61" t="str">
        <f>IF(A61="","", IFERROR(VLOOKUP(A61, Insulation!A:J, 9, FALSE), "N/A"))</f>
        <v>N/A</v>
      </c>
      <c r="G61" t="str">
        <f>IF(A61="","", IFERROR(VLOOKUP(A61, DLRO!A:I, 8, FALSE), "N/A"))</f>
        <v>N/A</v>
      </c>
      <c r="H61" t="str">
        <f>IF(A61="","", IFERROR(VLOOKUP(A61, Torque!A:I, 8, FALSE), "N/A"))</f>
        <v>N/A</v>
      </c>
      <c r="I61" t="str">
        <f>IF(A61="","", IFERROR(VLOOKUP(A61, Infrared!A:G, 6, FALSE), "N/A"))</f>
        <v>PASS</v>
      </c>
      <c r="J61" t="str">
        <f>IF(A61="","", IFERROR(VLOOKUP(A61, Ultrasonic!A:H, 7, FALSE), "N/A"))</f>
        <v>PASS</v>
      </c>
      <c r="K61" t="str">
        <f>IF(A61="","", IFERROR(VLOOKUP(A61, 'Code Violations'!A:V, 22, FALSE), "N/A"))</f>
        <v>PASS</v>
      </c>
      <c r="L61" t="str">
        <f t="shared" si="0"/>
        <v>PASS</v>
      </c>
    </row>
    <row r="62" spans="1:12" x14ac:dyDescent="0.25">
      <c r="A62" t="s">
        <v>201</v>
      </c>
      <c r="B62" t="str">
        <f>IF('Equipment Information'!B62="","", 'Equipment Information'!B62)</f>
        <v>LP3</v>
      </c>
      <c r="C62" t="str">
        <f>IF('Equipment Information'!C62="","", 'Equipment Information'!C62)</f>
        <v>Packaging</v>
      </c>
      <c r="D62" t="str">
        <f>IF('Equipment Information'!D62="","", 'Equipment Information'!D62)</f>
        <v>Branch Circuit Panel &lt;=400A</v>
      </c>
      <c r="E62" t="str">
        <f>IF(A62="","", IFERROR(VLOOKUP(A62, 'Energized Data'!A:T, 20, FALSE), "N/A"))</f>
        <v>N/A</v>
      </c>
      <c r="F62" t="str">
        <f>IF(A62="","", IFERROR(VLOOKUP(A62, Insulation!A:J, 9, FALSE), "N/A"))</f>
        <v>N/A</v>
      </c>
      <c r="G62" t="str">
        <f>IF(A62="","", IFERROR(VLOOKUP(A62, DLRO!A:I, 8, FALSE), "N/A"))</f>
        <v>N/A</v>
      </c>
      <c r="H62" t="str">
        <f>IF(A62="","", IFERROR(VLOOKUP(A62, Torque!A:I, 8, FALSE), "N/A"))</f>
        <v>N/A</v>
      </c>
      <c r="I62" t="str">
        <f>IF(A62="","", IFERROR(VLOOKUP(A62, Infrared!A:G, 6, FALSE), "N/A"))</f>
        <v>PASS</v>
      </c>
      <c r="J62" t="str">
        <f>IF(A62="","", IFERROR(VLOOKUP(A62, Ultrasonic!A:H, 7, FALSE), "N/A"))</f>
        <v>PASS</v>
      </c>
      <c r="K62" t="str">
        <f>IF(A62="","", IFERROR(VLOOKUP(A62, 'Code Violations'!A:V, 22, FALSE), "N/A"))</f>
        <v>FAIL</v>
      </c>
      <c r="L62" t="str">
        <f t="shared" si="0"/>
        <v>FAIL</v>
      </c>
    </row>
    <row r="63" spans="1:12" x14ac:dyDescent="0.25">
      <c r="A63" t="s">
        <v>203</v>
      </c>
      <c r="B63" t="str">
        <f>IF('Equipment Information'!B63="","", 'Equipment Information'!B63)</f>
        <v>Color Sorter Supply</v>
      </c>
      <c r="C63" t="str">
        <f>IF('Equipment Information'!C63="","", 'Equipment Information'!C63)</f>
        <v>Packaging</v>
      </c>
      <c r="D63" t="str">
        <f>IF('Equipment Information'!D63="","", 'Equipment Information'!D63)</f>
        <v>Individual Disconnect Switch</v>
      </c>
      <c r="E63" t="str">
        <f>IF(A63="","", IFERROR(VLOOKUP(A63, 'Energized Data'!A:T, 20, FALSE), "N/A"))</f>
        <v>N/A</v>
      </c>
      <c r="F63" t="str">
        <f>IF(A63="","", IFERROR(VLOOKUP(A63, Insulation!A:J, 9, FALSE), "N/A"))</f>
        <v>N/A</v>
      </c>
      <c r="G63" t="str">
        <f>IF(A63="","", IFERROR(VLOOKUP(A63, DLRO!A:I, 8, FALSE), "N/A"))</f>
        <v>N/A</v>
      </c>
      <c r="H63" t="str">
        <f>IF(A63="","", IFERROR(VLOOKUP(A63, Torque!A:I, 8, FALSE), "N/A"))</f>
        <v>N/A</v>
      </c>
      <c r="I63" t="str">
        <f>IF(A63="","", IFERROR(VLOOKUP(A63, Infrared!A:G, 6, FALSE), "N/A"))</f>
        <v>PASS</v>
      </c>
      <c r="J63" t="str">
        <f>IF(A63="","", IFERROR(VLOOKUP(A63, Ultrasonic!A:H, 7, FALSE), "N/A"))</f>
        <v>PASS</v>
      </c>
      <c r="K63" t="str">
        <f>IF(A63="","", IFERROR(VLOOKUP(A63, 'Code Violations'!A:V, 22, FALSE), "N/A"))</f>
        <v>PASS</v>
      </c>
      <c r="L63" t="str">
        <f t="shared" si="0"/>
        <v>PASS</v>
      </c>
    </row>
    <row r="64" spans="1:12" x14ac:dyDescent="0.25">
      <c r="A64" t="s">
        <v>205</v>
      </c>
      <c r="B64" t="str">
        <f>IF('Equipment Information'!B64="","", 'Equipment Information'!B64)</f>
        <v>HP3</v>
      </c>
      <c r="C64" t="str">
        <f>IF('Equipment Information'!C64="","", 'Equipment Information'!C64)</f>
        <v>Packaging</v>
      </c>
      <c r="D64" t="str">
        <f>IF('Equipment Information'!D64="","", 'Equipment Information'!D64)</f>
        <v>Branch Circuit Panel &lt;=400A</v>
      </c>
      <c r="E64" t="str">
        <f>IF(A64="","", IFERROR(VLOOKUP(A64, 'Energized Data'!A:T, 20, FALSE), "N/A"))</f>
        <v>N/A</v>
      </c>
      <c r="F64" t="str">
        <f>IF(A64="","", IFERROR(VLOOKUP(A64, Insulation!A:J, 9, FALSE), "N/A"))</f>
        <v>N/A</v>
      </c>
      <c r="G64" t="str">
        <f>IF(A64="","", IFERROR(VLOOKUP(A64, DLRO!A:I, 8, FALSE), "N/A"))</f>
        <v>N/A</v>
      </c>
      <c r="H64" t="str">
        <f>IF(A64="","", IFERROR(VLOOKUP(A64, Torque!A:I, 8, FALSE), "N/A"))</f>
        <v>N/A</v>
      </c>
      <c r="I64" t="str">
        <f>IF(A64="","", IFERROR(VLOOKUP(A64, Infrared!A:G, 6, FALSE), "N/A"))</f>
        <v>PASS</v>
      </c>
      <c r="J64" t="str">
        <f>IF(A64="","", IFERROR(VLOOKUP(A64, Ultrasonic!A:H, 7, FALSE), "N/A"))</f>
        <v>PASS</v>
      </c>
      <c r="K64" t="str">
        <f>IF(A64="","", IFERROR(VLOOKUP(A64, 'Code Violations'!A:V, 22, FALSE), "N/A"))</f>
        <v>PASS</v>
      </c>
      <c r="L64" t="str">
        <f t="shared" si="0"/>
        <v>PASS</v>
      </c>
    </row>
    <row r="65" spans="1:12" x14ac:dyDescent="0.25">
      <c r="A65" t="s">
        <v>207</v>
      </c>
      <c r="B65" t="str">
        <f>IF('Equipment Information'!B65="","", 'Equipment Information'!B65)</f>
        <v>HP3-1</v>
      </c>
      <c r="C65" t="str">
        <f>IF('Equipment Information'!C65="","", 'Equipment Information'!C65)</f>
        <v>Packaging</v>
      </c>
      <c r="D65" t="str">
        <f>IF('Equipment Information'!D65="","", 'Equipment Information'!D65)</f>
        <v>Branch Circuit Panel &lt;=400A</v>
      </c>
      <c r="E65" t="str">
        <f>IF(A65="","", IFERROR(VLOOKUP(A65, 'Energized Data'!A:T, 20, FALSE), "N/A"))</f>
        <v>N/A</v>
      </c>
      <c r="F65" t="str">
        <f>IF(A65="","", IFERROR(VLOOKUP(A65, Insulation!A:J, 9, FALSE), "N/A"))</f>
        <v>N/A</v>
      </c>
      <c r="G65" t="str">
        <f>IF(A65="","", IFERROR(VLOOKUP(A65, DLRO!A:I, 8, FALSE), "N/A"))</f>
        <v>N/A</v>
      </c>
      <c r="H65" t="str">
        <f>IF(A65="","", IFERROR(VLOOKUP(A65, Torque!A:I, 8, FALSE), "N/A"))</f>
        <v>N/A</v>
      </c>
      <c r="I65" t="str">
        <f>IF(A65="","", IFERROR(VLOOKUP(A65, Infrared!A:G, 6, FALSE), "N/A"))</f>
        <v>PASS</v>
      </c>
      <c r="J65" t="str">
        <f>IF(A65="","", IFERROR(VLOOKUP(A65, Ultrasonic!A:H, 7, FALSE), "N/A"))</f>
        <v>PASS</v>
      </c>
      <c r="K65" t="str">
        <f>IF(A65="","", IFERROR(VLOOKUP(A65, 'Code Violations'!A:V, 22, FALSE), "N/A"))</f>
        <v>FAIL</v>
      </c>
      <c r="L65" t="str">
        <f t="shared" si="0"/>
        <v>FAIL</v>
      </c>
    </row>
    <row r="66" spans="1:12" x14ac:dyDescent="0.25">
      <c r="A66" t="s">
        <v>209</v>
      </c>
      <c r="B66" t="str">
        <f>IF('Equipment Information'!B66="","", 'Equipment Information'!B66)</f>
        <v>SW 2</v>
      </c>
      <c r="C66" t="str">
        <f>IF('Equipment Information'!C66="","", 'Equipment Information'!C66)</f>
        <v>Packaging</v>
      </c>
      <c r="D66" t="str">
        <f>IF('Equipment Information'!D66="","", 'Equipment Information'!D66)</f>
        <v>Motor Control Panel (MCP)</v>
      </c>
      <c r="E66" t="str">
        <f>IF(A66="","", IFERROR(VLOOKUP(A66, 'Energized Data'!A:T, 20, FALSE), "N/A"))</f>
        <v>N/A</v>
      </c>
      <c r="F66" t="str">
        <f>IF(A66="","", IFERROR(VLOOKUP(A66, Insulation!A:J, 9, FALSE), "N/A"))</f>
        <v>N/A</v>
      </c>
      <c r="G66" t="str">
        <f>IF(A66="","", IFERROR(VLOOKUP(A66, DLRO!A:I, 8, FALSE), "N/A"))</f>
        <v>N/A</v>
      </c>
      <c r="H66" t="str">
        <f>IF(A66="","", IFERROR(VLOOKUP(A66, Torque!A:I, 8, FALSE), "N/A"))</f>
        <v>N/A</v>
      </c>
      <c r="I66" t="str">
        <f>IF(A66="","", IFERROR(VLOOKUP(A66, Infrared!A:G, 6, FALSE), "N/A"))</f>
        <v>PASS</v>
      </c>
      <c r="J66" t="str">
        <f>IF(A66="","", IFERROR(VLOOKUP(A66, Ultrasonic!A:H, 7, FALSE), "N/A"))</f>
        <v>PASS</v>
      </c>
      <c r="K66" t="str">
        <f>IF(A66="","", IFERROR(VLOOKUP(A66, 'Code Violations'!A:V, 22, FALSE), "N/A"))</f>
        <v>PASS</v>
      </c>
      <c r="L66" t="str">
        <f t="shared" ref="L66:L129" si="1">IF(A66="","", IF(COUNTIF(E66:K66, "FAIL")&gt;0, "FAIL", "PASS"))</f>
        <v>PASS</v>
      </c>
    </row>
    <row r="67" spans="1:12" x14ac:dyDescent="0.25">
      <c r="A67" t="s">
        <v>211</v>
      </c>
      <c r="B67" t="str">
        <f>IF('Equipment Information'!B67="","", 'Equipment Information'!B67)</f>
        <v/>
      </c>
      <c r="C67" t="str">
        <f>IF('Equipment Information'!C67="","", 'Equipment Information'!C67)</f>
        <v>Packaging</v>
      </c>
      <c r="D67" t="str">
        <f>IF('Equipment Information'!D67="","", 'Equipment Information'!D67)</f>
        <v>Motor Control Panel (MCP)</v>
      </c>
      <c r="E67" t="str">
        <f>IF(A67="","", IFERROR(VLOOKUP(A67, 'Energized Data'!A:T, 20, FALSE), "N/A"))</f>
        <v>N/A</v>
      </c>
      <c r="F67" t="str">
        <f>IF(A67="","", IFERROR(VLOOKUP(A67, Insulation!A:J, 9, FALSE), "N/A"))</f>
        <v>N/A</v>
      </c>
      <c r="G67" t="str">
        <f>IF(A67="","", IFERROR(VLOOKUP(A67, DLRO!A:I, 8, FALSE), "N/A"))</f>
        <v>N/A</v>
      </c>
      <c r="H67" t="str">
        <f>IF(A67="","", IFERROR(VLOOKUP(A67, Torque!A:I, 8, FALSE), "N/A"))</f>
        <v>N/A</v>
      </c>
      <c r="I67" t="str">
        <f>IF(A67="","", IFERROR(VLOOKUP(A67, Infrared!A:G, 6, FALSE), "N/A"))</f>
        <v>PASS</v>
      </c>
      <c r="J67" t="str">
        <f>IF(A67="","", IFERROR(VLOOKUP(A67, Ultrasonic!A:H, 7, FALSE), "N/A"))</f>
        <v>PASS</v>
      </c>
      <c r="K67" t="str">
        <f>IF(A67="","", IFERROR(VLOOKUP(A67, 'Code Violations'!A:V, 22, FALSE), "N/A"))</f>
        <v>PASS</v>
      </c>
      <c r="L67" t="str">
        <f t="shared" si="1"/>
        <v>PASS</v>
      </c>
    </row>
    <row r="68" spans="1:12" x14ac:dyDescent="0.25">
      <c r="A68" t="s">
        <v>212</v>
      </c>
      <c r="B68" t="str">
        <f>IF('Equipment Information'!B68="","", 'Equipment Information'!B68)</f>
        <v>LP-1</v>
      </c>
      <c r="C68" t="str">
        <f>IF('Equipment Information'!C68="","", 'Equipment Information'!C68)</f>
        <v>Receiving Station</v>
      </c>
      <c r="D68" t="str">
        <f>IF('Equipment Information'!D68="","", 'Equipment Information'!D68)</f>
        <v>Branch Circuit Panel &lt;=400A</v>
      </c>
      <c r="E68" t="str">
        <f>IF(A68="","", IFERROR(VLOOKUP(A68, 'Energized Data'!A:T, 20, FALSE), "N/A"))</f>
        <v>N/A</v>
      </c>
      <c r="F68" t="str">
        <f>IF(A68="","", IFERROR(VLOOKUP(A68, Insulation!A:J, 9, FALSE), "N/A"))</f>
        <v>N/A</v>
      </c>
      <c r="G68" t="str">
        <f>IF(A68="","", IFERROR(VLOOKUP(A68, DLRO!A:I, 8, FALSE), "N/A"))</f>
        <v>N/A</v>
      </c>
      <c r="H68" t="str">
        <f>IF(A68="","", IFERROR(VLOOKUP(A68, Torque!A:I, 8, FALSE), "N/A"))</f>
        <v>N/A</v>
      </c>
      <c r="I68" t="str">
        <f>IF(A68="","", IFERROR(VLOOKUP(A68, Infrared!A:G, 6, FALSE), "N/A"))</f>
        <v>PASS</v>
      </c>
      <c r="J68" t="str">
        <f>IF(A68="","", IFERROR(VLOOKUP(A68, Ultrasonic!A:H, 7, FALSE), "N/A"))</f>
        <v>PASS</v>
      </c>
      <c r="K68" t="str">
        <f>IF(A68="","", IFERROR(VLOOKUP(A68, 'Code Violations'!A:V, 22, FALSE), "N/A"))</f>
        <v>PASS</v>
      </c>
      <c r="L68" t="str">
        <f t="shared" si="1"/>
        <v>PASS</v>
      </c>
    </row>
    <row r="69" spans="1:12" x14ac:dyDescent="0.25">
      <c r="A69" t="s">
        <v>215</v>
      </c>
      <c r="B69" t="str">
        <f>IF('Equipment Information'!B69="","", 'Equipment Information'!B69)</f>
        <v>Photo-Eye Ctl'd Contactor</v>
      </c>
      <c r="C69" t="str">
        <f>IF('Equipment Information'!C69="","", 'Equipment Information'!C69)</f>
        <v>Receiving Station</v>
      </c>
      <c r="D69" t="str">
        <f>IF('Equipment Information'!D69="","", 'Equipment Information'!D69)</f>
        <v>Lighting Contactor &lt;=50 hp</v>
      </c>
      <c r="E69" t="str">
        <f>IF(A69="","", IFERROR(VLOOKUP(A69, 'Energized Data'!A:T, 20, FALSE), "N/A"))</f>
        <v>N/A</v>
      </c>
      <c r="F69" t="str">
        <f>IF(A69="","", IFERROR(VLOOKUP(A69, Insulation!A:J, 9, FALSE), "N/A"))</f>
        <v>N/A</v>
      </c>
      <c r="G69" t="str">
        <f>IF(A69="","", IFERROR(VLOOKUP(A69, DLRO!A:I, 8, FALSE), "N/A"))</f>
        <v>N/A</v>
      </c>
      <c r="H69" t="str">
        <f>IF(A69="","", IFERROR(VLOOKUP(A69, Torque!A:I, 8, FALSE), "N/A"))</f>
        <v>N/A</v>
      </c>
      <c r="I69" t="str">
        <f>IF(A69="","", IFERROR(VLOOKUP(A69, Infrared!A:G, 6, FALSE), "N/A"))</f>
        <v>PASS</v>
      </c>
      <c r="J69" t="str">
        <f>IF(A69="","", IFERROR(VLOOKUP(A69, Ultrasonic!A:H, 7, FALSE), "N/A"))</f>
        <v>PASS</v>
      </c>
      <c r="K69" t="str">
        <f>IF(A69="","", IFERROR(VLOOKUP(A69, 'Code Violations'!A:V, 22, FALSE), "N/A"))</f>
        <v>PASS</v>
      </c>
      <c r="L69" t="str">
        <f t="shared" si="1"/>
        <v>PASS</v>
      </c>
    </row>
    <row r="70" spans="1:12" x14ac:dyDescent="0.25">
      <c r="A70" t="s">
        <v>218</v>
      </c>
      <c r="B70" t="str">
        <f>IF('Equipment Information'!B70="","", 'Equipment Information'!B70)</f>
        <v>LP1A</v>
      </c>
      <c r="C70" t="str">
        <f>IF('Equipment Information'!C70="","", 'Equipment Information'!C70)</f>
        <v>Receiving Station</v>
      </c>
      <c r="D70" t="str">
        <f>IF('Equipment Information'!D70="","", 'Equipment Information'!D70)</f>
        <v>Branch Circuit Panel &lt;=400A</v>
      </c>
      <c r="E70" t="str">
        <f>IF(A70="","", IFERROR(VLOOKUP(A70, 'Energized Data'!A:T, 20, FALSE), "N/A"))</f>
        <v>N/A</v>
      </c>
      <c r="F70" t="str">
        <f>IF(A70="","", IFERROR(VLOOKUP(A70, Insulation!A:J, 9, FALSE), "N/A"))</f>
        <v>N/A</v>
      </c>
      <c r="G70" t="str">
        <f>IF(A70="","", IFERROR(VLOOKUP(A70, DLRO!A:I, 8, FALSE), "N/A"))</f>
        <v>N/A</v>
      </c>
      <c r="H70" t="str">
        <f>IF(A70="","", IFERROR(VLOOKUP(A70, Torque!A:I, 8, FALSE), "N/A"))</f>
        <v>N/A</v>
      </c>
      <c r="I70" t="str">
        <f>IF(A70="","", IFERROR(VLOOKUP(A70, Infrared!A:G, 6, FALSE), "N/A"))</f>
        <v>PASS</v>
      </c>
      <c r="J70" t="str">
        <f>IF(A70="","", IFERROR(VLOOKUP(A70, Ultrasonic!A:H, 7, FALSE), "N/A"))</f>
        <v>PASS</v>
      </c>
      <c r="K70" t="str">
        <f>IF(A70="","", IFERROR(VLOOKUP(A70, 'Code Violations'!A:V, 22, FALSE), "N/A"))</f>
        <v>PASS</v>
      </c>
      <c r="L70" t="str">
        <f t="shared" si="1"/>
        <v>PASS</v>
      </c>
    </row>
    <row r="71" spans="1:12" x14ac:dyDescent="0.25">
      <c r="A71" t="s">
        <v>220</v>
      </c>
      <c r="B71" t="str">
        <f>IF('Equipment Information'!B71="","", 'Equipment Information'!B71)</f>
        <v>Pool Pump #1 Main Disconnect</v>
      </c>
      <c r="C71" t="str">
        <f>IF('Equipment Information'!C71="","", 'Equipment Information'!C71)</f>
        <v>Receiving Station</v>
      </c>
      <c r="D71" t="str">
        <f>IF('Equipment Information'!D71="","", 'Equipment Information'!D71)</f>
        <v>Individual Disconnect Switch</v>
      </c>
      <c r="E71" t="str">
        <f>IF(A71="","", IFERROR(VLOOKUP(A71, 'Energized Data'!A:T, 20, FALSE), "N/A"))</f>
        <v>N/A</v>
      </c>
      <c r="F71" t="str">
        <f>IF(A71="","", IFERROR(VLOOKUP(A71, Insulation!A:J, 9, FALSE), "N/A"))</f>
        <v>N/A</v>
      </c>
      <c r="G71" t="str">
        <f>IF(A71="","", IFERROR(VLOOKUP(A71, DLRO!A:I, 8, FALSE), "N/A"))</f>
        <v>N/A</v>
      </c>
      <c r="H71" t="str">
        <f>IF(A71="","", IFERROR(VLOOKUP(A71, Torque!A:I, 8, FALSE), "N/A"))</f>
        <v>N/A</v>
      </c>
      <c r="I71" t="str">
        <f>IF(A71="","", IFERROR(VLOOKUP(A71, Infrared!A:G, 6, FALSE), "N/A"))</f>
        <v>PASS</v>
      </c>
      <c r="J71" t="str">
        <f>IF(A71="","", IFERROR(VLOOKUP(A71, Ultrasonic!A:H, 7, FALSE), "N/A"))</f>
        <v>PASS</v>
      </c>
      <c r="K71" t="str">
        <f>IF(A71="","", IFERROR(VLOOKUP(A71, 'Code Violations'!A:V, 22, FALSE), "N/A"))</f>
        <v>PASS</v>
      </c>
      <c r="L71" t="str">
        <f t="shared" si="1"/>
        <v>PASS</v>
      </c>
    </row>
    <row r="72" spans="1:12" x14ac:dyDescent="0.25">
      <c r="A72" t="s">
        <v>222</v>
      </c>
      <c r="B72" t="str">
        <f>IF('Equipment Information'!B72="","", 'Equipment Information'!B72)</f>
        <v>Pool Pump #2 Main Disconnect</v>
      </c>
      <c r="C72" t="str">
        <f>IF('Equipment Information'!C72="","", 'Equipment Information'!C72)</f>
        <v>Receiving Station</v>
      </c>
      <c r="D72" t="str">
        <f>IF('Equipment Information'!D72="","", 'Equipment Information'!D72)</f>
        <v>Individual Disconnect Switch</v>
      </c>
      <c r="E72" t="str">
        <f>IF(A72="","", IFERROR(VLOOKUP(A72, 'Energized Data'!A:T, 20, FALSE), "N/A"))</f>
        <v>N/A</v>
      </c>
      <c r="F72" t="str">
        <f>IF(A72="","", IFERROR(VLOOKUP(A72, Insulation!A:J, 9, FALSE), "N/A"))</f>
        <v>N/A</v>
      </c>
      <c r="G72" t="str">
        <f>IF(A72="","", IFERROR(VLOOKUP(A72, DLRO!A:I, 8, FALSE), "N/A"))</f>
        <v>N/A</v>
      </c>
      <c r="H72" t="str">
        <f>IF(A72="","", IFERROR(VLOOKUP(A72, Torque!A:I, 8, FALSE), "N/A"))</f>
        <v>N/A</v>
      </c>
      <c r="I72" t="str">
        <f>IF(A72="","", IFERROR(VLOOKUP(A72, Infrared!A:G, 6, FALSE), "N/A"))</f>
        <v>PASS</v>
      </c>
      <c r="J72" t="str">
        <f>IF(A72="","", IFERROR(VLOOKUP(A72, Ultrasonic!A:H, 7, FALSE), "N/A"))</f>
        <v>PASS</v>
      </c>
      <c r="K72" t="str">
        <f>IF(A72="","", IFERROR(VLOOKUP(A72, 'Code Violations'!A:V, 22, FALSE), "N/A"))</f>
        <v>PASS</v>
      </c>
      <c r="L72" t="str">
        <f t="shared" si="1"/>
        <v>PASS</v>
      </c>
    </row>
    <row r="73" spans="1:12" x14ac:dyDescent="0.25">
      <c r="A73" t="s">
        <v>224</v>
      </c>
      <c r="B73" t="str">
        <f>IF('Equipment Information'!B73="","", 'Equipment Information'!B73)</f>
        <v>Pool Pump #1 VFD</v>
      </c>
      <c r="C73" t="str">
        <f>IF('Equipment Information'!C73="","", 'Equipment Information'!C73)</f>
        <v>Receiving Station</v>
      </c>
      <c r="D73" t="str">
        <f>IF('Equipment Information'!D73="","", 'Equipment Information'!D73)</f>
        <v>Variable Frequency Drives &lt;=50hp</v>
      </c>
      <c r="E73" t="str">
        <f>IF(A73="","", IFERROR(VLOOKUP(A73, 'Energized Data'!A:T, 20, FALSE), "N/A"))</f>
        <v>N/A</v>
      </c>
      <c r="F73" t="str">
        <f>IF(A73="","", IFERROR(VLOOKUP(A73, Insulation!A:J, 9, FALSE), "N/A"))</f>
        <v>N/A</v>
      </c>
      <c r="G73" t="str">
        <f>IF(A73="","", IFERROR(VLOOKUP(A73, DLRO!A:I, 8, FALSE), "N/A"))</f>
        <v>N/A</v>
      </c>
      <c r="H73" t="str">
        <f>IF(A73="","", IFERROR(VLOOKUP(A73, Torque!A:I, 8, FALSE), "N/A"))</f>
        <v>N/A</v>
      </c>
      <c r="I73" t="str">
        <f>IF(A73="","", IFERROR(VLOOKUP(A73, Infrared!A:G, 6, FALSE), "N/A"))</f>
        <v>PASS</v>
      </c>
      <c r="J73" t="str">
        <f>IF(A73="","", IFERROR(VLOOKUP(A73, Ultrasonic!A:H, 7, FALSE), "N/A"))</f>
        <v>PASS</v>
      </c>
      <c r="K73" t="str">
        <f>IF(A73="","", IFERROR(VLOOKUP(A73, 'Code Violations'!A:V, 22, FALSE), "N/A"))</f>
        <v>PASS</v>
      </c>
      <c r="L73" t="str">
        <f t="shared" si="1"/>
        <v>PASS</v>
      </c>
    </row>
    <row r="74" spans="1:12" x14ac:dyDescent="0.25">
      <c r="A74" t="s">
        <v>226</v>
      </c>
      <c r="B74" t="str">
        <f>IF('Equipment Information'!B74="","", 'Equipment Information'!B74)</f>
        <v>Pool Pump #2 VFD</v>
      </c>
      <c r="C74" t="str">
        <f>IF('Equipment Information'!C74="","", 'Equipment Information'!C74)</f>
        <v>Receiving Station</v>
      </c>
      <c r="D74" t="str">
        <f>IF('Equipment Information'!D74="","", 'Equipment Information'!D74)</f>
        <v>Variable Frequency Drives &lt;=50hp</v>
      </c>
      <c r="E74" t="str">
        <f>IF(A74="","", IFERROR(VLOOKUP(A74, 'Energized Data'!A:T, 20, FALSE), "N/A"))</f>
        <v>N/A</v>
      </c>
      <c r="F74" t="str">
        <f>IF(A74="","", IFERROR(VLOOKUP(A74, Insulation!A:J, 9, FALSE), "N/A"))</f>
        <v>N/A</v>
      </c>
      <c r="G74" t="str">
        <f>IF(A74="","", IFERROR(VLOOKUP(A74, DLRO!A:I, 8, FALSE), "N/A"))</f>
        <v>N/A</v>
      </c>
      <c r="H74" t="str">
        <f>IF(A74="","", IFERROR(VLOOKUP(A74, Torque!A:I, 8, FALSE), "N/A"))</f>
        <v>N/A</v>
      </c>
      <c r="I74" t="str">
        <f>IF(A74="","", IFERROR(VLOOKUP(A74, Infrared!A:G, 6, FALSE), "N/A"))</f>
        <v>PASS</v>
      </c>
      <c r="J74" t="str">
        <f>IF(A74="","", IFERROR(VLOOKUP(A74, Ultrasonic!A:H, 7, FALSE), "N/A"))</f>
        <v>PASS</v>
      </c>
      <c r="K74" t="str">
        <f>IF(A74="","", IFERROR(VLOOKUP(A74, 'Code Violations'!A:V, 22, FALSE), "N/A"))</f>
        <v>PASS</v>
      </c>
      <c r="L74" t="str">
        <f t="shared" si="1"/>
        <v>PASS</v>
      </c>
    </row>
    <row r="75" spans="1:12" x14ac:dyDescent="0.25">
      <c r="A75" t="s">
        <v>228</v>
      </c>
      <c r="B75" t="str">
        <f>IF('Equipment Information'!B75="","", 'Equipment Information'!B75)</f>
        <v>45 kVA Transformer</v>
      </c>
      <c r="C75" t="str">
        <f>IF('Equipment Information'!C75="","", 'Equipment Information'!C75)</f>
        <v>Receiving Station</v>
      </c>
      <c r="D75" t="str">
        <f>IF('Equipment Information'!D75="","", 'Equipment Information'!D75)</f>
        <v>480V/208V/120V Transformer - Dry &lt;250 kva</v>
      </c>
      <c r="E75" t="str">
        <f>IF(A75="","", IFERROR(VLOOKUP(A75, 'Energized Data'!A:T, 20, FALSE), "N/A"))</f>
        <v>N/A</v>
      </c>
      <c r="F75" t="str">
        <f>IF(A75="","", IFERROR(VLOOKUP(A75, Insulation!A:J, 9, FALSE), "N/A"))</f>
        <v>N/A</v>
      </c>
      <c r="G75" t="str">
        <f>IF(A75="","", IFERROR(VLOOKUP(A75, DLRO!A:I, 8, FALSE), "N/A"))</f>
        <v>N/A</v>
      </c>
      <c r="H75" t="str">
        <f>IF(A75="","", IFERROR(VLOOKUP(A75, Torque!A:I, 8, FALSE), "N/A"))</f>
        <v>N/A</v>
      </c>
      <c r="I75" t="str">
        <f>IF(A75="","", IFERROR(VLOOKUP(A75, Infrared!A:G, 6, FALSE), "N/A"))</f>
        <v>PASS</v>
      </c>
      <c r="J75" t="str">
        <f>IF(A75="","", IFERROR(VLOOKUP(A75, Ultrasonic!A:H, 7, FALSE), "N/A"))</f>
        <v>PASS</v>
      </c>
      <c r="K75" t="str">
        <f>IF(A75="","", IFERROR(VLOOKUP(A75, 'Code Violations'!A:V, 22, FALSE), "N/A"))</f>
        <v>PASS</v>
      </c>
      <c r="L75" t="str">
        <f t="shared" si="1"/>
        <v>PASS</v>
      </c>
    </row>
    <row r="76" spans="1:12" x14ac:dyDescent="0.25">
      <c r="A76" t="s">
        <v>230</v>
      </c>
      <c r="B76" t="str">
        <f>IF('Equipment Information'!B76="","", 'Equipment Information'!B76)</f>
        <v>45 kVA Transformer Disconnect</v>
      </c>
      <c r="C76" t="str">
        <f>IF('Equipment Information'!C76="","", 'Equipment Information'!C76)</f>
        <v>Receiving Station</v>
      </c>
      <c r="D76" t="str">
        <f>IF('Equipment Information'!D76="","", 'Equipment Information'!D76)</f>
        <v>Individual Disconnect Switch</v>
      </c>
      <c r="E76" t="str">
        <f>IF(A76="","", IFERROR(VLOOKUP(A76, 'Energized Data'!A:T, 20, FALSE), "N/A"))</f>
        <v>N/A</v>
      </c>
      <c r="F76" t="str">
        <f>IF(A76="","", IFERROR(VLOOKUP(A76, Insulation!A:J, 9, FALSE), "N/A"))</f>
        <v>N/A</v>
      </c>
      <c r="G76" t="str">
        <f>IF(A76="","", IFERROR(VLOOKUP(A76, DLRO!A:I, 8, FALSE), "N/A"))</f>
        <v>N/A</v>
      </c>
      <c r="H76" t="str">
        <f>IF(A76="","", IFERROR(VLOOKUP(A76, Torque!A:I, 8, FALSE), "N/A"))</f>
        <v>N/A</v>
      </c>
      <c r="I76" t="str">
        <f>IF(A76="","", IFERROR(VLOOKUP(A76, Infrared!A:G, 6, FALSE), "N/A"))</f>
        <v>PASS</v>
      </c>
      <c r="J76" t="str">
        <f>IF(A76="","", IFERROR(VLOOKUP(A76, Ultrasonic!A:H, 7, FALSE), "N/A"))</f>
        <v>PASS</v>
      </c>
      <c r="K76" t="str">
        <f>IF(A76="","", IFERROR(VLOOKUP(A76, 'Code Violations'!A:V, 22, FALSE), "N/A"))</f>
        <v>PASS</v>
      </c>
      <c r="L76" t="str">
        <f t="shared" si="1"/>
        <v>PASS</v>
      </c>
    </row>
    <row r="77" spans="1:12" x14ac:dyDescent="0.25">
      <c r="A77" t="s">
        <v>232</v>
      </c>
      <c r="B77" t="str">
        <f>IF('Equipment Information'!B77="","", 'Equipment Information'!B77)</f>
        <v>Bay 25 480V Outlet Disconnect</v>
      </c>
      <c r="C77" t="str">
        <f>IF('Equipment Information'!C77="","", 'Equipment Information'!C77)</f>
        <v>Receiving Station</v>
      </c>
      <c r="D77" t="str">
        <f>IF('Equipment Information'!D77="","", 'Equipment Information'!D77)</f>
        <v>Individual Disconnect Switch</v>
      </c>
      <c r="E77" t="str">
        <f>IF(A77="","", IFERROR(VLOOKUP(A77, 'Energized Data'!A:T, 20, FALSE), "N/A"))</f>
        <v>N/A</v>
      </c>
      <c r="F77" t="str">
        <f>IF(A77="","", IFERROR(VLOOKUP(A77, Insulation!A:J, 9, FALSE), "N/A"))</f>
        <v>N/A</v>
      </c>
      <c r="G77" t="str">
        <f>IF(A77="","", IFERROR(VLOOKUP(A77, DLRO!A:I, 8, FALSE), "N/A"))</f>
        <v>N/A</v>
      </c>
      <c r="H77" t="str">
        <f>IF(A77="","", IFERROR(VLOOKUP(A77, Torque!A:I, 8, FALSE), "N/A"))</f>
        <v>N/A</v>
      </c>
      <c r="I77" t="str">
        <f>IF(A77="","", IFERROR(VLOOKUP(A77, Infrared!A:G, 6, FALSE), "N/A"))</f>
        <v>PASS</v>
      </c>
      <c r="J77" t="str">
        <f>IF(A77="","", IFERROR(VLOOKUP(A77, Ultrasonic!A:H, 7, FALSE), "N/A"))</f>
        <v>PASS</v>
      </c>
      <c r="K77" t="str">
        <f>IF(A77="","", IFERROR(VLOOKUP(A77, 'Code Violations'!A:V, 22, FALSE), "N/A"))</f>
        <v>PASS</v>
      </c>
      <c r="L77" t="str">
        <f t="shared" si="1"/>
        <v>PASS</v>
      </c>
    </row>
    <row r="78" spans="1:12" x14ac:dyDescent="0.25">
      <c r="A78" t="s">
        <v>234</v>
      </c>
      <c r="B78" t="str">
        <f>IF('Equipment Information'!B78="","", 'Equipment Information'!B78)</f>
        <v>Compressor Disconnect</v>
      </c>
      <c r="C78" t="str">
        <f>IF('Equipment Information'!C78="","", 'Equipment Information'!C78)</f>
        <v>Receiving Station</v>
      </c>
      <c r="D78" t="str">
        <f>IF('Equipment Information'!D78="","", 'Equipment Information'!D78)</f>
        <v>Individual Disconnect Switch</v>
      </c>
      <c r="E78" t="str">
        <f>IF(A78="","", IFERROR(VLOOKUP(A78, 'Energized Data'!A:T, 20, FALSE), "N/A"))</f>
        <v>N/A</v>
      </c>
      <c r="F78" t="str">
        <f>IF(A78="","", IFERROR(VLOOKUP(A78, Insulation!A:J, 9, FALSE), "N/A"))</f>
        <v>N/A</v>
      </c>
      <c r="G78" t="str">
        <f>IF(A78="","", IFERROR(VLOOKUP(A78, DLRO!A:I, 8, FALSE), "N/A"))</f>
        <v>N/A</v>
      </c>
      <c r="H78" t="str">
        <f>IF(A78="","", IFERROR(VLOOKUP(A78, Torque!A:I, 8, FALSE), "N/A"))</f>
        <v>N/A</v>
      </c>
      <c r="I78" t="str">
        <f>IF(A78="","", IFERROR(VLOOKUP(A78, Infrared!A:G, 6, FALSE), "N/A"))</f>
        <v>PASS</v>
      </c>
      <c r="J78" t="str">
        <f>IF(A78="","", IFERROR(VLOOKUP(A78, Ultrasonic!A:H, 7, FALSE), "N/A"))</f>
        <v>PASS</v>
      </c>
      <c r="K78" t="str">
        <f>IF(A78="","", IFERROR(VLOOKUP(A78, 'Code Violations'!A:V, 22, FALSE), "N/A"))</f>
        <v>PASS</v>
      </c>
      <c r="L78" t="str">
        <f t="shared" si="1"/>
        <v>PASS</v>
      </c>
    </row>
    <row r="79" spans="1:12" x14ac:dyDescent="0.25">
      <c r="A79" t="s">
        <v>236</v>
      </c>
      <c r="B79" t="str">
        <f>IF('Equipment Information'!B79="","", 'Equipment Information'!B79)</f>
        <v>PP1 Transformer Disconnect</v>
      </c>
      <c r="C79" t="str">
        <f>IF('Equipment Information'!C79="","", 'Equipment Information'!C79)</f>
        <v>Receiving Station</v>
      </c>
      <c r="D79" t="str">
        <f>IF('Equipment Information'!D79="","", 'Equipment Information'!D79)</f>
        <v>Individual Disconnect Switch</v>
      </c>
      <c r="E79" t="str">
        <f>IF(A79="","", IFERROR(VLOOKUP(A79, 'Energized Data'!A:T, 20, FALSE), "N/A"))</f>
        <v>N/A</v>
      </c>
      <c r="F79" t="str">
        <f>IF(A79="","", IFERROR(VLOOKUP(A79, Insulation!A:J, 9, FALSE), "N/A"))</f>
        <v>N/A</v>
      </c>
      <c r="G79" t="str">
        <f>IF(A79="","", IFERROR(VLOOKUP(A79, DLRO!A:I, 8, FALSE), "N/A"))</f>
        <v>N/A</v>
      </c>
      <c r="H79" t="str">
        <f>IF(A79="","", IFERROR(VLOOKUP(A79, Torque!A:I, 8, FALSE), "N/A"))</f>
        <v>N/A</v>
      </c>
      <c r="I79" t="str">
        <f>IF(A79="","", IFERROR(VLOOKUP(A79, Infrared!A:G, 6, FALSE), "N/A"))</f>
        <v>PASS</v>
      </c>
      <c r="J79" t="str">
        <f>IF(A79="","", IFERROR(VLOOKUP(A79, Ultrasonic!A:H, 7, FALSE), "N/A"))</f>
        <v>PASS</v>
      </c>
      <c r="K79" t="str">
        <f>IF(A79="","", IFERROR(VLOOKUP(A79, 'Code Violations'!A:V, 22, FALSE), "N/A"))</f>
        <v>PASS</v>
      </c>
      <c r="L79" t="str">
        <f t="shared" si="1"/>
        <v>PASS</v>
      </c>
    </row>
    <row r="80" spans="1:12" x14ac:dyDescent="0.25">
      <c r="A80" t="s">
        <v>238</v>
      </c>
      <c r="B80" t="str">
        <f>IF('Equipment Information'!B80="","", 'Equipment Information'!B80)</f>
        <v>PP1 Welding Recept. Disconnect</v>
      </c>
      <c r="C80" t="str">
        <f>IF('Equipment Information'!C80="","", 'Equipment Information'!C80)</f>
        <v>Receiving Station</v>
      </c>
      <c r="D80" t="str">
        <f>IF('Equipment Information'!D80="","", 'Equipment Information'!D80)</f>
        <v>Individual Disconnect Switch</v>
      </c>
      <c r="E80" t="str">
        <f>IF(A80="","", IFERROR(VLOOKUP(A80, 'Energized Data'!A:T, 20, FALSE), "N/A"))</f>
        <v>N/A</v>
      </c>
      <c r="F80" t="str">
        <f>IF(A80="","", IFERROR(VLOOKUP(A80, Insulation!A:J, 9, FALSE), "N/A"))</f>
        <v>N/A</v>
      </c>
      <c r="G80" t="str">
        <f>IF(A80="","", IFERROR(VLOOKUP(A80, DLRO!A:I, 8, FALSE), "N/A"))</f>
        <v>N/A</v>
      </c>
      <c r="H80" t="str">
        <f>IF(A80="","", IFERROR(VLOOKUP(A80, Torque!A:I, 8, FALSE), "N/A"))</f>
        <v>N/A</v>
      </c>
      <c r="I80" t="str">
        <f>IF(A80="","", IFERROR(VLOOKUP(A80, Infrared!A:G, 6, FALSE), "N/A"))</f>
        <v>PASS</v>
      </c>
      <c r="J80" t="str">
        <f>IF(A80="","", IFERROR(VLOOKUP(A80, Ultrasonic!A:H, 7, FALSE), "N/A"))</f>
        <v>PASS</v>
      </c>
      <c r="K80" t="str">
        <f>IF(A80="","", IFERROR(VLOOKUP(A80, 'Code Violations'!A:V, 22, FALSE), "N/A"))</f>
        <v>PASS</v>
      </c>
      <c r="L80" t="str">
        <f t="shared" si="1"/>
        <v>PASS</v>
      </c>
    </row>
    <row r="81" spans="1:12" x14ac:dyDescent="0.25">
      <c r="A81" t="s">
        <v>240</v>
      </c>
      <c r="B81" t="str">
        <f>IF('Equipment Information'!B81="","", 'Equipment Information'!B81)</f>
        <v>PP-1</v>
      </c>
      <c r="C81" t="str">
        <f>IF('Equipment Information'!C81="","", 'Equipment Information'!C81)</f>
        <v>Receiving Station</v>
      </c>
      <c r="D81" t="str">
        <f>IF('Equipment Information'!D81="","", 'Equipment Information'!D81)</f>
        <v>Branch Circuit Panel &lt;=400A</v>
      </c>
      <c r="E81" t="str">
        <f>IF(A81="","", IFERROR(VLOOKUP(A81, 'Energized Data'!A:T, 20, FALSE), "N/A"))</f>
        <v>N/A</v>
      </c>
      <c r="F81" t="str">
        <f>IF(A81="","", IFERROR(VLOOKUP(A81, Insulation!A:J, 9, FALSE), "N/A"))</f>
        <v>N/A</v>
      </c>
      <c r="G81" t="str">
        <f>IF(A81="","", IFERROR(VLOOKUP(A81, DLRO!A:I, 8, FALSE), "N/A"))</f>
        <v>N/A</v>
      </c>
      <c r="H81" t="str">
        <f>IF(A81="","", IFERROR(VLOOKUP(A81, Torque!A:I, 8, FALSE), "N/A"))</f>
        <v>N/A</v>
      </c>
      <c r="I81" t="str">
        <f>IF(A81="","", IFERROR(VLOOKUP(A81, Infrared!A:G, 6, FALSE), "N/A"))</f>
        <v>PASS</v>
      </c>
      <c r="J81" t="str">
        <f>IF(A81="","", IFERROR(VLOOKUP(A81, Ultrasonic!A:H, 7, FALSE), "N/A"))</f>
        <v>PASS</v>
      </c>
      <c r="K81" t="str">
        <f>IF(A81="","", IFERROR(VLOOKUP(A81, 'Code Violations'!A:V, 22, FALSE), "N/A"))</f>
        <v>FAIL</v>
      </c>
      <c r="L81" t="str">
        <f t="shared" si="1"/>
        <v>FAIL</v>
      </c>
    </row>
    <row r="82" spans="1:12" x14ac:dyDescent="0.25">
      <c r="A82" t="s">
        <v>242</v>
      </c>
      <c r="B82" t="str">
        <f>IF('Equipment Information'!B82="","", 'Equipment Information'!B82)</f>
        <v>OH XFMR</v>
      </c>
      <c r="C82" t="str">
        <f>IF('Equipment Information'!C82="","", 'Equipment Information'!C82)</f>
        <v>Receiving Station</v>
      </c>
      <c r="D82" t="str">
        <f>IF('Equipment Information'!D82="","", 'Equipment Information'!D82)</f>
        <v>480V/208V/120V Transformer - Dry &lt;250 kva</v>
      </c>
      <c r="E82" t="str">
        <f>IF(A82="","", IFERROR(VLOOKUP(A82, 'Energized Data'!A:T, 20, FALSE), "N/A"))</f>
        <v>N/A</v>
      </c>
      <c r="F82" t="str">
        <f>IF(A82="","", IFERROR(VLOOKUP(A82, Insulation!A:J, 9, FALSE), "N/A"))</f>
        <v>N/A</v>
      </c>
      <c r="G82" t="str">
        <f>IF(A82="","", IFERROR(VLOOKUP(A82, DLRO!A:I, 8, FALSE), "N/A"))</f>
        <v>N/A</v>
      </c>
      <c r="H82" t="str">
        <f>IF(A82="","", IFERROR(VLOOKUP(A82, Torque!A:I, 8, FALSE), "N/A"))</f>
        <v>N/A</v>
      </c>
      <c r="I82" t="str">
        <f>IF(A82="","", IFERROR(VLOOKUP(A82, Infrared!A:G, 6, FALSE), "N/A"))</f>
        <v>PASS</v>
      </c>
      <c r="J82" t="str">
        <f>IF(A82="","", IFERROR(VLOOKUP(A82, Ultrasonic!A:H, 7, FALSE), "N/A"))</f>
        <v>PASS</v>
      </c>
      <c r="K82" t="str">
        <f>IF(A82="","", IFERROR(VLOOKUP(A82, 'Code Violations'!A:V, 22, FALSE), "N/A"))</f>
        <v>PASS</v>
      </c>
      <c r="L82" t="str">
        <f t="shared" si="1"/>
        <v>PASS</v>
      </c>
    </row>
    <row r="83" spans="1:12" x14ac:dyDescent="0.25">
      <c r="A83" t="s">
        <v>243</v>
      </c>
      <c r="B83" t="str">
        <f>IF('Equipment Information'!B83="","", 'Equipment Information'!B83)</f>
        <v>LP-2</v>
      </c>
      <c r="C83" t="str">
        <f>IF('Equipment Information'!C83="","", 'Equipment Information'!C83)</f>
        <v>Receiving Station</v>
      </c>
      <c r="D83" t="str">
        <f>IF('Equipment Information'!D83="","", 'Equipment Information'!D83)</f>
        <v>Branch Circuit Panel &lt;=400A</v>
      </c>
      <c r="E83" t="str">
        <f>IF(A83="","", IFERROR(VLOOKUP(A83, 'Energized Data'!A:T, 20, FALSE), "N/A"))</f>
        <v>N/A</v>
      </c>
      <c r="F83" t="str">
        <f>IF(A83="","", IFERROR(VLOOKUP(A83, Insulation!A:J, 9, FALSE), "N/A"))</f>
        <v>N/A</v>
      </c>
      <c r="G83" t="str">
        <f>IF(A83="","", IFERROR(VLOOKUP(A83, DLRO!A:I, 8, FALSE), "N/A"))</f>
        <v>N/A</v>
      </c>
      <c r="H83" t="str">
        <f>IF(A83="","", IFERROR(VLOOKUP(A83, Torque!A:I, 8, FALSE), "N/A"))</f>
        <v>N/A</v>
      </c>
      <c r="I83" t="str">
        <f>IF(A83="","", IFERROR(VLOOKUP(A83, Infrared!A:G, 6, FALSE), "N/A"))</f>
        <v>PASS</v>
      </c>
      <c r="J83" t="str">
        <f>IF(A83="","", IFERROR(VLOOKUP(A83, Ultrasonic!A:H, 7, FALSE), "N/A"))</f>
        <v>PASS</v>
      </c>
      <c r="K83" t="str">
        <f>IF(A83="","", IFERROR(VLOOKUP(A83, 'Code Violations'!A:V, 22, FALSE), "N/A"))</f>
        <v>PASS</v>
      </c>
      <c r="L83" t="str">
        <f t="shared" si="1"/>
        <v>PASS</v>
      </c>
    </row>
    <row r="84" spans="1:12" x14ac:dyDescent="0.25">
      <c r="A84" t="s">
        <v>245</v>
      </c>
      <c r="B84" t="str">
        <f>IF('Equipment Information'!B84="","", 'Equipment Information'!B84)</f>
        <v>Weld Gutter Disconnect</v>
      </c>
      <c r="C84" t="str">
        <f>IF('Equipment Information'!C84="","", 'Equipment Information'!C84)</f>
        <v>Receiving Station</v>
      </c>
      <c r="D84" t="str">
        <f>IF('Equipment Information'!D84="","", 'Equipment Information'!D84)</f>
        <v>Individual Disconnect Switch</v>
      </c>
      <c r="E84" t="str">
        <f>IF(A84="","", IFERROR(VLOOKUP(A84, 'Energized Data'!A:T, 20, FALSE), "N/A"))</f>
        <v>N/A</v>
      </c>
      <c r="F84" t="str">
        <f>IF(A84="","", IFERROR(VLOOKUP(A84, Insulation!A:J, 9, FALSE), "N/A"))</f>
        <v>N/A</v>
      </c>
      <c r="G84" t="str">
        <f>IF(A84="","", IFERROR(VLOOKUP(A84, DLRO!A:I, 8, FALSE), "N/A"))</f>
        <v>N/A</v>
      </c>
      <c r="H84" t="str">
        <f>IF(A84="","", IFERROR(VLOOKUP(A84, Torque!A:I, 8, FALSE), "N/A"))</f>
        <v>N/A</v>
      </c>
      <c r="I84" t="str">
        <f>IF(A84="","", IFERROR(VLOOKUP(A84, Infrared!A:G, 6, FALSE), "N/A"))</f>
        <v>PASS</v>
      </c>
      <c r="J84" t="str">
        <f>IF(A84="","", IFERROR(VLOOKUP(A84, Ultrasonic!A:H, 7, FALSE), "N/A"))</f>
        <v>PASS</v>
      </c>
      <c r="K84" t="str">
        <f>IF(A84="","", IFERROR(VLOOKUP(A84, 'Code Violations'!A:V, 22, FALSE), "N/A"))</f>
        <v>PASS</v>
      </c>
      <c r="L84" t="str">
        <f t="shared" si="1"/>
        <v>PASS</v>
      </c>
    </row>
    <row r="85" spans="1:12" x14ac:dyDescent="0.25">
      <c r="A85" t="s">
        <v>247</v>
      </c>
      <c r="B85" t="str">
        <f>IF('Equipment Information'!B85="","", 'Equipment Information'!B85)</f>
        <v>OH XFMR</v>
      </c>
      <c r="C85" t="str">
        <f>IF('Equipment Information'!C85="","", 'Equipment Information'!C85)</f>
        <v>Receiving Station</v>
      </c>
      <c r="D85" t="str">
        <f>IF('Equipment Information'!D85="","", 'Equipment Information'!D85)</f>
        <v>480V/208V/120V Transformer - Dry &lt;250 kva</v>
      </c>
      <c r="E85" t="str">
        <f>IF(A85="","", IFERROR(VLOOKUP(A85, 'Energized Data'!A:T, 20, FALSE), "N/A"))</f>
        <v>N/A</v>
      </c>
      <c r="F85" t="str">
        <f>IF(A85="","", IFERROR(VLOOKUP(A85, Insulation!A:J, 9, FALSE), "N/A"))</f>
        <v>N/A</v>
      </c>
      <c r="G85" t="str">
        <f>IF(A85="","", IFERROR(VLOOKUP(A85, DLRO!A:I, 8, FALSE), "N/A"))</f>
        <v>N/A</v>
      </c>
      <c r="H85" t="str">
        <f>IF(A85="","", IFERROR(VLOOKUP(A85, Torque!A:I, 8, FALSE), "N/A"))</f>
        <v>N/A</v>
      </c>
      <c r="I85" t="str">
        <f>IF(A85="","", IFERROR(VLOOKUP(A85, Infrared!A:G, 6, FALSE), "N/A"))</f>
        <v>PASS</v>
      </c>
      <c r="J85" t="str">
        <f>IF(A85="","", IFERROR(VLOOKUP(A85, Ultrasonic!A:H, 7, FALSE), "N/A"))</f>
        <v>PASS</v>
      </c>
      <c r="K85" t="str">
        <f>IF(A85="","", IFERROR(VLOOKUP(A85, 'Code Violations'!A:V, 22, FALSE), "N/A"))</f>
        <v>PASS</v>
      </c>
      <c r="L85" t="str">
        <f t="shared" si="1"/>
        <v>PASS</v>
      </c>
    </row>
    <row r="86" spans="1:12" x14ac:dyDescent="0.25">
      <c r="A86" t="s">
        <v>248</v>
      </c>
      <c r="B86" t="str">
        <f>IF('Equipment Information'!B86="","", 'Equipment Information'!B86)</f>
        <v>Lighting XFMR Disconnect</v>
      </c>
      <c r="C86" t="str">
        <f>IF('Equipment Information'!C86="","", 'Equipment Information'!C86)</f>
        <v>Receiving Station</v>
      </c>
      <c r="D86" t="str">
        <f>IF('Equipment Information'!D86="","", 'Equipment Information'!D86)</f>
        <v>Individual Disconnect Switch</v>
      </c>
      <c r="E86" t="str">
        <f>IF(A86="","", IFERROR(VLOOKUP(A86, 'Energized Data'!A:T, 20, FALSE), "N/A"))</f>
        <v>N/A</v>
      </c>
      <c r="F86" t="str">
        <f>IF(A86="","", IFERROR(VLOOKUP(A86, Insulation!A:J, 9, FALSE), "N/A"))</f>
        <v>N/A</v>
      </c>
      <c r="G86" t="str">
        <f>IF(A86="","", IFERROR(VLOOKUP(A86, DLRO!A:I, 8, FALSE), "N/A"))</f>
        <v>N/A</v>
      </c>
      <c r="H86" t="str">
        <f>IF(A86="","", IFERROR(VLOOKUP(A86, Torque!A:I, 8, FALSE), "N/A"))</f>
        <v>N/A</v>
      </c>
      <c r="I86" t="str">
        <f>IF(A86="","", IFERROR(VLOOKUP(A86, Infrared!A:G, 6, FALSE), "N/A"))</f>
        <v>PASS</v>
      </c>
      <c r="J86" t="str">
        <f>IF(A86="","", IFERROR(VLOOKUP(A86, Ultrasonic!A:H, 7, FALSE), "N/A"))</f>
        <v>PASS</v>
      </c>
      <c r="K86" t="str">
        <f>IF(A86="","", IFERROR(VLOOKUP(A86, 'Code Violations'!A:V, 22, FALSE), "N/A"))</f>
        <v>PASS</v>
      </c>
      <c r="L86" t="str">
        <f t="shared" si="1"/>
        <v>PASS</v>
      </c>
    </row>
    <row r="87" spans="1:12" x14ac:dyDescent="0.25">
      <c r="A87" t="s">
        <v>250</v>
      </c>
      <c r="B87" t="str">
        <f>IF('Equipment Information'!B87="","", 'Equipment Information'!B87)</f>
        <v>Pool Pump #6/7 Disconnect</v>
      </c>
      <c r="C87" t="str">
        <f>IF('Equipment Information'!C87="","", 'Equipment Information'!C87)</f>
        <v>Receiving Station</v>
      </c>
      <c r="D87" t="str">
        <f>IF('Equipment Information'!D87="","", 'Equipment Information'!D87)</f>
        <v>Individual Disconnect Switch</v>
      </c>
      <c r="E87" t="str">
        <f>IF(A87="","", IFERROR(VLOOKUP(A87, 'Energized Data'!A:T, 20, FALSE), "N/A"))</f>
        <v>N/A</v>
      </c>
      <c r="F87" t="str">
        <f>IF(A87="","", IFERROR(VLOOKUP(A87, Insulation!A:J, 9, FALSE), "N/A"))</f>
        <v>N/A</v>
      </c>
      <c r="G87" t="str">
        <f>IF(A87="","", IFERROR(VLOOKUP(A87, DLRO!A:I, 8, FALSE), "N/A"))</f>
        <v>N/A</v>
      </c>
      <c r="H87" t="str">
        <f>IF(A87="","", IFERROR(VLOOKUP(A87, Torque!A:I, 8, FALSE), "N/A"))</f>
        <v>N/A</v>
      </c>
      <c r="I87" t="str">
        <f>IF(A87="","", IFERROR(VLOOKUP(A87, Infrared!A:G, 6, FALSE), "N/A"))</f>
        <v>PASS</v>
      </c>
      <c r="J87" t="str">
        <f>IF(A87="","", IFERROR(VLOOKUP(A87, Ultrasonic!A:H, 7, FALSE), "N/A"))</f>
        <v>PASS</v>
      </c>
      <c r="K87" t="str">
        <f>IF(A87="","", IFERROR(VLOOKUP(A87, 'Code Violations'!A:V, 22, FALSE), "N/A"))</f>
        <v>PASS</v>
      </c>
      <c r="L87" t="str">
        <f t="shared" si="1"/>
        <v>PASS</v>
      </c>
    </row>
    <row r="88" spans="1:12" x14ac:dyDescent="0.25">
      <c r="A88" t="s">
        <v>252</v>
      </c>
      <c r="B88" t="str">
        <f>IF('Equipment Information'!B88="","", 'Equipment Information'!B88)</f>
        <v>Trash Conveyor Disconnect</v>
      </c>
      <c r="C88" t="str">
        <f>IF('Equipment Information'!C88="","", 'Equipment Information'!C88)</f>
        <v>Receiving Station</v>
      </c>
      <c r="D88" t="str">
        <f>IF('Equipment Information'!D88="","", 'Equipment Information'!D88)</f>
        <v>Individual Disconnect Switch</v>
      </c>
      <c r="E88" t="str">
        <f>IF(A88="","", IFERROR(VLOOKUP(A88, 'Energized Data'!A:T, 20, FALSE), "N/A"))</f>
        <v>N/A</v>
      </c>
      <c r="F88" t="str">
        <f>IF(A88="","", IFERROR(VLOOKUP(A88, Insulation!A:J, 9, FALSE), "N/A"))</f>
        <v>N/A</v>
      </c>
      <c r="G88" t="str">
        <f>IF(A88="","", IFERROR(VLOOKUP(A88, DLRO!A:I, 8, FALSE), "N/A"))</f>
        <v>N/A</v>
      </c>
      <c r="H88" t="str">
        <f>IF(A88="","", IFERROR(VLOOKUP(A88, Torque!A:I, 8, FALSE), "N/A"))</f>
        <v>N/A</v>
      </c>
      <c r="I88" t="str">
        <f>IF(A88="","", IFERROR(VLOOKUP(A88, Infrared!A:G, 6, FALSE), "N/A"))</f>
        <v>PASS</v>
      </c>
      <c r="J88" t="str">
        <f>IF(A88="","", IFERROR(VLOOKUP(A88, Ultrasonic!A:H, 7, FALSE), "N/A"))</f>
        <v>PASS</v>
      </c>
      <c r="K88" t="str">
        <f>IF(A88="","", IFERROR(VLOOKUP(A88, 'Code Violations'!A:V, 22, FALSE), "N/A"))</f>
        <v>PASS</v>
      </c>
      <c r="L88" t="str">
        <f t="shared" si="1"/>
        <v>PASS</v>
      </c>
    </row>
    <row r="89" spans="1:12" x14ac:dyDescent="0.25">
      <c r="A89" t="s">
        <v>254</v>
      </c>
      <c r="B89" t="str">
        <f>IF('Equipment Information'!B89="","", 'Equipment Information'!B89)</f>
        <v>Dewatering Table Disconnect</v>
      </c>
      <c r="C89" t="str">
        <f>IF('Equipment Information'!C89="","", 'Equipment Information'!C89)</f>
        <v>Receiving Station</v>
      </c>
      <c r="D89" t="str">
        <f>IF('Equipment Information'!D89="","", 'Equipment Information'!D89)</f>
        <v>Individual Disconnect Switch</v>
      </c>
      <c r="E89" t="str">
        <f>IF(A89="","", IFERROR(VLOOKUP(A89, 'Energized Data'!A:T, 20, FALSE), "N/A"))</f>
        <v>N/A</v>
      </c>
      <c r="F89" t="str">
        <f>IF(A89="","", IFERROR(VLOOKUP(A89, Insulation!A:J, 9, FALSE), "N/A"))</f>
        <v>N/A</v>
      </c>
      <c r="G89" t="str">
        <f>IF(A89="","", IFERROR(VLOOKUP(A89, DLRO!A:I, 8, FALSE), "N/A"))</f>
        <v>N/A</v>
      </c>
      <c r="H89" t="str">
        <f>IF(A89="","", IFERROR(VLOOKUP(A89, Torque!A:I, 8, FALSE), "N/A"))</f>
        <v>N/A</v>
      </c>
      <c r="I89" t="str">
        <f>IF(A89="","", IFERROR(VLOOKUP(A89, Infrared!A:G, 6, FALSE), "N/A"))</f>
        <v>PASS</v>
      </c>
      <c r="J89" t="str">
        <f>IF(A89="","", IFERROR(VLOOKUP(A89, Ultrasonic!A:H, 7, FALSE), "N/A"))</f>
        <v>PASS</v>
      </c>
      <c r="K89" t="str">
        <f>IF(A89="","", IFERROR(VLOOKUP(A89, 'Code Violations'!A:V, 22, FALSE), "N/A"))</f>
        <v>FAIL</v>
      </c>
      <c r="L89" t="str">
        <f t="shared" si="1"/>
        <v>FAIL</v>
      </c>
    </row>
    <row r="90" spans="1:12" x14ac:dyDescent="0.25">
      <c r="A90" t="s">
        <v>256</v>
      </c>
      <c r="B90" t="str">
        <f>IF('Equipment Information'!B90="","", 'Equipment Information'!B90)</f>
        <v>Recycling Pump Disconnect</v>
      </c>
      <c r="C90" t="str">
        <f>IF('Equipment Information'!C90="","", 'Equipment Information'!C90)</f>
        <v>Receiving Station</v>
      </c>
      <c r="D90" t="str">
        <f>IF('Equipment Information'!D90="","", 'Equipment Information'!D90)</f>
        <v>Individual Disconnect Switch</v>
      </c>
      <c r="E90" t="str">
        <f>IF(A90="","", IFERROR(VLOOKUP(A90, 'Energized Data'!A:T, 20, FALSE), "N/A"))</f>
        <v>N/A</v>
      </c>
      <c r="F90" t="str">
        <f>IF(A90="","", IFERROR(VLOOKUP(A90, Insulation!A:J, 9, FALSE), "N/A"))</f>
        <v>N/A</v>
      </c>
      <c r="G90" t="str">
        <f>IF(A90="","", IFERROR(VLOOKUP(A90, DLRO!A:I, 8, FALSE), "N/A"))</f>
        <v>N/A</v>
      </c>
      <c r="H90" t="str">
        <f>IF(A90="","", IFERROR(VLOOKUP(A90, Torque!A:I, 8, FALSE), "N/A"))</f>
        <v>N/A</v>
      </c>
      <c r="I90" t="str">
        <f>IF(A90="","", IFERROR(VLOOKUP(A90, Infrared!A:G, 6, FALSE), "N/A"))</f>
        <v>PASS</v>
      </c>
      <c r="J90" t="str">
        <f>IF(A90="","", IFERROR(VLOOKUP(A90, Ultrasonic!A:H, 7, FALSE), "N/A"))</f>
        <v>PASS</v>
      </c>
      <c r="K90" t="str">
        <f>IF(A90="","", IFERROR(VLOOKUP(A90, 'Code Violations'!A:V, 22, FALSE), "N/A"))</f>
        <v>PASS</v>
      </c>
      <c r="L90" t="str">
        <f t="shared" si="1"/>
        <v>PASS</v>
      </c>
    </row>
    <row r="91" spans="1:12" x14ac:dyDescent="0.25">
      <c r="A91" t="s">
        <v>258</v>
      </c>
      <c r="B91" t="str">
        <f>IF('Equipment Information'!B91="","", 'Equipment Information'!B91)</f>
        <v>Trash Conveyor Starter</v>
      </c>
      <c r="C91" t="str">
        <f>IF('Equipment Information'!C91="","", 'Equipment Information'!C91)</f>
        <v>Receiving Station</v>
      </c>
      <c r="D91" t="str">
        <f>IF('Equipment Information'!D90="","", 'Equipment Information'!D90)</f>
        <v>Individual Disconnect Switch</v>
      </c>
      <c r="E91" t="str">
        <f>IF(A91="","", IFERROR(VLOOKUP(A91, 'Energized Data'!A:T, 20, FALSE), "N/A"))</f>
        <v>N/A</v>
      </c>
      <c r="F91" t="str">
        <f>IF(A91="","", IFERROR(VLOOKUP(A91, Insulation!A:J, 9, FALSE), "N/A"))</f>
        <v>N/A</v>
      </c>
      <c r="G91" t="str">
        <f>IF(A91="","", IFERROR(VLOOKUP(A91, DLRO!A:I, 8, FALSE), "N/A"))</f>
        <v>N/A</v>
      </c>
      <c r="H91" t="str">
        <f>IF(A91="","", IFERROR(VLOOKUP(A91, Torque!A:I, 8, FALSE), "N/A"))</f>
        <v>N/A</v>
      </c>
      <c r="I91" t="str">
        <f>IF(A91="","", IFERROR(VLOOKUP(A91, Infrared!A:G, 6, FALSE), "N/A"))</f>
        <v>PASS</v>
      </c>
      <c r="J91" t="str">
        <f>IF(A91="","", IFERROR(VLOOKUP(A91, Ultrasonic!A:H, 7, FALSE), "N/A"))</f>
        <v>PASS</v>
      </c>
      <c r="K91" t="str">
        <f>IF(A91="","", IFERROR(VLOOKUP(A91, 'Code Violations'!A:V, 22, FALSE), "N/A"))</f>
        <v>PASS</v>
      </c>
      <c r="L91" t="str">
        <f t="shared" si="1"/>
        <v>PASS</v>
      </c>
    </row>
    <row r="92" spans="1:12" x14ac:dyDescent="0.25">
      <c r="A92" t="s">
        <v>260</v>
      </c>
      <c r="B92" t="str">
        <f>IF('Equipment Information'!B92="","", 'Equipment Information'!B92)</f>
        <v>Dewatering Table Starter</v>
      </c>
      <c r="C92" t="str">
        <f>IF('Equipment Information'!C92="","", 'Equipment Information'!C92)</f>
        <v>Receiving Station</v>
      </c>
      <c r="D92" t="str">
        <f>IF('Equipment Information'!D92="","", 'Equipment Information'!D92)</f>
        <v>Individual Motor Starter</v>
      </c>
      <c r="E92" t="str">
        <f>IF(A92="","", IFERROR(VLOOKUP(A92, 'Energized Data'!A:T, 20, FALSE), "N/A"))</f>
        <v>N/A</v>
      </c>
      <c r="F92" t="str">
        <f>IF(A92="","", IFERROR(VLOOKUP(A92, Insulation!A:J, 9, FALSE), "N/A"))</f>
        <v>N/A</v>
      </c>
      <c r="G92" t="str">
        <f>IF(A92="","", IFERROR(VLOOKUP(A92, DLRO!A:I, 8, FALSE), "N/A"))</f>
        <v>N/A</v>
      </c>
      <c r="H92" t="str">
        <f>IF(A92="","", IFERROR(VLOOKUP(A92, Torque!A:I, 8, FALSE), "N/A"))</f>
        <v>N/A</v>
      </c>
      <c r="I92" t="str">
        <f>IF(A92="","", IFERROR(VLOOKUP(A92, Infrared!A:G, 6, FALSE), "N/A"))</f>
        <v>PASS</v>
      </c>
      <c r="J92" t="str">
        <f>IF(A92="","", IFERROR(VLOOKUP(A92, Ultrasonic!A:H, 7, FALSE), "N/A"))</f>
        <v>PASS</v>
      </c>
      <c r="K92" t="str">
        <f>IF(A92="","", IFERROR(VLOOKUP(A92, 'Code Violations'!A:V, 22, FALSE), "N/A"))</f>
        <v>PASS</v>
      </c>
      <c r="L92" t="str">
        <f t="shared" si="1"/>
        <v>PASS</v>
      </c>
    </row>
    <row r="93" spans="1:12" x14ac:dyDescent="0.25">
      <c r="A93" t="s">
        <v>262</v>
      </c>
      <c r="B93" t="str">
        <f>IF('Equipment Information'!B93="","", 'Equipment Information'!B93)</f>
        <v>CIP System #2</v>
      </c>
      <c r="C93" t="str">
        <f>IF('Equipment Information'!C93="","", 'Equipment Information'!C93)</f>
        <v>Production Area</v>
      </c>
      <c r="D93" t="str">
        <f>IF('Equipment Information'!D93="","", 'Equipment Information'!D93)</f>
        <v>Motor Control Panel (MCP)</v>
      </c>
      <c r="E93" t="str">
        <f>IF(A93="","", IFERROR(VLOOKUP(A93, 'Energized Data'!A:T, 20, FALSE), "N/A"))</f>
        <v>N/A</v>
      </c>
      <c r="F93" t="str">
        <f>IF(A93="","", IFERROR(VLOOKUP(A93, Insulation!A:J, 9, FALSE), "N/A"))</f>
        <v>N/A</v>
      </c>
      <c r="G93" t="str">
        <f>IF(A93="","", IFERROR(VLOOKUP(A93, DLRO!A:I, 8, FALSE), "N/A"))</f>
        <v>N/A</v>
      </c>
      <c r="H93" t="str">
        <f>IF(A93="","", IFERROR(VLOOKUP(A93, Torque!A:I, 8, FALSE), "N/A"))</f>
        <v>N/A</v>
      </c>
      <c r="I93" t="str">
        <f>IF(A93="","", IFERROR(VLOOKUP(A93, Infrared!A:G, 6, FALSE), "N/A"))</f>
        <v>PASS</v>
      </c>
      <c r="J93" t="str">
        <f>IF(A93="","", IFERROR(VLOOKUP(A93, Ultrasonic!A:H, 7, FALSE), "N/A"))</f>
        <v>PASS</v>
      </c>
      <c r="K93" t="str">
        <f>IF(A93="","", IFERROR(VLOOKUP(A93, 'Code Violations'!A:V, 22, FALSE), "N/A"))</f>
        <v>PASS</v>
      </c>
      <c r="L93" t="str">
        <f t="shared" si="1"/>
        <v>PASS</v>
      </c>
    </row>
    <row r="94" spans="1:12" x14ac:dyDescent="0.25">
      <c r="A94" t="s">
        <v>265</v>
      </c>
      <c r="B94" t="str">
        <f>IF('Equipment Information'!B94="","", 'Equipment Information'!B94)</f>
        <v>BD1</v>
      </c>
      <c r="C94" t="str">
        <f>IF('Equipment Information'!C94="","", 'Equipment Information'!C94)</f>
        <v>Production Area</v>
      </c>
      <c r="D94" t="str">
        <f>IF('Equipment Information'!D94="","", 'Equipment Information'!D94)</f>
        <v>Motor Control Panel (MCP)</v>
      </c>
      <c r="E94" t="str">
        <f>IF(A94="","", IFERROR(VLOOKUP(A94, 'Energized Data'!A:T, 20, FALSE), "N/A"))</f>
        <v>N/A</v>
      </c>
      <c r="F94" t="str">
        <f>IF(A94="","", IFERROR(VLOOKUP(A94, Insulation!A:J, 9, FALSE), "N/A"))</f>
        <v>N/A</v>
      </c>
      <c r="G94" t="str">
        <f>IF(A94="","", IFERROR(VLOOKUP(A94, DLRO!A:I, 8, FALSE), "N/A"))</f>
        <v>N/A</v>
      </c>
      <c r="H94" t="str">
        <f>IF(A94="","", IFERROR(VLOOKUP(A94, Torque!A:I, 8, FALSE), "N/A"))</f>
        <v>N/A</v>
      </c>
      <c r="I94" t="str">
        <f>IF(A94="","", IFERROR(VLOOKUP(A94, Infrared!A:G, 6, FALSE), "N/A"))</f>
        <v>PASS</v>
      </c>
      <c r="J94" t="str">
        <f>IF(A94="","", IFERROR(VLOOKUP(A94, Ultrasonic!A:H, 7, FALSE), "N/A"))</f>
        <v>PASS</v>
      </c>
      <c r="K94" t="str">
        <f>IF(A94="","", IFERROR(VLOOKUP(A94, 'Code Violations'!A:V, 22, FALSE), "N/A"))</f>
        <v>PASS</v>
      </c>
      <c r="L94" t="str">
        <f t="shared" si="1"/>
        <v>PASS</v>
      </c>
    </row>
    <row r="95" spans="1:12" x14ac:dyDescent="0.25">
      <c r="A95" t="s">
        <v>267</v>
      </c>
      <c r="B95" t="str">
        <f>IF('Equipment Information'!B95="","", 'Equipment Information'!B95)</f>
        <v>SLS-19</v>
      </c>
      <c r="C95" t="str">
        <f>IF('Equipment Information'!C95="","", 'Equipment Information'!C95)</f>
        <v>Production Area</v>
      </c>
      <c r="D95" t="str">
        <f>IF('Equipment Information'!D95="","", 'Equipment Information'!D95)</f>
        <v>Motor Control Panel (MCP)</v>
      </c>
      <c r="E95" t="str">
        <f>IF(A95="","", IFERROR(VLOOKUP(A95, 'Energized Data'!A:T, 20, FALSE), "N/A"))</f>
        <v>N/A</v>
      </c>
      <c r="F95" t="str">
        <f>IF(A95="","", IFERROR(VLOOKUP(A95, Insulation!A:J, 9, FALSE), "N/A"))</f>
        <v>N/A</v>
      </c>
      <c r="G95" t="str">
        <f>IF(A95="","", IFERROR(VLOOKUP(A95, DLRO!A:I, 8, FALSE), "N/A"))</f>
        <v>N/A</v>
      </c>
      <c r="H95" t="str">
        <f>IF(A95="","", IFERROR(VLOOKUP(A95, Torque!A:I, 8, FALSE), "N/A"))</f>
        <v>N/A</v>
      </c>
      <c r="I95" t="str">
        <f>IF(A95="","", IFERROR(VLOOKUP(A95, Infrared!A:G, 6, FALSE), "N/A"))</f>
        <v>PASS</v>
      </c>
      <c r="J95" t="str">
        <f>IF(A95="","", IFERROR(VLOOKUP(A95, Ultrasonic!A:H, 7, FALSE), "N/A"))</f>
        <v>PASS</v>
      </c>
      <c r="K95" t="str">
        <f>IF(A95="","", IFERROR(VLOOKUP(A95, 'Code Violations'!A:V, 22, FALSE), "N/A"))</f>
        <v>PASS</v>
      </c>
      <c r="L95" t="str">
        <f t="shared" si="1"/>
        <v>PASS</v>
      </c>
    </row>
    <row r="96" spans="1:12" x14ac:dyDescent="0.25">
      <c r="A96" t="s">
        <v>269</v>
      </c>
      <c r="B96" t="str">
        <f>IF('Equipment Information'!B96="","", 'Equipment Information'!B96)</f>
        <v>SPX</v>
      </c>
      <c r="C96" t="str">
        <f>IF('Equipment Information'!C96="","", 'Equipment Information'!C96)</f>
        <v>Production Area</v>
      </c>
      <c r="D96" t="str">
        <f>IF('Equipment Information'!D96="","", 'Equipment Information'!D96)</f>
        <v>Motor Control Panel (MCP)</v>
      </c>
      <c r="E96" t="str">
        <f>IF(A96="","", IFERROR(VLOOKUP(A96, 'Energized Data'!A:T, 20, FALSE), "N/A"))</f>
        <v>N/A</v>
      </c>
      <c r="F96" t="str">
        <f>IF(A96="","", IFERROR(VLOOKUP(A96, Insulation!A:J, 9, FALSE), "N/A"))</f>
        <v>N/A</v>
      </c>
      <c r="G96" t="str">
        <f>IF(A96="","", IFERROR(VLOOKUP(A96, DLRO!A:I, 8, FALSE), "N/A"))</f>
        <v>N/A</v>
      </c>
      <c r="H96" t="str">
        <f>IF(A96="","", IFERROR(VLOOKUP(A96, Torque!A:I, 8, FALSE), "N/A"))</f>
        <v>N/A</v>
      </c>
      <c r="I96" t="str">
        <f>IF(A96="","", IFERROR(VLOOKUP(A96, Infrared!A:G, 6, FALSE), "N/A"))</f>
        <v>PASS</v>
      </c>
      <c r="J96" t="str">
        <f>IF(A96="","", IFERROR(VLOOKUP(A96, Ultrasonic!A:H, 7, FALSE), "N/A"))</f>
        <v>PASS</v>
      </c>
      <c r="K96" t="str">
        <f>IF(A96="","", IFERROR(VLOOKUP(A96, 'Code Violations'!A:V, 22, FALSE), "N/A"))</f>
        <v>PASS</v>
      </c>
      <c r="L96" t="str">
        <f t="shared" si="1"/>
        <v>PASS</v>
      </c>
    </row>
    <row r="97" spans="1:12" x14ac:dyDescent="0.25">
      <c r="A97" t="s">
        <v>271</v>
      </c>
      <c r="B97" t="str">
        <f>IF('Equipment Information'!B97="","", 'Equipment Information'!B97)</f>
        <v>MCC #4 [Sec.1]</v>
      </c>
      <c r="C97" t="str">
        <f>IF('Equipment Information'!C97="","", 'Equipment Information'!C97)</f>
        <v>Production Area</v>
      </c>
      <c r="D97" t="str">
        <f>IF('Equipment Information'!D97="","", 'Equipment Information'!D97)</f>
        <v>Motor Control Center (Per vertical section)</v>
      </c>
      <c r="E97" t="str">
        <f>IF(A97="","", IFERROR(VLOOKUP(A97, 'Energized Data'!A:T, 20, FALSE), "N/A"))</f>
        <v>N/A</v>
      </c>
      <c r="F97" t="str">
        <f>IF(A97="","", IFERROR(VLOOKUP(A97, Insulation!A:J, 9, FALSE), "N/A"))</f>
        <v>N/A</v>
      </c>
      <c r="G97" t="str">
        <f>IF(A97="","", IFERROR(VLOOKUP(A97, DLRO!A:I, 8, FALSE), "N/A"))</f>
        <v>N/A</v>
      </c>
      <c r="H97" t="str">
        <f>IF(A97="","", IFERROR(VLOOKUP(A97, Torque!A:I, 8, FALSE), "N/A"))</f>
        <v>N/A</v>
      </c>
      <c r="I97" t="str">
        <f>IF(A97="","", IFERROR(VLOOKUP(A97, Infrared!A:G, 6, FALSE), "N/A"))</f>
        <v>PASS</v>
      </c>
      <c r="J97" t="str">
        <f>IF(A97="","", IFERROR(VLOOKUP(A97, Ultrasonic!A:H, 7, FALSE), "N/A"))</f>
        <v>PASS</v>
      </c>
      <c r="K97" t="str">
        <f>IF(A97="","", IFERROR(VLOOKUP(A97, 'Code Violations'!A:V, 22, FALSE), "N/A"))</f>
        <v>FAIL</v>
      </c>
      <c r="L97" t="str">
        <f t="shared" si="1"/>
        <v>FAIL</v>
      </c>
    </row>
    <row r="98" spans="1:12" x14ac:dyDescent="0.25">
      <c r="A98" t="s">
        <v>274</v>
      </c>
      <c r="B98" t="str">
        <f>IF('Equipment Information'!B98="","", 'Equipment Information'!B98)</f>
        <v>MCC #4 [Sec.2]</v>
      </c>
      <c r="C98" t="str">
        <f>IF('Equipment Information'!C98="","", 'Equipment Information'!C98)</f>
        <v>Production Area</v>
      </c>
      <c r="D98" t="str">
        <f>IF('Equipment Information'!D98="","", 'Equipment Information'!D98)</f>
        <v>Motor Control Center (Per vertical section)</v>
      </c>
      <c r="E98" t="str">
        <f>IF(A98="","", IFERROR(VLOOKUP(A98, 'Energized Data'!A:T, 20, FALSE), "N/A"))</f>
        <v>N/A</v>
      </c>
      <c r="F98" t="str">
        <f>IF(A98="","", IFERROR(VLOOKUP(A98, Insulation!A:J, 9, FALSE), "N/A"))</f>
        <v>N/A</v>
      </c>
      <c r="G98" t="str">
        <f>IF(A98="","", IFERROR(VLOOKUP(A98, DLRO!A:I, 8, FALSE), "N/A"))</f>
        <v>N/A</v>
      </c>
      <c r="H98" t="str">
        <f>IF(A98="","", IFERROR(VLOOKUP(A98, Torque!A:I, 8, FALSE), "N/A"))</f>
        <v>N/A</v>
      </c>
      <c r="I98" t="str">
        <f>IF(A98="","", IFERROR(VLOOKUP(A98, Infrared!A:G, 6, FALSE), "N/A"))</f>
        <v>PASS</v>
      </c>
      <c r="J98" t="str">
        <f>IF(A98="","", IFERROR(VLOOKUP(A98, Ultrasonic!A:H, 7, FALSE), "N/A"))</f>
        <v>PASS</v>
      </c>
      <c r="K98" t="str">
        <f>IF(A98="","", IFERROR(VLOOKUP(A98, 'Code Violations'!A:V, 22, FALSE), "N/A"))</f>
        <v>PASS</v>
      </c>
      <c r="L98" t="str">
        <f t="shared" si="1"/>
        <v>PASS</v>
      </c>
    </row>
    <row r="99" spans="1:12" x14ac:dyDescent="0.25">
      <c r="A99" t="s">
        <v>276</v>
      </c>
      <c r="B99" t="str">
        <f>IF('Equipment Information'!B99="","", 'Equipment Information'!B99)</f>
        <v>MCC #4 [Sec.3]</v>
      </c>
      <c r="C99" t="str">
        <f>IF('Equipment Information'!C99="","", 'Equipment Information'!C99)</f>
        <v>Production Area</v>
      </c>
      <c r="D99" t="str">
        <f>IF('Equipment Information'!D99="","", 'Equipment Information'!D99)</f>
        <v>Motor Control Center (Per vertical section)</v>
      </c>
      <c r="E99" t="str">
        <f>IF(A99="","", IFERROR(VLOOKUP(A99, 'Energized Data'!A:T, 20, FALSE), "N/A"))</f>
        <v>N/A</v>
      </c>
      <c r="F99" t="str">
        <f>IF(A99="","", IFERROR(VLOOKUP(A99, Insulation!A:J, 9, FALSE), "N/A"))</f>
        <v>N/A</v>
      </c>
      <c r="G99" t="str">
        <f>IF(A99="","", IFERROR(VLOOKUP(A99, DLRO!A:I, 8, FALSE), "N/A"))</f>
        <v>N/A</v>
      </c>
      <c r="H99" t="str">
        <f>IF(A99="","", IFERROR(VLOOKUP(A99, Torque!A:I, 8, FALSE), "N/A"))</f>
        <v>N/A</v>
      </c>
      <c r="I99" t="str">
        <f>IF(A99="","", IFERROR(VLOOKUP(A99, Infrared!A:G, 6, FALSE), "N/A"))</f>
        <v>PASS</v>
      </c>
      <c r="J99" t="str">
        <f>IF(A99="","", IFERROR(VLOOKUP(A99, Ultrasonic!A:H, 7, FALSE), "N/A"))</f>
        <v>PASS</v>
      </c>
      <c r="K99" t="str">
        <f>IF(A99="","", IFERROR(VLOOKUP(A99, 'Code Violations'!A:V, 22, FALSE), "N/A"))</f>
        <v>PASS</v>
      </c>
      <c r="L99" t="str">
        <f t="shared" si="1"/>
        <v>PASS</v>
      </c>
    </row>
    <row r="100" spans="1:12" x14ac:dyDescent="0.25">
      <c r="A100" t="s">
        <v>278</v>
      </c>
      <c r="B100" t="str">
        <f>IF('Equipment Information'!B100="","", 'Equipment Information'!B100)</f>
        <v>CP-Evap. #1 Disconnect</v>
      </c>
      <c r="C100" t="str">
        <f>IF('Equipment Information'!C100="","", 'Equipment Information'!C100)</f>
        <v>Production Area</v>
      </c>
      <c r="D100" t="str">
        <f>IF('Equipment Information'!D100="","", 'Equipment Information'!D100)</f>
        <v>Individual Disconnect Switch</v>
      </c>
      <c r="E100" t="str">
        <f>IF(A100="","", IFERROR(VLOOKUP(A100, 'Energized Data'!A:T, 20, FALSE), "N/A"))</f>
        <v>N/A</v>
      </c>
      <c r="F100" t="str">
        <f>IF(A100="","", IFERROR(VLOOKUP(A100, Insulation!A:J, 9, FALSE), "N/A"))</f>
        <v>N/A</v>
      </c>
      <c r="G100" t="str">
        <f>IF(A100="","", IFERROR(VLOOKUP(A100, DLRO!A:I, 8, FALSE), "N/A"))</f>
        <v>N/A</v>
      </c>
      <c r="H100" t="str">
        <f>IF(A100="","", IFERROR(VLOOKUP(A100, Torque!A:I, 8, FALSE), "N/A"))</f>
        <v>N/A</v>
      </c>
      <c r="I100" t="str">
        <f>IF(A100="","", IFERROR(VLOOKUP(A100, Infrared!A:G, 6, FALSE), "N/A"))</f>
        <v>PASS</v>
      </c>
      <c r="J100" t="str">
        <f>IF(A100="","", IFERROR(VLOOKUP(A100, Ultrasonic!A:H, 7, FALSE), "N/A"))</f>
        <v>PASS</v>
      </c>
      <c r="K100" t="str">
        <f>IF(A100="","", IFERROR(VLOOKUP(A100, 'Code Violations'!A:V, 22, FALSE), "N/A"))</f>
        <v>PASS</v>
      </c>
      <c r="L100" t="str">
        <f t="shared" si="1"/>
        <v>PASS</v>
      </c>
    </row>
    <row r="101" spans="1:12" x14ac:dyDescent="0.25">
      <c r="A101" t="s">
        <v>280</v>
      </c>
      <c r="B101" t="str">
        <f>IF('Equipment Information'!B101="","", 'Equipment Information'!B101)</f>
        <v>Evaporator #1 [Sec. 1]</v>
      </c>
      <c r="C101" t="str">
        <f>IF('Equipment Information'!C101="","", 'Equipment Information'!C101)</f>
        <v>Production Area</v>
      </c>
      <c r="D101" t="str">
        <f>IF('Equipment Information'!D101="","", 'Equipment Information'!D101)</f>
        <v>Motor Control Panel (MCP)</v>
      </c>
      <c r="E101" t="str">
        <f>IF(A101="","", IFERROR(VLOOKUP(A101, 'Energized Data'!A:T, 20, FALSE), "N/A"))</f>
        <v>N/A</v>
      </c>
      <c r="F101" t="str">
        <f>IF(A101="","", IFERROR(VLOOKUP(A101, Insulation!A:J, 9, FALSE), "N/A"))</f>
        <v>N/A</v>
      </c>
      <c r="G101" t="str">
        <f>IF(A101="","", IFERROR(VLOOKUP(A101, DLRO!A:I, 8, FALSE), "N/A"))</f>
        <v>N/A</v>
      </c>
      <c r="H101" t="str">
        <f>IF(A101="","", IFERROR(VLOOKUP(A101, Torque!A:I, 8, FALSE), "N/A"))</f>
        <v>N/A</v>
      </c>
      <c r="I101" t="str">
        <f>IF(A101="","", IFERROR(VLOOKUP(A101, Infrared!A:G, 6, FALSE), "N/A"))</f>
        <v>PASS</v>
      </c>
      <c r="J101" t="str">
        <f>IF(A101="","", IFERROR(VLOOKUP(A101, Ultrasonic!A:H, 7, FALSE), "N/A"))</f>
        <v>PASS</v>
      </c>
      <c r="K101" t="str">
        <f>IF(A101="","", IFERROR(VLOOKUP(A101, 'Code Violations'!A:V, 22, FALSE), "N/A"))</f>
        <v>PASS</v>
      </c>
      <c r="L101" t="str">
        <f t="shared" si="1"/>
        <v>PASS</v>
      </c>
    </row>
    <row r="102" spans="1:12" x14ac:dyDescent="0.25">
      <c r="A102" t="s">
        <v>282</v>
      </c>
      <c r="B102" t="str">
        <f>IF('Equipment Information'!B102="","", 'Equipment Information'!B102)</f>
        <v>Evaporator #1 [Sec. 2]</v>
      </c>
      <c r="C102" t="str">
        <f>IF('Equipment Information'!C102="","", 'Equipment Information'!C102)</f>
        <v>Production Area</v>
      </c>
      <c r="D102" t="str">
        <f>IF('Equipment Information'!D102="","", 'Equipment Information'!D102)</f>
        <v>Motor Control Panel (MCP)</v>
      </c>
      <c r="E102" t="str">
        <f>IF(A102="","", IFERROR(VLOOKUP(A102, 'Energized Data'!A:T, 20, FALSE), "N/A"))</f>
        <v>N/A</v>
      </c>
      <c r="F102" t="str">
        <f>IF(A102="","", IFERROR(VLOOKUP(A102, Insulation!A:J, 9, FALSE), "N/A"))</f>
        <v>N/A</v>
      </c>
      <c r="G102" t="str">
        <f>IF(A102="","", IFERROR(VLOOKUP(A102, DLRO!A:I, 8, FALSE), "N/A"))</f>
        <v>N/A</v>
      </c>
      <c r="H102" t="str">
        <f>IF(A102="","", IFERROR(VLOOKUP(A102, Torque!A:I, 8, FALSE), "N/A"))</f>
        <v>N/A</v>
      </c>
      <c r="I102" t="str">
        <f>IF(A102="","", IFERROR(VLOOKUP(A102, Infrared!A:G, 6, FALSE), "N/A"))</f>
        <v>FAIL</v>
      </c>
      <c r="J102" t="str">
        <f>IF(A102="","", IFERROR(VLOOKUP(A102, Ultrasonic!A:H, 7, FALSE), "N/A"))</f>
        <v>PASS</v>
      </c>
      <c r="K102" t="str">
        <f>IF(A102="","", IFERROR(VLOOKUP(A102, 'Code Violations'!A:V, 22, FALSE), "N/A"))</f>
        <v>PASS</v>
      </c>
      <c r="L102" t="str">
        <f t="shared" si="1"/>
        <v>FAIL</v>
      </c>
    </row>
    <row r="103" spans="1:12" x14ac:dyDescent="0.25">
      <c r="A103" t="s">
        <v>284</v>
      </c>
      <c r="B103" t="str">
        <f>IF('Equipment Information'!B103="","", 'Equipment Information'!B103)</f>
        <v xml:space="preserve">Pig Systems </v>
      </c>
      <c r="C103" t="str">
        <f>IF('Equipment Information'!C103="","", 'Equipment Information'!C103)</f>
        <v>Production Area</v>
      </c>
      <c r="D103" t="str">
        <f>IF('Equipment Information'!D103="","", 'Equipment Information'!D103)</f>
        <v>Motor Control Panel (MCP)</v>
      </c>
      <c r="E103" t="str">
        <f>IF(A103="","", IFERROR(VLOOKUP(A103, 'Energized Data'!A:T, 20, FALSE), "N/A"))</f>
        <v>N/A</v>
      </c>
      <c r="F103" t="str">
        <f>IF(A103="","", IFERROR(VLOOKUP(A103, Insulation!A:J, 9, FALSE), "N/A"))</f>
        <v>N/A</v>
      </c>
      <c r="G103" t="str">
        <f>IF(A103="","", IFERROR(VLOOKUP(A103, DLRO!A:I, 8, FALSE), "N/A"))</f>
        <v>N/A</v>
      </c>
      <c r="H103" t="str">
        <f>IF(A103="","", IFERROR(VLOOKUP(A103, Torque!A:I, 8, FALSE), "N/A"))</f>
        <v>N/A</v>
      </c>
      <c r="I103" t="str">
        <f>IF(A103="","", IFERROR(VLOOKUP(A103, Infrared!A:G, 6, FALSE), "N/A"))</f>
        <v>PASS</v>
      </c>
      <c r="J103" t="str">
        <f>IF(A103="","", IFERROR(VLOOKUP(A103, Ultrasonic!A:H, 7, FALSE), "N/A"))</f>
        <v>PASS</v>
      </c>
      <c r="K103" t="str">
        <f>IF(A103="","", IFERROR(VLOOKUP(A103, 'Code Violations'!A:V, 22, FALSE), "N/A"))</f>
        <v>FAIL</v>
      </c>
      <c r="L103" t="str">
        <f t="shared" si="1"/>
        <v>FAIL</v>
      </c>
    </row>
    <row r="104" spans="1:12" x14ac:dyDescent="0.25">
      <c r="A104" t="s">
        <v>286</v>
      </c>
      <c r="B104" t="str">
        <f>IF('Equipment Information'!B104="","", 'Equipment Information'!B104)</f>
        <v>CP-Silo Alley</v>
      </c>
      <c r="C104" t="str">
        <f>IF('Equipment Information'!C104="","", 'Equipment Information'!C104)</f>
        <v>Production Area</v>
      </c>
      <c r="D104" t="str">
        <f>IF('Equipment Information'!D104="","", 'Equipment Information'!D104)</f>
        <v>Motor Control Panel (MCP)</v>
      </c>
      <c r="E104" t="str">
        <f>IF(A104="","", IFERROR(VLOOKUP(A104, 'Energized Data'!A:T, 20, FALSE), "N/A"))</f>
        <v>N/A</v>
      </c>
      <c r="F104" t="str">
        <f>IF(A104="","", IFERROR(VLOOKUP(A104, Insulation!A:J, 9, FALSE), "N/A"))</f>
        <v>N/A</v>
      </c>
      <c r="G104" t="str">
        <f>IF(A104="","", IFERROR(VLOOKUP(A104, DLRO!A:I, 8, FALSE), "N/A"))</f>
        <v>N/A</v>
      </c>
      <c r="H104" t="str">
        <f>IF(A104="","", IFERROR(VLOOKUP(A104, Torque!A:I, 8, FALSE), "N/A"))</f>
        <v>N/A</v>
      </c>
      <c r="I104" t="str">
        <f>IF(A104="","", IFERROR(VLOOKUP(A104, Infrared!A:G, 6, FALSE), "N/A"))</f>
        <v>PASS</v>
      </c>
      <c r="J104" t="str">
        <f>IF(A104="","", IFERROR(VLOOKUP(A104, Ultrasonic!A:H, 7, FALSE), "N/A"))</f>
        <v>PASS</v>
      </c>
      <c r="K104" t="str">
        <f>IF(A104="","", IFERROR(VLOOKUP(A104, 'Code Violations'!A:V, 22, FALSE), "N/A"))</f>
        <v>PASS</v>
      </c>
      <c r="L104" t="str">
        <f t="shared" si="1"/>
        <v>PASS</v>
      </c>
    </row>
    <row r="105" spans="1:12" x14ac:dyDescent="0.25">
      <c r="A105" t="s">
        <v>287</v>
      </c>
      <c r="B105" t="str">
        <f>IF('Equipment Information'!B105="","", 'Equipment Information'!B105)</f>
        <v>RO-1</v>
      </c>
      <c r="C105" t="str">
        <f>IF('Equipment Information'!C105="","", 'Equipment Information'!C105)</f>
        <v>Production Area</v>
      </c>
      <c r="D105" t="str">
        <f>IF('Equipment Information'!D105="","", 'Equipment Information'!D105)</f>
        <v>Motor Control Panel (MCP)</v>
      </c>
      <c r="E105" t="str">
        <f>IF(A105="","", IFERROR(VLOOKUP(A105, 'Energized Data'!A:T, 20, FALSE), "N/A"))</f>
        <v>N/A</v>
      </c>
      <c r="F105" t="str">
        <f>IF(A105="","", IFERROR(VLOOKUP(A105, Insulation!A:J, 9, FALSE), "N/A"))</f>
        <v>N/A</v>
      </c>
      <c r="G105" t="str">
        <f>IF(A105="","", IFERROR(VLOOKUP(A105, DLRO!A:I, 8, FALSE), "N/A"))</f>
        <v>N/A</v>
      </c>
      <c r="H105" t="str">
        <f>IF(A105="","", IFERROR(VLOOKUP(A105, Torque!A:I, 8, FALSE), "N/A"))</f>
        <v>N/A</v>
      </c>
      <c r="I105" t="str">
        <f>IF(A105="","", IFERROR(VLOOKUP(A105, Infrared!A:G, 6, FALSE), "N/A"))</f>
        <v>PASS</v>
      </c>
      <c r="J105" t="str">
        <f>IF(A105="","", IFERROR(VLOOKUP(A105, Ultrasonic!A:H, 7, FALSE), "N/A"))</f>
        <v>PASS</v>
      </c>
      <c r="K105" t="str">
        <f>IF(A105="","", IFERROR(VLOOKUP(A105, 'Code Violations'!A:V, 22, FALSE), "N/A"))</f>
        <v>PASS</v>
      </c>
      <c r="L105" t="str">
        <f t="shared" si="1"/>
        <v>PASS</v>
      </c>
    </row>
    <row r="106" spans="1:12" x14ac:dyDescent="0.25">
      <c r="A106" t="s">
        <v>289</v>
      </c>
      <c r="B106" t="str">
        <f>IF('Equipment Information'!B106="","", 'Equipment Information'!B106)</f>
        <v>KOCH Sytems Controller</v>
      </c>
      <c r="C106" t="str">
        <f>IF('Equipment Information'!C106="","", 'Equipment Information'!C106)</f>
        <v>Production Area</v>
      </c>
      <c r="D106" t="str">
        <f>IF('Equipment Information'!D106="","", 'Equipment Information'!D106)</f>
        <v>Motor Control Panel (MCP)</v>
      </c>
      <c r="E106" t="str">
        <f>IF(A106="","", IFERROR(VLOOKUP(A106, 'Energized Data'!A:T, 20, FALSE), "N/A"))</f>
        <v>N/A</v>
      </c>
      <c r="F106" t="str">
        <f>IF(A106="","", IFERROR(VLOOKUP(A106, Insulation!A:J, 9, FALSE), "N/A"))</f>
        <v>N/A</v>
      </c>
      <c r="G106" t="str">
        <f>IF(A106="","", IFERROR(VLOOKUP(A106, DLRO!A:I, 8, FALSE), "N/A"))</f>
        <v>N/A</v>
      </c>
      <c r="H106" t="str">
        <f>IF(A106="","", IFERROR(VLOOKUP(A106, Torque!A:I, 8, FALSE), "N/A"))</f>
        <v>N/A</v>
      </c>
      <c r="I106" t="str">
        <f>IF(A106="","", IFERROR(VLOOKUP(A106, Infrared!A:G, 6, FALSE), "N/A"))</f>
        <v>PASS</v>
      </c>
      <c r="J106" t="str">
        <f>IF(A106="","", IFERROR(VLOOKUP(A106, Ultrasonic!A:H, 7, FALSE), "N/A"))</f>
        <v>PASS</v>
      </c>
      <c r="K106" t="str">
        <f>IF(A106="","", IFERROR(VLOOKUP(A106, 'Code Violations'!A:V, 22, FALSE), "N/A"))</f>
        <v>PASS</v>
      </c>
      <c r="L106" t="str">
        <f t="shared" si="1"/>
        <v>PASS</v>
      </c>
    </row>
    <row r="107" spans="1:12" x14ac:dyDescent="0.25">
      <c r="A107" t="s">
        <v>291</v>
      </c>
      <c r="B107" t="str">
        <f>IF('Equipment Information'!B107="","", 'Equipment Information'!B107)</f>
        <v>KOCH Sytems Controls</v>
      </c>
      <c r="C107" t="str">
        <f>IF('Equipment Information'!C107="","", 'Equipment Information'!C107)</f>
        <v>Production Area</v>
      </c>
      <c r="D107" t="str">
        <f>IF('Equipment Information'!D107="","", 'Equipment Information'!D107)</f>
        <v>Motor Control Panel (MCP)</v>
      </c>
      <c r="E107" t="str">
        <f>IF(A107="","", IFERROR(VLOOKUP(A107, 'Energized Data'!A:T, 20, FALSE), "N/A"))</f>
        <v>N/A</v>
      </c>
      <c r="F107" t="str">
        <f>IF(A107="","", IFERROR(VLOOKUP(A107, Insulation!A:J, 9, FALSE), "N/A"))</f>
        <v>N/A</v>
      </c>
      <c r="G107" t="str">
        <f>IF(A107="","", IFERROR(VLOOKUP(A107, DLRO!A:I, 8, FALSE), "N/A"))</f>
        <v>N/A</v>
      </c>
      <c r="H107" t="str">
        <f>IF(A107="","", IFERROR(VLOOKUP(A107, Torque!A:I, 8, FALSE), "N/A"))</f>
        <v>N/A</v>
      </c>
      <c r="I107" t="str">
        <f>IF(A107="","", IFERROR(VLOOKUP(A107, Infrared!A:G, 6, FALSE), "N/A"))</f>
        <v>PASS</v>
      </c>
      <c r="J107" t="str">
        <f>IF(A107="","", IFERROR(VLOOKUP(A107, Ultrasonic!A:H, 7, FALSE), "N/A"))</f>
        <v>PASS</v>
      </c>
      <c r="K107" t="str">
        <f>IF(A107="","", IFERROR(VLOOKUP(A107, 'Code Violations'!A:V, 22, FALSE), "N/A"))</f>
        <v>PASS</v>
      </c>
      <c r="L107" t="str">
        <f t="shared" si="1"/>
        <v>PASS</v>
      </c>
    </row>
    <row r="108" spans="1:12" x14ac:dyDescent="0.25">
      <c r="A108" t="s">
        <v>293</v>
      </c>
      <c r="B108" t="str">
        <f>IF('Equipment Information'!B108="","", 'Equipment Information'!B108)</f>
        <v>Evaporator #3</v>
      </c>
      <c r="C108" t="str">
        <f>IF('Equipment Information'!C108="","", 'Equipment Information'!C108)</f>
        <v>Production Area</v>
      </c>
      <c r="D108" t="str">
        <f>IF('Equipment Information'!D108="","", 'Equipment Information'!D108)</f>
        <v>Motor Control Panel (MCP)</v>
      </c>
      <c r="E108" t="str">
        <f>IF(A108="","", IFERROR(VLOOKUP(A108, 'Energized Data'!A:T, 20, FALSE), "N/A"))</f>
        <v>N/A</v>
      </c>
      <c r="F108" t="str">
        <f>IF(A108="","", IFERROR(VLOOKUP(A108, Insulation!A:J, 9, FALSE), "N/A"))</f>
        <v>N/A</v>
      </c>
      <c r="G108" t="str">
        <f>IF(A108="","", IFERROR(VLOOKUP(A108, DLRO!A:I, 8, FALSE), "N/A"))</f>
        <v>N/A</v>
      </c>
      <c r="H108" t="str">
        <f>IF(A108="","", IFERROR(VLOOKUP(A108, Torque!A:I, 8, FALSE), "N/A"))</f>
        <v>N/A</v>
      </c>
      <c r="I108" t="str">
        <f>IF(A108="","", IFERROR(VLOOKUP(A108, Infrared!A:G, 6, FALSE), "N/A"))</f>
        <v>PASS</v>
      </c>
      <c r="J108" t="str">
        <f>IF(A108="","", IFERROR(VLOOKUP(A108, Ultrasonic!A:H, 7, FALSE), "N/A"))</f>
        <v>PASS</v>
      </c>
      <c r="K108" t="str">
        <f>IF(A108="","", IFERROR(VLOOKUP(A108, 'Code Violations'!A:V, 22, FALSE), "N/A"))</f>
        <v>PASS</v>
      </c>
      <c r="L108" t="str">
        <f t="shared" si="1"/>
        <v>PASS</v>
      </c>
    </row>
    <row r="109" spans="1:12" x14ac:dyDescent="0.25">
      <c r="A109" t="s">
        <v>295</v>
      </c>
      <c r="B109" t="str">
        <f>IF('Equipment Information'!B109="","", 'Equipment Information'!B109)</f>
        <v>CP-Evap. #3 Disconnect</v>
      </c>
      <c r="C109" t="str">
        <f>IF('Equipment Information'!C109="","", 'Equipment Information'!C109)</f>
        <v>Production Area</v>
      </c>
      <c r="D109" t="str">
        <f>IF('Equipment Information'!D109="","", 'Equipment Information'!D109)</f>
        <v>Motor Control Panel (MCP)</v>
      </c>
      <c r="E109" t="str">
        <f>IF(A109="","", IFERROR(VLOOKUP(A109, 'Energized Data'!A:T, 20, FALSE), "N/A"))</f>
        <v>N/A</v>
      </c>
      <c r="F109" t="str">
        <f>IF(A109="","", IFERROR(VLOOKUP(A109, Insulation!A:J, 9, FALSE), "N/A"))</f>
        <v>N/A</v>
      </c>
      <c r="G109" t="str">
        <f>IF(A109="","", IFERROR(VLOOKUP(A109, DLRO!A:I, 8, FALSE), "N/A"))</f>
        <v>N/A</v>
      </c>
      <c r="H109" t="str">
        <f>IF(A109="","", IFERROR(VLOOKUP(A109, Torque!A:I, 8, FALSE), "N/A"))</f>
        <v>N/A</v>
      </c>
      <c r="I109" t="str">
        <f>IF(A109="","", IFERROR(VLOOKUP(A109, Infrared!A:G, 6, FALSE), "N/A"))</f>
        <v>PASS</v>
      </c>
      <c r="J109" t="str">
        <f>IF(A109="","", IFERROR(VLOOKUP(A109, Ultrasonic!A:H, 7, FALSE), "N/A"))</f>
        <v>PASS</v>
      </c>
      <c r="K109" t="str">
        <f>IF(A109="","", IFERROR(VLOOKUP(A109, 'Code Violations'!A:V, 22, FALSE), "N/A"))</f>
        <v>PASS</v>
      </c>
      <c r="L109" t="str">
        <f t="shared" si="1"/>
        <v>PASS</v>
      </c>
    </row>
    <row r="110" spans="1:12" x14ac:dyDescent="0.25">
      <c r="A110" t="s">
        <v>297</v>
      </c>
      <c r="B110" t="str">
        <f>IF('Equipment Information'!B110="","", 'Equipment Information'!B110)</f>
        <v>CP-DTS Sub Line #1 [Sec. 1]</v>
      </c>
      <c r="C110" t="str">
        <f>IF('Equipment Information'!C110="","", 'Equipment Information'!C110)</f>
        <v>Production Area</v>
      </c>
      <c r="D110" t="str">
        <f>IF('Equipment Information'!D110="","", 'Equipment Information'!D110)</f>
        <v>Motor Control Panel (MCP)</v>
      </c>
      <c r="E110" t="str">
        <f>IF(A110="","", IFERROR(VLOOKUP(A110, 'Energized Data'!A:T, 20, FALSE), "N/A"))</f>
        <v>N/A</v>
      </c>
      <c r="F110" t="str">
        <f>IF(A110="","", IFERROR(VLOOKUP(A110, Insulation!A:J, 9, FALSE), "N/A"))</f>
        <v>N/A</v>
      </c>
      <c r="G110" t="str">
        <f>IF(A110="","", IFERROR(VLOOKUP(A110, DLRO!A:I, 8, FALSE), "N/A"))</f>
        <v>N/A</v>
      </c>
      <c r="H110" t="str">
        <f>IF(A110="","", IFERROR(VLOOKUP(A110, Torque!A:I, 8, FALSE), "N/A"))</f>
        <v>N/A</v>
      </c>
      <c r="I110" t="str">
        <f>IF(A110="","", IFERROR(VLOOKUP(A110, Infrared!A:G, 6, FALSE), "N/A"))</f>
        <v>PASS</v>
      </c>
      <c r="J110" t="str">
        <f>IF(A110="","", IFERROR(VLOOKUP(A110, Ultrasonic!A:H, 7, FALSE), "N/A"))</f>
        <v>PASS</v>
      </c>
      <c r="K110" t="str">
        <f>IF(A110="","", IFERROR(VLOOKUP(A110, 'Code Violations'!A:V, 22, FALSE), "N/A"))</f>
        <v>PASS</v>
      </c>
      <c r="L110" t="str">
        <f t="shared" si="1"/>
        <v>PASS</v>
      </c>
    </row>
    <row r="111" spans="1:12" x14ac:dyDescent="0.25">
      <c r="A111" t="s">
        <v>299</v>
      </c>
      <c r="B111" t="str">
        <f>IF('Equipment Information'!B111="","", 'Equipment Information'!B111)</f>
        <v>CP-DTS Sub Line #1 [Sec. 2]</v>
      </c>
      <c r="C111" t="str">
        <f>IF('Equipment Information'!C111="","", 'Equipment Information'!C111)</f>
        <v>Production Area</v>
      </c>
      <c r="D111" t="str">
        <f>IF('Equipment Information'!D111="","", 'Equipment Information'!D111)</f>
        <v>Motor Control Panel (MCP)</v>
      </c>
      <c r="E111" t="str">
        <f>IF(A111="","", IFERROR(VLOOKUP(A111, 'Energized Data'!A:T, 20, FALSE), "N/A"))</f>
        <v>N/A</v>
      </c>
      <c r="F111" t="str">
        <f>IF(A111="","", IFERROR(VLOOKUP(A111, Insulation!A:J, 9, FALSE), "N/A"))</f>
        <v>N/A</v>
      </c>
      <c r="G111" t="str">
        <f>IF(A111="","", IFERROR(VLOOKUP(A111, DLRO!A:I, 8, FALSE), "N/A"))</f>
        <v>N/A</v>
      </c>
      <c r="H111" t="str">
        <f>IF(A111="","", IFERROR(VLOOKUP(A111, Torque!A:I, 8, FALSE), "N/A"))</f>
        <v>N/A</v>
      </c>
      <c r="I111" t="str">
        <f>IF(A111="","", IFERROR(VLOOKUP(A111, Infrared!A:G, 6, FALSE), "N/A"))</f>
        <v>PASS</v>
      </c>
      <c r="J111" t="str">
        <f>IF(A111="","", IFERROR(VLOOKUP(A111, Ultrasonic!A:H, 7, FALSE), "N/A"))</f>
        <v>PASS</v>
      </c>
      <c r="K111" t="str">
        <f>IF(A111="","", IFERROR(VLOOKUP(A111, 'Code Violations'!A:V, 22, FALSE), "N/A"))</f>
        <v>PASS</v>
      </c>
      <c r="L111" t="str">
        <f t="shared" si="1"/>
        <v>PASS</v>
      </c>
    </row>
    <row r="112" spans="1:12" x14ac:dyDescent="0.25">
      <c r="A112" t="s">
        <v>301</v>
      </c>
      <c r="B112" t="str">
        <f>IF('Equipment Information'!B112="","", 'Equipment Information'!B112)</f>
        <v>CP-DTS Sub Line #1 [Sec. 3]</v>
      </c>
      <c r="C112" t="str">
        <f>IF('Equipment Information'!C112="","", 'Equipment Information'!C112)</f>
        <v>Production Area</v>
      </c>
      <c r="D112" t="str">
        <f>IF('Equipment Information'!D112="","", 'Equipment Information'!D112)</f>
        <v>Motor Control Panel (MCP)</v>
      </c>
      <c r="E112" t="str">
        <f>IF(A112="","", IFERROR(VLOOKUP(A112, 'Energized Data'!A:T, 20, FALSE), "N/A"))</f>
        <v>N/A</v>
      </c>
      <c r="F112" t="str">
        <f>IF(A112="","", IFERROR(VLOOKUP(A112, Insulation!A:J, 9, FALSE), "N/A"))</f>
        <v>N/A</v>
      </c>
      <c r="G112" t="str">
        <f>IF(A112="","", IFERROR(VLOOKUP(A112, DLRO!A:I, 8, FALSE), "N/A"))</f>
        <v>N/A</v>
      </c>
      <c r="H112" t="str">
        <f>IF(A112="","", IFERROR(VLOOKUP(A112, Torque!A:I, 8, FALSE), "N/A"))</f>
        <v>N/A</v>
      </c>
      <c r="I112" t="str">
        <f>IF(A112="","", IFERROR(VLOOKUP(A112, Infrared!A:G, 6, FALSE), "N/A"))</f>
        <v>PASS</v>
      </c>
      <c r="J112" t="str">
        <f>IF(A112="","", IFERROR(VLOOKUP(A112, Ultrasonic!A:H, 7, FALSE), "N/A"))</f>
        <v>PASS</v>
      </c>
      <c r="K112" t="str">
        <f>IF(A112="","", IFERROR(VLOOKUP(A112, 'Code Violations'!A:V, 22, FALSE), "N/A"))</f>
        <v>FAIL</v>
      </c>
      <c r="L112" t="str">
        <f t="shared" si="1"/>
        <v>FAIL</v>
      </c>
    </row>
    <row r="113" spans="1:12" x14ac:dyDescent="0.25">
      <c r="A113" t="s">
        <v>303</v>
      </c>
      <c r="B113" t="str">
        <f>IF('Equipment Information'!B113="","", 'Equipment Information'!B113)</f>
        <v>DP-1</v>
      </c>
      <c r="C113" t="str">
        <f>IF('Equipment Information'!C113="","", 'Equipment Information'!C113)</f>
        <v>Production Area</v>
      </c>
      <c r="D113" t="str">
        <f>IF('Equipment Information'!D113="","", 'Equipment Information'!D113)</f>
        <v>Distribution Panel Single Front &gt;=600A</v>
      </c>
      <c r="E113" t="str">
        <f>IF(A113="","", IFERROR(VLOOKUP(A113, 'Energized Data'!A:T, 20, FALSE), "N/A"))</f>
        <v>N/A</v>
      </c>
      <c r="F113" t="str">
        <f>IF(A113="","", IFERROR(VLOOKUP(A113, Insulation!A:J, 9, FALSE), "N/A"))</f>
        <v>N/A</v>
      </c>
      <c r="G113" t="str">
        <f>IF(A113="","", IFERROR(VLOOKUP(A113, DLRO!A:I, 8, FALSE), "N/A"))</f>
        <v>N/A</v>
      </c>
      <c r="H113" t="str">
        <f>IF(A113="","", IFERROR(VLOOKUP(A113, Torque!A:I, 8, FALSE), "N/A"))</f>
        <v>N/A</v>
      </c>
      <c r="I113" t="str">
        <f>IF(A113="","", IFERROR(VLOOKUP(A113, Infrared!A:G, 6, FALSE), "N/A"))</f>
        <v>PASS</v>
      </c>
      <c r="J113" t="str">
        <f>IF(A113="","", IFERROR(VLOOKUP(A113, Ultrasonic!A:H, 7, FALSE), "N/A"))</f>
        <v>PASS</v>
      </c>
      <c r="K113" t="str">
        <f>IF(A113="","", IFERROR(VLOOKUP(A113, 'Code Violations'!A:V, 22, FALSE), "N/A"))</f>
        <v>PASS</v>
      </c>
      <c r="L113" t="str">
        <f t="shared" si="1"/>
        <v>PASS</v>
      </c>
    </row>
    <row r="114" spans="1:12" x14ac:dyDescent="0.25">
      <c r="A114" t="s">
        <v>305</v>
      </c>
      <c r="B114" t="str">
        <f>IF('Equipment Information'!B114="","", 'Equipment Information'!B114)</f>
        <v>P-1</v>
      </c>
      <c r="C114" t="str">
        <f>IF('Equipment Information'!C114="","", 'Equipment Information'!C114)</f>
        <v>Production Area</v>
      </c>
      <c r="D114" t="str">
        <f>IF('Equipment Information'!D114="","", 'Equipment Information'!D114)</f>
        <v>Branch Circuit Panel &lt;=400A</v>
      </c>
      <c r="E114" t="str">
        <f>IF(A114="","", IFERROR(VLOOKUP(A114, 'Energized Data'!A:T, 20, FALSE), "N/A"))</f>
        <v>N/A</v>
      </c>
      <c r="F114" t="str">
        <f>IF(A114="","", IFERROR(VLOOKUP(A114, Insulation!A:J, 9, FALSE), "N/A"))</f>
        <v>N/A</v>
      </c>
      <c r="G114" t="str">
        <f>IF(A114="","", IFERROR(VLOOKUP(A114, DLRO!A:I, 8, FALSE), "N/A"))</f>
        <v>N/A</v>
      </c>
      <c r="H114" t="str">
        <f>IF(A114="","", IFERROR(VLOOKUP(A114, Torque!A:I, 8, FALSE), "N/A"))</f>
        <v>N/A</v>
      </c>
      <c r="I114" t="str">
        <f>IF(A114="","", IFERROR(VLOOKUP(A114, Infrared!A:G, 6, FALSE), "N/A"))</f>
        <v>PASS</v>
      </c>
      <c r="J114" t="str">
        <f>IF(A114="","", IFERROR(VLOOKUP(A114, Ultrasonic!A:H, 7, FALSE), "N/A"))</f>
        <v>PASS</v>
      </c>
      <c r="K114" t="str">
        <f>IF(A114="","", IFERROR(VLOOKUP(A114, 'Code Violations'!A:V, 22, FALSE), "N/A"))</f>
        <v>PASS</v>
      </c>
      <c r="L114" t="str">
        <f t="shared" si="1"/>
        <v>PASS</v>
      </c>
    </row>
    <row r="115" spans="1:12" x14ac:dyDescent="0.25">
      <c r="A115" t="s">
        <v>306</v>
      </c>
      <c r="B115" t="str">
        <f>IF('Equipment Information'!B115="","", 'Equipment Information'!B115)</f>
        <v>FS-Slice Line</v>
      </c>
      <c r="C115" t="str">
        <f>IF('Equipment Information'!C115="","", 'Equipment Information'!C115)</f>
        <v>Production Area</v>
      </c>
      <c r="D115" t="str">
        <f>IF('Equipment Information'!D115="","", 'Equipment Information'!D115)</f>
        <v>Individual Disconnect Switch</v>
      </c>
      <c r="E115" t="str">
        <f>IF(A115="","", IFERROR(VLOOKUP(A115, 'Energized Data'!A:T, 20, FALSE), "N/A"))</f>
        <v>N/A</v>
      </c>
      <c r="F115" t="str">
        <f>IF(A115="","", IFERROR(VLOOKUP(A115, Insulation!A:J, 9, FALSE), "N/A"))</f>
        <v>N/A</v>
      </c>
      <c r="G115" t="str">
        <f>IF(A115="","", IFERROR(VLOOKUP(A115, DLRO!A:I, 8, FALSE), "N/A"))</f>
        <v>N/A</v>
      </c>
      <c r="H115" t="str">
        <f>IF(A115="","", IFERROR(VLOOKUP(A115, Torque!A:I, 8, FALSE), "N/A"))</f>
        <v>N/A</v>
      </c>
      <c r="I115" t="str">
        <f>IF(A115="","", IFERROR(VLOOKUP(A115, Infrared!A:G, 6, FALSE), "N/A"))</f>
        <v>PASS</v>
      </c>
      <c r="J115" t="str">
        <f>IF(A115="","", IFERROR(VLOOKUP(A115, Ultrasonic!A:H, 7, FALSE), "N/A"))</f>
        <v>PASS</v>
      </c>
      <c r="K115" t="str">
        <f>IF(A115="","", IFERROR(VLOOKUP(A115, 'Code Violations'!A:V, 22, FALSE), "N/A"))</f>
        <v>PASS</v>
      </c>
      <c r="L115" t="str">
        <f t="shared" si="1"/>
        <v>PASS</v>
      </c>
    </row>
    <row r="116" spans="1:12" x14ac:dyDescent="0.25">
      <c r="A116" t="s">
        <v>308</v>
      </c>
      <c r="B116" t="str">
        <f>IF('Equipment Information'!B116="","", 'Equipment Information'!B116)</f>
        <v>OH XFMR</v>
      </c>
      <c r="C116" t="str">
        <f>IF('Equipment Information'!C116="","", 'Equipment Information'!C116)</f>
        <v>Production Area</v>
      </c>
      <c r="D116" t="str">
        <f>IF('Equipment Information'!D116="","", 'Equipment Information'!D116)</f>
        <v>480V/208V/120V Transformer - Dry &lt;250 kva</v>
      </c>
      <c r="E116" t="str">
        <f>IF(A116="","", IFERROR(VLOOKUP(A116, 'Energized Data'!A:T, 20, FALSE), "N/A"))</f>
        <v>N/A</v>
      </c>
      <c r="F116" t="str">
        <f>IF(A116="","", IFERROR(VLOOKUP(A116, Insulation!A:J, 9, FALSE), "N/A"))</f>
        <v>N/A</v>
      </c>
      <c r="G116" t="str">
        <f>IF(A116="","", IFERROR(VLOOKUP(A116, DLRO!A:I, 8, FALSE), "N/A"))</f>
        <v>N/A</v>
      </c>
      <c r="H116" t="str">
        <f>IF(A116="","", IFERROR(VLOOKUP(A116, Torque!A:I, 8, FALSE), "N/A"))</f>
        <v>N/A</v>
      </c>
      <c r="I116" t="str">
        <f>IF(A116="","", IFERROR(VLOOKUP(A116, Infrared!A:G, 6, FALSE), "N/A"))</f>
        <v>PASS</v>
      </c>
      <c r="J116" t="str">
        <f>IF(A116="","", IFERROR(VLOOKUP(A116, Ultrasonic!A:H, 7, FALSE), "N/A"))</f>
        <v>PASS</v>
      </c>
      <c r="K116" t="str">
        <f>IF(A116="","", IFERROR(VLOOKUP(A116, 'Code Violations'!A:V, 22, FALSE), "N/A"))</f>
        <v>PASS</v>
      </c>
      <c r="L116" t="str">
        <f t="shared" si="1"/>
        <v>PASS</v>
      </c>
    </row>
    <row r="117" spans="1:12" x14ac:dyDescent="0.25">
      <c r="A117" t="s">
        <v>309</v>
      </c>
      <c r="B117" t="str">
        <f>IF('Equipment Information'!B117="","", 'Equipment Information'!B117)</f>
        <v>CP-1 [Sec. 1]</v>
      </c>
      <c r="C117" t="str">
        <f>IF('Equipment Information'!C117="","", 'Equipment Information'!C117)</f>
        <v>Production Area</v>
      </c>
      <c r="D117" t="str">
        <f>IF('Equipment Information'!D117="","", 'Equipment Information'!D117)</f>
        <v>Motor Control Panel (MCP)</v>
      </c>
      <c r="E117" t="str">
        <f>IF(A117="","", IFERROR(VLOOKUP(A117, 'Energized Data'!A:T, 20, FALSE), "N/A"))</f>
        <v>N/A</v>
      </c>
      <c r="F117" t="str">
        <f>IF(A117="","", IFERROR(VLOOKUP(A117, Insulation!A:J, 9, FALSE), "N/A"))</f>
        <v>N/A</v>
      </c>
      <c r="G117" t="str">
        <f>IF(A117="","", IFERROR(VLOOKUP(A117, DLRO!A:I, 8, FALSE), "N/A"))</f>
        <v>N/A</v>
      </c>
      <c r="H117" t="str">
        <f>IF(A117="","", IFERROR(VLOOKUP(A117, Torque!A:I, 8, FALSE), "N/A"))</f>
        <v>N/A</v>
      </c>
      <c r="I117" t="str">
        <f>IF(A117="","", IFERROR(VLOOKUP(A117, Infrared!A:G, 6, FALSE), "N/A"))</f>
        <v>PASS</v>
      </c>
      <c r="J117" t="str">
        <f>IF(A117="","", IFERROR(VLOOKUP(A117, Ultrasonic!A:H, 7, FALSE), "N/A"))</f>
        <v>PASS</v>
      </c>
      <c r="K117" t="str">
        <f>IF(A117="","", IFERROR(VLOOKUP(A117, 'Code Violations'!A:V, 22, FALSE), "N/A"))</f>
        <v>PASS</v>
      </c>
      <c r="L117" t="str">
        <f t="shared" si="1"/>
        <v>PASS</v>
      </c>
    </row>
    <row r="118" spans="1:12" x14ac:dyDescent="0.25">
      <c r="A118" t="s">
        <v>311</v>
      </c>
      <c r="B118" t="str">
        <f>IF('Equipment Information'!B118="","", 'Equipment Information'!B118)</f>
        <v>CP-1 [Sec. 2]</v>
      </c>
      <c r="C118" t="str">
        <f>IF('Equipment Information'!C118="","", 'Equipment Information'!C118)</f>
        <v>Production Area</v>
      </c>
      <c r="D118" t="str">
        <f>IF('Equipment Information'!D118="","", 'Equipment Information'!D118)</f>
        <v>Motor Control Panel (MCP)</v>
      </c>
      <c r="E118" t="str">
        <f>IF(A118="","", IFERROR(VLOOKUP(A118, 'Energized Data'!A:T, 20, FALSE), "N/A"))</f>
        <v>N/A</v>
      </c>
      <c r="F118" t="str">
        <f>IF(A118="","", IFERROR(VLOOKUP(A118, Insulation!A:J, 9, FALSE), "N/A"))</f>
        <v>N/A</v>
      </c>
      <c r="G118" t="str">
        <f>IF(A118="","", IFERROR(VLOOKUP(A118, DLRO!A:I, 8, FALSE), "N/A"))</f>
        <v>N/A</v>
      </c>
      <c r="H118" t="str">
        <f>IF(A118="","", IFERROR(VLOOKUP(A118, Torque!A:I, 8, FALSE), "N/A"))</f>
        <v>N/A</v>
      </c>
      <c r="I118" t="str">
        <f>IF(A118="","", IFERROR(VLOOKUP(A118, Infrared!A:G, 6, FALSE), "N/A"))</f>
        <v>PASS</v>
      </c>
      <c r="J118" t="str">
        <f>IF(A118="","", IFERROR(VLOOKUP(A118, Ultrasonic!A:H, 7, FALSE), "N/A"))</f>
        <v>PASS</v>
      </c>
      <c r="K118" t="str">
        <f>IF(A118="","", IFERROR(VLOOKUP(A118, 'Code Violations'!A:V, 22, FALSE), "N/A"))</f>
        <v>PASS</v>
      </c>
      <c r="L118" t="str">
        <f t="shared" si="1"/>
        <v>PASS</v>
      </c>
    </row>
    <row r="119" spans="1:12" x14ac:dyDescent="0.25">
      <c r="A119" t="s">
        <v>313</v>
      </c>
      <c r="B119" t="str">
        <f>IF('Equipment Information'!B119="","", 'Equipment Information'!B119)</f>
        <v>CP-1 [Sec. 3]</v>
      </c>
      <c r="C119" t="str">
        <f>IF('Equipment Information'!C119="","", 'Equipment Information'!C119)</f>
        <v>Production Area</v>
      </c>
      <c r="D119" t="str">
        <f>IF('Equipment Information'!D119="","", 'Equipment Information'!D119)</f>
        <v>Motor Control Panel (MCP)</v>
      </c>
      <c r="E119" t="str">
        <f>IF(A119="","", IFERROR(VLOOKUP(A119, 'Energized Data'!A:T, 20, FALSE), "N/A"))</f>
        <v>N/A</v>
      </c>
      <c r="F119" t="str">
        <f>IF(A119="","", IFERROR(VLOOKUP(A119, Insulation!A:J, 9, FALSE), "N/A"))</f>
        <v>N/A</v>
      </c>
      <c r="G119" t="str">
        <f>IF(A119="","", IFERROR(VLOOKUP(A119, DLRO!A:I, 8, FALSE), "N/A"))</f>
        <v>N/A</v>
      </c>
      <c r="H119" t="str">
        <f>IF(A119="","", IFERROR(VLOOKUP(A119, Torque!A:I, 8, FALSE), "N/A"))</f>
        <v>N/A</v>
      </c>
      <c r="I119" t="str">
        <f>IF(A119="","", IFERROR(VLOOKUP(A119, Infrared!A:G, 6, FALSE), "N/A"))</f>
        <v>PASS</v>
      </c>
      <c r="J119" t="str">
        <f>IF(A119="","", IFERROR(VLOOKUP(A119, Ultrasonic!A:H, 7, FALSE), "N/A"))</f>
        <v>PASS</v>
      </c>
      <c r="K119" t="str">
        <f>IF(A119="","", IFERROR(VLOOKUP(A119, 'Code Violations'!A:V, 22, FALSE), "N/A"))</f>
        <v>PASS</v>
      </c>
      <c r="L119" t="str">
        <f t="shared" si="1"/>
        <v>PASS</v>
      </c>
    </row>
    <row r="120" spans="1:12" x14ac:dyDescent="0.25">
      <c r="A120" t="s">
        <v>315</v>
      </c>
      <c r="B120" t="str">
        <f>IF('Equipment Information'!B120="","", 'Equipment Information'!B120)</f>
        <v>CP-DTS Sub Line #2 [Sec. 1]</v>
      </c>
      <c r="C120" t="str">
        <f>IF('Equipment Information'!C120="","", 'Equipment Information'!C120)</f>
        <v>Production Area</v>
      </c>
      <c r="D120" t="str">
        <f>IF('Equipment Information'!D120="","", 'Equipment Information'!D120)</f>
        <v>Motor Control Panel (MCP)</v>
      </c>
      <c r="E120" t="str">
        <f>IF(A120="","", IFERROR(VLOOKUP(A120, 'Energized Data'!A:T, 20, FALSE), "N/A"))</f>
        <v>N/A</v>
      </c>
      <c r="F120" t="str">
        <f>IF(A120="","", IFERROR(VLOOKUP(A120, Insulation!A:J, 9, FALSE), "N/A"))</f>
        <v>N/A</v>
      </c>
      <c r="G120" t="str">
        <f>IF(A120="","", IFERROR(VLOOKUP(A120, DLRO!A:I, 8, FALSE), "N/A"))</f>
        <v>N/A</v>
      </c>
      <c r="H120" t="str">
        <f>IF(A120="","", IFERROR(VLOOKUP(A120, Torque!A:I, 8, FALSE), "N/A"))</f>
        <v>N/A</v>
      </c>
      <c r="I120" t="str">
        <f>IF(A120="","", IFERROR(VLOOKUP(A120, Infrared!A:G, 6, FALSE), "N/A"))</f>
        <v>PASS</v>
      </c>
      <c r="J120" t="str">
        <f>IF(A120="","", IFERROR(VLOOKUP(A120, Ultrasonic!A:H, 7, FALSE), "N/A"))</f>
        <v>PASS</v>
      </c>
      <c r="K120" t="str">
        <f>IF(A120="","", IFERROR(VLOOKUP(A120, 'Code Violations'!A:V, 22, FALSE), "N/A"))</f>
        <v>FAIL</v>
      </c>
      <c r="L120" t="str">
        <f t="shared" si="1"/>
        <v>FAIL</v>
      </c>
    </row>
    <row r="121" spans="1:12" x14ac:dyDescent="0.25">
      <c r="A121" t="s">
        <v>317</v>
      </c>
      <c r="B121" t="str">
        <f>IF('Equipment Information'!B121="","", 'Equipment Information'!B121)</f>
        <v>CP-DTS Sub Line #2 [Sec. 2]</v>
      </c>
      <c r="C121" t="str">
        <f>IF('Equipment Information'!C121="","", 'Equipment Information'!C121)</f>
        <v>Production Area</v>
      </c>
      <c r="D121" t="str">
        <f>IF('Equipment Information'!D121="","", 'Equipment Information'!D121)</f>
        <v>Motor Control Panel (MCP)</v>
      </c>
      <c r="E121" t="str">
        <f>IF(A121="","", IFERROR(VLOOKUP(A121, 'Energized Data'!A:T, 20, FALSE), "N/A"))</f>
        <v>N/A</v>
      </c>
      <c r="F121" t="str">
        <f>IF(A121="","", IFERROR(VLOOKUP(A121, Insulation!A:J, 9, FALSE), "N/A"))</f>
        <v>N/A</v>
      </c>
      <c r="G121" t="str">
        <f>IF(A121="","", IFERROR(VLOOKUP(A121, DLRO!A:I, 8, FALSE), "N/A"))</f>
        <v>N/A</v>
      </c>
      <c r="H121" t="str">
        <f>IF(A121="","", IFERROR(VLOOKUP(A121, Torque!A:I, 8, FALSE), "N/A"))</f>
        <v>N/A</v>
      </c>
      <c r="I121" t="str">
        <f>IF(A121="","", IFERROR(VLOOKUP(A121, Infrared!A:G, 6, FALSE), "N/A"))</f>
        <v>PASS</v>
      </c>
      <c r="J121" t="str">
        <f>IF(A121="","", IFERROR(VLOOKUP(A121, Ultrasonic!A:H, 7, FALSE), "N/A"))</f>
        <v>PASS</v>
      </c>
      <c r="K121" t="str">
        <f>IF(A121="","", IFERROR(VLOOKUP(A121, 'Code Violations'!A:V, 22, FALSE), "N/A"))</f>
        <v>PASS</v>
      </c>
      <c r="L121" t="str">
        <f t="shared" si="1"/>
        <v>PASS</v>
      </c>
    </row>
    <row r="122" spans="1:12" x14ac:dyDescent="0.25">
      <c r="A122" t="s">
        <v>319</v>
      </c>
      <c r="B122" t="str">
        <f>IF('Equipment Information'!B122="","", 'Equipment Information'!B122)</f>
        <v>CP-DTS Sub Line #2 [Sec.3]</v>
      </c>
      <c r="C122" t="str">
        <f>IF('Equipment Information'!C122="","", 'Equipment Information'!C122)</f>
        <v>Production Area</v>
      </c>
      <c r="D122" t="str">
        <f>IF('Equipment Information'!D122="","", 'Equipment Information'!D122)</f>
        <v>Motor Control Panel (MCP)</v>
      </c>
      <c r="E122" t="str">
        <f>IF(A122="","", IFERROR(VLOOKUP(A122, 'Energized Data'!A:T, 20, FALSE), "N/A"))</f>
        <v>N/A</v>
      </c>
      <c r="F122" t="str">
        <f>IF(A122="","", IFERROR(VLOOKUP(A122, Insulation!A:J, 9, FALSE), "N/A"))</f>
        <v>N/A</v>
      </c>
      <c r="G122" t="str">
        <f>IF(A122="","", IFERROR(VLOOKUP(A122, DLRO!A:I, 8, FALSE), "N/A"))</f>
        <v>N/A</v>
      </c>
      <c r="H122" t="str">
        <f>IF(A122="","", IFERROR(VLOOKUP(A122, Torque!A:I, 8, FALSE), "N/A"))</f>
        <v>N/A</v>
      </c>
      <c r="I122" t="str">
        <f>IF(A122="","", IFERROR(VLOOKUP(A122, Infrared!A:G, 6, FALSE), "N/A"))</f>
        <v>PASS</v>
      </c>
      <c r="J122" t="str">
        <f>IF(A122="","", IFERROR(VLOOKUP(A122, Ultrasonic!A:H, 7, FALSE), "N/A"))</f>
        <v>PASS</v>
      </c>
      <c r="K122" t="str">
        <f>IF(A122="","", IFERROR(VLOOKUP(A122, 'Code Violations'!A:V, 22, FALSE), "N/A"))</f>
        <v>PASS</v>
      </c>
      <c r="L122" t="str">
        <f t="shared" si="1"/>
        <v>PASS</v>
      </c>
    </row>
    <row r="123" spans="1:12" x14ac:dyDescent="0.25">
      <c r="A123" t="s">
        <v>321</v>
      </c>
      <c r="B123" t="str">
        <f>IF('Equipment Information'!B123="","", 'Equipment Information'!B123)</f>
        <v>DP-2</v>
      </c>
      <c r="C123" t="str">
        <f>IF('Equipment Information'!C123="","", 'Equipment Information'!C123)</f>
        <v>Production Area</v>
      </c>
      <c r="D123" t="str">
        <f>IF('Equipment Information'!D123="","", 'Equipment Information'!D123)</f>
        <v>Distribution Panel Single Front &gt;=600A</v>
      </c>
      <c r="E123" t="str">
        <f>IF(A123="","", IFERROR(VLOOKUP(A123, 'Energized Data'!A:T, 20, FALSE), "N/A"))</f>
        <v>N/A</v>
      </c>
      <c r="F123" t="str">
        <f>IF(A123="","", IFERROR(VLOOKUP(A123, Insulation!A:J, 9, FALSE), "N/A"))</f>
        <v>N/A</v>
      </c>
      <c r="G123" t="str">
        <f>IF(A123="","", IFERROR(VLOOKUP(A123, DLRO!A:I, 8, FALSE), "N/A"))</f>
        <v>N/A</v>
      </c>
      <c r="H123" t="str">
        <f>IF(A123="","", IFERROR(VLOOKUP(A123, Torque!A:I, 8, FALSE), "N/A"))</f>
        <v>N/A</v>
      </c>
      <c r="I123" t="str">
        <f>IF(A123="","", IFERROR(VLOOKUP(A123, Infrared!A:G, 6, FALSE), "N/A"))</f>
        <v>PASS</v>
      </c>
      <c r="J123" t="str">
        <f>IF(A123="","", IFERROR(VLOOKUP(A123, Ultrasonic!A:H, 7, FALSE), "N/A"))</f>
        <v>PASS</v>
      </c>
      <c r="K123" t="str">
        <f>IF(A123="","", IFERROR(VLOOKUP(A123, 'Code Violations'!A:V, 22, FALSE), "N/A"))</f>
        <v>FAIL</v>
      </c>
      <c r="L123" t="str">
        <f t="shared" si="1"/>
        <v>FAIL</v>
      </c>
    </row>
    <row r="124" spans="1:12" x14ac:dyDescent="0.25">
      <c r="A124" t="s">
        <v>323</v>
      </c>
      <c r="B124" t="str">
        <f>IF('Equipment Information'!B124="","", 'Equipment Information'!B124)</f>
        <v>Exhasut Fan Cabinet</v>
      </c>
      <c r="C124" t="str">
        <f>IF('Equipment Information'!C124="","", 'Equipment Information'!C124)</f>
        <v>Production Area</v>
      </c>
      <c r="D124" t="str">
        <f>IF('Equipment Information'!D124="","", 'Equipment Information'!D124)</f>
        <v>Motor Control Panel (MCP)</v>
      </c>
      <c r="E124" t="str">
        <f>IF(A124="","", IFERROR(VLOOKUP(A124, 'Energized Data'!A:T, 20, FALSE), "N/A"))</f>
        <v>N/A</v>
      </c>
      <c r="F124" t="str">
        <f>IF(A124="","", IFERROR(VLOOKUP(A124, Insulation!A:J, 9, FALSE), "N/A"))</f>
        <v>N/A</v>
      </c>
      <c r="G124" t="str">
        <f>IF(A124="","", IFERROR(VLOOKUP(A124, DLRO!A:I, 8, FALSE), "N/A"))</f>
        <v>N/A</v>
      </c>
      <c r="H124" t="str">
        <f>IF(A124="","", IFERROR(VLOOKUP(A124, Torque!A:I, 8, FALSE), "N/A"))</f>
        <v>N/A</v>
      </c>
      <c r="I124" t="str">
        <f>IF(A124="","", IFERROR(VLOOKUP(A124, Infrared!A:G, 6, FALSE), "N/A"))</f>
        <v>PASS</v>
      </c>
      <c r="J124" t="str">
        <f>IF(A124="","", IFERROR(VLOOKUP(A124, Ultrasonic!A:H, 7, FALSE), "N/A"))</f>
        <v>PASS</v>
      </c>
      <c r="K124" t="str">
        <f>IF(A124="","", IFERROR(VLOOKUP(A124, 'Code Violations'!A:V, 22, FALSE), "N/A"))</f>
        <v>PASS</v>
      </c>
      <c r="L124" t="str">
        <f t="shared" si="1"/>
        <v>PASS</v>
      </c>
    </row>
    <row r="125" spans="1:12" x14ac:dyDescent="0.25">
      <c r="A125" t="s">
        <v>325</v>
      </c>
      <c r="B125" t="str">
        <f>IF('Equipment Information'!B125="","", 'Equipment Information'!B125)</f>
        <v>Processing Controls</v>
      </c>
      <c r="C125" t="str">
        <f>IF('Equipment Information'!C125="","", 'Equipment Information'!C125)</f>
        <v>Production Area</v>
      </c>
      <c r="D125" t="str">
        <f>IF('Equipment Information'!D125="","", 'Equipment Information'!D125)</f>
        <v>Motor Control Panel (MCP)</v>
      </c>
      <c r="E125" t="str">
        <f>IF(A125="","", IFERROR(VLOOKUP(A125, 'Energized Data'!A:T, 20, FALSE), "N/A"))</f>
        <v>N/A</v>
      </c>
      <c r="F125" t="str">
        <f>IF(A125="","", IFERROR(VLOOKUP(A125, Insulation!A:J, 9, FALSE), "N/A"))</f>
        <v>N/A</v>
      </c>
      <c r="G125" t="str">
        <f>IF(A125="","", IFERROR(VLOOKUP(A125, DLRO!A:I, 8, FALSE), "N/A"))</f>
        <v>N/A</v>
      </c>
      <c r="H125" t="str">
        <f>IF(A125="","", IFERROR(VLOOKUP(A125, Torque!A:I, 8, FALSE), "N/A"))</f>
        <v>N/A</v>
      </c>
      <c r="I125" t="str">
        <f>IF(A125="","", IFERROR(VLOOKUP(A125, Infrared!A:G, 6, FALSE), "N/A"))</f>
        <v>PASS</v>
      </c>
      <c r="J125" t="str">
        <f>IF(A125="","", IFERROR(VLOOKUP(A125, Ultrasonic!A:H, 7, FALSE), "N/A"))</f>
        <v>PASS</v>
      </c>
      <c r="K125" t="str">
        <f>IF(A125="","", IFERROR(VLOOKUP(A125, 'Code Violations'!A:V, 22, FALSE), "N/A"))</f>
        <v>PASS</v>
      </c>
      <c r="L125" t="str">
        <f t="shared" si="1"/>
        <v>PASS</v>
      </c>
    </row>
    <row r="126" spans="1:12" x14ac:dyDescent="0.25">
      <c r="A126" t="s">
        <v>327</v>
      </c>
      <c r="B126" t="str">
        <f>IF('Equipment Information'!B126="","", 'Equipment Information'!B126)</f>
        <v>Welding Receptacle</v>
      </c>
      <c r="C126" t="str">
        <f>IF('Equipment Information'!C126="","", 'Equipment Information'!C126)</f>
        <v>Production Area</v>
      </c>
      <c r="D126" t="str">
        <f>IF('Equipment Information'!D126="","", 'Equipment Information'!D126)</f>
        <v>Individual Disconnect Switch</v>
      </c>
      <c r="E126" t="str">
        <f>IF(A126="","", IFERROR(VLOOKUP(A126, 'Energized Data'!A:T, 20, FALSE), "N/A"))</f>
        <v>N/A</v>
      </c>
      <c r="F126" t="str">
        <f>IF(A126="","", IFERROR(VLOOKUP(A126, Insulation!A:J, 9, FALSE), "N/A"))</f>
        <v>N/A</v>
      </c>
      <c r="G126" t="str">
        <f>IF(A126="","", IFERROR(VLOOKUP(A126, DLRO!A:I, 8, FALSE), "N/A"))</f>
        <v>N/A</v>
      </c>
      <c r="H126" t="str">
        <f>IF(A126="","", IFERROR(VLOOKUP(A126, Torque!A:I, 8, FALSE), "N/A"))</f>
        <v>N/A</v>
      </c>
      <c r="I126" t="str">
        <f>IF(A126="","", IFERROR(VLOOKUP(A126, Infrared!A:G, 6, FALSE), "N/A"))</f>
        <v>PASS</v>
      </c>
      <c r="J126" t="str">
        <f>IF(A126="","", IFERROR(VLOOKUP(A126, Ultrasonic!A:H, 7, FALSE), "N/A"))</f>
        <v>PASS</v>
      </c>
      <c r="K126" t="str">
        <f>IF(A126="","", IFERROR(VLOOKUP(A126, 'Code Violations'!A:V, 22, FALSE), "N/A"))</f>
        <v>PASS</v>
      </c>
      <c r="L126" t="str">
        <f t="shared" si="1"/>
        <v>PASS</v>
      </c>
    </row>
    <row r="127" spans="1:12" x14ac:dyDescent="0.25">
      <c r="A127" t="s">
        <v>329</v>
      </c>
      <c r="B127" t="str">
        <f>IF('Equipment Information'!B127="","", 'Equipment Information'!B127)</f>
        <v>Drum Oiler #2</v>
      </c>
      <c r="C127" t="str">
        <f>IF('Equipment Information'!C127="","", 'Equipment Information'!C127)</f>
        <v>Production Area</v>
      </c>
      <c r="D127" t="str">
        <f>IF('Equipment Information'!D127="","", 'Equipment Information'!D127)</f>
        <v>Motor Control Panel (MCP)</v>
      </c>
      <c r="E127" t="str">
        <f>IF(A127="","", IFERROR(VLOOKUP(A127, 'Energized Data'!A:T, 20, FALSE), "N/A"))</f>
        <v>N/A</v>
      </c>
      <c r="F127" t="str">
        <f>IF(A127="","", IFERROR(VLOOKUP(A127, Insulation!A:J, 9, FALSE), "N/A"))</f>
        <v>N/A</v>
      </c>
      <c r="G127" t="str">
        <f>IF(A127="","", IFERROR(VLOOKUP(A127, DLRO!A:I, 8, FALSE), "N/A"))</f>
        <v>N/A</v>
      </c>
      <c r="H127" t="str">
        <f>IF(A127="","", IFERROR(VLOOKUP(A127, Torque!A:I, 8, FALSE), "N/A"))</f>
        <v>N/A</v>
      </c>
      <c r="I127" t="str">
        <f>IF(A127="","", IFERROR(VLOOKUP(A127, Infrared!A:G, 6, FALSE), "N/A"))</f>
        <v>PASS</v>
      </c>
      <c r="J127" t="str">
        <f>IF(A127="","", IFERROR(VLOOKUP(A127, Ultrasonic!A:H, 7, FALSE), "N/A"))</f>
        <v>PASS</v>
      </c>
      <c r="K127" t="str">
        <f>IF(A127="","", IFERROR(VLOOKUP(A127, 'Code Violations'!A:V, 22, FALSE), "N/A"))</f>
        <v>PASS</v>
      </c>
      <c r="L127" t="str">
        <f t="shared" si="1"/>
        <v>PASS</v>
      </c>
    </row>
    <row r="128" spans="1:12" x14ac:dyDescent="0.25">
      <c r="A128" t="s">
        <v>331</v>
      </c>
      <c r="B128" t="str">
        <f>IF('Equipment Information'!B128="","", 'Equipment Information'!B128)</f>
        <v>Zone A/B/C Controls</v>
      </c>
      <c r="C128" t="str">
        <f>IF('Equipment Information'!C128="","", 'Equipment Information'!C128)</f>
        <v>Processing Area</v>
      </c>
      <c r="D128" t="str">
        <f>IF('Equipment Information'!D128="","", 'Equipment Information'!D128)</f>
        <v>Motor Control Panel (MCP)</v>
      </c>
      <c r="E128" t="str">
        <f>IF(A128="","", IFERROR(VLOOKUP(A128, 'Energized Data'!A:T, 20, FALSE), "N/A"))</f>
        <v>N/A</v>
      </c>
      <c r="F128" t="str">
        <f>IF(A128="","", IFERROR(VLOOKUP(A128, Insulation!A:J, 9, FALSE), "N/A"))</f>
        <v>N/A</v>
      </c>
      <c r="G128" t="str">
        <f>IF(A128="","", IFERROR(VLOOKUP(A128, DLRO!A:I, 8, FALSE), "N/A"))</f>
        <v>N/A</v>
      </c>
      <c r="H128" t="str">
        <f>IF(A128="","", IFERROR(VLOOKUP(A128, Torque!A:I, 8, FALSE), "N/A"))</f>
        <v>N/A</v>
      </c>
      <c r="I128" t="str">
        <f>IF(A128="","", IFERROR(VLOOKUP(A128, Infrared!A:G, 6, FALSE), "N/A"))</f>
        <v>PASS</v>
      </c>
      <c r="J128" t="str">
        <f>IF(A128="","", IFERROR(VLOOKUP(A128, Ultrasonic!A:H, 7, FALSE), "N/A"))</f>
        <v>PASS</v>
      </c>
      <c r="K128" t="str">
        <f>IF(A128="","", IFERROR(VLOOKUP(A128, 'Code Violations'!A:V, 22, FALSE), "N/A"))</f>
        <v>PASS</v>
      </c>
      <c r="L128" t="str">
        <f t="shared" si="1"/>
        <v>PASS</v>
      </c>
    </row>
    <row r="129" spans="1:12" x14ac:dyDescent="0.25">
      <c r="A129" t="s">
        <v>334</v>
      </c>
      <c r="B129" t="str">
        <f>IF('Equipment Information'!B129="","", 'Equipment Information'!B129)</f>
        <v>Baler Disconnect</v>
      </c>
      <c r="C129" t="str">
        <f>IF('Equipment Information'!C129="","", 'Equipment Information'!C129)</f>
        <v>Packaging</v>
      </c>
      <c r="D129" t="str">
        <f>IF('Equipment Information'!D129="","", 'Equipment Information'!D129)</f>
        <v>Motor Control Panel (MCP)</v>
      </c>
      <c r="E129" t="str">
        <f>IF(A129="","", IFERROR(VLOOKUP(A129, 'Energized Data'!A:T, 20, FALSE), "N/A"))</f>
        <v>N/A</v>
      </c>
      <c r="F129" t="str">
        <f>IF(A129="","", IFERROR(VLOOKUP(A129, Insulation!A:J, 9, FALSE), "N/A"))</f>
        <v>N/A</v>
      </c>
      <c r="G129" t="str">
        <f>IF(A129="","", IFERROR(VLOOKUP(A129, DLRO!A:I, 8, FALSE), "N/A"))</f>
        <v>N/A</v>
      </c>
      <c r="H129" t="str">
        <f>IF(A129="","", IFERROR(VLOOKUP(A129, Torque!A:I, 8, FALSE), "N/A"))</f>
        <v>N/A</v>
      </c>
      <c r="I129" t="str">
        <f>IF(A129="","", IFERROR(VLOOKUP(A129, Infrared!A:G, 6, FALSE), "N/A"))</f>
        <v>PASS</v>
      </c>
      <c r="J129" t="str">
        <f>IF(A129="","", IFERROR(VLOOKUP(A129, Ultrasonic!A:H, 7, FALSE), "N/A"))</f>
        <v>PASS</v>
      </c>
      <c r="K129" t="str">
        <f>IF(A129="","", IFERROR(VLOOKUP(A129, 'Code Violations'!A:V, 22, FALSE), "N/A"))</f>
        <v>PASS</v>
      </c>
      <c r="L129" t="str">
        <f t="shared" si="1"/>
        <v>PASS</v>
      </c>
    </row>
    <row r="130" spans="1:12" x14ac:dyDescent="0.25">
      <c r="A130" t="s">
        <v>336</v>
      </c>
      <c r="B130" t="str">
        <f>IF('Equipment Information'!B130="","", 'Equipment Information'!B130)</f>
        <v>Baler Controller</v>
      </c>
      <c r="C130" t="str">
        <f>IF('Equipment Information'!C130="","", 'Equipment Information'!C130)</f>
        <v>Packaging</v>
      </c>
      <c r="D130" t="str">
        <f>IF('Equipment Information'!D130="","", 'Equipment Information'!D130)</f>
        <v>Motor Control Panel (MCP)</v>
      </c>
      <c r="E130" t="str">
        <f>IF(A130="","", IFERROR(VLOOKUP(A130, 'Energized Data'!A:T, 20, FALSE), "N/A"))</f>
        <v>N/A</v>
      </c>
      <c r="F130" t="str">
        <f>IF(A130="","", IFERROR(VLOOKUP(A130, Insulation!A:J, 9, FALSE), "N/A"))</f>
        <v>N/A</v>
      </c>
      <c r="G130" t="str">
        <f>IF(A130="","", IFERROR(VLOOKUP(A130, DLRO!A:I, 8, FALSE), "N/A"))</f>
        <v>N/A</v>
      </c>
      <c r="H130" t="str">
        <f>IF(A130="","", IFERROR(VLOOKUP(A130, Torque!A:I, 8, FALSE), "N/A"))</f>
        <v>N/A</v>
      </c>
      <c r="I130" t="str">
        <f>IF(A130="","", IFERROR(VLOOKUP(A130, Infrared!A:G, 6, FALSE), "N/A"))</f>
        <v>PASS</v>
      </c>
      <c r="J130" t="str">
        <f>IF(A130="","", IFERROR(VLOOKUP(A130, Ultrasonic!A:H, 7, FALSE), "N/A"))</f>
        <v>PASS</v>
      </c>
      <c r="K130" t="str">
        <f>IF(A130="","", IFERROR(VLOOKUP(A130, 'Code Violations'!A:V, 22, FALSE), "N/A"))</f>
        <v>PASS</v>
      </c>
      <c r="L130" t="str">
        <f t="shared" ref="L130:L193" si="2">IF(A130="","", IF(COUNTIF(E130:K130, "FAIL")&gt;0, "FAIL", "PASS"))</f>
        <v>PASS</v>
      </c>
    </row>
    <row r="131" spans="1:12" x14ac:dyDescent="0.25">
      <c r="A131" t="s">
        <v>338</v>
      </c>
      <c r="B131" t="str">
        <f>IF('Equipment Information'!B131="","", 'Equipment Information'!B131)</f>
        <v>Three-Phase Outlet Disconnect</v>
      </c>
      <c r="C131" t="str">
        <f>IF('Equipment Information'!C131="","", 'Equipment Information'!C131)</f>
        <v>Warehouse</v>
      </c>
      <c r="D131" t="str">
        <f>IF('Equipment Information'!D131="","", 'Equipment Information'!D131)</f>
        <v>Individual Disconnect Switch</v>
      </c>
      <c r="E131" t="str">
        <f>IF(A131="","", IFERROR(VLOOKUP(A131, 'Energized Data'!A:T, 20, FALSE), "N/A"))</f>
        <v>N/A</v>
      </c>
      <c r="F131" t="str">
        <f>IF(A131="","", IFERROR(VLOOKUP(A131, Insulation!A:J, 9, FALSE), "N/A"))</f>
        <v>N/A</v>
      </c>
      <c r="G131" t="str">
        <f>IF(A131="","", IFERROR(VLOOKUP(A131, DLRO!A:I, 8, FALSE), "N/A"))</f>
        <v>N/A</v>
      </c>
      <c r="H131" t="str">
        <f>IF(A131="","", IFERROR(VLOOKUP(A131, Torque!A:I, 8, FALSE), "N/A"))</f>
        <v>N/A</v>
      </c>
      <c r="I131" t="str">
        <f>IF(A131="","", IFERROR(VLOOKUP(A131, Infrared!A:G, 6, FALSE), "N/A"))</f>
        <v>PASS</v>
      </c>
      <c r="J131" t="str">
        <f>IF(A131="","", IFERROR(VLOOKUP(A131, Ultrasonic!A:H, 7, FALSE), "N/A"))</f>
        <v>PASS</v>
      </c>
      <c r="K131" t="str">
        <f>IF(A131="","", IFERROR(VLOOKUP(A131, 'Code Violations'!A:V, 22, FALSE), "N/A"))</f>
        <v>PASS</v>
      </c>
      <c r="L131" t="str">
        <f t="shared" si="2"/>
        <v>PASS</v>
      </c>
    </row>
    <row r="132" spans="1:12" x14ac:dyDescent="0.25">
      <c r="A132" t="s">
        <v>341</v>
      </c>
      <c r="B132" t="str">
        <f>IF('Equipment Information'!B132="","", 'Equipment Information'!B132)</f>
        <v>New Addition Panel</v>
      </c>
      <c r="C132" t="str">
        <f>IF('Equipment Information'!C132="","", 'Equipment Information'!C132)</f>
        <v>Warehouse</v>
      </c>
      <c r="D132" t="str">
        <f>IF('Equipment Information'!D132="","", 'Equipment Information'!D132)</f>
        <v>Branch Circuit Panel &lt;=400A</v>
      </c>
      <c r="E132" t="str">
        <f>IF(A132="","", IFERROR(VLOOKUP(A132, 'Energized Data'!A:T, 20, FALSE), "N/A"))</f>
        <v>N/A</v>
      </c>
      <c r="F132" t="str">
        <f>IF(A132="","", IFERROR(VLOOKUP(A132, Insulation!A:J, 9, FALSE), "N/A"))</f>
        <v>N/A</v>
      </c>
      <c r="G132" t="str">
        <f>IF(A132="","", IFERROR(VLOOKUP(A132, DLRO!A:I, 8, FALSE), "N/A"))</f>
        <v>N/A</v>
      </c>
      <c r="H132" t="str">
        <f>IF(A132="","", IFERROR(VLOOKUP(A132, Torque!A:I, 8, FALSE), "N/A"))</f>
        <v>N/A</v>
      </c>
      <c r="I132" t="str">
        <f>IF(A132="","", IFERROR(VLOOKUP(A132, Infrared!A:G, 6, FALSE), "N/A"))</f>
        <v>PASS</v>
      </c>
      <c r="J132" t="str">
        <f>IF(A132="","", IFERROR(VLOOKUP(A132, Ultrasonic!A:H, 7, FALSE), "N/A"))</f>
        <v>PASS</v>
      </c>
      <c r="K132" t="str">
        <f>IF(A132="","", IFERROR(VLOOKUP(A132, 'Code Violations'!A:V, 22, FALSE), "N/A"))</f>
        <v>PASS</v>
      </c>
      <c r="L132" t="str">
        <f t="shared" si="2"/>
        <v>PASS</v>
      </c>
    </row>
    <row r="133" spans="1:12" x14ac:dyDescent="0.25">
      <c r="A133" t="s">
        <v>343</v>
      </c>
      <c r="B133" t="str">
        <f>IF('Equipment Information'!B133="","", 'Equipment Information'!B133)</f>
        <v>AGT - R&amp;D</v>
      </c>
      <c r="C133" t="str">
        <f>IF('Equipment Information'!C133="","", 'Equipment Information'!C133)</f>
        <v>Boiler Room</v>
      </c>
      <c r="D133" t="str">
        <f>IF('Equipment Information'!D133="","", 'Equipment Information'!D133)</f>
        <v>Individual Combination Motor Starter</v>
      </c>
      <c r="E133" t="str">
        <f>IF(A133="","", IFERROR(VLOOKUP(A133, 'Energized Data'!A:T, 20, FALSE), "N/A"))</f>
        <v>N/A</v>
      </c>
      <c r="F133" t="str">
        <f>IF(A133="","", IFERROR(VLOOKUP(A133, Insulation!A:J, 9, FALSE), "N/A"))</f>
        <v>N/A</v>
      </c>
      <c r="G133" t="str">
        <f>IF(A133="","", IFERROR(VLOOKUP(A133, DLRO!A:I, 8, FALSE), "N/A"))</f>
        <v>N/A</v>
      </c>
      <c r="H133" t="str">
        <f>IF(A133="","", IFERROR(VLOOKUP(A133, Torque!A:I, 8, FALSE), "N/A"))</f>
        <v>N/A</v>
      </c>
      <c r="I133" t="str">
        <f>IF(A133="","", IFERROR(VLOOKUP(A133, Infrared!A:G, 6, FALSE), "N/A"))</f>
        <v>PASS</v>
      </c>
      <c r="J133" t="str">
        <f>IF(A133="","", IFERROR(VLOOKUP(A133, Ultrasonic!A:H, 7, FALSE), "N/A"))</f>
        <v>PASS</v>
      </c>
      <c r="K133" t="str">
        <f>IF(A133="","", IFERROR(VLOOKUP(A133, 'Code Violations'!A:V, 22, FALSE), "N/A"))</f>
        <v>PASS</v>
      </c>
      <c r="L133" t="str">
        <f t="shared" si="2"/>
        <v>PASS</v>
      </c>
    </row>
    <row r="134" spans="1:12" x14ac:dyDescent="0.25">
      <c r="A134" t="s">
        <v>347</v>
      </c>
      <c r="B134" t="str">
        <f>IF('Equipment Information'!B134="","", 'Equipment Information'!B134)</f>
        <v>VS - R&amp;D</v>
      </c>
      <c r="C134" t="str">
        <f>IF('Equipment Information'!C134="","", 'Equipment Information'!C134)</f>
        <v>Boiler Room</v>
      </c>
      <c r="D134" t="str">
        <f>IF('Equipment Information'!D134="","", 'Equipment Information'!D134)</f>
        <v>Individual Combination Motor Starter</v>
      </c>
      <c r="E134" t="str">
        <f>IF(A134="","", IFERROR(VLOOKUP(A134, 'Energized Data'!A:T, 20, FALSE), "N/A"))</f>
        <v>N/A</v>
      </c>
      <c r="F134" t="str">
        <f>IF(A134="","", IFERROR(VLOOKUP(A134, Insulation!A:J, 9, FALSE), "N/A"))</f>
        <v>N/A</v>
      </c>
      <c r="G134" t="str">
        <f>IF(A134="","", IFERROR(VLOOKUP(A134, DLRO!A:I, 8, FALSE), "N/A"))</f>
        <v>N/A</v>
      </c>
      <c r="H134" t="str">
        <f>IF(A134="","", IFERROR(VLOOKUP(A134, Torque!A:I, 8, FALSE), "N/A"))</f>
        <v>N/A</v>
      </c>
      <c r="I134" t="str">
        <f>IF(A134="","", IFERROR(VLOOKUP(A134, Infrared!A:G, 6, FALSE), "N/A"))</f>
        <v>PASS</v>
      </c>
      <c r="J134" t="str">
        <f>IF(A134="","", IFERROR(VLOOKUP(A134, Ultrasonic!A:H, 7, FALSE), "N/A"))</f>
        <v>PASS</v>
      </c>
      <c r="K134" t="str">
        <f>IF(A134="","", IFERROR(VLOOKUP(A134, 'Code Violations'!A:V, 22, FALSE), "N/A"))</f>
        <v>PASS</v>
      </c>
      <c r="L134" t="str">
        <f t="shared" si="2"/>
        <v>PASS</v>
      </c>
    </row>
    <row r="135" spans="1:12" x14ac:dyDescent="0.25">
      <c r="A135" t="s">
        <v>349</v>
      </c>
      <c r="B135" t="str">
        <f>IF('Equipment Information'!B135="","", 'Equipment Information'!B135)</f>
        <v>RED PP-1</v>
      </c>
      <c r="C135" t="str">
        <f>IF('Equipment Information'!C135="","", 'Equipment Information'!C135)</f>
        <v>Boiler Room</v>
      </c>
      <c r="D135" t="str">
        <f>IF('Equipment Information'!D135="","", 'Equipment Information'!D135)</f>
        <v>Individual Combination Motor Starter</v>
      </c>
      <c r="E135" t="str">
        <f>IF(A135="","", IFERROR(VLOOKUP(A135, 'Energized Data'!A:T, 20, FALSE), "N/A"))</f>
        <v>N/A</v>
      </c>
      <c r="F135" t="str">
        <f>IF(A135="","", IFERROR(VLOOKUP(A135, Insulation!A:J, 9, FALSE), "N/A"))</f>
        <v>N/A</v>
      </c>
      <c r="G135" t="str">
        <f>IF(A135="","", IFERROR(VLOOKUP(A135, DLRO!A:I, 8, FALSE), "N/A"))</f>
        <v>N/A</v>
      </c>
      <c r="H135" t="str">
        <f>IF(A135="","", IFERROR(VLOOKUP(A135, Torque!A:I, 8, FALSE), "N/A"))</f>
        <v>N/A</v>
      </c>
      <c r="I135" t="str">
        <f>IF(A135="","", IFERROR(VLOOKUP(A135, Infrared!A:G, 6, FALSE), "N/A"))</f>
        <v>PASS</v>
      </c>
      <c r="J135" t="str">
        <f>IF(A135="","", IFERROR(VLOOKUP(A135, Ultrasonic!A:H, 7, FALSE), "N/A"))</f>
        <v>PASS</v>
      </c>
      <c r="K135" t="str">
        <f>IF(A135="","", IFERROR(VLOOKUP(A135, 'Code Violations'!A:V, 22, FALSE), "N/A"))</f>
        <v>PASS</v>
      </c>
      <c r="L135" t="str">
        <f t="shared" si="2"/>
        <v>PASS</v>
      </c>
    </row>
    <row r="136" spans="1:12" x14ac:dyDescent="0.25">
      <c r="A136" t="s">
        <v>351</v>
      </c>
      <c r="B136" t="str">
        <f>IF('Equipment Information'!B136="","", 'Equipment Information'!B136)</f>
        <v>RED PP-2</v>
      </c>
      <c r="C136" t="str">
        <f>IF('Equipment Information'!C136="","", 'Equipment Information'!C136)</f>
        <v>Boiler Room</v>
      </c>
      <c r="D136" t="str">
        <f>IF('Equipment Information'!D136="","", 'Equipment Information'!D136)</f>
        <v>Individual Combination Motor Starter</v>
      </c>
      <c r="E136" t="str">
        <f>IF(A136="","", IFERROR(VLOOKUP(A136, 'Energized Data'!A:T, 20, FALSE), "N/A"))</f>
        <v>N/A</v>
      </c>
      <c r="F136" t="str">
        <f>IF(A136="","", IFERROR(VLOOKUP(A136, Insulation!A:J, 9, FALSE), "N/A"))</f>
        <v>N/A</v>
      </c>
      <c r="G136" t="str">
        <f>IF(A136="","", IFERROR(VLOOKUP(A136, DLRO!A:I, 8, FALSE), "N/A"))</f>
        <v>N/A</v>
      </c>
      <c r="H136" t="str">
        <f>IF(A136="","", IFERROR(VLOOKUP(A136, Torque!A:I, 8, FALSE), "N/A"))</f>
        <v>N/A</v>
      </c>
      <c r="I136" t="str">
        <f>IF(A136="","", IFERROR(VLOOKUP(A136, Infrared!A:G, 6, FALSE), "N/A"))</f>
        <v>PASS</v>
      </c>
      <c r="J136" t="str">
        <f>IF(A136="","", IFERROR(VLOOKUP(A136, Ultrasonic!A:H, 7, FALSE), "N/A"))</f>
        <v>PASS</v>
      </c>
      <c r="K136" t="str">
        <f>IF(A136="","", IFERROR(VLOOKUP(A136, 'Code Violations'!A:V, 22, FALSE), "N/A"))</f>
        <v>PASS</v>
      </c>
      <c r="L136" t="str">
        <f t="shared" si="2"/>
        <v>PASS</v>
      </c>
    </row>
    <row r="137" spans="1:12" x14ac:dyDescent="0.25">
      <c r="A137" t="s">
        <v>353</v>
      </c>
      <c r="B137" t="str">
        <f>IF('Equipment Information'!B137="","", 'Equipment Information'!B137)</f>
        <v>CP-Boiler #1 Disconnect</v>
      </c>
      <c r="C137" t="str">
        <f>IF('Equipment Information'!C137="","", 'Equipment Information'!C137)</f>
        <v>Boiler Room</v>
      </c>
      <c r="D137" t="str">
        <f>IF('Equipment Information'!D137="","", 'Equipment Information'!D137)</f>
        <v>Individual Disconnect Switch</v>
      </c>
      <c r="E137" t="str">
        <f>IF(A137="","", IFERROR(VLOOKUP(A137, 'Energized Data'!A:T, 20, FALSE), "N/A"))</f>
        <v>N/A</v>
      </c>
      <c r="F137" t="str">
        <f>IF(A137="","", IFERROR(VLOOKUP(A137, Insulation!A:J, 9, FALSE), "N/A"))</f>
        <v>N/A</v>
      </c>
      <c r="G137" t="str">
        <f>IF(A137="","", IFERROR(VLOOKUP(A137, DLRO!A:I, 8, FALSE), "N/A"))</f>
        <v>N/A</v>
      </c>
      <c r="H137" t="str">
        <f>IF(A137="","", IFERROR(VLOOKUP(A137, Torque!A:I, 8, FALSE), "N/A"))</f>
        <v>N/A</v>
      </c>
      <c r="I137" t="str">
        <f>IF(A137="","", IFERROR(VLOOKUP(A137, Infrared!A:G, 6, FALSE), "N/A"))</f>
        <v>PASS</v>
      </c>
      <c r="J137" t="str">
        <f>IF(A137="","", IFERROR(VLOOKUP(A137, Ultrasonic!A:H, 7, FALSE), "N/A"))</f>
        <v>PASS</v>
      </c>
      <c r="K137" t="str">
        <f>IF(A137="","", IFERROR(VLOOKUP(A137, 'Code Violations'!A:V, 22, FALSE), "N/A"))</f>
        <v>PASS</v>
      </c>
      <c r="L137" t="str">
        <f t="shared" si="2"/>
        <v>PASS</v>
      </c>
    </row>
    <row r="138" spans="1:12" x14ac:dyDescent="0.25">
      <c r="A138" t="s">
        <v>355</v>
      </c>
      <c r="B138" t="str">
        <f>IF('Equipment Information'!B138="","", 'Equipment Information'!B138)</f>
        <v>CP-Boiler #1</v>
      </c>
      <c r="C138" t="str">
        <f>IF('Equipment Information'!C138="","", 'Equipment Information'!C138)</f>
        <v>Boiler Room</v>
      </c>
      <c r="D138" t="str">
        <f>IF('Equipment Information'!D138="","", 'Equipment Information'!D138)</f>
        <v>Motor Control Panel (MCP)</v>
      </c>
      <c r="E138" t="str">
        <f>IF(A138="","", IFERROR(VLOOKUP(A138, 'Energized Data'!A:T, 20, FALSE), "N/A"))</f>
        <v>N/A</v>
      </c>
      <c r="F138" t="str">
        <f>IF(A138="","", IFERROR(VLOOKUP(A138, Insulation!A:J, 9, FALSE), "N/A"))</f>
        <v>N/A</v>
      </c>
      <c r="G138" t="str">
        <f>IF(A138="","", IFERROR(VLOOKUP(A138, DLRO!A:I, 8, FALSE), "N/A"))</f>
        <v>N/A</v>
      </c>
      <c r="H138" t="str">
        <f>IF(A138="","", IFERROR(VLOOKUP(A138, Torque!A:I, 8, FALSE), "N/A"))</f>
        <v>N/A</v>
      </c>
      <c r="I138" t="str">
        <f>IF(A138="","", IFERROR(VLOOKUP(A138, Infrared!A:G, 6, FALSE), "N/A"))</f>
        <v>FAIL</v>
      </c>
      <c r="J138" t="str">
        <f>IF(A138="","", IFERROR(VLOOKUP(A138, Ultrasonic!A:H, 7, FALSE), "N/A"))</f>
        <v>PASS</v>
      </c>
      <c r="K138" t="str">
        <f>IF(A138="","", IFERROR(VLOOKUP(A138, 'Code Violations'!A:V, 22, FALSE), "N/A"))</f>
        <v>PASS</v>
      </c>
      <c r="L138" t="str">
        <f t="shared" si="2"/>
        <v>FAIL</v>
      </c>
    </row>
    <row r="139" spans="1:12" x14ac:dyDescent="0.25">
      <c r="A139" t="s">
        <v>357</v>
      </c>
      <c r="B139" t="str">
        <f>IF('Equipment Information'!B139="","", 'Equipment Information'!B139)</f>
        <v>-</v>
      </c>
      <c r="C139" t="str">
        <f>IF('Equipment Information'!C139="","", 'Equipment Information'!C139)</f>
        <v>Boiler Room</v>
      </c>
      <c r="D139" t="str">
        <f>IF('Equipment Information'!D139="","", 'Equipment Information'!D139)</f>
        <v>Motor Control Panel (MCP)</v>
      </c>
      <c r="E139" t="str">
        <f>IF(A139="","", IFERROR(VLOOKUP(A139, 'Energized Data'!A:T, 20, FALSE), "N/A"))</f>
        <v>N/A</v>
      </c>
      <c r="F139" t="str">
        <f>IF(A139="","", IFERROR(VLOOKUP(A139, Insulation!A:J, 9, FALSE), "N/A"))</f>
        <v>N/A</v>
      </c>
      <c r="G139" t="str">
        <f>IF(A139="","", IFERROR(VLOOKUP(A139, DLRO!A:I, 8, FALSE), "N/A"))</f>
        <v>N/A</v>
      </c>
      <c r="H139" t="str">
        <f>IF(A139="","", IFERROR(VLOOKUP(A139, Torque!A:I, 8, FALSE), "N/A"))</f>
        <v>N/A</v>
      </c>
      <c r="I139" t="str">
        <f>IF(A139="","", IFERROR(VLOOKUP(A139, Infrared!A:G, 6, FALSE), "N/A"))</f>
        <v>PASS</v>
      </c>
      <c r="J139" t="str">
        <f>IF(A139="","", IFERROR(VLOOKUP(A139, Ultrasonic!A:H, 7, FALSE), "N/A"))</f>
        <v>PASS</v>
      </c>
      <c r="K139" t="str">
        <f>IF(A139="","", IFERROR(VLOOKUP(A139, 'Code Violations'!A:V, 22, FALSE), "N/A"))</f>
        <v>PASS</v>
      </c>
      <c r="L139" t="str">
        <f t="shared" si="2"/>
        <v>PASS</v>
      </c>
    </row>
    <row r="140" spans="1:12" x14ac:dyDescent="0.25">
      <c r="A140" t="s">
        <v>359</v>
      </c>
      <c r="B140" t="str">
        <f>IF('Equipment Information'!B140="","", 'Equipment Information'!B140)</f>
        <v>-</v>
      </c>
      <c r="C140" t="str">
        <f>IF('Equipment Information'!C140="","", 'Equipment Information'!C140)</f>
        <v>Boiler Room</v>
      </c>
      <c r="D140" t="str">
        <f>IF('Equipment Information'!D140="","", 'Equipment Information'!D140)</f>
        <v>Motor Control Panel (MCP)</v>
      </c>
      <c r="E140" t="str">
        <f>IF(A140="","", IFERROR(VLOOKUP(A140, 'Energized Data'!A:T, 20, FALSE), "N/A"))</f>
        <v>N/A</v>
      </c>
      <c r="F140" t="str">
        <f>IF(A140="","", IFERROR(VLOOKUP(A140, Insulation!A:J, 9, FALSE), "N/A"))</f>
        <v>N/A</v>
      </c>
      <c r="G140" t="str">
        <f>IF(A140="","", IFERROR(VLOOKUP(A140, DLRO!A:I, 8, FALSE), "N/A"))</f>
        <v>N/A</v>
      </c>
      <c r="H140" t="str">
        <f>IF(A140="","", IFERROR(VLOOKUP(A140, Torque!A:I, 8, FALSE), "N/A"))</f>
        <v>N/A</v>
      </c>
      <c r="I140" t="str">
        <f>IF(A140="","", IFERROR(VLOOKUP(A140, Infrared!A:G, 6, FALSE), "N/A"))</f>
        <v>PASS</v>
      </c>
      <c r="J140" t="str">
        <f>IF(A140="","", IFERROR(VLOOKUP(A140, Ultrasonic!A:H, 7, FALSE), "N/A"))</f>
        <v>PASS</v>
      </c>
      <c r="K140" t="str">
        <f>IF(A140="","", IFERROR(VLOOKUP(A140, 'Code Violations'!A:V, 22, FALSE), "N/A"))</f>
        <v>PASS</v>
      </c>
      <c r="L140" t="str">
        <f t="shared" si="2"/>
        <v>PASS</v>
      </c>
    </row>
    <row r="141" spans="1:12" x14ac:dyDescent="0.25">
      <c r="A141" t="s">
        <v>360</v>
      </c>
      <c r="B141" t="str">
        <f>IF('Equipment Information'!B141="","", 'Equipment Information'!B141)</f>
        <v>-</v>
      </c>
      <c r="C141" t="str">
        <f>IF('Equipment Information'!C141="","", 'Equipment Information'!C141)</f>
        <v>Boiler Mechanical Room</v>
      </c>
      <c r="D141" t="str">
        <f>IF('Equipment Information'!D141="","", 'Equipment Information'!D141)</f>
        <v>Individual Disconnect Switch</v>
      </c>
      <c r="E141" t="str">
        <f>IF(A141="","", IFERROR(VLOOKUP(A141, 'Energized Data'!A:T, 20, FALSE), "N/A"))</f>
        <v>N/A</v>
      </c>
      <c r="F141" t="str">
        <f>IF(A141="","", IFERROR(VLOOKUP(A141, Insulation!A:J, 9, FALSE), "N/A"))</f>
        <v>N/A</v>
      </c>
      <c r="G141" t="str">
        <f>IF(A141="","", IFERROR(VLOOKUP(A141, DLRO!A:I, 8, FALSE), "N/A"))</f>
        <v>N/A</v>
      </c>
      <c r="H141" t="str">
        <f>IF(A141="","", IFERROR(VLOOKUP(A141, Torque!A:I, 8, FALSE), "N/A"))</f>
        <v>N/A</v>
      </c>
      <c r="I141" t="str">
        <f>IF(A141="","", IFERROR(VLOOKUP(A141, Infrared!A:G, 6, FALSE), "N/A"))</f>
        <v>PASS</v>
      </c>
      <c r="J141" t="str">
        <f>IF(A141="","", IFERROR(VLOOKUP(A141, Ultrasonic!A:H, 7, FALSE), "N/A"))</f>
        <v>PASS</v>
      </c>
      <c r="K141" t="str">
        <f>IF(A141="","", IFERROR(VLOOKUP(A141, 'Code Violations'!A:V, 22, FALSE), "N/A"))</f>
        <v>PASS</v>
      </c>
      <c r="L141" t="str">
        <f t="shared" si="2"/>
        <v>PASS</v>
      </c>
    </row>
    <row r="142" spans="1:12" x14ac:dyDescent="0.25">
      <c r="A142" t="s">
        <v>362</v>
      </c>
      <c r="B142" t="str">
        <f>IF('Equipment Information'!B142="","", 'Equipment Information'!B142)</f>
        <v>-</v>
      </c>
      <c r="C142" t="str">
        <f>IF('Equipment Information'!C142="","", 'Equipment Information'!C142)</f>
        <v>Boiler Mechanical Room</v>
      </c>
      <c r="D142" t="str">
        <f>IF('Equipment Information'!D142="","", 'Equipment Information'!D142)</f>
        <v>Individual Combination Motor Starter</v>
      </c>
      <c r="E142" t="str">
        <f>IF(A142="","", IFERROR(VLOOKUP(A142, 'Energized Data'!A:T, 20, FALSE), "N/A"))</f>
        <v>N/A</v>
      </c>
      <c r="F142" t="str">
        <f>IF(A142="","", IFERROR(VLOOKUP(A142, Insulation!A:J, 9, FALSE), "N/A"))</f>
        <v>N/A</v>
      </c>
      <c r="G142" t="str">
        <f>IF(A142="","", IFERROR(VLOOKUP(A142, DLRO!A:I, 8, FALSE), "N/A"))</f>
        <v>N/A</v>
      </c>
      <c r="H142" t="str">
        <f>IF(A142="","", IFERROR(VLOOKUP(A142, Torque!A:I, 8, FALSE), "N/A"))</f>
        <v>N/A</v>
      </c>
      <c r="I142" t="str">
        <f>IF(A142="","", IFERROR(VLOOKUP(A142, Infrared!A:G, 6, FALSE), "N/A"))</f>
        <v>PASS</v>
      </c>
      <c r="J142" t="str">
        <f>IF(A142="","", IFERROR(VLOOKUP(A142, Ultrasonic!A:H, 7, FALSE), "N/A"))</f>
        <v>PASS</v>
      </c>
      <c r="K142" t="str">
        <f>IF(A142="","", IFERROR(VLOOKUP(A142, 'Code Violations'!A:V, 22, FALSE), "N/A"))</f>
        <v>PASS</v>
      </c>
      <c r="L142" t="str">
        <f t="shared" si="2"/>
        <v>PASS</v>
      </c>
    </row>
    <row r="143" spans="1:12" x14ac:dyDescent="0.25">
      <c r="A143" t="s">
        <v>363</v>
      </c>
      <c r="B143" t="str">
        <f>IF('Equipment Information'!B143="","", 'Equipment Information'!B143)</f>
        <v/>
      </c>
      <c r="C143" t="str">
        <f>IF('Equipment Information'!C143="","", 'Equipment Information'!C143)</f>
        <v>Boiler Mechanical Room</v>
      </c>
      <c r="D143" t="str">
        <f>IF('Equipment Information'!D143="","", 'Equipment Information'!D143)</f>
        <v>Motor Control Panel (MCP)</v>
      </c>
      <c r="E143" t="str">
        <f>IF(A143="","", IFERROR(VLOOKUP(A143, 'Energized Data'!A:T, 20, FALSE), "N/A"))</f>
        <v>N/A</v>
      </c>
      <c r="F143" t="str">
        <f>IF(A143="","", IFERROR(VLOOKUP(A143, Insulation!A:J, 9, FALSE), "N/A"))</f>
        <v>N/A</v>
      </c>
      <c r="G143" t="str">
        <f>IF(A143="","", IFERROR(VLOOKUP(A143, DLRO!A:I, 8, FALSE), "N/A"))</f>
        <v>N/A</v>
      </c>
      <c r="H143" t="str">
        <f>IF(A143="","", IFERROR(VLOOKUP(A143, Torque!A:I, 8, FALSE), "N/A"))</f>
        <v>N/A</v>
      </c>
      <c r="I143" t="str">
        <f>IF(A143="","", IFERROR(VLOOKUP(A143, Infrared!A:G, 6, FALSE), "N/A"))</f>
        <v>PASS</v>
      </c>
      <c r="J143" t="str">
        <f>IF(A143="","", IFERROR(VLOOKUP(A143, Ultrasonic!A:H, 7, FALSE), "N/A"))</f>
        <v>PASS</v>
      </c>
      <c r="K143" t="str">
        <f>IF(A143="","", IFERROR(VLOOKUP(A143, 'Code Violations'!A:V, 22, FALSE), "N/A"))</f>
        <v>PASS</v>
      </c>
      <c r="L143" t="str">
        <f t="shared" si="2"/>
        <v>PASS</v>
      </c>
    </row>
    <row r="144" spans="1:12" x14ac:dyDescent="0.25">
      <c r="A144" t="s">
        <v>364</v>
      </c>
      <c r="B144" t="str">
        <f>IF('Equipment Information'!B144="","", 'Equipment Information'!B144)</f>
        <v/>
      </c>
      <c r="C144" t="str">
        <f>IF('Equipment Information'!C144="","", 'Equipment Information'!C144)</f>
        <v>Boiler Mechanical Room</v>
      </c>
      <c r="D144" t="str">
        <f>IF('Equipment Information'!D144="","", 'Equipment Information'!D144)</f>
        <v>Motor Control Panel (MCP)</v>
      </c>
      <c r="E144" t="str">
        <f>IF(A144="","", IFERROR(VLOOKUP(A144, 'Energized Data'!A:T, 20, FALSE), "N/A"))</f>
        <v>N/A</v>
      </c>
      <c r="F144" t="str">
        <f>IF(A144="","", IFERROR(VLOOKUP(A144, Insulation!A:J, 9, FALSE), "N/A"))</f>
        <v>N/A</v>
      </c>
      <c r="G144" t="str">
        <f>IF(A144="","", IFERROR(VLOOKUP(A144, DLRO!A:I, 8, FALSE), "N/A"))</f>
        <v>N/A</v>
      </c>
      <c r="H144" t="str">
        <f>IF(A144="","", IFERROR(VLOOKUP(A144, Torque!A:I, 8, FALSE), "N/A"))</f>
        <v>N/A</v>
      </c>
      <c r="I144" t="str">
        <f>IF(A144="","", IFERROR(VLOOKUP(A144, Infrared!A:G, 6, FALSE), "N/A"))</f>
        <v>PASS</v>
      </c>
      <c r="J144" t="str">
        <f>IF(A144="","", IFERROR(VLOOKUP(A144, Ultrasonic!A:H, 7, FALSE), "N/A"))</f>
        <v>PASS</v>
      </c>
      <c r="K144" t="str">
        <f>IF(A144="","", IFERROR(VLOOKUP(A144, 'Code Violations'!A:V, 22, FALSE), "N/A"))</f>
        <v>PASS</v>
      </c>
      <c r="L144" t="str">
        <f t="shared" si="2"/>
        <v>PASS</v>
      </c>
    </row>
    <row r="145" spans="1:12" x14ac:dyDescent="0.25">
      <c r="A145" t="s">
        <v>365</v>
      </c>
      <c r="B145" t="str">
        <f>IF('Equipment Information'!B145="","", 'Equipment Information'!B145)</f>
        <v>100 HP Compressor Disconnect</v>
      </c>
      <c r="C145" t="str">
        <f>IF('Equipment Information'!C145="","", 'Equipment Information'!C145)</f>
        <v>Compressor Room</v>
      </c>
      <c r="D145" t="str">
        <f>IF('Equipment Information'!D145="","", 'Equipment Information'!D145)</f>
        <v>Individual Disconnect Switch</v>
      </c>
      <c r="E145" t="str">
        <f>IF(A145="","", IFERROR(VLOOKUP(A145, 'Energized Data'!A:T, 20, FALSE), "N/A"))</f>
        <v>N/A</v>
      </c>
      <c r="F145" t="str">
        <f>IF(A145="","", IFERROR(VLOOKUP(A145, Insulation!A:J, 9, FALSE), "N/A"))</f>
        <v>N/A</v>
      </c>
      <c r="G145" t="str">
        <f>IF(A145="","", IFERROR(VLOOKUP(A145, DLRO!A:I, 8, FALSE), "N/A"))</f>
        <v>N/A</v>
      </c>
      <c r="H145" t="str">
        <f>IF(A145="","", IFERROR(VLOOKUP(A145, Torque!A:I, 8, FALSE), "N/A"))</f>
        <v>N/A</v>
      </c>
      <c r="I145" t="str">
        <f>IF(A145="","", IFERROR(VLOOKUP(A145, Infrared!A:G, 6, FALSE), "N/A"))</f>
        <v>PASS</v>
      </c>
      <c r="J145" t="str">
        <f>IF(A145="","", IFERROR(VLOOKUP(A145, Ultrasonic!A:H, 7, FALSE), "N/A"))</f>
        <v>PASS</v>
      </c>
      <c r="K145" t="str">
        <f>IF(A145="","", IFERROR(VLOOKUP(A145, 'Code Violations'!A:V, 22, FALSE), "N/A"))</f>
        <v>PASS</v>
      </c>
      <c r="L145" t="str">
        <f t="shared" si="2"/>
        <v>PASS</v>
      </c>
    </row>
    <row r="146" spans="1:12" x14ac:dyDescent="0.25">
      <c r="A146" t="s">
        <v>368</v>
      </c>
      <c r="B146" t="str">
        <f>IF('Equipment Information'!B146="","", 'Equipment Information'!B146)</f>
        <v>100 HP Compressor</v>
      </c>
      <c r="C146" t="str">
        <f>IF('Equipment Information'!C146="","", 'Equipment Information'!C146)</f>
        <v>Compressor Room</v>
      </c>
      <c r="D146" t="str">
        <f>IF('Equipment Information'!D146="","", 'Equipment Information'!D146)</f>
        <v>Compressed Air Equipment</v>
      </c>
      <c r="E146" t="str">
        <f>IF(A146="","", IFERROR(VLOOKUP(A146, 'Energized Data'!A:T, 20, FALSE), "N/A"))</f>
        <v>N/A</v>
      </c>
      <c r="F146" t="str">
        <f>IF(A146="","", IFERROR(VLOOKUP(A146, Insulation!A:J, 9, FALSE), "N/A"))</f>
        <v>N/A</v>
      </c>
      <c r="G146" t="str">
        <f>IF(A146="","", IFERROR(VLOOKUP(A146, DLRO!A:I, 8, FALSE), "N/A"))</f>
        <v>N/A</v>
      </c>
      <c r="H146" t="str">
        <f>IF(A146="","", IFERROR(VLOOKUP(A146, Torque!A:I, 8, FALSE), "N/A"))</f>
        <v>N/A</v>
      </c>
      <c r="I146" t="str">
        <f>IF(A146="","", IFERROR(VLOOKUP(A146, Infrared!A:G, 6, FALSE), "N/A"))</f>
        <v>PASS</v>
      </c>
      <c r="J146" t="str">
        <f>IF(A146="","", IFERROR(VLOOKUP(A146, Ultrasonic!A:H, 7, FALSE), "N/A"))</f>
        <v>PASS</v>
      </c>
      <c r="K146" t="str">
        <f>IF(A146="","", IFERROR(VLOOKUP(A146, 'Code Violations'!A:V, 22, FALSE), "N/A"))</f>
        <v>PASS</v>
      </c>
      <c r="L146" t="str">
        <f t="shared" si="2"/>
        <v>PASS</v>
      </c>
    </row>
    <row r="147" spans="1:12" x14ac:dyDescent="0.25">
      <c r="A147" t="s">
        <v>371</v>
      </c>
      <c r="B147" t="str">
        <f>IF('Equipment Information'!B147="","", 'Equipment Information'!B147)</f>
        <v>150 HP Compressor</v>
      </c>
      <c r="C147" t="str">
        <f>IF('Equipment Information'!C147="","", 'Equipment Information'!C147)</f>
        <v>Compressor Room</v>
      </c>
      <c r="D147" t="str">
        <f>IF('Equipment Information'!D148="","", 'Equipment Information'!D148)</f>
        <v>Motor Control Panel (MCP)</v>
      </c>
      <c r="E147" t="str">
        <f>IF(A147="","", IFERROR(VLOOKUP(A147, 'Energized Data'!A:T, 20, FALSE), "N/A"))</f>
        <v>N/A</v>
      </c>
      <c r="F147" t="str">
        <f>IF(A147="","", IFERROR(VLOOKUP(A147, Insulation!A:J, 9, FALSE), "N/A"))</f>
        <v>N/A</v>
      </c>
      <c r="G147" t="str">
        <f>IF(A147="","", IFERROR(VLOOKUP(A147, DLRO!A:I, 8, FALSE), "N/A"))</f>
        <v>N/A</v>
      </c>
      <c r="H147" t="str">
        <f>IF(A147="","", IFERROR(VLOOKUP(A147, Torque!A:I, 8, FALSE), "N/A"))</f>
        <v>N/A</v>
      </c>
      <c r="I147" t="str">
        <f>IF(A147="","", IFERROR(VLOOKUP(A147, Infrared!A:G, 6, FALSE), "N/A"))</f>
        <v>PASS</v>
      </c>
      <c r="J147" t="str">
        <f>IF(A147="","", IFERROR(VLOOKUP(A147, Ultrasonic!A:H, 7, FALSE), "N/A"))</f>
        <v>PASS</v>
      </c>
      <c r="K147" t="str">
        <f>IF(A147="","", IFERROR(VLOOKUP(A147, 'Code Violations'!A:V, 22, FALSE), "N/A"))</f>
        <v>PASS</v>
      </c>
      <c r="L147" t="str">
        <f t="shared" si="2"/>
        <v>PASS</v>
      </c>
    </row>
    <row r="148" spans="1:12" x14ac:dyDescent="0.25">
      <c r="A148" t="s">
        <v>373</v>
      </c>
      <c r="B148" t="str">
        <f>IF('Equipment Information'!B148="","", 'Equipment Information'!B148)</f>
        <v>Exhasut Fan Cabinet</v>
      </c>
      <c r="C148" t="str">
        <f>IF('Equipment Information'!C148="","", 'Equipment Information'!C148)</f>
        <v>Compressor Room</v>
      </c>
      <c r="D148" t="e">
        <f>IF('Equipment Information'!#REF!="","", 'Equipment Information'!#REF!)</f>
        <v>#REF!</v>
      </c>
      <c r="E148" t="str">
        <f>IF(A148="","", IFERROR(VLOOKUP(A148, 'Energized Data'!A:T, 20, FALSE), "N/A"))</f>
        <v>N/A</v>
      </c>
      <c r="F148" t="str">
        <f>IF(A148="","", IFERROR(VLOOKUP(A148, Insulation!A:J, 9, FALSE), "N/A"))</f>
        <v>N/A</v>
      </c>
      <c r="G148" t="str">
        <f>IF(A148="","", IFERROR(VLOOKUP(A148, DLRO!A:I, 8, FALSE), "N/A"))</f>
        <v>N/A</v>
      </c>
      <c r="H148" t="str">
        <f>IF(A148="","", IFERROR(VLOOKUP(A148, Torque!A:I, 8, FALSE), "N/A"))</f>
        <v>N/A</v>
      </c>
      <c r="I148" t="str">
        <f>IF(A148="","", IFERROR(VLOOKUP(A148, Infrared!A:G, 6, FALSE), "N/A"))</f>
        <v>PASS</v>
      </c>
      <c r="J148" t="str">
        <f>IF(A148="","", IFERROR(VLOOKUP(A148, Ultrasonic!A:H, 7, FALSE), "N/A"))</f>
        <v>PASS</v>
      </c>
      <c r="K148" t="str">
        <f>IF(A148="","", IFERROR(VLOOKUP(A148, 'Code Violations'!A:V, 22, FALSE), "N/A"))</f>
        <v>PASS</v>
      </c>
      <c r="L148" t="str">
        <f t="shared" si="2"/>
        <v>PASS</v>
      </c>
    </row>
    <row r="149" spans="1:12" x14ac:dyDescent="0.25">
      <c r="A149" t="s">
        <v>374</v>
      </c>
      <c r="B149" t="str">
        <f>IF('Equipment Information'!B149="","", 'Equipment Information'!B149)</f>
        <v>Air Dryer Disconnect</v>
      </c>
      <c r="C149" t="str">
        <f>IF('Equipment Information'!C149="","", 'Equipment Information'!C149)</f>
        <v>Compressor Room</v>
      </c>
      <c r="D149" t="str">
        <f>IF('Equipment Information'!D149="","", 'Equipment Information'!D149)</f>
        <v>Individual Disconnect Switch</v>
      </c>
      <c r="E149" t="str">
        <f>IF(A149="","", IFERROR(VLOOKUP(A149, 'Energized Data'!A:T, 20, FALSE), "N/A"))</f>
        <v>N/A</v>
      </c>
      <c r="F149" t="str">
        <f>IF(A149="","", IFERROR(VLOOKUP(A149, Insulation!A:J, 9, FALSE), "N/A"))</f>
        <v>N/A</v>
      </c>
      <c r="G149" t="str">
        <f>IF(A149="","", IFERROR(VLOOKUP(A149, DLRO!A:I, 8, FALSE), "N/A"))</f>
        <v>N/A</v>
      </c>
      <c r="H149" t="str">
        <f>IF(A149="","", IFERROR(VLOOKUP(A149, Torque!A:I, 8, FALSE), "N/A"))</f>
        <v>N/A</v>
      </c>
      <c r="I149" t="str">
        <f>IF(A149="","", IFERROR(VLOOKUP(A149, Infrared!A:G, 6, FALSE), "N/A"))</f>
        <v>PASS</v>
      </c>
      <c r="J149" t="str">
        <f>IF(A149="","", IFERROR(VLOOKUP(A149, Ultrasonic!A:H, 7, FALSE), "N/A"))</f>
        <v>PASS</v>
      </c>
      <c r="K149" t="str">
        <f>IF(A149="","", IFERROR(VLOOKUP(A149, 'Code Violations'!A:V, 22, FALSE), "N/A"))</f>
        <v>PASS</v>
      </c>
      <c r="L149" t="str">
        <f t="shared" si="2"/>
        <v>PASS</v>
      </c>
    </row>
    <row r="150" spans="1:12" x14ac:dyDescent="0.25">
      <c r="A150" t="s">
        <v>376</v>
      </c>
      <c r="B150" t="str">
        <f>IF('Equipment Information'!B150="","", 'Equipment Information'!B150)</f>
        <v>Air Dryer</v>
      </c>
      <c r="C150" t="str">
        <f>IF('Equipment Information'!C150="","", 'Equipment Information'!C150)</f>
        <v>Compressor Room</v>
      </c>
      <c r="D150" t="str">
        <f>IF('Equipment Information'!D150="","", 'Equipment Information'!D150)</f>
        <v>Compressed Air Equipment</v>
      </c>
      <c r="E150" t="str">
        <f>IF(A150="","", IFERROR(VLOOKUP(A150, 'Energized Data'!A:T, 20, FALSE), "N/A"))</f>
        <v>N/A</v>
      </c>
      <c r="F150" t="str">
        <f>IF(A150="","", IFERROR(VLOOKUP(A150, Insulation!A:J, 9, FALSE), "N/A"))</f>
        <v>N/A</v>
      </c>
      <c r="G150" t="str">
        <f>IF(A150="","", IFERROR(VLOOKUP(A150, DLRO!A:I, 8, FALSE), "N/A"))</f>
        <v>N/A</v>
      </c>
      <c r="H150" t="str">
        <f>IF(A150="","", IFERROR(VLOOKUP(A150, Torque!A:I, 8, FALSE), "N/A"))</f>
        <v>N/A</v>
      </c>
      <c r="I150" t="str">
        <f>IF(A150="","", IFERROR(VLOOKUP(A150, Infrared!A:G, 6, FALSE), "N/A"))</f>
        <v>PASS</v>
      </c>
      <c r="J150" t="str">
        <f>IF(A150="","", IFERROR(VLOOKUP(A150, Ultrasonic!A:H, 7, FALSE), "N/A"))</f>
        <v>PASS</v>
      </c>
      <c r="K150" t="str">
        <f>IF(A150="","", IFERROR(VLOOKUP(A150, 'Code Violations'!A:V, 22, FALSE), "N/A"))</f>
        <v>PASS</v>
      </c>
      <c r="L150" t="str">
        <f t="shared" si="2"/>
        <v>PASS</v>
      </c>
    </row>
    <row r="151" spans="1:12" x14ac:dyDescent="0.25">
      <c r="A151" t="s">
        <v>378</v>
      </c>
      <c r="B151" t="str">
        <f>IF('Equipment Information'!B151="","", 'Equipment Information'!B151)</f>
        <v>150 HP Compressor Disconnect</v>
      </c>
      <c r="C151" t="str">
        <f>IF('Equipment Information'!C151="","", 'Equipment Information'!C151)</f>
        <v>Maintenance Area</v>
      </c>
      <c r="D151" t="str">
        <f>IF('Equipment Information'!D151="","", 'Equipment Information'!D151)</f>
        <v>Individual Disconnect Switch</v>
      </c>
      <c r="E151" t="str">
        <f>IF(A151="","", IFERROR(VLOOKUP(A151, 'Energized Data'!A:T, 20, FALSE), "N/A"))</f>
        <v>N/A</v>
      </c>
      <c r="F151" t="str">
        <f>IF(A151="","", IFERROR(VLOOKUP(A151, Insulation!A:J, 9, FALSE), "N/A"))</f>
        <v>N/A</v>
      </c>
      <c r="G151" t="str">
        <f>IF(A151="","", IFERROR(VLOOKUP(A151, DLRO!A:I, 8, FALSE), "N/A"))</f>
        <v>N/A</v>
      </c>
      <c r="H151" t="str">
        <f>IF(A151="","", IFERROR(VLOOKUP(A151, Torque!A:I, 8, FALSE), "N/A"))</f>
        <v>N/A</v>
      </c>
      <c r="I151" t="str">
        <f>IF(A151="","", IFERROR(VLOOKUP(A151, Infrared!A:G, 6, FALSE), "N/A"))</f>
        <v>PASS</v>
      </c>
      <c r="J151" t="str">
        <f>IF(A151="","", IFERROR(VLOOKUP(A151, Ultrasonic!A:H, 7, FALSE), "N/A"))</f>
        <v>PASS</v>
      </c>
      <c r="K151" t="str">
        <f>IF(A151="","", IFERROR(VLOOKUP(A151, 'Code Violations'!A:V, 22, FALSE), "N/A"))</f>
        <v>PASS</v>
      </c>
      <c r="L151" t="str">
        <f t="shared" si="2"/>
        <v>PASS</v>
      </c>
    </row>
    <row r="152" spans="1:12" x14ac:dyDescent="0.25">
      <c r="A152" t="s">
        <v>381</v>
      </c>
      <c r="B152" t="str">
        <f>IF('Equipment Information'!B152="","", 'Equipment Information'!B152)</f>
        <v>Maintenance PP-1</v>
      </c>
      <c r="C152" t="str">
        <f>IF('Equipment Information'!C152="","", 'Equipment Information'!C152)</f>
        <v>Maintenance Area</v>
      </c>
      <c r="D152" t="str">
        <f>IF('Equipment Information'!D152="","", 'Equipment Information'!D152)</f>
        <v>Branch Circuit Panel &lt;=400A</v>
      </c>
      <c r="E152" t="str">
        <f>IF(A152="","", IFERROR(VLOOKUP(A152, 'Energized Data'!A:T, 20, FALSE), "N/A"))</f>
        <v>N/A</v>
      </c>
      <c r="F152" t="str">
        <f>IF(A152="","", IFERROR(VLOOKUP(A152, Insulation!A:J, 9, FALSE), "N/A"))</f>
        <v>N/A</v>
      </c>
      <c r="G152" t="str">
        <f>IF(A152="","", IFERROR(VLOOKUP(A152, DLRO!A:I, 8, FALSE), "N/A"))</f>
        <v>N/A</v>
      </c>
      <c r="H152" t="str">
        <f>IF(A152="","", IFERROR(VLOOKUP(A152, Torque!A:I, 8, FALSE), "N/A"))</f>
        <v>N/A</v>
      </c>
      <c r="I152" t="str">
        <f>IF(A152="","", IFERROR(VLOOKUP(A152, Infrared!A:G, 6, FALSE), "N/A"))</f>
        <v>PASS</v>
      </c>
      <c r="J152" t="str">
        <f>IF(A152="","", IFERROR(VLOOKUP(A152, Ultrasonic!A:H, 7, FALSE), "N/A"))</f>
        <v>PASS</v>
      </c>
      <c r="K152" t="str">
        <f>IF(A152="","", IFERROR(VLOOKUP(A152, 'Code Violations'!A:V, 22, FALSE), "N/A"))</f>
        <v>PASS</v>
      </c>
      <c r="L152" t="str">
        <f t="shared" si="2"/>
        <v>PASS</v>
      </c>
    </row>
    <row r="153" spans="1:12" x14ac:dyDescent="0.25">
      <c r="A153" t="s">
        <v>383</v>
      </c>
      <c r="B153" t="str">
        <f>IF('Equipment Information'!B153="","", 'Equipment Information'!B153)</f>
        <v/>
      </c>
      <c r="C153" t="str">
        <f>IF('Equipment Information'!C153="","", 'Equipment Information'!C153)</f>
        <v>Maintenance Area</v>
      </c>
      <c r="D153" t="str">
        <f>IF('Equipment Information'!D153="","", 'Equipment Information'!D153)</f>
        <v>Individual Disconnect Switch</v>
      </c>
      <c r="E153" t="str">
        <f>IF(A153="","", IFERROR(VLOOKUP(A153, 'Energized Data'!A:T, 20, FALSE), "N/A"))</f>
        <v>N/A</v>
      </c>
      <c r="F153" t="str">
        <f>IF(A153="","", IFERROR(VLOOKUP(A153, Insulation!A:J, 9, FALSE), "N/A"))</f>
        <v>N/A</v>
      </c>
      <c r="G153" t="str">
        <f>IF(A153="","", IFERROR(VLOOKUP(A153, DLRO!A:I, 8, FALSE), "N/A"))</f>
        <v>N/A</v>
      </c>
      <c r="H153" t="str">
        <f>IF(A153="","", IFERROR(VLOOKUP(A153, Torque!A:I, 8, FALSE), "N/A"))</f>
        <v>N/A</v>
      </c>
      <c r="I153" t="str">
        <f>IF(A153="","", IFERROR(VLOOKUP(A153, Infrared!A:G, 6, FALSE), "N/A"))</f>
        <v>PASS</v>
      </c>
      <c r="J153" t="str">
        <f>IF(A153="","", IFERROR(VLOOKUP(A153, Ultrasonic!A:H, 7, FALSE), "N/A"))</f>
        <v>PASS</v>
      </c>
      <c r="K153" t="str">
        <f>IF(A153="","", IFERROR(VLOOKUP(A153, 'Code Violations'!A:V, 22, FALSE), "N/A"))</f>
        <v>PASS</v>
      </c>
      <c r="L153" t="str">
        <f t="shared" si="2"/>
        <v>PASS</v>
      </c>
    </row>
    <row r="154" spans="1:12" x14ac:dyDescent="0.25">
      <c r="A154" t="s">
        <v>384</v>
      </c>
      <c r="B154" t="str">
        <f>IF('Equipment Information'!B154="","", 'Equipment Information'!B154)</f>
        <v/>
      </c>
      <c r="C154" t="str">
        <f>IF('Equipment Information'!C154="","", 'Equipment Information'!C154)</f>
        <v>Maintenance Area</v>
      </c>
      <c r="D154" t="str">
        <f>IF('Equipment Information'!D154="","", 'Equipment Information'!D154)</f>
        <v>Individual Disconnect Switch</v>
      </c>
      <c r="E154" t="str">
        <f>IF(A154="","", IFERROR(VLOOKUP(A154, 'Energized Data'!A:T, 20, FALSE), "N/A"))</f>
        <v>N/A</v>
      </c>
      <c r="F154" t="str">
        <f>IF(A154="","", IFERROR(VLOOKUP(A154, Insulation!A:J, 9, FALSE), "N/A"))</f>
        <v>N/A</v>
      </c>
      <c r="G154" t="str">
        <f>IF(A154="","", IFERROR(VLOOKUP(A154, DLRO!A:I, 8, FALSE), "N/A"))</f>
        <v>N/A</v>
      </c>
      <c r="H154" t="str">
        <f>IF(A154="","", IFERROR(VLOOKUP(A154, Torque!A:I, 8, FALSE), "N/A"))</f>
        <v>N/A</v>
      </c>
      <c r="I154" t="str">
        <f>IF(A154="","", IFERROR(VLOOKUP(A154, Infrared!A:G, 6, FALSE), "N/A"))</f>
        <v>PASS</v>
      </c>
      <c r="J154" t="str">
        <f>IF(A154="","", IFERROR(VLOOKUP(A154, Ultrasonic!A:H, 7, FALSE), "N/A"))</f>
        <v>PASS</v>
      </c>
      <c r="K154" t="str">
        <f>IF(A154="","", IFERROR(VLOOKUP(A154, 'Code Violations'!A:V, 22, FALSE), "N/A"))</f>
        <v>PASS</v>
      </c>
      <c r="L154" t="str">
        <f t="shared" si="2"/>
        <v>PASS</v>
      </c>
    </row>
    <row r="155" spans="1:12" x14ac:dyDescent="0.25">
      <c r="A155" t="s">
        <v>385</v>
      </c>
      <c r="B155" t="str">
        <f>IF('Equipment Information'!B155="","", 'Equipment Information'!B155)</f>
        <v/>
      </c>
      <c r="C155" t="str">
        <f>IF('Equipment Information'!C155="","", 'Equipment Information'!C155)</f>
        <v>Maintenance Area</v>
      </c>
      <c r="D155" t="str">
        <f>IF('Equipment Information'!D155="","", 'Equipment Information'!D155)</f>
        <v>Individual Disconnect Switch</v>
      </c>
      <c r="E155" t="str">
        <f>IF(A155="","", IFERROR(VLOOKUP(A155, 'Energized Data'!A:T, 20, FALSE), "N/A"))</f>
        <v>N/A</v>
      </c>
      <c r="F155" t="str">
        <f>IF(A155="","", IFERROR(VLOOKUP(A155, Insulation!A:J, 9, FALSE), "N/A"))</f>
        <v>N/A</v>
      </c>
      <c r="G155" t="str">
        <f>IF(A155="","", IFERROR(VLOOKUP(A155, DLRO!A:I, 8, FALSE), "N/A"))</f>
        <v>N/A</v>
      </c>
      <c r="H155" t="str">
        <f>IF(A155="","", IFERROR(VLOOKUP(A155, Torque!A:I, 8, FALSE), "N/A"))</f>
        <v>N/A</v>
      </c>
      <c r="I155" t="str">
        <f>IF(A155="","", IFERROR(VLOOKUP(A155, Infrared!A:G, 6, FALSE), "N/A"))</f>
        <v>PASS</v>
      </c>
      <c r="J155" t="str">
        <f>IF(A155="","", IFERROR(VLOOKUP(A155, Ultrasonic!A:H, 7, FALSE), "N/A"))</f>
        <v>PASS</v>
      </c>
      <c r="K155" t="str">
        <f>IF(A155="","", IFERROR(VLOOKUP(A155, 'Code Violations'!A:V, 22, FALSE), "N/A"))</f>
        <v>PASS</v>
      </c>
      <c r="L155" t="str">
        <f t="shared" si="2"/>
        <v>PASS</v>
      </c>
    </row>
    <row r="156" spans="1:12" x14ac:dyDescent="0.25">
      <c r="A156" t="s">
        <v>386</v>
      </c>
      <c r="B156" t="str">
        <f>IF('Equipment Information'!B156="","", 'Equipment Information'!B156)</f>
        <v/>
      </c>
      <c r="C156" t="str">
        <f>IF('Equipment Information'!C156="","", 'Equipment Information'!C156)</f>
        <v>Outside of Maintenance Area</v>
      </c>
      <c r="D156" t="str">
        <f>IF('Equipment Information'!D156="","", 'Equipment Information'!D156)</f>
        <v>Individual Disconnect Switch</v>
      </c>
      <c r="E156" t="str">
        <f>IF(A156="","", IFERROR(VLOOKUP(A156, 'Energized Data'!A:T, 20, FALSE), "N/A"))</f>
        <v>N/A</v>
      </c>
      <c r="F156" t="str">
        <f>IF(A156="","", IFERROR(VLOOKUP(A156, Insulation!A:J, 9, FALSE), "N/A"))</f>
        <v>N/A</v>
      </c>
      <c r="G156" t="str">
        <f>IF(A156="","", IFERROR(VLOOKUP(A156, DLRO!A:I, 8, FALSE), "N/A"))</f>
        <v>N/A</v>
      </c>
      <c r="H156" t="str">
        <f>IF(A156="","", IFERROR(VLOOKUP(A156, Torque!A:I, 8, FALSE), "N/A"))</f>
        <v>N/A</v>
      </c>
      <c r="I156" t="str">
        <f>IF(A156="","", IFERROR(VLOOKUP(A156, Infrared!A:G, 6, FALSE), "N/A"))</f>
        <v>N/A</v>
      </c>
      <c r="J156" t="str">
        <f>IF(A156="","", IFERROR(VLOOKUP(A156, Ultrasonic!A:H, 7, FALSE), "N/A"))</f>
        <v>PASS</v>
      </c>
      <c r="K156" t="str">
        <f>IF(A156="","", IFERROR(VLOOKUP(A156, 'Code Violations'!A:V, 22, FALSE), "N/A"))</f>
        <v>PASS</v>
      </c>
      <c r="L156" t="str">
        <f t="shared" si="2"/>
        <v>PASS</v>
      </c>
    </row>
    <row r="157" spans="1:12" x14ac:dyDescent="0.25">
      <c r="A157" t="s">
        <v>388</v>
      </c>
      <c r="B157" t="str">
        <f>IF('Equipment Information'!B157="","", 'Equipment Information'!B157)</f>
        <v/>
      </c>
      <c r="C157" t="str">
        <f>IF('Equipment Information'!C157="","", 'Equipment Information'!C157)</f>
        <v>Outside of Maintenance Area</v>
      </c>
      <c r="D157" t="str">
        <f>IF('Equipment Information'!D157="","", 'Equipment Information'!D157)</f>
        <v>HVAC Equipment</v>
      </c>
      <c r="E157" t="str">
        <f>IF(A157="","", IFERROR(VLOOKUP(A157, 'Energized Data'!A:T, 20, FALSE), "N/A"))</f>
        <v>N/A</v>
      </c>
      <c r="F157" t="str">
        <f>IF(A157="","", IFERROR(VLOOKUP(A157, Insulation!A:J, 9, FALSE), "N/A"))</f>
        <v>N/A</v>
      </c>
      <c r="G157" t="str">
        <f>IF(A157="","", IFERROR(VLOOKUP(A157, DLRO!A:I, 8, FALSE), "N/A"))</f>
        <v>N/A</v>
      </c>
      <c r="H157" t="str">
        <f>IF(A157="","", IFERROR(VLOOKUP(A157, Torque!A:I, 8, FALSE), "N/A"))</f>
        <v>N/A</v>
      </c>
      <c r="I157" t="str">
        <f>IF(A157="","", IFERROR(VLOOKUP(A157, Infrared!A:G, 6, FALSE), "N/A"))</f>
        <v>N/A</v>
      </c>
      <c r="J157" t="str">
        <f>IF(A157="","", IFERROR(VLOOKUP(A157, Ultrasonic!A:H, 7, FALSE), "N/A"))</f>
        <v>N/A</v>
      </c>
      <c r="K157" t="str">
        <f>IF(A157="","", IFERROR(VLOOKUP(A157, 'Code Violations'!A:V, 22, FALSE), "N/A"))</f>
        <v>PASS</v>
      </c>
      <c r="L157" t="str">
        <f t="shared" si="2"/>
        <v>PASS</v>
      </c>
    </row>
    <row r="158" spans="1:12" x14ac:dyDescent="0.25">
      <c r="A158" t="s">
        <v>390</v>
      </c>
      <c r="B158" t="str">
        <f>IF('Equipment Information'!B158="","", 'Equipment Information'!B158)</f>
        <v>ATS #1</v>
      </c>
      <c r="C158" t="str">
        <f>IF('Equipment Information'!C158="","", 'Equipment Information'!C158)</f>
        <v>Basement</v>
      </c>
      <c r="D158" t="str">
        <f>IF('Equipment Information'!D158="","", 'Equipment Information'!D158)</f>
        <v>Auto Transfer Switch &lt;=400A</v>
      </c>
      <c r="E158" t="str">
        <f>IF(A158="","", IFERROR(VLOOKUP(A158, 'Energized Data'!A:T, 20, FALSE), "N/A"))</f>
        <v>N/A</v>
      </c>
      <c r="F158" t="str">
        <f>IF(A158="","", IFERROR(VLOOKUP(A158, Insulation!A:J, 9, FALSE), "N/A"))</f>
        <v>N/A</v>
      </c>
      <c r="G158" t="str">
        <f>IF(A158="","", IFERROR(VLOOKUP(A158, DLRO!A:I, 8, FALSE), "N/A"))</f>
        <v>N/A</v>
      </c>
      <c r="H158" t="str">
        <f>IF(A158="","", IFERROR(VLOOKUP(A158, Torque!A:I, 8, FALSE), "N/A"))</f>
        <v>N/A</v>
      </c>
      <c r="I158" t="str">
        <f>IF(A158="","", IFERROR(VLOOKUP(A158, Infrared!A:G, 6, FALSE), "N/A"))</f>
        <v>N/A</v>
      </c>
      <c r="J158" t="str">
        <f>IF(A158="","", IFERROR(VLOOKUP(A158, Ultrasonic!A:H, 7, FALSE), "N/A"))</f>
        <v>N/A</v>
      </c>
      <c r="K158" t="str">
        <f>IF(A158="","", IFERROR(VLOOKUP(A158, 'Code Violations'!A:V, 22, FALSE), "N/A"))</f>
        <v>PASS</v>
      </c>
      <c r="L158" t="str">
        <f t="shared" si="2"/>
        <v>PASS</v>
      </c>
    </row>
    <row r="159" spans="1:12" x14ac:dyDescent="0.25">
      <c r="A159" t="s">
        <v>394</v>
      </c>
      <c r="B159" t="str">
        <f>IF('Equipment Information'!B159="","", 'Equipment Information'!B159)</f>
        <v>Panel #3 Main Disconnect</v>
      </c>
      <c r="C159" t="str">
        <f>IF('Equipment Information'!C159="","", 'Equipment Information'!C159)</f>
        <v>Basement</v>
      </c>
      <c r="D159" t="str">
        <f>IF('Equipment Information'!D159="","", 'Equipment Information'!D159)</f>
        <v>Individual Molded Case Breaker &gt;=600A</v>
      </c>
      <c r="E159" t="str">
        <f>IF(A159="","", IFERROR(VLOOKUP(A159, 'Energized Data'!A:T, 20, FALSE), "N/A"))</f>
        <v>N/A</v>
      </c>
      <c r="F159" t="str">
        <f>IF(A159="","", IFERROR(VLOOKUP(A159, Insulation!A:J, 9, FALSE), "N/A"))</f>
        <v>N/A</v>
      </c>
      <c r="G159" t="str">
        <f>IF(A159="","", IFERROR(VLOOKUP(A159, DLRO!A:I, 8, FALSE), "N/A"))</f>
        <v>N/A</v>
      </c>
      <c r="H159" t="str">
        <f>IF(A159="","", IFERROR(VLOOKUP(A159, Torque!A:I, 8, FALSE), "N/A"))</f>
        <v>N/A</v>
      </c>
      <c r="I159" t="str">
        <f>IF(A159="","", IFERROR(VLOOKUP(A159, Infrared!A:G, 6, FALSE), "N/A"))</f>
        <v>N/A</v>
      </c>
      <c r="J159" t="str">
        <f>IF(A159="","", IFERROR(VLOOKUP(A159, Ultrasonic!A:H, 7, FALSE), "N/A"))</f>
        <v>N/A</v>
      </c>
      <c r="K159" t="str">
        <f>IF(A159="","", IFERROR(VLOOKUP(A159, 'Code Violations'!A:V, 22, FALSE), "N/A"))</f>
        <v>PASS</v>
      </c>
      <c r="L159" t="str">
        <f t="shared" si="2"/>
        <v>PASS</v>
      </c>
    </row>
    <row r="160" spans="1:12" x14ac:dyDescent="0.25">
      <c r="A160" t="s">
        <v>396</v>
      </c>
      <c r="B160" t="str">
        <f>IF('Equipment Information'!B160="","", 'Equipment Information'!B160)</f>
        <v>Transformer #2 Disconnect</v>
      </c>
      <c r="C160" t="str">
        <f>IF('Equipment Information'!C160="","", 'Equipment Information'!C160)</f>
        <v>Basement</v>
      </c>
      <c r="D160" t="str">
        <f>IF('Equipment Information'!D160="","", 'Equipment Information'!D160)</f>
        <v>Individual Molded Case Breaker &gt;=600A</v>
      </c>
      <c r="E160" t="str">
        <f>IF(A160="","", IFERROR(VLOOKUP(A160, 'Energized Data'!A:T, 20, FALSE), "N/A"))</f>
        <v>N/A</v>
      </c>
      <c r="F160" t="str">
        <f>IF(A160="","", IFERROR(VLOOKUP(A160, Insulation!A:J, 9, FALSE), "N/A"))</f>
        <v>N/A</v>
      </c>
      <c r="G160" t="str">
        <f>IF(A160="","", IFERROR(VLOOKUP(A160, DLRO!A:I, 8, FALSE), "N/A"))</f>
        <v>N/A</v>
      </c>
      <c r="H160" t="str">
        <f>IF(A160="","", IFERROR(VLOOKUP(A160, Torque!A:I, 8, FALSE), "N/A"))</f>
        <v>N/A</v>
      </c>
      <c r="I160" t="str">
        <f>IF(A160="","", IFERROR(VLOOKUP(A160, Infrared!A:G, 6, FALSE), "N/A"))</f>
        <v>N/A</v>
      </c>
      <c r="J160" t="str">
        <f>IF(A160="","", IFERROR(VLOOKUP(A160, Ultrasonic!A:H, 7, FALSE), "N/A"))</f>
        <v>N/A</v>
      </c>
      <c r="K160" t="str">
        <f>IF(A160="","", IFERROR(VLOOKUP(A160, 'Code Violations'!A:V, 22, FALSE), "N/A"))</f>
        <v>PASS</v>
      </c>
      <c r="L160" t="str">
        <f t="shared" si="2"/>
        <v>PASS</v>
      </c>
    </row>
    <row r="161" spans="1:12" x14ac:dyDescent="0.25">
      <c r="A161" t="str">
        <f>IF('Equipment Information'!A161="","", 'Equipment Information'!A161)</f>
        <v>20260807</v>
      </c>
      <c r="B161" t="str">
        <f>IF('Equipment Information'!B161="","", 'Equipment Information'!B161)</f>
        <v>LP-1 Main Disconnect</v>
      </c>
      <c r="C161" t="str">
        <f>IF('Equipment Information'!C161="","", 'Equipment Information'!C161)</f>
        <v>Basement</v>
      </c>
      <c r="D161" t="str">
        <f>IF('Equipment Information'!D161="","", 'Equipment Information'!D161)</f>
        <v>Individual Molded Case Breaker &gt;=600A</v>
      </c>
      <c r="E161" t="str">
        <f>IF(A161="","", IFERROR(VLOOKUP(A161, 'Energized Data'!A:T, 20, FALSE), "N/A"))</f>
        <v>N/A</v>
      </c>
      <c r="F161" t="str">
        <f>IF(A161="","", IFERROR(VLOOKUP(A161, Insulation!A:J, 9, FALSE), "N/A"))</f>
        <v>N/A</v>
      </c>
      <c r="G161" t="str">
        <f>IF(A161="","", IFERROR(VLOOKUP(A161, DLRO!A:I, 8, FALSE), "N/A"))</f>
        <v>N/A</v>
      </c>
      <c r="H161" t="str">
        <f>IF(A161="","", IFERROR(VLOOKUP(A161, Torque!A:I, 8, FALSE), "N/A"))</f>
        <v>N/A</v>
      </c>
      <c r="I161" t="str">
        <f>IF(A161="","", IFERROR(VLOOKUP(A161, Infrared!A:G, 6, FALSE), "N/A"))</f>
        <v>N/A</v>
      </c>
      <c r="J161" t="str">
        <f>IF(A161="","", IFERROR(VLOOKUP(A161, Ultrasonic!A:H, 7, FALSE), "N/A"))</f>
        <v>N/A</v>
      </c>
      <c r="K161" t="str">
        <f>IF(A161="","", IFERROR(VLOOKUP(A161, 'Code Violations'!A:V, 22, FALSE), "N/A"))</f>
        <v>PASS</v>
      </c>
      <c r="L161" t="str">
        <f t="shared" si="2"/>
        <v>PASS</v>
      </c>
    </row>
    <row r="162" spans="1:12" x14ac:dyDescent="0.25">
      <c r="A162" t="str">
        <f>IF('Equipment Information'!A162="","", 'Equipment Information'!A162)</f>
        <v>20260808</v>
      </c>
      <c r="B162" t="str">
        <f>IF('Equipment Information'!B162="","", 'Equipment Information'!B162)</f>
        <v>Panel #1</v>
      </c>
      <c r="C162" t="str">
        <f>IF('Equipment Information'!C162="","", 'Equipment Information'!C162)</f>
        <v>Basement</v>
      </c>
      <c r="D162" t="str">
        <f>IF('Equipment Information'!D162="","", 'Equipment Information'!D162)</f>
        <v>Branch Circuit Panel &lt;=400A</v>
      </c>
      <c r="E162" t="str">
        <f>IF(A162="","", IFERROR(VLOOKUP(A162, 'Energized Data'!A:T, 20, FALSE), "N/A"))</f>
        <v>N/A</v>
      </c>
      <c r="F162" t="str">
        <f>IF(A162="","", IFERROR(VLOOKUP(A162, Insulation!A:J, 9, FALSE), "N/A"))</f>
        <v>N/A</v>
      </c>
      <c r="G162" t="str">
        <f>IF(A162="","", IFERROR(VLOOKUP(A162, DLRO!A:I, 8, FALSE), "N/A"))</f>
        <v>N/A</v>
      </c>
      <c r="H162" t="str">
        <f>IF(A162="","", IFERROR(VLOOKUP(A162, Torque!A:I, 8, FALSE), "N/A"))</f>
        <v>N/A</v>
      </c>
      <c r="I162" t="str">
        <f>IF(A162="","", IFERROR(VLOOKUP(A162, Infrared!A:G, 6, FALSE), "N/A"))</f>
        <v>N/A</v>
      </c>
      <c r="J162" t="str">
        <f>IF(A162="","", IFERROR(VLOOKUP(A162, Ultrasonic!A:H, 7, FALSE), "N/A"))</f>
        <v>N/A</v>
      </c>
      <c r="K162" t="str">
        <f>IF(A162="","", IFERROR(VLOOKUP(A162, 'Code Violations'!A:V, 22, FALSE), "N/A"))</f>
        <v>FAIL</v>
      </c>
      <c r="L162" t="str">
        <f t="shared" si="2"/>
        <v>FAIL</v>
      </c>
    </row>
    <row r="163" spans="1:12" x14ac:dyDescent="0.25">
      <c r="A163" t="str">
        <f>IF('Equipment Information'!A163="","", 'Equipment Information'!A163)</f>
        <v>20260809</v>
      </c>
      <c r="B163" t="str">
        <f>IF('Equipment Information'!B163="","", 'Equipment Information'!B163)</f>
        <v>Panel #4</v>
      </c>
      <c r="C163" t="str">
        <f>IF('Equipment Information'!C163="","", 'Equipment Information'!C163)</f>
        <v>Basement</v>
      </c>
      <c r="D163" t="str">
        <f>IF('Equipment Information'!D163="","", 'Equipment Information'!D163)</f>
        <v>Branch Circuit Panel &lt;=400A</v>
      </c>
      <c r="E163" t="str">
        <f>IF(A163="","", IFERROR(VLOOKUP(A163, 'Energized Data'!A:T, 20, FALSE), "N/A"))</f>
        <v>N/A</v>
      </c>
      <c r="F163" t="str">
        <f>IF(A163="","", IFERROR(VLOOKUP(A163, Insulation!A:J, 9, FALSE), "N/A"))</f>
        <v>N/A</v>
      </c>
      <c r="G163" t="str">
        <f>IF(A163="","", IFERROR(VLOOKUP(A163, DLRO!A:I, 8, FALSE), "N/A"))</f>
        <v>N/A</v>
      </c>
      <c r="H163" t="str">
        <f>IF(A163="","", IFERROR(VLOOKUP(A163, Torque!A:I, 8, FALSE), "N/A"))</f>
        <v>N/A</v>
      </c>
      <c r="I163" t="str">
        <f>IF(A163="","", IFERROR(VLOOKUP(A163, Infrared!A:G, 6, FALSE), "N/A"))</f>
        <v>N/A</v>
      </c>
      <c r="J163" t="str">
        <f>IF(A163="","", IFERROR(VLOOKUP(A163, Ultrasonic!A:H, 7, FALSE), "N/A"))</f>
        <v>N/A</v>
      </c>
      <c r="K163" t="str">
        <f>IF(A163="","", IFERROR(VLOOKUP(A163, 'Code Violations'!A:V, 22, FALSE), "N/A"))</f>
        <v>PASS</v>
      </c>
      <c r="L163" t="str">
        <f t="shared" si="2"/>
        <v>PASS</v>
      </c>
    </row>
    <row r="164" spans="1:12" x14ac:dyDescent="0.25">
      <c r="A164" t="str">
        <f>IF('Equipment Information'!A164="","", 'Equipment Information'!A164)</f>
        <v>20260810</v>
      </c>
      <c r="B164" t="str">
        <f>IF('Equipment Information'!B164="","", 'Equipment Information'!B164)</f>
        <v>Panel #2</v>
      </c>
      <c r="C164" t="str">
        <f>IF('Equipment Information'!C164="","", 'Equipment Information'!C164)</f>
        <v>Basement</v>
      </c>
      <c r="D164" t="str">
        <f>IF('Equipment Information'!D164="","", 'Equipment Information'!D164)</f>
        <v>Branch Circuit Panel &lt;=400A</v>
      </c>
      <c r="E164" t="str">
        <f>IF(A164="","", IFERROR(VLOOKUP(A164, 'Energized Data'!A:T, 20, FALSE), "N/A"))</f>
        <v>N/A</v>
      </c>
      <c r="F164" t="str">
        <f>IF(A164="","", IFERROR(VLOOKUP(A164, Insulation!A:J, 9, FALSE), "N/A"))</f>
        <v>N/A</v>
      </c>
      <c r="G164" t="str">
        <f>IF(A164="","", IFERROR(VLOOKUP(A164, DLRO!A:I, 8, FALSE), "N/A"))</f>
        <v>N/A</v>
      </c>
      <c r="H164" t="str">
        <f>IF(A164="","", IFERROR(VLOOKUP(A164, Torque!A:I, 8, FALSE), "N/A"))</f>
        <v>N/A</v>
      </c>
      <c r="I164" t="str">
        <f>IF(A164="","", IFERROR(VLOOKUP(A164, Infrared!A:G, 6, FALSE), "N/A"))</f>
        <v>N/A</v>
      </c>
      <c r="J164" t="str">
        <f>IF(A164="","", IFERROR(VLOOKUP(A164, Ultrasonic!A:H, 7, FALSE), "N/A"))</f>
        <v>N/A</v>
      </c>
      <c r="K164" t="str">
        <f>IF(A164="","", IFERROR(VLOOKUP(A164, 'Code Violations'!A:V, 22, FALSE), "N/A"))</f>
        <v>PASS</v>
      </c>
      <c r="L164" t="str">
        <f t="shared" si="2"/>
        <v>PASS</v>
      </c>
    </row>
    <row r="165" spans="1:12" x14ac:dyDescent="0.25">
      <c r="A165" t="str">
        <f>IF('Equipment Information'!A165="","", 'Equipment Information'!A165)</f>
        <v>20260811</v>
      </c>
      <c r="B165" t="str">
        <f>IF('Equipment Information'!B165="","", 'Equipment Information'!B165)</f>
        <v>Transformer #1</v>
      </c>
      <c r="C165" t="str">
        <f>IF('Equipment Information'!C165="","", 'Equipment Information'!C165)</f>
        <v>Basement</v>
      </c>
      <c r="D165" t="str">
        <f>IF('Equipment Information'!D165="","", 'Equipment Information'!D165)</f>
        <v>480V/208V/120V Transformer - Dry &lt;250 kva</v>
      </c>
      <c r="E165" t="str">
        <f>IF(A165="","", IFERROR(VLOOKUP(A165, 'Energized Data'!A:T, 20, FALSE), "N/A"))</f>
        <v>N/A</v>
      </c>
      <c r="F165" t="str">
        <f>IF(A165="","", IFERROR(VLOOKUP(A165, Insulation!A:J, 9, FALSE), "N/A"))</f>
        <v>N/A</v>
      </c>
      <c r="G165" t="str">
        <f>IF(A165="","", IFERROR(VLOOKUP(A165, DLRO!A:I, 8, FALSE), "N/A"))</f>
        <v>N/A</v>
      </c>
      <c r="H165" t="str">
        <f>IF(A165="","", IFERROR(VLOOKUP(A165, Torque!A:I, 8, FALSE), "N/A"))</f>
        <v>N/A</v>
      </c>
      <c r="I165" t="str">
        <f>IF(A165="","", IFERROR(VLOOKUP(A165, Infrared!A:G, 6, FALSE), "N/A"))</f>
        <v>N/A</v>
      </c>
      <c r="J165" t="str">
        <f>IF(A165="","", IFERROR(VLOOKUP(A165, Ultrasonic!A:H, 7, FALSE), "N/A"))</f>
        <v>N/A</v>
      </c>
      <c r="K165" t="str">
        <f>IF(A165="","", IFERROR(VLOOKUP(A165, 'Code Violations'!A:V, 22, FALSE), "N/A"))</f>
        <v>PASS</v>
      </c>
      <c r="L165" t="str">
        <f t="shared" si="2"/>
        <v>PASS</v>
      </c>
    </row>
    <row r="166" spans="1:12" x14ac:dyDescent="0.25">
      <c r="A166" t="str">
        <f>IF('Equipment Information'!A166="","", 'Equipment Information'!A166)</f>
        <v>20260812</v>
      </c>
      <c r="B166" t="str">
        <f>IF('Equipment Information'!B166="","", 'Equipment Information'!B166)</f>
        <v>Transformer #2</v>
      </c>
      <c r="C166" t="str">
        <f>IF('Equipment Information'!C166="","", 'Equipment Information'!C166)</f>
        <v>Basement</v>
      </c>
      <c r="D166" t="str">
        <f>IF('Equipment Information'!D166="","", 'Equipment Information'!D166)</f>
        <v>480V/208V/120V Transformer - Dry &lt;250 kva</v>
      </c>
      <c r="E166" t="str">
        <f>IF(A166="","", IFERROR(VLOOKUP(A166, 'Energized Data'!A:T, 20, FALSE), "N/A"))</f>
        <v>N/A</v>
      </c>
      <c r="F166" t="str">
        <f>IF(A166="","", IFERROR(VLOOKUP(A166, Insulation!A:J, 9, FALSE), "N/A"))</f>
        <v>N/A</v>
      </c>
      <c r="G166" t="str">
        <f>IF(A166="","", IFERROR(VLOOKUP(A166, DLRO!A:I, 8, FALSE), "N/A"))</f>
        <v>N/A</v>
      </c>
      <c r="H166" t="str">
        <f>IF(A166="","", IFERROR(VLOOKUP(A166, Torque!A:I, 8, FALSE), "N/A"))</f>
        <v>N/A</v>
      </c>
      <c r="I166" t="str">
        <f>IF(A166="","", IFERROR(VLOOKUP(A166, Infrared!A:G, 6, FALSE), "N/A"))</f>
        <v>N/A</v>
      </c>
      <c r="J166" t="str">
        <f>IF(A166="","", IFERROR(VLOOKUP(A166, Ultrasonic!A:H, 7, FALSE), "N/A"))</f>
        <v>N/A</v>
      </c>
      <c r="K166" t="str">
        <f>IF(A166="","", IFERROR(VLOOKUP(A166, 'Code Violations'!A:V, 22, FALSE), "N/A"))</f>
        <v>PASS</v>
      </c>
      <c r="L166" t="str">
        <f t="shared" si="2"/>
        <v>PASS</v>
      </c>
    </row>
    <row r="167" spans="1:12" x14ac:dyDescent="0.25">
      <c r="A167" t="str">
        <f>IF('Equipment Information'!A167="","", 'Equipment Information'!A167)</f>
        <v>20260813</v>
      </c>
      <c r="B167" t="str">
        <f>IF('Equipment Information'!B167="","", 'Equipment Information'!B167)</f>
        <v>Panel #3</v>
      </c>
      <c r="C167" t="str">
        <f>IF('Equipment Information'!C167="","", 'Equipment Information'!C167)</f>
        <v>Basement</v>
      </c>
      <c r="D167" t="str">
        <f>IF('Equipment Information'!D167="","", 'Equipment Information'!D167)</f>
        <v>Branch Circuit Panel &lt;=400A</v>
      </c>
      <c r="E167" t="str">
        <f>IF(A167="","", IFERROR(VLOOKUP(A167, 'Energized Data'!A:T, 20, FALSE), "N/A"))</f>
        <v>N/A</v>
      </c>
      <c r="F167" t="str">
        <f>IF(A167="","", IFERROR(VLOOKUP(A167, Insulation!A:J, 9, FALSE), "N/A"))</f>
        <v>N/A</v>
      </c>
      <c r="G167" t="str">
        <f>IF(A167="","", IFERROR(VLOOKUP(A167, DLRO!A:I, 8, FALSE), "N/A"))</f>
        <v>N/A</v>
      </c>
      <c r="H167" t="str">
        <f>IF(A167="","", IFERROR(VLOOKUP(A167, Torque!A:I, 8, FALSE), "N/A"))</f>
        <v>N/A</v>
      </c>
      <c r="I167" t="str">
        <f>IF(A167="","", IFERROR(VLOOKUP(A167, Infrared!A:G, 6, FALSE), "N/A"))</f>
        <v>N/A</v>
      </c>
      <c r="J167" t="str">
        <f>IF(A167="","", IFERROR(VLOOKUP(A167, Ultrasonic!A:H, 7, FALSE), "N/A"))</f>
        <v>N/A</v>
      </c>
      <c r="K167" t="str">
        <f>IF(A167="","", IFERROR(VLOOKUP(A167, 'Code Violations'!A:V, 22, FALSE), "N/A"))</f>
        <v>PASS</v>
      </c>
      <c r="L167" t="str">
        <f t="shared" si="2"/>
        <v>PASS</v>
      </c>
    </row>
    <row r="168" spans="1:12" x14ac:dyDescent="0.25">
      <c r="A168" t="str">
        <f>IF('Equipment Information'!A168="","", 'Equipment Information'!A168)</f>
        <v>20260814</v>
      </c>
      <c r="B168" t="str">
        <f>IF('Equipment Information'!B168="","", 'Equipment Information'!B168)</f>
        <v/>
      </c>
      <c r="C168" t="str">
        <f>IF('Equipment Information'!C168="","", 'Equipment Information'!C168)</f>
        <v>Hallway</v>
      </c>
      <c r="D168" t="str">
        <f>IF('Equipment Information'!D168="","", 'Equipment Information'!D168)</f>
        <v>Branch Circuit Panel &lt;=400A</v>
      </c>
      <c r="E168" t="str">
        <f>IF(A168="","", IFERROR(VLOOKUP(A168, 'Energized Data'!A:T, 20, FALSE), "N/A"))</f>
        <v>N/A</v>
      </c>
      <c r="F168" t="str">
        <f>IF(A168="","", IFERROR(VLOOKUP(A168, Insulation!A:J, 9, FALSE), "N/A"))</f>
        <v>N/A</v>
      </c>
      <c r="G168" t="str">
        <f>IF(A168="","", IFERROR(VLOOKUP(A168, DLRO!A:I, 8, FALSE), "N/A"))</f>
        <v>N/A</v>
      </c>
      <c r="H168" t="str">
        <f>IF(A168="","", IFERROR(VLOOKUP(A168, Torque!A:I, 8, FALSE), "N/A"))</f>
        <v>N/A</v>
      </c>
      <c r="I168" t="str">
        <f>IF(A168="","", IFERROR(VLOOKUP(A168, Infrared!A:G, 6, FALSE), "N/A"))</f>
        <v>N/A</v>
      </c>
      <c r="J168" t="str">
        <f>IF(A168="","", IFERROR(VLOOKUP(A168, Ultrasonic!A:H, 7, FALSE), "N/A"))</f>
        <v>N/A</v>
      </c>
      <c r="K168" t="str">
        <f>IF(A168="","", IFERROR(VLOOKUP(A168, 'Code Violations'!A:V, 22, FALSE), "N/A"))</f>
        <v>PASS</v>
      </c>
      <c r="L168" t="str">
        <f t="shared" si="2"/>
        <v>PASS</v>
      </c>
    </row>
    <row r="169" spans="1:12" x14ac:dyDescent="0.25">
      <c r="A169" t="str">
        <f>IF('Equipment Information'!A169="","", 'Equipment Information'!A169)</f>
        <v/>
      </c>
      <c r="B169" t="str">
        <f>IF('Equipment Information'!B169="","", 'Equipment Information'!B169)</f>
        <v/>
      </c>
      <c r="C169" t="str">
        <f>IF('Equipment Information'!C169="","", 'Equipment Information'!C169)</f>
        <v/>
      </c>
      <c r="D169" t="str">
        <f>IF('Equipment Information'!D169="","", 'Equipment Information'!D169)</f>
        <v/>
      </c>
      <c r="E169" t="str">
        <f>IF(A169="","", IFERROR(VLOOKUP(A169, 'Energized Data'!A:T, 20, FALSE), "N/A"))</f>
        <v/>
      </c>
      <c r="F169" t="str">
        <f>IF(A169="","", IFERROR(VLOOKUP(A169, Insulation!A:J, 9, FALSE), "N/A"))</f>
        <v/>
      </c>
      <c r="G169" t="str">
        <f>IF(A169="","", IFERROR(VLOOKUP(A169, DLRO!A:I, 8, FALSE), "N/A"))</f>
        <v/>
      </c>
      <c r="H169" t="str">
        <f>IF(A169="","", IFERROR(VLOOKUP(A169, Torque!A:I, 8, FALSE), "N/A"))</f>
        <v/>
      </c>
      <c r="I169" t="str">
        <f>IF(A169="","", IFERROR(VLOOKUP(A169, Infrared!A:G, 6, FALSE), "N/A"))</f>
        <v/>
      </c>
      <c r="J169" t="str">
        <f>IF(A169="","", IFERROR(VLOOKUP(A169, Ultrasonic!A:H, 7, FALSE), "N/A"))</f>
        <v/>
      </c>
      <c r="K169" t="str">
        <f>IF(A169="","", IFERROR(VLOOKUP(A169, 'Code Violations'!A:V, 22, FALSE), "N/A"))</f>
        <v/>
      </c>
      <c r="L169" t="str">
        <f t="shared" si="2"/>
        <v/>
      </c>
    </row>
    <row r="170" spans="1:12" x14ac:dyDescent="0.25">
      <c r="A170" t="str">
        <f>IF('Equipment Information'!A170="","", 'Equipment Information'!A170)</f>
        <v/>
      </c>
      <c r="B170" t="str">
        <f>IF('Equipment Information'!B170="","", 'Equipment Information'!B170)</f>
        <v/>
      </c>
      <c r="C170" t="str">
        <f>IF('Equipment Information'!C170="","", 'Equipment Information'!C170)</f>
        <v/>
      </c>
      <c r="D170" t="str">
        <f>IF('Equipment Information'!D170="","", 'Equipment Information'!D170)</f>
        <v/>
      </c>
      <c r="E170" t="str">
        <f>IF(A170="","", IFERROR(VLOOKUP(A170, 'Energized Data'!A:T, 20, FALSE), "N/A"))</f>
        <v/>
      </c>
      <c r="F170" t="str">
        <f>IF(A170="","", IFERROR(VLOOKUP(A170, Insulation!A:J, 9, FALSE), "N/A"))</f>
        <v/>
      </c>
      <c r="G170" t="str">
        <f>IF(A170="","", IFERROR(VLOOKUP(A170, DLRO!A:I, 8, FALSE), "N/A"))</f>
        <v/>
      </c>
      <c r="H170" t="str">
        <f>IF(A170="","", IFERROR(VLOOKUP(A170, Torque!A:I, 8, FALSE), "N/A"))</f>
        <v/>
      </c>
      <c r="I170" t="str">
        <f>IF(A170="","", IFERROR(VLOOKUP(A170, Infrared!A:G, 6, FALSE), "N/A"))</f>
        <v/>
      </c>
      <c r="J170" t="str">
        <f>IF(A170="","", IFERROR(VLOOKUP(A170, Ultrasonic!A:H, 7, FALSE), "N/A"))</f>
        <v/>
      </c>
      <c r="K170" t="str">
        <f>IF(A170="","", IFERROR(VLOOKUP(A170, 'Code Violations'!A:V, 22, FALSE), "N/A"))</f>
        <v/>
      </c>
      <c r="L170" t="str">
        <f t="shared" si="2"/>
        <v/>
      </c>
    </row>
    <row r="171" spans="1:12" x14ac:dyDescent="0.25">
      <c r="A171" t="str">
        <f>IF('Equipment Information'!A171="","", 'Equipment Information'!A171)</f>
        <v/>
      </c>
      <c r="B171" t="str">
        <f>IF('Equipment Information'!B171="","", 'Equipment Information'!B171)</f>
        <v/>
      </c>
      <c r="C171" t="str">
        <f>IF('Equipment Information'!C171="","", 'Equipment Information'!C171)</f>
        <v/>
      </c>
      <c r="D171" t="str">
        <f>IF('Equipment Information'!D171="","", 'Equipment Information'!D171)</f>
        <v/>
      </c>
      <c r="E171" t="str">
        <f>IF(A171="","", IFERROR(VLOOKUP(A171, 'Energized Data'!A:T, 20, FALSE), "N/A"))</f>
        <v/>
      </c>
      <c r="F171" t="str">
        <f>IF(A171="","", IFERROR(VLOOKUP(A171, Insulation!A:J, 9, FALSE), "N/A"))</f>
        <v/>
      </c>
      <c r="G171" t="str">
        <f>IF(A171="","", IFERROR(VLOOKUP(A171, DLRO!A:I, 8, FALSE), "N/A"))</f>
        <v/>
      </c>
      <c r="H171" t="str">
        <f>IF(A171="","", IFERROR(VLOOKUP(A171, Torque!A:I, 8, FALSE), "N/A"))</f>
        <v/>
      </c>
      <c r="I171" t="str">
        <f>IF(A171="","", IFERROR(VLOOKUP(A171, Infrared!A:G, 6, FALSE), "N/A"))</f>
        <v/>
      </c>
      <c r="J171" t="str">
        <f>IF(A171="","", IFERROR(VLOOKUP(A171, Ultrasonic!A:H, 7, FALSE), "N/A"))</f>
        <v/>
      </c>
      <c r="K171" t="str">
        <f>IF(A171="","", IFERROR(VLOOKUP(A171, 'Code Violations'!A:V, 22, FALSE), "N/A"))</f>
        <v/>
      </c>
      <c r="L171" t="str">
        <f t="shared" si="2"/>
        <v/>
      </c>
    </row>
    <row r="172" spans="1:12" x14ac:dyDescent="0.25">
      <c r="A172" t="str">
        <f>IF('Equipment Information'!A172="","", 'Equipment Information'!A172)</f>
        <v/>
      </c>
      <c r="B172" t="str">
        <f>IF('Equipment Information'!B172="","", 'Equipment Information'!B172)</f>
        <v/>
      </c>
      <c r="C172" t="str">
        <f>IF('Equipment Information'!C172="","", 'Equipment Information'!C172)</f>
        <v/>
      </c>
      <c r="D172" t="str">
        <f>IF('Equipment Information'!D172="","", 'Equipment Information'!D172)</f>
        <v/>
      </c>
      <c r="E172" t="str">
        <f>IF(A172="","", IFERROR(VLOOKUP(A172, 'Energized Data'!A:T, 20, FALSE), "N/A"))</f>
        <v/>
      </c>
      <c r="F172" t="str">
        <f>IF(A172="","", IFERROR(VLOOKUP(A172, Insulation!A:J, 9, FALSE), "N/A"))</f>
        <v/>
      </c>
      <c r="G172" t="str">
        <f>IF(A172="","", IFERROR(VLOOKUP(A172, DLRO!A:I, 8, FALSE), "N/A"))</f>
        <v/>
      </c>
      <c r="H172" t="str">
        <f>IF(A172="","", IFERROR(VLOOKUP(A172, Torque!A:I, 8, FALSE), "N/A"))</f>
        <v/>
      </c>
      <c r="I172" t="str">
        <f>IF(A172="","", IFERROR(VLOOKUP(A172, Infrared!A:G, 6, FALSE), "N/A"))</f>
        <v/>
      </c>
      <c r="J172" t="str">
        <f>IF(A172="","", IFERROR(VLOOKUP(A172, Ultrasonic!A:H, 7, FALSE), "N/A"))</f>
        <v/>
      </c>
      <c r="K172" t="str">
        <f>IF(A172="","", IFERROR(VLOOKUP(A172, 'Code Violations'!A:V, 22, FALSE), "N/A"))</f>
        <v/>
      </c>
      <c r="L172" t="str">
        <f t="shared" si="2"/>
        <v/>
      </c>
    </row>
    <row r="173" spans="1:12" x14ac:dyDescent="0.25">
      <c r="A173" t="str">
        <f>IF('Equipment Information'!A173="","", 'Equipment Information'!A173)</f>
        <v/>
      </c>
      <c r="B173" t="str">
        <f>IF('Equipment Information'!B173="","", 'Equipment Information'!B173)</f>
        <v/>
      </c>
      <c r="C173" t="str">
        <f>IF('Equipment Information'!C173="","", 'Equipment Information'!C173)</f>
        <v/>
      </c>
      <c r="D173" t="str">
        <f>IF('Equipment Information'!D173="","", 'Equipment Information'!D173)</f>
        <v/>
      </c>
      <c r="E173" t="str">
        <f>IF(A173="","", IFERROR(VLOOKUP(A173, 'Energized Data'!A:T, 20, FALSE), "N/A"))</f>
        <v/>
      </c>
      <c r="F173" t="str">
        <f>IF(A173="","", IFERROR(VLOOKUP(A173, Insulation!A:J, 9, FALSE), "N/A"))</f>
        <v/>
      </c>
      <c r="G173" t="str">
        <f>IF(A173="","", IFERROR(VLOOKUP(A173, DLRO!A:I, 8, FALSE), "N/A"))</f>
        <v/>
      </c>
      <c r="H173" t="str">
        <f>IF(A173="","", IFERROR(VLOOKUP(A173, Torque!A:I, 8, FALSE), "N/A"))</f>
        <v/>
      </c>
      <c r="I173" t="str">
        <f>IF(A173="","", IFERROR(VLOOKUP(A173, Infrared!A:G, 6, FALSE), "N/A"))</f>
        <v/>
      </c>
      <c r="J173" t="str">
        <f>IF(A173="","", IFERROR(VLOOKUP(A173, Ultrasonic!A:H, 7, FALSE), "N/A"))</f>
        <v/>
      </c>
      <c r="K173" t="str">
        <f>IF(A173="","", IFERROR(VLOOKUP(A173, 'Code Violations'!A:V, 22, FALSE), "N/A"))</f>
        <v/>
      </c>
      <c r="L173" t="str">
        <f t="shared" si="2"/>
        <v/>
      </c>
    </row>
    <row r="174" spans="1:12" x14ac:dyDescent="0.25">
      <c r="A174" t="str">
        <f>IF('Equipment Information'!A174="","", 'Equipment Information'!A174)</f>
        <v/>
      </c>
      <c r="B174" t="str">
        <f>IF('Equipment Information'!B174="","", 'Equipment Information'!B174)</f>
        <v/>
      </c>
      <c r="C174" t="str">
        <f>IF('Equipment Information'!C174="","", 'Equipment Information'!C174)</f>
        <v/>
      </c>
      <c r="D174" t="str">
        <f>IF('Equipment Information'!D174="","", 'Equipment Information'!D174)</f>
        <v/>
      </c>
      <c r="E174" t="str">
        <f>IF(A174="","", IFERROR(VLOOKUP(A174, 'Energized Data'!A:T, 20, FALSE), "N/A"))</f>
        <v/>
      </c>
      <c r="F174" t="str">
        <f>IF(A174="","", IFERROR(VLOOKUP(A174, Insulation!A:J, 9, FALSE), "N/A"))</f>
        <v/>
      </c>
      <c r="G174" t="str">
        <f>IF(A174="","", IFERROR(VLOOKUP(A174, DLRO!A:I, 8, FALSE), "N/A"))</f>
        <v/>
      </c>
      <c r="H174" t="str">
        <f>IF(A174="","", IFERROR(VLOOKUP(A174, Torque!A:I, 8, FALSE), "N/A"))</f>
        <v/>
      </c>
      <c r="I174" t="str">
        <f>IF(A174="","", IFERROR(VLOOKUP(A174, Infrared!A:G, 6, FALSE), "N/A"))</f>
        <v/>
      </c>
      <c r="J174" t="str">
        <f>IF(A174="","", IFERROR(VLOOKUP(A174, Ultrasonic!A:H, 7, FALSE), "N/A"))</f>
        <v/>
      </c>
      <c r="K174" t="str">
        <f>IF(A174="","", IFERROR(VLOOKUP(A174, 'Code Violations'!A:V, 22, FALSE), "N/A"))</f>
        <v/>
      </c>
      <c r="L174" t="str">
        <f t="shared" si="2"/>
        <v/>
      </c>
    </row>
    <row r="175" spans="1:12" x14ac:dyDescent="0.25">
      <c r="A175" t="str">
        <f>IF('Equipment Information'!A175="","", 'Equipment Information'!A175)</f>
        <v/>
      </c>
      <c r="B175" t="str">
        <f>IF('Equipment Information'!B175="","", 'Equipment Information'!B175)</f>
        <v/>
      </c>
      <c r="C175" t="str">
        <f>IF('Equipment Information'!C175="","", 'Equipment Information'!C175)</f>
        <v/>
      </c>
      <c r="D175" t="str">
        <f>IF('Equipment Information'!D175="","", 'Equipment Information'!D175)</f>
        <v/>
      </c>
      <c r="E175" t="str">
        <f>IF(A175="","", IFERROR(VLOOKUP(A175, 'Energized Data'!A:T, 20, FALSE), "N/A"))</f>
        <v/>
      </c>
      <c r="F175" t="str">
        <f>IF(A175="","", IFERROR(VLOOKUP(A175, Insulation!A:J, 9, FALSE), "N/A"))</f>
        <v/>
      </c>
      <c r="G175" t="str">
        <f>IF(A175="","", IFERROR(VLOOKUP(A175, DLRO!A:I, 8, FALSE), "N/A"))</f>
        <v/>
      </c>
      <c r="H175" t="str">
        <f>IF(A175="","", IFERROR(VLOOKUP(A175, Torque!A:I, 8, FALSE), "N/A"))</f>
        <v/>
      </c>
      <c r="I175" t="str">
        <f>IF(A175="","", IFERROR(VLOOKUP(A175, Infrared!A:G, 6, FALSE), "N/A"))</f>
        <v/>
      </c>
      <c r="J175" t="str">
        <f>IF(A175="","", IFERROR(VLOOKUP(A175, Ultrasonic!A:H, 7, FALSE), "N/A"))</f>
        <v/>
      </c>
      <c r="K175" t="str">
        <f>IF(A175="","", IFERROR(VLOOKUP(A175, 'Code Violations'!A:V, 22, FALSE), "N/A"))</f>
        <v/>
      </c>
      <c r="L175" t="str">
        <f t="shared" si="2"/>
        <v/>
      </c>
    </row>
    <row r="176" spans="1:12" x14ac:dyDescent="0.25">
      <c r="A176" t="str">
        <f>IF('Equipment Information'!A176="","", 'Equipment Information'!A176)</f>
        <v/>
      </c>
      <c r="B176" t="str">
        <f>IF('Equipment Information'!B176="","", 'Equipment Information'!B176)</f>
        <v/>
      </c>
      <c r="C176" t="str">
        <f>IF('Equipment Information'!C176="","", 'Equipment Information'!C176)</f>
        <v/>
      </c>
      <c r="D176" t="str">
        <f>IF('Equipment Information'!D176="","", 'Equipment Information'!D176)</f>
        <v/>
      </c>
      <c r="E176" t="str">
        <f>IF(A176="","", IFERROR(VLOOKUP(A176, 'Energized Data'!A:T, 20, FALSE), "N/A"))</f>
        <v/>
      </c>
      <c r="F176" t="str">
        <f>IF(A176="","", IFERROR(VLOOKUP(A176, Insulation!A:J, 9, FALSE), "N/A"))</f>
        <v/>
      </c>
      <c r="G176" t="str">
        <f>IF(A176="","", IFERROR(VLOOKUP(A176, DLRO!A:I, 8, FALSE), "N/A"))</f>
        <v/>
      </c>
      <c r="H176" t="str">
        <f>IF(A176="","", IFERROR(VLOOKUP(A176, Torque!A:I, 8, FALSE), "N/A"))</f>
        <v/>
      </c>
      <c r="I176" t="str">
        <f>IF(A176="","", IFERROR(VLOOKUP(A176, Infrared!A:G, 6, FALSE), "N/A"))</f>
        <v/>
      </c>
      <c r="J176" t="str">
        <f>IF(A176="","", IFERROR(VLOOKUP(A176, Ultrasonic!A:H, 7, FALSE), "N/A"))</f>
        <v/>
      </c>
      <c r="K176" t="str">
        <f>IF(A176="","", IFERROR(VLOOKUP(A176, 'Code Violations'!A:V, 22, FALSE), "N/A"))</f>
        <v/>
      </c>
      <c r="L176" t="str">
        <f t="shared" si="2"/>
        <v/>
      </c>
    </row>
    <row r="177" spans="1:12" x14ac:dyDescent="0.25">
      <c r="A177" t="str">
        <f>IF('Equipment Information'!A177="","", 'Equipment Information'!A177)</f>
        <v/>
      </c>
      <c r="B177" t="str">
        <f>IF('Equipment Information'!B177="","", 'Equipment Information'!B177)</f>
        <v/>
      </c>
      <c r="C177" t="str">
        <f>IF('Equipment Information'!C177="","", 'Equipment Information'!C177)</f>
        <v/>
      </c>
      <c r="D177" t="str">
        <f>IF('Equipment Information'!D177="","", 'Equipment Information'!D177)</f>
        <v/>
      </c>
      <c r="E177" t="str">
        <f>IF(A177="","", IFERROR(VLOOKUP(A177, 'Energized Data'!A:T, 20, FALSE), "N/A"))</f>
        <v/>
      </c>
      <c r="F177" t="str">
        <f>IF(A177="","", IFERROR(VLOOKUP(A177, Insulation!A:J, 9, FALSE), "N/A"))</f>
        <v/>
      </c>
      <c r="G177" t="str">
        <f>IF(A177="","", IFERROR(VLOOKUP(A177, DLRO!A:I, 8, FALSE), "N/A"))</f>
        <v/>
      </c>
      <c r="H177" t="str">
        <f>IF(A177="","", IFERROR(VLOOKUP(A177, Torque!A:I, 8, FALSE), "N/A"))</f>
        <v/>
      </c>
      <c r="I177" t="str">
        <f>IF(A177="","", IFERROR(VLOOKUP(A177, Infrared!A:G, 6, FALSE), "N/A"))</f>
        <v/>
      </c>
      <c r="J177" t="str">
        <f>IF(A177="","", IFERROR(VLOOKUP(A177, Ultrasonic!A:H, 7, FALSE), "N/A"))</f>
        <v/>
      </c>
      <c r="K177" t="str">
        <f>IF(A177="","", IFERROR(VLOOKUP(A177, 'Code Violations'!A:V, 22, FALSE), "N/A"))</f>
        <v/>
      </c>
      <c r="L177" t="str">
        <f t="shared" si="2"/>
        <v/>
      </c>
    </row>
    <row r="178" spans="1:12" x14ac:dyDescent="0.25">
      <c r="A178" t="str">
        <f>IF('Equipment Information'!A178="","", 'Equipment Information'!A178)</f>
        <v/>
      </c>
      <c r="B178" t="str">
        <f>IF('Equipment Information'!B178="","", 'Equipment Information'!B178)</f>
        <v/>
      </c>
      <c r="C178" t="str">
        <f>IF('Equipment Information'!C178="","", 'Equipment Information'!C178)</f>
        <v/>
      </c>
      <c r="D178" t="str">
        <f>IF('Equipment Information'!D178="","", 'Equipment Information'!D178)</f>
        <v/>
      </c>
      <c r="E178" t="str">
        <f>IF(A178="","", IFERROR(VLOOKUP(A178, 'Energized Data'!A:T, 20, FALSE), "N/A"))</f>
        <v/>
      </c>
      <c r="F178" t="str">
        <f>IF(A178="","", IFERROR(VLOOKUP(A178, Insulation!A:J, 9, FALSE), "N/A"))</f>
        <v/>
      </c>
      <c r="G178" t="str">
        <f>IF(A178="","", IFERROR(VLOOKUP(A178, DLRO!A:I, 8, FALSE), "N/A"))</f>
        <v/>
      </c>
      <c r="H178" t="str">
        <f>IF(A178="","", IFERROR(VLOOKUP(A178, Torque!A:I, 8, FALSE), "N/A"))</f>
        <v/>
      </c>
      <c r="I178" t="str">
        <f>IF(A178="","", IFERROR(VLOOKUP(A178, Infrared!A:G, 6, FALSE), "N/A"))</f>
        <v/>
      </c>
      <c r="J178" t="str">
        <f>IF(A178="","", IFERROR(VLOOKUP(A178, Ultrasonic!A:H, 7, FALSE), "N/A"))</f>
        <v/>
      </c>
      <c r="K178" t="str">
        <f>IF(A178="","", IFERROR(VLOOKUP(A178, 'Code Violations'!A:V, 22, FALSE), "N/A"))</f>
        <v/>
      </c>
      <c r="L178" t="str">
        <f t="shared" si="2"/>
        <v/>
      </c>
    </row>
    <row r="179" spans="1:12" x14ac:dyDescent="0.25">
      <c r="A179" t="str">
        <f>IF('Equipment Information'!A179="","", 'Equipment Information'!A179)</f>
        <v/>
      </c>
      <c r="B179" t="str">
        <f>IF('Equipment Information'!B179="","", 'Equipment Information'!B179)</f>
        <v/>
      </c>
      <c r="C179" t="str">
        <f>IF('Equipment Information'!C179="","", 'Equipment Information'!C179)</f>
        <v/>
      </c>
      <c r="D179" t="str">
        <f>IF('Equipment Information'!D179="","", 'Equipment Information'!D179)</f>
        <v/>
      </c>
      <c r="E179" t="str">
        <f>IF(A179="","", IFERROR(VLOOKUP(A179, 'Energized Data'!A:T, 20, FALSE), "N/A"))</f>
        <v/>
      </c>
      <c r="F179" t="str">
        <f>IF(A179="","", IFERROR(VLOOKUP(A179, Insulation!A:J, 9, FALSE), "N/A"))</f>
        <v/>
      </c>
      <c r="G179" t="str">
        <f>IF(A179="","", IFERROR(VLOOKUP(A179, DLRO!A:I, 8, FALSE), "N/A"))</f>
        <v/>
      </c>
      <c r="H179" t="str">
        <f>IF(A179="","", IFERROR(VLOOKUP(A179, Torque!A:I, 8, FALSE), "N/A"))</f>
        <v/>
      </c>
      <c r="I179" t="str">
        <f>IF(A179="","", IFERROR(VLOOKUP(A179, Infrared!A:G, 6, FALSE), "N/A"))</f>
        <v/>
      </c>
      <c r="J179" t="str">
        <f>IF(A179="","", IFERROR(VLOOKUP(A179, Ultrasonic!A:H, 7, FALSE), "N/A"))</f>
        <v/>
      </c>
      <c r="K179" t="str">
        <f>IF(A179="","", IFERROR(VLOOKUP(A179, 'Code Violations'!A:V, 22, FALSE), "N/A"))</f>
        <v/>
      </c>
      <c r="L179" t="str">
        <f t="shared" si="2"/>
        <v/>
      </c>
    </row>
    <row r="180" spans="1:12" x14ac:dyDescent="0.25">
      <c r="A180" t="str">
        <f>IF('Equipment Information'!A180="","", 'Equipment Information'!A180)</f>
        <v/>
      </c>
      <c r="B180" t="str">
        <f>IF('Equipment Information'!B180="","", 'Equipment Information'!B180)</f>
        <v/>
      </c>
      <c r="C180" t="str">
        <f>IF('Equipment Information'!C180="","", 'Equipment Information'!C180)</f>
        <v/>
      </c>
      <c r="D180" t="str">
        <f>IF('Equipment Information'!D180="","", 'Equipment Information'!D180)</f>
        <v/>
      </c>
      <c r="E180" t="str">
        <f>IF(A180="","", IFERROR(VLOOKUP(A180, 'Energized Data'!A:T, 20, FALSE), "N/A"))</f>
        <v/>
      </c>
      <c r="F180" t="str">
        <f>IF(A180="","", IFERROR(VLOOKUP(A180, Insulation!A:J, 9, FALSE), "N/A"))</f>
        <v/>
      </c>
      <c r="G180" t="str">
        <f>IF(A180="","", IFERROR(VLOOKUP(A180, DLRO!A:I, 8, FALSE), "N/A"))</f>
        <v/>
      </c>
      <c r="H180" t="str">
        <f>IF(A180="","", IFERROR(VLOOKUP(A180, Torque!A:I, 8, FALSE), "N/A"))</f>
        <v/>
      </c>
      <c r="I180" t="str">
        <f>IF(A180="","", IFERROR(VLOOKUP(A180, Infrared!A:G, 6, FALSE), "N/A"))</f>
        <v/>
      </c>
      <c r="J180" t="str">
        <f>IF(A180="","", IFERROR(VLOOKUP(A180, Ultrasonic!A:H, 7, FALSE), "N/A"))</f>
        <v/>
      </c>
      <c r="K180" t="str">
        <f>IF(A180="","", IFERROR(VLOOKUP(A180, 'Code Violations'!A:V, 22, FALSE), "N/A"))</f>
        <v/>
      </c>
      <c r="L180" t="str">
        <f t="shared" si="2"/>
        <v/>
      </c>
    </row>
    <row r="181" spans="1:12" x14ac:dyDescent="0.25">
      <c r="A181" t="str">
        <f>IF('Equipment Information'!A181="","", 'Equipment Information'!A181)</f>
        <v/>
      </c>
      <c r="B181" t="str">
        <f>IF('Equipment Information'!B181="","", 'Equipment Information'!B181)</f>
        <v/>
      </c>
      <c r="C181" t="str">
        <f>IF('Equipment Information'!C181="","", 'Equipment Information'!C181)</f>
        <v/>
      </c>
      <c r="D181" t="str">
        <f>IF('Equipment Information'!D181="","", 'Equipment Information'!D181)</f>
        <v/>
      </c>
      <c r="E181" t="str">
        <f>IF(A181="","", IFERROR(VLOOKUP(A181, 'Energized Data'!A:T, 20, FALSE), "N/A"))</f>
        <v/>
      </c>
      <c r="F181" t="str">
        <f>IF(A181="","", IFERROR(VLOOKUP(A181, Insulation!A:J, 9, FALSE), "N/A"))</f>
        <v/>
      </c>
      <c r="G181" t="str">
        <f>IF(A181="","", IFERROR(VLOOKUP(A181, DLRO!A:I, 8, FALSE), "N/A"))</f>
        <v/>
      </c>
      <c r="H181" t="str">
        <f>IF(A181="","", IFERROR(VLOOKUP(A181, Torque!A:I, 8, FALSE), "N/A"))</f>
        <v/>
      </c>
      <c r="I181" t="str">
        <f>IF(A181="","", IFERROR(VLOOKUP(A181, Infrared!A:G, 6, FALSE), "N/A"))</f>
        <v/>
      </c>
      <c r="J181" t="str">
        <f>IF(A181="","", IFERROR(VLOOKUP(A181, Ultrasonic!A:H, 7, FALSE), "N/A"))</f>
        <v/>
      </c>
      <c r="K181" t="str">
        <f>IF(A181="","", IFERROR(VLOOKUP(A181, 'Code Violations'!A:V, 22, FALSE), "N/A"))</f>
        <v/>
      </c>
      <c r="L181" t="str">
        <f t="shared" si="2"/>
        <v/>
      </c>
    </row>
    <row r="182" spans="1:12" x14ac:dyDescent="0.25">
      <c r="A182" t="str">
        <f>IF('Equipment Information'!A182="","", 'Equipment Information'!A182)</f>
        <v/>
      </c>
      <c r="B182" t="str">
        <f>IF('Equipment Information'!B182="","", 'Equipment Information'!B182)</f>
        <v/>
      </c>
      <c r="C182" t="str">
        <f>IF('Equipment Information'!C182="","", 'Equipment Information'!C182)</f>
        <v/>
      </c>
      <c r="D182" t="str">
        <f>IF('Equipment Information'!D182="","", 'Equipment Information'!D182)</f>
        <v/>
      </c>
      <c r="E182" t="str">
        <f>IF(A182="","", IFERROR(VLOOKUP(A182, 'Energized Data'!A:T, 20, FALSE), "N/A"))</f>
        <v/>
      </c>
      <c r="F182" t="str">
        <f>IF(A182="","", IFERROR(VLOOKUP(A182, Insulation!A:J, 9, FALSE), "N/A"))</f>
        <v/>
      </c>
      <c r="G182" t="str">
        <f>IF(A182="","", IFERROR(VLOOKUP(A182, DLRO!A:I, 8, FALSE), "N/A"))</f>
        <v/>
      </c>
      <c r="H182" t="str">
        <f>IF(A182="","", IFERROR(VLOOKUP(A182, Torque!A:I, 8, FALSE), "N/A"))</f>
        <v/>
      </c>
      <c r="I182" t="str">
        <f>IF(A182="","", IFERROR(VLOOKUP(A182, Infrared!A:G, 6, FALSE), "N/A"))</f>
        <v/>
      </c>
      <c r="J182" t="str">
        <f>IF(A182="","", IFERROR(VLOOKUP(A182, Ultrasonic!A:H, 7, FALSE), "N/A"))</f>
        <v/>
      </c>
      <c r="K182" t="str">
        <f>IF(A182="","", IFERROR(VLOOKUP(A182, 'Code Violations'!A:V, 22, FALSE), "N/A"))</f>
        <v/>
      </c>
      <c r="L182" t="str">
        <f t="shared" si="2"/>
        <v/>
      </c>
    </row>
    <row r="183" spans="1:12" x14ac:dyDescent="0.25">
      <c r="A183" t="str">
        <f>IF('Equipment Information'!A183="","", 'Equipment Information'!A183)</f>
        <v/>
      </c>
      <c r="B183" t="str">
        <f>IF('Equipment Information'!B183="","", 'Equipment Information'!B183)</f>
        <v/>
      </c>
      <c r="C183" t="str">
        <f>IF('Equipment Information'!C183="","", 'Equipment Information'!C183)</f>
        <v/>
      </c>
      <c r="D183" t="str">
        <f>IF('Equipment Information'!D183="","", 'Equipment Information'!D183)</f>
        <v/>
      </c>
      <c r="E183" t="str">
        <f>IF(A183="","", IFERROR(VLOOKUP(A183, 'Energized Data'!A:T, 20, FALSE), "N/A"))</f>
        <v/>
      </c>
      <c r="F183" t="str">
        <f>IF(A183="","", IFERROR(VLOOKUP(A183, Insulation!A:J, 9, FALSE), "N/A"))</f>
        <v/>
      </c>
      <c r="G183" t="str">
        <f>IF(A183="","", IFERROR(VLOOKUP(A183, DLRO!A:I, 8, FALSE), "N/A"))</f>
        <v/>
      </c>
      <c r="H183" t="str">
        <f>IF(A183="","", IFERROR(VLOOKUP(A183, Torque!A:I, 8, FALSE), "N/A"))</f>
        <v/>
      </c>
      <c r="I183" t="str">
        <f>IF(A183="","", IFERROR(VLOOKUP(A183, Infrared!A:G, 6, FALSE), "N/A"))</f>
        <v/>
      </c>
      <c r="J183" t="str">
        <f>IF(A183="","", IFERROR(VLOOKUP(A183, Ultrasonic!A:H, 7, FALSE), "N/A"))</f>
        <v/>
      </c>
      <c r="K183" t="str">
        <f>IF(A183="","", IFERROR(VLOOKUP(A183, 'Code Violations'!A:V, 22, FALSE), "N/A"))</f>
        <v/>
      </c>
      <c r="L183" t="str">
        <f t="shared" si="2"/>
        <v/>
      </c>
    </row>
    <row r="184" spans="1:12" x14ac:dyDescent="0.25">
      <c r="A184" t="str">
        <f>IF('Equipment Information'!A184="","", 'Equipment Information'!A184)</f>
        <v/>
      </c>
      <c r="B184" t="str">
        <f>IF('Equipment Information'!B184="","", 'Equipment Information'!B184)</f>
        <v/>
      </c>
      <c r="C184" t="str">
        <f>IF('Equipment Information'!C184="","", 'Equipment Information'!C184)</f>
        <v/>
      </c>
      <c r="D184" t="str">
        <f>IF('Equipment Information'!D184="","", 'Equipment Information'!D184)</f>
        <v/>
      </c>
      <c r="E184" t="str">
        <f>IF(A184="","", IFERROR(VLOOKUP(A184, 'Energized Data'!A:T, 20, FALSE), "N/A"))</f>
        <v/>
      </c>
      <c r="F184" t="str">
        <f>IF(A184="","", IFERROR(VLOOKUP(A184, Insulation!A:J, 9, FALSE), "N/A"))</f>
        <v/>
      </c>
      <c r="G184" t="str">
        <f>IF(A184="","", IFERROR(VLOOKUP(A184, DLRO!A:I, 8, FALSE), "N/A"))</f>
        <v/>
      </c>
      <c r="H184" t="str">
        <f>IF(A184="","", IFERROR(VLOOKUP(A184, Torque!A:I, 8, FALSE), "N/A"))</f>
        <v/>
      </c>
      <c r="I184" t="str">
        <f>IF(A184="","", IFERROR(VLOOKUP(A184, Infrared!A:G, 6, FALSE), "N/A"))</f>
        <v/>
      </c>
      <c r="J184" t="str">
        <f>IF(A184="","", IFERROR(VLOOKUP(A184, Ultrasonic!A:H, 7, FALSE), "N/A"))</f>
        <v/>
      </c>
      <c r="K184" t="str">
        <f>IF(A184="","", IFERROR(VLOOKUP(A184, 'Code Violations'!A:V, 22, FALSE), "N/A"))</f>
        <v/>
      </c>
      <c r="L184" t="str">
        <f t="shared" si="2"/>
        <v/>
      </c>
    </row>
    <row r="185" spans="1:12" x14ac:dyDescent="0.25">
      <c r="A185" t="str">
        <f>IF('Equipment Information'!A185="","", 'Equipment Information'!A185)</f>
        <v/>
      </c>
      <c r="B185" t="str">
        <f>IF('Equipment Information'!B185="","", 'Equipment Information'!B185)</f>
        <v/>
      </c>
      <c r="C185" t="str">
        <f>IF('Equipment Information'!C185="","", 'Equipment Information'!C185)</f>
        <v/>
      </c>
      <c r="D185" t="str">
        <f>IF('Equipment Information'!D185="","", 'Equipment Information'!D185)</f>
        <v/>
      </c>
      <c r="E185" t="str">
        <f>IF(A185="","", IFERROR(VLOOKUP(A185, 'Energized Data'!A:T, 20, FALSE), "N/A"))</f>
        <v/>
      </c>
      <c r="F185" t="str">
        <f>IF(A185="","", IFERROR(VLOOKUP(A185, Insulation!A:J, 9, FALSE), "N/A"))</f>
        <v/>
      </c>
      <c r="G185" t="str">
        <f>IF(A185="","", IFERROR(VLOOKUP(A185, DLRO!A:I, 8, FALSE), "N/A"))</f>
        <v/>
      </c>
      <c r="H185" t="str">
        <f>IF(A185="","", IFERROR(VLOOKUP(A185, Torque!A:I, 8, FALSE), "N/A"))</f>
        <v/>
      </c>
      <c r="I185" t="str">
        <f>IF(A185="","", IFERROR(VLOOKUP(A185, Infrared!A:G, 6, FALSE), "N/A"))</f>
        <v/>
      </c>
      <c r="J185" t="str">
        <f>IF(A185="","", IFERROR(VLOOKUP(A185, Ultrasonic!A:H, 7, FALSE), "N/A"))</f>
        <v/>
      </c>
      <c r="K185" t="str">
        <f>IF(A185="","", IFERROR(VLOOKUP(A185, 'Code Violations'!A:V, 22, FALSE), "N/A"))</f>
        <v/>
      </c>
      <c r="L185" t="str">
        <f t="shared" si="2"/>
        <v/>
      </c>
    </row>
    <row r="186" spans="1:12" x14ac:dyDescent="0.25">
      <c r="A186" t="str">
        <f>IF('Equipment Information'!A186="","", 'Equipment Information'!A186)</f>
        <v/>
      </c>
      <c r="B186" t="str">
        <f>IF('Equipment Information'!B186="","", 'Equipment Information'!B186)</f>
        <v/>
      </c>
      <c r="C186" t="str">
        <f>IF('Equipment Information'!C186="","", 'Equipment Information'!C186)</f>
        <v/>
      </c>
      <c r="D186" t="str">
        <f>IF('Equipment Information'!D186="","", 'Equipment Information'!D186)</f>
        <v/>
      </c>
      <c r="E186" t="str">
        <f>IF(A186="","", IFERROR(VLOOKUP(A186, 'Energized Data'!A:T, 20, FALSE), "N/A"))</f>
        <v/>
      </c>
      <c r="F186" t="str">
        <f>IF(A186="","", IFERROR(VLOOKUP(A186, Insulation!A:J, 9, FALSE), "N/A"))</f>
        <v/>
      </c>
      <c r="G186" t="str">
        <f>IF(A186="","", IFERROR(VLOOKUP(A186, DLRO!A:I, 8, FALSE), "N/A"))</f>
        <v/>
      </c>
      <c r="H186" t="str">
        <f>IF(A186="","", IFERROR(VLOOKUP(A186, Torque!A:I, 8, FALSE), "N/A"))</f>
        <v/>
      </c>
      <c r="I186" t="str">
        <f>IF(A186="","", IFERROR(VLOOKUP(A186, Infrared!A:G, 6, FALSE), "N/A"))</f>
        <v/>
      </c>
      <c r="J186" t="str">
        <f>IF(A186="","", IFERROR(VLOOKUP(A186, Ultrasonic!A:H, 7, FALSE), "N/A"))</f>
        <v/>
      </c>
      <c r="K186" t="str">
        <f>IF(A186="","", IFERROR(VLOOKUP(A186, 'Code Violations'!A:V, 22, FALSE), "N/A"))</f>
        <v/>
      </c>
      <c r="L186" t="str">
        <f t="shared" si="2"/>
        <v/>
      </c>
    </row>
    <row r="187" spans="1:12" x14ac:dyDescent="0.25">
      <c r="A187" t="str">
        <f>IF('Equipment Information'!A187="","", 'Equipment Information'!A187)</f>
        <v/>
      </c>
      <c r="B187" t="str">
        <f>IF('Equipment Information'!B187="","", 'Equipment Information'!B187)</f>
        <v/>
      </c>
      <c r="C187" t="str">
        <f>IF('Equipment Information'!C187="","", 'Equipment Information'!C187)</f>
        <v/>
      </c>
      <c r="D187" t="str">
        <f>IF('Equipment Information'!D187="","", 'Equipment Information'!D187)</f>
        <v/>
      </c>
      <c r="E187" t="str">
        <f>IF(A187="","", IFERROR(VLOOKUP(A187, 'Energized Data'!A:T, 20, FALSE), "N/A"))</f>
        <v/>
      </c>
      <c r="F187" t="str">
        <f>IF(A187="","", IFERROR(VLOOKUP(A187, Insulation!A:J, 9, FALSE), "N/A"))</f>
        <v/>
      </c>
      <c r="G187" t="str">
        <f>IF(A187="","", IFERROR(VLOOKUP(A187, DLRO!A:I, 8, FALSE), "N/A"))</f>
        <v/>
      </c>
      <c r="H187" t="str">
        <f>IF(A187="","", IFERROR(VLOOKUP(A187, Torque!A:I, 8, FALSE), "N/A"))</f>
        <v/>
      </c>
      <c r="I187" t="str">
        <f>IF(A187="","", IFERROR(VLOOKUP(A187, Infrared!A:G, 6, FALSE), "N/A"))</f>
        <v/>
      </c>
      <c r="J187" t="str">
        <f>IF(A187="","", IFERROR(VLOOKUP(A187, Ultrasonic!A:H, 7, FALSE), "N/A"))</f>
        <v/>
      </c>
      <c r="K187" t="str">
        <f>IF(A187="","", IFERROR(VLOOKUP(A187, 'Code Violations'!A:V, 22, FALSE), "N/A"))</f>
        <v/>
      </c>
      <c r="L187" t="str">
        <f t="shared" si="2"/>
        <v/>
      </c>
    </row>
    <row r="188" spans="1:12" x14ac:dyDescent="0.25">
      <c r="A188" t="str">
        <f>IF('Equipment Information'!A188="","", 'Equipment Information'!A188)</f>
        <v/>
      </c>
      <c r="B188" t="str">
        <f>IF('Equipment Information'!B188="","", 'Equipment Information'!B188)</f>
        <v/>
      </c>
      <c r="C188" t="str">
        <f>IF('Equipment Information'!C188="","", 'Equipment Information'!C188)</f>
        <v/>
      </c>
      <c r="D188" t="str">
        <f>IF('Equipment Information'!D188="","", 'Equipment Information'!D188)</f>
        <v/>
      </c>
      <c r="E188" t="str">
        <f>IF(A188="","", IFERROR(VLOOKUP(A188, 'Energized Data'!A:T, 20, FALSE), "N/A"))</f>
        <v/>
      </c>
      <c r="F188" t="str">
        <f>IF(A188="","", IFERROR(VLOOKUP(A188, Insulation!A:J, 9, FALSE), "N/A"))</f>
        <v/>
      </c>
      <c r="G188" t="str">
        <f>IF(A188="","", IFERROR(VLOOKUP(A188, DLRO!A:I, 8, FALSE), "N/A"))</f>
        <v/>
      </c>
      <c r="H188" t="str">
        <f>IF(A188="","", IFERROR(VLOOKUP(A188, Torque!A:I, 8, FALSE), "N/A"))</f>
        <v/>
      </c>
      <c r="I188" t="str">
        <f>IF(A188="","", IFERROR(VLOOKUP(A188, Infrared!A:G, 6, FALSE), "N/A"))</f>
        <v/>
      </c>
      <c r="J188" t="str">
        <f>IF(A188="","", IFERROR(VLOOKUP(A188, Ultrasonic!A:H, 7, FALSE), "N/A"))</f>
        <v/>
      </c>
      <c r="K188" t="str">
        <f>IF(A188="","", IFERROR(VLOOKUP(A188, 'Code Violations'!A:V, 22, FALSE), "N/A"))</f>
        <v/>
      </c>
      <c r="L188" t="str">
        <f t="shared" si="2"/>
        <v/>
      </c>
    </row>
    <row r="189" spans="1:12" x14ac:dyDescent="0.25">
      <c r="A189" t="str">
        <f>IF('Equipment Information'!A189="","", 'Equipment Information'!A189)</f>
        <v/>
      </c>
      <c r="B189" t="str">
        <f>IF('Equipment Information'!B189="","", 'Equipment Information'!B189)</f>
        <v/>
      </c>
      <c r="C189" t="str">
        <f>IF('Equipment Information'!C189="","", 'Equipment Information'!C189)</f>
        <v/>
      </c>
      <c r="D189" t="str">
        <f>IF('Equipment Information'!D189="","", 'Equipment Information'!D189)</f>
        <v/>
      </c>
      <c r="E189" t="str">
        <f>IF(A189="","", IFERROR(VLOOKUP(A189, 'Energized Data'!A:T, 20, FALSE), "N/A"))</f>
        <v/>
      </c>
      <c r="F189" t="str">
        <f>IF(A189="","", IFERROR(VLOOKUP(A189, Insulation!A:J, 9, FALSE), "N/A"))</f>
        <v/>
      </c>
      <c r="G189" t="str">
        <f>IF(A189="","", IFERROR(VLOOKUP(A189, DLRO!A:I, 8, FALSE), "N/A"))</f>
        <v/>
      </c>
      <c r="H189" t="str">
        <f>IF(A189="","", IFERROR(VLOOKUP(A189, Torque!A:I, 8, FALSE), "N/A"))</f>
        <v/>
      </c>
      <c r="I189" t="str">
        <f>IF(A189="","", IFERROR(VLOOKUP(A189, Infrared!A:G, 6, FALSE), "N/A"))</f>
        <v/>
      </c>
      <c r="J189" t="str">
        <f>IF(A189="","", IFERROR(VLOOKUP(A189, Ultrasonic!A:H, 7, FALSE), "N/A"))</f>
        <v/>
      </c>
      <c r="K189" t="str">
        <f>IF(A189="","", IFERROR(VLOOKUP(A189, 'Code Violations'!A:V, 22, FALSE), "N/A"))</f>
        <v/>
      </c>
      <c r="L189" t="str">
        <f t="shared" si="2"/>
        <v/>
      </c>
    </row>
    <row r="190" spans="1:12" x14ac:dyDescent="0.25">
      <c r="A190" t="str">
        <f>IF('Equipment Information'!A190="","", 'Equipment Information'!A190)</f>
        <v/>
      </c>
      <c r="B190" t="str">
        <f>IF('Equipment Information'!B190="","", 'Equipment Information'!B190)</f>
        <v/>
      </c>
      <c r="C190" t="str">
        <f>IF('Equipment Information'!C190="","", 'Equipment Information'!C190)</f>
        <v/>
      </c>
      <c r="D190" t="str">
        <f>IF('Equipment Information'!D190="","", 'Equipment Information'!D190)</f>
        <v/>
      </c>
      <c r="E190" t="str">
        <f>IF(A190="","", IFERROR(VLOOKUP(A190, 'Energized Data'!A:T, 20, FALSE), "N/A"))</f>
        <v/>
      </c>
      <c r="F190" t="str">
        <f>IF(A190="","", IFERROR(VLOOKUP(A190, Insulation!A:J, 9, FALSE), "N/A"))</f>
        <v/>
      </c>
      <c r="G190" t="str">
        <f>IF(A190="","", IFERROR(VLOOKUP(A190, DLRO!A:I, 8, FALSE), "N/A"))</f>
        <v/>
      </c>
      <c r="H190" t="str">
        <f>IF(A190="","", IFERROR(VLOOKUP(A190, Torque!A:I, 8, FALSE), "N/A"))</f>
        <v/>
      </c>
      <c r="I190" t="str">
        <f>IF(A190="","", IFERROR(VLOOKUP(A190, Infrared!A:G, 6, FALSE), "N/A"))</f>
        <v/>
      </c>
      <c r="J190" t="str">
        <f>IF(A190="","", IFERROR(VLOOKUP(A190, Ultrasonic!A:H, 7, FALSE), "N/A"))</f>
        <v/>
      </c>
      <c r="K190" t="str">
        <f>IF(A190="","", IFERROR(VLOOKUP(A190, 'Code Violations'!A:V, 22, FALSE), "N/A"))</f>
        <v/>
      </c>
      <c r="L190" t="str">
        <f t="shared" si="2"/>
        <v/>
      </c>
    </row>
    <row r="191" spans="1:12" x14ac:dyDescent="0.25">
      <c r="A191" t="str">
        <f>IF('Equipment Information'!A191="","", 'Equipment Information'!A191)</f>
        <v/>
      </c>
      <c r="B191" t="str">
        <f>IF('Equipment Information'!B191="","", 'Equipment Information'!B191)</f>
        <v/>
      </c>
      <c r="C191" t="str">
        <f>IF('Equipment Information'!C191="","", 'Equipment Information'!C191)</f>
        <v/>
      </c>
      <c r="D191" t="str">
        <f>IF('Equipment Information'!D191="","", 'Equipment Information'!D191)</f>
        <v/>
      </c>
      <c r="E191" t="str">
        <f>IF(A191="","", IFERROR(VLOOKUP(A191, 'Energized Data'!A:T, 20, FALSE), "N/A"))</f>
        <v/>
      </c>
      <c r="F191" t="str">
        <f>IF(A191="","", IFERROR(VLOOKUP(A191, Insulation!A:J, 9, FALSE), "N/A"))</f>
        <v/>
      </c>
      <c r="G191" t="str">
        <f>IF(A191="","", IFERROR(VLOOKUP(A191, DLRO!A:I, 8, FALSE), "N/A"))</f>
        <v/>
      </c>
      <c r="H191" t="str">
        <f>IF(A191="","", IFERROR(VLOOKUP(A191, Torque!A:I, 8, FALSE), "N/A"))</f>
        <v/>
      </c>
      <c r="I191" t="str">
        <f>IF(A191="","", IFERROR(VLOOKUP(A191, Infrared!A:G, 6, FALSE), "N/A"))</f>
        <v/>
      </c>
      <c r="J191" t="str">
        <f>IF(A191="","", IFERROR(VLOOKUP(A191, Ultrasonic!A:H, 7, FALSE), "N/A"))</f>
        <v/>
      </c>
      <c r="K191" t="str">
        <f>IF(A191="","", IFERROR(VLOOKUP(A191, 'Code Violations'!A:V, 22, FALSE), "N/A"))</f>
        <v/>
      </c>
      <c r="L191" t="str">
        <f t="shared" si="2"/>
        <v/>
      </c>
    </row>
    <row r="192" spans="1:12" x14ac:dyDescent="0.25">
      <c r="A192" t="str">
        <f>IF('Equipment Information'!A192="","", 'Equipment Information'!A192)</f>
        <v/>
      </c>
      <c r="B192" t="str">
        <f>IF('Equipment Information'!B192="","", 'Equipment Information'!B192)</f>
        <v/>
      </c>
      <c r="C192" t="str">
        <f>IF('Equipment Information'!C192="","", 'Equipment Information'!C192)</f>
        <v/>
      </c>
      <c r="D192" t="str">
        <f>IF('Equipment Information'!D192="","", 'Equipment Information'!D192)</f>
        <v/>
      </c>
      <c r="E192" t="str">
        <f>IF(A192="","", IFERROR(VLOOKUP(A192, 'Energized Data'!A:T, 20, FALSE), "N/A"))</f>
        <v/>
      </c>
      <c r="F192" t="str">
        <f>IF(A192="","", IFERROR(VLOOKUP(A192, Insulation!A:J, 9, FALSE), "N/A"))</f>
        <v/>
      </c>
      <c r="G192" t="str">
        <f>IF(A192="","", IFERROR(VLOOKUP(A192, DLRO!A:I, 8, FALSE), "N/A"))</f>
        <v/>
      </c>
      <c r="H192" t="str">
        <f>IF(A192="","", IFERROR(VLOOKUP(A192, Torque!A:I, 8, FALSE), "N/A"))</f>
        <v/>
      </c>
      <c r="I192" t="str">
        <f>IF(A192="","", IFERROR(VLOOKUP(A192, Infrared!A:G, 6, FALSE), "N/A"))</f>
        <v/>
      </c>
      <c r="J192" t="str">
        <f>IF(A192="","", IFERROR(VLOOKUP(A192, Ultrasonic!A:H, 7, FALSE), "N/A"))</f>
        <v/>
      </c>
      <c r="K192" t="str">
        <f>IF(A192="","", IFERROR(VLOOKUP(A192, 'Code Violations'!A:V, 22, FALSE), "N/A"))</f>
        <v/>
      </c>
      <c r="L192" t="str">
        <f t="shared" si="2"/>
        <v/>
      </c>
    </row>
    <row r="193" spans="1:12" x14ac:dyDescent="0.25">
      <c r="A193" t="str">
        <f>IF('Equipment Information'!A193="","", 'Equipment Information'!A193)</f>
        <v/>
      </c>
      <c r="B193" t="str">
        <f>IF('Equipment Information'!B193="","", 'Equipment Information'!B193)</f>
        <v/>
      </c>
      <c r="C193" t="str">
        <f>IF('Equipment Information'!C193="","", 'Equipment Information'!C193)</f>
        <v/>
      </c>
      <c r="D193" t="str">
        <f>IF('Equipment Information'!D193="","", 'Equipment Information'!D193)</f>
        <v/>
      </c>
      <c r="E193" t="str">
        <f>IF(A193="","", IFERROR(VLOOKUP(A193, 'Energized Data'!A:T, 20, FALSE), "N/A"))</f>
        <v/>
      </c>
      <c r="F193" t="str">
        <f>IF(A193="","", IFERROR(VLOOKUP(A193, Insulation!A:J, 9, FALSE), "N/A"))</f>
        <v/>
      </c>
      <c r="G193" t="str">
        <f>IF(A193="","", IFERROR(VLOOKUP(A193, DLRO!A:I, 8, FALSE), "N/A"))</f>
        <v/>
      </c>
      <c r="H193" t="str">
        <f>IF(A193="","", IFERROR(VLOOKUP(A193, Torque!A:I, 8, FALSE), "N/A"))</f>
        <v/>
      </c>
      <c r="I193" t="str">
        <f>IF(A193="","", IFERROR(VLOOKUP(A193, Infrared!A:G, 6, FALSE), "N/A"))</f>
        <v/>
      </c>
      <c r="J193" t="str">
        <f>IF(A193="","", IFERROR(VLOOKUP(A193, Ultrasonic!A:H, 7, FALSE), "N/A"))</f>
        <v/>
      </c>
      <c r="K193" t="str">
        <f>IF(A193="","", IFERROR(VLOOKUP(A193, 'Code Violations'!A:V, 22, FALSE), "N/A"))</f>
        <v/>
      </c>
      <c r="L193" t="str">
        <f t="shared" si="2"/>
        <v/>
      </c>
    </row>
    <row r="194" spans="1:12" x14ac:dyDescent="0.25">
      <c r="A194" t="str">
        <f>IF('Equipment Information'!A194="","", 'Equipment Information'!A194)</f>
        <v/>
      </c>
      <c r="B194" t="str">
        <f>IF('Equipment Information'!B194="","", 'Equipment Information'!B194)</f>
        <v/>
      </c>
      <c r="C194" t="str">
        <f>IF('Equipment Information'!C194="","", 'Equipment Information'!C194)</f>
        <v/>
      </c>
      <c r="D194" t="str">
        <f>IF('Equipment Information'!D194="","", 'Equipment Information'!D194)</f>
        <v/>
      </c>
      <c r="E194" t="str">
        <f>IF(A194="","", IFERROR(VLOOKUP(A194, 'Energized Data'!A:T, 20, FALSE), "N/A"))</f>
        <v/>
      </c>
      <c r="F194" t="str">
        <f>IF(A194="","", IFERROR(VLOOKUP(A194, Insulation!A:J, 9, FALSE), "N/A"))</f>
        <v/>
      </c>
      <c r="G194" t="str">
        <f>IF(A194="","", IFERROR(VLOOKUP(A194, DLRO!A:I, 8, FALSE), "N/A"))</f>
        <v/>
      </c>
      <c r="H194" t="str">
        <f>IF(A194="","", IFERROR(VLOOKUP(A194, Torque!A:I, 8, FALSE), "N/A"))</f>
        <v/>
      </c>
      <c r="I194" t="str">
        <f>IF(A194="","", IFERROR(VLOOKUP(A194, Infrared!A:G, 6, FALSE), "N/A"))</f>
        <v/>
      </c>
      <c r="J194" t="str">
        <f>IF(A194="","", IFERROR(VLOOKUP(A194, Ultrasonic!A:H, 7, FALSE), "N/A"))</f>
        <v/>
      </c>
      <c r="K194" t="str">
        <f>IF(A194="","", IFERROR(VLOOKUP(A194, 'Code Violations'!A:V, 22, FALSE), "N/A"))</f>
        <v/>
      </c>
      <c r="L194" t="str">
        <f t="shared" ref="L194:L257" si="3">IF(A194="","", IF(COUNTIF(E194:K194, "FAIL")&gt;0, "FAIL", "PASS"))</f>
        <v/>
      </c>
    </row>
    <row r="195" spans="1:12" x14ac:dyDescent="0.25">
      <c r="A195" t="str">
        <f>IF('Equipment Information'!A195="","", 'Equipment Information'!A195)</f>
        <v/>
      </c>
      <c r="B195" t="str">
        <f>IF('Equipment Information'!B195="","", 'Equipment Information'!B195)</f>
        <v/>
      </c>
      <c r="C195" t="str">
        <f>IF('Equipment Information'!C195="","", 'Equipment Information'!C195)</f>
        <v/>
      </c>
      <c r="D195" t="str">
        <f>IF('Equipment Information'!D195="","", 'Equipment Information'!D195)</f>
        <v/>
      </c>
      <c r="E195" t="str">
        <f>IF(A195="","", IFERROR(VLOOKUP(A195, 'Energized Data'!A:T, 20, FALSE), "N/A"))</f>
        <v/>
      </c>
      <c r="F195" t="str">
        <f>IF(A195="","", IFERROR(VLOOKUP(A195, Insulation!A:J, 9, FALSE), "N/A"))</f>
        <v/>
      </c>
      <c r="G195" t="str">
        <f>IF(A195="","", IFERROR(VLOOKUP(A195, DLRO!A:I, 8, FALSE), "N/A"))</f>
        <v/>
      </c>
      <c r="H195" t="str">
        <f>IF(A195="","", IFERROR(VLOOKUP(A195, Torque!A:I, 8, FALSE), "N/A"))</f>
        <v/>
      </c>
      <c r="I195" t="str">
        <f>IF(A195="","", IFERROR(VLOOKUP(A195, Infrared!A:G, 6, FALSE), "N/A"))</f>
        <v/>
      </c>
      <c r="J195" t="str">
        <f>IF(A195="","", IFERROR(VLOOKUP(A195, Ultrasonic!A:H, 7, FALSE), "N/A"))</f>
        <v/>
      </c>
      <c r="K195" t="str">
        <f>IF(A195="","", IFERROR(VLOOKUP(A195, 'Code Violations'!A:V, 22, FALSE), "N/A"))</f>
        <v/>
      </c>
      <c r="L195" t="str">
        <f t="shared" si="3"/>
        <v/>
      </c>
    </row>
    <row r="196" spans="1:12" x14ac:dyDescent="0.25">
      <c r="A196" t="str">
        <f>IF('Equipment Information'!A196="","", 'Equipment Information'!A196)</f>
        <v/>
      </c>
      <c r="B196" t="str">
        <f>IF('Equipment Information'!B196="","", 'Equipment Information'!B196)</f>
        <v/>
      </c>
      <c r="C196" t="str">
        <f>IF('Equipment Information'!C196="","", 'Equipment Information'!C196)</f>
        <v/>
      </c>
      <c r="D196" t="str">
        <f>IF('Equipment Information'!D196="","", 'Equipment Information'!D196)</f>
        <v/>
      </c>
      <c r="E196" t="str">
        <f>IF(A196="","", IFERROR(VLOOKUP(A196, 'Energized Data'!A:T, 20, FALSE), "N/A"))</f>
        <v/>
      </c>
      <c r="F196" t="str">
        <f>IF(A196="","", IFERROR(VLOOKUP(A196, Insulation!A:J, 9, FALSE), "N/A"))</f>
        <v/>
      </c>
      <c r="G196" t="str">
        <f>IF(A196="","", IFERROR(VLOOKUP(A196, DLRO!A:I, 8, FALSE), "N/A"))</f>
        <v/>
      </c>
      <c r="H196" t="str">
        <f>IF(A196="","", IFERROR(VLOOKUP(A196, Torque!A:I, 8, FALSE), "N/A"))</f>
        <v/>
      </c>
      <c r="I196" t="str">
        <f>IF(A196="","", IFERROR(VLOOKUP(A196, Infrared!A:G, 6, FALSE), "N/A"))</f>
        <v/>
      </c>
      <c r="J196" t="str">
        <f>IF(A196="","", IFERROR(VLOOKUP(A196, Ultrasonic!A:H, 7, FALSE), "N/A"))</f>
        <v/>
      </c>
      <c r="K196" t="str">
        <f>IF(A196="","", IFERROR(VLOOKUP(A196, 'Code Violations'!A:V, 22, FALSE), "N/A"))</f>
        <v/>
      </c>
      <c r="L196" t="str">
        <f t="shared" si="3"/>
        <v/>
      </c>
    </row>
    <row r="197" spans="1:12" x14ac:dyDescent="0.25">
      <c r="A197" t="str">
        <f>IF('Equipment Information'!A197="","", 'Equipment Information'!A197)</f>
        <v/>
      </c>
      <c r="B197" t="str">
        <f>IF('Equipment Information'!B197="","", 'Equipment Information'!B197)</f>
        <v/>
      </c>
      <c r="C197" t="str">
        <f>IF('Equipment Information'!C197="","", 'Equipment Information'!C197)</f>
        <v/>
      </c>
      <c r="D197" t="str">
        <f>IF('Equipment Information'!D197="","", 'Equipment Information'!D197)</f>
        <v/>
      </c>
      <c r="E197" t="str">
        <f>IF(A197="","", IFERROR(VLOOKUP(A197, 'Energized Data'!A:T, 20, FALSE), "N/A"))</f>
        <v/>
      </c>
      <c r="F197" t="str">
        <f>IF(A197="","", IFERROR(VLOOKUP(A197, Insulation!A:J, 9, FALSE), "N/A"))</f>
        <v/>
      </c>
      <c r="G197" t="str">
        <f>IF(A197="","", IFERROR(VLOOKUP(A197, DLRO!A:I, 8, FALSE), "N/A"))</f>
        <v/>
      </c>
      <c r="H197" t="str">
        <f>IF(A197="","", IFERROR(VLOOKUP(A197, Torque!A:I, 8, FALSE), "N/A"))</f>
        <v/>
      </c>
      <c r="I197" t="str">
        <f>IF(A197="","", IFERROR(VLOOKUP(A197, Infrared!A:G, 6, FALSE), "N/A"))</f>
        <v/>
      </c>
      <c r="J197" t="str">
        <f>IF(A197="","", IFERROR(VLOOKUP(A197, Ultrasonic!A:H, 7, FALSE), "N/A"))</f>
        <v/>
      </c>
      <c r="K197" t="str">
        <f>IF(A197="","", IFERROR(VLOOKUP(A197, 'Code Violations'!A:V, 22, FALSE), "N/A"))</f>
        <v/>
      </c>
      <c r="L197" t="str">
        <f t="shared" si="3"/>
        <v/>
      </c>
    </row>
    <row r="198" spans="1:12" x14ac:dyDescent="0.25">
      <c r="A198" t="str">
        <f>IF('Equipment Information'!A198="","", 'Equipment Information'!A198)</f>
        <v/>
      </c>
      <c r="B198" t="str">
        <f>IF('Equipment Information'!B198="","", 'Equipment Information'!B198)</f>
        <v/>
      </c>
      <c r="C198" t="str">
        <f>IF('Equipment Information'!C198="","", 'Equipment Information'!C198)</f>
        <v/>
      </c>
      <c r="D198" t="str">
        <f>IF('Equipment Information'!D198="","", 'Equipment Information'!D198)</f>
        <v/>
      </c>
      <c r="E198" t="str">
        <f>IF(A198="","", IFERROR(VLOOKUP(A198, 'Energized Data'!A:T, 20, FALSE), "N/A"))</f>
        <v/>
      </c>
      <c r="F198" t="str">
        <f>IF(A198="","", IFERROR(VLOOKUP(A198, Insulation!A:J, 9, FALSE), "N/A"))</f>
        <v/>
      </c>
      <c r="G198" t="str">
        <f>IF(A198="","", IFERROR(VLOOKUP(A198, DLRO!A:I, 8, FALSE), "N/A"))</f>
        <v/>
      </c>
      <c r="H198" t="str">
        <f>IF(A198="","", IFERROR(VLOOKUP(A198, Torque!A:I, 8, FALSE), "N/A"))</f>
        <v/>
      </c>
      <c r="I198" t="str">
        <f>IF(A198="","", IFERROR(VLOOKUP(A198, Infrared!A:G, 6, FALSE), "N/A"))</f>
        <v/>
      </c>
      <c r="J198" t="str">
        <f>IF(A198="","", IFERROR(VLOOKUP(A198, Ultrasonic!A:H, 7, FALSE), "N/A"))</f>
        <v/>
      </c>
      <c r="K198" t="str">
        <f>IF(A198="","", IFERROR(VLOOKUP(A198, 'Code Violations'!A:V, 22, FALSE), "N/A"))</f>
        <v/>
      </c>
      <c r="L198" t="str">
        <f t="shared" si="3"/>
        <v/>
      </c>
    </row>
    <row r="199" spans="1:12" x14ac:dyDescent="0.25">
      <c r="A199" t="str">
        <f>IF('Equipment Information'!A199="","", 'Equipment Information'!A199)</f>
        <v/>
      </c>
      <c r="B199" t="str">
        <f>IF('Equipment Information'!B199="","", 'Equipment Information'!B199)</f>
        <v/>
      </c>
      <c r="C199" t="str">
        <f>IF('Equipment Information'!C199="","", 'Equipment Information'!C199)</f>
        <v/>
      </c>
      <c r="D199" t="str">
        <f>IF('Equipment Information'!D199="","", 'Equipment Information'!D199)</f>
        <v/>
      </c>
      <c r="E199" t="str">
        <f>IF(A199="","", IFERROR(VLOOKUP(A199, 'Energized Data'!A:T, 20, FALSE), "N/A"))</f>
        <v/>
      </c>
      <c r="F199" t="str">
        <f>IF(A199="","", IFERROR(VLOOKUP(A199, Insulation!A:J, 9, FALSE), "N/A"))</f>
        <v/>
      </c>
      <c r="G199" t="str">
        <f>IF(A199="","", IFERROR(VLOOKUP(A199, DLRO!A:I, 8, FALSE), "N/A"))</f>
        <v/>
      </c>
      <c r="H199" t="str">
        <f>IF(A199="","", IFERROR(VLOOKUP(A199, Torque!A:I, 8, FALSE), "N/A"))</f>
        <v/>
      </c>
      <c r="I199" t="str">
        <f>IF(A199="","", IFERROR(VLOOKUP(A199, Infrared!A:G, 6, FALSE), "N/A"))</f>
        <v/>
      </c>
      <c r="J199" t="str">
        <f>IF(A199="","", IFERROR(VLOOKUP(A199, Ultrasonic!A:H, 7, FALSE), "N/A"))</f>
        <v/>
      </c>
      <c r="K199" t="str">
        <f>IF(A199="","", IFERROR(VLOOKUP(A199, 'Code Violations'!A:V, 22, FALSE), "N/A"))</f>
        <v/>
      </c>
      <c r="L199" t="str">
        <f t="shared" si="3"/>
        <v/>
      </c>
    </row>
    <row r="200" spans="1:12" x14ac:dyDescent="0.25">
      <c r="A200" t="str">
        <f>IF('Equipment Information'!A200="","", 'Equipment Information'!A200)</f>
        <v/>
      </c>
      <c r="B200" t="str">
        <f>IF('Equipment Information'!B200="","", 'Equipment Information'!B200)</f>
        <v/>
      </c>
      <c r="C200" t="str">
        <f>IF('Equipment Information'!C200="","", 'Equipment Information'!C200)</f>
        <v/>
      </c>
      <c r="D200" t="str">
        <f>IF('Equipment Information'!D200="","", 'Equipment Information'!D200)</f>
        <v/>
      </c>
      <c r="E200" t="str">
        <f>IF(A200="","", IFERROR(VLOOKUP(A200, 'Energized Data'!A:T, 20, FALSE), "N/A"))</f>
        <v/>
      </c>
      <c r="F200" t="str">
        <f>IF(A200="","", IFERROR(VLOOKUP(A200, Insulation!A:J, 9, FALSE), "N/A"))</f>
        <v/>
      </c>
      <c r="G200" t="str">
        <f>IF(A200="","", IFERROR(VLOOKUP(A200, DLRO!A:I, 8, FALSE), "N/A"))</f>
        <v/>
      </c>
      <c r="H200" t="str">
        <f>IF(A200="","", IFERROR(VLOOKUP(A200, Torque!A:I, 8, FALSE), "N/A"))</f>
        <v/>
      </c>
      <c r="I200" t="str">
        <f>IF(A200="","", IFERROR(VLOOKUP(A200, Infrared!A:G, 6, FALSE), "N/A"))</f>
        <v/>
      </c>
      <c r="J200" t="str">
        <f>IF(A200="","", IFERROR(VLOOKUP(A200, Ultrasonic!A:H, 7, FALSE), "N/A"))</f>
        <v/>
      </c>
      <c r="K200" t="str">
        <f>IF(A200="","", IFERROR(VLOOKUP(A200, 'Code Violations'!A:V, 22, FALSE), "N/A"))</f>
        <v/>
      </c>
      <c r="L200" t="str">
        <f t="shared" si="3"/>
        <v/>
      </c>
    </row>
    <row r="201" spans="1:12" x14ac:dyDescent="0.25">
      <c r="A201" t="str">
        <f>IF('Equipment Information'!A201="","", 'Equipment Information'!A201)</f>
        <v/>
      </c>
      <c r="B201" t="str">
        <f>IF('Equipment Information'!B201="","", 'Equipment Information'!B201)</f>
        <v/>
      </c>
      <c r="C201" t="str">
        <f>IF('Equipment Information'!C201="","", 'Equipment Information'!C201)</f>
        <v/>
      </c>
      <c r="D201" t="str">
        <f>IF('Equipment Information'!D201="","", 'Equipment Information'!D201)</f>
        <v/>
      </c>
      <c r="E201" t="str">
        <f>IF(A201="","", IFERROR(VLOOKUP(A201, 'Energized Data'!A:T, 20, FALSE), "N/A"))</f>
        <v/>
      </c>
      <c r="F201" t="str">
        <f>IF(A201="","", IFERROR(VLOOKUP(A201, Insulation!A:J, 9, FALSE), "N/A"))</f>
        <v/>
      </c>
      <c r="G201" t="str">
        <f>IF(A201="","", IFERROR(VLOOKUP(A201, DLRO!A:I, 8, FALSE), "N/A"))</f>
        <v/>
      </c>
      <c r="H201" t="str">
        <f>IF(A201="","", IFERROR(VLOOKUP(A201, Torque!A:I, 8, FALSE), "N/A"))</f>
        <v/>
      </c>
      <c r="I201" t="str">
        <f>IF(A201="","", IFERROR(VLOOKUP(A201, Infrared!A:G, 6, FALSE), "N/A"))</f>
        <v/>
      </c>
      <c r="J201" t="str">
        <f>IF(A201="","", IFERROR(VLOOKUP(A201, Ultrasonic!A:H, 7, FALSE), "N/A"))</f>
        <v/>
      </c>
      <c r="K201" t="str">
        <f>IF(A201="","", IFERROR(VLOOKUP(A201, 'Code Violations'!A:V, 22, FALSE), "N/A"))</f>
        <v/>
      </c>
      <c r="L201" t="str">
        <f t="shared" si="3"/>
        <v/>
      </c>
    </row>
    <row r="202" spans="1:12" x14ac:dyDescent="0.25">
      <c r="A202" t="str">
        <f>IF('Equipment Information'!A202="","", 'Equipment Information'!A202)</f>
        <v/>
      </c>
      <c r="B202" t="str">
        <f>IF('Equipment Information'!B202="","", 'Equipment Information'!B202)</f>
        <v/>
      </c>
      <c r="C202" t="str">
        <f>IF('Equipment Information'!C202="","", 'Equipment Information'!C202)</f>
        <v/>
      </c>
      <c r="D202" t="str">
        <f>IF('Equipment Information'!D202="","", 'Equipment Information'!D202)</f>
        <v/>
      </c>
      <c r="E202" t="str">
        <f>IF(A202="","", IFERROR(VLOOKUP(A202, 'Energized Data'!A:T, 20, FALSE), "N/A"))</f>
        <v/>
      </c>
      <c r="F202" t="str">
        <f>IF(A202="","", IFERROR(VLOOKUP(A202, Insulation!A:J, 9, FALSE), "N/A"))</f>
        <v/>
      </c>
      <c r="G202" t="str">
        <f>IF(A202="","", IFERROR(VLOOKUP(A202, DLRO!A:I, 8, FALSE), "N/A"))</f>
        <v/>
      </c>
      <c r="H202" t="str">
        <f>IF(A202="","", IFERROR(VLOOKUP(A202, Torque!A:I, 8, FALSE), "N/A"))</f>
        <v/>
      </c>
      <c r="I202" t="str">
        <f>IF(A202="","", IFERROR(VLOOKUP(A202, Infrared!A:G, 6, FALSE), "N/A"))</f>
        <v/>
      </c>
      <c r="J202" t="str">
        <f>IF(A202="","", IFERROR(VLOOKUP(A202, Ultrasonic!A:H, 7, FALSE), "N/A"))</f>
        <v/>
      </c>
      <c r="K202" t="str">
        <f>IF(A202="","", IFERROR(VLOOKUP(A202, 'Code Violations'!A:V, 22, FALSE), "N/A"))</f>
        <v/>
      </c>
      <c r="L202" t="str">
        <f t="shared" si="3"/>
        <v/>
      </c>
    </row>
    <row r="203" spans="1:12" x14ac:dyDescent="0.25">
      <c r="A203" t="str">
        <f>IF('Equipment Information'!A203="","", 'Equipment Information'!A203)</f>
        <v/>
      </c>
      <c r="B203" t="str">
        <f>IF('Equipment Information'!B203="","", 'Equipment Information'!B203)</f>
        <v/>
      </c>
      <c r="C203" t="str">
        <f>IF('Equipment Information'!C203="","", 'Equipment Information'!C203)</f>
        <v/>
      </c>
      <c r="D203" t="str">
        <f>IF('Equipment Information'!D203="","", 'Equipment Information'!D203)</f>
        <v/>
      </c>
      <c r="E203" t="str">
        <f>IF(A203="","", IFERROR(VLOOKUP(A203, 'Energized Data'!A:T, 20, FALSE), "N/A"))</f>
        <v/>
      </c>
      <c r="F203" t="str">
        <f>IF(A203="","", IFERROR(VLOOKUP(A203, Insulation!A:J, 9, FALSE), "N/A"))</f>
        <v/>
      </c>
      <c r="G203" t="str">
        <f>IF(A203="","", IFERROR(VLOOKUP(A203, DLRO!A:I, 8, FALSE), "N/A"))</f>
        <v/>
      </c>
      <c r="H203" t="str">
        <f>IF(A203="","", IFERROR(VLOOKUP(A203, Torque!A:I, 8, FALSE), "N/A"))</f>
        <v/>
      </c>
      <c r="I203" t="str">
        <f>IF(A203="","", IFERROR(VLOOKUP(A203, Infrared!A:G, 6, FALSE), "N/A"))</f>
        <v/>
      </c>
      <c r="J203" t="str">
        <f>IF(A203="","", IFERROR(VLOOKUP(A203, Ultrasonic!A:H, 7, FALSE), "N/A"))</f>
        <v/>
      </c>
      <c r="K203" t="str">
        <f>IF(A203="","", IFERROR(VLOOKUP(A203, 'Code Violations'!A:V, 22, FALSE), "N/A"))</f>
        <v/>
      </c>
      <c r="L203" t="str">
        <f t="shared" si="3"/>
        <v/>
      </c>
    </row>
    <row r="204" spans="1:12" x14ac:dyDescent="0.25">
      <c r="A204" t="str">
        <f>IF('Equipment Information'!A204="","", 'Equipment Information'!A204)</f>
        <v/>
      </c>
      <c r="B204" t="str">
        <f>IF('Equipment Information'!B204="","", 'Equipment Information'!B204)</f>
        <v/>
      </c>
      <c r="C204" t="str">
        <f>IF('Equipment Information'!C204="","", 'Equipment Information'!C204)</f>
        <v/>
      </c>
      <c r="D204" t="str">
        <f>IF('Equipment Information'!D204="","", 'Equipment Information'!D204)</f>
        <v/>
      </c>
      <c r="E204" t="str">
        <f>IF(A204="","", IFERROR(VLOOKUP(A204, 'Energized Data'!A:T, 20, FALSE), "N/A"))</f>
        <v/>
      </c>
      <c r="F204" t="str">
        <f>IF(A204="","", IFERROR(VLOOKUP(A204, Insulation!A:J, 9, FALSE), "N/A"))</f>
        <v/>
      </c>
      <c r="G204" t="str">
        <f>IF(A204="","", IFERROR(VLOOKUP(A204, DLRO!A:I, 8, FALSE), "N/A"))</f>
        <v/>
      </c>
      <c r="H204" t="str">
        <f>IF(A204="","", IFERROR(VLOOKUP(A204, Torque!A:I, 8, FALSE), "N/A"))</f>
        <v/>
      </c>
      <c r="I204" t="str">
        <f>IF(A204="","", IFERROR(VLOOKUP(A204, Infrared!A:G, 6, FALSE), "N/A"))</f>
        <v/>
      </c>
      <c r="J204" t="str">
        <f>IF(A204="","", IFERROR(VLOOKUP(A204, Ultrasonic!A:H, 7, FALSE), "N/A"))</f>
        <v/>
      </c>
      <c r="K204" t="str">
        <f>IF(A204="","", IFERROR(VLOOKUP(A204, 'Code Violations'!A:V, 22, FALSE), "N/A"))</f>
        <v/>
      </c>
      <c r="L204" t="str">
        <f t="shared" si="3"/>
        <v/>
      </c>
    </row>
    <row r="205" spans="1:12" x14ac:dyDescent="0.25">
      <c r="A205" t="str">
        <f>IF('Equipment Information'!A205="","", 'Equipment Information'!A205)</f>
        <v/>
      </c>
      <c r="B205" t="str">
        <f>IF('Equipment Information'!B205="","", 'Equipment Information'!B205)</f>
        <v/>
      </c>
      <c r="C205" t="str">
        <f>IF('Equipment Information'!C205="","", 'Equipment Information'!C205)</f>
        <v/>
      </c>
      <c r="D205" t="str">
        <f>IF('Equipment Information'!D205="","", 'Equipment Information'!D205)</f>
        <v/>
      </c>
      <c r="E205" t="str">
        <f>IF(A205="","", IFERROR(VLOOKUP(A205, 'Energized Data'!A:T, 20, FALSE), "N/A"))</f>
        <v/>
      </c>
      <c r="F205" t="str">
        <f>IF(A205="","", IFERROR(VLOOKUP(A205, Insulation!A:J, 9, FALSE), "N/A"))</f>
        <v/>
      </c>
      <c r="G205" t="str">
        <f>IF(A205="","", IFERROR(VLOOKUP(A205, DLRO!A:I, 8, FALSE), "N/A"))</f>
        <v/>
      </c>
      <c r="H205" t="str">
        <f>IF(A205="","", IFERROR(VLOOKUP(A205, Torque!A:I, 8, FALSE), "N/A"))</f>
        <v/>
      </c>
      <c r="I205" t="str">
        <f>IF(A205="","", IFERROR(VLOOKUP(A205, Infrared!A:G, 6, FALSE), "N/A"))</f>
        <v/>
      </c>
      <c r="J205" t="str">
        <f>IF(A205="","", IFERROR(VLOOKUP(A205, Ultrasonic!A:H, 7, FALSE), "N/A"))</f>
        <v/>
      </c>
      <c r="K205" t="str">
        <f>IF(A205="","", IFERROR(VLOOKUP(A205, 'Code Violations'!A:V, 22, FALSE), "N/A"))</f>
        <v/>
      </c>
      <c r="L205" t="str">
        <f t="shared" si="3"/>
        <v/>
      </c>
    </row>
    <row r="206" spans="1:12" x14ac:dyDescent="0.25">
      <c r="A206" t="str">
        <f>IF('Equipment Information'!A206="","", 'Equipment Information'!A206)</f>
        <v/>
      </c>
      <c r="B206" t="str">
        <f>IF('Equipment Information'!B206="","", 'Equipment Information'!B206)</f>
        <v/>
      </c>
      <c r="C206" t="str">
        <f>IF('Equipment Information'!C206="","", 'Equipment Information'!C206)</f>
        <v/>
      </c>
      <c r="D206" t="str">
        <f>IF('Equipment Information'!D206="","", 'Equipment Information'!D206)</f>
        <v/>
      </c>
      <c r="E206" t="str">
        <f>IF(A206="","", IFERROR(VLOOKUP(A206, 'Energized Data'!A:T, 20, FALSE), "N/A"))</f>
        <v/>
      </c>
      <c r="F206" t="str">
        <f>IF(A206="","", IFERROR(VLOOKUP(A206, Insulation!A:J, 9, FALSE), "N/A"))</f>
        <v/>
      </c>
      <c r="G206" t="str">
        <f>IF(A206="","", IFERROR(VLOOKUP(A206, DLRO!A:I, 8, FALSE), "N/A"))</f>
        <v/>
      </c>
      <c r="H206" t="str">
        <f>IF(A206="","", IFERROR(VLOOKUP(A206, Torque!A:I, 8, FALSE), "N/A"))</f>
        <v/>
      </c>
      <c r="I206" t="str">
        <f>IF(A206="","", IFERROR(VLOOKUP(A206, Infrared!A:G, 6, FALSE), "N/A"))</f>
        <v/>
      </c>
      <c r="J206" t="str">
        <f>IF(A206="","", IFERROR(VLOOKUP(A206, Ultrasonic!A:H, 7, FALSE), "N/A"))</f>
        <v/>
      </c>
      <c r="K206" t="str">
        <f>IF(A206="","", IFERROR(VLOOKUP(A206, 'Code Violations'!A:V, 22, FALSE), "N/A"))</f>
        <v/>
      </c>
      <c r="L206" t="str">
        <f t="shared" si="3"/>
        <v/>
      </c>
    </row>
    <row r="207" spans="1:12" x14ac:dyDescent="0.25">
      <c r="A207" t="str">
        <f>IF('Equipment Information'!A207="","", 'Equipment Information'!A207)</f>
        <v/>
      </c>
      <c r="B207" t="str">
        <f>IF('Equipment Information'!B207="","", 'Equipment Information'!B207)</f>
        <v/>
      </c>
      <c r="C207" t="str">
        <f>IF('Equipment Information'!C207="","", 'Equipment Information'!C207)</f>
        <v/>
      </c>
      <c r="D207" t="str">
        <f>IF('Equipment Information'!D207="","", 'Equipment Information'!D207)</f>
        <v/>
      </c>
      <c r="E207" t="str">
        <f>IF(A207="","", IFERROR(VLOOKUP(A207, 'Energized Data'!A:T, 20, FALSE), "N/A"))</f>
        <v/>
      </c>
      <c r="F207" t="str">
        <f>IF(A207="","", IFERROR(VLOOKUP(A207, Insulation!A:J, 9, FALSE), "N/A"))</f>
        <v/>
      </c>
      <c r="G207" t="str">
        <f>IF(A207="","", IFERROR(VLOOKUP(A207, DLRO!A:I, 8, FALSE), "N/A"))</f>
        <v/>
      </c>
      <c r="H207" t="str">
        <f>IF(A207="","", IFERROR(VLOOKUP(A207, Torque!A:I, 8, FALSE), "N/A"))</f>
        <v/>
      </c>
      <c r="I207" t="str">
        <f>IF(A207="","", IFERROR(VLOOKUP(A207, Infrared!A:G, 6, FALSE), "N/A"))</f>
        <v/>
      </c>
      <c r="J207" t="str">
        <f>IF(A207="","", IFERROR(VLOOKUP(A207, Ultrasonic!A:H, 7, FALSE), "N/A"))</f>
        <v/>
      </c>
      <c r="K207" t="str">
        <f>IF(A207="","", IFERROR(VLOOKUP(A207, 'Code Violations'!A:V, 22, FALSE), "N/A"))</f>
        <v/>
      </c>
      <c r="L207" t="str">
        <f t="shared" si="3"/>
        <v/>
      </c>
    </row>
    <row r="208" spans="1:12" x14ac:dyDescent="0.25">
      <c r="A208" t="str">
        <f>IF('Equipment Information'!A208="","", 'Equipment Information'!A208)</f>
        <v/>
      </c>
      <c r="B208" t="str">
        <f>IF('Equipment Information'!B208="","", 'Equipment Information'!B208)</f>
        <v/>
      </c>
      <c r="C208" t="str">
        <f>IF('Equipment Information'!C208="","", 'Equipment Information'!C208)</f>
        <v/>
      </c>
      <c r="D208" t="str">
        <f>IF('Equipment Information'!D208="","", 'Equipment Information'!D208)</f>
        <v/>
      </c>
      <c r="E208" t="str">
        <f>IF(A208="","", IFERROR(VLOOKUP(A208, 'Energized Data'!A:T, 20, FALSE), "N/A"))</f>
        <v/>
      </c>
      <c r="F208" t="str">
        <f>IF(A208="","", IFERROR(VLOOKUP(A208, Insulation!A:J, 9, FALSE), "N/A"))</f>
        <v/>
      </c>
      <c r="G208" t="str">
        <f>IF(A208="","", IFERROR(VLOOKUP(A208, DLRO!A:I, 8, FALSE), "N/A"))</f>
        <v/>
      </c>
      <c r="H208" t="str">
        <f>IF(A208="","", IFERROR(VLOOKUP(A208, Torque!A:I, 8, FALSE), "N/A"))</f>
        <v/>
      </c>
      <c r="I208" t="str">
        <f>IF(A208="","", IFERROR(VLOOKUP(A208, Infrared!A:G, 6, FALSE), "N/A"))</f>
        <v/>
      </c>
      <c r="J208" t="str">
        <f>IF(A208="","", IFERROR(VLOOKUP(A208, Ultrasonic!A:H, 7, FALSE), "N/A"))</f>
        <v/>
      </c>
      <c r="K208" t="str">
        <f>IF(A208="","", IFERROR(VLOOKUP(A208, 'Code Violations'!A:V, 22, FALSE), "N/A"))</f>
        <v/>
      </c>
      <c r="L208" t="str">
        <f t="shared" si="3"/>
        <v/>
      </c>
    </row>
    <row r="209" spans="1:12" x14ac:dyDescent="0.25">
      <c r="A209" t="str">
        <f>IF('Equipment Information'!A209="","", 'Equipment Information'!A209)</f>
        <v/>
      </c>
      <c r="B209" t="str">
        <f>IF('Equipment Information'!B209="","", 'Equipment Information'!B209)</f>
        <v/>
      </c>
      <c r="C209" t="str">
        <f>IF('Equipment Information'!C209="","", 'Equipment Information'!C209)</f>
        <v/>
      </c>
      <c r="D209" t="str">
        <f>IF('Equipment Information'!D209="","", 'Equipment Information'!D209)</f>
        <v/>
      </c>
      <c r="E209" t="str">
        <f>IF(A209="","", IFERROR(VLOOKUP(A209, 'Energized Data'!A:T, 20, FALSE), "N/A"))</f>
        <v/>
      </c>
      <c r="F209" t="str">
        <f>IF(A209="","", IFERROR(VLOOKUP(A209, Insulation!A:J, 9, FALSE), "N/A"))</f>
        <v/>
      </c>
      <c r="G209" t="str">
        <f>IF(A209="","", IFERROR(VLOOKUP(A209, DLRO!A:I, 8, FALSE), "N/A"))</f>
        <v/>
      </c>
      <c r="H209" t="str">
        <f>IF(A209="","", IFERROR(VLOOKUP(A209, Torque!A:I, 8, FALSE), "N/A"))</f>
        <v/>
      </c>
      <c r="I209" t="str">
        <f>IF(A209="","", IFERROR(VLOOKUP(A209, Infrared!A:G, 6, FALSE), "N/A"))</f>
        <v/>
      </c>
      <c r="J209" t="str">
        <f>IF(A209="","", IFERROR(VLOOKUP(A209, Ultrasonic!A:H, 7, FALSE), "N/A"))</f>
        <v/>
      </c>
      <c r="K209" t="str">
        <f>IF(A209="","", IFERROR(VLOOKUP(A209, 'Code Violations'!A:V, 22, FALSE), "N/A"))</f>
        <v/>
      </c>
      <c r="L209" t="str">
        <f t="shared" si="3"/>
        <v/>
      </c>
    </row>
    <row r="210" spans="1:12" x14ac:dyDescent="0.25">
      <c r="A210" t="str">
        <f>IF('Equipment Information'!A210="","", 'Equipment Information'!A210)</f>
        <v/>
      </c>
      <c r="B210" t="str">
        <f>IF('Equipment Information'!B210="","", 'Equipment Information'!B210)</f>
        <v/>
      </c>
      <c r="C210" t="str">
        <f>IF('Equipment Information'!C210="","", 'Equipment Information'!C210)</f>
        <v/>
      </c>
      <c r="D210" t="str">
        <f>IF('Equipment Information'!D210="","", 'Equipment Information'!D210)</f>
        <v/>
      </c>
      <c r="E210" t="str">
        <f>IF(A210="","", IFERROR(VLOOKUP(A210, 'Energized Data'!A:T, 20, FALSE), "N/A"))</f>
        <v/>
      </c>
      <c r="F210" t="str">
        <f>IF(A210="","", IFERROR(VLOOKUP(A210, Insulation!A:J, 9, FALSE), "N/A"))</f>
        <v/>
      </c>
      <c r="G210" t="str">
        <f>IF(A210="","", IFERROR(VLOOKUP(A210, DLRO!A:I, 8, FALSE), "N/A"))</f>
        <v/>
      </c>
      <c r="H210" t="str">
        <f>IF(A210="","", IFERROR(VLOOKUP(A210, Torque!A:I, 8, FALSE), "N/A"))</f>
        <v/>
      </c>
      <c r="I210" t="str">
        <f>IF(A210="","", IFERROR(VLOOKUP(A210, Infrared!A:G, 6, FALSE), "N/A"))</f>
        <v/>
      </c>
      <c r="J210" t="str">
        <f>IF(A210="","", IFERROR(VLOOKUP(A210, Ultrasonic!A:H, 7, FALSE), "N/A"))</f>
        <v/>
      </c>
      <c r="K210" t="str">
        <f>IF(A210="","", IFERROR(VLOOKUP(A210, 'Code Violations'!A:V, 22, FALSE), "N/A"))</f>
        <v/>
      </c>
      <c r="L210" t="str">
        <f t="shared" si="3"/>
        <v/>
      </c>
    </row>
    <row r="211" spans="1:12" x14ac:dyDescent="0.25">
      <c r="A211" t="str">
        <f>IF('Equipment Information'!A211="","", 'Equipment Information'!A211)</f>
        <v/>
      </c>
      <c r="B211" t="str">
        <f>IF('Equipment Information'!B211="","", 'Equipment Information'!B211)</f>
        <v/>
      </c>
      <c r="C211" t="str">
        <f>IF('Equipment Information'!C211="","", 'Equipment Information'!C211)</f>
        <v/>
      </c>
      <c r="D211" t="str">
        <f>IF('Equipment Information'!D211="","", 'Equipment Information'!D211)</f>
        <v/>
      </c>
      <c r="E211" t="str">
        <f>IF(A211="","", IFERROR(VLOOKUP(A211, 'Energized Data'!A:T, 20, FALSE), "N/A"))</f>
        <v/>
      </c>
      <c r="F211" t="str">
        <f>IF(A211="","", IFERROR(VLOOKUP(A211, Insulation!A:J, 9, FALSE), "N/A"))</f>
        <v/>
      </c>
      <c r="G211" t="str">
        <f>IF(A211="","", IFERROR(VLOOKUP(A211, DLRO!A:I, 8, FALSE), "N/A"))</f>
        <v/>
      </c>
      <c r="H211" t="str">
        <f>IF(A211="","", IFERROR(VLOOKUP(A211, Torque!A:I, 8, FALSE), "N/A"))</f>
        <v/>
      </c>
      <c r="I211" t="str">
        <f>IF(A211="","", IFERROR(VLOOKUP(A211, Infrared!A:G, 6, FALSE), "N/A"))</f>
        <v/>
      </c>
      <c r="J211" t="str">
        <f>IF(A211="","", IFERROR(VLOOKUP(A211, Ultrasonic!A:H, 7, FALSE), "N/A"))</f>
        <v/>
      </c>
      <c r="K211" t="str">
        <f>IF(A211="","", IFERROR(VLOOKUP(A211, 'Code Violations'!A:V, 22, FALSE), "N/A"))</f>
        <v/>
      </c>
      <c r="L211" t="str">
        <f t="shared" si="3"/>
        <v/>
      </c>
    </row>
    <row r="212" spans="1:12" x14ac:dyDescent="0.25">
      <c r="A212" t="str">
        <f>IF('Equipment Information'!A212="","", 'Equipment Information'!A212)</f>
        <v/>
      </c>
      <c r="B212" t="str">
        <f>IF('Equipment Information'!B212="","", 'Equipment Information'!B212)</f>
        <v/>
      </c>
      <c r="C212" t="str">
        <f>IF('Equipment Information'!C212="","", 'Equipment Information'!C212)</f>
        <v/>
      </c>
      <c r="D212" t="str">
        <f>IF('Equipment Information'!D212="","", 'Equipment Information'!D212)</f>
        <v/>
      </c>
      <c r="E212" t="str">
        <f>IF(A212="","", IFERROR(VLOOKUP(A212, 'Energized Data'!A:T, 20, FALSE), "N/A"))</f>
        <v/>
      </c>
      <c r="F212" t="str">
        <f>IF(A212="","", IFERROR(VLOOKUP(A212, Insulation!A:J, 9, FALSE), "N/A"))</f>
        <v/>
      </c>
      <c r="G212" t="str">
        <f>IF(A212="","", IFERROR(VLOOKUP(A212, DLRO!A:I, 8, FALSE), "N/A"))</f>
        <v/>
      </c>
      <c r="H212" t="str">
        <f>IF(A212="","", IFERROR(VLOOKUP(A212, Torque!A:I, 8, FALSE), "N/A"))</f>
        <v/>
      </c>
      <c r="I212" t="str">
        <f>IF(A212="","", IFERROR(VLOOKUP(A212, Infrared!A:G, 6, FALSE), "N/A"))</f>
        <v/>
      </c>
      <c r="J212" t="str">
        <f>IF(A212="","", IFERROR(VLOOKUP(A212, Ultrasonic!A:H, 7, FALSE), "N/A"))</f>
        <v/>
      </c>
      <c r="K212" t="str">
        <f>IF(A212="","", IFERROR(VLOOKUP(A212, 'Code Violations'!A:V, 22, FALSE), "N/A"))</f>
        <v/>
      </c>
      <c r="L212" t="str">
        <f t="shared" si="3"/>
        <v/>
      </c>
    </row>
    <row r="213" spans="1:12" x14ac:dyDescent="0.25">
      <c r="A213" t="str">
        <f>IF('Equipment Information'!A213="","", 'Equipment Information'!A213)</f>
        <v/>
      </c>
      <c r="B213" t="str">
        <f>IF('Equipment Information'!B213="","", 'Equipment Information'!B213)</f>
        <v/>
      </c>
      <c r="C213" t="str">
        <f>IF('Equipment Information'!C213="","", 'Equipment Information'!C213)</f>
        <v/>
      </c>
      <c r="D213" t="str">
        <f>IF('Equipment Information'!D213="","", 'Equipment Information'!D213)</f>
        <v/>
      </c>
      <c r="E213" t="str">
        <f>IF(A213="","", IFERROR(VLOOKUP(A213, 'Energized Data'!A:T, 20, FALSE), "N/A"))</f>
        <v/>
      </c>
      <c r="F213" t="str">
        <f>IF(A213="","", IFERROR(VLOOKUP(A213, Insulation!A:J, 9, FALSE), "N/A"))</f>
        <v/>
      </c>
      <c r="G213" t="str">
        <f>IF(A213="","", IFERROR(VLOOKUP(A213, DLRO!A:I, 8, FALSE), "N/A"))</f>
        <v/>
      </c>
      <c r="H213" t="str">
        <f>IF(A213="","", IFERROR(VLOOKUP(A213, Torque!A:I, 8, FALSE), "N/A"))</f>
        <v/>
      </c>
      <c r="I213" t="str">
        <f>IF(A213="","", IFERROR(VLOOKUP(A213, Infrared!A:G, 6, FALSE), "N/A"))</f>
        <v/>
      </c>
      <c r="J213" t="str">
        <f>IF(A213="","", IFERROR(VLOOKUP(A213, Ultrasonic!A:H, 7, FALSE), "N/A"))</f>
        <v/>
      </c>
      <c r="K213" t="str">
        <f>IF(A213="","", IFERROR(VLOOKUP(A213, 'Code Violations'!A:V, 22, FALSE), "N/A"))</f>
        <v/>
      </c>
      <c r="L213" t="str">
        <f t="shared" si="3"/>
        <v/>
      </c>
    </row>
    <row r="214" spans="1:12" x14ac:dyDescent="0.25">
      <c r="A214" t="str">
        <f>IF('Equipment Information'!A214="","", 'Equipment Information'!A214)</f>
        <v/>
      </c>
      <c r="B214" t="str">
        <f>IF('Equipment Information'!B214="","", 'Equipment Information'!B214)</f>
        <v/>
      </c>
      <c r="C214" t="str">
        <f>IF('Equipment Information'!C214="","", 'Equipment Information'!C214)</f>
        <v/>
      </c>
      <c r="D214" t="str">
        <f>IF('Equipment Information'!D214="","", 'Equipment Information'!D214)</f>
        <v/>
      </c>
      <c r="E214" t="str">
        <f>IF(A214="","", IFERROR(VLOOKUP(A214, 'Energized Data'!A:T, 20, FALSE), "N/A"))</f>
        <v/>
      </c>
      <c r="F214" t="str">
        <f>IF(A214="","", IFERROR(VLOOKUP(A214, Insulation!A:J, 9, FALSE), "N/A"))</f>
        <v/>
      </c>
      <c r="G214" t="str">
        <f>IF(A214="","", IFERROR(VLOOKUP(A214, DLRO!A:I, 8, FALSE), "N/A"))</f>
        <v/>
      </c>
      <c r="H214" t="str">
        <f>IF(A214="","", IFERROR(VLOOKUP(A214, Torque!A:I, 8, FALSE), "N/A"))</f>
        <v/>
      </c>
      <c r="I214" t="str">
        <f>IF(A214="","", IFERROR(VLOOKUP(A214, Infrared!A:G, 6, FALSE), "N/A"))</f>
        <v/>
      </c>
      <c r="J214" t="str">
        <f>IF(A214="","", IFERROR(VLOOKUP(A214, Ultrasonic!A:H, 7, FALSE), "N/A"))</f>
        <v/>
      </c>
      <c r="K214" t="str">
        <f>IF(A214="","", IFERROR(VLOOKUP(A214, 'Code Violations'!A:V, 22, FALSE), "N/A"))</f>
        <v/>
      </c>
      <c r="L214" t="str">
        <f t="shared" si="3"/>
        <v/>
      </c>
    </row>
    <row r="215" spans="1:12" x14ac:dyDescent="0.25">
      <c r="A215" t="str">
        <f>IF('Equipment Information'!A215="","", 'Equipment Information'!A215)</f>
        <v/>
      </c>
      <c r="B215" t="str">
        <f>IF('Equipment Information'!B215="","", 'Equipment Information'!B215)</f>
        <v/>
      </c>
      <c r="C215" t="str">
        <f>IF('Equipment Information'!C215="","", 'Equipment Information'!C215)</f>
        <v/>
      </c>
      <c r="D215" t="str">
        <f>IF('Equipment Information'!D215="","", 'Equipment Information'!D215)</f>
        <v/>
      </c>
      <c r="E215" t="str">
        <f>IF(A215="","", IFERROR(VLOOKUP(A215, 'Energized Data'!A:T, 20, FALSE), "N/A"))</f>
        <v/>
      </c>
      <c r="F215" t="str">
        <f>IF(A215="","", IFERROR(VLOOKUP(A215, Insulation!A:J, 9, FALSE), "N/A"))</f>
        <v/>
      </c>
      <c r="G215" t="str">
        <f>IF(A215="","", IFERROR(VLOOKUP(A215, DLRO!A:I, 8, FALSE), "N/A"))</f>
        <v/>
      </c>
      <c r="H215" t="str">
        <f>IF(A215="","", IFERROR(VLOOKUP(A215, Torque!A:I, 8, FALSE), "N/A"))</f>
        <v/>
      </c>
      <c r="I215" t="str">
        <f>IF(A215="","", IFERROR(VLOOKUP(A215, Infrared!A:G, 6, FALSE), "N/A"))</f>
        <v/>
      </c>
      <c r="J215" t="str">
        <f>IF(A215="","", IFERROR(VLOOKUP(A215, Ultrasonic!A:H, 7, FALSE), "N/A"))</f>
        <v/>
      </c>
      <c r="K215" t="str">
        <f>IF(A215="","", IFERROR(VLOOKUP(A215, 'Code Violations'!A:V, 22, FALSE), "N/A"))</f>
        <v/>
      </c>
      <c r="L215" t="str">
        <f t="shared" si="3"/>
        <v/>
      </c>
    </row>
    <row r="216" spans="1:12" x14ac:dyDescent="0.25">
      <c r="A216" t="str">
        <f>IF('Equipment Information'!A216="","", 'Equipment Information'!A216)</f>
        <v/>
      </c>
      <c r="B216" t="str">
        <f>IF('Equipment Information'!B216="","", 'Equipment Information'!B216)</f>
        <v/>
      </c>
      <c r="C216" t="str">
        <f>IF('Equipment Information'!C216="","", 'Equipment Information'!C216)</f>
        <v/>
      </c>
      <c r="D216" t="str">
        <f>IF('Equipment Information'!D216="","", 'Equipment Information'!D216)</f>
        <v/>
      </c>
      <c r="E216" t="str">
        <f>IF(A216="","", IFERROR(VLOOKUP(A216, 'Energized Data'!A:T, 20, FALSE), "N/A"))</f>
        <v/>
      </c>
      <c r="F216" t="str">
        <f>IF(A216="","", IFERROR(VLOOKUP(A216, Insulation!A:J, 9, FALSE), "N/A"))</f>
        <v/>
      </c>
      <c r="G216" t="str">
        <f>IF(A216="","", IFERROR(VLOOKUP(A216, DLRO!A:I, 8, FALSE), "N/A"))</f>
        <v/>
      </c>
      <c r="H216" t="str">
        <f>IF(A216="","", IFERROR(VLOOKUP(A216, Torque!A:I, 8, FALSE), "N/A"))</f>
        <v/>
      </c>
      <c r="I216" t="str">
        <f>IF(A216="","", IFERROR(VLOOKUP(A216, Infrared!A:G, 6, FALSE), "N/A"))</f>
        <v/>
      </c>
      <c r="J216" t="str">
        <f>IF(A216="","", IFERROR(VLOOKUP(A216, Ultrasonic!A:H, 7, FALSE), "N/A"))</f>
        <v/>
      </c>
      <c r="K216" t="str">
        <f>IF(A216="","", IFERROR(VLOOKUP(A216, 'Code Violations'!A:V, 22, FALSE), "N/A"))</f>
        <v/>
      </c>
      <c r="L216" t="str">
        <f t="shared" si="3"/>
        <v/>
      </c>
    </row>
    <row r="217" spans="1:12" x14ac:dyDescent="0.25">
      <c r="A217" t="str">
        <f>IF('Equipment Information'!A217="","", 'Equipment Information'!A217)</f>
        <v/>
      </c>
      <c r="B217" t="str">
        <f>IF('Equipment Information'!B217="","", 'Equipment Information'!B217)</f>
        <v/>
      </c>
      <c r="C217" t="str">
        <f>IF('Equipment Information'!C217="","", 'Equipment Information'!C217)</f>
        <v/>
      </c>
      <c r="D217" t="str">
        <f>IF('Equipment Information'!D217="","", 'Equipment Information'!D217)</f>
        <v/>
      </c>
      <c r="E217" t="str">
        <f>IF(A217="","", IFERROR(VLOOKUP(A217, 'Energized Data'!A:T, 20, FALSE), "N/A"))</f>
        <v/>
      </c>
      <c r="F217" t="str">
        <f>IF(A217="","", IFERROR(VLOOKUP(A217, Insulation!A:J, 9, FALSE), "N/A"))</f>
        <v/>
      </c>
      <c r="G217" t="str">
        <f>IF(A217="","", IFERROR(VLOOKUP(A217, DLRO!A:I, 8, FALSE), "N/A"))</f>
        <v/>
      </c>
      <c r="H217" t="str">
        <f>IF(A217="","", IFERROR(VLOOKUP(A217, Torque!A:I, 8, FALSE), "N/A"))</f>
        <v/>
      </c>
      <c r="I217" t="str">
        <f>IF(A217="","", IFERROR(VLOOKUP(A217, Infrared!A:G, 6, FALSE), "N/A"))</f>
        <v/>
      </c>
      <c r="J217" t="str">
        <f>IF(A217="","", IFERROR(VLOOKUP(A217, Ultrasonic!A:H, 7, FALSE), "N/A"))</f>
        <v/>
      </c>
      <c r="K217" t="str">
        <f>IF(A217="","", IFERROR(VLOOKUP(A217, 'Code Violations'!A:V, 22, FALSE), "N/A"))</f>
        <v/>
      </c>
      <c r="L217" t="str">
        <f t="shared" si="3"/>
        <v/>
      </c>
    </row>
    <row r="218" spans="1:12" x14ac:dyDescent="0.25">
      <c r="A218" t="str">
        <f>IF('Equipment Information'!A218="","", 'Equipment Information'!A218)</f>
        <v/>
      </c>
      <c r="B218" t="str">
        <f>IF('Equipment Information'!B218="","", 'Equipment Information'!B218)</f>
        <v/>
      </c>
      <c r="C218" t="str">
        <f>IF('Equipment Information'!C218="","", 'Equipment Information'!C218)</f>
        <v/>
      </c>
      <c r="D218" t="str">
        <f>IF('Equipment Information'!D218="","", 'Equipment Information'!D218)</f>
        <v/>
      </c>
      <c r="E218" t="str">
        <f>IF(A218="","", IFERROR(VLOOKUP(A218, 'Energized Data'!A:T, 20, FALSE), "N/A"))</f>
        <v/>
      </c>
      <c r="F218" t="str">
        <f>IF(A218="","", IFERROR(VLOOKUP(A218, Insulation!A:J, 9, FALSE), "N/A"))</f>
        <v/>
      </c>
      <c r="G218" t="str">
        <f>IF(A218="","", IFERROR(VLOOKUP(A218, DLRO!A:I, 8, FALSE), "N/A"))</f>
        <v/>
      </c>
      <c r="H218" t="str">
        <f>IF(A218="","", IFERROR(VLOOKUP(A218, Torque!A:I, 8, FALSE), "N/A"))</f>
        <v/>
      </c>
      <c r="I218" t="str">
        <f>IF(A218="","", IFERROR(VLOOKUP(A218, Infrared!A:G, 6, FALSE), "N/A"))</f>
        <v/>
      </c>
      <c r="J218" t="str">
        <f>IF(A218="","", IFERROR(VLOOKUP(A218, Ultrasonic!A:H, 7, FALSE), "N/A"))</f>
        <v/>
      </c>
      <c r="K218" t="str">
        <f>IF(A218="","", IFERROR(VLOOKUP(A218, 'Code Violations'!A:V, 22, FALSE), "N/A"))</f>
        <v/>
      </c>
      <c r="L218" t="str">
        <f t="shared" si="3"/>
        <v/>
      </c>
    </row>
    <row r="219" spans="1:12" x14ac:dyDescent="0.25">
      <c r="A219" t="str">
        <f>IF('Equipment Information'!A219="","", 'Equipment Information'!A219)</f>
        <v/>
      </c>
      <c r="B219" t="str">
        <f>IF('Equipment Information'!B219="","", 'Equipment Information'!B219)</f>
        <v/>
      </c>
      <c r="C219" t="str">
        <f>IF('Equipment Information'!C219="","", 'Equipment Information'!C219)</f>
        <v/>
      </c>
      <c r="D219" t="str">
        <f>IF('Equipment Information'!D219="","", 'Equipment Information'!D219)</f>
        <v/>
      </c>
      <c r="E219" t="str">
        <f>IF(A219="","", IFERROR(VLOOKUP(A219, 'Energized Data'!A:T, 20, FALSE), "N/A"))</f>
        <v/>
      </c>
      <c r="F219" t="str">
        <f>IF(A219="","", IFERROR(VLOOKUP(A219, Insulation!A:J, 9, FALSE), "N/A"))</f>
        <v/>
      </c>
      <c r="G219" t="str">
        <f>IF(A219="","", IFERROR(VLOOKUP(A219, DLRO!A:I, 8, FALSE), "N/A"))</f>
        <v/>
      </c>
      <c r="H219" t="str">
        <f>IF(A219="","", IFERROR(VLOOKUP(A219, Torque!A:I, 8, FALSE), "N/A"))</f>
        <v/>
      </c>
      <c r="I219" t="str">
        <f>IF(A219="","", IFERROR(VLOOKUP(A219, Infrared!A:G, 6, FALSE), "N/A"))</f>
        <v/>
      </c>
      <c r="J219" t="str">
        <f>IF(A219="","", IFERROR(VLOOKUP(A219, Ultrasonic!A:H, 7, FALSE), "N/A"))</f>
        <v/>
      </c>
      <c r="K219" t="str">
        <f>IF(A219="","", IFERROR(VLOOKUP(A219, 'Code Violations'!A:V, 22, FALSE), "N/A"))</f>
        <v/>
      </c>
      <c r="L219" t="str">
        <f t="shared" si="3"/>
        <v/>
      </c>
    </row>
    <row r="220" spans="1:12" x14ac:dyDescent="0.25">
      <c r="A220" t="str">
        <f>IF('Equipment Information'!A220="","", 'Equipment Information'!A220)</f>
        <v/>
      </c>
      <c r="B220" t="str">
        <f>IF('Equipment Information'!B220="","", 'Equipment Information'!B220)</f>
        <v/>
      </c>
      <c r="C220" t="str">
        <f>IF('Equipment Information'!C220="","", 'Equipment Information'!C220)</f>
        <v/>
      </c>
      <c r="D220" t="str">
        <f>IF('Equipment Information'!D220="","", 'Equipment Information'!D220)</f>
        <v/>
      </c>
      <c r="E220" t="str">
        <f>IF(A220="","", IFERROR(VLOOKUP(A220, 'Energized Data'!A:T, 20, FALSE), "N/A"))</f>
        <v/>
      </c>
      <c r="F220" t="str">
        <f>IF(A220="","", IFERROR(VLOOKUP(A220, Insulation!A:J, 9, FALSE), "N/A"))</f>
        <v/>
      </c>
      <c r="G220" t="str">
        <f>IF(A220="","", IFERROR(VLOOKUP(A220, DLRO!A:I, 8, FALSE), "N/A"))</f>
        <v/>
      </c>
      <c r="H220" t="str">
        <f>IF(A220="","", IFERROR(VLOOKUP(A220, Torque!A:I, 8, FALSE), "N/A"))</f>
        <v/>
      </c>
      <c r="I220" t="str">
        <f>IF(A220="","", IFERROR(VLOOKUP(A220, Infrared!A:G, 6, FALSE), "N/A"))</f>
        <v/>
      </c>
      <c r="J220" t="str">
        <f>IF(A220="","", IFERROR(VLOOKUP(A220, Ultrasonic!A:H, 7, FALSE), "N/A"))</f>
        <v/>
      </c>
      <c r="K220" t="str">
        <f>IF(A220="","", IFERROR(VLOOKUP(A220, 'Code Violations'!A:V, 22, FALSE), "N/A"))</f>
        <v/>
      </c>
      <c r="L220" t="str">
        <f t="shared" si="3"/>
        <v/>
      </c>
    </row>
    <row r="221" spans="1:12" x14ac:dyDescent="0.25">
      <c r="A221" t="str">
        <f>IF('Equipment Information'!A221="","", 'Equipment Information'!A221)</f>
        <v/>
      </c>
      <c r="B221" t="str">
        <f>IF('Equipment Information'!B221="","", 'Equipment Information'!B221)</f>
        <v/>
      </c>
      <c r="C221" t="str">
        <f>IF('Equipment Information'!C221="","", 'Equipment Information'!C221)</f>
        <v/>
      </c>
      <c r="D221" t="str">
        <f>IF('Equipment Information'!D221="","", 'Equipment Information'!D221)</f>
        <v/>
      </c>
      <c r="E221" t="str">
        <f>IF(A221="","", IFERROR(VLOOKUP(A221, 'Energized Data'!A:T, 20, FALSE), "N/A"))</f>
        <v/>
      </c>
      <c r="F221" t="str">
        <f>IF(A221="","", IFERROR(VLOOKUP(A221, Insulation!A:J, 9, FALSE), "N/A"))</f>
        <v/>
      </c>
      <c r="G221" t="str">
        <f>IF(A221="","", IFERROR(VLOOKUP(A221, DLRO!A:I, 8, FALSE), "N/A"))</f>
        <v/>
      </c>
      <c r="H221" t="str">
        <f>IF(A221="","", IFERROR(VLOOKUP(A221, Torque!A:I, 8, FALSE), "N/A"))</f>
        <v/>
      </c>
      <c r="I221" t="str">
        <f>IF(A221="","", IFERROR(VLOOKUP(A221, Infrared!A:G, 6, FALSE), "N/A"))</f>
        <v/>
      </c>
      <c r="J221" t="str">
        <f>IF(A221="","", IFERROR(VLOOKUP(A221, Ultrasonic!A:H, 7, FALSE), "N/A"))</f>
        <v/>
      </c>
      <c r="K221" t="str">
        <f>IF(A221="","", IFERROR(VLOOKUP(A221, 'Code Violations'!A:V, 22, FALSE), "N/A"))</f>
        <v/>
      </c>
      <c r="L221" t="str">
        <f t="shared" si="3"/>
        <v/>
      </c>
    </row>
    <row r="222" spans="1:12" x14ac:dyDescent="0.25">
      <c r="A222" t="str">
        <f>IF('Equipment Information'!A222="","", 'Equipment Information'!A222)</f>
        <v/>
      </c>
      <c r="B222" t="str">
        <f>IF('Equipment Information'!B222="","", 'Equipment Information'!B222)</f>
        <v/>
      </c>
      <c r="C222" t="str">
        <f>IF('Equipment Information'!C222="","", 'Equipment Information'!C222)</f>
        <v/>
      </c>
      <c r="D222" t="str">
        <f>IF('Equipment Information'!D222="","", 'Equipment Information'!D222)</f>
        <v/>
      </c>
      <c r="E222" t="str">
        <f>IF(A222="","", IFERROR(VLOOKUP(A222, 'Energized Data'!A:T, 20, FALSE), "N/A"))</f>
        <v/>
      </c>
      <c r="F222" t="str">
        <f>IF(A222="","", IFERROR(VLOOKUP(A222, Insulation!A:J, 9, FALSE), "N/A"))</f>
        <v/>
      </c>
      <c r="G222" t="str">
        <f>IF(A222="","", IFERROR(VLOOKUP(A222, DLRO!A:I, 8, FALSE), "N/A"))</f>
        <v/>
      </c>
      <c r="H222" t="str">
        <f>IF(A222="","", IFERROR(VLOOKUP(A222, Torque!A:I, 8, FALSE), "N/A"))</f>
        <v/>
      </c>
      <c r="I222" t="str">
        <f>IF(A222="","", IFERROR(VLOOKUP(A222, Infrared!A:G, 6, FALSE), "N/A"))</f>
        <v/>
      </c>
      <c r="J222" t="str">
        <f>IF(A222="","", IFERROR(VLOOKUP(A222, Ultrasonic!A:H, 7, FALSE), "N/A"))</f>
        <v/>
      </c>
      <c r="K222" t="str">
        <f>IF(A222="","", IFERROR(VLOOKUP(A222, 'Code Violations'!A:V, 22, FALSE), "N/A"))</f>
        <v/>
      </c>
      <c r="L222" t="str">
        <f t="shared" si="3"/>
        <v/>
      </c>
    </row>
    <row r="223" spans="1:12" x14ac:dyDescent="0.25">
      <c r="A223" t="str">
        <f>IF('Equipment Information'!A223="","", 'Equipment Information'!A223)</f>
        <v/>
      </c>
      <c r="B223" t="str">
        <f>IF('Equipment Information'!B223="","", 'Equipment Information'!B223)</f>
        <v/>
      </c>
      <c r="C223" t="str">
        <f>IF('Equipment Information'!C223="","", 'Equipment Information'!C223)</f>
        <v/>
      </c>
      <c r="D223" t="str">
        <f>IF('Equipment Information'!D223="","", 'Equipment Information'!D223)</f>
        <v/>
      </c>
      <c r="E223" t="str">
        <f>IF(A223="","", IFERROR(VLOOKUP(A223, 'Energized Data'!A:T, 20, FALSE), "N/A"))</f>
        <v/>
      </c>
      <c r="F223" t="str">
        <f>IF(A223="","", IFERROR(VLOOKUP(A223, Insulation!A:J, 9, FALSE), "N/A"))</f>
        <v/>
      </c>
      <c r="G223" t="str">
        <f>IF(A223="","", IFERROR(VLOOKUP(A223, DLRO!A:I, 8, FALSE), "N/A"))</f>
        <v/>
      </c>
      <c r="H223" t="str">
        <f>IF(A223="","", IFERROR(VLOOKUP(A223, Torque!A:I, 8, FALSE), "N/A"))</f>
        <v/>
      </c>
      <c r="I223" t="str">
        <f>IF(A223="","", IFERROR(VLOOKUP(A223, Infrared!A:G, 6, FALSE), "N/A"))</f>
        <v/>
      </c>
      <c r="J223" t="str">
        <f>IF(A223="","", IFERROR(VLOOKUP(A223, Ultrasonic!A:H, 7, FALSE), "N/A"))</f>
        <v/>
      </c>
      <c r="K223" t="str">
        <f>IF(A223="","", IFERROR(VLOOKUP(A223, 'Code Violations'!A:V, 22, FALSE), "N/A"))</f>
        <v/>
      </c>
      <c r="L223" t="str">
        <f t="shared" si="3"/>
        <v/>
      </c>
    </row>
    <row r="224" spans="1:12" x14ac:dyDescent="0.25">
      <c r="A224" t="str">
        <f>IF('Equipment Information'!A224="","", 'Equipment Information'!A224)</f>
        <v/>
      </c>
      <c r="B224" t="str">
        <f>IF('Equipment Information'!B224="","", 'Equipment Information'!B224)</f>
        <v/>
      </c>
      <c r="C224" t="str">
        <f>IF('Equipment Information'!C224="","", 'Equipment Information'!C224)</f>
        <v/>
      </c>
      <c r="D224" t="str">
        <f>IF('Equipment Information'!D224="","", 'Equipment Information'!D224)</f>
        <v/>
      </c>
      <c r="E224" t="str">
        <f>IF(A224="","", IFERROR(VLOOKUP(A224, 'Energized Data'!A:T, 20, FALSE), "N/A"))</f>
        <v/>
      </c>
      <c r="F224" t="str">
        <f>IF(A224="","", IFERROR(VLOOKUP(A224, Insulation!A:J, 9, FALSE), "N/A"))</f>
        <v/>
      </c>
      <c r="G224" t="str">
        <f>IF(A224="","", IFERROR(VLOOKUP(A224, DLRO!A:I, 8, FALSE), "N/A"))</f>
        <v/>
      </c>
      <c r="H224" t="str">
        <f>IF(A224="","", IFERROR(VLOOKUP(A224, Torque!A:I, 8, FALSE), "N/A"))</f>
        <v/>
      </c>
      <c r="I224" t="str">
        <f>IF(A224="","", IFERROR(VLOOKUP(A224, Infrared!A:G, 6, FALSE), "N/A"))</f>
        <v/>
      </c>
      <c r="J224" t="str">
        <f>IF(A224="","", IFERROR(VLOOKUP(A224, Ultrasonic!A:H, 7, FALSE), "N/A"))</f>
        <v/>
      </c>
      <c r="K224" t="str">
        <f>IF(A224="","", IFERROR(VLOOKUP(A224, 'Code Violations'!A:V, 22, FALSE), "N/A"))</f>
        <v/>
      </c>
      <c r="L224" t="str">
        <f t="shared" si="3"/>
        <v/>
      </c>
    </row>
    <row r="225" spans="1:12" x14ac:dyDescent="0.25">
      <c r="A225" t="str">
        <f>IF('Equipment Information'!A225="","", 'Equipment Information'!A225)</f>
        <v/>
      </c>
      <c r="B225" t="str">
        <f>IF('Equipment Information'!B225="","", 'Equipment Information'!B225)</f>
        <v/>
      </c>
      <c r="C225" t="str">
        <f>IF('Equipment Information'!C225="","", 'Equipment Information'!C225)</f>
        <v/>
      </c>
      <c r="D225" t="str">
        <f>IF('Equipment Information'!D225="","", 'Equipment Information'!D225)</f>
        <v/>
      </c>
      <c r="E225" t="str">
        <f>IF(A225="","", IFERROR(VLOOKUP(A225, 'Energized Data'!A:T, 20, FALSE), "N/A"))</f>
        <v/>
      </c>
      <c r="F225" t="str">
        <f>IF(A225="","", IFERROR(VLOOKUP(A225, Insulation!A:J, 9, FALSE), "N/A"))</f>
        <v/>
      </c>
      <c r="G225" t="str">
        <f>IF(A225="","", IFERROR(VLOOKUP(A225, DLRO!A:I, 8, FALSE), "N/A"))</f>
        <v/>
      </c>
      <c r="H225" t="str">
        <f>IF(A225="","", IFERROR(VLOOKUP(A225, Torque!A:I, 8, FALSE), "N/A"))</f>
        <v/>
      </c>
      <c r="I225" t="str">
        <f>IF(A225="","", IFERROR(VLOOKUP(A225, Infrared!A:G, 6, FALSE), "N/A"))</f>
        <v/>
      </c>
      <c r="J225" t="str">
        <f>IF(A225="","", IFERROR(VLOOKUP(A225, Ultrasonic!A:H, 7, FALSE), "N/A"))</f>
        <v/>
      </c>
      <c r="K225" t="str">
        <f>IF(A225="","", IFERROR(VLOOKUP(A225, 'Code Violations'!A:V, 22, FALSE), "N/A"))</f>
        <v/>
      </c>
      <c r="L225" t="str">
        <f t="shared" si="3"/>
        <v/>
      </c>
    </row>
    <row r="226" spans="1:12" x14ac:dyDescent="0.25">
      <c r="A226" t="str">
        <f>IF('Equipment Information'!A226="","", 'Equipment Information'!A226)</f>
        <v/>
      </c>
      <c r="B226" t="str">
        <f>IF('Equipment Information'!B226="","", 'Equipment Information'!B226)</f>
        <v/>
      </c>
      <c r="C226" t="str">
        <f>IF('Equipment Information'!C226="","", 'Equipment Information'!C226)</f>
        <v/>
      </c>
      <c r="D226" t="str">
        <f>IF('Equipment Information'!D226="","", 'Equipment Information'!D226)</f>
        <v/>
      </c>
      <c r="E226" t="str">
        <f>IF(A226="","", IFERROR(VLOOKUP(A226, 'Energized Data'!A:T, 20, FALSE), "N/A"))</f>
        <v/>
      </c>
      <c r="F226" t="str">
        <f>IF(A226="","", IFERROR(VLOOKUP(A226, Insulation!A:J, 9, FALSE), "N/A"))</f>
        <v/>
      </c>
      <c r="G226" t="str">
        <f>IF(A226="","", IFERROR(VLOOKUP(A226, DLRO!A:I, 8, FALSE), "N/A"))</f>
        <v/>
      </c>
      <c r="H226" t="str">
        <f>IF(A226="","", IFERROR(VLOOKUP(A226, Torque!A:I, 8, FALSE), "N/A"))</f>
        <v/>
      </c>
      <c r="I226" t="str">
        <f>IF(A226="","", IFERROR(VLOOKUP(A226, Infrared!A:G, 6, FALSE), "N/A"))</f>
        <v/>
      </c>
      <c r="J226" t="str">
        <f>IF(A226="","", IFERROR(VLOOKUP(A226, Ultrasonic!A:H, 7, FALSE), "N/A"))</f>
        <v/>
      </c>
      <c r="K226" t="str">
        <f>IF(A226="","", IFERROR(VLOOKUP(A226, 'Code Violations'!A:V, 22, FALSE), "N/A"))</f>
        <v/>
      </c>
      <c r="L226" t="str">
        <f t="shared" si="3"/>
        <v/>
      </c>
    </row>
    <row r="227" spans="1:12" x14ac:dyDescent="0.25">
      <c r="A227" t="str">
        <f>IF('Equipment Information'!A227="","", 'Equipment Information'!A227)</f>
        <v/>
      </c>
      <c r="B227" t="str">
        <f>IF('Equipment Information'!B227="","", 'Equipment Information'!B227)</f>
        <v/>
      </c>
      <c r="C227" t="str">
        <f>IF('Equipment Information'!C227="","", 'Equipment Information'!C227)</f>
        <v/>
      </c>
      <c r="D227" t="str">
        <f>IF('Equipment Information'!D227="","", 'Equipment Information'!D227)</f>
        <v/>
      </c>
      <c r="E227" t="str">
        <f>IF(A227="","", IFERROR(VLOOKUP(A227, 'Energized Data'!A:T, 20, FALSE), "N/A"))</f>
        <v/>
      </c>
      <c r="F227" t="str">
        <f>IF(A227="","", IFERROR(VLOOKUP(A227, Insulation!A:J, 9, FALSE), "N/A"))</f>
        <v/>
      </c>
      <c r="G227" t="str">
        <f>IF(A227="","", IFERROR(VLOOKUP(A227, DLRO!A:I, 8, FALSE), "N/A"))</f>
        <v/>
      </c>
      <c r="H227" t="str">
        <f>IF(A227="","", IFERROR(VLOOKUP(A227, Torque!A:I, 8, FALSE), "N/A"))</f>
        <v/>
      </c>
      <c r="I227" t="str">
        <f>IF(A227="","", IFERROR(VLOOKUP(A227, Infrared!A:G, 6, FALSE), "N/A"))</f>
        <v/>
      </c>
      <c r="J227" t="str">
        <f>IF(A227="","", IFERROR(VLOOKUP(A227, Ultrasonic!A:H, 7, FALSE), "N/A"))</f>
        <v/>
      </c>
      <c r="K227" t="str">
        <f>IF(A227="","", IFERROR(VLOOKUP(A227, 'Code Violations'!A:V, 22, FALSE), "N/A"))</f>
        <v/>
      </c>
      <c r="L227" t="str">
        <f t="shared" si="3"/>
        <v/>
      </c>
    </row>
    <row r="228" spans="1:12" x14ac:dyDescent="0.25">
      <c r="A228" t="str">
        <f>IF('Equipment Information'!A228="","", 'Equipment Information'!A228)</f>
        <v/>
      </c>
      <c r="B228" t="str">
        <f>IF('Equipment Information'!B228="","", 'Equipment Information'!B228)</f>
        <v/>
      </c>
      <c r="C228" t="str">
        <f>IF('Equipment Information'!C228="","", 'Equipment Information'!C228)</f>
        <v/>
      </c>
      <c r="D228" t="str">
        <f>IF('Equipment Information'!D228="","", 'Equipment Information'!D228)</f>
        <v/>
      </c>
      <c r="E228" t="str">
        <f>IF(A228="","", IFERROR(VLOOKUP(A228, 'Energized Data'!A:T, 20, FALSE), "N/A"))</f>
        <v/>
      </c>
      <c r="F228" t="str">
        <f>IF(A228="","", IFERROR(VLOOKUP(A228, Insulation!A:J, 9, FALSE), "N/A"))</f>
        <v/>
      </c>
      <c r="G228" t="str">
        <f>IF(A228="","", IFERROR(VLOOKUP(A228, DLRO!A:I, 8, FALSE), "N/A"))</f>
        <v/>
      </c>
      <c r="H228" t="str">
        <f>IF(A228="","", IFERROR(VLOOKUP(A228, Torque!A:I, 8, FALSE), "N/A"))</f>
        <v/>
      </c>
      <c r="I228" t="str">
        <f>IF(A228="","", IFERROR(VLOOKUP(A228, Infrared!A:G, 6, FALSE), "N/A"))</f>
        <v/>
      </c>
      <c r="J228" t="str">
        <f>IF(A228="","", IFERROR(VLOOKUP(A228, Ultrasonic!A:H, 7, FALSE), "N/A"))</f>
        <v/>
      </c>
      <c r="K228" t="str">
        <f>IF(A228="","", IFERROR(VLOOKUP(A228, 'Code Violations'!A:V, 22, FALSE), "N/A"))</f>
        <v/>
      </c>
      <c r="L228" t="str">
        <f t="shared" si="3"/>
        <v/>
      </c>
    </row>
    <row r="229" spans="1:12" x14ac:dyDescent="0.25">
      <c r="A229" t="str">
        <f>IF('Equipment Information'!A229="","", 'Equipment Information'!A229)</f>
        <v/>
      </c>
      <c r="B229" t="str">
        <f>IF('Equipment Information'!B229="","", 'Equipment Information'!B229)</f>
        <v/>
      </c>
      <c r="C229" t="str">
        <f>IF('Equipment Information'!C229="","", 'Equipment Information'!C229)</f>
        <v/>
      </c>
      <c r="D229" t="str">
        <f>IF('Equipment Information'!D229="","", 'Equipment Information'!D229)</f>
        <v/>
      </c>
      <c r="E229" t="str">
        <f>IF(A229="","", IFERROR(VLOOKUP(A229, 'Energized Data'!A:T, 20, FALSE), "N/A"))</f>
        <v/>
      </c>
      <c r="F229" t="str">
        <f>IF(A229="","", IFERROR(VLOOKUP(A229, Insulation!A:J, 9, FALSE), "N/A"))</f>
        <v/>
      </c>
      <c r="G229" t="str">
        <f>IF(A229="","", IFERROR(VLOOKUP(A229, DLRO!A:I, 8, FALSE), "N/A"))</f>
        <v/>
      </c>
      <c r="H229" t="str">
        <f>IF(A229="","", IFERROR(VLOOKUP(A229, Torque!A:I, 8, FALSE), "N/A"))</f>
        <v/>
      </c>
      <c r="I229" t="str">
        <f>IF(A229="","", IFERROR(VLOOKUP(A229, Infrared!A:G, 6, FALSE), "N/A"))</f>
        <v/>
      </c>
      <c r="J229" t="str">
        <f>IF(A229="","", IFERROR(VLOOKUP(A229, Ultrasonic!A:H, 7, FALSE), "N/A"))</f>
        <v/>
      </c>
      <c r="K229" t="str">
        <f>IF(A229="","", IFERROR(VLOOKUP(A229, 'Code Violations'!A:V, 22, FALSE), "N/A"))</f>
        <v/>
      </c>
      <c r="L229" t="str">
        <f t="shared" si="3"/>
        <v/>
      </c>
    </row>
    <row r="230" spans="1:12" x14ac:dyDescent="0.25">
      <c r="A230" t="str">
        <f>IF('Equipment Information'!A230="","", 'Equipment Information'!A230)</f>
        <v/>
      </c>
      <c r="B230" t="str">
        <f>IF('Equipment Information'!B230="","", 'Equipment Information'!B230)</f>
        <v/>
      </c>
      <c r="C230" t="str">
        <f>IF('Equipment Information'!C230="","", 'Equipment Information'!C230)</f>
        <v/>
      </c>
      <c r="D230" t="str">
        <f>IF('Equipment Information'!D230="","", 'Equipment Information'!D230)</f>
        <v/>
      </c>
      <c r="E230" t="str">
        <f>IF(A230="","", IFERROR(VLOOKUP(A230, 'Energized Data'!A:T, 20, FALSE), "N/A"))</f>
        <v/>
      </c>
      <c r="F230" t="str">
        <f>IF(A230="","", IFERROR(VLOOKUP(A230, Insulation!A:J, 9, FALSE), "N/A"))</f>
        <v/>
      </c>
      <c r="G230" t="str">
        <f>IF(A230="","", IFERROR(VLOOKUP(A230, DLRO!A:I, 8, FALSE), "N/A"))</f>
        <v/>
      </c>
      <c r="H230" t="str">
        <f>IF(A230="","", IFERROR(VLOOKUP(A230, Torque!A:I, 8, FALSE), "N/A"))</f>
        <v/>
      </c>
      <c r="I230" t="str">
        <f>IF(A230="","", IFERROR(VLOOKUP(A230, Infrared!A:G, 6, FALSE), "N/A"))</f>
        <v/>
      </c>
      <c r="J230" t="str">
        <f>IF(A230="","", IFERROR(VLOOKUP(A230, Ultrasonic!A:H, 7, FALSE), "N/A"))</f>
        <v/>
      </c>
      <c r="K230" t="str">
        <f>IF(A230="","", IFERROR(VLOOKUP(A230, 'Code Violations'!A:V, 22, FALSE), "N/A"))</f>
        <v/>
      </c>
      <c r="L230" t="str">
        <f t="shared" si="3"/>
        <v/>
      </c>
    </row>
    <row r="231" spans="1:12" x14ac:dyDescent="0.25">
      <c r="A231" t="str">
        <f>IF('Equipment Information'!A231="","", 'Equipment Information'!A231)</f>
        <v/>
      </c>
      <c r="B231" t="str">
        <f>IF('Equipment Information'!B231="","", 'Equipment Information'!B231)</f>
        <v/>
      </c>
      <c r="C231" t="str">
        <f>IF('Equipment Information'!C231="","", 'Equipment Information'!C231)</f>
        <v/>
      </c>
      <c r="D231" t="str">
        <f>IF('Equipment Information'!D231="","", 'Equipment Information'!D231)</f>
        <v/>
      </c>
      <c r="E231" t="str">
        <f>IF(A231="","", IFERROR(VLOOKUP(A231, 'Energized Data'!A:T, 20, FALSE), "N/A"))</f>
        <v/>
      </c>
      <c r="F231" t="str">
        <f>IF(A231="","", IFERROR(VLOOKUP(A231, Insulation!A:J, 9, FALSE), "N/A"))</f>
        <v/>
      </c>
      <c r="G231" t="str">
        <f>IF(A231="","", IFERROR(VLOOKUP(A231, DLRO!A:I, 8, FALSE), "N/A"))</f>
        <v/>
      </c>
      <c r="H231" t="str">
        <f>IF(A231="","", IFERROR(VLOOKUP(A231, Torque!A:I, 8, FALSE), "N/A"))</f>
        <v/>
      </c>
      <c r="I231" t="str">
        <f>IF(A231="","", IFERROR(VLOOKUP(A231, Infrared!A:G, 6, FALSE), "N/A"))</f>
        <v/>
      </c>
      <c r="J231" t="str">
        <f>IF(A231="","", IFERROR(VLOOKUP(A231, Ultrasonic!A:H, 7, FALSE), "N/A"))</f>
        <v/>
      </c>
      <c r="K231" t="str">
        <f>IF(A231="","", IFERROR(VLOOKUP(A231, 'Code Violations'!A:V, 22, FALSE), "N/A"))</f>
        <v/>
      </c>
      <c r="L231" t="str">
        <f t="shared" si="3"/>
        <v/>
      </c>
    </row>
    <row r="232" spans="1:12" x14ac:dyDescent="0.25">
      <c r="A232" t="str">
        <f>IF('Equipment Information'!A232="","", 'Equipment Information'!A232)</f>
        <v/>
      </c>
      <c r="B232" t="str">
        <f>IF('Equipment Information'!B232="","", 'Equipment Information'!B232)</f>
        <v/>
      </c>
      <c r="C232" t="str">
        <f>IF('Equipment Information'!C232="","", 'Equipment Information'!C232)</f>
        <v/>
      </c>
      <c r="D232" t="str">
        <f>IF('Equipment Information'!D232="","", 'Equipment Information'!D232)</f>
        <v/>
      </c>
      <c r="E232" t="str">
        <f>IF(A232="","", IFERROR(VLOOKUP(A232, 'Energized Data'!A:T, 20, FALSE), "N/A"))</f>
        <v/>
      </c>
      <c r="F232" t="str">
        <f>IF(A232="","", IFERROR(VLOOKUP(A232, Insulation!A:J, 9, FALSE), "N/A"))</f>
        <v/>
      </c>
      <c r="G232" t="str">
        <f>IF(A232="","", IFERROR(VLOOKUP(A232, DLRO!A:I, 8, FALSE), "N/A"))</f>
        <v/>
      </c>
      <c r="H232" t="str">
        <f>IF(A232="","", IFERROR(VLOOKUP(A232, Torque!A:I, 8, FALSE), "N/A"))</f>
        <v/>
      </c>
      <c r="I232" t="str">
        <f>IF(A232="","", IFERROR(VLOOKUP(A232, Infrared!A:G, 6, FALSE), "N/A"))</f>
        <v/>
      </c>
      <c r="J232" t="str">
        <f>IF(A232="","", IFERROR(VLOOKUP(A232, Ultrasonic!A:H, 7, FALSE), "N/A"))</f>
        <v/>
      </c>
      <c r="K232" t="str">
        <f>IF(A232="","", IFERROR(VLOOKUP(A232, 'Code Violations'!A:V, 22, FALSE), "N/A"))</f>
        <v/>
      </c>
      <c r="L232" t="str">
        <f t="shared" si="3"/>
        <v/>
      </c>
    </row>
    <row r="233" spans="1:12" x14ac:dyDescent="0.25">
      <c r="A233" t="str">
        <f>IF('Equipment Information'!A233="","", 'Equipment Information'!A233)</f>
        <v/>
      </c>
      <c r="B233" t="str">
        <f>IF('Equipment Information'!B233="","", 'Equipment Information'!B233)</f>
        <v/>
      </c>
      <c r="C233" t="str">
        <f>IF('Equipment Information'!C233="","", 'Equipment Information'!C233)</f>
        <v/>
      </c>
      <c r="D233" t="str">
        <f>IF('Equipment Information'!D233="","", 'Equipment Information'!D233)</f>
        <v/>
      </c>
      <c r="E233" t="str">
        <f>IF(A233="","", IFERROR(VLOOKUP(A233, 'Energized Data'!A:T, 20, FALSE), "N/A"))</f>
        <v/>
      </c>
      <c r="F233" t="str">
        <f>IF(A233="","", IFERROR(VLOOKUP(A233, Insulation!A:J, 9, FALSE), "N/A"))</f>
        <v/>
      </c>
      <c r="G233" t="str">
        <f>IF(A233="","", IFERROR(VLOOKUP(A233, DLRO!A:I, 8, FALSE), "N/A"))</f>
        <v/>
      </c>
      <c r="H233" t="str">
        <f>IF(A233="","", IFERROR(VLOOKUP(A233, Torque!A:I, 8, FALSE), "N/A"))</f>
        <v/>
      </c>
      <c r="I233" t="str">
        <f>IF(A233="","", IFERROR(VLOOKUP(A233, Infrared!A:G, 6, FALSE), "N/A"))</f>
        <v/>
      </c>
      <c r="J233" t="str">
        <f>IF(A233="","", IFERROR(VLOOKUP(A233, Ultrasonic!A:H, 7, FALSE), "N/A"))</f>
        <v/>
      </c>
      <c r="K233" t="str">
        <f>IF(A233="","", IFERROR(VLOOKUP(A233, 'Code Violations'!A:V, 22, FALSE), "N/A"))</f>
        <v/>
      </c>
      <c r="L233" t="str">
        <f t="shared" si="3"/>
        <v/>
      </c>
    </row>
    <row r="234" spans="1:12" x14ac:dyDescent="0.25">
      <c r="A234" t="str">
        <f>IF('Equipment Information'!A234="","", 'Equipment Information'!A234)</f>
        <v/>
      </c>
      <c r="B234" t="str">
        <f>IF('Equipment Information'!B234="","", 'Equipment Information'!B234)</f>
        <v/>
      </c>
      <c r="C234" t="str">
        <f>IF('Equipment Information'!C234="","", 'Equipment Information'!C234)</f>
        <v/>
      </c>
      <c r="D234" t="str">
        <f>IF('Equipment Information'!D234="","", 'Equipment Information'!D234)</f>
        <v/>
      </c>
      <c r="E234" t="str">
        <f>IF(A234="","", IFERROR(VLOOKUP(A234, 'Energized Data'!A:T, 20, FALSE), "N/A"))</f>
        <v/>
      </c>
      <c r="F234" t="str">
        <f>IF(A234="","", IFERROR(VLOOKUP(A234, Insulation!A:J, 9, FALSE), "N/A"))</f>
        <v/>
      </c>
      <c r="G234" t="str">
        <f>IF(A234="","", IFERROR(VLOOKUP(A234, DLRO!A:I, 8, FALSE), "N/A"))</f>
        <v/>
      </c>
      <c r="H234" t="str">
        <f>IF(A234="","", IFERROR(VLOOKUP(A234, Torque!A:I, 8, FALSE), "N/A"))</f>
        <v/>
      </c>
      <c r="I234" t="str">
        <f>IF(A234="","", IFERROR(VLOOKUP(A234, Infrared!A:G, 6, FALSE), "N/A"))</f>
        <v/>
      </c>
      <c r="J234" t="str">
        <f>IF(A234="","", IFERROR(VLOOKUP(A234, Ultrasonic!A:H, 7, FALSE), "N/A"))</f>
        <v/>
      </c>
      <c r="K234" t="str">
        <f>IF(A234="","", IFERROR(VLOOKUP(A234, 'Code Violations'!A:V, 22, FALSE), "N/A"))</f>
        <v/>
      </c>
      <c r="L234" t="str">
        <f t="shared" si="3"/>
        <v/>
      </c>
    </row>
    <row r="235" spans="1:12" x14ac:dyDescent="0.25">
      <c r="A235" t="str">
        <f>IF('Equipment Information'!A235="","", 'Equipment Information'!A235)</f>
        <v/>
      </c>
      <c r="B235" t="str">
        <f>IF('Equipment Information'!B235="","", 'Equipment Information'!B235)</f>
        <v/>
      </c>
      <c r="C235" t="str">
        <f>IF('Equipment Information'!C235="","", 'Equipment Information'!C235)</f>
        <v/>
      </c>
      <c r="D235" t="str">
        <f>IF('Equipment Information'!D235="","", 'Equipment Information'!D235)</f>
        <v/>
      </c>
      <c r="E235" t="str">
        <f>IF(A235="","", IFERROR(VLOOKUP(A235, 'Energized Data'!A:T, 20, FALSE), "N/A"))</f>
        <v/>
      </c>
      <c r="F235" t="str">
        <f>IF(A235="","", IFERROR(VLOOKUP(A235, Insulation!A:J, 9, FALSE), "N/A"))</f>
        <v/>
      </c>
      <c r="G235" t="str">
        <f>IF(A235="","", IFERROR(VLOOKUP(A235, DLRO!A:I, 8, FALSE), "N/A"))</f>
        <v/>
      </c>
      <c r="H235" t="str">
        <f>IF(A235="","", IFERROR(VLOOKUP(A235, Torque!A:I, 8, FALSE), "N/A"))</f>
        <v/>
      </c>
      <c r="I235" t="str">
        <f>IF(A235="","", IFERROR(VLOOKUP(A235, Infrared!A:G, 6, FALSE), "N/A"))</f>
        <v/>
      </c>
      <c r="J235" t="str">
        <f>IF(A235="","", IFERROR(VLOOKUP(A235, Ultrasonic!A:H, 7, FALSE), "N/A"))</f>
        <v/>
      </c>
      <c r="K235" t="str">
        <f>IF(A235="","", IFERROR(VLOOKUP(A235, 'Code Violations'!A:V, 22, FALSE), "N/A"))</f>
        <v/>
      </c>
      <c r="L235" t="str">
        <f t="shared" si="3"/>
        <v/>
      </c>
    </row>
    <row r="236" spans="1:12" x14ac:dyDescent="0.25">
      <c r="A236" t="str">
        <f>IF('Equipment Information'!A236="","", 'Equipment Information'!A236)</f>
        <v/>
      </c>
      <c r="B236" t="str">
        <f>IF('Equipment Information'!B236="","", 'Equipment Information'!B236)</f>
        <v/>
      </c>
      <c r="C236" t="str">
        <f>IF('Equipment Information'!C236="","", 'Equipment Information'!C236)</f>
        <v/>
      </c>
      <c r="D236" t="str">
        <f>IF('Equipment Information'!D236="","", 'Equipment Information'!D236)</f>
        <v/>
      </c>
      <c r="E236" t="str">
        <f>IF(A236="","", IFERROR(VLOOKUP(A236, 'Energized Data'!A:T, 20, FALSE), "N/A"))</f>
        <v/>
      </c>
      <c r="F236" t="str">
        <f>IF(A236="","", IFERROR(VLOOKUP(A236, Insulation!A:J, 9, FALSE), "N/A"))</f>
        <v/>
      </c>
      <c r="G236" t="str">
        <f>IF(A236="","", IFERROR(VLOOKUP(A236, DLRO!A:I, 8, FALSE), "N/A"))</f>
        <v/>
      </c>
      <c r="H236" t="str">
        <f>IF(A236="","", IFERROR(VLOOKUP(A236, Torque!A:I, 8, FALSE), "N/A"))</f>
        <v/>
      </c>
      <c r="I236" t="str">
        <f>IF(A236="","", IFERROR(VLOOKUP(A236, Infrared!A:G, 6, FALSE), "N/A"))</f>
        <v/>
      </c>
      <c r="J236" t="str">
        <f>IF(A236="","", IFERROR(VLOOKUP(A236, Ultrasonic!A:H, 7, FALSE), "N/A"))</f>
        <v/>
      </c>
      <c r="K236" t="str">
        <f>IF(A236="","", IFERROR(VLOOKUP(A236, 'Code Violations'!A:V, 22, FALSE), "N/A"))</f>
        <v/>
      </c>
      <c r="L236" t="str">
        <f t="shared" si="3"/>
        <v/>
      </c>
    </row>
    <row r="237" spans="1:12" x14ac:dyDescent="0.25">
      <c r="A237" t="str">
        <f>IF('Equipment Information'!A237="","", 'Equipment Information'!A237)</f>
        <v/>
      </c>
      <c r="B237" t="str">
        <f>IF('Equipment Information'!B237="","", 'Equipment Information'!B237)</f>
        <v/>
      </c>
      <c r="C237" t="str">
        <f>IF('Equipment Information'!C237="","", 'Equipment Information'!C237)</f>
        <v/>
      </c>
      <c r="D237" t="str">
        <f>IF('Equipment Information'!D237="","", 'Equipment Information'!D237)</f>
        <v/>
      </c>
      <c r="E237" t="str">
        <f>IF(A237="","", IFERROR(VLOOKUP(A237, 'Energized Data'!A:T, 20, FALSE), "N/A"))</f>
        <v/>
      </c>
      <c r="F237" t="str">
        <f>IF(A237="","", IFERROR(VLOOKUP(A237, Insulation!A:J, 9, FALSE), "N/A"))</f>
        <v/>
      </c>
      <c r="G237" t="str">
        <f>IF(A237="","", IFERROR(VLOOKUP(A237, DLRO!A:I, 8, FALSE), "N/A"))</f>
        <v/>
      </c>
      <c r="H237" t="str">
        <f>IF(A237="","", IFERROR(VLOOKUP(A237, Torque!A:I, 8, FALSE), "N/A"))</f>
        <v/>
      </c>
      <c r="I237" t="str">
        <f>IF(A237="","", IFERROR(VLOOKUP(A237, Infrared!A:G, 6, FALSE), "N/A"))</f>
        <v/>
      </c>
      <c r="J237" t="str">
        <f>IF(A237="","", IFERROR(VLOOKUP(A237, Ultrasonic!A:H, 7, FALSE), "N/A"))</f>
        <v/>
      </c>
      <c r="K237" t="str">
        <f>IF(A237="","", IFERROR(VLOOKUP(A237, 'Code Violations'!A:V, 22, FALSE), "N/A"))</f>
        <v/>
      </c>
      <c r="L237" t="str">
        <f t="shared" si="3"/>
        <v/>
      </c>
    </row>
    <row r="238" spans="1:12" x14ac:dyDescent="0.25">
      <c r="A238" t="str">
        <f>IF('Equipment Information'!A238="","", 'Equipment Information'!A238)</f>
        <v/>
      </c>
      <c r="B238" t="str">
        <f>IF('Equipment Information'!B238="","", 'Equipment Information'!B238)</f>
        <v/>
      </c>
      <c r="C238" t="str">
        <f>IF('Equipment Information'!C238="","", 'Equipment Information'!C238)</f>
        <v/>
      </c>
      <c r="D238" t="str">
        <f>IF('Equipment Information'!D238="","", 'Equipment Information'!D238)</f>
        <v/>
      </c>
      <c r="E238" t="str">
        <f>IF(A238="","", IFERROR(VLOOKUP(A238, 'Energized Data'!A:T, 20, FALSE), "N/A"))</f>
        <v/>
      </c>
      <c r="F238" t="str">
        <f>IF(A238="","", IFERROR(VLOOKUP(A238, Insulation!A:J, 9, FALSE), "N/A"))</f>
        <v/>
      </c>
      <c r="G238" t="str">
        <f>IF(A238="","", IFERROR(VLOOKUP(A238, DLRO!A:I, 8, FALSE), "N/A"))</f>
        <v/>
      </c>
      <c r="H238" t="str">
        <f>IF(A238="","", IFERROR(VLOOKUP(A238, Torque!A:I, 8, FALSE), "N/A"))</f>
        <v/>
      </c>
      <c r="I238" t="str">
        <f>IF(A238="","", IFERROR(VLOOKUP(A238, Infrared!A:G, 6, FALSE), "N/A"))</f>
        <v/>
      </c>
      <c r="J238" t="str">
        <f>IF(A238="","", IFERROR(VLOOKUP(A238, Ultrasonic!A:H, 7, FALSE), "N/A"))</f>
        <v/>
      </c>
      <c r="K238" t="str">
        <f>IF(A238="","", IFERROR(VLOOKUP(A238, 'Code Violations'!A:V, 22, FALSE), "N/A"))</f>
        <v/>
      </c>
      <c r="L238" t="str">
        <f t="shared" si="3"/>
        <v/>
      </c>
    </row>
    <row r="239" spans="1:12" x14ac:dyDescent="0.25">
      <c r="A239" t="str">
        <f>IF('Equipment Information'!A239="","", 'Equipment Information'!A239)</f>
        <v/>
      </c>
      <c r="B239" t="str">
        <f>IF('Equipment Information'!B239="","", 'Equipment Information'!B239)</f>
        <v/>
      </c>
      <c r="C239" t="str">
        <f>IF('Equipment Information'!C239="","", 'Equipment Information'!C239)</f>
        <v/>
      </c>
      <c r="D239" t="str">
        <f>IF('Equipment Information'!D239="","", 'Equipment Information'!D239)</f>
        <v/>
      </c>
      <c r="E239" t="str">
        <f>IF(A239="","", IFERROR(VLOOKUP(A239, 'Energized Data'!A:T, 20, FALSE), "N/A"))</f>
        <v/>
      </c>
      <c r="F239" t="str">
        <f>IF(A239="","", IFERROR(VLOOKUP(A239, Insulation!A:J, 9, FALSE), "N/A"))</f>
        <v/>
      </c>
      <c r="G239" t="str">
        <f>IF(A239="","", IFERROR(VLOOKUP(A239, DLRO!A:I, 8, FALSE), "N/A"))</f>
        <v/>
      </c>
      <c r="H239" t="str">
        <f>IF(A239="","", IFERROR(VLOOKUP(A239, Torque!A:I, 8, FALSE), "N/A"))</f>
        <v/>
      </c>
      <c r="I239" t="str">
        <f>IF(A239="","", IFERROR(VLOOKUP(A239, Infrared!A:G, 6, FALSE), "N/A"))</f>
        <v/>
      </c>
      <c r="J239" t="str">
        <f>IF(A239="","", IFERROR(VLOOKUP(A239, Ultrasonic!A:H, 7, FALSE), "N/A"))</f>
        <v/>
      </c>
      <c r="K239" t="str">
        <f>IF(A239="","", IFERROR(VLOOKUP(A239, 'Code Violations'!A:V, 22, FALSE), "N/A"))</f>
        <v/>
      </c>
      <c r="L239" t="str">
        <f t="shared" si="3"/>
        <v/>
      </c>
    </row>
    <row r="240" spans="1:12" x14ac:dyDescent="0.25">
      <c r="A240" t="str">
        <f>IF('Equipment Information'!A240="","", 'Equipment Information'!A240)</f>
        <v/>
      </c>
      <c r="B240" t="str">
        <f>IF('Equipment Information'!B240="","", 'Equipment Information'!B240)</f>
        <v/>
      </c>
      <c r="C240" t="str">
        <f>IF('Equipment Information'!C240="","", 'Equipment Information'!C240)</f>
        <v/>
      </c>
      <c r="D240" t="str">
        <f>IF('Equipment Information'!D240="","", 'Equipment Information'!D240)</f>
        <v/>
      </c>
      <c r="E240" t="str">
        <f>IF(A240="","", IFERROR(VLOOKUP(A240, 'Energized Data'!A:T, 20, FALSE), "N/A"))</f>
        <v/>
      </c>
      <c r="F240" t="str">
        <f>IF(A240="","", IFERROR(VLOOKUP(A240, Insulation!A:J, 9, FALSE), "N/A"))</f>
        <v/>
      </c>
      <c r="G240" t="str">
        <f>IF(A240="","", IFERROR(VLOOKUP(A240, DLRO!A:I, 8, FALSE), "N/A"))</f>
        <v/>
      </c>
      <c r="H240" t="str">
        <f>IF(A240="","", IFERROR(VLOOKUP(A240, Torque!A:I, 8, FALSE), "N/A"))</f>
        <v/>
      </c>
      <c r="I240" t="str">
        <f>IF(A240="","", IFERROR(VLOOKUP(A240, Infrared!A:G, 6, FALSE), "N/A"))</f>
        <v/>
      </c>
      <c r="J240" t="str">
        <f>IF(A240="","", IFERROR(VLOOKUP(A240, Ultrasonic!A:H, 7, FALSE), "N/A"))</f>
        <v/>
      </c>
      <c r="K240" t="str">
        <f>IF(A240="","", IFERROR(VLOOKUP(A240, 'Code Violations'!A:V, 22, FALSE), "N/A"))</f>
        <v/>
      </c>
      <c r="L240" t="str">
        <f t="shared" si="3"/>
        <v/>
      </c>
    </row>
    <row r="241" spans="1:12" x14ac:dyDescent="0.25">
      <c r="A241" t="str">
        <f>IF('Equipment Information'!A241="","", 'Equipment Information'!A241)</f>
        <v/>
      </c>
      <c r="B241" t="str">
        <f>IF('Equipment Information'!B241="","", 'Equipment Information'!B241)</f>
        <v/>
      </c>
      <c r="C241" t="str">
        <f>IF('Equipment Information'!C241="","", 'Equipment Information'!C241)</f>
        <v/>
      </c>
      <c r="D241" t="str">
        <f>IF('Equipment Information'!D241="","", 'Equipment Information'!D241)</f>
        <v/>
      </c>
      <c r="E241" t="str">
        <f>IF(A241="","", IFERROR(VLOOKUP(A241, 'Energized Data'!A:T, 20, FALSE), "N/A"))</f>
        <v/>
      </c>
      <c r="F241" t="str">
        <f>IF(A241="","", IFERROR(VLOOKUP(A241, Insulation!A:J, 9, FALSE), "N/A"))</f>
        <v/>
      </c>
      <c r="G241" t="str">
        <f>IF(A241="","", IFERROR(VLOOKUP(A241, DLRO!A:I, 8, FALSE), "N/A"))</f>
        <v/>
      </c>
      <c r="H241" t="str">
        <f>IF(A241="","", IFERROR(VLOOKUP(A241, Torque!A:I, 8, FALSE), "N/A"))</f>
        <v/>
      </c>
      <c r="I241" t="str">
        <f>IF(A241="","", IFERROR(VLOOKUP(A241, Infrared!A:G, 6, FALSE), "N/A"))</f>
        <v/>
      </c>
      <c r="J241" t="str">
        <f>IF(A241="","", IFERROR(VLOOKUP(A241, Ultrasonic!A:H, 7, FALSE), "N/A"))</f>
        <v/>
      </c>
      <c r="K241" t="str">
        <f>IF(A241="","", IFERROR(VLOOKUP(A241, 'Code Violations'!A:V, 22, FALSE), "N/A"))</f>
        <v/>
      </c>
      <c r="L241" t="str">
        <f t="shared" si="3"/>
        <v/>
      </c>
    </row>
    <row r="242" spans="1:12" x14ac:dyDescent="0.25">
      <c r="A242" t="str">
        <f>IF('Equipment Information'!A242="","", 'Equipment Information'!A242)</f>
        <v/>
      </c>
      <c r="B242" t="str">
        <f>IF('Equipment Information'!B242="","", 'Equipment Information'!B242)</f>
        <v/>
      </c>
      <c r="C242" t="str">
        <f>IF('Equipment Information'!C242="","", 'Equipment Information'!C242)</f>
        <v/>
      </c>
      <c r="D242" t="str">
        <f>IF('Equipment Information'!D242="","", 'Equipment Information'!D242)</f>
        <v/>
      </c>
      <c r="E242" t="str">
        <f>IF(A242="","", IFERROR(VLOOKUP(A242, 'Energized Data'!A:T, 20, FALSE), "N/A"))</f>
        <v/>
      </c>
      <c r="F242" t="str">
        <f>IF(A242="","", IFERROR(VLOOKUP(A242, Insulation!A:J, 9, FALSE), "N/A"))</f>
        <v/>
      </c>
      <c r="G242" t="str">
        <f>IF(A242="","", IFERROR(VLOOKUP(A242, DLRO!A:I, 8, FALSE), "N/A"))</f>
        <v/>
      </c>
      <c r="H242" t="str">
        <f>IF(A242="","", IFERROR(VLOOKUP(A242, Torque!A:I, 8, FALSE), "N/A"))</f>
        <v/>
      </c>
      <c r="I242" t="str">
        <f>IF(A242="","", IFERROR(VLOOKUP(A242, Infrared!A:G, 6, FALSE), "N/A"))</f>
        <v/>
      </c>
      <c r="J242" t="str">
        <f>IF(A242="","", IFERROR(VLOOKUP(A242, Ultrasonic!A:H, 7, FALSE), "N/A"))</f>
        <v/>
      </c>
      <c r="K242" t="str">
        <f>IF(A242="","", IFERROR(VLOOKUP(A242, 'Code Violations'!A:V, 22, FALSE), "N/A"))</f>
        <v/>
      </c>
      <c r="L242" t="str">
        <f t="shared" si="3"/>
        <v/>
      </c>
    </row>
    <row r="243" spans="1:12" x14ac:dyDescent="0.25">
      <c r="A243" t="str">
        <f>IF('Equipment Information'!A243="","", 'Equipment Information'!A243)</f>
        <v/>
      </c>
      <c r="B243" t="str">
        <f>IF('Equipment Information'!B243="","", 'Equipment Information'!B243)</f>
        <v/>
      </c>
      <c r="C243" t="str">
        <f>IF('Equipment Information'!C243="","", 'Equipment Information'!C243)</f>
        <v/>
      </c>
      <c r="D243" t="str">
        <f>IF('Equipment Information'!D243="","", 'Equipment Information'!D243)</f>
        <v/>
      </c>
      <c r="E243" t="str">
        <f>IF(A243="","", IFERROR(VLOOKUP(A243, 'Energized Data'!A:T, 20, FALSE), "N/A"))</f>
        <v/>
      </c>
      <c r="F243" t="str">
        <f>IF(A243="","", IFERROR(VLOOKUP(A243, Insulation!A:J, 9, FALSE), "N/A"))</f>
        <v/>
      </c>
      <c r="G243" t="str">
        <f>IF(A243="","", IFERROR(VLOOKUP(A243, DLRO!A:I, 8, FALSE), "N/A"))</f>
        <v/>
      </c>
      <c r="H243" t="str">
        <f>IF(A243="","", IFERROR(VLOOKUP(A243, Torque!A:I, 8, FALSE), "N/A"))</f>
        <v/>
      </c>
      <c r="I243" t="str">
        <f>IF(A243="","", IFERROR(VLOOKUP(A243, Infrared!A:G, 6, FALSE), "N/A"))</f>
        <v/>
      </c>
      <c r="J243" t="str">
        <f>IF(A243="","", IFERROR(VLOOKUP(A243, Ultrasonic!A:H, 7, FALSE), "N/A"))</f>
        <v/>
      </c>
      <c r="K243" t="str">
        <f>IF(A243="","", IFERROR(VLOOKUP(A243, 'Code Violations'!A:V, 22, FALSE), "N/A"))</f>
        <v/>
      </c>
      <c r="L243" t="str">
        <f t="shared" si="3"/>
        <v/>
      </c>
    </row>
    <row r="244" spans="1:12" x14ac:dyDescent="0.25">
      <c r="A244" t="str">
        <f>IF('Equipment Information'!A244="","", 'Equipment Information'!A244)</f>
        <v/>
      </c>
      <c r="B244" t="str">
        <f>IF('Equipment Information'!B244="","", 'Equipment Information'!B244)</f>
        <v/>
      </c>
      <c r="C244" t="str">
        <f>IF('Equipment Information'!C244="","", 'Equipment Information'!C244)</f>
        <v/>
      </c>
      <c r="D244" t="str">
        <f>IF('Equipment Information'!D244="","", 'Equipment Information'!D244)</f>
        <v/>
      </c>
      <c r="E244" t="str">
        <f>IF(A244="","", IFERROR(VLOOKUP(A244, 'Energized Data'!A:T, 20, FALSE), "N/A"))</f>
        <v/>
      </c>
      <c r="F244" t="str">
        <f>IF(A244="","", IFERROR(VLOOKUP(A244, Insulation!A:J, 9, FALSE), "N/A"))</f>
        <v/>
      </c>
      <c r="G244" t="str">
        <f>IF(A244="","", IFERROR(VLOOKUP(A244, DLRO!A:I, 8, FALSE), "N/A"))</f>
        <v/>
      </c>
      <c r="H244" t="str">
        <f>IF(A244="","", IFERROR(VLOOKUP(A244, Torque!A:I, 8, FALSE), "N/A"))</f>
        <v/>
      </c>
      <c r="I244" t="str">
        <f>IF(A244="","", IFERROR(VLOOKUP(A244, Infrared!A:G, 6, FALSE), "N/A"))</f>
        <v/>
      </c>
      <c r="J244" t="str">
        <f>IF(A244="","", IFERROR(VLOOKUP(A244, Ultrasonic!A:H, 7, FALSE), "N/A"))</f>
        <v/>
      </c>
      <c r="K244" t="str">
        <f>IF(A244="","", IFERROR(VLOOKUP(A244, 'Code Violations'!A:V, 22, FALSE), "N/A"))</f>
        <v/>
      </c>
      <c r="L244" t="str">
        <f t="shared" si="3"/>
        <v/>
      </c>
    </row>
    <row r="245" spans="1:12" x14ac:dyDescent="0.25">
      <c r="A245" t="str">
        <f>IF('Equipment Information'!A245="","", 'Equipment Information'!A245)</f>
        <v/>
      </c>
      <c r="B245" t="str">
        <f>IF('Equipment Information'!B245="","", 'Equipment Information'!B245)</f>
        <v/>
      </c>
      <c r="C245" t="str">
        <f>IF('Equipment Information'!C245="","", 'Equipment Information'!C245)</f>
        <v/>
      </c>
      <c r="D245" t="str">
        <f>IF('Equipment Information'!D245="","", 'Equipment Information'!D245)</f>
        <v/>
      </c>
      <c r="E245" t="str">
        <f>IF(A245="","", IFERROR(VLOOKUP(A245, 'Energized Data'!A:T, 20, FALSE), "N/A"))</f>
        <v/>
      </c>
      <c r="F245" t="str">
        <f>IF(A245="","", IFERROR(VLOOKUP(A245, Insulation!A:J, 9, FALSE), "N/A"))</f>
        <v/>
      </c>
      <c r="G245" t="str">
        <f>IF(A245="","", IFERROR(VLOOKUP(A245, DLRO!A:I, 8, FALSE), "N/A"))</f>
        <v/>
      </c>
      <c r="H245" t="str">
        <f>IF(A245="","", IFERROR(VLOOKUP(A245, Torque!A:I, 8, FALSE), "N/A"))</f>
        <v/>
      </c>
      <c r="I245" t="str">
        <f>IF(A245="","", IFERROR(VLOOKUP(A245, Infrared!A:G, 6, FALSE), "N/A"))</f>
        <v/>
      </c>
      <c r="J245" t="str">
        <f>IF(A245="","", IFERROR(VLOOKUP(A245, Ultrasonic!A:H, 7, FALSE), "N/A"))</f>
        <v/>
      </c>
      <c r="K245" t="str">
        <f>IF(A245="","", IFERROR(VLOOKUP(A245, 'Code Violations'!A:V, 22, FALSE), "N/A"))</f>
        <v/>
      </c>
      <c r="L245" t="str">
        <f t="shared" si="3"/>
        <v/>
      </c>
    </row>
    <row r="246" spans="1:12" x14ac:dyDescent="0.25">
      <c r="A246" t="str">
        <f>IF('Equipment Information'!A246="","", 'Equipment Information'!A246)</f>
        <v/>
      </c>
      <c r="B246" t="str">
        <f>IF('Equipment Information'!B246="","", 'Equipment Information'!B246)</f>
        <v/>
      </c>
      <c r="C246" t="str">
        <f>IF('Equipment Information'!C246="","", 'Equipment Information'!C246)</f>
        <v/>
      </c>
      <c r="D246" t="str">
        <f>IF('Equipment Information'!D246="","", 'Equipment Information'!D246)</f>
        <v/>
      </c>
      <c r="E246" t="str">
        <f>IF(A246="","", IFERROR(VLOOKUP(A246, 'Energized Data'!A:T, 20, FALSE), "N/A"))</f>
        <v/>
      </c>
      <c r="F246" t="str">
        <f>IF(A246="","", IFERROR(VLOOKUP(A246, Insulation!A:J, 9, FALSE), "N/A"))</f>
        <v/>
      </c>
      <c r="G246" t="str">
        <f>IF(A246="","", IFERROR(VLOOKUP(A246, DLRO!A:I, 8, FALSE), "N/A"))</f>
        <v/>
      </c>
      <c r="H246" t="str">
        <f>IF(A246="","", IFERROR(VLOOKUP(A246, Torque!A:I, 8, FALSE), "N/A"))</f>
        <v/>
      </c>
      <c r="I246" t="str">
        <f>IF(A246="","", IFERROR(VLOOKUP(A246, Infrared!A:G, 6, FALSE), "N/A"))</f>
        <v/>
      </c>
      <c r="J246" t="str">
        <f>IF(A246="","", IFERROR(VLOOKUP(A246, Ultrasonic!A:H, 7, FALSE), "N/A"))</f>
        <v/>
      </c>
      <c r="K246" t="str">
        <f>IF(A246="","", IFERROR(VLOOKUP(A246, 'Code Violations'!A:V, 22, FALSE), "N/A"))</f>
        <v/>
      </c>
      <c r="L246" t="str">
        <f t="shared" si="3"/>
        <v/>
      </c>
    </row>
    <row r="247" spans="1:12" x14ac:dyDescent="0.25">
      <c r="A247" t="str">
        <f>IF('Equipment Information'!A247="","", 'Equipment Information'!A247)</f>
        <v/>
      </c>
      <c r="B247" t="str">
        <f>IF('Equipment Information'!B247="","", 'Equipment Information'!B247)</f>
        <v/>
      </c>
      <c r="C247" t="str">
        <f>IF('Equipment Information'!C247="","", 'Equipment Information'!C247)</f>
        <v/>
      </c>
      <c r="D247" t="str">
        <f>IF('Equipment Information'!D247="","", 'Equipment Information'!D247)</f>
        <v/>
      </c>
      <c r="E247" t="str">
        <f>IF(A247="","", IFERROR(VLOOKUP(A247, 'Energized Data'!A:T, 20, FALSE), "N/A"))</f>
        <v/>
      </c>
      <c r="F247" t="str">
        <f>IF(A247="","", IFERROR(VLOOKUP(A247, Insulation!A:J, 9, FALSE), "N/A"))</f>
        <v/>
      </c>
      <c r="G247" t="str">
        <f>IF(A247="","", IFERROR(VLOOKUP(A247, DLRO!A:I, 8, FALSE), "N/A"))</f>
        <v/>
      </c>
      <c r="H247" t="str">
        <f>IF(A247="","", IFERROR(VLOOKUP(A247, Torque!A:I, 8, FALSE), "N/A"))</f>
        <v/>
      </c>
      <c r="I247" t="str">
        <f>IF(A247="","", IFERROR(VLOOKUP(A247, Infrared!A:G, 6, FALSE), "N/A"))</f>
        <v/>
      </c>
      <c r="J247" t="str">
        <f>IF(A247="","", IFERROR(VLOOKUP(A247, Ultrasonic!A:H, 7, FALSE), "N/A"))</f>
        <v/>
      </c>
      <c r="K247" t="str">
        <f>IF(A247="","", IFERROR(VLOOKUP(A247, 'Code Violations'!A:V, 22, FALSE), "N/A"))</f>
        <v/>
      </c>
      <c r="L247" t="str">
        <f t="shared" si="3"/>
        <v/>
      </c>
    </row>
    <row r="248" spans="1:12" x14ac:dyDescent="0.25">
      <c r="A248" t="str">
        <f>IF('Equipment Information'!A248="","", 'Equipment Information'!A248)</f>
        <v/>
      </c>
      <c r="B248" t="str">
        <f>IF('Equipment Information'!B248="","", 'Equipment Information'!B248)</f>
        <v/>
      </c>
      <c r="C248" t="str">
        <f>IF('Equipment Information'!C248="","", 'Equipment Information'!C248)</f>
        <v/>
      </c>
      <c r="D248" t="str">
        <f>IF('Equipment Information'!D248="","", 'Equipment Information'!D248)</f>
        <v/>
      </c>
      <c r="E248" t="str">
        <f>IF(A248="","", IFERROR(VLOOKUP(A248, 'Energized Data'!A:T, 20, FALSE), "N/A"))</f>
        <v/>
      </c>
      <c r="F248" t="str">
        <f>IF(A248="","", IFERROR(VLOOKUP(A248, Insulation!A:J, 9, FALSE), "N/A"))</f>
        <v/>
      </c>
      <c r="G248" t="str">
        <f>IF(A248="","", IFERROR(VLOOKUP(A248, DLRO!A:I, 8, FALSE), "N/A"))</f>
        <v/>
      </c>
      <c r="H248" t="str">
        <f>IF(A248="","", IFERROR(VLOOKUP(A248, Torque!A:I, 8, FALSE), "N/A"))</f>
        <v/>
      </c>
      <c r="I248" t="str">
        <f>IF(A248="","", IFERROR(VLOOKUP(A248, Infrared!A:G, 6, FALSE), "N/A"))</f>
        <v/>
      </c>
      <c r="J248" t="str">
        <f>IF(A248="","", IFERROR(VLOOKUP(A248, Ultrasonic!A:H, 7, FALSE), "N/A"))</f>
        <v/>
      </c>
      <c r="K248" t="str">
        <f>IF(A248="","", IFERROR(VLOOKUP(A248, 'Code Violations'!A:V, 22, FALSE), "N/A"))</f>
        <v/>
      </c>
      <c r="L248" t="str">
        <f t="shared" si="3"/>
        <v/>
      </c>
    </row>
    <row r="249" spans="1:12" x14ac:dyDescent="0.25">
      <c r="A249" t="str">
        <f>IF('Equipment Information'!A249="","", 'Equipment Information'!A249)</f>
        <v/>
      </c>
      <c r="B249" t="str">
        <f>IF('Equipment Information'!B249="","", 'Equipment Information'!B249)</f>
        <v/>
      </c>
      <c r="C249" t="str">
        <f>IF('Equipment Information'!C249="","", 'Equipment Information'!C249)</f>
        <v/>
      </c>
      <c r="D249" t="str">
        <f>IF('Equipment Information'!D249="","", 'Equipment Information'!D249)</f>
        <v/>
      </c>
      <c r="E249" t="str">
        <f>IF(A249="","", IFERROR(VLOOKUP(A249, 'Energized Data'!A:T, 20, FALSE), "N/A"))</f>
        <v/>
      </c>
      <c r="F249" t="str">
        <f>IF(A249="","", IFERROR(VLOOKUP(A249, Insulation!A:J, 9, FALSE), "N/A"))</f>
        <v/>
      </c>
      <c r="G249" t="str">
        <f>IF(A249="","", IFERROR(VLOOKUP(A249, DLRO!A:I, 8, FALSE), "N/A"))</f>
        <v/>
      </c>
      <c r="H249" t="str">
        <f>IF(A249="","", IFERROR(VLOOKUP(A249, Torque!A:I, 8, FALSE), "N/A"))</f>
        <v/>
      </c>
      <c r="I249" t="str">
        <f>IF(A249="","", IFERROR(VLOOKUP(A249, Infrared!A:G, 6, FALSE), "N/A"))</f>
        <v/>
      </c>
      <c r="J249" t="str">
        <f>IF(A249="","", IFERROR(VLOOKUP(A249, Ultrasonic!A:H, 7, FALSE), "N/A"))</f>
        <v/>
      </c>
      <c r="K249" t="str">
        <f>IF(A249="","", IFERROR(VLOOKUP(A249, 'Code Violations'!A:V, 22, FALSE), "N/A"))</f>
        <v/>
      </c>
      <c r="L249" t="str">
        <f t="shared" si="3"/>
        <v/>
      </c>
    </row>
    <row r="250" spans="1:12" x14ac:dyDescent="0.25">
      <c r="A250" t="str">
        <f>IF('Equipment Information'!A250="","", 'Equipment Information'!A250)</f>
        <v/>
      </c>
      <c r="B250" t="str">
        <f>IF('Equipment Information'!B250="","", 'Equipment Information'!B250)</f>
        <v/>
      </c>
      <c r="C250" t="str">
        <f>IF('Equipment Information'!C250="","", 'Equipment Information'!C250)</f>
        <v/>
      </c>
      <c r="D250" t="str">
        <f>IF('Equipment Information'!D250="","", 'Equipment Information'!D250)</f>
        <v/>
      </c>
      <c r="E250" t="str">
        <f>IF(A250="","", IFERROR(VLOOKUP(A250, 'Energized Data'!A:T, 20, FALSE), "N/A"))</f>
        <v/>
      </c>
      <c r="F250" t="str">
        <f>IF(A250="","", IFERROR(VLOOKUP(A250, Insulation!A:J, 9, FALSE), "N/A"))</f>
        <v/>
      </c>
      <c r="G250" t="str">
        <f>IF(A250="","", IFERROR(VLOOKUP(A250, DLRO!A:I, 8, FALSE), "N/A"))</f>
        <v/>
      </c>
      <c r="H250" t="str">
        <f>IF(A250="","", IFERROR(VLOOKUP(A250, Torque!A:I, 8, FALSE), "N/A"))</f>
        <v/>
      </c>
      <c r="I250" t="str">
        <f>IF(A250="","", IFERROR(VLOOKUP(A250, Infrared!A:G, 6, FALSE), "N/A"))</f>
        <v/>
      </c>
      <c r="J250" t="str">
        <f>IF(A250="","", IFERROR(VLOOKUP(A250, Ultrasonic!A:H, 7, FALSE), "N/A"))</f>
        <v/>
      </c>
      <c r="K250" t="str">
        <f>IF(A250="","", IFERROR(VLOOKUP(A250, 'Code Violations'!A:V, 22, FALSE), "N/A"))</f>
        <v/>
      </c>
      <c r="L250" t="str">
        <f t="shared" si="3"/>
        <v/>
      </c>
    </row>
    <row r="251" spans="1:12" x14ac:dyDescent="0.25">
      <c r="A251" t="str">
        <f>IF('Equipment Information'!A251="","", 'Equipment Information'!A251)</f>
        <v/>
      </c>
      <c r="B251" t="str">
        <f>IF('Equipment Information'!B251="","", 'Equipment Information'!B251)</f>
        <v/>
      </c>
      <c r="C251" t="str">
        <f>IF('Equipment Information'!C251="","", 'Equipment Information'!C251)</f>
        <v/>
      </c>
      <c r="D251" t="str">
        <f>IF('Equipment Information'!D251="","", 'Equipment Information'!D251)</f>
        <v/>
      </c>
      <c r="E251" t="str">
        <f>IF(A251="","", IFERROR(VLOOKUP(A251, 'Energized Data'!A:T, 20, FALSE), "N/A"))</f>
        <v/>
      </c>
      <c r="F251" t="str">
        <f>IF(A251="","", IFERROR(VLOOKUP(A251, Insulation!A:J, 9, FALSE), "N/A"))</f>
        <v/>
      </c>
      <c r="G251" t="str">
        <f>IF(A251="","", IFERROR(VLOOKUP(A251, DLRO!A:I, 8, FALSE), "N/A"))</f>
        <v/>
      </c>
      <c r="H251" t="str">
        <f>IF(A251="","", IFERROR(VLOOKUP(A251, Torque!A:I, 8, FALSE), "N/A"))</f>
        <v/>
      </c>
      <c r="I251" t="str">
        <f>IF(A251="","", IFERROR(VLOOKUP(A251, Infrared!A:G, 6, FALSE), "N/A"))</f>
        <v/>
      </c>
      <c r="J251" t="str">
        <f>IF(A251="","", IFERROR(VLOOKUP(A251, Ultrasonic!A:H, 7, FALSE), "N/A"))</f>
        <v/>
      </c>
      <c r="K251" t="str">
        <f>IF(A251="","", IFERROR(VLOOKUP(A251, 'Code Violations'!A:V, 22, FALSE), "N/A"))</f>
        <v/>
      </c>
      <c r="L251" t="str">
        <f t="shared" si="3"/>
        <v/>
      </c>
    </row>
    <row r="252" spans="1:12" x14ac:dyDescent="0.25">
      <c r="A252" t="str">
        <f>IF('Equipment Information'!A252="","", 'Equipment Information'!A252)</f>
        <v/>
      </c>
      <c r="B252" t="str">
        <f>IF('Equipment Information'!B252="","", 'Equipment Information'!B252)</f>
        <v/>
      </c>
      <c r="C252" t="str">
        <f>IF('Equipment Information'!C252="","", 'Equipment Information'!C252)</f>
        <v/>
      </c>
      <c r="D252" t="str">
        <f>IF('Equipment Information'!D252="","", 'Equipment Information'!D252)</f>
        <v/>
      </c>
      <c r="E252" t="str">
        <f>IF(A252="","", IFERROR(VLOOKUP(A252, 'Energized Data'!A:T, 20, FALSE), "N/A"))</f>
        <v/>
      </c>
      <c r="F252" t="str">
        <f>IF(A252="","", IFERROR(VLOOKUP(A252, Insulation!A:J, 9, FALSE), "N/A"))</f>
        <v/>
      </c>
      <c r="G252" t="str">
        <f>IF(A252="","", IFERROR(VLOOKUP(A252, DLRO!A:I, 8, FALSE), "N/A"))</f>
        <v/>
      </c>
      <c r="H252" t="str">
        <f>IF(A252="","", IFERROR(VLOOKUP(A252, Torque!A:I, 8, FALSE), "N/A"))</f>
        <v/>
      </c>
      <c r="I252" t="str">
        <f>IF(A252="","", IFERROR(VLOOKUP(A252, Infrared!A:G, 6, FALSE), "N/A"))</f>
        <v/>
      </c>
      <c r="J252" t="str">
        <f>IF(A252="","", IFERROR(VLOOKUP(A252, Ultrasonic!A:H, 7, FALSE), "N/A"))</f>
        <v/>
      </c>
      <c r="K252" t="str">
        <f>IF(A252="","", IFERROR(VLOOKUP(A252, 'Code Violations'!A:V, 22, FALSE), "N/A"))</f>
        <v/>
      </c>
      <c r="L252" t="str">
        <f t="shared" si="3"/>
        <v/>
      </c>
    </row>
    <row r="253" spans="1:12" x14ac:dyDescent="0.25">
      <c r="A253" t="str">
        <f>IF('Equipment Information'!A253="","", 'Equipment Information'!A253)</f>
        <v/>
      </c>
      <c r="B253" t="str">
        <f>IF('Equipment Information'!B253="","", 'Equipment Information'!B253)</f>
        <v/>
      </c>
      <c r="C253" t="str">
        <f>IF('Equipment Information'!C253="","", 'Equipment Information'!C253)</f>
        <v/>
      </c>
      <c r="D253" t="str">
        <f>IF('Equipment Information'!D253="","", 'Equipment Information'!D253)</f>
        <v/>
      </c>
      <c r="E253" t="str">
        <f>IF(A253="","", IFERROR(VLOOKUP(A253, 'Energized Data'!A:T, 20, FALSE), "N/A"))</f>
        <v/>
      </c>
      <c r="F253" t="str">
        <f>IF(A253="","", IFERROR(VLOOKUP(A253, Insulation!A:J, 9, FALSE), "N/A"))</f>
        <v/>
      </c>
      <c r="G253" t="str">
        <f>IF(A253="","", IFERROR(VLOOKUP(A253, DLRO!A:I, 8, FALSE), "N/A"))</f>
        <v/>
      </c>
      <c r="H253" t="str">
        <f>IF(A253="","", IFERROR(VLOOKUP(A253, Torque!A:I, 8, FALSE), "N/A"))</f>
        <v/>
      </c>
      <c r="I253" t="str">
        <f>IF(A253="","", IFERROR(VLOOKUP(A253, Infrared!A:G, 6, FALSE), "N/A"))</f>
        <v/>
      </c>
      <c r="J253" t="str">
        <f>IF(A253="","", IFERROR(VLOOKUP(A253, Ultrasonic!A:H, 7, FALSE), "N/A"))</f>
        <v/>
      </c>
      <c r="K253" t="str">
        <f>IF(A253="","", IFERROR(VLOOKUP(A253, 'Code Violations'!A:V, 22, FALSE), "N/A"))</f>
        <v/>
      </c>
      <c r="L253" t="str">
        <f t="shared" si="3"/>
        <v/>
      </c>
    </row>
    <row r="254" spans="1:12" x14ac:dyDescent="0.25">
      <c r="A254" t="str">
        <f>IF('Equipment Information'!A254="","", 'Equipment Information'!A254)</f>
        <v/>
      </c>
      <c r="B254" t="str">
        <f>IF('Equipment Information'!B254="","", 'Equipment Information'!B254)</f>
        <v/>
      </c>
      <c r="C254" t="str">
        <f>IF('Equipment Information'!C254="","", 'Equipment Information'!C254)</f>
        <v/>
      </c>
      <c r="D254" t="str">
        <f>IF('Equipment Information'!D254="","", 'Equipment Information'!D254)</f>
        <v/>
      </c>
      <c r="E254" t="str">
        <f>IF(A254="","", IFERROR(VLOOKUP(A254, 'Energized Data'!A:T, 20, FALSE), "N/A"))</f>
        <v/>
      </c>
      <c r="F254" t="str">
        <f>IF(A254="","", IFERROR(VLOOKUP(A254, Insulation!A:J, 9, FALSE), "N/A"))</f>
        <v/>
      </c>
      <c r="G254" t="str">
        <f>IF(A254="","", IFERROR(VLOOKUP(A254, DLRO!A:I, 8, FALSE), "N/A"))</f>
        <v/>
      </c>
      <c r="H254" t="str">
        <f>IF(A254="","", IFERROR(VLOOKUP(A254, Torque!A:I, 8, FALSE), "N/A"))</f>
        <v/>
      </c>
      <c r="I254" t="str">
        <f>IF(A254="","", IFERROR(VLOOKUP(A254, Infrared!A:G, 6, FALSE), "N/A"))</f>
        <v/>
      </c>
      <c r="J254" t="str">
        <f>IF(A254="","", IFERROR(VLOOKUP(A254, Ultrasonic!A:H, 7, FALSE), "N/A"))</f>
        <v/>
      </c>
      <c r="K254" t="str">
        <f>IF(A254="","", IFERROR(VLOOKUP(A254, 'Code Violations'!A:V, 22, FALSE), "N/A"))</f>
        <v/>
      </c>
      <c r="L254" t="str">
        <f t="shared" si="3"/>
        <v/>
      </c>
    </row>
    <row r="255" spans="1:12" x14ac:dyDescent="0.25">
      <c r="A255" t="str">
        <f>IF('Equipment Information'!A255="","", 'Equipment Information'!A255)</f>
        <v/>
      </c>
      <c r="B255" t="str">
        <f>IF('Equipment Information'!B255="","", 'Equipment Information'!B255)</f>
        <v/>
      </c>
      <c r="C255" t="str">
        <f>IF('Equipment Information'!C255="","", 'Equipment Information'!C255)</f>
        <v/>
      </c>
      <c r="D255" t="str">
        <f>IF('Equipment Information'!D255="","", 'Equipment Information'!D255)</f>
        <v/>
      </c>
      <c r="E255" t="str">
        <f>IF(A255="","", IFERROR(VLOOKUP(A255, 'Energized Data'!A:T, 20, FALSE), "N/A"))</f>
        <v/>
      </c>
      <c r="F255" t="str">
        <f>IF(A255="","", IFERROR(VLOOKUP(A255, Insulation!A:J, 9, FALSE), "N/A"))</f>
        <v/>
      </c>
      <c r="G255" t="str">
        <f>IF(A255="","", IFERROR(VLOOKUP(A255, DLRO!A:I, 8, FALSE), "N/A"))</f>
        <v/>
      </c>
      <c r="H255" t="str">
        <f>IF(A255="","", IFERROR(VLOOKUP(A255, Torque!A:I, 8, FALSE), "N/A"))</f>
        <v/>
      </c>
      <c r="I255" t="str">
        <f>IF(A255="","", IFERROR(VLOOKUP(A255, Infrared!A:G, 6, FALSE), "N/A"))</f>
        <v/>
      </c>
      <c r="J255" t="str">
        <f>IF(A255="","", IFERROR(VLOOKUP(A255, Ultrasonic!A:H, 7, FALSE), "N/A"))</f>
        <v/>
      </c>
      <c r="K255" t="str">
        <f>IF(A255="","", IFERROR(VLOOKUP(A255, 'Code Violations'!A:V, 22, FALSE), "N/A"))</f>
        <v/>
      </c>
      <c r="L255" t="str">
        <f t="shared" si="3"/>
        <v/>
      </c>
    </row>
    <row r="256" spans="1:12" x14ac:dyDescent="0.25">
      <c r="A256" t="str">
        <f>IF('Equipment Information'!A256="","", 'Equipment Information'!A256)</f>
        <v/>
      </c>
      <c r="B256" t="str">
        <f>IF('Equipment Information'!B256="","", 'Equipment Information'!B256)</f>
        <v/>
      </c>
      <c r="C256" t="str">
        <f>IF('Equipment Information'!C256="","", 'Equipment Information'!C256)</f>
        <v/>
      </c>
      <c r="D256" t="str">
        <f>IF('Equipment Information'!D256="","", 'Equipment Information'!D256)</f>
        <v/>
      </c>
      <c r="E256" t="str">
        <f>IF(A256="","", IFERROR(VLOOKUP(A256, 'Energized Data'!A:T, 20, FALSE), "N/A"))</f>
        <v/>
      </c>
      <c r="F256" t="str">
        <f>IF(A256="","", IFERROR(VLOOKUP(A256, Insulation!A:J, 9, FALSE), "N/A"))</f>
        <v/>
      </c>
      <c r="G256" t="str">
        <f>IF(A256="","", IFERROR(VLOOKUP(A256, DLRO!A:I, 8, FALSE), "N/A"))</f>
        <v/>
      </c>
      <c r="H256" t="str">
        <f>IF(A256="","", IFERROR(VLOOKUP(A256, Torque!A:I, 8, FALSE), "N/A"))</f>
        <v/>
      </c>
      <c r="I256" t="str">
        <f>IF(A256="","", IFERROR(VLOOKUP(A256, Infrared!A:G, 6, FALSE), "N/A"))</f>
        <v/>
      </c>
      <c r="J256" t="str">
        <f>IF(A256="","", IFERROR(VLOOKUP(A256, Ultrasonic!A:H, 7, FALSE), "N/A"))</f>
        <v/>
      </c>
      <c r="K256" t="str">
        <f>IF(A256="","", IFERROR(VLOOKUP(A256, 'Code Violations'!A:V, 22, FALSE), "N/A"))</f>
        <v/>
      </c>
      <c r="L256" t="str">
        <f t="shared" si="3"/>
        <v/>
      </c>
    </row>
    <row r="257" spans="1:12" x14ac:dyDescent="0.25">
      <c r="A257" t="str">
        <f>IF('Equipment Information'!A257="","", 'Equipment Information'!A257)</f>
        <v/>
      </c>
      <c r="B257" t="str">
        <f>IF('Equipment Information'!B257="","", 'Equipment Information'!B257)</f>
        <v/>
      </c>
      <c r="C257" t="str">
        <f>IF('Equipment Information'!C257="","", 'Equipment Information'!C257)</f>
        <v/>
      </c>
      <c r="D257" t="str">
        <f>IF('Equipment Information'!D257="","", 'Equipment Information'!D257)</f>
        <v/>
      </c>
      <c r="E257" t="str">
        <f>IF(A257="","", IFERROR(VLOOKUP(A257, 'Energized Data'!A:T, 20, FALSE), "N/A"))</f>
        <v/>
      </c>
      <c r="F257" t="str">
        <f>IF(A257="","", IFERROR(VLOOKUP(A257, Insulation!A:J, 9, FALSE), "N/A"))</f>
        <v/>
      </c>
      <c r="G257" t="str">
        <f>IF(A257="","", IFERROR(VLOOKUP(A257, DLRO!A:I, 8, FALSE), "N/A"))</f>
        <v/>
      </c>
      <c r="H257" t="str">
        <f>IF(A257="","", IFERROR(VLOOKUP(A257, Torque!A:I, 8, FALSE), "N/A"))</f>
        <v/>
      </c>
      <c r="I257" t="str">
        <f>IF(A257="","", IFERROR(VLOOKUP(A257, Infrared!A:G, 6, FALSE), "N/A"))</f>
        <v/>
      </c>
      <c r="J257" t="str">
        <f>IF(A257="","", IFERROR(VLOOKUP(A257, Ultrasonic!A:H, 7, FALSE), "N/A"))</f>
        <v/>
      </c>
      <c r="K257" t="str">
        <f>IF(A257="","", IFERROR(VLOOKUP(A257, 'Code Violations'!A:V, 22, FALSE), "N/A"))</f>
        <v/>
      </c>
      <c r="L257" t="str">
        <f t="shared" si="3"/>
        <v/>
      </c>
    </row>
    <row r="258" spans="1:12" x14ac:dyDescent="0.25">
      <c r="A258" t="str">
        <f>IF('Equipment Information'!A258="","", 'Equipment Information'!A258)</f>
        <v/>
      </c>
      <c r="B258" t="str">
        <f>IF('Equipment Information'!B258="","", 'Equipment Information'!B258)</f>
        <v/>
      </c>
      <c r="C258" t="str">
        <f>IF('Equipment Information'!C258="","", 'Equipment Information'!C258)</f>
        <v/>
      </c>
      <c r="D258" t="str">
        <f>IF('Equipment Information'!D258="","", 'Equipment Information'!D258)</f>
        <v/>
      </c>
      <c r="E258" t="str">
        <f>IF(A258="","", IFERROR(VLOOKUP(A258, 'Energized Data'!A:T, 20, FALSE), "N/A"))</f>
        <v/>
      </c>
      <c r="F258" t="str">
        <f>IF(A258="","", IFERROR(VLOOKUP(A258, Insulation!A:J, 9, FALSE), "N/A"))</f>
        <v/>
      </c>
      <c r="G258" t="str">
        <f>IF(A258="","", IFERROR(VLOOKUP(A258, DLRO!A:I, 8, FALSE), "N/A"))</f>
        <v/>
      </c>
      <c r="H258" t="str">
        <f>IF(A258="","", IFERROR(VLOOKUP(A258, Torque!A:I, 8, FALSE), "N/A"))</f>
        <v/>
      </c>
      <c r="I258" t="str">
        <f>IF(A258="","", IFERROR(VLOOKUP(A258, Infrared!A:G, 6, FALSE), "N/A"))</f>
        <v/>
      </c>
      <c r="J258" t="str">
        <f>IF(A258="","", IFERROR(VLOOKUP(A258, Ultrasonic!A:H, 7, FALSE), "N/A"))</f>
        <v/>
      </c>
      <c r="K258" t="str">
        <f>IF(A258="","", IFERROR(VLOOKUP(A258, 'Code Violations'!A:V, 22, FALSE), "N/A"))</f>
        <v/>
      </c>
      <c r="L258" t="str">
        <f t="shared" ref="L258:L321" si="4">IF(A258="","", IF(COUNTIF(E258:K258, "FAIL")&gt;0, "FAIL", "PASS"))</f>
        <v/>
      </c>
    </row>
    <row r="259" spans="1:12" x14ac:dyDescent="0.25">
      <c r="A259" t="str">
        <f>IF('Equipment Information'!A259="","", 'Equipment Information'!A259)</f>
        <v/>
      </c>
      <c r="B259" t="str">
        <f>IF('Equipment Information'!B259="","", 'Equipment Information'!B259)</f>
        <v/>
      </c>
      <c r="C259" t="str">
        <f>IF('Equipment Information'!C259="","", 'Equipment Information'!C259)</f>
        <v/>
      </c>
      <c r="D259" t="str">
        <f>IF('Equipment Information'!D259="","", 'Equipment Information'!D259)</f>
        <v/>
      </c>
      <c r="E259" t="str">
        <f>IF(A259="","", IFERROR(VLOOKUP(A259, 'Energized Data'!A:T, 20, FALSE), "N/A"))</f>
        <v/>
      </c>
      <c r="F259" t="str">
        <f>IF(A259="","", IFERROR(VLOOKUP(A259, Insulation!A:J, 9, FALSE), "N/A"))</f>
        <v/>
      </c>
      <c r="G259" t="str">
        <f>IF(A259="","", IFERROR(VLOOKUP(A259, DLRO!A:I, 8, FALSE), "N/A"))</f>
        <v/>
      </c>
      <c r="H259" t="str">
        <f>IF(A259="","", IFERROR(VLOOKUP(A259, Torque!A:I, 8, FALSE), "N/A"))</f>
        <v/>
      </c>
      <c r="I259" t="str">
        <f>IF(A259="","", IFERROR(VLOOKUP(A259, Infrared!A:G, 6, FALSE), "N/A"))</f>
        <v/>
      </c>
      <c r="J259" t="str">
        <f>IF(A259="","", IFERROR(VLOOKUP(A259, Ultrasonic!A:H, 7, FALSE), "N/A"))</f>
        <v/>
      </c>
      <c r="K259" t="str">
        <f>IF(A259="","", IFERROR(VLOOKUP(A259, 'Code Violations'!A:V, 22, FALSE), "N/A"))</f>
        <v/>
      </c>
      <c r="L259" t="str">
        <f t="shared" si="4"/>
        <v/>
      </c>
    </row>
    <row r="260" spans="1:12" x14ac:dyDescent="0.25">
      <c r="A260" t="str">
        <f>IF('Equipment Information'!A260="","", 'Equipment Information'!A260)</f>
        <v/>
      </c>
      <c r="B260" t="str">
        <f>IF('Equipment Information'!B260="","", 'Equipment Information'!B260)</f>
        <v/>
      </c>
      <c r="C260" t="str">
        <f>IF('Equipment Information'!C260="","", 'Equipment Information'!C260)</f>
        <v/>
      </c>
      <c r="D260" t="str">
        <f>IF('Equipment Information'!D260="","", 'Equipment Information'!D260)</f>
        <v/>
      </c>
      <c r="E260" t="str">
        <f>IF(A260="","", IFERROR(VLOOKUP(A260, 'Energized Data'!A:T, 20, FALSE), "N/A"))</f>
        <v/>
      </c>
      <c r="F260" t="str">
        <f>IF(A260="","", IFERROR(VLOOKUP(A260, Insulation!A:J, 9, FALSE), "N/A"))</f>
        <v/>
      </c>
      <c r="G260" t="str">
        <f>IF(A260="","", IFERROR(VLOOKUP(A260, DLRO!A:I, 8, FALSE), "N/A"))</f>
        <v/>
      </c>
      <c r="H260" t="str">
        <f>IF(A260="","", IFERROR(VLOOKUP(A260, Torque!A:I, 8, FALSE), "N/A"))</f>
        <v/>
      </c>
      <c r="I260" t="str">
        <f>IF(A260="","", IFERROR(VLOOKUP(A260, Infrared!A:G, 6, FALSE), "N/A"))</f>
        <v/>
      </c>
      <c r="J260" t="str">
        <f>IF(A260="","", IFERROR(VLOOKUP(A260, Ultrasonic!A:H, 7, FALSE), "N/A"))</f>
        <v/>
      </c>
      <c r="K260" t="str">
        <f>IF(A260="","", IFERROR(VLOOKUP(A260, 'Code Violations'!A:V, 22, FALSE), "N/A"))</f>
        <v/>
      </c>
      <c r="L260" t="str">
        <f t="shared" si="4"/>
        <v/>
      </c>
    </row>
    <row r="261" spans="1:12" x14ac:dyDescent="0.25">
      <c r="A261" t="str">
        <f>IF('Equipment Information'!A261="","", 'Equipment Information'!A261)</f>
        <v/>
      </c>
      <c r="B261" t="str">
        <f>IF('Equipment Information'!B261="","", 'Equipment Information'!B261)</f>
        <v/>
      </c>
      <c r="C261" t="str">
        <f>IF('Equipment Information'!C261="","", 'Equipment Information'!C261)</f>
        <v/>
      </c>
      <c r="D261" t="str">
        <f>IF('Equipment Information'!D261="","", 'Equipment Information'!D261)</f>
        <v/>
      </c>
      <c r="E261" t="str">
        <f>IF(A261="","", IFERROR(VLOOKUP(A261, 'Energized Data'!A:T, 20, FALSE), "N/A"))</f>
        <v/>
      </c>
      <c r="F261" t="str">
        <f>IF(A261="","", IFERROR(VLOOKUP(A261, Insulation!A:J, 9, FALSE), "N/A"))</f>
        <v/>
      </c>
      <c r="G261" t="str">
        <f>IF(A261="","", IFERROR(VLOOKUP(A261, DLRO!A:I, 8, FALSE), "N/A"))</f>
        <v/>
      </c>
      <c r="H261" t="str">
        <f>IF(A261="","", IFERROR(VLOOKUP(A261, Torque!A:I, 8, FALSE), "N/A"))</f>
        <v/>
      </c>
      <c r="I261" t="str">
        <f>IF(A261="","", IFERROR(VLOOKUP(A261, Infrared!A:G, 6, FALSE), "N/A"))</f>
        <v/>
      </c>
      <c r="J261" t="str">
        <f>IF(A261="","", IFERROR(VLOOKUP(A261, Ultrasonic!A:H, 7, FALSE), "N/A"))</f>
        <v/>
      </c>
      <c r="K261" t="str">
        <f>IF(A261="","", IFERROR(VLOOKUP(A261, 'Code Violations'!A:V, 22, FALSE), "N/A"))</f>
        <v/>
      </c>
      <c r="L261" t="str">
        <f t="shared" si="4"/>
        <v/>
      </c>
    </row>
    <row r="262" spans="1:12" x14ac:dyDescent="0.25">
      <c r="A262" t="str">
        <f>IF('Equipment Information'!A262="","", 'Equipment Information'!A262)</f>
        <v/>
      </c>
      <c r="B262" t="str">
        <f>IF('Equipment Information'!B262="","", 'Equipment Information'!B262)</f>
        <v/>
      </c>
      <c r="C262" t="str">
        <f>IF('Equipment Information'!C262="","", 'Equipment Information'!C262)</f>
        <v/>
      </c>
      <c r="D262" t="str">
        <f>IF('Equipment Information'!D262="","", 'Equipment Information'!D262)</f>
        <v/>
      </c>
      <c r="E262" t="str">
        <f>IF(A262="","", IFERROR(VLOOKUP(A262, 'Energized Data'!A:T, 20, FALSE), "N/A"))</f>
        <v/>
      </c>
      <c r="F262" t="str">
        <f>IF(A262="","", IFERROR(VLOOKUP(A262, Insulation!A:J, 9, FALSE), "N/A"))</f>
        <v/>
      </c>
      <c r="G262" t="str">
        <f>IF(A262="","", IFERROR(VLOOKUP(A262, DLRO!A:I, 8, FALSE), "N/A"))</f>
        <v/>
      </c>
      <c r="H262" t="str">
        <f>IF(A262="","", IFERROR(VLOOKUP(A262, Torque!A:I, 8, FALSE), "N/A"))</f>
        <v/>
      </c>
      <c r="I262" t="str">
        <f>IF(A262="","", IFERROR(VLOOKUP(A262, Infrared!A:G, 6, FALSE), "N/A"))</f>
        <v/>
      </c>
      <c r="J262" t="str">
        <f>IF(A262="","", IFERROR(VLOOKUP(A262, Ultrasonic!A:H, 7, FALSE), "N/A"))</f>
        <v/>
      </c>
      <c r="K262" t="str">
        <f>IF(A262="","", IFERROR(VLOOKUP(A262, 'Code Violations'!A:V, 22, FALSE), "N/A"))</f>
        <v/>
      </c>
      <c r="L262" t="str">
        <f t="shared" si="4"/>
        <v/>
      </c>
    </row>
    <row r="263" spans="1:12" x14ac:dyDescent="0.25">
      <c r="A263" t="str">
        <f>IF('Equipment Information'!A263="","", 'Equipment Information'!A263)</f>
        <v/>
      </c>
      <c r="B263" t="str">
        <f>IF('Equipment Information'!B263="","", 'Equipment Information'!B263)</f>
        <v/>
      </c>
      <c r="C263" t="str">
        <f>IF('Equipment Information'!C263="","", 'Equipment Information'!C263)</f>
        <v/>
      </c>
      <c r="D263" t="str">
        <f>IF('Equipment Information'!D263="","", 'Equipment Information'!D263)</f>
        <v/>
      </c>
      <c r="E263" t="str">
        <f>IF(A263="","", IFERROR(VLOOKUP(A263, 'Energized Data'!A:T, 20, FALSE), "N/A"))</f>
        <v/>
      </c>
      <c r="F263" t="str">
        <f>IF(A263="","", IFERROR(VLOOKUP(A263, Insulation!A:J, 9, FALSE), "N/A"))</f>
        <v/>
      </c>
      <c r="G263" t="str">
        <f>IF(A263="","", IFERROR(VLOOKUP(A263, DLRO!A:I, 8, FALSE), "N/A"))</f>
        <v/>
      </c>
      <c r="H263" t="str">
        <f>IF(A263="","", IFERROR(VLOOKUP(A263, Torque!A:I, 8, FALSE), "N/A"))</f>
        <v/>
      </c>
      <c r="I263" t="str">
        <f>IF(A263="","", IFERROR(VLOOKUP(A263, Infrared!A:G, 6, FALSE), "N/A"))</f>
        <v/>
      </c>
      <c r="J263" t="str">
        <f>IF(A263="","", IFERROR(VLOOKUP(A263, Ultrasonic!A:H, 7, FALSE), "N/A"))</f>
        <v/>
      </c>
      <c r="K263" t="str">
        <f>IF(A263="","", IFERROR(VLOOKUP(A263, 'Code Violations'!A:V, 22, FALSE), "N/A"))</f>
        <v/>
      </c>
      <c r="L263" t="str">
        <f t="shared" si="4"/>
        <v/>
      </c>
    </row>
    <row r="264" spans="1:12" x14ac:dyDescent="0.25">
      <c r="A264" t="str">
        <f>IF('Equipment Information'!A264="","", 'Equipment Information'!A264)</f>
        <v/>
      </c>
      <c r="B264" t="str">
        <f>IF('Equipment Information'!B264="","", 'Equipment Information'!B264)</f>
        <v/>
      </c>
      <c r="C264" t="str">
        <f>IF('Equipment Information'!C264="","", 'Equipment Information'!C264)</f>
        <v/>
      </c>
      <c r="D264" t="str">
        <f>IF('Equipment Information'!D264="","", 'Equipment Information'!D264)</f>
        <v/>
      </c>
      <c r="E264" t="str">
        <f>IF(A264="","", IFERROR(VLOOKUP(A264, 'Energized Data'!A:T, 20, FALSE), "N/A"))</f>
        <v/>
      </c>
      <c r="F264" t="str">
        <f>IF(A264="","", IFERROR(VLOOKUP(A264, Insulation!A:J, 9, FALSE), "N/A"))</f>
        <v/>
      </c>
      <c r="G264" t="str">
        <f>IF(A264="","", IFERROR(VLOOKUP(A264, DLRO!A:I, 8, FALSE), "N/A"))</f>
        <v/>
      </c>
      <c r="H264" t="str">
        <f>IF(A264="","", IFERROR(VLOOKUP(A264, Torque!A:I, 8, FALSE), "N/A"))</f>
        <v/>
      </c>
      <c r="I264" t="str">
        <f>IF(A264="","", IFERROR(VLOOKUP(A264, Infrared!A:G, 6, FALSE), "N/A"))</f>
        <v/>
      </c>
      <c r="J264" t="str">
        <f>IF(A264="","", IFERROR(VLOOKUP(A264, Ultrasonic!A:H, 7, FALSE), "N/A"))</f>
        <v/>
      </c>
      <c r="K264" t="str">
        <f>IF(A264="","", IFERROR(VLOOKUP(A264, 'Code Violations'!A:V, 22, FALSE), "N/A"))</f>
        <v/>
      </c>
      <c r="L264" t="str">
        <f t="shared" si="4"/>
        <v/>
      </c>
    </row>
    <row r="265" spans="1:12" x14ac:dyDescent="0.25">
      <c r="A265" t="str">
        <f>IF('Equipment Information'!A265="","", 'Equipment Information'!A265)</f>
        <v/>
      </c>
      <c r="B265" t="str">
        <f>IF('Equipment Information'!B265="","", 'Equipment Information'!B265)</f>
        <v/>
      </c>
      <c r="C265" t="str">
        <f>IF('Equipment Information'!C265="","", 'Equipment Information'!C265)</f>
        <v/>
      </c>
      <c r="D265" t="str">
        <f>IF('Equipment Information'!D265="","", 'Equipment Information'!D265)</f>
        <v/>
      </c>
      <c r="E265" t="str">
        <f>IF(A265="","", IFERROR(VLOOKUP(A265, 'Energized Data'!A:T, 20, FALSE), "N/A"))</f>
        <v/>
      </c>
      <c r="F265" t="str">
        <f>IF(A265="","", IFERROR(VLOOKUP(A265, Insulation!A:J, 9, FALSE), "N/A"))</f>
        <v/>
      </c>
      <c r="G265" t="str">
        <f>IF(A265="","", IFERROR(VLOOKUP(A265, DLRO!A:I, 8, FALSE), "N/A"))</f>
        <v/>
      </c>
      <c r="H265" t="str">
        <f>IF(A265="","", IFERROR(VLOOKUP(A265, Torque!A:I, 8, FALSE), "N/A"))</f>
        <v/>
      </c>
      <c r="I265" t="str">
        <f>IF(A265="","", IFERROR(VLOOKUP(A265, Infrared!A:G, 6, FALSE), "N/A"))</f>
        <v/>
      </c>
      <c r="J265" t="str">
        <f>IF(A265="","", IFERROR(VLOOKUP(A265, Ultrasonic!A:H, 7, FALSE), "N/A"))</f>
        <v/>
      </c>
      <c r="K265" t="str">
        <f>IF(A265="","", IFERROR(VLOOKUP(A265, 'Code Violations'!A:V, 22, FALSE), "N/A"))</f>
        <v/>
      </c>
      <c r="L265" t="str">
        <f t="shared" si="4"/>
        <v/>
      </c>
    </row>
    <row r="266" spans="1:12" x14ac:dyDescent="0.25">
      <c r="A266" t="str">
        <f>IF('Equipment Information'!A266="","", 'Equipment Information'!A266)</f>
        <v/>
      </c>
      <c r="B266" t="str">
        <f>IF('Equipment Information'!B266="","", 'Equipment Information'!B266)</f>
        <v/>
      </c>
      <c r="C266" t="str">
        <f>IF('Equipment Information'!C266="","", 'Equipment Information'!C266)</f>
        <v/>
      </c>
      <c r="D266" t="str">
        <f>IF('Equipment Information'!D266="","", 'Equipment Information'!D266)</f>
        <v/>
      </c>
      <c r="E266" t="str">
        <f>IF(A266="","", IFERROR(VLOOKUP(A266, 'Energized Data'!A:T, 20, FALSE), "N/A"))</f>
        <v/>
      </c>
      <c r="F266" t="str">
        <f>IF(A266="","", IFERROR(VLOOKUP(A266, Insulation!A:J, 9, FALSE), "N/A"))</f>
        <v/>
      </c>
      <c r="G266" t="str">
        <f>IF(A266="","", IFERROR(VLOOKUP(A266, DLRO!A:I, 8, FALSE), "N/A"))</f>
        <v/>
      </c>
      <c r="H266" t="str">
        <f>IF(A266="","", IFERROR(VLOOKUP(A266, Torque!A:I, 8, FALSE), "N/A"))</f>
        <v/>
      </c>
      <c r="I266" t="str">
        <f>IF(A266="","", IFERROR(VLOOKUP(A266, Infrared!A:G, 6, FALSE), "N/A"))</f>
        <v/>
      </c>
      <c r="J266" t="str">
        <f>IF(A266="","", IFERROR(VLOOKUP(A266, Ultrasonic!A:H, 7, FALSE), "N/A"))</f>
        <v/>
      </c>
      <c r="K266" t="str">
        <f>IF(A266="","", IFERROR(VLOOKUP(A266, 'Code Violations'!A:V, 22, FALSE), "N/A"))</f>
        <v/>
      </c>
      <c r="L266" t="str">
        <f t="shared" si="4"/>
        <v/>
      </c>
    </row>
    <row r="267" spans="1:12" x14ac:dyDescent="0.25">
      <c r="A267" t="str">
        <f>IF('Equipment Information'!A267="","", 'Equipment Information'!A267)</f>
        <v/>
      </c>
      <c r="B267" t="str">
        <f>IF('Equipment Information'!B267="","", 'Equipment Information'!B267)</f>
        <v/>
      </c>
      <c r="C267" t="str">
        <f>IF('Equipment Information'!C267="","", 'Equipment Information'!C267)</f>
        <v/>
      </c>
      <c r="D267" t="str">
        <f>IF('Equipment Information'!D267="","", 'Equipment Information'!D267)</f>
        <v/>
      </c>
      <c r="E267" t="str">
        <f>IF(A267="","", IFERROR(VLOOKUP(A267, 'Energized Data'!A:T, 20, FALSE), "N/A"))</f>
        <v/>
      </c>
      <c r="F267" t="str">
        <f>IF(A267="","", IFERROR(VLOOKUP(A267, Insulation!A:J, 9, FALSE), "N/A"))</f>
        <v/>
      </c>
      <c r="G267" t="str">
        <f>IF(A267="","", IFERROR(VLOOKUP(A267, DLRO!A:I, 8, FALSE), "N/A"))</f>
        <v/>
      </c>
      <c r="H267" t="str">
        <f>IF(A267="","", IFERROR(VLOOKUP(A267, Torque!A:I, 8, FALSE), "N/A"))</f>
        <v/>
      </c>
      <c r="I267" t="str">
        <f>IF(A267="","", IFERROR(VLOOKUP(A267, Infrared!A:G, 6, FALSE), "N/A"))</f>
        <v/>
      </c>
      <c r="J267" t="str">
        <f>IF(A267="","", IFERROR(VLOOKUP(A267, Ultrasonic!A:H, 7, FALSE), "N/A"))</f>
        <v/>
      </c>
      <c r="K267" t="str">
        <f>IF(A267="","", IFERROR(VLOOKUP(A267, 'Code Violations'!A:V, 22, FALSE), "N/A"))</f>
        <v/>
      </c>
      <c r="L267" t="str">
        <f t="shared" si="4"/>
        <v/>
      </c>
    </row>
    <row r="268" spans="1:12" x14ac:dyDescent="0.25">
      <c r="A268" t="str">
        <f>IF('Equipment Information'!A268="","", 'Equipment Information'!A268)</f>
        <v/>
      </c>
      <c r="B268" t="str">
        <f>IF('Equipment Information'!B268="","", 'Equipment Information'!B268)</f>
        <v/>
      </c>
      <c r="C268" t="str">
        <f>IF('Equipment Information'!C268="","", 'Equipment Information'!C268)</f>
        <v/>
      </c>
      <c r="D268" t="str">
        <f>IF('Equipment Information'!D268="","", 'Equipment Information'!D268)</f>
        <v/>
      </c>
      <c r="E268" t="str">
        <f>IF(A268="","", IFERROR(VLOOKUP(A268, 'Energized Data'!A:T, 20, FALSE), "N/A"))</f>
        <v/>
      </c>
      <c r="F268" t="str">
        <f>IF(A268="","", IFERROR(VLOOKUP(A268, Insulation!A:J, 9, FALSE), "N/A"))</f>
        <v/>
      </c>
      <c r="G268" t="str">
        <f>IF(A268="","", IFERROR(VLOOKUP(A268, DLRO!A:I, 8, FALSE), "N/A"))</f>
        <v/>
      </c>
      <c r="H268" t="str">
        <f>IF(A268="","", IFERROR(VLOOKUP(A268, Torque!A:I, 8, FALSE), "N/A"))</f>
        <v/>
      </c>
      <c r="I268" t="str">
        <f>IF(A268="","", IFERROR(VLOOKUP(A268, Infrared!A:G, 6, FALSE), "N/A"))</f>
        <v/>
      </c>
      <c r="J268" t="str">
        <f>IF(A268="","", IFERROR(VLOOKUP(A268, Ultrasonic!A:H, 7, FALSE), "N/A"))</f>
        <v/>
      </c>
      <c r="K268" t="str">
        <f>IF(A268="","", IFERROR(VLOOKUP(A268, 'Code Violations'!A:V, 22, FALSE), "N/A"))</f>
        <v/>
      </c>
      <c r="L268" t="str">
        <f t="shared" si="4"/>
        <v/>
      </c>
    </row>
    <row r="269" spans="1:12" x14ac:dyDescent="0.25">
      <c r="A269" t="str">
        <f>IF('Equipment Information'!A269="","", 'Equipment Information'!A269)</f>
        <v/>
      </c>
      <c r="B269" t="str">
        <f>IF('Equipment Information'!B269="","", 'Equipment Information'!B269)</f>
        <v/>
      </c>
      <c r="C269" t="str">
        <f>IF('Equipment Information'!C269="","", 'Equipment Information'!C269)</f>
        <v/>
      </c>
      <c r="D269" t="str">
        <f>IF('Equipment Information'!D269="","", 'Equipment Information'!D269)</f>
        <v/>
      </c>
      <c r="E269" t="str">
        <f>IF(A269="","", IFERROR(VLOOKUP(A269, 'Energized Data'!A:T, 20, FALSE), "N/A"))</f>
        <v/>
      </c>
      <c r="F269" t="str">
        <f>IF(A269="","", IFERROR(VLOOKUP(A269, Insulation!A:J, 9, FALSE), "N/A"))</f>
        <v/>
      </c>
      <c r="G269" t="str">
        <f>IF(A269="","", IFERROR(VLOOKUP(A269, DLRO!A:I, 8, FALSE), "N/A"))</f>
        <v/>
      </c>
      <c r="H269" t="str">
        <f>IF(A269="","", IFERROR(VLOOKUP(A269, Torque!A:I, 8, FALSE), "N/A"))</f>
        <v/>
      </c>
      <c r="I269" t="str">
        <f>IF(A269="","", IFERROR(VLOOKUP(A269, Infrared!A:G, 6, FALSE), "N/A"))</f>
        <v/>
      </c>
      <c r="J269" t="str">
        <f>IF(A269="","", IFERROR(VLOOKUP(A269, Ultrasonic!A:H, 7, FALSE), "N/A"))</f>
        <v/>
      </c>
      <c r="K269" t="str">
        <f>IF(A269="","", IFERROR(VLOOKUP(A269, 'Code Violations'!A:V, 22, FALSE), "N/A"))</f>
        <v/>
      </c>
      <c r="L269" t="str">
        <f t="shared" si="4"/>
        <v/>
      </c>
    </row>
    <row r="270" spans="1:12" x14ac:dyDescent="0.25">
      <c r="A270" t="str">
        <f>IF('Equipment Information'!A270="","", 'Equipment Information'!A270)</f>
        <v/>
      </c>
      <c r="B270" t="str">
        <f>IF('Equipment Information'!B270="","", 'Equipment Information'!B270)</f>
        <v/>
      </c>
      <c r="C270" t="str">
        <f>IF('Equipment Information'!C270="","", 'Equipment Information'!C270)</f>
        <v/>
      </c>
      <c r="D270" t="str">
        <f>IF('Equipment Information'!D270="","", 'Equipment Information'!D270)</f>
        <v/>
      </c>
      <c r="E270" t="str">
        <f>IF(A270="","", IFERROR(VLOOKUP(A270, 'Energized Data'!A:T, 20, FALSE), "N/A"))</f>
        <v/>
      </c>
      <c r="F270" t="str">
        <f>IF(A270="","", IFERROR(VLOOKUP(A270, Insulation!A:J, 9, FALSE), "N/A"))</f>
        <v/>
      </c>
      <c r="G270" t="str">
        <f>IF(A270="","", IFERROR(VLOOKUP(A270, DLRO!A:I, 8, FALSE), "N/A"))</f>
        <v/>
      </c>
      <c r="H270" t="str">
        <f>IF(A270="","", IFERROR(VLOOKUP(A270, Torque!A:I, 8, FALSE), "N/A"))</f>
        <v/>
      </c>
      <c r="I270" t="str">
        <f>IF(A270="","", IFERROR(VLOOKUP(A270, Infrared!A:G, 6, FALSE), "N/A"))</f>
        <v/>
      </c>
      <c r="J270" t="str">
        <f>IF(A270="","", IFERROR(VLOOKUP(A270, Ultrasonic!A:H, 7, FALSE), "N/A"))</f>
        <v/>
      </c>
      <c r="K270" t="str">
        <f>IF(A270="","", IFERROR(VLOOKUP(A270, 'Code Violations'!A:V, 22, FALSE), "N/A"))</f>
        <v/>
      </c>
      <c r="L270" t="str">
        <f t="shared" si="4"/>
        <v/>
      </c>
    </row>
    <row r="271" spans="1:12" x14ac:dyDescent="0.25">
      <c r="A271" t="str">
        <f>IF('Equipment Information'!A271="","", 'Equipment Information'!A271)</f>
        <v/>
      </c>
      <c r="B271" t="str">
        <f>IF('Equipment Information'!B271="","", 'Equipment Information'!B271)</f>
        <v/>
      </c>
      <c r="C271" t="str">
        <f>IF('Equipment Information'!C271="","", 'Equipment Information'!C271)</f>
        <v/>
      </c>
      <c r="D271" t="str">
        <f>IF('Equipment Information'!D271="","", 'Equipment Information'!D271)</f>
        <v/>
      </c>
      <c r="E271" t="str">
        <f>IF(A271="","", IFERROR(VLOOKUP(A271, 'Energized Data'!A:T, 20, FALSE), "N/A"))</f>
        <v/>
      </c>
      <c r="F271" t="str">
        <f>IF(A271="","", IFERROR(VLOOKUP(A271, Insulation!A:J, 9, FALSE), "N/A"))</f>
        <v/>
      </c>
      <c r="G271" t="str">
        <f>IF(A271="","", IFERROR(VLOOKUP(A271, DLRO!A:I, 8, FALSE), "N/A"))</f>
        <v/>
      </c>
      <c r="H271" t="str">
        <f>IF(A271="","", IFERROR(VLOOKUP(A271, Torque!A:I, 8, FALSE), "N/A"))</f>
        <v/>
      </c>
      <c r="I271" t="str">
        <f>IF(A271="","", IFERROR(VLOOKUP(A271, Infrared!A:G, 6, FALSE), "N/A"))</f>
        <v/>
      </c>
      <c r="J271" t="str">
        <f>IF(A271="","", IFERROR(VLOOKUP(A271, Ultrasonic!A:H, 7, FALSE), "N/A"))</f>
        <v/>
      </c>
      <c r="K271" t="str">
        <f>IF(A271="","", IFERROR(VLOOKUP(A271, 'Code Violations'!A:V, 22, FALSE), "N/A"))</f>
        <v/>
      </c>
      <c r="L271" t="str">
        <f t="shared" si="4"/>
        <v/>
      </c>
    </row>
    <row r="272" spans="1:12" x14ac:dyDescent="0.25">
      <c r="A272" t="str">
        <f>IF('Equipment Information'!A272="","", 'Equipment Information'!A272)</f>
        <v/>
      </c>
      <c r="B272" t="str">
        <f>IF('Equipment Information'!B272="","", 'Equipment Information'!B272)</f>
        <v/>
      </c>
      <c r="C272" t="str">
        <f>IF('Equipment Information'!C272="","", 'Equipment Information'!C272)</f>
        <v/>
      </c>
      <c r="D272" t="str">
        <f>IF('Equipment Information'!D272="","", 'Equipment Information'!D272)</f>
        <v/>
      </c>
      <c r="E272" t="str">
        <f>IF(A272="","", IFERROR(VLOOKUP(A272, 'Energized Data'!A:T, 20, FALSE), "N/A"))</f>
        <v/>
      </c>
      <c r="F272" t="str">
        <f>IF(A272="","", IFERROR(VLOOKUP(A272, Insulation!A:J, 9, FALSE), "N/A"))</f>
        <v/>
      </c>
      <c r="G272" t="str">
        <f>IF(A272="","", IFERROR(VLOOKUP(A272, DLRO!A:I, 8, FALSE), "N/A"))</f>
        <v/>
      </c>
      <c r="H272" t="str">
        <f>IF(A272="","", IFERROR(VLOOKUP(A272, Torque!A:I, 8, FALSE), "N/A"))</f>
        <v/>
      </c>
      <c r="I272" t="str">
        <f>IF(A272="","", IFERROR(VLOOKUP(A272, Infrared!A:G, 6, FALSE), "N/A"))</f>
        <v/>
      </c>
      <c r="J272" t="str">
        <f>IF(A272="","", IFERROR(VLOOKUP(A272, Ultrasonic!A:H, 7, FALSE), "N/A"))</f>
        <v/>
      </c>
      <c r="K272" t="str">
        <f>IF(A272="","", IFERROR(VLOOKUP(A272, 'Code Violations'!A:V, 22, FALSE), "N/A"))</f>
        <v/>
      </c>
      <c r="L272" t="str">
        <f t="shared" si="4"/>
        <v/>
      </c>
    </row>
    <row r="273" spans="1:12" x14ac:dyDescent="0.25">
      <c r="A273" t="str">
        <f>IF('Equipment Information'!A273="","", 'Equipment Information'!A273)</f>
        <v/>
      </c>
      <c r="B273" t="str">
        <f>IF('Equipment Information'!B273="","", 'Equipment Information'!B273)</f>
        <v/>
      </c>
      <c r="C273" t="str">
        <f>IF('Equipment Information'!C273="","", 'Equipment Information'!C273)</f>
        <v/>
      </c>
      <c r="D273" t="str">
        <f>IF('Equipment Information'!D273="","", 'Equipment Information'!D273)</f>
        <v/>
      </c>
      <c r="E273" t="str">
        <f>IF(A273="","", IFERROR(VLOOKUP(A273, 'Energized Data'!A:T, 20, FALSE), "N/A"))</f>
        <v/>
      </c>
      <c r="F273" t="str">
        <f>IF(A273="","", IFERROR(VLOOKUP(A273, Insulation!A:J, 9, FALSE), "N/A"))</f>
        <v/>
      </c>
      <c r="G273" t="str">
        <f>IF(A273="","", IFERROR(VLOOKUP(A273, DLRO!A:I, 8, FALSE), "N/A"))</f>
        <v/>
      </c>
      <c r="H273" t="str">
        <f>IF(A273="","", IFERROR(VLOOKUP(A273, Torque!A:I, 8, FALSE), "N/A"))</f>
        <v/>
      </c>
      <c r="I273" t="str">
        <f>IF(A273="","", IFERROR(VLOOKUP(A273, Infrared!A:G, 6, FALSE), "N/A"))</f>
        <v/>
      </c>
      <c r="J273" t="str">
        <f>IF(A273="","", IFERROR(VLOOKUP(A273, Ultrasonic!A:H, 7, FALSE), "N/A"))</f>
        <v/>
      </c>
      <c r="K273" t="str">
        <f>IF(A273="","", IFERROR(VLOOKUP(A273, 'Code Violations'!A:V, 22, FALSE), "N/A"))</f>
        <v/>
      </c>
      <c r="L273" t="str">
        <f t="shared" si="4"/>
        <v/>
      </c>
    </row>
    <row r="274" spans="1:12" x14ac:dyDescent="0.25">
      <c r="A274" t="str">
        <f>IF('Equipment Information'!A274="","", 'Equipment Information'!A274)</f>
        <v/>
      </c>
      <c r="B274" t="str">
        <f>IF('Equipment Information'!B274="","", 'Equipment Information'!B274)</f>
        <v/>
      </c>
      <c r="C274" t="str">
        <f>IF('Equipment Information'!C274="","", 'Equipment Information'!C274)</f>
        <v/>
      </c>
      <c r="D274" t="str">
        <f>IF('Equipment Information'!D274="","", 'Equipment Information'!D274)</f>
        <v/>
      </c>
      <c r="E274" t="str">
        <f>IF(A274="","", IFERROR(VLOOKUP(A274, 'Energized Data'!A:T, 20, FALSE), "N/A"))</f>
        <v/>
      </c>
      <c r="F274" t="str">
        <f>IF(A274="","", IFERROR(VLOOKUP(A274, Insulation!A:J, 9, FALSE), "N/A"))</f>
        <v/>
      </c>
      <c r="G274" t="str">
        <f>IF(A274="","", IFERROR(VLOOKUP(A274, DLRO!A:I, 8, FALSE), "N/A"))</f>
        <v/>
      </c>
      <c r="H274" t="str">
        <f>IF(A274="","", IFERROR(VLOOKUP(A274, Torque!A:I, 8, FALSE), "N/A"))</f>
        <v/>
      </c>
      <c r="I274" t="str">
        <f>IF(A274="","", IFERROR(VLOOKUP(A274, Infrared!A:G, 6, FALSE), "N/A"))</f>
        <v/>
      </c>
      <c r="J274" t="str">
        <f>IF(A274="","", IFERROR(VLOOKUP(A274, Ultrasonic!A:H, 7, FALSE), "N/A"))</f>
        <v/>
      </c>
      <c r="K274" t="str">
        <f>IF(A274="","", IFERROR(VLOOKUP(A274, 'Code Violations'!A:V, 22, FALSE), "N/A"))</f>
        <v/>
      </c>
      <c r="L274" t="str">
        <f t="shared" si="4"/>
        <v/>
      </c>
    </row>
    <row r="275" spans="1:12" x14ac:dyDescent="0.25">
      <c r="A275" t="str">
        <f>IF('Equipment Information'!A275="","", 'Equipment Information'!A275)</f>
        <v/>
      </c>
      <c r="B275" t="str">
        <f>IF('Equipment Information'!B275="","", 'Equipment Information'!B275)</f>
        <v/>
      </c>
      <c r="C275" t="str">
        <f>IF('Equipment Information'!C275="","", 'Equipment Information'!C275)</f>
        <v/>
      </c>
      <c r="D275" t="str">
        <f>IF('Equipment Information'!D275="","", 'Equipment Information'!D275)</f>
        <v/>
      </c>
      <c r="E275" t="str">
        <f>IF(A275="","", IFERROR(VLOOKUP(A275, 'Energized Data'!A:T, 20, FALSE), "N/A"))</f>
        <v/>
      </c>
      <c r="F275" t="str">
        <f>IF(A275="","", IFERROR(VLOOKUP(A275, Insulation!A:J, 9, FALSE), "N/A"))</f>
        <v/>
      </c>
      <c r="G275" t="str">
        <f>IF(A275="","", IFERROR(VLOOKUP(A275, DLRO!A:I, 8, FALSE), "N/A"))</f>
        <v/>
      </c>
      <c r="H275" t="str">
        <f>IF(A275="","", IFERROR(VLOOKUP(A275, Torque!A:I, 8, FALSE), "N/A"))</f>
        <v/>
      </c>
      <c r="I275" t="str">
        <f>IF(A275="","", IFERROR(VLOOKUP(A275, Infrared!A:G, 6, FALSE), "N/A"))</f>
        <v/>
      </c>
      <c r="J275" t="str">
        <f>IF(A275="","", IFERROR(VLOOKUP(A275, Ultrasonic!A:H, 7, FALSE), "N/A"))</f>
        <v/>
      </c>
      <c r="K275" t="str">
        <f>IF(A275="","", IFERROR(VLOOKUP(A275, 'Code Violations'!A:V, 22, FALSE), "N/A"))</f>
        <v/>
      </c>
      <c r="L275" t="str">
        <f t="shared" si="4"/>
        <v/>
      </c>
    </row>
    <row r="276" spans="1:12" x14ac:dyDescent="0.25">
      <c r="A276" t="str">
        <f>IF('Equipment Information'!A276="","", 'Equipment Information'!A276)</f>
        <v/>
      </c>
      <c r="B276" t="str">
        <f>IF('Equipment Information'!B276="","", 'Equipment Information'!B276)</f>
        <v/>
      </c>
      <c r="C276" t="str">
        <f>IF('Equipment Information'!C276="","", 'Equipment Information'!C276)</f>
        <v/>
      </c>
      <c r="D276" t="str">
        <f>IF('Equipment Information'!D276="","", 'Equipment Information'!D276)</f>
        <v/>
      </c>
      <c r="E276" t="str">
        <f>IF(A276="","", IFERROR(VLOOKUP(A276, 'Energized Data'!A:T, 20, FALSE), "N/A"))</f>
        <v/>
      </c>
      <c r="F276" t="str">
        <f>IF(A276="","", IFERROR(VLOOKUP(A276, Insulation!A:J, 9, FALSE), "N/A"))</f>
        <v/>
      </c>
      <c r="G276" t="str">
        <f>IF(A276="","", IFERROR(VLOOKUP(A276, DLRO!A:I, 8, FALSE), "N/A"))</f>
        <v/>
      </c>
      <c r="H276" t="str">
        <f>IF(A276="","", IFERROR(VLOOKUP(A276, Torque!A:I, 8, FALSE), "N/A"))</f>
        <v/>
      </c>
      <c r="I276" t="str">
        <f>IF(A276="","", IFERROR(VLOOKUP(A276, Infrared!A:G, 6, FALSE), "N/A"))</f>
        <v/>
      </c>
      <c r="J276" t="str">
        <f>IF(A276="","", IFERROR(VLOOKUP(A276, Ultrasonic!A:H, 7, FALSE), "N/A"))</f>
        <v/>
      </c>
      <c r="K276" t="str">
        <f>IF(A276="","", IFERROR(VLOOKUP(A276, 'Code Violations'!A:V, 22, FALSE), "N/A"))</f>
        <v/>
      </c>
      <c r="L276" t="str">
        <f t="shared" si="4"/>
        <v/>
      </c>
    </row>
    <row r="277" spans="1:12" x14ac:dyDescent="0.25">
      <c r="A277" t="str">
        <f>IF('Equipment Information'!A277="","", 'Equipment Information'!A277)</f>
        <v/>
      </c>
      <c r="B277" t="str">
        <f>IF('Equipment Information'!B277="","", 'Equipment Information'!B277)</f>
        <v/>
      </c>
      <c r="C277" t="str">
        <f>IF('Equipment Information'!C277="","", 'Equipment Information'!C277)</f>
        <v/>
      </c>
      <c r="D277" t="str">
        <f>IF('Equipment Information'!D277="","", 'Equipment Information'!D277)</f>
        <v/>
      </c>
      <c r="E277" t="str">
        <f>IF(A277="","", IFERROR(VLOOKUP(A277, 'Energized Data'!A:T, 20, FALSE), "N/A"))</f>
        <v/>
      </c>
      <c r="F277" t="str">
        <f>IF(A277="","", IFERROR(VLOOKUP(A277, Insulation!A:J, 9, FALSE), "N/A"))</f>
        <v/>
      </c>
      <c r="G277" t="str">
        <f>IF(A277="","", IFERROR(VLOOKUP(A277, DLRO!A:I, 8, FALSE), "N/A"))</f>
        <v/>
      </c>
      <c r="H277" t="str">
        <f>IF(A277="","", IFERROR(VLOOKUP(A277, Torque!A:I, 8, FALSE), "N/A"))</f>
        <v/>
      </c>
      <c r="I277" t="str">
        <f>IF(A277="","", IFERROR(VLOOKUP(A277, Infrared!A:G, 6, FALSE), "N/A"))</f>
        <v/>
      </c>
      <c r="J277" t="str">
        <f>IF(A277="","", IFERROR(VLOOKUP(A277, Ultrasonic!A:H, 7, FALSE), "N/A"))</f>
        <v/>
      </c>
      <c r="K277" t="str">
        <f>IF(A277="","", IFERROR(VLOOKUP(A277, 'Code Violations'!A:V, 22, FALSE), "N/A"))</f>
        <v/>
      </c>
      <c r="L277" t="str">
        <f t="shared" si="4"/>
        <v/>
      </c>
    </row>
    <row r="278" spans="1:12" x14ac:dyDescent="0.25">
      <c r="A278" t="str">
        <f>IF('Equipment Information'!A278="","", 'Equipment Information'!A278)</f>
        <v/>
      </c>
      <c r="B278" t="str">
        <f>IF('Equipment Information'!B278="","", 'Equipment Information'!B278)</f>
        <v/>
      </c>
      <c r="C278" t="str">
        <f>IF('Equipment Information'!C278="","", 'Equipment Information'!C278)</f>
        <v/>
      </c>
      <c r="D278" t="str">
        <f>IF('Equipment Information'!D278="","", 'Equipment Information'!D278)</f>
        <v/>
      </c>
      <c r="E278" t="str">
        <f>IF(A278="","", IFERROR(VLOOKUP(A278, 'Energized Data'!A:T, 20, FALSE), "N/A"))</f>
        <v/>
      </c>
      <c r="F278" t="str">
        <f>IF(A278="","", IFERROR(VLOOKUP(A278, Insulation!A:J, 9, FALSE), "N/A"))</f>
        <v/>
      </c>
      <c r="G278" t="str">
        <f>IF(A278="","", IFERROR(VLOOKUP(A278, DLRO!A:I, 8, FALSE), "N/A"))</f>
        <v/>
      </c>
      <c r="H278" t="str">
        <f>IF(A278="","", IFERROR(VLOOKUP(A278, Torque!A:I, 8, FALSE), "N/A"))</f>
        <v/>
      </c>
      <c r="I278" t="str">
        <f>IF(A278="","", IFERROR(VLOOKUP(A278, Infrared!A:G, 6, FALSE), "N/A"))</f>
        <v/>
      </c>
      <c r="J278" t="str">
        <f>IF(A278="","", IFERROR(VLOOKUP(A278, Ultrasonic!A:H, 7, FALSE), "N/A"))</f>
        <v/>
      </c>
      <c r="K278" t="str">
        <f>IF(A278="","", IFERROR(VLOOKUP(A278, 'Code Violations'!A:V, 22, FALSE), "N/A"))</f>
        <v/>
      </c>
      <c r="L278" t="str">
        <f t="shared" si="4"/>
        <v/>
      </c>
    </row>
    <row r="279" spans="1:12" x14ac:dyDescent="0.25">
      <c r="A279" t="str">
        <f>IF('Equipment Information'!A279="","", 'Equipment Information'!A279)</f>
        <v/>
      </c>
      <c r="B279" t="str">
        <f>IF('Equipment Information'!B279="","", 'Equipment Information'!B279)</f>
        <v/>
      </c>
      <c r="C279" t="str">
        <f>IF('Equipment Information'!C279="","", 'Equipment Information'!C279)</f>
        <v/>
      </c>
      <c r="D279" t="str">
        <f>IF('Equipment Information'!D279="","", 'Equipment Information'!D279)</f>
        <v/>
      </c>
      <c r="E279" t="str">
        <f>IF(A279="","", IFERROR(VLOOKUP(A279, 'Energized Data'!A:T, 20, FALSE), "N/A"))</f>
        <v/>
      </c>
      <c r="F279" t="str">
        <f>IF(A279="","", IFERROR(VLOOKUP(A279, Insulation!A:J, 9, FALSE), "N/A"))</f>
        <v/>
      </c>
      <c r="G279" t="str">
        <f>IF(A279="","", IFERROR(VLOOKUP(A279, DLRO!A:I, 8, FALSE), "N/A"))</f>
        <v/>
      </c>
      <c r="H279" t="str">
        <f>IF(A279="","", IFERROR(VLOOKUP(A279, Torque!A:I, 8, FALSE), "N/A"))</f>
        <v/>
      </c>
      <c r="I279" t="str">
        <f>IF(A279="","", IFERROR(VLOOKUP(A279, Infrared!A:G, 6, FALSE), "N/A"))</f>
        <v/>
      </c>
      <c r="J279" t="str">
        <f>IF(A279="","", IFERROR(VLOOKUP(A279, Ultrasonic!A:H, 7, FALSE), "N/A"))</f>
        <v/>
      </c>
      <c r="K279" t="str">
        <f>IF(A279="","", IFERROR(VLOOKUP(A279, 'Code Violations'!A:V, 22, FALSE), "N/A"))</f>
        <v/>
      </c>
      <c r="L279" t="str">
        <f t="shared" si="4"/>
        <v/>
      </c>
    </row>
    <row r="280" spans="1:12" x14ac:dyDescent="0.25">
      <c r="A280" t="str">
        <f>IF('Equipment Information'!A280="","", 'Equipment Information'!A280)</f>
        <v/>
      </c>
      <c r="B280" t="str">
        <f>IF('Equipment Information'!B280="","", 'Equipment Information'!B280)</f>
        <v/>
      </c>
      <c r="C280" t="str">
        <f>IF('Equipment Information'!C280="","", 'Equipment Information'!C280)</f>
        <v/>
      </c>
      <c r="D280" t="str">
        <f>IF('Equipment Information'!D280="","", 'Equipment Information'!D280)</f>
        <v/>
      </c>
      <c r="E280" t="str">
        <f>IF(A280="","", IFERROR(VLOOKUP(A280, 'Energized Data'!A:T, 20, FALSE), "N/A"))</f>
        <v/>
      </c>
      <c r="F280" t="str">
        <f>IF(A280="","", IFERROR(VLOOKUP(A280, Insulation!A:J, 9, FALSE), "N/A"))</f>
        <v/>
      </c>
      <c r="G280" t="str">
        <f>IF(A280="","", IFERROR(VLOOKUP(A280, DLRO!A:I, 8, FALSE), "N/A"))</f>
        <v/>
      </c>
      <c r="H280" t="str">
        <f>IF(A280="","", IFERROR(VLOOKUP(A280, Torque!A:I, 8, FALSE), "N/A"))</f>
        <v/>
      </c>
      <c r="I280" t="str">
        <f>IF(A280="","", IFERROR(VLOOKUP(A280, Infrared!A:G, 6, FALSE), "N/A"))</f>
        <v/>
      </c>
      <c r="J280" t="str">
        <f>IF(A280="","", IFERROR(VLOOKUP(A280, Ultrasonic!A:H, 7, FALSE), "N/A"))</f>
        <v/>
      </c>
      <c r="K280" t="str">
        <f>IF(A280="","", IFERROR(VLOOKUP(A280, 'Code Violations'!A:V, 22, FALSE), "N/A"))</f>
        <v/>
      </c>
      <c r="L280" t="str">
        <f t="shared" si="4"/>
        <v/>
      </c>
    </row>
    <row r="281" spans="1:12" x14ac:dyDescent="0.25">
      <c r="A281" t="str">
        <f>IF('Equipment Information'!A281="","", 'Equipment Information'!A281)</f>
        <v/>
      </c>
      <c r="B281" t="str">
        <f>IF('Equipment Information'!B281="","", 'Equipment Information'!B281)</f>
        <v/>
      </c>
      <c r="C281" t="str">
        <f>IF('Equipment Information'!C281="","", 'Equipment Information'!C281)</f>
        <v/>
      </c>
      <c r="D281" t="str">
        <f>IF('Equipment Information'!D281="","", 'Equipment Information'!D281)</f>
        <v/>
      </c>
      <c r="E281" t="str">
        <f>IF(A281="","", IFERROR(VLOOKUP(A281, 'Energized Data'!A:T, 20, FALSE), "N/A"))</f>
        <v/>
      </c>
      <c r="F281" t="str">
        <f>IF(A281="","", IFERROR(VLOOKUP(A281, Insulation!A:J, 9, FALSE), "N/A"))</f>
        <v/>
      </c>
      <c r="G281" t="str">
        <f>IF(A281="","", IFERROR(VLOOKUP(A281, DLRO!A:I, 8, FALSE), "N/A"))</f>
        <v/>
      </c>
      <c r="H281" t="str">
        <f>IF(A281="","", IFERROR(VLOOKUP(A281, Torque!A:I, 8, FALSE), "N/A"))</f>
        <v/>
      </c>
      <c r="I281" t="str">
        <f>IF(A281="","", IFERROR(VLOOKUP(A281, Infrared!A:G, 6, FALSE), "N/A"))</f>
        <v/>
      </c>
      <c r="J281" t="str">
        <f>IF(A281="","", IFERROR(VLOOKUP(A281, Ultrasonic!A:H, 7, FALSE), "N/A"))</f>
        <v/>
      </c>
      <c r="K281" t="str">
        <f>IF(A281="","", IFERROR(VLOOKUP(A281, 'Code Violations'!A:V, 22, FALSE), "N/A"))</f>
        <v/>
      </c>
      <c r="L281" t="str">
        <f t="shared" si="4"/>
        <v/>
      </c>
    </row>
    <row r="282" spans="1:12" x14ac:dyDescent="0.25">
      <c r="A282" t="str">
        <f>IF('Equipment Information'!A282="","", 'Equipment Information'!A282)</f>
        <v/>
      </c>
      <c r="B282" t="str">
        <f>IF('Equipment Information'!B282="","", 'Equipment Information'!B282)</f>
        <v/>
      </c>
      <c r="C282" t="str">
        <f>IF('Equipment Information'!C282="","", 'Equipment Information'!C282)</f>
        <v/>
      </c>
      <c r="D282" t="str">
        <f>IF('Equipment Information'!D282="","", 'Equipment Information'!D282)</f>
        <v/>
      </c>
      <c r="E282" t="str">
        <f>IF(A282="","", IFERROR(VLOOKUP(A282, 'Energized Data'!A:T, 20, FALSE), "N/A"))</f>
        <v/>
      </c>
      <c r="F282" t="str">
        <f>IF(A282="","", IFERROR(VLOOKUP(A282, Insulation!A:J, 9, FALSE), "N/A"))</f>
        <v/>
      </c>
      <c r="G282" t="str">
        <f>IF(A282="","", IFERROR(VLOOKUP(A282, DLRO!A:I, 8, FALSE), "N/A"))</f>
        <v/>
      </c>
      <c r="H282" t="str">
        <f>IF(A282="","", IFERROR(VLOOKUP(A282, Torque!A:I, 8, FALSE), "N/A"))</f>
        <v/>
      </c>
      <c r="I282" t="str">
        <f>IF(A282="","", IFERROR(VLOOKUP(A282, Infrared!A:G, 6, FALSE), "N/A"))</f>
        <v/>
      </c>
      <c r="J282" t="str">
        <f>IF(A282="","", IFERROR(VLOOKUP(A282, Ultrasonic!A:H, 7, FALSE), "N/A"))</f>
        <v/>
      </c>
      <c r="K282" t="str">
        <f>IF(A282="","", IFERROR(VLOOKUP(A282, 'Code Violations'!A:V, 22, FALSE), "N/A"))</f>
        <v/>
      </c>
      <c r="L282" t="str">
        <f t="shared" si="4"/>
        <v/>
      </c>
    </row>
    <row r="283" spans="1:12" x14ac:dyDescent="0.25">
      <c r="A283" t="str">
        <f>IF('Equipment Information'!A283="","", 'Equipment Information'!A283)</f>
        <v/>
      </c>
      <c r="B283" t="str">
        <f>IF('Equipment Information'!B283="","", 'Equipment Information'!B283)</f>
        <v/>
      </c>
      <c r="C283" t="str">
        <f>IF('Equipment Information'!C283="","", 'Equipment Information'!C283)</f>
        <v/>
      </c>
      <c r="D283" t="str">
        <f>IF('Equipment Information'!D283="","", 'Equipment Information'!D283)</f>
        <v/>
      </c>
      <c r="E283" t="str">
        <f>IF(A283="","", IFERROR(VLOOKUP(A283, 'Energized Data'!A:T, 20, FALSE), "N/A"))</f>
        <v/>
      </c>
      <c r="F283" t="str">
        <f>IF(A283="","", IFERROR(VLOOKUP(A283, Insulation!A:J, 9, FALSE), "N/A"))</f>
        <v/>
      </c>
      <c r="G283" t="str">
        <f>IF(A283="","", IFERROR(VLOOKUP(A283, DLRO!A:I, 8, FALSE), "N/A"))</f>
        <v/>
      </c>
      <c r="H283" t="str">
        <f>IF(A283="","", IFERROR(VLOOKUP(A283, Torque!A:I, 8, FALSE), "N/A"))</f>
        <v/>
      </c>
      <c r="I283" t="str">
        <f>IF(A283="","", IFERROR(VLOOKUP(A283, Infrared!A:G, 6, FALSE), "N/A"))</f>
        <v/>
      </c>
      <c r="J283" t="str">
        <f>IF(A283="","", IFERROR(VLOOKUP(A283, Ultrasonic!A:H, 7, FALSE), "N/A"))</f>
        <v/>
      </c>
      <c r="K283" t="str">
        <f>IF(A283="","", IFERROR(VLOOKUP(A283, 'Code Violations'!A:V, 22, FALSE), "N/A"))</f>
        <v/>
      </c>
      <c r="L283" t="str">
        <f t="shared" si="4"/>
        <v/>
      </c>
    </row>
    <row r="284" spans="1:12" x14ac:dyDescent="0.25">
      <c r="A284" t="str">
        <f>IF('Equipment Information'!A284="","", 'Equipment Information'!A284)</f>
        <v/>
      </c>
      <c r="B284" t="str">
        <f>IF('Equipment Information'!B284="","", 'Equipment Information'!B284)</f>
        <v/>
      </c>
      <c r="C284" t="str">
        <f>IF('Equipment Information'!C284="","", 'Equipment Information'!C284)</f>
        <v/>
      </c>
      <c r="D284" t="str">
        <f>IF('Equipment Information'!D284="","", 'Equipment Information'!D284)</f>
        <v/>
      </c>
      <c r="E284" t="str">
        <f>IF(A284="","", IFERROR(VLOOKUP(A284, 'Energized Data'!A:T, 20, FALSE), "N/A"))</f>
        <v/>
      </c>
      <c r="F284" t="str">
        <f>IF(A284="","", IFERROR(VLOOKUP(A284, Insulation!A:J, 9, FALSE), "N/A"))</f>
        <v/>
      </c>
      <c r="G284" t="str">
        <f>IF(A284="","", IFERROR(VLOOKUP(A284, DLRO!A:I, 8, FALSE), "N/A"))</f>
        <v/>
      </c>
      <c r="H284" t="str">
        <f>IF(A284="","", IFERROR(VLOOKUP(A284, Torque!A:I, 8, FALSE), "N/A"))</f>
        <v/>
      </c>
      <c r="I284" t="str">
        <f>IF(A284="","", IFERROR(VLOOKUP(A284, Infrared!A:G, 6, FALSE), "N/A"))</f>
        <v/>
      </c>
      <c r="J284" t="str">
        <f>IF(A284="","", IFERROR(VLOOKUP(A284, Ultrasonic!A:H, 7, FALSE), "N/A"))</f>
        <v/>
      </c>
      <c r="K284" t="str">
        <f>IF(A284="","", IFERROR(VLOOKUP(A284, 'Code Violations'!A:V, 22, FALSE), "N/A"))</f>
        <v/>
      </c>
      <c r="L284" t="str">
        <f t="shared" si="4"/>
        <v/>
      </c>
    </row>
    <row r="285" spans="1:12" x14ac:dyDescent="0.25">
      <c r="A285" t="str">
        <f>IF('Equipment Information'!A285="","", 'Equipment Information'!A285)</f>
        <v/>
      </c>
      <c r="B285" t="str">
        <f>IF('Equipment Information'!B285="","", 'Equipment Information'!B285)</f>
        <v/>
      </c>
      <c r="C285" t="str">
        <f>IF('Equipment Information'!C285="","", 'Equipment Information'!C285)</f>
        <v/>
      </c>
      <c r="D285" t="str">
        <f>IF('Equipment Information'!D285="","", 'Equipment Information'!D285)</f>
        <v/>
      </c>
      <c r="E285" t="str">
        <f>IF(A285="","", IFERROR(VLOOKUP(A285, 'Energized Data'!A:T, 20, FALSE), "N/A"))</f>
        <v/>
      </c>
      <c r="F285" t="str">
        <f>IF(A285="","", IFERROR(VLOOKUP(A285, Insulation!A:J, 9, FALSE), "N/A"))</f>
        <v/>
      </c>
      <c r="G285" t="str">
        <f>IF(A285="","", IFERROR(VLOOKUP(A285, DLRO!A:I, 8, FALSE), "N/A"))</f>
        <v/>
      </c>
      <c r="H285" t="str">
        <f>IF(A285="","", IFERROR(VLOOKUP(A285, Torque!A:I, 8, FALSE), "N/A"))</f>
        <v/>
      </c>
      <c r="I285" t="str">
        <f>IF(A285="","", IFERROR(VLOOKUP(A285, Infrared!A:G, 6, FALSE), "N/A"))</f>
        <v/>
      </c>
      <c r="J285" t="str">
        <f>IF(A285="","", IFERROR(VLOOKUP(A285, Ultrasonic!A:H, 7, FALSE), "N/A"))</f>
        <v/>
      </c>
      <c r="K285" t="str">
        <f>IF(A285="","", IFERROR(VLOOKUP(A285, 'Code Violations'!A:V, 22, FALSE), "N/A"))</f>
        <v/>
      </c>
      <c r="L285" t="str">
        <f t="shared" si="4"/>
        <v/>
      </c>
    </row>
    <row r="286" spans="1:12" x14ac:dyDescent="0.25">
      <c r="A286" t="str">
        <f>IF('Equipment Information'!A286="","", 'Equipment Information'!A286)</f>
        <v/>
      </c>
      <c r="B286" t="str">
        <f>IF('Equipment Information'!B286="","", 'Equipment Information'!B286)</f>
        <v/>
      </c>
      <c r="C286" t="str">
        <f>IF('Equipment Information'!C286="","", 'Equipment Information'!C286)</f>
        <v/>
      </c>
      <c r="D286" t="str">
        <f>IF('Equipment Information'!D286="","", 'Equipment Information'!D286)</f>
        <v/>
      </c>
      <c r="E286" t="str">
        <f>IF(A286="","", IFERROR(VLOOKUP(A286, 'Energized Data'!A:T, 20, FALSE), "N/A"))</f>
        <v/>
      </c>
      <c r="F286" t="str">
        <f>IF(A286="","", IFERROR(VLOOKUP(A286, Insulation!A:J, 9, FALSE), "N/A"))</f>
        <v/>
      </c>
      <c r="G286" t="str">
        <f>IF(A286="","", IFERROR(VLOOKUP(A286, DLRO!A:I, 8, FALSE), "N/A"))</f>
        <v/>
      </c>
      <c r="H286" t="str">
        <f>IF(A286="","", IFERROR(VLOOKUP(A286, Torque!A:I, 8, FALSE), "N/A"))</f>
        <v/>
      </c>
      <c r="I286" t="str">
        <f>IF(A286="","", IFERROR(VLOOKUP(A286, Infrared!A:G, 6, FALSE), "N/A"))</f>
        <v/>
      </c>
      <c r="J286" t="str">
        <f>IF(A286="","", IFERROR(VLOOKUP(A286, Ultrasonic!A:H, 7, FALSE), "N/A"))</f>
        <v/>
      </c>
      <c r="K286" t="str">
        <f>IF(A286="","", IFERROR(VLOOKUP(A286, 'Code Violations'!A:V, 22, FALSE), "N/A"))</f>
        <v/>
      </c>
      <c r="L286" t="str">
        <f t="shared" si="4"/>
        <v/>
      </c>
    </row>
    <row r="287" spans="1:12" x14ac:dyDescent="0.25">
      <c r="A287" t="str">
        <f>IF('Equipment Information'!A287="","", 'Equipment Information'!A287)</f>
        <v/>
      </c>
      <c r="B287" t="str">
        <f>IF('Equipment Information'!B287="","", 'Equipment Information'!B287)</f>
        <v/>
      </c>
      <c r="C287" t="str">
        <f>IF('Equipment Information'!C287="","", 'Equipment Information'!C287)</f>
        <v/>
      </c>
      <c r="D287" t="str">
        <f>IF('Equipment Information'!D287="","", 'Equipment Information'!D287)</f>
        <v/>
      </c>
      <c r="E287" t="str">
        <f>IF(A287="","", IFERROR(VLOOKUP(A287, 'Energized Data'!A:T, 20, FALSE), "N/A"))</f>
        <v/>
      </c>
      <c r="F287" t="str">
        <f>IF(A287="","", IFERROR(VLOOKUP(A287, Insulation!A:J, 9, FALSE), "N/A"))</f>
        <v/>
      </c>
      <c r="G287" t="str">
        <f>IF(A287="","", IFERROR(VLOOKUP(A287, DLRO!A:I, 8, FALSE), "N/A"))</f>
        <v/>
      </c>
      <c r="H287" t="str">
        <f>IF(A287="","", IFERROR(VLOOKUP(A287, Torque!A:I, 8, FALSE), "N/A"))</f>
        <v/>
      </c>
      <c r="I287" t="str">
        <f>IF(A287="","", IFERROR(VLOOKUP(A287, Infrared!A:G, 6, FALSE), "N/A"))</f>
        <v/>
      </c>
      <c r="J287" t="str">
        <f>IF(A287="","", IFERROR(VLOOKUP(A287, Ultrasonic!A:H, 7, FALSE), "N/A"))</f>
        <v/>
      </c>
      <c r="K287" t="str">
        <f>IF(A287="","", IFERROR(VLOOKUP(A287, 'Code Violations'!A:V, 22, FALSE), "N/A"))</f>
        <v/>
      </c>
      <c r="L287" t="str">
        <f t="shared" si="4"/>
        <v/>
      </c>
    </row>
    <row r="288" spans="1:12" x14ac:dyDescent="0.25">
      <c r="A288" t="str">
        <f>IF('Equipment Information'!A288="","", 'Equipment Information'!A288)</f>
        <v/>
      </c>
      <c r="B288" t="str">
        <f>IF('Equipment Information'!B288="","", 'Equipment Information'!B288)</f>
        <v/>
      </c>
      <c r="C288" t="str">
        <f>IF('Equipment Information'!C288="","", 'Equipment Information'!C288)</f>
        <v/>
      </c>
      <c r="D288" t="str">
        <f>IF('Equipment Information'!D288="","", 'Equipment Information'!D288)</f>
        <v/>
      </c>
      <c r="E288" t="str">
        <f>IF(A288="","", IFERROR(VLOOKUP(A288, 'Energized Data'!A:T, 20, FALSE), "N/A"))</f>
        <v/>
      </c>
      <c r="F288" t="str">
        <f>IF(A288="","", IFERROR(VLOOKUP(A288, Insulation!A:J, 9, FALSE), "N/A"))</f>
        <v/>
      </c>
      <c r="G288" t="str">
        <f>IF(A288="","", IFERROR(VLOOKUP(A288, DLRO!A:I, 8, FALSE), "N/A"))</f>
        <v/>
      </c>
      <c r="H288" t="str">
        <f>IF(A288="","", IFERROR(VLOOKUP(A288, Torque!A:I, 8, FALSE), "N/A"))</f>
        <v/>
      </c>
      <c r="I288" t="str">
        <f>IF(A288="","", IFERROR(VLOOKUP(A288, Infrared!A:G, 6, FALSE), "N/A"))</f>
        <v/>
      </c>
      <c r="J288" t="str">
        <f>IF(A288="","", IFERROR(VLOOKUP(A288, Ultrasonic!A:H, 7, FALSE), "N/A"))</f>
        <v/>
      </c>
      <c r="K288" t="str">
        <f>IF(A288="","", IFERROR(VLOOKUP(A288, 'Code Violations'!A:V, 22, FALSE), "N/A"))</f>
        <v/>
      </c>
      <c r="L288" t="str">
        <f t="shared" si="4"/>
        <v/>
      </c>
    </row>
    <row r="289" spans="1:12" x14ac:dyDescent="0.25">
      <c r="A289" t="str">
        <f>IF('Equipment Information'!A289="","", 'Equipment Information'!A289)</f>
        <v/>
      </c>
      <c r="B289" t="str">
        <f>IF('Equipment Information'!B289="","", 'Equipment Information'!B289)</f>
        <v/>
      </c>
      <c r="C289" t="str">
        <f>IF('Equipment Information'!C289="","", 'Equipment Information'!C289)</f>
        <v/>
      </c>
      <c r="D289" t="str">
        <f>IF('Equipment Information'!D289="","", 'Equipment Information'!D289)</f>
        <v/>
      </c>
      <c r="E289" t="str">
        <f>IF(A289="","", IFERROR(VLOOKUP(A289, 'Energized Data'!A:T, 20, FALSE), "N/A"))</f>
        <v/>
      </c>
      <c r="F289" t="str">
        <f>IF(A289="","", IFERROR(VLOOKUP(A289, Insulation!A:J, 9, FALSE), "N/A"))</f>
        <v/>
      </c>
      <c r="G289" t="str">
        <f>IF(A289="","", IFERROR(VLOOKUP(A289, DLRO!A:I, 8, FALSE), "N/A"))</f>
        <v/>
      </c>
      <c r="H289" t="str">
        <f>IF(A289="","", IFERROR(VLOOKUP(A289, Torque!A:I, 8, FALSE), "N/A"))</f>
        <v/>
      </c>
      <c r="I289" t="str">
        <f>IF(A289="","", IFERROR(VLOOKUP(A289, Infrared!A:G, 6, FALSE), "N/A"))</f>
        <v/>
      </c>
      <c r="J289" t="str">
        <f>IF(A289="","", IFERROR(VLOOKUP(A289, Ultrasonic!A:H, 7, FALSE), "N/A"))</f>
        <v/>
      </c>
      <c r="K289" t="str">
        <f>IF(A289="","", IFERROR(VLOOKUP(A289, 'Code Violations'!A:V, 22, FALSE), "N/A"))</f>
        <v/>
      </c>
      <c r="L289" t="str">
        <f t="shared" si="4"/>
        <v/>
      </c>
    </row>
    <row r="290" spans="1:12" x14ac:dyDescent="0.25">
      <c r="A290" t="str">
        <f>IF('Equipment Information'!A290="","", 'Equipment Information'!A290)</f>
        <v/>
      </c>
      <c r="B290" t="str">
        <f>IF('Equipment Information'!B290="","", 'Equipment Information'!B290)</f>
        <v/>
      </c>
      <c r="C290" t="str">
        <f>IF('Equipment Information'!C290="","", 'Equipment Information'!C290)</f>
        <v/>
      </c>
      <c r="D290" t="str">
        <f>IF('Equipment Information'!D290="","", 'Equipment Information'!D290)</f>
        <v/>
      </c>
      <c r="E290" t="str">
        <f>IF(A290="","", IFERROR(VLOOKUP(A290, 'Energized Data'!A:T, 20, FALSE), "N/A"))</f>
        <v/>
      </c>
      <c r="F290" t="str">
        <f>IF(A290="","", IFERROR(VLOOKUP(A290, Insulation!A:J, 9, FALSE), "N/A"))</f>
        <v/>
      </c>
      <c r="G290" t="str">
        <f>IF(A290="","", IFERROR(VLOOKUP(A290, DLRO!A:I, 8, FALSE), "N/A"))</f>
        <v/>
      </c>
      <c r="H290" t="str">
        <f>IF(A290="","", IFERROR(VLOOKUP(A290, Torque!A:I, 8, FALSE), "N/A"))</f>
        <v/>
      </c>
      <c r="I290" t="str">
        <f>IF(A290="","", IFERROR(VLOOKUP(A290, Infrared!A:G, 6, FALSE), "N/A"))</f>
        <v/>
      </c>
      <c r="J290" t="str">
        <f>IF(A290="","", IFERROR(VLOOKUP(A290, Ultrasonic!A:H, 7, FALSE), "N/A"))</f>
        <v/>
      </c>
      <c r="K290" t="str">
        <f>IF(A290="","", IFERROR(VLOOKUP(A290, 'Code Violations'!A:V, 22, FALSE), "N/A"))</f>
        <v/>
      </c>
      <c r="L290" t="str">
        <f t="shared" si="4"/>
        <v/>
      </c>
    </row>
    <row r="291" spans="1:12" x14ac:dyDescent="0.25">
      <c r="A291" t="str">
        <f>IF('Equipment Information'!A291="","", 'Equipment Information'!A291)</f>
        <v/>
      </c>
      <c r="B291" t="str">
        <f>IF('Equipment Information'!B291="","", 'Equipment Information'!B291)</f>
        <v/>
      </c>
      <c r="C291" t="str">
        <f>IF('Equipment Information'!C291="","", 'Equipment Information'!C291)</f>
        <v/>
      </c>
      <c r="D291" t="str">
        <f>IF('Equipment Information'!D291="","", 'Equipment Information'!D291)</f>
        <v/>
      </c>
      <c r="E291" t="str">
        <f>IF(A291="","", IFERROR(VLOOKUP(A291, 'Energized Data'!A:T, 20, FALSE), "N/A"))</f>
        <v/>
      </c>
      <c r="F291" t="str">
        <f>IF(A291="","", IFERROR(VLOOKUP(A291, Insulation!A:J, 9, FALSE), "N/A"))</f>
        <v/>
      </c>
      <c r="G291" t="str">
        <f>IF(A291="","", IFERROR(VLOOKUP(A291, DLRO!A:I, 8, FALSE), "N/A"))</f>
        <v/>
      </c>
      <c r="H291" t="str">
        <f>IF(A291="","", IFERROR(VLOOKUP(A291, Torque!A:I, 8, FALSE), "N/A"))</f>
        <v/>
      </c>
      <c r="I291" t="str">
        <f>IF(A291="","", IFERROR(VLOOKUP(A291, Infrared!A:G, 6, FALSE), "N/A"))</f>
        <v/>
      </c>
      <c r="J291" t="str">
        <f>IF(A291="","", IFERROR(VLOOKUP(A291, Ultrasonic!A:H, 7, FALSE), "N/A"))</f>
        <v/>
      </c>
      <c r="K291" t="str">
        <f>IF(A291="","", IFERROR(VLOOKUP(A291, 'Code Violations'!A:V, 22, FALSE), "N/A"))</f>
        <v/>
      </c>
      <c r="L291" t="str">
        <f t="shared" si="4"/>
        <v/>
      </c>
    </row>
    <row r="292" spans="1:12" x14ac:dyDescent="0.25">
      <c r="A292" t="str">
        <f>IF('Equipment Information'!A292="","", 'Equipment Information'!A292)</f>
        <v/>
      </c>
      <c r="B292" t="str">
        <f>IF('Equipment Information'!B292="","", 'Equipment Information'!B292)</f>
        <v/>
      </c>
      <c r="C292" t="str">
        <f>IF('Equipment Information'!C292="","", 'Equipment Information'!C292)</f>
        <v/>
      </c>
      <c r="D292" t="str">
        <f>IF('Equipment Information'!D292="","", 'Equipment Information'!D292)</f>
        <v/>
      </c>
      <c r="E292" t="str">
        <f>IF(A292="","", IFERROR(VLOOKUP(A292, 'Energized Data'!A:T, 20, FALSE), "N/A"))</f>
        <v/>
      </c>
      <c r="F292" t="str">
        <f>IF(A292="","", IFERROR(VLOOKUP(A292, Insulation!A:J, 9, FALSE), "N/A"))</f>
        <v/>
      </c>
      <c r="G292" t="str">
        <f>IF(A292="","", IFERROR(VLOOKUP(A292, DLRO!A:I, 8, FALSE), "N/A"))</f>
        <v/>
      </c>
      <c r="H292" t="str">
        <f>IF(A292="","", IFERROR(VLOOKUP(A292, Torque!A:I, 8, FALSE), "N/A"))</f>
        <v/>
      </c>
      <c r="I292" t="str">
        <f>IF(A292="","", IFERROR(VLOOKUP(A292, Infrared!A:G, 6, FALSE), "N/A"))</f>
        <v/>
      </c>
      <c r="J292" t="str">
        <f>IF(A292="","", IFERROR(VLOOKUP(A292, Ultrasonic!A:H, 7, FALSE), "N/A"))</f>
        <v/>
      </c>
      <c r="K292" t="str">
        <f>IF(A292="","", IFERROR(VLOOKUP(A292, 'Code Violations'!A:V, 22, FALSE), "N/A"))</f>
        <v/>
      </c>
      <c r="L292" t="str">
        <f t="shared" si="4"/>
        <v/>
      </c>
    </row>
    <row r="293" spans="1:12" x14ac:dyDescent="0.25">
      <c r="A293" t="str">
        <f>IF('Equipment Information'!A293="","", 'Equipment Information'!A293)</f>
        <v/>
      </c>
      <c r="B293" t="str">
        <f>IF('Equipment Information'!B293="","", 'Equipment Information'!B293)</f>
        <v/>
      </c>
      <c r="C293" t="str">
        <f>IF('Equipment Information'!C293="","", 'Equipment Information'!C293)</f>
        <v/>
      </c>
      <c r="D293" t="str">
        <f>IF('Equipment Information'!D293="","", 'Equipment Information'!D293)</f>
        <v/>
      </c>
      <c r="E293" t="str">
        <f>IF(A293="","", IFERROR(VLOOKUP(A293, 'Energized Data'!A:T, 20, FALSE), "N/A"))</f>
        <v/>
      </c>
      <c r="F293" t="str">
        <f>IF(A293="","", IFERROR(VLOOKUP(A293, Insulation!A:J, 9, FALSE), "N/A"))</f>
        <v/>
      </c>
      <c r="G293" t="str">
        <f>IF(A293="","", IFERROR(VLOOKUP(A293, DLRO!A:I, 8, FALSE), "N/A"))</f>
        <v/>
      </c>
      <c r="H293" t="str">
        <f>IF(A293="","", IFERROR(VLOOKUP(A293, Torque!A:I, 8, FALSE), "N/A"))</f>
        <v/>
      </c>
      <c r="I293" t="str">
        <f>IF(A293="","", IFERROR(VLOOKUP(A293, Infrared!A:G, 6, FALSE), "N/A"))</f>
        <v/>
      </c>
      <c r="J293" t="str">
        <f>IF(A293="","", IFERROR(VLOOKUP(A293, Ultrasonic!A:H, 7, FALSE), "N/A"))</f>
        <v/>
      </c>
      <c r="K293" t="str">
        <f>IF(A293="","", IFERROR(VLOOKUP(A293, 'Code Violations'!A:V, 22, FALSE), "N/A"))</f>
        <v/>
      </c>
      <c r="L293" t="str">
        <f t="shared" si="4"/>
        <v/>
      </c>
    </row>
    <row r="294" spans="1:12" x14ac:dyDescent="0.25">
      <c r="A294" t="str">
        <f>IF('Equipment Information'!A294="","", 'Equipment Information'!A294)</f>
        <v/>
      </c>
      <c r="B294" t="str">
        <f>IF('Equipment Information'!B294="","", 'Equipment Information'!B294)</f>
        <v/>
      </c>
      <c r="C294" t="str">
        <f>IF('Equipment Information'!C294="","", 'Equipment Information'!C294)</f>
        <v/>
      </c>
      <c r="D294" t="str">
        <f>IF('Equipment Information'!D294="","", 'Equipment Information'!D294)</f>
        <v/>
      </c>
      <c r="E294" t="str">
        <f>IF(A294="","", IFERROR(VLOOKUP(A294, 'Energized Data'!A:T, 20, FALSE), "N/A"))</f>
        <v/>
      </c>
      <c r="F294" t="str">
        <f>IF(A294="","", IFERROR(VLOOKUP(A294, Insulation!A:J, 9, FALSE), "N/A"))</f>
        <v/>
      </c>
      <c r="G294" t="str">
        <f>IF(A294="","", IFERROR(VLOOKUP(A294, DLRO!A:I, 8, FALSE), "N/A"))</f>
        <v/>
      </c>
      <c r="H294" t="str">
        <f>IF(A294="","", IFERROR(VLOOKUP(A294, Torque!A:I, 8, FALSE), "N/A"))</f>
        <v/>
      </c>
      <c r="I294" t="str">
        <f>IF(A294="","", IFERROR(VLOOKUP(A294, Infrared!A:G, 6, FALSE), "N/A"))</f>
        <v/>
      </c>
      <c r="J294" t="str">
        <f>IF(A294="","", IFERROR(VLOOKUP(A294, Ultrasonic!A:H, 7, FALSE), "N/A"))</f>
        <v/>
      </c>
      <c r="K294" t="str">
        <f>IF(A294="","", IFERROR(VLOOKUP(A294, 'Code Violations'!A:V, 22, FALSE), "N/A"))</f>
        <v/>
      </c>
      <c r="L294" t="str">
        <f t="shared" si="4"/>
        <v/>
      </c>
    </row>
    <row r="295" spans="1:12" x14ac:dyDescent="0.25">
      <c r="A295" t="str">
        <f>IF('Equipment Information'!A295="","", 'Equipment Information'!A295)</f>
        <v/>
      </c>
      <c r="B295" t="str">
        <f>IF('Equipment Information'!B295="","", 'Equipment Information'!B295)</f>
        <v/>
      </c>
      <c r="C295" t="str">
        <f>IF('Equipment Information'!C295="","", 'Equipment Information'!C295)</f>
        <v/>
      </c>
      <c r="D295" t="str">
        <f>IF('Equipment Information'!D295="","", 'Equipment Information'!D295)</f>
        <v/>
      </c>
      <c r="E295" t="str">
        <f>IF(A295="","", IFERROR(VLOOKUP(A295, 'Energized Data'!A:T, 20, FALSE), "N/A"))</f>
        <v/>
      </c>
      <c r="F295" t="str">
        <f>IF(A295="","", IFERROR(VLOOKUP(A295, Insulation!A:J, 9, FALSE), "N/A"))</f>
        <v/>
      </c>
      <c r="G295" t="str">
        <f>IF(A295="","", IFERROR(VLOOKUP(A295, DLRO!A:I, 8, FALSE), "N/A"))</f>
        <v/>
      </c>
      <c r="H295" t="str">
        <f>IF(A295="","", IFERROR(VLOOKUP(A295, Torque!A:I, 8, FALSE), "N/A"))</f>
        <v/>
      </c>
      <c r="I295" t="str">
        <f>IF(A295="","", IFERROR(VLOOKUP(A295, Infrared!A:G, 6, FALSE), "N/A"))</f>
        <v/>
      </c>
      <c r="J295" t="str">
        <f>IF(A295="","", IFERROR(VLOOKUP(A295, Ultrasonic!A:H, 7, FALSE), "N/A"))</f>
        <v/>
      </c>
      <c r="K295" t="str">
        <f>IF(A295="","", IFERROR(VLOOKUP(A295, 'Code Violations'!A:V, 22, FALSE), "N/A"))</f>
        <v/>
      </c>
      <c r="L295" t="str">
        <f t="shared" si="4"/>
        <v/>
      </c>
    </row>
    <row r="296" spans="1:12" x14ac:dyDescent="0.25">
      <c r="A296" t="str">
        <f>IF('Equipment Information'!A296="","", 'Equipment Information'!A296)</f>
        <v/>
      </c>
      <c r="B296" t="str">
        <f>IF('Equipment Information'!B296="","", 'Equipment Information'!B296)</f>
        <v/>
      </c>
      <c r="C296" t="str">
        <f>IF('Equipment Information'!C296="","", 'Equipment Information'!C296)</f>
        <v/>
      </c>
      <c r="D296" t="str">
        <f>IF('Equipment Information'!D296="","", 'Equipment Information'!D296)</f>
        <v/>
      </c>
      <c r="E296" t="str">
        <f>IF(A296="","", IFERROR(VLOOKUP(A296, 'Energized Data'!A:T, 20, FALSE), "N/A"))</f>
        <v/>
      </c>
      <c r="F296" t="str">
        <f>IF(A296="","", IFERROR(VLOOKUP(A296, Insulation!A:J, 9, FALSE), "N/A"))</f>
        <v/>
      </c>
      <c r="G296" t="str">
        <f>IF(A296="","", IFERROR(VLOOKUP(A296, DLRO!A:I, 8, FALSE), "N/A"))</f>
        <v/>
      </c>
      <c r="H296" t="str">
        <f>IF(A296="","", IFERROR(VLOOKUP(A296, Torque!A:I, 8, FALSE), "N/A"))</f>
        <v/>
      </c>
      <c r="I296" t="str">
        <f>IF(A296="","", IFERROR(VLOOKUP(A296, Infrared!A:G, 6, FALSE), "N/A"))</f>
        <v/>
      </c>
      <c r="J296" t="str">
        <f>IF(A296="","", IFERROR(VLOOKUP(A296, Ultrasonic!A:H, 7, FALSE), "N/A"))</f>
        <v/>
      </c>
      <c r="K296" t="str">
        <f>IF(A296="","", IFERROR(VLOOKUP(A296, 'Code Violations'!A:V, 22, FALSE), "N/A"))</f>
        <v/>
      </c>
      <c r="L296" t="str">
        <f t="shared" si="4"/>
        <v/>
      </c>
    </row>
    <row r="297" spans="1:12" x14ac:dyDescent="0.25">
      <c r="A297" t="str">
        <f>IF('Equipment Information'!A297="","", 'Equipment Information'!A297)</f>
        <v/>
      </c>
      <c r="B297" t="str">
        <f>IF('Equipment Information'!B297="","", 'Equipment Information'!B297)</f>
        <v/>
      </c>
      <c r="C297" t="str">
        <f>IF('Equipment Information'!C297="","", 'Equipment Information'!C297)</f>
        <v/>
      </c>
      <c r="D297" t="str">
        <f>IF('Equipment Information'!D297="","", 'Equipment Information'!D297)</f>
        <v/>
      </c>
      <c r="E297" t="str">
        <f>IF(A297="","", IFERROR(VLOOKUP(A297, 'Energized Data'!A:T, 20, FALSE), "N/A"))</f>
        <v/>
      </c>
      <c r="F297" t="str">
        <f>IF(A297="","", IFERROR(VLOOKUP(A297, Insulation!A:J, 9, FALSE), "N/A"))</f>
        <v/>
      </c>
      <c r="G297" t="str">
        <f>IF(A297="","", IFERROR(VLOOKUP(A297, DLRO!A:I, 8, FALSE), "N/A"))</f>
        <v/>
      </c>
      <c r="H297" t="str">
        <f>IF(A297="","", IFERROR(VLOOKUP(A297, Torque!A:I, 8, FALSE), "N/A"))</f>
        <v/>
      </c>
      <c r="I297" t="str">
        <f>IF(A297="","", IFERROR(VLOOKUP(A297, Infrared!A:G, 6, FALSE), "N/A"))</f>
        <v/>
      </c>
      <c r="J297" t="str">
        <f>IF(A297="","", IFERROR(VLOOKUP(A297, Ultrasonic!A:H, 7, FALSE), "N/A"))</f>
        <v/>
      </c>
      <c r="K297" t="str">
        <f>IF(A297="","", IFERROR(VLOOKUP(A297, 'Code Violations'!A:V, 22, FALSE), "N/A"))</f>
        <v/>
      </c>
      <c r="L297" t="str">
        <f t="shared" si="4"/>
        <v/>
      </c>
    </row>
    <row r="298" spans="1:12" x14ac:dyDescent="0.25">
      <c r="A298" t="str">
        <f>IF('Equipment Information'!A298="","", 'Equipment Information'!A298)</f>
        <v/>
      </c>
      <c r="B298" t="str">
        <f>IF('Equipment Information'!B298="","", 'Equipment Information'!B298)</f>
        <v/>
      </c>
      <c r="C298" t="str">
        <f>IF('Equipment Information'!C298="","", 'Equipment Information'!C298)</f>
        <v/>
      </c>
      <c r="D298" t="str">
        <f>IF('Equipment Information'!D298="","", 'Equipment Information'!D298)</f>
        <v/>
      </c>
      <c r="E298" t="str">
        <f>IF(A298="","", IFERROR(VLOOKUP(A298, 'Energized Data'!A:T, 20, FALSE), "N/A"))</f>
        <v/>
      </c>
      <c r="F298" t="str">
        <f>IF(A298="","", IFERROR(VLOOKUP(A298, Insulation!A:J, 9, FALSE), "N/A"))</f>
        <v/>
      </c>
      <c r="G298" t="str">
        <f>IF(A298="","", IFERROR(VLOOKUP(A298, DLRO!A:I, 8, FALSE), "N/A"))</f>
        <v/>
      </c>
      <c r="H298" t="str">
        <f>IF(A298="","", IFERROR(VLOOKUP(A298, Torque!A:I, 8, FALSE), "N/A"))</f>
        <v/>
      </c>
      <c r="I298" t="str">
        <f>IF(A298="","", IFERROR(VLOOKUP(A298, Infrared!A:G, 6, FALSE), "N/A"))</f>
        <v/>
      </c>
      <c r="J298" t="str">
        <f>IF(A298="","", IFERROR(VLOOKUP(A298, Ultrasonic!A:H, 7, FALSE), "N/A"))</f>
        <v/>
      </c>
      <c r="K298" t="str">
        <f>IF(A298="","", IFERROR(VLOOKUP(A298, 'Code Violations'!A:V, 22, FALSE), "N/A"))</f>
        <v/>
      </c>
      <c r="L298" t="str">
        <f t="shared" si="4"/>
        <v/>
      </c>
    </row>
    <row r="299" spans="1:12" x14ac:dyDescent="0.25">
      <c r="A299" t="str">
        <f>IF('Equipment Information'!A299="","", 'Equipment Information'!A299)</f>
        <v/>
      </c>
      <c r="B299" t="str">
        <f>IF('Equipment Information'!B299="","", 'Equipment Information'!B299)</f>
        <v/>
      </c>
      <c r="C299" t="str">
        <f>IF('Equipment Information'!C299="","", 'Equipment Information'!C299)</f>
        <v/>
      </c>
      <c r="D299" t="str">
        <f>IF('Equipment Information'!D299="","", 'Equipment Information'!D299)</f>
        <v/>
      </c>
      <c r="E299" t="str">
        <f>IF(A299="","", IFERROR(VLOOKUP(A299, 'Energized Data'!A:T, 20, FALSE), "N/A"))</f>
        <v/>
      </c>
      <c r="F299" t="str">
        <f>IF(A299="","", IFERROR(VLOOKUP(A299, Insulation!A:J, 9, FALSE), "N/A"))</f>
        <v/>
      </c>
      <c r="G299" t="str">
        <f>IF(A299="","", IFERROR(VLOOKUP(A299, DLRO!A:I, 8, FALSE), "N/A"))</f>
        <v/>
      </c>
      <c r="H299" t="str">
        <f>IF(A299="","", IFERROR(VLOOKUP(A299, Torque!A:I, 8, FALSE), "N/A"))</f>
        <v/>
      </c>
      <c r="I299" t="str">
        <f>IF(A299="","", IFERROR(VLOOKUP(A299, Infrared!A:G, 6, FALSE), "N/A"))</f>
        <v/>
      </c>
      <c r="J299" t="str">
        <f>IF(A299="","", IFERROR(VLOOKUP(A299, Ultrasonic!A:H, 7, FALSE), "N/A"))</f>
        <v/>
      </c>
      <c r="K299" t="str">
        <f>IF(A299="","", IFERROR(VLOOKUP(A299, 'Code Violations'!A:V, 22, FALSE), "N/A"))</f>
        <v/>
      </c>
      <c r="L299" t="str">
        <f t="shared" si="4"/>
        <v/>
      </c>
    </row>
    <row r="300" spans="1:12" x14ac:dyDescent="0.25">
      <c r="A300" t="str">
        <f>IF('Equipment Information'!A300="","", 'Equipment Information'!A300)</f>
        <v/>
      </c>
      <c r="B300" t="str">
        <f>IF('Equipment Information'!B300="","", 'Equipment Information'!B300)</f>
        <v/>
      </c>
      <c r="C300" t="str">
        <f>IF('Equipment Information'!C300="","", 'Equipment Information'!C300)</f>
        <v/>
      </c>
      <c r="D300" t="str">
        <f>IF('Equipment Information'!D300="","", 'Equipment Information'!D300)</f>
        <v/>
      </c>
      <c r="E300" t="str">
        <f>IF(A300="","", IFERROR(VLOOKUP(A300, 'Energized Data'!A:T, 20, FALSE), "N/A"))</f>
        <v/>
      </c>
      <c r="F300" t="str">
        <f>IF(A300="","", IFERROR(VLOOKUP(A300, Insulation!A:J, 9, FALSE), "N/A"))</f>
        <v/>
      </c>
      <c r="G300" t="str">
        <f>IF(A300="","", IFERROR(VLOOKUP(A300, DLRO!A:I, 8, FALSE), "N/A"))</f>
        <v/>
      </c>
      <c r="H300" t="str">
        <f>IF(A300="","", IFERROR(VLOOKUP(A300, Torque!A:I, 8, FALSE), "N/A"))</f>
        <v/>
      </c>
      <c r="I300" t="str">
        <f>IF(A300="","", IFERROR(VLOOKUP(A300, Infrared!A:G, 6, FALSE), "N/A"))</f>
        <v/>
      </c>
      <c r="J300" t="str">
        <f>IF(A300="","", IFERROR(VLOOKUP(A300, Ultrasonic!A:H, 7, FALSE), "N/A"))</f>
        <v/>
      </c>
      <c r="K300" t="str">
        <f>IF(A300="","", IFERROR(VLOOKUP(A300, 'Code Violations'!A:V, 22, FALSE), "N/A"))</f>
        <v/>
      </c>
      <c r="L300" t="str">
        <f t="shared" si="4"/>
        <v/>
      </c>
    </row>
    <row r="301" spans="1:12" x14ac:dyDescent="0.25">
      <c r="A301" t="str">
        <f>IF('Equipment Information'!A301="","", 'Equipment Information'!A301)</f>
        <v/>
      </c>
      <c r="B301" t="str">
        <f>IF('Equipment Information'!B301="","", 'Equipment Information'!B301)</f>
        <v/>
      </c>
      <c r="C301" t="str">
        <f>IF('Equipment Information'!C301="","", 'Equipment Information'!C301)</f>
        <v/>
      </c>
      <c r="D301" t="str">
        <f>IF('Equipment Information'!D301="","", 'Equipment Information'!D301)</f>
        <v/>
      </c>
      <c r="E301" t="str">
        <f>IF(A301="","", IFERROR(VLOOKUP(A301, 'Energized Data'!A:T, 20, FALSE), "N/A"))</f>
        <v/>
      </c>
      <c r="F301" t="str">
        <f>IF(A301="","", IFERROR(VLOOKUP(A301, Insulation!A:J, 9, FALSE), "N/A"))</f>
        <v/>
      </c>
      <c r="G301" t="str">
        <f>IF(A301="","", IFERROR(VLOOKUP(A301, DLRO!A:I, 8, FALSE), "N/A"))</f>
        <v/>
      </c>
      <c r="H301" t="str">
        <f>IF(A301="","", IFERROR(VLOOKUP(A301, Torque!A:I, 8, FALSE), "N/A"))</f>
        <v/>
      </c>
      <c r="I301" t="str">
        <f>IF(A301="","", IFERROR(VLOOKUP(A301, Infrared!A:G, 6, FALSE), "N/A"))</f>
        <v/>
      </c>
      <c r="J301" t="str">
        <f>IF(A301="","", IFERROR(VLOOKUP(A301, Ultrasonic!A:H, 7, FALSE), "N/A"))</f>
        <v/>
      </c>
      <c r="K301" t="str">
        <f>IF(A301="","", IFERROR(VLOOKUP(A301, 'Code Violations'!A:V, 22, FALSE), "N/A"))</f>
        <v/>
      </c>
      <c r="L301" t="str">
        <f t="shared" si="4"/>
        <v/>
      </c>
    </row>
    <row r="302" spans="1:12" x14ac:dyDescent="0.25">
      <c r="A302" t="str">
        <f>IF('Equipment Information'!A302="","", 'Equipment Information'!A302)</f>
        <v/>
      </c>
      <c r="B302" t="str">
        <f>IF('Equipment Information'!B302="","", 'Equipment Information'!B302)</f>
        <v/>
      </c>
      <c r="C302" t="str">
        <f>IF('Equipment Information'!C302="","", 'Equipment Information'!C302)</f>
        <v/>
      </c>
      <c r="D302" t="str">
        <f>IF('Equipment Information'!D302="","", 'Equipment Information'!D302)</f>
        <v/>
      </c>
      <c r="E302" t="str">
        <f>IF(A302="","", IFERROR(VLOOKUP(A302, 'Energized Data'!A:T, 20, FALSE), "N/A"))</f>
        <v/>
      </c>
      <c r="F302" t="str">
        <f>IF(A302="","", IFERROR(VLOOKUP(A302, Insulation!A:J, 9, FALSE), "N/A"))</f>
        <v/>
      </c>
      <c r="G302" t="str">
        <f>IF(A302="","", IFERROR(VLOOKUP(A302, DLRO!A:I, 8, FALSE), "N/A"))</f>
        <v/>
      </c>
      <c r="H302" t="str">
        <f>IF(A302="","", IFERROR(VLOOKUP(A302, Torque!A:I, 8, FALSE), "N/A"))</f>
        <v/>
      </c>
      <c r="I302" t="str">
        <f>IF(A302="","", IFERROR(VLOOKUP(A302, Infrared!A:G, 6, FALSE), "N/A"))</f>
        <v/>
      </c>
      <c r="J302" t="str">
        <f>IF(A302="","", IFERROR(VLOOKUP(A302, Ultrasonic!A:H, 7, FALSE), "N/A"))</f>
        <v/>
      </c>
      <c r="K302" t="str">
        <f>IF(A302="","", IFERROR(VLOOKUP(A302, 'Code Violations'!A:V, 22, FALSE), "N/A"))</f>
        <v/>
      </c>
      <c r="L302" t="str">
        <f t="shared" si="4"/>
        <v/>
      </c>
    </row>
    <row r="303" spans="1:12" x14ac:dyDescent="0.25">
      <c r="A303" t="str">
        <f>IF('Equipment Information'!A303="","", 'Equipment Information'!A303)</f>
        <v/>
      </c>
      <c r="B303" t="str">
        <f>IF('Equipment Information'!B303="","", 'Equipment Information'!B303)</f>
        <v/>
      </c>
      <c r="C303" t="str">
        <f>IF('Equipment Information'!C303="","", 'Equipment Information'!C303)</f>
        <v/>
      </c>
      <c r="D303" t="str">
        <f>IF('Equipment Information'!D303="","", 'Equipment Information'!D303)</f>
        <v/>
      </c>
      <c r="E303" t="str">
        <f>IF(A303="","", IFERROR(VLOOKUP(A303, 'Energized Data'!A:T, 20, FALSE), "N/A"))</f>
        <v/>
      </c>
      <c r="F303" t="str">
        <f>IF(A303="","", IFERROR(VLOOKUP(A303, Insulation!A:J, 9, FALSE), "N/A"))</f>
        <v/>
      </c>
      <c r="G303" t="str">
        <f>IF(A303="","", IFERROR(VLOOKUP(A303, DLRO!A:I, 8, FALSE), "N/A"))</f>
        <v/>
      </c>
      <c r="H303" t="str">
        <f>IF(A303="","", IFERROR(VLOOKUP(A303, Torque!A:I, 8, FALSE), "N/A"))</f>
        <v/>
      </c>
      <c r="I303" t="str">
        <f>IF(A303="","", IFERROR(VLOOKUP(A303, Infrared!A:G, 6, FALSE), "N/A"))</f>
        <v/>
      </c>
      <c r="J303" t="str">
        <f>IF(A303="","", IFERROR(VLOOKUP(A303, Ultrasonic!A:H, 7, FALSE), "N/A"))</f>
        <v/>
      </c>
      <c r="K303" t="str">
        <f>IF(A303="","", IFERROR(VLOOKUP(A303, 'Code Violations'!A:V, 22, FALSE), "N/A"))</f>
        <v/>
      </c>
      <c r="L303" t="str">
        <f t="shared" si="4"/>
        <v/>
      </c>
    </row>
    <row r="304" spans="1:12" x14ac:dyDescent="0.25">
      <c r="A304" t="str">
        <f>IF('Equipment Information'!A304="","", 'Equipment Information'!A304)</f>
        <v/>
      </c>
      <c r="B304" t="str">
        <f>IF('Equipment Information'!B304="","", 'Equipment Information'!B304)</f>
        <v/>
      </c>
      <c r="C304" t="str">
        <f>IF('Equipment Information'!C304="","", 'Equipment Information'!C304)</f>
        <v/>
      </c>
      <c r="D304" t="str">
        <f>IF('Equipment Information'!D304="","", 'Equipment Information'!D304)</f>
        <v/>
      </c>
      <c r="E304" t="str">
        <f>IF(A304="","", IFERROR(VLOOKUP(A304, 'Energized Data'!A:T, 20, FALSE), "N/A"))</f>
        <v/>
      </c>
      <c r="F304" t="str">
        <f>IF(A304="","", IFERROR(VLOOKUP(A304, Insulation!A:J, 9, FALSE), "N/A"))</f>
        <v/>
      </c>
      <c r="G304" t="str">
        <f>IF(A304="","", IFERROR(VLOOKUP(A304, DLRO!A:I, 8, FALSE), "N/A"))</f>
        <v/>
      </c>
      <c r="H304" t="str">
        <f>IF(A304="","", IFERROR(VLOOKUP(A304, Torque!A:I, 8, FALSE), "N/A"))</f>
        <v/>
      </c>
      <c r="I304" t="str">
        <f>IF(A304="","", IFERROR(VLOOKUP(A304, Infrared!A:G, 6, FALSE), "N/A"))</f>
        <v/>
      </c>
      <c r="J304" t="str">
        <f>IF(A304="","", IFERROR(VLOOKUP(A304, Ultrasonic!A:H, 7, FALSE), "N/A"))</f>
        <v/>
      </c>
      <c r="K304" t="str">
        <f>IF(A304="","", IFERROR(VLOOKUP(A304, 'Code Violations'!A:V, 22, FALSE), "N/A"))</f>
        <v/>
      </c>
      <c r="L304" t="str">
        <f t="shared" si="4"/>
        <v/>
      </c>
    </row>
    <row r="305" spans="1:12" x14ac:dyDescent="0.25">
      <c r="A305" t="str">
        <f>IF('Equipment Information'!A305="","", 'Equipment Information'!A305)</f>
        <v/>
      </c>
      <c r="B305" t="str">
        <f>IF('Equipment Information'!B305="","", 'Equipment Information'!B305)</f>
        <v/>
      </c>
      <c r="C305" t="str">
        <f>IF('Equipment Information'!C305="","", 'Equipment Information'!C305)</f>
        <v/>
      </c>
      <c r="D305" t="str">
        <f>IF('Equipment Information'!D305="","", 'Equipment Information'!D305)</f>
        <v/>
      </c>
      <c r="E305" t="str">
        <f>IF(A305="","", IFERROR(VLOOKUP(A305, 'Energized Data'!A:T, 20, FALSE), "N/A"))</f>
        <v/>
      </c>
      <c r="F305" t="str">
        <f>IF(A305="","", IFERROR(VLOOKUP(A305, Insulation!A:J, 9, FALSE), "N/A"))</f>
        <v/>
      </c>
      <c r="G305" t="str">
        <f>IF(A305="","", IFERROR(VLOOKUP(A305, DLRO!A:I, 8, FALSE), "N/A"))</f>
        <v/>
      </c>
      <c r="H305" t="str">
        <f>IF(A305="","", IFERROR(VLOOKUP(A305, Torque!A:I, 8, FALSE), "N/A"))</f>
        <v/>
      </c>
      <c r="I305" t="str">
        <f>IF(A305="","", IFERROR(VLOOKUP(A305, Infrared!A:G, 6, FALSE), "N/A"))</f>
        <v/>
      </c>
      <c r="J305" t="str">
        <f>IF(A305="","", IFERROR(VLOOKUP(A305, Ultrasonic!A:H, 7, FALSE), "N/A"))</f>
        <v/>
      </c>
      <c r="K305" t="str">
        <f>IF(A305="","", IFERROR(VLOOKUP(A305, 'Code Violations'!A:V, 22, FALSE), "N/A"))</f>
        <v/>
      </c>
      <c r="L305" t="str">
        <f t="shared" si="4"/>
        <v/>
      </c>
    </row>
    <row r="306" spans="1:12" x14ac:dyDescent="0.25">
      <c r="A306" t="str">
        <f>IF('Equipment Information'!A306="","", 'Equipment Information'!A306)</f>
        <v/>
      </c>
      <c r="B306" t="str">
        <f>IF('Equipment Information'!B306="","", 'Equipment Information'!B306)</f>
        <v/>
      </c>
      <c r="C306" t="str">
        <f>IF('Equipment Information'!C306="","", 'Equipment Information'!C306)</f>
        <v/>
      </c>
      <c r="D306" t="str">
        <f>IF('Equipment Information'!D306="","", 'Equipment Information'!D306)</f>
        <v/>
      </c>
      <c r="E306" t="str">
        <f>IF(A306="","", IFERROR(VLOOKUP(A306, 'Energized Data'!A:T, 20, FALSE), "N/A"))</f>
        <v/>
      </c>
      <c r="F306" t="str">
        <f>IF(A306="","", IFERROR(VLOOKUP(A306, Insulation!A:J, 9, FALSE), "N/A"))</f>
        <v/>
      </c>
      <c r="G306" t="str">
        <f>IF(A306="","", IFERROR(VLOOKUP(A306, DLRO!A:I, 8, FALSE), "N/A"))</f>
        <v/>
      </c>
      <c r="H306" t="str">
        <f>IF(A306="","", IFERROR(VLOOKUP(A306, Torque!A:I, 8, FALSE), "N/A"))</f>
        <v/>
      </c>
      <c r="I306" t="str">
        <f>IF(A306="","", IFERROR(VLOOKUP(A306, Infrared!A:G, 6, FALSE), "N/A"))</f>
        <v/>
      </c>
      <c r="J306" t="str">
        <f>IF(A306="","", IFERROR(VLOOKUP(A306, Ultrasonic!A:H, 7, FALSE), "N/A"))</f>
        <v/>
      </c>
      <c r="K306" t="str">
        <f>IF(A306="","", IFERROR(VLOOKUP(A306, 'Code Violations'!A:V, 22, FALSE), "N/A"))</f>
        <v/>
      </c>
      <c r="L306" t="str">
        <f t="shared" si="4"/>
        <v/>
      </c>
    </row>
    <row r="307" spans="1:12" x14ac:dyDescent="0.25">
      <c r="A307" t="str">
        <f>IF('Equipment Information'!A307="","", 'Equipment Information'!A307)</f>
        <v/>
      </c>
      <c r="B307" t="str">
        <f>IF('Equipment Information'!B307="","", 'Equipment Information'!B307)</f>
        <v/>
      </c>
      <c r="C307" t="str">
        <f>IF('Equipment Information'!C307="","", 'Equipment Information'!C307)</f>
        <v/>
      </c>
      <c r="D307" t="str">
        <f>IF('Equipment Information'!D307="","", 'Equipment Information'!D307)</f>
        <v/>
      </c>
      <c r="E307" t="str">
        <f>IF(A307="","", IFERROR(VLOOKUP(A307, 'Energized Data'!A:T, 20, FALSE), "N/A"))</f>
        <v/>
      </c>
      <c r="F307" t="str">
        <f>IF(A307="","", IFERROR(VLOOKUP(A307, Insulation!A:J, 9, FALSE), "N/A"))</f>
        <v/>
      </c>
      <c r="G307" t="str">
        <f>IF(A307="","", IFERROR(VLOOKUP(A307, DLRO!A:I, 8, FALSE), "N/A"))</f>
        <v/>
      </c>
      <c r="H307" t="str">
        <f>IF(A307="","", IFERROR(VLOOKUP(A307, Torque!A:I, 8, FALSE), "N/A"))</f>
        <v/>
      </c>
      <c r="I307" t="str">
        <f>IF(A307="","", IFERROR(VLOOKUP(A307, Infrared!A:G, 6, FALSE), "N/A"))</f>
        <v/>
      </c>
      <c r="J307" t="str">
        <f>IF(A307="","", IFERROR(VLOOKUP(A307, Ultrasonic!A:H, 7, FALSE), "N/A"))</f>
        <v/>
      </c>
      <c r="K307" t="str">
        <f>IF(A307="","", IFERROR(VLOOKUP(A307, 'Code Violations'!A:V, 22, FALSE), "N/A"))</f>
        <v/>
      </c>
      <c r="L307" t="str">
        <f t="shared" si="4"/>
        <v/>
      </c>
    </row>
    <row r="308" spans="1:12" x14ac:dyDescent="0.25">
      <c r="A308" t="str">
        <f>IF('Equipment Information'!A308="","", 'Equipment Information'!A308)</f>
        <v/>
      </c>
      <c r="B308" t="str">
        <f>IF('Equipment Information'!B308="","", 'Equipment Information'!B308)</f>
        <v/>
      </c>
      <c r="C308" t="str">
        <f>IF('Equipment Information'!C308="","", 'Equipment Information'!C308)</f>
        <v/>
      </c>
      <c r="D308" t="str">
        <f>IF('Equipment Information'!D308="","", 'Equipment Information'!D308)</f>
        <v/>
      </c>
      <c r="E308" t="str">
        <f>IF(A308="","", IFERROR(VLOOKUP(A308, 'Energized Data'!A:T, 20, FALSE), "N/A"))</f>
        <v/>
      </c>
      <c r="F308" t="str">
        <f>IF(A308="","", IFERROR(VLOOKUP(A308, Insulation!A:J, 9, FALSE), "N/A"))</f>
        <v/>
      </c>
      <c r="G308" t="str">
        <f>IF(A308="","", IFERROR(VLOOKUP(A308, DLRO!A:I, 8, FALSE), "N/A"))</f>
        <v/>
      </c>
      <c r="H308" t="str">
        <f>IF(A308="","", IFERROR(VLOOKUP(A308, Torque!A:I, 8, FALSE), "N/A"))</f>
        <v/>
      </c>
      <c r="I308" t="str">
        <f>IF(A308="","", IFERROR(VLOOKUP(A308, Infrared!A:G, 6, FALSE), "N/A"))</f>
        <v/>
      </c>
      <c r="J308" t="str">
        <f>IF(A308="","", IFERROR(VLOOKUP(A308, Ultrasonic!A:H, 7, FALSE), "N/A"))</f>
        <v/>
      </c>
      <c r="K308" t="str">
        <f>IF(A308="","", IFERROR(VLOOKUP(A308, 'Code Violations'!A:V, 22, FALSE), "N/A"))</f>
        <v/>
      </c>
      <c r="L308" t="str">
        <f t="shared" si="4"/>
        <v/>
      </c>
    </row>
    <row r="309" spans="1:12" x14ac:dyDescent="0.25">
      <c r="A309" t="str">
        <f>IF('Equipment Information'!A309="","", 'Equipment Information'!A309)</f>
        <v/>
      </c>
      <c r="B309" t="str">
        <f>IF('Equipment Information'!B309="","", 'Equipment Information'!B309)</f>
        <v/>
      </c>
      <c r="C309" t="str">
        <f>IF('Equipment Information'!C309="","", 'Equipment Information'!C309)</f>
        <v/>
      </c>
      <c r="D309" t="str">
        <f>IF('Equipment Information'!D309="","", 'Equipment Information'!D309)</f>
        <v/>
      </c>
      <c r="E309" t="str">
        <f>IF(A309="","", IFERROR(VLOOKUP(A309, 'Energized Data'!A:T, 20, FALSE), "N/A"))</f>
        <v/>
      </c>
      <c r="F309" t="str">
        <f>IF(A309="","", IFERROR(VLOOKUP(A309, Insulation!A:J, 9, FALSE), "N/A"))</f>
        <v/>
      </c>
      <c r="G309" t="str">
        <f>IF(A309="","", IFERROR(VLOOKUP(A309, DLRO!A:I, 8, FALSE), "N/A"))</f>
        <v/>
      </c>
      <c r="H309" t="str">
        <f>IF(A309="","", IFERROR(VLOOKUP(A309, Torque!A:I, 8, FALSE), "N/A"))</f>
        <v/>
      </c>
      <c r="I309" t="str">
        <f>IF(A309="","", IFERROR(VLOOKUP(A309, Infrared!A:G, 6, FALSE), "N/A"))</f>
        <v/>
      </c>
      <c r="J309" t="str">
        <f>IF(A309="","", IFERROR(VLOOKUP(A309, Ultrasonic!A:H, 7, FALSE), "N/A"))</f>
        <v/>
      </c>
      <c r="K309" t="str">
        <f>IF(A309="","", IFERROR(VLOOKUP(A309, 'Code Violations'!A:V, 22, FALSE), "N/A"))</f>
        <v/>
      </c>
      <c r="L309" t="str">
        <f t="shared" si="4"/>
        <v/>
      </c>
    </row>
    <row r="310" spans="1:12" x14ac:dyDescent="0.25">
      <c r="A310" t="str">
        <f>IF('Equipment Information'!A310="","", 'Equipment Information'!A310)</f>
        <v/>
      </c>
      <c r="B310" t="str">
        <f>IF('Equipment Information'!B310="","", 'Equipment Information'!B310)</f>
        <v/>
      </c>
      <c r="C310" t="str">
        <f>IF('Equipment Information'!C310="","", 'Equipment Information'!C310)</f>
        <v/>
      </c>
      <c r="D310" t="str">
        <f>IF('Equipment Information'!D310="","", 'Equipment Information'!D310)</f>
        <v/>
      </c>
      <c r="E310" t="str">
        <f>IF(A310="","", IFERROR(VLOOKUP(A310, 'Energized Data'!A:T, 20, FALSE), "N/A"))</f>
        <v/>
      </c>
      <c r="F310" t="str">
        <f>IF(A310="","", IFERROR(VLOOKUP(A310, Insulation!A:J, 9, FALSE), "N/A"))</f>
        <v/>
      </c>
      <c r="G310" t="str">
        <f>IF(A310="","", IFERROR(VLOOKUP(A310, DLRO!A:I, 8, FALSE), "N/A"))</f>
        <v/>
      </c>
      <c r="H310" t="str">
        <f>IF(A310="","", IFERROR(VLOOKUP(A310, Torque!A:I, 8, FALSE), "N/A"))</f>
        <v/>
      </c>
      <c r="I310" t="str">
        <f>IF(A310="","", IFERROR(VLOOKUP(A310, Infrared!A:G, 6, FALSE), "N/A"))</f>
        <v/>
      </c>
      <c r="J310" t="str">
        <f>IF(A310="","", IFERROR(VLOOKUP(A310, Ultrasonic!A:H, 7, FALSE), "N/A"))</f>
        <v/>
      </c>
      <c r="K310" t="str">
        <f>IF(A310="","", IFERROR(VLOOKUP(A310, 'Code Violations'!A:V, 22, FALSE), "N/A"))</f>
        <v/>
      </c>
      <c r="L310" t="str">
        <f t="shared" si="4"/>
        <v/>
      </c>
    </row>
    <row r="311" spans="1:12" x14ac:dyDescent="0.25">
      <c r="A311" t="str">
        <f>IF('Equipment Information'!A311="","", 'Equipment Information'!A311)</f>
        <v/>
      </c>
      <c r="B311" t="str">
        <f>IF('Equipment Information'!B311="","", 'Equipment Information'!B311)</f>
        <v/>
      </c>
      <c r="C311" t="str">
        <f>IF('Equipment Information'!C311="","", 'Equipment Information'!C311)</f>
        <v/>
      </c>
      <c r="D311" t="str">
        <f>IF('Equipment Information'!D311="","", 'Equipment Information'!D311)</f>
        <v/>
      </c>
      <c r="E311" t="str">
        <f>IF(A311="","", IFERROR(VLOOKUP(A311, 'Energized Data'!A:T, 20, FALSE), "N/A"))</f>
        <v/>
      </c>
      <c r="F311" t="str">
        <f>IF(A311="","", IFERROR(VLOOKUP(A311, Insulation!A:J, 9, FALSE), "N/A"))</f>
        <v/>
      </c>
      <c r="G311" t="str">
        <f>IF(A311="","", IFERROR(VLOOKUP(A311, DLRO!A:I, 8, FALSE), "N/A"))</f>
        <v/>
      </c>
      <c r="H311" t="str">
        <f>IF(A311="","", IFERROR(VLOOKUP(A311, Torque!A:I, 8, FALSE), "N/A"))</f>
        <v/>
      </c>
      <c r="I311" t="str">
        <f>IF(A311="","", IFERROR(VLOOKUP(A311, Infrared!A:G, 6, FALSE), "N/A"))</f>
        <v/>
      </c>
      <c r="J311" t="str">
        <f>IF(A311="","", IFERROR(VLOOKUP(A311, Ultrasonic!A:H, 7, FALSE), "N/A"))</f>
        <v/>
      </c>
      <c r="K311" t="str">
        <f>IF(A311="","", IFERROR(VLOOKUP(A311, 'Code Violations'!A:V, 22, FALSE), "N/A"))</f>
        <v/>
      </c>
      <c r="L311" t="str">
        <f t="shared" si="4"/>
        <v/>
      </c>
    </row>
    <row r="312" spans="1:12" x14ac:dyDescent="0.25">
      <c r="A312" t="str">
        <f>IF('Equipment Information'!A312="","", 'Equipment Information'!A312)</f>
        <v/>
      </c>
      <c r="B312" t="str">
        <f>IF('Equipment Information'!B312="","", 'Equipment Information'!B312)</f>
        <v/>
      </c>
      <c r="C312" t="str">
        <f>IF('Equipment Information'!C312="","", 'Equipment Information'!C312)</f>
        <v/>
      </c>
      <c r="D312" t="str">
        <f>IF('Equipment Information'!D312="","", 'Equipment Information'!D312)</f>
        <v/>
      </c>
      <c r="E312" t="str">
        <f>IF(A312="","", IFERROR(VLOOKUP(A312, 'Energized Data'!A:T, 20, FALSE), "N/A"))</f>
        <v/>
      </c>
      <c r="F312" t="str">
        <f>IF(A312="","", IFERROR(VLOOKUP(A312, Insulation!A:J, 9, FALSE), "N/A"))</f>
        <v/>
      </c>
      <c r="G312" t="str">
        <f>IF(A312="","", IFERROR(VLOOKUP(A312, DLRO!A:I, 8, FALSE), "N/A"))</f>
        <v/>
      </c>
      <c r="H312" t="str">
        <f>IF(A312="","", IFERROR(VLOOKUP(A312, Torque!A:I, 8, FALSE), "N/A"))</f>
        <v/>
      </c>
      <c r="I312" t="str">
        <f>IF(A312="","", IFERROR(VLOOKUP(A312, Infrared!A:G, 6, FALSE), "N/A"))</f>
        <v/>
      </c>
      <c r="J312" t="str">
        <f>IF(A312="","", IFERROR(VLOOKUP(A312, Ultrasonic!A:H, 7, FALSE), "N/A"))</f>
        <v/>
      </c>
      <c r="K312" t="str">
        <f>IF(A312="","", IFERROR(VLOOKUP(A312, 'Code Violations'!A:V, 22, FALSE), "N/A"))</f>
        <v/>
      </c>
      <c r="L312" t="str">
        <f t="shared" si="4"/>
        <v/>
      </c>
    </row>
    <row r="313" spans="1:12" x14ac:dyDescent="0.25">
      <c r="A313" t="str">
        <f>IF('Equipment Information'!A313="","", 'Equipment Information'!A313)</f>
        <v/>
      </c>
      <c r="B313" t="str">
        <f>IF('Equipment Information'!B313="","", 'Equipment Information'!B313)</f>
        <v/>
      </c>
      <c r="C313" t="str">
        <f>IF('Equipment Information'!C313="","", 'Equipment Information'!C313)</f>
        <v/>
      </c>
      <c r="D313" t="str">
        <f>IF('Equipment Information'!D313="","", 'Equipment Information'!D313)</f>
        <v/>
      </c>
      <c r="E313" t="str">
        <f>IF(A313="","", IFERROR(VLOOKUP(A313, 'Energized Data'!A:T, 20, FALSE), "N/A"))</f>
        <v/>
      </c>
      <c r="F313" t="str">
        <f>IF(A313="","", IFERROR(VLOOKUP(A313, Insulation!A:J, 9, FALSE), "N/A"))</f>
        <v/>
      </c>
      <c r="G313" t="str">
        <f>IF(A313="","", IFERROR(VLOOKUP(A313, DLRO!A:I, 8, FALSE), "N/A"))</f>
        <v/>
      </c>
      <c r="H313" t="str">
        <f>IF(A313="","", IFERROR(VLOOKUP(A313, Torque!A:I, 8, FALSE), "N/A"))</f>
        <v/>
      </c>
      <c r="I313" t="str">
        <f>IF(A313="","", IFERROR(VLOOKUP(A313, Infrared!A:G, 6, FALSE), "N/A"))</f>
        <v/>
      </c>
      <c r="J313" t="str">
        <f>IF(A313="","", IFERROR(VLOOKUP(A313, Ultrasonic!A:H, 7, FALSE), "N/A"))</f>
        <v/>
      </c>
      <c r="K313" t="str">
        <f>IF(A313="","", IFERROR(VLOOKUP(A313, 'Code Violations'!A:V, 22, FALSE), "N/A"))</f>
        <v/>
      </c>
      <c r="L313" t="str">
        <f t="shared" si="4"/>
        <v/>
      </c>
    </row>
    <row r="314" spans="1:12" x14ac:dyDescent="0.25">
      <c r="A314" t="str">
        <f>IF('Equipment Information'!A314="","", 'Equipment Information'!A314)</f>
        <v/>
      </c>
      <c r="B314" t="str">
        <f>IF('Equipment Information'!B314="","", 'Equipment Information'!B314)</f>
        <v/>
      </c>
      <c r="C314" t="str">
        <f>IF('Equipment Information'!C314="","", 'Equipment Information'!C314)</f>
        <v/>
      </c>
      <c r="D314" t="str">
        <f>IF('Equipment Information'!D314="","", 'Equipment Information'!D314)</f>
        <v/>
      </c>
      <c r="E314" t="str">
        <f>IF(A314="","", IFERROR(VLOOKUP(A314, 'Energized Data'!A:T, 20, FALSE), "N/A"))</f>
        <v/>
      </c>
      <c r="F314" t="str">
        <f>IF(A314="","", IFERROR(VLOOKUP(A314, Insulation!A:J, 9, FALSE), "N/A"))</f>
        <v/>
      </c>
      <c r="G314" t="str">
        <f>IF(A314="","", IFERROR(VLOOKUP(A314, DLRO!A:I, 8, FALSE), "N/A"))</f>
        <v/>
      </c>
      <c r="H314" t="str">
        <f>IF(A314="","", IFERROR(VLOOKUP(A314, Torque!A:I, 8, FALSE), "N/A"))</f>
        <v/>
      </c>
      <c r="I314" t="str">
        <f>IF(A314="","", IFERROR(VLOOKUP(A314, Infrared!A:G, 6, FALSE), "N/A"))</f>
        <v/>
      </c>
      <c r="J314" t="str">
        <f>IF(A314="","", IFERROR(VLOOKUP(A314, Ultrasonic!A:H, 7, FALSE), "N/A"))</f>
        <v/>
      </c>
      <c r="K314" t="str">
        <f>IF(A314="","", IFERROR(VLOOKUP(A314, 'Code Violations'!A:V, 22, FALSE), "N/A"))</f>
        <v/>
      </c>
      <c r="L314" t="str">
        <f t="shared" si="4"/>
        <v/>
      </c>
    </row>
    <row r="315" spans="1:12" x14ac:dyDescent="0.25">
      <c r="A315" t="str">
        <f>IF('Equipment Information'!A315="","", 'Equipment Information'!A315)</f>
        <v/>
      </c>
      <c r="B315" t="str">
        <f>IF('Equipment Information'!B315="","", 'Equipment Information'!B315)</f>
        <v/>
      </c>
      <c r="C315" t="str">
        <f>IF('Equipment Information'!C315="","", 'Equipment Information'!C315)</f>
        <v/>
      </c>
      <c r="D315" t="str">
        <f>IF('Equipment Information'!D315="","", 'Equipment Information'!D315)</f>
        <v/>
      </c>
      <c r="E315" t="str">
        <f>IF(A315="","", IFERROR(VLOOKUP(A315, 'Energized Data'!A:T, 20, FALSE), "N/A"))</f>
        <v/>
      </c>
      <c r="F315" t="str">
        <f>IF(A315="","", IFERROR(VLOOKUP(A315, Insulation!A:J, 9, FALSE), "N/A"))</f>
        <v/>
      </c>
      <c r="G315" t="str">
        <f>IF(A315="","", IFERROR(VLOOKUP(A315, DLRO!A:I, 8, FALSE), "N/A"))</f>
        <v/>
      </c>
      <c r="H315" t="str">
        <f>IF(A315="","", IFERROR(VLOOKUP(A315, Torque!A:I, 8, FALSE), "N/A"))</f>
        <v/>
      </c>
      <c r="I315" t="str">
        <f>IF(A315="","", IFERROR(VLOOKUP(A315, Infrared!A:G, 6, FALSE), "N/A"))</f>
        <v/>
      </c>
      <c r="J315" t="str">
        <f>IF(A315="","", IFERROR(VLOOKUP(A315, Ultrasonic!A:H, 7, FALSE), "N/A"))</f>
        <v/>
      </c>
      <c r="K315" t="str">
        <f>IF(A315="","", IFERROR(VLOOKUP(A315, 'Code Violations'!A:V, 22, FALSE), "N/A"))</f>
        <v/>
      </c>
      <c r="L315" t="str">
        <f t="shared" si="4"/>
        <v/>
      </c>
    </row>
    <row r="316" spans="1:12" x14ac:dyDescent="0.25">
      <c r="A316" t="str">
        <f>IF('Equipment Information'!A316="","", 'Equipment Information'!A316)</f>
        <v/>
      </c>
      <c r="B316" t="str">
        <f>IF('Equipment Information'!B316="","", 'Equipment Information'!B316)</f>
        <v/>
      </c>
      <c r="C316" t="str">
        <f>IF('Equipment Information'!C316="","", 'Equipment Information'!C316)</f>
        <v/>
      </c>
      <c r="D316" t="str">
        <f>IF('Equipment Information'!D316="","", 'Equipment Information'!D316)</f>
        <v/>
      </c>
      <c r="E316" t="str">
        <f>IF(A316="","", IFERROR(VLOOKUP(A316, 'Energized Data'!A:T, 20, FALSE), "N/A"))</f>
        <v/>
      </c>
      <c r="F316" t="str">
        <f>IF(A316="","", IFERROR(VLOOKUP(A316, Insulation!A:J, 9, FALSE), "N/A"))</f>
        <v/>
      </c>
      <c r="G316" t="str">
        <f>IF(A316="","", IFERROR(VLOOKUP(A316, DLRO!A:I, 8, FALSE), "N/A"))</f>
        <v/>
      </c>
      <c r="H316" t="str">
        <f>IF(A316="","", IFERROR(VLOOKUP(A316, Torque!A:I, 8, FALSE), "N/A"))</f>
        <v/>
      </c>
      <c r="I316" t="str">
        <f>IF(A316="","", IFERROR(VLOOKUP(A316, Infrared!A:G, 6, FALSE), "N/A"))</f>
        <v/>
      </c>
      <c r="J316" t="str">
        <f>IF(A316="","", IFERROR(VLOOKUP(A316, Ultrasonic!A:H, 7, FALSE), "N/A"))</f>
        <v/>
      </c>
      <c r="K316" t="str">
        <f>IF(A316="","", IFERROR(VLOOKUP(A316, 'Code Violations'!A:V, 22, FALSE), "N/A"))</f>
        <v/>
      </c>
      <c r="L316" t="str">
        <f t="shared" si="4"/>
        <v/>
      </c>
    </row>
    <row r="317" spans="1:12" x14ac:dyDescent="0.25">
      <c r="A317" t="str">
        <f>IF('Equipment Information'!A317="","", 'Equipment Information'!A317)</f>
        <v/>
      </c>
      <c r="B317" t="str">
        <f>IF('Equipment Information'!B317="","", 'Equipment Information'!B317)</f>
        <v/>
      </c>
      <c r="C317" t="str">
        <f>IF('Equipment Information'!C317="","", 'Equipment Information'!C317)</f>
        <v/>
      </c>
      <c r="D317" t="str">
        <f>IF('Equipment Information'!D317="","", 'Equipment Information'!D317)</f>
        <v/>
      </c>
      <c r="E317" t="str">
        <f>IF(A317="","", IFERROR(VLOOKUP(A317, 'Energized Data'!A:T, 20, FALSE), "N/A"))</f>
        <v/>
      </c>
      <c r="F317" t="str">
        <f>IF(A317="","", IFERROR(VLOOKUP(A317, Insulation!A:J, 9, FALSE), "N/A"))</f>
        <v/>
      </c>
      <c r="G317" t="str">
        <f>IF(A317="","", IFERROR(VLOOKUP(A317, DLRO!A:I, 8, FALSE), "N/A"))</f>
        <v/>
      </c>
      <c r="H317" t="str">
        <f>IF(A317="","", IFERROR(VLOOKUP(A317, Torque!A:I, 8, FALSE), "N/A"))</f>
        <v/>
      </c>
      <c r="I317" t="str">
        <f>IF(A317="","", IFERROR(VLOOKUP(A317, Infrared!A:G, 6, FALSE), "N/A"))</f>
        <v/>
      </c>
      <c r="J317" t="str">
        <f>IF(A317="","", IFERROR(VLOOKUP(A317, Ultrasonic!A:H, 7, FALSE), "N/A"))</f>
        <v/>
      </c>
      <c r="K317" t="str">
        <f>IF(A317="","", IFERROR(VLOOKUP(A317, 'Code Violations'!A:V, 22, FALSE), "N/A"))</f>
        <v/>
      </c>
      <c r="L317" t="str">
        <f t="shared" si="4"/>
        <v/>
      </c>
    </row>
    <row r="318" spans="1:12" x14ac:dyDescent="0.25">
      <c r="A318" t="str">
        <f>IF('Equipment Information'!A318="","", 'Equipment Information'!A318)</f>
        <v/>
      </c>
      <c r="B318" t="str">
        <f>IF('Equipment Information'!B318="","", 'Equipment Information'!B318)</f>
        <v/>
      </c>
      <c r="C318" t="str">
        <f>IF('Equipment Information'!C318="","", 'Equipment Information'!C318)</f>
        <v/>
      </c>
      <c r="D318" t="str">
        <f>IF('Equipment Information'!D318="","", 'Equipment Information'!D318)</f>
        <v/>
      </c>
      <c r="E318" t="str">
        <f>IF(A318="","", IFERROR(VLOOKUP(A318, 'Energized Data'!A:T, 20, FALSE), "N/A"))</f>
        <v/>
      </c>
      <c r="F318" t="str">
        <f>IF(A318="","", IFERROR(VLOOKUP(A318, Insulation!A:J, 9, FALSE), "N/A"))</f>
        <v/>
      </c>
      <c r="G318" t="str">
        <f>IF(A318="","", IFERROR(VLOOKUP(A318, DLRO!A:I, 8, FALSE), "N/A"))</f>
        <v/>
      </c>
      <c r="H318" t="str">
        <f>IF(A318="","", IFERROR(VLOOKUP(A318, Torque!A:I, 8, FALSE), "N/A"))</f>
        <v/>
      </c>
      <c r="I318" t="str">
        <f>IF(A318="","", IFERROR(VLOOKUP(A318, Infrared!A:G, 6, FALSE), "N/A"))</f>
        <v/>
      </c>
      <c r="J318" t="str">
        <f>IF(A318="","", IFERROR(VLOOKUP(A318, Ultrasonic!A:H, 7, FALSE), "N/A"))</f>
        <v/>
      </c>
      <c r="K318" t="str">
        <f>IF(A318="","", IFERROR(VLOOKUP(A318, 'Code Violations'!A:V, 22, FALSE), "N/A"))</f>
        <v/>
      </c>
      <c r="L318" t="str">
        <f t="shared" si="4"/>
        <v/>
      </c>
    </row>
    <row r="319" spans="1:12" x14ac:dyDescent="0.25">
      <c r="A319" t="str">
        <f>IF('Equipment Information'!A319="","", 'Equipment Information'!A319)</f>
        <v/>
      </c>
      <c r="B319" t="str">
        <f>IF('Equipment Information'!B319="","", 'Equipment Information'!B319)</f>
        <v/>
      </c>
      <c r="C319" t="str">
        <f>IF('Equipment Information'!C319="","", 'Equipment Information'!C319)</f>
        <v/>
      </c>
      <c r="D319" t="str">
        <f>IF('Equipment Information'!D319="","", 'Equipment Information'!D319)</f>
        <v/>
      </c>
      <c r="E319" t="str">
        <f>IF(A319="","", IFERROR(VLOOKUP(A319, 'Energized Data'!A:T, 20, FALSE), "N/A"))</f>
        <v/>
      </c>
      <c r="F319" t="str">
        <f>IF(A319="","", IFERROR(VLOOKUP(A319, Insulation!A:J, 9, FALSE), "N/A"))</f>
        <v/>
      </c>
      <c r="G319" t="str">
        <f>IF(A319="","", IFERROR(VLOOKUP(A319, DLRO!A:I, 8, FALSE), "N/A"))</f>
        <v/>
      </c>
      <c r="H319" t="str">
        <f>IF(A319="","", IFERROR(VLOOKUP(A319, Torque!A:I, 8, FALSE), "N/A"))</f>
        <v/>
      </c>
      <c r="I319" t="str">
        <f>IF(A319="","", IFERROR(VLOOKUP(A319, Infrared!A:G, 6, FALSE), "N/A"))</f>
        <v/>
      </c>
      <c r="J319" t="str">
        <f>IF(A319="","", IFERROR(VLOOKUP(A319, Ultrasonic!A:H, 7, FALSE), "N/A"))</f>
        <v/>
      </c>
      <c r="K319" t="str">
        <f>IF(A319="","", IFERROR(VLOOKUP(A319, 'Code Violations'!A:V, 22, FALSE), "N/A"))</f>
        <v/>
      </c>
      <c r="L319" t="str">
        <f t="shared" si="4"/>
        <v/>
      </c>
    </row>
    <row r="320" spans="1:12" x14ac:dyDescent="0.25">
      <c r="A320" t="str">
        <f>IF('Equipment Information'!A320="","", 'Equipment Information'!A320)</f>
        <v/>
      </c>
      <c r="B320" t="str">
        <f>IF('Equipment Information'!B320="","", 'Equipment Information'!B320)</f>
        <v/>
      </c>
      <c r="C320" t="str">
        <f>IF('Equipment Information'!C320="","", 'Equipment Information'!C320)</f>
        <v/>
      </c>
      <c r="D320" t="str">
        <f>IF('Equipment Information'!D320="","", 'Equipment Information'!D320)</f>
        <v/>
      </c>
      <c r="E320" t="str">
        <f>IF(A320="","", IFERROR(VLOOKUP(A320, 'Energized Data'!A:T, 20, FALSE), "N/A"))</f>
        <v/>
      </c>
      <c r="F320" t="str">
        <f>IF(A320="","", IFERROR(VLOOKUP(A320, Insulation!A:J, 9, FALSE), "N/A"))</f>
        <v/>
      </c>
      <c r="G320" t="str">
        <f>IF(A320="","", IFERROR(VLOOKUP(A320, DLRO!A:I, 8, FALSE), "N/A"))</f>
        <v/>
      </c>
      <c r="H320" t="str">
        <f>IF(A320="","", IFERROR(VLOOKUP(A320, Torque!A:I, 8, FALSE), "N/A"))</f>
        <v/>
      </c>
      <c r="I320" t="str">
        <f>IF(A320="","", IFERROR(VLOOKUP(A320, Infrared!A:G, 6, FALSE), "N/A"))</f>
        <v/>
      </c>
      <c r="J320" t="str">
        <f>IF(A320="","", IFERROR(VLOOKUP(A320, Ultrasonic!A:H, 7, FALSE), "N/A"))</f>
        <v/>
      </c>
      <c r="K320" t="str">
        <f>IF(A320="","", IFERROR(VLOOKUP(A320, 'Code Violations'!A:V, 22, FALSE), "N/A"))</f>
        <v/>
      </c>
      <c r="L320" t="str">
        <f t="shared" si="4"/>
        <v/>
      </c>
    </row>
    <row r="321" spans="1:12" x14ac:dyDescent="0.25">
      <c r="A321" t="str">
        <f>IF('Equipment Information'!A321="","", 'Equipment Information'!A321)</f>
        <v/>
      </c>
      <c r="B321" t="str">
        <f>IF('Equipment Information'!B321="","", 'Equipment Information'!B321)</f>
        <v/>
      </c>
      <c r="C321" t="str">
        <f>IF('Equipment Information'!C321="","", 'Equipment Information'!C321)</f>
        <v/>
      </c>
      <c r="D321" t="str">
        <f>IF('Equipment Information'!D321="","", 'Equipment Information'!D321)</f>
        <v/>
      </c>
      <c r="E321" t="str">
        <f>IF(A321="","", IFERROR(VLOOKUP(A321, 'Energized Data'!A:T, 20, FALSE), "N/A"))</f>
        <v/>
      </c>
      <c r="F321" t="str">
        <f>IF(A321="","", IFERROR(VLOOKUP(A321, Insulation!A:J, 9, FALSE), "N/A"))</f>
        <v/>
      </c>
      <c r="G321" t="str">
        <f>IF(A321="","", IFERROR(VLOOKUP(A321, DLRO!A:I, 8, FALSE), "N/A"))</f>
        <v/>
      </c>
      <c r="H321" t="str">
        <f>IF(A321="","", IFERROR(VLOOKUP(A321, Torque!A:I, 8, FALSE), "N/A"))</f>
        <v/>
      </c>
      <c r="I321" t="str">
        <f>IF(A321="","", IFERROR(VLOOKUP(A321, Infrared!A:G, 6, FALSE), "N/A"))</f>
        <v/>
      </c>
      <c r="J321" t="str">
        <f>IF(A321="","", IFERROR(VLOOKUP(A321, Ultrasonic!A:H, 7, FALSE), "N/A"))</f>
        <v/>
      </c>
      <c r="K321" t="str">
        <f>IF(A321="","", IFERROR(VLOOKUP(A321, 'Code Violations'!A:V, 22, FALSE), "N/A"))</f>
        <v/>
      </c>
      <c r="L321" t="str">
        <f t="shared" si="4"/>
        <v/>
      </c>
    </row>
    <row r="322" spans="1:12" x14ac:dyDescent="0.25">
      <c r="A322" t="str">
        <f>IF('Equipment Information'!A322="","", 'Equipment Information'!A322)</f>
        <v/>
      </c>
      <c r="B322" t="str">
        <f>IF('Equipment Information'!B322="","", 'Equipment Information'!B322)</f>
        <v/>
      </c>
      <c r="C322" t="str">
        <f>IF('Equipment Information'!C322="","", 'Equipment Information'!C322)</f>
        <v/>
      </c>
      <c r="D322" t="str">
        <f>IF('Equipment Information'!D322="","", 'Equipment Information'!D322)</f>
        <v/>
      </c>
      <c r="E322" t="str">
        <f>IF(A322="","", IFERROR(VLOOKUP(A322, 'Energized Data'!A:T, 20, FALSE), "N/A"))</f>
        <v/>
      </c>
      <c r="F322" t="str">
        <f>IF(A322="","", IFERROR(VLOOKUP(A322, Insulation!A:J, 9, FALSE), "N/A"))</f>
        <v/>
      </c>
      <c r="G322" t="str">
        <f>IF(A322="","", IFERROR(VLOOKUP(A322, DLRO!A:I, 8, FALSE), "N/A"))</f>
        <v/>
      </c>
      <c r="H322" t="str">
        <f>IF(A322="","", IFERROR(VLOOKUP(A322, Torque!A:I, 8, FALSE), "N/A"))</f>
        <v/>
      </c>
      <c r="I322" t="str">
        <f>IF(A322="","", IFERROR(VLOOKUP(A322, Infrared!A:G, 6, FALSE), "N/A"))</f>
        <v/>
      </c>
      <c r="J322" t="str">
        <f>IF(A322="","", IFERROR(VLOOKUP(A322, Ultrasonic!A:H, 7, FALSE), "N/A"))</f>
        <v/>
      </c>
      <c r="K322" t="str">
        <f>IF(A322="","", IFERROR(VLOOKUP(A322, 'Code Violations'!A:V, 22, FALSE), "N/A"))</f>
        <v/>
      </c>
      <c r="L322" t="str">
        <f t="shared" ref="L322:L385" si="5">IF(A322="","", IF(COUNTIF(E322:K322, "FAIL")&gt;0, "FAIL", "PASS"))</f>
        <v/>
      </c>
    </row>
    <row r="323" spans="1:12" x14ac:dyDescent="0.25">
      <c r="A323" t="str">
        <f>IF('Equipment Information'!A323="","", 'Equipment Information'!A323)</f>
        <v/>
      </c>
      <c r="B323" t="str">
        <f>IF('Equipment Information'!B323="","", 'Equipment Information'!B323)</f>
        <v/>
      </c>
      <c r="C323" t="str">
        <f>IF('Equipment Information'!C323="","", 'Equipment Information'!C323)</f>
        <v/>
      </c>
      <c r="D323" t="str">
        <f>IF('Equipment Information'!D323="","", 'Equipment Information'!D323)</f>
        <v/>
      </c>
      <c r="E323" t="str">
        <f>IF(A323="","", IFERROR(VLOOKUP(A323, 'Energized Data'!A:T, 20, FALSE), "N/A"))</f>
        <v/>
      </c>
      <c r="F323" t="str">
        <f>IF(A323="","", IFERROR(VLOOKUP(A323, Insulation!A:J, 9, FALSE), "N/A"))</f>
        <v/>
      </c>
      <c r="G323" t="str">
        <f>IF(A323="","", IFERROR(VLOOKUP(A323, DLRO!A:I, 8, FALSE), "N/A"))</f>
        <v/>
      </c>
      <c r="H323" t="str">
        <f>IF(A323="","", IFERROR(VLOOKUP(A323, Torque!A:I, 8, FALSE), "N/A"))</f>
        <v/>
      </c>
      <c r="I323" t="str">
        <f>IF(A323="","", IFERROR(VLOOKUP(A323, Infrared!A:G, 6, FALSE), "N/A"))</f>
        <v/>
      </c>
      <c r="J323" t="str">
        <f>IF(A323="","", IFERROR(VLOOKUP(A323, Ultrasonic!A:H, 7, FALSE), "N/A"))</f>
        <v/>
      </c>
      <c r="K323" t="str">
        <f>IF(A323="","", IFERROR(VLOOKUP(A323, 'Code Violations'!A:V, 22, FALSE), "N/A"))</f>
        <v/>
      </c>
      <c r="L323" t="str">
        <f t="shared" si="5"/>
        <v/>
      </c>
    </row>
    <row r="324" spans="1:12" x14ac:dyDescent="0.25">
      <c r="A324" t="str">
        <f>IF('Equipment Information'!A324="","", 'Equipment Information'!A324)</f>
        <v/>
      </c>
      <c r="B324" t="str">
        <f>IF('Equipment Information'!B324="","", 'Equipment Information'!B324)</f>
        <v/>
      </c>
      <c r="C324" t="str">
        <f>IF('Equipment Information'!C324="","", 'Equipment Information'!C324)</f>
        <v/>
      </c>
      <c r="D324" t="str">
        <f>IF('Equipment Information'!D324="","", 'Equipment Information'!D324)</f>
        <v/>
      </c>
      <c r="E324" t="str">
        <f>IF(A324="","", IFERROR(VLOOKUP(A324, 'Energized Data'!A:T, 20, FALSE), "N/A"))</f>
        <v/>
      </c>
      <c r="F324" t="str">
        <f>IF(A324="","", IFERROR(VLOOKUP(A324, Insulation!A:J, 9, FALSE), "N/A"))</f>
        <v/>
      </c>
      <c r="G324" t="str">
        <f>IF(A324="","", IFERROR(VLOOKUP(A324, DLRO!A:I, 8, FALSE), "N/A"))</f>
        <v/>
      </c>
      <c r="H324" t="str">
        <f>IF(A324="","", IFERROR(VLOOKUP(A324, Torque!A:I, 8, FALSE), "N/A"))</f>
        <v/>
      </c>
      <c r="I324" t="str">
        <f>IF(A324="","", IFERROR(VLOOKUP(A324, Infrared!A:G, 6, FALSE), "N/A"))</f>
        <v/>
      </c>
      <c r="J324" t="str">
        <f>IF(A324="","", IFERROR(VLOOKUP(A324, Ultrasonic!A:H, 7, FALSE), "N/A"))</f>
        <v/>
      </c>
      <c r="K324" t="str">
        <f>IF(A324="","", IFERROR(VLOOKUP(A324, 'Code Violations'!A:V, 22, FALSE), "N/A"))</f>
        <v/>
      </c>
      <c r="L324" t="str">
        <f t="shared" si="5"/>
        <v/>
      </c>
    </row>
    <row r="325" spans="1:12" x14ac:dyDescent="0.25">
      <c r="A325" t="str">
        <f>IF('Equipment Information'!A325="","", 'Equipment Information'!A325)</f>
        <v/>
      </c>
      <c r="B325" t="str">
        <f>IF('Equipment Information'!B325="","", 'Equipment Information'!B325)</f>
        <v/>
      </c>
      <c r="C325" t="str">
        <f>IF('Equipment Information'!C325="","", 'Equipment Information'!C325)</f>
        <v/>
      </c>
      <c r="D325" t="str">
        <f>IF('Equipment Information'!D325="","", 'Equipment Information'!D325)</f>
        <v/>
      </c>
      <c r="E325" t="str">
        <f>IF(A325="","", IFERROR(VLOOKUP(A325, 'Energized Data'!A:T, 20, FALSE), "N/A"))</f>
        <v/>
      </c>
      <c r="F325" t="str">
        <f>IF(A325="","", IFERROR(VLOOKUP(A325, Insulation!A:J, 9, FALSE), "N/A"))</f>
        <v/>
      </c>
      <c r="G325" t="str">
        <f>IF(A325="","", IFERROR(VLOOKUP(A325, DLRO!A:I, 8, FALSE), "N/A"))</f>
        <v/>
      </c>
      <c r="H325" t="str">
        <f>IF(A325="","", IFERROR(VLOOKUP(A325, Torque!A:I, 8, FALSE), "N/A"))</f>
        <v/>
      </c>
      <c r="I325" t="str">
        <f>IF(A325="","", IFERROR(VLOOKUP(A325, Infrared!A:G, 6, FALSE), "N/A"))</f>
        <v/>
      </c>
      <c r="J325" t="str">
        <f>IF(A325="","", IFERROR(VLOOKUP(A325, Ultrasonic!A:H, 7, FALSE), "N/A"))</f>
        <v/>
      </c>
      <c r="K325" t="str">
        <f>IF(A325="","", IFERROR(VLOOKUP(A325, 'Code Violations'!A:V, 22, FALSE), "N/A"))</f>
        <v/>
      </c>
      <c r="L325" t="str">
        <f t="shared" si="5"/>
        <v/>
      </c>
    </row>
    <row r="326" spans="1:12" x14ac:dyDescent="0.25">
      <c r="A326" t="str">
        <f>IF('Equipment Information'!A326="","", 'Equipment Information'!A326)</f>
        <v/>
      </c>
      <c r="B326" t="str">
        <f>IF('Equipment Information'!B326="","", 'Equipment Information'!B326)</f>
        <v/>
      </c>
      <c r="C326" t="str">
        <f>IF('Equipment Information'!C326="","", 'Equipment Information'!C326)</f>
        <v/>
      </c>
      <c r="D326" t="str">
        <f>IF('Equipment Information'!D326="","", 'Equipment Information'!D326)</f>
        <v/>
      </c>
      <c r="E326" t="str">
        <f>IF(A326="","", IFERROR(VLOOKUP(A326, 'Energized Data'!A:T, 20, FALSE), "N/A"))</f>
        <v/>
      </c>
      <c r="F326" t="str">
        <f>IF(A326="","", IFERROR(VLOOKUP(A326, Insulation!A:J, 9, FALSE), "N/A"))</f>
        <v/>
      </c>
      <c r="G326" t="str">
        <f>IF(A326="","", IFERROR(VLOOKUP(A326, DLRO!A:I, 8, FALSE), "N/A"))</f>
        <v/>
      </c>
      <c r="H326" t="str">
        <f>IF(A326="","", IFERROR(VLOOKUP(A326, Torque!A:I, 8, FALSE), "N/A"))</f>
        <v/>
      </c>
      <c r="I326" t="str">
        <f>IF(A326="","", IFERROR(VLOOKUP(A326, Infrared!A:G, 6, FALSE), "N/A"))</f>
        <v/>
      </c>
      <c r="J326" t="str">
        <f>IF(A326="","", IFERROR(VLOOKUP(A326, Ultrasonic!A:H, 7, FALSE), "N/A"))</f>
        <v/>
      </c>
      <c r="K326" t="str">
        <f>IF(A326="","", IFERROR(VLOOKUP(A326, 'Code Violations'!A:V, 22, FALSE), "N/A"))</f>
        <v/>
      </c>
      <c r="L326" t="str">
        <f t="shared" si="5"/>
        <v/>
      </c>
    </row>
    <row r="327" spans="1:12" x14ac:dyDescent="0.25">
      <c r="A327" t="str">
        <f>IF('Equipment Information'!A327="","", 'Equipment Information'!A327)</f>
        <v/>
      </c>
      <c r="B327" t="str">
        <f>IF('Equipment Information'!B327="","", 'Equipment Information'!B327)</f>
        <v/>
      </c>
      <c r="C327" t="str">
        <f>IF('Equipment Information'!C327="","", 'Equipment Information'!C327)</f>
        <v/>
      </c>
      <c r="D327" t="str">
        <f>IF('Equipment Information'!D327="","", 'Equipment Information'!D327)</f>
        <v/>
      </c>
      <c r="E327" t="str">
        <f>IF(A327="","", IFERROR(VLOOKUP(A327, 'Energized Data'!A:T, 20, FALSE), "N/A"))</f>
        <v/>
      </c>
      <c r="F327" t="str">
        <f>IF(A327="","", IFERROR(VLOOKUP(A327, Insulation!A:J, 9, FALSE), "N/A"))</f>
        <v/>
      </c>
      <c r="G327" t="str">
        <f>IF(A327="","", IFERROR(VLOOKUP(A327, DLRO!A:I, 8, FALSE), "N/A"))</f>
        <v/>
      </c>
      <c r="H327" t="str">
        <f>IF(A327="","", IFERROR(VLOOKUP(A327, Torque!A:I, 8, FALSE), "N/A"))</f>
        <v/>
      </c>
      <c r="I327" t="str">
        <f>IF(A327="","", IFERROR(VLOOKUP(A327, Infrared!A:G, 6, FALSE), "N/A"))</f>
        <v/>
      </c>
      <c r="J327" t="str">
        <f>IF(A327="","", IFERROR(VLOOKUP(A327, Ultrasonic!A:H, 7, FALSE), "N/A"))</f>
        <v/>
      </c>
      <c r="K327" t="str">
        <f>IF(A327="","", IFERROR(VLOOKUP(A327, 'Code Violations'!A:V, 22, FALSE), "N/A"))</f>
        <v/>
      </c>
      <c r="L327" t="str">
        <f t="shared" si="5"/>
        <v/>
      </c>
    </row>
    <row r="328" spans="1:12" x14ac:dyDescent="0.25">
      <c r="A328" t="str">
        <f>IF('Equipment Information'!A328="","", 'Equipment Information'!A328)</f>
        <v/>
      </c>
      <c r="B328" t="str">
        <f>IF('Equipment Information'!B328="","", 'Equipment Information'!B328)</f>
        <v/>
      </c>
      <c r="C328" t="str">
        <f>IF('Equipment Information'!C328="","", 'Equipment Information'!C328)</f>
        <v/>
      </c>
      <c r="D328" t="str">
        <f>IF('Equipment Information'!D328="","", 'Equipment Information'!D328)</f>
        <v/>
      </c>
      <c r="E328" t="str">
        <f>IF(A328="","", IFERROR(VLOOKUP(A328, 'Energized Data'!A:T, 20, FALSE), "N/A"))</f>
        <v/>
      </c>
      <c r="F328" t="str">
        <f>IF(A328="","", IFERROR(VLOOKUP(A328, Insulation!A:J, 9, FALSE), "N/A"))</f>
        <v/>
      </c>
      <c r="G328" t="str">
        <f>IF(A328="","", IFERROR(VLOOKUP(A328, DLRO!A:I, 8, FALSE), "N/A"))</f>
        <v/>
      </c>
      <c r="H328" t="str">
        <f>IF(A328="","", IFERROR(VLOOKUP(A328, Torque!A:I, 8, FALSE), "N/A"))</f>
        <v/>
      </c>
      <c r="I328" t="str">
        <f>IF(A328="","", IFERROR(VLOOKUP(A328, Infrared!A:G, 6, FALSE), "N/A"))</f>
        <v/>
      </c>
      <c r="J328" t="str">
        <f>IF(A328="","", IFERROR(VLOOKUP(A328, Ultrasonic!A:H, 7, FALSE), "N/A"))</f>
        <v/>
      </c>
      <c r="K328" t="str">
        <f>IF(A328="","", IFERROR(VLOOKUP(A328, 'Code Violations'!A:V, 22, FALSE), "N/A"))</f>
        <v/>
      </c>
      <c r="L328" t="str">
        <f t="shared" si="5"/>
        <v/>
      </c>
    </row>
    <row r="329" spans="1:12" x14ac:dyDescent="0.25">
      <c r="A329" t="str">
        <f>IF('Equipment Information'!A329="","", 'Equipment Information'!A329)</f>
        <v/>
      </c>
      <c r="B329" t="str">
        <f>IF('Equipment Information'!B329="","", 'Equipment Information'!B329)</f>
        <v/>
      </c>
      <c r="C329" t="str">
        <f>IF('Equipment Information'!C329="","", 'Equipment Information'!C329)</f>
        <v/>
      </c>
      <c r="D329" t="str">
        <f>IF('Equipment Information'!D329="","", 'Equipment Information'!D329)</f>
        <v/>
      </c>
      <c r="E329" t="str">
        <f>IF(A329="","", IFERROR(VLOOKUP(A329, 'Energized Data'!A:T, 20, FALSE), "N/A"))</f>
        <v/>
      </c>
      <c r="F329" t="str">
        <f>IF(A329="","", IFERROR(VLOOKUP(A329, Insulation!A:J, 9, FALSE), "N/A"))</f>
        <v/>
      </c>
      <c r="G329" t="str">
        <f>IF(A329="","", IFERROR(VLOOKUP(A329, DLRO!A:I, 8, FALSE), "N/A"))</f>
        <v/>
      </c>
      <c r="H329" t="str">
        <f>IF(A329="","", IFERROR(VLOOKUP(A329, Torque!A:I, 8, FALSE), "N/A"))</f>
        <v/>
      </c>
      <c r="I329" t="str">
        <f>IF(A329="","", IFERROR(VLOOKUP(A329, Infrared!A:G, 6, FALSE), "N/A"))</f>
        <v/>
      </c>
      <c r="J329" t="str">
        <f>IF(A329="","", IFERROR(VLOOKUP(A329, Ultrasonic!A:H, 7, FALSE), "N/A"))</f>
        <v/>
      </c>
      <c r="K329" t="str">
        <f>IF(A329="","", IFERROR(VLOOKUP(A329, 'Code Violations'!A:V, 22, FALSE), "N/A"))</f>
        <v/>
      </c>
      <c r="L329" t="str">
        <f t="shared" si="5"/>
        <v/>
      </c>
    </row>
    <row r="330" spans="1:12" x14ac:dyDescent="0.25">
      <c r="A330" t="str">
        <f>IF('Equipment Information'!A330="","", 'Equipment Information'!A330)</f>
        <v/>
      </c>
      <c r="B330" t="str">
        <f>IF('Equipment Information'!B330="","", 'Equipment Information'!B330)</f>
        <v/>
      </c>
      <c r="C330" t="str">
        <f>IF('Equipment Information'!C330="","", 'Equipment Information'!C330)</f>
        <v/>
      </c>
      <c r="D330" t="str">
        <f>IF('Equipment Information'!D330="","", 'Equipment Information'!D330)</f>
        <v/>
      </c>
      <c r="E330" t="str">
        <f>IF(A330="","", IFERROR(VLOOKUP(A330, 'Energized Data'!A:T, 20, FALSE), "N/A"))</f>
        <v/>
      </c>
      <c r="F330" t="str">
        <f>IF(A330="","", IFERROR(VLOOKUP(A330, Insulation!A:J, 9, FALSE), "N/A"))</f>
        <v/>
      </c>
      <c r="G330" t="str">
        <f>IF(A330="","", IFERROR(VLOOKUP(A330, DLRO!A:I, 8, FALSE), "N/A"))</f>
        <v/>
      </c>
      <c r="H330" t="str">
        <f>IF(A330="","", IFERROR(VLOOKUP(A330, Torque!A:I, 8, FALSE), "N/A"))</f>
        <v/>
      </c>
      <c r="I330" t="str">
        <f>IF(A330="","", IFERROR(VLOOKUP(A330, Infrared!A:G, 6, FALSE), "N/A"))</f>
        <v/>
      </c>
      <c r="J330" t="str">
        <f>IF(A330="","", IFERROR(VLOOKUP(A330, Ultrasonic!A:H, 7, FALSE), "N/A"))</f>
        <v/>
      </c>
      <c r="K330" t="str">
        <f>IF(A330="","", IFERROR(VLOOKUP(A330, 'Code Violations'!A:V, 22, FALSE), "N/A"))</f>
        <v/>
      </c>
      <c r="L330" t="str">
        <f t="shared" si="5"/>
        <v/>
      </c>
    </row>
    <row r="331" spans="1:12" x14ac:dyDescent="0.25">
      <c r="A331" t="str">
        <f>IF('Equipment Information'!A331="","", 'Equipment Information'!A331)</f>
        <v/>
      </c>
      <c r="B331" t="str">
        <f>IF('Equipment Information'!B331="","", 'Equipment Information'!B331)</f>
        <v/>
      </c>
      <c r="C331" t="str">
        <f>IF('Equipment Information'!C331="","", 'Equipment Information'!C331)</f>
        <v/>
      </c>
      <c r="D331" t="str">
        <f>IF('Equipment Information'!D331="","", 'Equipment Information'!D331)</f>
        <v/>
      </c>
      <c r="E331" t="str">
        <f>IF(A331="","", IFERROR(VLOOKUP(A331, 'Energized Data'!A:T, 20, FALSE), "N/A"))</f>
        <v/>
      </c>
      <c r="F331" t="str">
        <f>IF(A331="","", IFERROR(VLOOKUP(A331, Insulation!A:J, 9, FALSE), "N/A"))</f>
        <v/>
      </c>
      <c r="G331" t="str">
        <f>IF(A331="","", IFERROR(VLOOKUP(A331, DLRO!A:I, 8, FALSE), "N/A"))</f>
        <v/>
      </c>
      <c r="H331" t="str">
        <f>IF(A331="","", IFERROR(VLOOKUP(A331, Torque!A:I, 8, FALSE), "N/A"))</f>
        <v/>
      </c>
      <c r="I331" t="str">
        <f>IF(A331="","", IFERROR(VLOOKUP(A331, Infrared!A:G, 6, FALSE), "N/A"))</f>
        <v/>
      </c>
      <c r="J331" t="str">
        <f>IF(A331="","", IFERROR(VLOOKUP(A331, Ultrasonic!A:H, 7, FALSE), "N/A"))</f>
        <v/>
      </c>
      <c r="K331" t="str">
        <f>IF(A331="","", IFERROR(VLOOKUP(A331, 'Code Violations'!A:V, 22, FALSE), "N/A"))</f>
        <v/>
      </c>
      <c r="L331" t="str">
        <f t="shared" si="5"/>
        <v/>
      </c>
    </row>
    <row r="332" spans="1:12" x14ac:dyDescent="0.25">
      <c r="A332" t="str">
        <f>IF('Equipment Information'!A332="","", 'Equipment Information'!A332)</f>
        <v/>
      </c>
      <c r="B332" t="str">
        <f>IF('Equipment Information'!B332="","", 'Equipment Information'!B332)</f>
        <v/>
      </c>
      <c r="C332" t="str">
        <f>IF('Equipment Information'!C332="","", 'Equipment Information'!C332)</f>
        <v/>
      </c>
      <c r="D332" t="str">
        <f>IF('Equipment Information'!D332="","", 'Equipment Information'!D332)</f>
        <v/>
      </c>
      <c r="E332" t="str">
        <f>IF(A332="","", IFERROR(VLOOKUP(A332, 'Energized Data'!A:T, 20, FALSE), "N/A"))</f>
        <v/>
      </c>
      <c r="F332" t="str">
        <f>IF(A332="","", IFERROR(VLOOKUP(A332, Insulation!A:J, 9, FALSE), "N/A"))</f>
        <v/>
      </c>
      <c r="G332" t="str">
        <f>IF(A332="","", IFERROR(VLOOKUP(A332, DLRO!A:I, 8, FALSE), "N/A"))</f>
        <v/>
      </c>
      <c r="H332" t="str">
        <f>IF(A332="","", IFERROR(VLOOKUP(A332, Torque!A:I, 8, FALSE), "N/A"))</f>
        <v/>
      </c>
      <c r="I332" t="str">
        <f>IF(A332="","", IFERROR(VLOOKUP(A332, Infrared!A:G, 6, FALSE), "N/A"))</f>
        <v/>
      </c>
      <c r="J332" t="str">
        <f>IF(A332="","", IFERROR(VLOOKUP(A332, Ultrasonic!A:H, 7, FALSE), "N/A"))</f>
        <v/>
      </c>
      <c r="K332" t="str">
        <f>IF(A332="","", IFERROR(VLOOKUP(A332, 'Code Violations'!A:V, 22, FALSE), "N/A"))</f>
        <v/>
      </c>
      <c r="L332" t="str">
        <f t="shared" si="5"/>
        <v/>
      </c>
    </row>
    <row r="333" spans="1:12" x14ac:dyDescent="0.25">
      <c r="A333" t="str">
        <f>IF('Equipment Information'!A333="","", 'Equipment Information'!A333)</f>
        <v/>
      </c>
      <c r="B333" t="str">
        <f>IF('Equipment Information'!B333="","", 'Equipment Information'!B333)</f>
        <v/>
      </c>
      <c r="C333" t="str">
        <f>IF('Equipment Information'!C333="","", 'Equipment Information'!C333)</f>
        <v/>
      </c>
      <c r="D333" t="str">
        <f>IF('Equipment Information'!D333="","", 'Equipment Information'!D333)</f>
        <v/>
      </c>
      <c r="E333" t="str">
        <f>IF(A333="","", IFERROR(VLOOKUP(A333, 'Energized Data'!A:T, 20, FALSE), "N/A"))</f>
        <v/>
      </c>
      <c r="F333" t="str">
        <f>IF(A333="","", IFERROR(VLOOKUP(A333, Insulation!A:J, 9, FALSE), "N/A"))</f>
        <v/>
      </c>
      <c r="G333" t="str">
        <f>IF(A333="","", IFERROR(VLOOKUP(A333, DLRO!A:I, 8, FALSE), "N/A"))</f>
        <v/>
      </c>
      <c r="H333" t="str">
        <f>IF(A333="","", IFERROR(VLOOKUP(A333, Torque!A:I, 8, FALSE), "N/A"))</f>
        <v/>
      </c>
      <c r="I333" t="str">
        <f>IF(A333="","", IFERROR(VLOOKUP(A333, Infrared!A:G, 6, FALSE), "N/A"))</f>
        <v/>
      </c>
      <c r="J333" t="str">
        <f>IF(A333="","", IFERROR(VLOOKUP(A333, Ultrasonic!A:H, 7, FALSE), "N/A"))</f>
        <v/>
      </c>
      <c r="K333" t="str">
        <f>IF(A333="","", IFERROR(VLOOKUP(A333, 'Code Violations'!A:V, 22, FALSE), "N/A"))</f>
        <v/>
      </c>
      <c r="L333" t="str">
        <f t="shared" si="5"/>
        <v/>
      </c>
    </row>
    <row r="334" spans="1:12" x14ac:dyDescent="0.25">
      <c r="A334" t="str">
        <f>IF('Equipment Information'!A334="","", 'Equipment Information'!A334)</f>
        <v/>
      </c>
      <c r="B334" t="str">
        <f>IF('Equipment Information'!B334="","", 'Equipment Information'!B334)</f>
        <v/>
      </c>
      <c r="C334" t="str">
        <f>IF('Equipment Information'!C334="","", 'Equipment Information'!C334)</f>
        <v/>
      </c>
      <c r="D334" t="str">
        <f>IF('Equipment Information'!D334="","", 'Equipment Information'!D334)</f>
        <v/>
      </c>
      <c r="E334" t="str">
        <f>IF(A334="","", IFERROR(VLOOKUP(A334, 'Energized Data'!A:T, 20, FALSE), "N/A"))</f>
        <v/>
      </c>
      <c r="F334" t="str">
        <f>IF(A334="","", IFERROR(VLOOKUP(A334, Insulation!A:J, 9, FALSE), "N/A"))</f>
        <v/>
      </c>
      <c r="G334" t="str">
        <f>IF(A334="","", IFERROR(VLOOKUP(A334, DLRO!A:I, 8, FALSE), "N/A"))</f>
        <v/>
      </c>
      <c r="H334" t="str">
        <f>IF(A334="","", IFERROR(VLOOKUP(A334, Torque!A:I, 8, FALSE), "N/A"))</f>
        <v/>
      </c>
      <c r="I334" t="str">
        <f>IF(A334="","", IFERROR(VLOOKUP(A334, Infrared!A:G, 6, FALSE), "N/A"))</f>
        <v/>
      </c>
      <c r="J334" t="str">
        <f>IF(A334="","", IFERROR(VLOOKUP(A334, Ultrasonic!A:H, 7, FALSE), "N/A"))</f>
        <v/>
      </c>
      <c r="K334" t="str">
        <f>IF(A334="","", IFERROR(VLOOKUP(A334, 'Code Violations'!A:V, 22, FALSE), "N/A"))</f>
        <v/>
      </c>
      <c r="L334" t="str">
        <f t="shared" si="5"/>
        <v/>
      </c>
    </row>
    <row r="335" spans="1:12" x14ac:dyDescent="0.25">
      <c r="A335" t="str">
        <f>IF('Equipment Information'!A335="","", 'Equipment Information'!A335)</f>
        <v/>
      </c>
      <c r="B335" t="str">
        <f>IF('Equipment Information'!B335="","", 'Equipment Information'!B335)</f>
        <v/>
      </c>
      <c r="C335" t="str">
        <f>IF('Equipment Information'!C335="","", 'Equipment Information'!C335)</f>
        <v/>
      </c>
      <c r="D335" t="str">
        <f>IF('Equipment Information'!D335="","", 'Equipment Information'!D335)</f>
        <v/>
      </c>
      <c r="E335" t="str">
        <f>IF(A335="","", IFERROR(VLOOKUP(A335, 'Energized Data'!A:T, 20, FALSE), "N/A"))</f>
        <v/>
      </c>
      <c r="F335" t="str">
        <f>IF(A335="","", IFERROR(VLOOKUP(A335, Insulation!A:J, 9, FALSE), "N/A"))</f>
        <v/>
      </c>
      <c r="G335" t="str">
        <f>IF(A335="","", IFERROR(VLOOKUP(A335, DLRO!A:I, 8, FALSE), "N/A"))</f>
        <v/>
      </c>
      <c r="H335" t="str">
        <f>IF(A335="","", IFERROR(VLOOKUP(A335, Torque!A:I, 8, FALSE), "N/A"))</f>
        <v/>
      </c>
      <c r="I335" t="str">
        <f>IF(A335="","", IFERROR(VLOOKUP(A335, Infrared!A:G, 6, FALSE), "N/A"))</f>
        <v/>
      </c>
      <c r="J335" t="str">
        <f>IF(A335="","", IFERROR(VLOOKUP(A335, Ultrasonic!A:H, 7, FALSE), "N/A"))</f>
        <v/>
      </c>
      <c r="K335" t="str">
        <f>IF(A335="","", IFERROR(VLOOKUP(A335, 'Code Violations'!A:V, 22, FALSE), "N/A"))</f>
        <v/>
      </c>
      <c r="L335" t="str">
        <f t="shared" si="5"/>
        <v/>
      </c>
    </row>
    <row r="336" spans="1:12" x14ac:dyDescent="0.25">
      <c r="A336" t="str">
        <f>IF('Equipment Information'!A336="","", 'Equipment Information'!A336)</f>
        <v/>
      </c>
      <c r="B336" t="str">
        <f>IF('Equipment Information'!B336="","", 'Equipment Information'!B336)</f>
        <v/>
      </c>
      <c r="C336" t="str">
        <f>IF('Equipment Information'!C336="","", 'Equipment Information'!C336)</f>
        <v/>
      </c>
      <c r="D336" t="str">
        <f>IF('Equipment Information'!D336="","", 'Equipment Information'!D336)</f>
        <v/>
      </c>
      <c r="E336" t="str">
        <f>IF(A336="","", IFERROR(VLOOKUP(A336, 'Energized Data'!A:T, 20, FALSE), "N/A"))</f>
        <v/>
      </c>
      <c r="F336" t="str">
        <f>IF(A336="","", IFERROR(VLOOKUP(A336, Insulation!A:J, 9, FALSE), "N/A"))</f>
        <v/>
      </c>
      <c r="G336" t="str">
        <f>IF(A336="","", IFERROR(VLOOKUP(A336, DLRO!A:I, 8, FALSE), "N/A"))</f>
        <v/>
      </c>
      <c r="H336" t="str">
        <f>IF(A336="","", IFERROR(VLOOKUP(A336, Torque!A:I, 8, FALSE), "N/A"))</f>
        <v/>
      </c>
      <c r="I336" t="str">
        <f>IF(A336="","", IFERROR(VLOOKUP(A336, Infrared!A:G, 6, FALSE), "N/A"))</f>
        <v/>
      </c>
      <c r="J336" t="str">
        <f>IF(A336="","", IFERROR(VLOOKUP(A336, Ultrasonic!A:H, 7, FALSE), "N/A"))</f>
        <v/>
      </c>
      <c r="K336" t="str">
        <f>IF(A336="","", IFERROR(VLOOKUP(A336, 'Code Violations'!A:V, 22, FALSE), "N/A"))</f>
        <v/>
      </c>
      <c r="L336" t="str">
        <f t="shared" si="5"/>
        <v/>
      </c>
    </row>
    <row r="337" spans="1:12" x14ac:dyDescent="0.25">
      <c r="A337" t="str">
        <f>IF('Equipment Information'!A337="","", 'Equipment Information'!A337)</f>
        <v/>
      </c>
      <c r="B337" t="str">
        <f>IF('Equipment Information'!B337="","", 'Equipment Information'!B337)</f>
        <v/>
      </c>
      <c r="C337" t="str">
        <f>IF('Equipment Information'!C337="","", 'Equipment Information'!C337)</f>
        <v/>
      </c>
      <c r="D337" t="str">
        <f>IF('Equipment Information'!D337="","", 'Equipment Information'!D337)</f>
        <v/>
      </c>
      <c r="E337" t="str">
        <f>IF(A337="","", IFERROR(VLOOKUP(A337, 'Energized Data'!A:T, 20, FALSE), "N/A"))</f>
        <v/>
      </c>
      <c r="F337" t="str">
        <f>IF(A337="","", IFERROR(VLOOKUP(A337, Insulation!A:J, 9, FALSE), "N/A"))</f>
        <v/>
      </c>
      <c r="G337" t="str">
        <f>IF(A337="","", IFERROR(VLOOKUP(A337, DLRO!A:I, 8, FALSE), "N/A"))</f>
        <v/>
      </c>
      <c r="H337" t="str">
        <f>IF(A337="","", IFERROR(VLOOKUP(A337, Torque!A:I, 8, FALSE), "N/A"))</f>
        <v/>
      </c>
      <c r="I337" t="str">
        <f>IF(A337="","", IFERROR(VLOOKUP(A337, Infrared!A:G, 6, FALSE), "N/A"))</f>
        <v/>
      </c>
      <c r="J337" t="str">
        <f>IF(A337="","", IFERROR(VLOOKUP(A337, Ultrasonic!A:H, 7, FALSE), "N/A"))</f>
        <v/>
      </c>
      <c r="K337" t="str">
        <f>IF(A337="","", IFERROR(VLOOKUP(A337, 'Code Violations'!A:V, 22, FALSE), "N/A"))</f>
        <v/>
      </c>
      <c r="L337" t="str">
        <f t="shared" si="5"/>
        <v/>
      </c>
    </row>
    <row r="338" spans="1:12" x14ac:dyDescent="0.25">
      <c r="A338" t="str">
        <f>IF('Equipment Information'!A338="","", 'Equipment Information'!A338)</f>
        <v/>
      </c>
      <c r="B338" t="str">
        <f>IF('Equipment Information'!B338="","", 'Equipment Information'!B338)</f>
        <v/>
      </c>
      <c r="C338" t="str">
        <f>IF('Equipment Information'!C338="","", 'Equipment Information'!C338)</f>
        <v/>
      </c>
      <c r="D338" t="str">
        <f>IF('Equipment Information'!D338="","", 'Equipment Information'!D338)</f>
        <v/>
      </c>
      <c r="E338" t="str">
        <f>IF(A338="","", IFERROR(VLOOKUP(A338, 'Energized Data'!A:T, 20, FALSE), "N/A"))</f>
        <v/>
      </c>
      <c r="F338" t="str">
        <f>IF(A338="","", IFERROR(VLOOKUP(A338, Insulation!A:J, 9, FALSE), "N/A"))</f>
        <v/>
      </c>
      <c r="G338" t="str">
        <f>IF(A338="","", IFERROR(VLOOKUP(A338, DLRO!A:I, 8, FALSE), "N/A"))</f>
        <v/>
      </c>
      <c r="H338" t="str">
        <f>IF(A338="","", IFERROR(VLOOKUP(A338, Torque!A:I, 8, FALSE), "N/A"))</f>
        <v/>
      </c>
      <c r="I338" t="str">
        <f>IF(A338="","", IFERROR(VLOOKUP(A338, Infrared!A:G, 6, FALSE), "N/A"))</f>
        <v/>
      </c>
      <c r="J338" t="str">
        <f>IF(A338="","", IFERROR(VLOOKUP(A338, Ultrasonic!A:H, 7, FALSE), "N/A"))</f>
        <v/>
      </c>
      <c r="K338" t="str">
        <f>IF(A338="","", IFERROR(VLOOKUP(A338, 'Code Violations'!A:V, 22, FALSE), "N/A"))</f>
        <v/>
      </c>
      <c r="L338" t="str">
        <f t="shared" si="5"/>
        <v/>
      </c>
    </row>
    <row r="339" spans="1:12" x14ac:dyDescent="0.25">
      <c r="A339" t="str">
        <f>IF('Equipment Information'!A339="","", 'Equipment Information'!A339)</f>
        <v/>
      </c>
      <c r="B339" t="str">
        <f>IF('Equipment Information'!B339="","", 'Equipment Information'!B339)</f>
        <v/>
      </c>
      <c r="C339" t="str">
        <f>IF('Equipment Information'!C339="","", 'Equipment Information'!C339)</f>
        <v/>
      </c>
      <c r="D339" t="str">
        <f>IF('Equipment Information'!D339="","", 'Equipment Information'!D339)</f>
        <v/>
      </c>
      <c r="E339" t="str">
        <f>IF(A339="","", IFERROR(VLOOKUP(A339, 'Energized Data'!A:T, 20, FALSE), "N/A"))</f>
        <v/>
      </c>
      <c r="F339" t="str">
        <f>IF(A339="","", IFERROR(VLOOKUP(A339, Insulation!A:J, 9, FALSE), "N/A"))</f>
        <v/>
      </c>
      <c r="G339" t="str">
        <f>IF(A339="","", IFERROR(VLOOKUP(A339, DLRO!A:I, 8, FALSE), "N/A"))</f>
        <v/>
      </c>
      <c r="H339" t="str">
        <f>IF(A339="","", IFERROR(VLOOKUP(A339, Torque!A:I, 8, FALSE), "N/A"))</f>
        <v/>
      </c>
      <c r="I339" t="str">
        <f>IF(A339="","", IFERROR(VLOOKUP(A339, Infrared!A:G, 6, FALSE), "N/A"))</f>
        <v/>
      </c>
      <c r="J339" t="str">
        <f>IF(A339="","", IFERROR(VLOOKUP(A339, Ultrasonic!A:H, 7, FALSE), "N/A"))</f>
        <v/>
      </c>
      <c r="K339" t="str">
        <f>IF(A339="","", IFERROR(VLOOKUP(A339, 'Code Violations'!A:V, 22, FALSE), "N/A"))</f>
        <v/>
      </c>
      <c r="L339" t="str">
        <f t="shared" si="5"/>
        <v/>
      </c>
    </row>
    <row r="340" spans="1:12" x14ac:dyDescent="0.25">
      <c r="A340" t="str">
        <f>IF('Equipment Information'!A340="","", 'Equipment Information'!A340)</f>
        <v/>
      </c>
      <c r="B340" t="str">
        <f>IF('Equipment Information'!B340="","", 'Equipment Information'!B340)</f>
        <v/>
      </c>
      <c r="C340" t="str">
        <f>IF('Equipment Information'!C340="","", 'Equipment Information'!C340)</f>
        <v/>
      </c>
      <c r="D340" t="str">
        <f>IF('Equipment Information'!D340="","", 'Equipment Information'!D340)</f>
        <v/>
      </c>
      <c r="E340" t="str">
        <f>IF(A340="","", IFERROR(VLOOKUP(A340, 'Energized Data'!A:T, 20, FALSE), "N/A"))</f>
        <v/>
      </c>
      <c r="F340" t="str">
        <f>IF(A340="","", IFERROR(VLOOKUP(A340, Insulation!A:J, 9, FALSE), "N/A"))</f>
        <v/>
      </c>
      <c r="G340" t="str">
        <f>IF(A340="","", IFERROR(VLOOKUP(A340, DLRO!A:I, 8, FALSE), "N/A"))</f>
        <v/>
      </c>
      <c r="H340" t="str">
        <f>IF(A340="","", IFERROR(VLOOKUP(A340, Torque!A:I, 8, FALSE), "N/A"))</f>
        <v/>
      </c>
      <c r="I340" t="str">
        <f>IF(A340="","", IFERROR(VLOOKUP(A340, Infrared!A:G, 6, FALSE), "N/A"))</f>
        <v/>
      </c>
      <c r="J340" t="str">
        <f>IF(A340="","", IFERROR(VLOOKUP(A340, Ultrasonic!A:H, 7, FALSE), "N/A"))</f>
        <v/>
      </c>
      <c r="K340" t="str">
        <f>IF(A340="","", IFERROR(VLOOKUP(A340, 'Code Violations'!A:V, 22, FALSE), "N/A"))</f>
        <v/>
      </c>
      <c r="L340" t="str">
        <f t="shared" si="5"/>
        <v/>
      </c>
    </row>
    <row r="341" spans="1:12" x14ac:dyDescent="0.25">
      <c r="A341" t="str">
        <f>IF('Equipment Information'!A341="","", 'Equipment Information'!A341)</f>
        <v/>
      </c>
      <c r="B341" t="str">
        <f>IF('Equipment Information'!B341="","", 'Equipment Information'!B341)</f>
        <v/>
      </c>
      <c r="C341" t="str">
        <f>IF('Equipment Information'!C341="","", 'Equipment Information'!C341)</f>
        <v/>
      </c>
      <c r="D341" t="str">
        <f>IF('Equipment Information'!D341="","", 'Equipment Information'!D341)</f>
        <v/>
      </c>
      <c r="E341" t="str">
        <f>IF(A341="","", IFERROR(VLOOKUP(A341, 'Energized Data'!A:T, 20, FALSE), "N/A"))</f>
        <v/>
      </c>
      <c r="F341" t="str">
        <f>IF(A341="","", IFERROR(VLOOKUP(A341, Insulation!A:J, 9, FALSE), "N/A"))</f>
        <v/>
      </c>
      <c r="G341" t="str">
        <f>IF(A341="","", IFERROR(VLOOKUP(A341, DLRO!A:I, 8, FALSE), "N/A"))</f>
        <v/>
      </c>
      <c r="H341" t="str">
        <f>IF(A341="","", IFERROR(VLOOKUP(A341, Torque!A:I, 8, FALSE), "N/A"))</f>
        <v/>
      </c>
      <c r="I341" t="str">
        <f>IF(A341="","", IFERROR(VLOOKUP(A341, Infrared!A:G, 6, FALSE), "N/A"))</f>
        <v/>
      </c>
      <c r="J341" t="str">
        <f>IF(A341="","", IFERROR(VLOOKUP(A341, Ultrasonic!A:H, 7, FALSE), "N/A"))</f>
        <v/>
      </c>
      <c r="K341" t="str">
        <f>IF(A341="","", IFERROR(VLOOKUP(A341, 'Code Violations'!A:V, 22, FALSE), "N/A"))</f>
        <v/>
      </c>
      <c r="L341" t="str">
        <f t="shared" si="5"/>
        <v/>
      </c>
    </row>
    <row r="342" spans="1:12" x14ac:dyDescent="0.25">
      <c r="A342" t="str">
        <f>IF('Equipment Information'!A342="","", 'Equipment Information'!A342)</f>
        <v/>
      </c>
      <c r="B342" t="str">
        <f>IF('Equipment Information'!B342="","", 'Equipment Information'!B342)</f>
        <v/>
      </c>
      <c r="C342" t="str">
        <f>IF('Equipment Information'!C342="","", 'Equipment Information'!C342)</f>
        <v/>
      </c>
      <c r="D342" t="str">
        <f>IF('Equipment Information'!D342="","", 'Equipment Information'!D342)</f>
        <v/>
      </c>
      <c r="E342" t="str">
        <f>IF(A342="","", IFERROR(VLOOKUP(A342, 'Energized Data'!A:T, 20, FALSE), "N/A"))</f>
        <v/>
      </c>
      <c r="F342" t="str">
        <f>IF(A342="","", IFERROR(VLOOKUP(A342, Insulation!A:J, 9, FALSE), "N/A"))</f>
        <v/>
      </c>
      <c r="G342" t="str">
        <f>IF(A342="","", IFERROR(VLOOKUP(A342, DLRO!A:I, 8, FALSE), "N/A"))</f>
        <v/>
      </c>
      <c r="H342" t="str">
        <f>IF(A342="","", IFERROR(VLOOKUP(A342, Torque!A:I, 8, FALSE), "N/A"))</f>
        <v/>
      </c>
      <c r="I342" t="str">
        <f>IF(A342="","", IFERROR(VLOOKUP(A342, Infrared!A:G, 6, FALSE), "N/A"))</f>
        <v/>
      </c>
      <c r="J342" t="str">
        <f>IF(A342="","", IFERROR(VLOOKUP(A342, Ultrasonic!A:H, 7, FALSE), "N/A"))</f>
        <v/>
      </c>
      <c r="K342" t="str">
        <f>IF(A342="","", IFERROR(VLOOKUP(A342, 'Code Violations'!A:V, 22, FALSE), "N/A"))</f>
        <v/>
      </c>
      <c r="L342" t="str">
        <f t="shared" si="5"/>
        <v/>
      </c>
    </row>
    <row r="343" spans="1:12" x14ac:dyDescent="0.25">
      <c r="A343" t="str">
        <f>IF('Equipment Information'!A343="","", 'Equipment Information'!A343)</f>
        <v/>
      </c>
      <c r="B343" t="str">
        <f>IF('Equipment Information'!B343="","", 'Equipment Information'!B343)</f>
        <v/>
      </c>
      <c r="C343" t="str">
        <f>IF('Equipment Information'!C343="","", 'Equipment Information'!C343)</f>
        <v/>
      </c>
      <c r="D343" t="str">
        <f>IF('Equipment Information'!D343="","", 'Equipment Information'!D343)</f>
        <v/>
      </c>
      <c r="E343" t="str">
        <f>IF(A343="","", IFERROR(VLOOKUP(A343, 'Energized Data'!A:T, 20, FALSE), "N/A"))</f>
        <v/>
      </c>
      <c r="F343" t="str">
        <f>IF(A343="","", IFERROR(VLOOKUP(A343, Insulation!A:J, 9, FALSE), "N/A"))</f>
        <v/>
      </c>
      <c r="G343" t="str">
        <f>IF(A343="","", IFERROR(VLOOKUP(A343, DLRO!A:I, 8, FALSE), "N/A"))</f>
        <v/>
      </c>
      <c r="H343" t="str">
        <f>IF(A343="","", IFERROR(VLOOKUP(A343, Torque!A:I, 8, FALSE), "N/A"))</f>
        <v/>
      </c>
      <c r="I343" t="str">
        <f>IF(A343="","", IFERROR(VLOOKUP(A343, Infrared!A:G, 6, FALSE), "N/A"))</f>
        <v/>
      </c>
      <c r="J343" t="str">
        <f>IF(A343="","", IFERROR(VLOOKUP(A343, Ultrasonic!A:H, 7, FALSE), "N/A"))</f>
        <v/>
      </c>
      <c r="K343" t="str">
        <f>IF(A343="","", IFERROR(VLOOKUP(A343, 'Code Violations'!A:V, 22, FALSE), "N/A"))</f>
        <v/>
      </c>
      <c r="L343" t="str">
        <f t="shared" si="5"/>
        <v/>
      </c>
    </row>
    <row r="344" spans="1:12" x14ac:dyDescent="0.25">
      <c r="A344" t="str">
        <f>IF('Equipment Information'!A344="","", 'Equipment Information'!A344)</f>
        <v/>
      </c>
      <c r="B344" t="str">
        <f>IF('Equipment Information'!B344="","", 'Equipment Information'!B344)</f>
        <v/>
      </c>
      <c r="C344" t="str">
        <f>IF('Equipment Information'!C344="","", 'Equipment Information'!C344)</f>
        <v/>
      </c>
      <c r="D344" t="str">
        <f>IF('Equipment Information'!D344="","", 'Equipment Information'!D344)</f>
        <v/>
      </c>
      <c r="E344" t="str">
        <f>IF(A344="","", IFERROR(VLOOKUP(A344, 'Energized Data'!A:T, 20, FALSE), "N/A"))</f>
        <v/>
      </c>
      <c r="F344" t="str">
        <f>IF(A344="","", IFERROR(VLOOKUP(A344, Insulation!A:J, 9, FALSE), "N/A"))</f>
        <v/>
      </c>
      <c r="G344" t="str">
        <f>IF(A344="","", IFERROR(VLOOKUP(A344, DLRO!A:I, 8, FALSE), "N/A"))</f>
        <v/>
      </c>
      <c r="H344" t="str">
        <f>IF(A344="","", IFERROR(VLOOKUP(A344, Torque!A:I, 8, FALSE), "N/A"))</f>
        <v/>
      </c>
      <c r="I344" t="str">
        <f>IF(A344="","", IFERROR(VLOOKUP(A344, Infrared!A:G, 6, FALSE), "N/A"))</f>
        <v/>
      </c>
      <c r="J344" t="str">
        <f>IF(A344="","", IFERROR(VLOOKUP(A344, Ultrasonic!A:H, 7, FALSE), "N/A"))</f>
        <v/>
      </c>
      <c r="K344" t="str">
        <f>IF(A344="","", IFERROR(VLOOKUP(A344, 'Code Violations'!A:V, 22, FALSE), "N/A"))</f>
        <v/>
      </c>
      <c r="L344" t="str">
        <f t="shared" si="5"/>
        <v/>
      </c>
    </row>
    <row r="345" spans="1:12" x14ac:dyDescent="0.25">
      <c r="A345" t="str">
        <f>IF('Equipment Information'!A345="","", 'Equipment Information'!A345)</f>
        <v/>
      </c>
      <c r="B345" t="str">
        <f>IF('Equipment Information'!B345="","", 'Equipment Information'!B345)</f>
        <v/>
      </c>
      <c r="C345" t="str">
        <f>IF('Equipment Information'!C345="","", 'Equipment Information'!C345)</f>
        <v/>
      </c>
      <c r="D345" t="str">
        <f>IF('Equipment Information'!D345="","", 'Equipment Information'!D345)</f>
        <v/>
      </c>
      <c r="E345" t="str">
        <f>IF(A345="","", IFERROR(VLOOKUP(A345, 'Energized Data'!A:T, 20, FALSE), "N/A"))</f>
        <v/>
      </c>
      <c r="F345" t="str">
        <f>IF(A345="","", IFERROR(VLOOKUP(A345, Insulation!A:J, 9, FALSE), "N/A"))</f>
        <v/>
      </c>
      <c r="G345" t="str">
        <f>IF(A345="","", IFERROR(VLOOKUP(A345, DLRO!A:I, 8, FALSE), "N/A"))</f>
        <v/>
      </c>
      <c r="H345" t="str">
        <f>IF(A345="","", IFERROR(VLOOKUP(A345, Torque!A:I, 8, FALSE), "N/A"))</f>
        <v/>
      </c>
      <c r="I345" t="str">
        <f>IF(A345="","", IFERROR(VLOOKUP(A345, Infrared!A:G, 6, FALSE), "N/A"))</f>
        <v/>
      </c>
      <c r="J345" t="str">
        <f>IF(A345="","", IFERROR(VLOOKUP(A345, Ultrasonic!A:H, 7, FALSE), "N/A"))</f>
        <v/>
      </c>
      <c r="K345" t="str">
        <f>IF(A345="","", IFERROR(VLOOKUP(A345, 'Code Violations'!A:V, 22, FALSE), "N/A"))</f>
        <v/>
      </c>
      <c r="L345" t="str">
        <f t="shared" si="5"/>
        <v/>
      </c>
    </row>
    <row r="346" spans="1:12" x14ac:dyDescent="0.25">
      <c r="A346" t="str">
        <f>IF('Equipment Information'!A346="","", 'Equipment Information'!A346)</f>
        <v/>
      </c>
      <c r="B346" t="str">
        <f>IF('Equipment Information'!B346="","", 'Equipment Information'!B346)</f>
        <v/>
      </c>
      <c r="C346" t="str">
        <f>IF('Equipment Information'!C346="","", 'Equipment Information'!C346)</f>
        <v/>
      </c>
      <c r="D346" t="str">
        <f>IF('Equipment Information'!D346="","", 'Equipment Information'!D346)</f>
        <v/>
      </c>
      <c r="E346" t="str">
        <f>IF(A346="","", IFERROR(VLOOKUP(A346, 'Energized Data'!A:T, 20, FALSE), "N/A"))</f>
        <v/>
      </c>
      <c r="F346" t="str">
        <f>IF(A346="","", IFERROR(VLOOKUP(A346, Insulation!A:J, 9, FALSE), "N/A"))</f>
        <v/>
      </c>
      <c r="G346" t="str">
        <f>IF(A346="","", IFERROR(VLOOKUP(A346, DLRO!A:I, 8, FALSE), "N/A"))</f>
        <v/>
      </c>
      <c r="H346" t="str">
        <f>IF(A346="","", IFERROR(VLOOKUP(A346, Torque!A:I, 8, FALSE), "N/A"))</f>
        <v/>
      </c>
      <c r="I346" t="str">
        <f>IF(A346="","", IFERROR(VLOOKUP(A346, Infrared!A:G, 6, FALSE), "N/A"))</f>
        <v/>
      </c>
      <c r="J346" t="str">
        <f>IF(A346="","", IFERROR(VLOOKUP(A346, Ultrasonic!A:H, 7, FALSE), "N/A"))</f>
        <v/>
      </c>
      <c r="K346" t="str">
        <f>IF(A346="","", IFERROR(VLOOKUP(A346, 'Code Violations'!A:V, 22, FALSE), "N/A"))</f>
        <v/>
      </c>
      <c r="L346" t="str">
        <f t="shared" si="5"/>
        <v/>
      </c>
    </row>
    <row r="347" spans="1:12" x14ac:dyDescent="0.25">
      <c r="A347" t="str">
        <f>IF('Equipment Information'!A347="","", 'Equipment Information'!A347)</f>
        <v/>
      </c>
      <c r="B347" t="str">
        <f>IF('Equipment Information'!B347="","", 'Equipment Information'!B347)</f>
        <v/>
      </c>
      <c r="C347" t="str">
        <f>IF('Equipment Information'!C347="","", 'Equipment Information'!C347)</f>
        <v/>
      </c>
      <c r="D347" t="str">
        <f>IF('Equipment Information'!D347="","", 'Equipment Information'!D347)</f>
        <v/>
      </c>
      <c r="E347" t="str">
        <f>IF(A347="","", IFERROR(VLOOKUP(A347, 'Energized Data'!A:T, 20, FALSE), "N/A"))</f>
        <v/>
      </c>
      <c r="F347" t="str">
        <f>IF(A347="","", IFERROR(VLOOKUP(A347, Insulation!A:J, 9, FALSE), "N/A"))</f>
        <v/>
      </c>
      <c r="G347" t="str">
        <f>IF(A347="","", IFERROR(VLOOKUP(A347, DLRO!A:I, 8, FALSE), "N/A"))</f>
        <v/>
      </c>
      <c r="H347" t="str">
        <f>IF(A347="","", IFERROR(VLOOKUP(A347, Torque!A:I, 8, FALSE), "N/A"))</f>
        <v/>
      </c>
      <c r="I347" t="str">
        <f>IF(A347="","", IFERROR(VLOOKUP(A347, Infrared!A:G, 6, FALSE), "N/A"))</f>
        <v/>
      </c>
      <c r="J347" t="str">
        <f>IF(A347="","", IFERROR(VLOOKUP(A347, Ultrasonic!A:H, 7, FALSE), "N/A"))</f>
        <v/>
      </c>
      <c r="K347" t="str">
        <f>IF(A347="","", IFERROR(VLOOKUP(A347, 'Code Violations'!A:V, 22, FALSE), "N/A"))</f>
        <v/>
      </c>
      <c r="L347" t="str">
        <f t="shared" si="5"/>
        <v/>
      </c>
    </row>
    <row r="348" spans="1:12" x14ac:dyDescent="0.25">
      <c r="A348" t="str">
        <f>IF('Equipment Information'!A348="","", 'Equipment Information'!A348)</f>
        <v/>
      </c>
      <c r="B348" t="str">
        <f>IF('Equipment Information'!B348="","", 'Equipment Information'!B348)</f>
        <v/>
      </c>
      <c r="C348" t="str">
        <f>IF('Equipment Information'!C348="","", 'Equipment Information'!C348)</f>
        <v/>
      </c>
      <c r="D348" t="str">
        <f>IF('Equipment Information'!D348="","", 'Equipment Information'!D348)</f>
        <v/>
      </c>
      <c r="E348" t="str">
        <f>IF(A348="","", IFERROR(VLOOKUP(A348, 'Energized Data'!A:T, 20, FALSE), "N/A"))</f>
        <v/>
      </c>
      <c r="F348" t="str">
        <f>IF(A348="","", IFERROR(VLOOKUP(A348, Insulation!A:J, 9, FALSE), "N/A"))</f>
        <v/>
      </c>
      <c r="G348" t="str">
        <f>IF(A348="","", IFERROR(VLOOKUP(A348, DLRO!A:I, 8, FALSE), "N/A"))</f>
        <v/>
      </c>
      <c r="H348" t="str">
        <f>IF(A348="","", IFERROR(VLOOKUP(A348, Torque!A:I, 8, FALSE), "N/A"))</f>
        <v/>
      </c>
      <c r="I348" t="str">
        <f>IF(A348="","", IFERROR(VLOOKUP(A348, Infrared!A:G, 6, FALSE), "N/A"))</f>
        <v/>
      </c>
      <c r="J348" t="str">
        <f>IF(A348="","", IFERROR(VLOOKUP(A348, Ultrasonic!A:H, 7, FALSE), "N/A"))</f>
        <v/>
      </c>
      <c r="K348" t="str">
        <f>IF(A348="","", IFERROR(VLOOKUP(A348, 'Code Violations'!A:V, 22, FALSE), "N/A"))</f>
        <v/>
      </c>
      <c r="L348" t="str">
        <f t="shared" si="5"/>
        <v/>
      </c>
    </row>
    <row r="349" spans="1:12" x14ac:dyDescent="0.25">
      <c r="A349" t="str">
        <f>IF('Equipment Information'!A349="","", 'Equipment Information'!A349)</f>
        <v/>
      </c>
      <c r="B349" t="str">
        <f>IF('Equipment Information'!B349="","", 'Equipment Information'!B349)</f>
        <v/>
      </c>
      <c r="C349" t="str">
        <f>IF('Equipment Information'!C349="","", 'Equipment Information'!C349)</f>
        <v/>
      </c>
      <c r="D349" t="str">
        <f>IF('Equipment Information'!D349="","", 'Equipment Information'!D349)</f>
        <v/>
      </c>
      <c r="E349" t="str">
        <f>IF(A349="","", IFERROR(VLOOKUP(A349, 'Energized Data'!A:T, 20, FALSE), "N/A"))</f>
        <v/>
      </c>
      <c r="F349" t="str">
        <f>IF(A349="","", IFERROR(VLOOKUP(A349, Insulation!A:J, 9, FALSE), "N/A"))</f>
        <v/>
      </c>
      <c r="G349" t="str">
        <f>IF(A349="","", IFERROR(VLOOKUP(A349, DLRO!A:I, 8, FALSE), "N/A"))</f>
        <v/>
      </c>
      <c r="H349" t="str">
        <f>IF(A349="","", IFERROR(VLOOKUP(A349, Torque!A:I, 8, FALSE), "N/A"))</f>
        <v/>
      </c>
      <c r="I349" t="str">
        <f>IF(A349="","", IFERROR(VLOOKUP(A349, Infrared!A:G, 6, FALSE), "N/A"))</f>
        <v/>
      </c>
      <c r="J349" t="str">
        <f>IF(A349="","", IFERROR(VLOOKUP(A349, Ultrasonic!A:H, 7, FALSE), "N/A"))</f>
        <v/>
      </c>
      <c r="K349" t="str">
        <f>IF(A349="","", IFERROR(VLOOKUP(A349, 'Code Violations'!A:V, 22, FALSE), "N/A"))</f>
        <v/>
      </c>
      <c r="L349" t="str">
        <f t="shared" si="5"/>
        <v/>
      </c>
    </row>
    <row r="350" spans="1:12" x14ac:dyDescent="0.25">
      <c r="A350" t="str">
        <f>IF('Equipment Information'!A350="","", 'Equipment Information'!A350)</f>
        <v/>
      </c>
      <c r="B350" t="str">
        <f>IF('Equipment Information'!B350="","", 'Equipment Information'!B350)</f>
        <v/>
      </c>
      <c r="C350" t="str">
        <f>IF('Equipment Information'!C350="","", 'Equipment Information'!C350)</f>
        <v/>
      </c>
      <c r="D350" t="str">
        <f>IF('Equipment Information'!D350="","", 'Equipment Information'!D350)</f>
        <v/>
      </c>
      <c r="E350" t="str">
        <f>IF(A350="","", IFERROR(VLOOKUP(A350, 'Energized Data'!A:T, 20, FALSE), "N/A"))</f>
        <v/>
      </c>
      <c r="F350" t="str">
        <f>IF(A350="","", IFERROR(VLOOKUP(A350, Insulation!A:J, 9, FALSE), "N/A"))</f>
        <v/>
      </c>
      <c r="G350" t="str">
        <f>IF(A350="","", IFERROR(VLOOKUP(A350, DLRO!A:I, 8, FALSE), "N/A"))</f>
        <v/>
      </c>
      <c r="H350" t="str">
        <f>IF(A350="","", IFERROR(VLOOKUP(A350, Torque!A:I, 8, FALSE), "N/A"))</f>
        <v/>
      </c>
      <c r="I350" t="str">
        <f>IF(A350="","", IFERROR(VLOOKUP(A350, Infrared!A:G, 6, FALSE), "N/A"))</f>
        <v/>
      </c>
      <c r="J350" t="str">
        <f>IF(A350="","", IFERROR(VLOOKUP(A350, Ultrasonic!A:H, 7, FALSE), "N/A"))</f>
        <v/>
      </c>
      <c r="K350" t="str">
        <f>IF(A350="","", IFERROR(VLOOKUP(A350, 'Code Violations'!A:V, 22, FALSE), "N/A"))</f>
        <v/>
      </c>
      <c r="L350" t="str">
        <f t="shared" si="5"/>
        <v/>
      </c>
    </row>
    <row r="351" spans="1:12" x14ac:dyDescent="0.25">
      <c r="A351" t="str">
        <f>IF('Equipment Information'!A351="","", 'Equipment Information'!A351)</f>
        <v/>
      </c>
      <c r="B351" t="str">
        <f>IF('Equipment Information'!B351="","", 'Equipment Information'!B351)</f>
        <v/>
      </c>
      <c r="C351" t="str">
        <f>IF('Equipment Information'!C351="","", 'Equipment Information'!C351)</f>
        <v/>
      </c>
      <c r="D351" t="str">
        <f>IF('Equipment Information'!D351="","", 'Equipment Information'!D351)</f>
        <v/>
      </c>
      <c r="E351" t="str">
        <f>IF(A351="","", IFERROR(VLOOKUP(A351, 'Energized Data'!A:T, 20, FALSE), "N/A"))</f>
        <v/>
      </c>
      <c r="F351" t="str">
        <f>IF(A351="","", IFERROR(VLOOKUP(A351, Insulation!A:J, 9, FALSE), "N/A"))</f>
        <v/>
      </c>
      <c r="G351" t="str">
        <f>IF(A351="","", IFERROR(VLOOKUP(A351, DLRO!A:I, 8, FALSE), "N/A"))</f>
        <v/>
      </c>
      <c r="H351" t="str">
        <f>IF(A351="","", IFERROR(VLOOKUP(A351, Torque!A:I, 8, FALSE), "N/A"))</f>
        <v/>
      </c>
      <c r="I351" t="str">
        <f>IF(A351="","", IFERROR(VLOOKUP(A351, Infrared!A:G, 6, FALSE), "N/A"))</f>
        <v/>
      </c>
      <c r="J351" t="str">
        <f>IF(A351="","", IFERROR(VLOOKUP(A351, Ultrasonic!A:H, 7, FALSE), "N/A"))</f>
        <v/>
      </c>
      <c r="K351" t="str">
        <f>IF(A351="","", IFERROR(VLOOKUP(A351, 'Code Violations'!A:V, 22, FALSE), "N/A"))</f>
        <v/>
      </c>
      <c r="L351" t="str">
        <f t="shared" si="5"/>
        <v/>
      </c>
    </row>
    <row r="352" spans="1:12" x14ac:dyDescent="0.25">
      <c r="A352" t="str">
        <f>IF('Equipment Information'!A352="","", 'Equipment Information'!A352)</f>
        <v/>
      </c>
      <c r="B352" t="str">
        <f>IF('Equipment Information'!B352="","", 'Equipment Information'!B352)</f>
        <v/>
      </c>
      <c r="C352" t="str">
        <f>IF('Equipment Information'!C352="","", 'Equipment Information'!C352)</f>
        <v/>
      </c>
      <c r="D352" t="str">
        <f>IF('Equipment Information'!D352="","", 'Equipment Information'!D352)</f>
        <v/>
      </c>
      <c r="E352" t="str">
        <f>IF(A352="","", IFERROR(VLOOKUP(A352, 'Energized Data'!A:T, 20, FALSE), "N/A"))</f>
        <v/>
      </c>
      <c r="F352" t="str">
        <f>IF(A352="","", IFERROR(VLOOKUP(A352, Insulation!A:J, 9, FALSE), "N/A"))</f>
        <v/>
      </c>
      <c r="G352" t="str">
        <f>IF(A352="","", IFERROR(VLOOKUP(A352, DLRO!A:I, 8, FALSE), "N/A"))</f>
        <v/>
      </c>
      <c r="H352" t="str">
        <f>IF(A352="","", IFERROR(VLOOKUP(A352, Torque!A:I, 8, FALSE), "N/A"))</f>
        <v/>
      </c>
      <c r="I352" t="str">
        <f>IF(A352="","", IFERROR(VLOOKUP(A352, Infrared!A:G, 6, FALSE), "N/A"))</f>
        <v/>
      </c>
      <c r="J352" t="str">
        <f>IF(A352="","", IFERROR(VLOOKUP(A352, Ultrasonic!A:H, 7, FALSE), "N/A"))</f>
        <v/>
      </c>
      <c r="K352" t="str">
        <f>IF(A352="","", IFERROR(VLOOKUP(A352, 'Code Violations'!A:V, 22, FALSE), "N/A"))</f>
        <v/>
      </c>
      <c r="L352" t="str">
        <f t="shared" si="5"/>
        <v/>
      </c>
    </row>
    <row r="353" spans="1:12" x14ac:dyDescent="0.25">
      <c r="A353" t="str">
        <f>IF('Equipment Information'!A353="","", 'Equipment Information'!A353)</f>
        <v/>
      </c>
      <c r="B353" t="str">
        <f>IF('Equipment Information'!B353="","", 'Equipment Information'!B353)</f>
        <v/>
      </c>
      <c r="C353" t="str">
        <f>IF('Equipment Information'!C353="","", 'Equipment Information'!C353)</f>
        <v/>
      </c>
      <c r="D353" t="str">
        <f>IF('Equipment Information'!D353="","", 'Equipment Information'!D353)</f>
        <v/>
      </c>
      <c r="E353" t="str">
        <f>IF(A353="","", IFERROR(VLOOKUP(A353, 'Energized Data'!A:T, 20, FALSE), "N/A"))</f>
        <v/>
      </c>
      <c r="F353" t="str">
        <f>IF(A353="","", IFERROR(VLOOKUP(A353, Insulation!A:J, 9, FALSE), "N/A"))</f>
        <v/>
      </c>
      <c r="G353" t="str">
        <f>IF(A353="","", IFERROR(VLOOKUP(A353, DLRO!A:I, 8, FALSE), "N/A"))</f>
        <v/>
      </c>
      <c r="H353" t="str">
        <f>IF(A353="","", IFERROR(VLOOKUP(A353, Torque!A:I, 8, FALSE), "N/A"))</f>
        <v/>
      </c>
      <c r="I353" t="str">
        <f>IF(A353="","", IFERROR(VLOOKUP(A353, Infrared!A:G, 6, FALSE), "N/A"))</f>
        <v/>
      </c>
      <c r="J353" t="str">
        <f>IF(A353="","", IFERROR(VLOOKUP(A353, Ultrasonic!A:H, 7, FALSE), "N/A"))</f>
        <v/>
      </c>
      <c r="K353" t="str">
        <f>IF(A353="","", IFERROR(VLOOKUP(A353, 'Code Violations'!A:V, 22, FALSE), "N/A"))</f>
        <v/>
      </c>
      <c r="L353" t="str">
        <f t="shared" si="5"/>
        <v/>
      </c>
    </row>
    <row r="354" spans="1:12" x14ac:dyDescent="0.25">
      <c r="A354" t="str">
        <f>IF('Equipment Information'!A354="","", 'Equipment Information'!A354)</f>
        <v/>
      </c>
      <c r="B354" t="str">
        <f>IF('Equipment Information'!B354="","", 'Equipment Information'!B354)</f>
        <v/>
      </c>
      <c r="C354" t="str">
        <f>IF('Equipment Information'!C354="","", 'Equipment Information'!C354)</f>
        <v/>
      </c>
      <c r="D354" t="str">
        <f>IF('Equipment Information'!D354="","", 'Equipment Information'!D354)</f>
        <v/>
      </c>
      <c r="E354" t="str">
        <f>IF(A354="","", IFERROR(VLOOKUP(A354, 'Energized Data'!A:T, 20, FALSE), "N/A"))</f>
        <v/>
      </c>
      <c r="F354" t="str">
        <f>IF(A354="","", IFERROR(VLOOKUP(A354, Insulation!A:J, 9, FALSE), "N/A"))</f>
        <v/>
      </c>
      <c r="G354" t="str">
        <f>IF(A354="","", IFERROR(VLOOKUP(A354, DLRO!A:I, 8, FALSE), "N/A"))</f>
        <v/>
      </c>
      <c r="H354" t="str">
        <f>IF(A354="","", IFERROR(VLOOKUP(A354, Torque!A:I, 8, FALSE), "N/A"))</f>
        <v/>
      </c>
      <c r="I354" t="str">
        <f>IF(A354="","", IFERROR(VLOOKUP(A354, Infrared!A:G, 6, FALSE), "N/A"))</f>
        <v/>
      </c>
      <c r="J354" t="str">
        <f>IF(A354="","", IFERROR(VLOOKUP(A354, Ultrasonic!A:H, 7, FALSE), "N/A"))</f>
        <v/>
      </c>
      <c r="K354" t="str">
        <f>IF(A354="","", IFERROR(VLOOKUP(A354, 'Code Violations'!A:V, 22, FALSE), "N/A"))</f>
        <v/>
      </c>
      <c r="L354" t="str">
        <f t="shared" si="5"/>
        <v/>
      </c>
    </row>
    <row r="355" spans="1:12" x14ac:dyDescent="0.25">
      <c r="A355" t="str">
        <f>IF('Equipment Information'!A355="","", 'Equipment Information'!A355)</f>
        <v/>
      </c>
      <c r="B355" t="str">
        <f>IF('Equipment Information'!B355="","", 'Equipment Information'!B355)</f>
        <v/>
      </c>
      <c r="C355" t="str">
        <f>IF('Equipment Information'!C355="","", 'Equipment Information'!C355)</f>
        <v/>
      </c>
      <c r="D355" t="str">
        <f>IF('Equipment Information'!D355="","", 'Equipment Information'!D355)</f>
        <v/>
      </c>
      <c r="E355" t="str">
        <f>IF(A355="","", IFERROR(VLOOKUP(A355, 'Energized Data'!A:T, 20, FALSE), "N/A"))</f>
        <v/>
      </c>
      <c r="F355" t="str">
        <f>IF(A355="","", IFERROR(VLOOKUP(A355, Insulation!A:J, 9, FALSE), "N/A"))</f>
        <v/>
      </c>
      <c r="G355" t="str">
        <f>IF(A355="","", IFERROR(VLOOKUP(A355, DLRO!A:I, 8, FALSE), "N/A"))</f>
        <v/>
      </c>
      <c r="H355" t="str">
        <f>IF(A355="","", IFERROR(VLOOKUP(A355, Torque!A:I, 8, FALSE), "N/A"))</f>
        <v/>
      </c>
      <c r="I355" t="str">
        <f>IF(A355="","", IFERROR(VLOOKUP(A355, Infrared!A:G, 6, FALSE), "N/A"))</f>
        <v/>
      </c>
      <c r="J355" t="str">
        <f>IF(A355="","", IFERROR(VLOOKUP(A355, Ultrasonic!A:H, 7, FALSE), "N/A"))</f>
        <v/>
      </c>
      <c r="K355" t="str">
        <f>IF(A355="","", IFERROR(VLOOKUP(A355, 'Code Violations'!A:V, 22, FALSE), "N/A"))</f>
        <v/>
      </c>
      <c r="L355" t="str">
        <f t="shared" si="5"/>
        <v/>
      </c>
    </row>
    <row r="356" spans="1:12" x14ac:dyDescent="0.25">
      <c r="A356" t="str">
        <f>IF('Equipment Information'!A356="","", 'Equipment Information'!A356)</f>
        <v/>
      </c>
      <c r="B356" t="str">
        <f>IF('Equipment Information'!B356="","", 'Equipment Information'!B356)</f>
        <v/>
      </c>
      <c r="C356" t="str">
        <f>IF('Equipment Information'!C356="","", 'Equipment Information'!C356)</f>
        <v/>
      </c>
      <c r="D356" t="str">
        <f>IF('Equipment Information'!D356="","", 'Equipment Information'!D356)</f>
        <v/>
      </c>
      <c r="E356" t="str">
        <f>IF(A356="","", IFERROR(VLOOKUP(A356, 'Energized Data'!A:T, 20, FALSE), "N/A"))</f>
        <v/>
      </c>
      <c r="F356" t="str">
        <f>IF(A356="","", IFERROR(VLOOKUP(A356, Insulation!A:J, 9, FALSE), "N/A"))</f>
        <v/>
      </c>
      <c r="G356" t="str">
        <f>IF(A356="","", IFERROR(VLOOKUP(A356, DLRO!A:I, 8, FALSE), "N/A"))</f>
        <v/>
      </c>
      <c r="H356" t="str">
        <f>IF(A356="","", IFERROR(VLOOKUP(A356, Torque!A:I, 8, FALSE), "N/A"))</f>
        <v/>
      </c>
      <c r="I356" t="str">
        <f>IF(A356="","", IFERROR(VLOOKUP(A356, Infrared!A:G, 6, FALSE), "N/A"))</f>
        <v/>
      </c>
      <c r="J356" t="str">
        <f>IF(A356="","", IFERROR(VLOOKUP(A356, Ultrasonic!A:H, 7, FALSE), "N/A"))</f>
        <v/>
      </c>
      <c r="K356" t="str">
        <f>IF(A356="","", IFERROR(VLOOKUP(A356, 'Code Violations'!A:V, 22, FALSE), "N/A"))</f>
        <v/>
      </c>
      <c r="L356" t="str">
        <f t="shared" si="5"/>
        <v/>
      </c>
    </row>
    <row r="357" spans="1:12" x14ac:dyDescent="0.25">
      <c r="A357" t="str">
        <f>IF('Equipment Information'!A357="","", 'Equipment Information'!A357)</f>
        <v/>
      </c>
      <c r="B357" t="str">
        <f>IF('Equipment Information'!B357="","", 'Equipment Information'!B357)</f>
        <v/>
      </c>
      <c r="C357" t="str">
        <f>IF('Equipment Information'!C357="","", 'Equipment Information'!C357)</f>
        <v/>
      </c>
      <c r="D357" t="str">
        <f>IF('Equipment Information'!D357="","", 'Equipment Information'!D357)</f>
        <v/>
      </c>
      <c r="E357" t="str">
        <f>IF(A357="","", IFERROR(VLOOKUP(A357, 'Energized Data'!A:T, 20, FALSE), "N/A"))</f>
        <v/>
      </c>
      <c r="F357" t="str">
        <f>IF(A357="","", IFERROR(VLOOKUP(A357, Insulation!A:J, 9, FALSE), "N/A"))</f>
        <v/>
      </c>
      <c r="G357" t="str">
        <f>IF(A357="","", IFERROR(VLOOKUP(A357, DLRO!A:I, 8, FALSE), "N/A"))</f>
        <v/>
      </c>
      <c r="H357" t="str">
        <f>IF(A357="","", IFERROR(VLOOKUP(A357, Torque!A:I, 8, FALSE), "N/A"))</f>
        <v/>
      </c>
      <c r="I357" t="str">
        <f>IF(A357="","", IFERROR(VLOOKUP(A357, Infrared!A:G, 6, FALSE), "N/A"))</f>
        <v/>
      </c>
      <c r="J357" t="str">
        <f>IF(A357="","", IFERROR(VLOOKUP(A357, Ultrasonic!A:H, 7, FALSE), "N/A"))</f>
        <v/>
      </c>
      <c r="K357" t="str">
        <f>IF(A357="","", IFERROR(VLOOKUP(A357, 'Code Violations'!A:V, 22, FALSE), "N/A"))</f>
        <v/>
      </c>
      <c r="L357" t="str">
        <f t="shared" si="5"/>
        <v/>
      </c>
    </row>
    <row r="358" spans="1:12" x14ac:dyDescent="0.25">
      <c r="A358" t="str">
        <f>IF('Equipment Information'!A358="","", 'Equipment Information'!A358)</f>
        <v/>
      </c>
      <c r="B358" t="str">
        <f>IF('Equipment Information'!B358="","", 'Equipment Information'!B358)</f>
        <v/>
      </c>
      <c r="C358" t="str">
        <f>IF('Equipment Information'!C358="","", 'Equipment Information'!C358)</f>
        <v/>
      </c>
      <c r="D358" t="str">
        <f>IF('Equipment Information'!D358="","", 'Equipment Information'!D358)</f>
        <v/>
      </c>
      <c r="E358" t="str">
        <f>IF(A358="","", IFERROR(VLOOKUP(A358, 'Energized Data'!A:T, 20, FALSE), "N/A"))</f>
        <v/>
      </c>
      <c r="F358" t="str">
        <f>IF(A358="","", IFERROR(VLOOKUP(A358, Insulation!A:J, 9, FALSE), "N/A"))</f>
        <v/>
      </c>
      <c r="G358" t="str">
        <f>IF(A358="","", IFERROR(VLOOKUP(A358, DLRO!A:I, 8, FALSE), "N/A"))</f>
        <v/>
      </c>
      <c r="H358" t="str">
        <f>IF(A358="","", IFERROR(VLOOKUP(A358, Torque!A:I, 8, FALSE), "N/A"))</f>
        <v/>
      </c>
      <c r="I358" t="str">
        <f>IF(A358="","", IFERROR(VLOOKUP(A358, Infrared!A:G, 6, FALSE), "N/A"))</f>
        <v/>
      </c>
      <c r="J358" t="str">
        <f>IF(A358="","", IFERROR(VLOOKUP(A358, Ultrasonic!A:H, 7, FALSE), "N/A"))</f>
        <v/>
      </c>
      <c r="K358" t="str">
        <f>IF(A358="","", IFERROR(VLOOKUP(A358, 'Code Violations'!A:V, 22, FALSE), "N/A"))</f>
        <v/>
      </c>
      <c r="L358" t="str">
        <f t="shared" si="5"/>
        <v/>
      </c>
    </row>
    <row r="359" spans="1:12" x14ac:dyDescent="0.25">
      <c r="A359" t="str">
        <f>IF('Equipment Information'!A359="","", 'Equipment Information'!A359)</f>
        <v/>
      </c>
      <c r="B359" t="str">
        <f>IF('Equipment Information'!B359="","", 'Equipment Information'!B359)</f>
        <v/>
      </c>
      <c r="C359" t="str">
        <f>IF('Equipment Information'!C359="","", 'Equipment Information'!C359)</f>
        <v/>
      </c>
      <c r="D359" t="str">
        <f>IF('Equipment Information'!D359="","", 'Equipment Information'!D359)</f>
        <v/>
      </c>
      <c r="E359" t="str">
        <f>IF(A359="","", IFERROR(VLOOKUP(A359, 'Energized Data'!A:T, 20, FALSE), "N/A"))</f>
        <v/>
      </c>
      <c r="F359" t="str">
        <f>IF(A359="","", IFERROR(VLOOKUP(A359, Insulation!A:J, 9, FALSE), "N/A"))</f>
        <v/>
      </c>
      <c r="G359" t="str">
        <f>IF(A359="","", IFERROR(VLOOKUP(A359, DLRO!A:I, 8, FALSE), "N/A"))</f>
        <v/>
      </c>
      <c r="H359" t="str">
        <f>IF(A359="","", IFERROR(VLOOKUP(A359, Torque!A:I, 8, FALSE), "N/A"))</f>
        <v/>
      </c>
      <c r="I359" t="str">
        <f>IF(A359="","", IFERROR(VLOOKUP(A359, Infrared!A:G, 6, FALSE), "N/A"))</f>
        <v/>
      </c>
      <c r="J359" t="str">
        <f>IF(A359="","", IFERROR(VLOOKUP(A359, Ultrasonic!A:H, 7, FALSE), "N/A"))</f>
        <v/>
      </c>
      <c r="K359" t="str">
        <f>IF(A359="","", IFERROR(VLOOKUP(A359, 'Code Violations'!A:V, 22, FALSE), "N/A"))</f>
        <v/>
      </c>
      <c r="L359" t="str">
        <f t="shared" si="5"/>
        <v/>
      </c>
    </row>
    <row r="360" spans="1:12" x14ac:dyDescent="0.25">
      <c r="A360" t="str">
        <f>IF('Equipment Information'!A360="","", 'Equipment Information'!A360)</f>
        <v/>
      </c>
      <c r="B360" t="str">
        <f>IF('Equipment Information'!B360="","", 'Equipment Information'!B360)</f>
        <v/>
      </c>
      <c r="C360" t="str">
        <f>IF('Equipment Information'!C360="","", 'Equipment Information'!C360)</f>
        <v/>
      </c>
      <c r="D360" t="str">
        <f>IF('Equipment Information'!D360="","", 'Equipment Information'!D360)</f>
        <v/>
      </c>
      <c r="E360" t="str">
        <f>IF(A360="","", IFERROR(VLOOKUP(A360, 'Energized Data'!A:T, 20, FALSE), "N/A"))</f>
        <v/>
      </c>
      <c r="F360" t="str">
        <f>IF(A360="","", IFERROR(VLOOKUP(A360, Insulation!A:J, 9, FALSE), "N/A"))</f>
        <v/>
      </c>
      <c r="G360" t="str">
        <f>IF(A360="","", IFERROR(VLOOKUP(A360, DLRO!A:I, 8, FALSE), "N/A"))</f>
        <v/>
      </c>
      <c r="H360" t="str">
        <f>IF(A360="","", IFERROR(VLOOKUP(A360, Torque!A:I, 8, FALSE), "N/A"))</f>
        <v/>
      </c>
      <c r="I360" t="str">
        <f>IF(A360="","", IFERROR(VLOOKUP(A360, Infrared!A:G, 6, FALSE), "N/A"))</f>
        <v/>
      </c>
      <c r="J360" t="str">
        <f>IF(A360="","", IFERROR(VLOOKUP(A360, Ultrasonic!A:H, 7, FALSE), "N/A"))</f>
        <v/>
      </c>
      <c r="K360" t="str">
        <f>IF(A360="","", IFERROR(VLOOKUP(A360, 'Code Violations'!A:V, 22, FALSE), "N/A"))</f>
        <v/>
      </c>
      <c r="L360" t="str">
        <f t="shared" si="5"/>
        <v/>
      </c>
    </row>
    <row r="361" spans="1:12" x14ac:dyDescent="0.25">
      <c r="A361" t="str">
        <f>IF('Equipment Information'!A361="","", 'Equipment Information'!A361)</f>
        <v/>
      </c>
      <c r="B361" t="str">
        <f>IF('Equipment Information'!B361="","", 'Equipment Information'!B361)</f>
        <v/>
      </c>
      <c r="C361" t="str">
        <f>IF('Equipment Information'!C361="","", 'Equipment Information'!C361)</f>
        <v/>
      </c>
      <c r="D361" t="str">
        <f>IF('Equipment Information'!D361="","", 'Equipment Information'!D361)</f>
        <v/>
      </c>
      <c r="E361" t="str">
        <f>IF(A361="","", IFERROR(VLOOKUP(A361, 'Energized Data'!A:T, 20, FALSE), "N/A"))</f>
        <v/>
      </c>
      <c r="F361" t="str">
        <f>IF(A361="","", IFERROR(VLOOKUP(A361, Insulation!A:J, 9, FALSE), "N/A"))</f>
        <v/>
      </c>
      <c r="G361" t="str">
        <f>IF(A361="","", IFERROR(VLOOKUP(A361, DLRO!A:I, 8, FALSE), "N/A"))</f>
        <v/>
      </c>
      <c r="H361" t="str">
        <f>IF(A361="","", IFERROR(VLOOKUP(A361, Torque!A:I, 8, FALSE), "N/A"))</f>
        <v/>
      </c>
      <c r="I361" t="str">
        <f>IF(A361="","", IFERROR(VLOOKUP(A361, Infrared!A:G, 6, FALSE), "N/A"))</f>
        <v/>
      </c>
      <c r="J361" t="str">
        <f>IF(A361="","", IFERROR(VLOOKUP(A361, Ultrasonic!A:H, 7, FALSE), "N/A"))</f>
        <v/>
      </c>
      <c r="K361" t="str">
        <f>IF(A361="","", IFERROR(VLOOKUP(A361, 'Code Violations'!A:V, 22, FALSE), "N/A"))</f>
        <v/>
      </c>
      <c r="L361" t="str">
        <f t="shared" si="5"/>
        <v/>
      </c>
    </row>
    <row r="362" spans="1:12" x14ac:dyDescent="0.25">
      <c r="A362" t="str">
        <f>IF('Equipment Information'!A362="","", 'Equipment Information'!A362)</f>
        <v/>
      </c>
      <c r="B362" t="str">
        <f>IF('Equipment Information'!B362="","", 'Equipment Information'!B362)</f>
        <v/>
      </c>
      <c r="C362" t="str">
        <f>IF('Equipment Information'!C362="","", 'Equipment Information'!C362)</f>
        <v/>
      </c>
      <c r="D362" t="str">
        <f>IF('Equipment Information'!D362="","", 'Equipment Information'!D362)</f>
        <v/>
      </c>
      <c r="E362" t="str">
        <f>IF(A362="","", IFERROR(VLOOKUP(A362, 'Energized Data'!A:T, 20, FALSE), "N/A"))</f>
        <v/>
      </c>
      <c r="F362" t="str">
        <f>IF(A362="","", IFERROR(VLOOKUP(A362, Insulation!A:J, 9, FALSE), "N/A"))</f>
        <v/>
      </c>
      <c r="G362" t="str">
        <f>IF(A362="","", IFERROR(VLOOKUP(A362, DLRO!A:I, 8, FALSE), "N/A"))</f>
        <v/>
      </c>
      <c r="H362" t="str">
        <f>IF(A362="","", IFERROR(VLOOKUP(A362, Torque!A:I, 8, FALSE), "N/A"))</f>
        <v/>
      </c>
      <c r="I362" t="str">
        <f>IF(A362="","", IFERROR(VLOOKUP(A362, Infrared!A:G, 6, FALSE), "N/A"))</f>
        <v/>
      </c>
      <c r="J362" t="str">
        <f>IF(A362="","", IFERROR(VLOOKUP(A362, Ultrasonic!A:H, 7, FALSE), "N/A"))</f>
        <v/>
      </c>
      <c r="K362" t="str">
        <f>IF(A362="","", IFERROR(VLOOKUP(A362, 'Code Violations'!A:V, 22, FALSE), "N/A"))</f>
        <v/>
      </c>
      <c r="L362" t="str">
        <f t="shared" si="5"/>
        <v/>
      </c>
    </row>
    <row r="363" spans="1:12" x14ac:dyDescent="0.25">
      <c r="A363" t="str">
        <f>IF('Equipment Information'!A363="","", 'Equipment Information'!A363)</f>
        <v/>
      </c>
      <c r="B363" t="str">
        <f>IF('Equipment Information'!B363="","", 'Equipment Information'!B363)</f>
        <v/>
      </c>
      <c r="C363" t="str">
        <f>IF('Equipment Information'!C363="","", 'Equipment Information'!C363)</f>
        <v/>
      </c>
      <c r="D363" t="str">
        <f>IF('Equipment Information'!D363="","", 'Equipment Information'!D363)</f>
        <v/>
      </c>
      <c r="E363" t="str">
        <f>IF(A363="","", IFERROR(VLOOKUP(A363, 'Energized Data'!A:T, 20, FALSE), "N/A"))</f>
        <v/>
      </c>
      <c r="F363" t="str">
        <f>IF(A363="","", IFERROR(VLOOKUP(A363, Insulation!A:J, 9, FALSE), "N/A"))</f>
        <v/>
      </c>
      <c r="G363" t="str">
        <f>IF(A363="","", IFERROR(VLOOKUP(A363, DLRO!A:I, 8, FALSE), "N/A"))</f>
        <v/>
      </c>
      <c r="H363" t="str">
        <f>IF(A363="","", IFERROR(VLOOKUP(A363, Torque!A:I, 8, FALSE), "N/A"))</f>
        <v/>
      </c>
      <c r="I363" t="str">
        <f>IF(A363="","", IFERROR(VLOOKUP(A363, Infrared!A:G, 6, FALSE), "N/A"))</f>
        <v/>
      </c>
      <c r="J363" t="str">
        <f>IF(A363="","", IFERROR(VLOOKUP(A363, Ultrasonic!A:H, 7, FALSE), "N/A"))</f>
        <v/>
      </c>
      <c r="K363" t="str">
        <f>IF(A363="","", IFERROR(VLOOKUP(A363, 'Code Violations'!A:V, 22, FALSE), "N/A"))</f>
        <v/>
      </c>
      <c r="L363" t="str">
        <f t="shared" si="5"/>
        <v/>
      </c>
    </row>
    <row r="364" spans="1:12" x14ac:dyDescent="0.25">
      <c r="A364" t="str">
        <f>IF('Equipment Information'!A364="","", 'Equipment Information'!A364)</f>
        <v/>
      </c>
      <c r="B364" t="str">
        <f>IF('Equipment Information'!B364="","", 'Equipment Information'!B364)</f>
        <v/>
      </c>
      <c r="C364" t="str">
        <f>IF('Equipment Information'!C364="","", 'Equipment Information'!C364)</f>
        <v/>
      </c>
      <c r="D364" t="str">
        <f>IF('Equipment Information'!D364="","", 'Equipment Information'!D364)</f>
        <v/>
      </c>
      <c r="E364" t="str">
        <f>IF(A364="","", IFERROR(VLOOKUP(A364, 'Energized Data'!A:T, 20, FALSE), "N/A"))</f>
        <v/>
      </c>
      <c r="F364" t="str">
        <f>IF(A364="","", IFERROR(VLOOKUP(A364, Insulation!A:J, 9, FALSE), "N/A"))</f>
        <v/>
      </c>
      <c r="G364" t="str">
        <f>IF(A364="","", IFERROR(VLOOKUP(A364, DLRO!A:I, 8, FALSE), "N/A"))</f>
        <v/>
      </c>
      <c r="H364" t="str">
        <f>IF(A364="","", IFERROR(VLOOKUP(A364, Torque!A:I, 8, FALSE), "N/A"))</f>
        <v/>
      </c>
      <c r="I364" t="str">
        <f>IF(A364="","", IFERROR(VLOOKUP(A364, Infrared!A:G, 6, FALSE), "N/A"))</f>
        <v/>
      </c>
      <c r="J364" t="str">
        <f>IF(A364="","", IFERROR(VLOOKUP(A364, Ultrasonic!A:H, 7, FALSE), "N/A"))</f>
        <v/>
      </c>
      <c r="K364" t="str">
        <f>IF(A364="","", IFERROR(VLOOKUP(A364, 'Code Violations'!A:V, 22, FALSE), "N/A"))</f>
        <v/>
      </c>
      <c r="L364" t="str">
        <f t="shared" si="5"/>
        <v/>
      </c>
    </row>
    <row r="365" spans="1:12" x14ac:dyDescent="0.25">
      <c r="A365" t="str">
        <f>IF('Equipment Information'!A365="","", 'Equipment Information'!A365)</f>
        <v/>
      </c>
      <c r="B365" t="str">
        <f>IF('Equipment Information'!B365="","", 'Equipment Information'!B365)</f>
        <v/>
      </c>
      <c r="C365" t="str">
        <f>IF('Equipment Information'!C365="","", 'Equipment Information'!C365)</f>
        <v/>
      </c>
      <c r="D365" t="str">
        <f>IF('Equipment Information'!D365="","", 'Equipment Information'!D365)</f>
        <v/>
      </c>
      <c r="E365" t="str">
        <f>IF(A365="","", IFERROR(VLOOKUP(A365, 'Energized Data'!A:T, 20, FALSE), "N/A"))</f>
        <v/>
      </c>
      <c r="F365" t="str">
        <f>IF(A365="","", IFERROR(VLOOKUP(A365, Insulation!A:J, 9, FALSE), "N/A"))</f>
        <v/>
      </c>
      <c r="G365" t="str">
        <f>IF(A365="","", IFERROR(VLOOKUP(A365, DLRO!A:I, 8, FALSE), "N/A"))</f>
        <v/>
      </c>
      <c r="H365" t="str">
        <f>IF(A365="","", IFERROR(VLOOKUP(A365, Torque!A:I, 8, FALSE), "N/A"))</f>
        <v/>
      </c>
      <c r="I365" t="str">
        <f>IF(A365="","", IFERROR(VLOOKUP(A365, Infrared!A:G, 6, FALSE), "N/A"))</f>
        <v/>
      </c>
      <c r="J365" t="str">
        <f>IF(A365="","", IFERROR(VLOOKUP(A365, Ultrasonic!A:H, 7, FALSE), "N/A"))</f>
        <v/>
      </c>
      <c r="K365" t="str">
        <f>IF(A365="","", IFERROR(VLOOKUP(A365, 'Code Violations'!A:V, 22, FALSE), "N/A"))</f>
        <v/>
      </c>
      <c r="L365" t="str">
        <f t="shared" si="5"/>
        <v/>
      </c>
    </row>
    <row r="366" spans="1:12" x14ac:dyDescent="0.25">
      <c r="A366" t="str">
        <f>IF('Equipment Information'!A366="","", 'Equipment Information'!A366)</f>
        <v/>
      </c>
      <c r="B366" t="str">
        <f>IF('Equipment Information'!B366="","", 'Equipment Information'!B366)</f>
        <v/>
      </c>
      <c r="C366" t="str">
        <f>IF('Equipment Information'!C366="","", 'Equipment Information'!C366)</f>
        <v/>
      </c>
      <c r="D366" t="str">
        <f>IF('Equipment Information'!D366="","", 'Equipment Information'!D366)</f>
        <v/>
      </c>
      <c r="E366" t="str">
        <f>IF(A366="","", IFERROR(VLOOKUP(A366, 'Energized Data'!A:T, 20, FALSE), "N/A"))</f>
        <v/>
      </c>
      <c r="F366" t="str">
        <f>IF(A366="","", IFERROR(VLOOKUP(A366, Insulation!A:J, 9, FALSE), "N/A"))</f>
        <v/>
      </c>
      <c r="G366" t="str">
        <f>IF(A366="","", IFERROR(VLOOKUP(A366, DLRO!A:I, 8, FALSE), "N/A"))</f>
        <v/>
      </c>
      <c r="H366" t="str">
        <f>IF(A366="","", IFERROR(VLOOKUP(A366, Torque!A:I, 8, FALSE), "N/A"))</f>
        <v/>
      </c>
      <c r="I366" t="str">
        <f>IF(A366="","", IFERROR(VLOOKUP(A366, Infrared!A:G, 6, FALSE), "N/A"))</f>
        <v/>
      </c>
      <c r="J366" t="str">
        <f>IF(A366="","", IFERROR(VLOOKUP(A366, Ultrasonic!A:H, 7, FALSE), "N/A"))</f>
        <v/>
      </c>
      <c r="K366" t="str">
        <f>IF(A366="","", IFERROR(VLOOKUP(A366, 'Code Violations'!A:V, 22, FALSE), "N/A"))</f>
        <v/>
      </c>
      <c r="L366" t="str">
        <f t="shared" si="5"/>
        <v/>
      </c>
    </row>
    <row r="367" spans="1:12" x14ac:dyDescent="0.25">
      <c r="A367" t="str">
        <f>IF('Equipment Information'!A367="","", 'Equipment Information'!A367)</f>
        <v/>
      </c>
      <c r="B367" t="str">
        <f>IF('Equipment Information'!B367="","", 'Equipment Information'!B367)</f>
        <v/>
      </c>
      <c r="C367" t="str">
        <f>IF('Equipment Information'!C367="","", 'Equipment Information'!C367)</f>
        <v/>
      </c>
      <c r="D367" t="str">
        <f>IF('Equipment Information'!D367="","", 'Equipment Information'!D367)</f>
        <v/>
      </c>
      <c r="E367" t="str">
        <f>IF(A367="","", IFERROR(VLOOKUP(A367, 'Energized Data'!A:T, 20, FALSE), "N/A"))</f>
        <v/>
      </c>
      <c r="F367" t="str">
        <f>IF(A367="","", IFERROR(VLOOKUP(A367, Insulation!A:J, 9, FALSE), "N/A"))</f>
        <v/>
      </c>
      <c r="G367" t="str">
        <f>IF(A367="","", IFERROR(VLOOKUP(A367, DLRO!A:I, 8, FALSE), "N/A"))</f>
        <v/>
      </c>
      <c r="H367" t="str">
        <f>IF(A367="","", IFERROR(VLOOKUP(A367, Torque!A:I, 8, FALSE), "N/A"))</f>
        <v/>
      </c>
      <c r="I367" t="str">
        <f>IF(A367="","", IFERROR(VLOOKUP(A367, Infrared!A:G, 6, FALSE), "N/A"))</f>
        <v/>
      </c>
      <c r="J367" t="str">
        <f>IF(A367="","", IFERROR(VLOOKUP(A367, Ultrasonic!A:H, 7, FALSE), "N/A"))</f>
        <v/>
      </c>
      <c r="K367" t="str">
        <f>IF(A367="","", IFERROR(VLOOKUP(A367, 'Code Violations'!A:V, 22, FALSE), "N/A"))</f>
        <v/>
      </c>
      <c r="L367" t="str">
        <f t="shared" si="5"/>
        <v/>
      </c>
    </row>
    <row r="368" spans="1:12" x14ac:dyDescent="0.25">
      <c r="A368" t="str">
        <f>IF('Equipment Information'!A368="","", 'Equipment Information'!A368)</f>
        <v/>
      </c>
      <c r="B368" t="str">
        <f>IF('Equipment Information'!B368="","", 'Equipment Information'!B368)</f>
        <v/>
      </c>
      <c r="C368" t="str">
        <f>IF('Equipment Information'!C368="","", 'Equipment Information'!C368)</f>
        <v/>
      </c>
      <c r="D368" t="str">
        <f>IF('Equipment Information'!D368="","", 'Equipment Information'!D368)</f>
        <v/>
      </c>
      <c r="E368" t="str">
        <f>IF(A368="","", IFERROR(VLOOKUP(A368, 'Energized Data'!A:T, 20, FALSE), "N/A"))</f>
        <v/>
      </c>
      <c r="F368" t="str">
        <f>IF(A368="","", IFERROR(VLOOKUP(A368, Insulation!A:J, 9, FALSE), "N/A"))</f>
        <v/>
      </c>
      <c r="G368" t="str">
        <f>IF(A368="","", IFERROR(VLOOKUP(A368, DLRO!A:I, 8, FALSE), "N/A"))</f>
        <v/>
      </c>
      <c r="H368" t="str">
        <f>IF(A368="","", IFERROR(VLOOKUP(A368, Torque!A:I, 8, FALSE), "N/A"))</f>
        <v/>
      </c>
      <c r="I368" t="str">
        <f>IF(A368="","", IFERROR(VLOOKUP(A368, Infrared!A:G, 6, FALSE), "N/A"))</f>
        <v/>
      </c>
      <c r="J368" t="str">
        <f>IF(A368="","", IFERROR(VLOOKUP(A368, Ultrasonic!A:H, 7, FALSE), "N/A"))</f>
        <v/>
      </c>
      <c r="K368" t="str">
        <f>IF(A368="","", IFERROR(VLOOKUP(A368, 'Code Violations'!A:V, 22, FALSE), "N/A"))</f>
        <v/>
      </c>
      <c r="L368" t="str">
        <f t="shared" si="5"/>
        <v/>
      </c>
    </row>
    <row r="369" spans="1:12" x14ac:dyDescent="0.25">
      <c r="A369" t="str">
        <f>IF('Equipment Information'!A369="","", 'Equipment Information'!A369)</f>
        <v/>
      </c>
      <c r="B369" t="str">
        <f>IF('Equipment Information'!B369="","", 'Equipment Information'!B369)</f>
        <v/>
      </c>
      <c r="C369" t="str">
        <f>IF('Equipment Information'!C369="","", 'Equipment Information'!C369)</f>
        <v/>
      </c>
      <c r="D369" t="str">
        <f>IF('Equipment Information'!D369="","", 'Equipment Information'!D369)</f>
        <v/>
      </c>
      <c r="E369" t="str">
        <f>IF(A369="","", IFERROR(VLOOKUP(A369, 'Energized Data'!A:T, 20, FALSE), "N/A"))</f>
        <v/>
      </c>
      <c r="F369" t="str">
        <f>IF(A369="","", IFERROR(VLOOKUP(A369, Insulation!A:J, 9, FALSE), "N/A"))</f>
        <v/>
      </c>
      <c r="G369" t="str">
        <f>IF(A369="","", IFERROR(VLOOKUP(A369, DLRO!A:I, 8, FALSE), "N/A"))</f>
        <v/>
      </c>
      <c r="H369" t="str">
        <f>IF(A369="","", IFERROR(VLOOKUP(A369, Torque!A:I, 8, FALSE), "N/A"))</f>
        <v/>
      </c>
      <c r="I369" t="str">
        <f>IF(A369="","", IFERROR(VLOOKUP(A369, Infrared!A:G, 6, FALSE), "N/A"))</f>
        <v/>
      </c>
      <c r="J369" t="str">
        <f>IF(A369="","", IFERROR(VLOOKUP(A369, Ultrasonic!A:H, 7, FALSE), "N/A"))</f>
        <v/>
      </c>
      <c r="K369" t="str">
        <f>IF(A369="","", IFERROR(VLOOKUP(A369, 'Code Violations'!A:V, 22, FALSE), "N/A"))</f>
        <v/>
      </c>
      <c r="L369" t="str">
        <f t="shared" si="5"/>
        <v/>
      </c>
    </row>
    <row r="370" spans="1:12" x14ac:dyDescent="0.25">
      <c r="A370" t="str">
        <f>IF('Equipment Information'!A370="","", 'Equipment Information'!A370)</f>
        <v/>
      </c>
      <c r="B370" t="str">
        <f>IF('Equipment Information'!B370="","", 'Equipment Information'!B370)</f>
        <v/>
      </c>
      <c r="C370" t="str">
        <f>IF('Equipment Information'!C370="","", 'Equipment Information'!C370)</f>
        <v/>
      </c>
      <c r="D370" t="str">
        <f>IF('Equipment Information'!D370="","", 'Equipment Information'!D370)</f>
        <v/>
      </c>
      <c r="E370" t="str">
        <f>IF(A370="","", IFERROR(VLOOKUP(A370, 'Energized Data'!A:T, 20, FALSE), "N/A"))</f>
        <v/>
      </c>
      <c r="F370" t="str">
        <f>IF(A370="","", IFERROR(VLOOKUP(A370, Insulation!A:J, 9, FALSE), "N/A"))</f>
        <v/>
      </c>
      <c r="G370" t="str">
        <f>IF(A370="","", IFERROR(VLOOKUP(A370, DLRO!A:I, 8, FALSE), "N/A"))</f>
        <v/>
      </c>
      <c r="H370" t="str">
        <f>IF(A370="","", IFERROR(VLOOKUP(A370, Torque!A:I, 8, FALSE), "N/A"))</f>
        <v/>
      </c>
      <c r="I370" t="str">
        <f>IF(A370="","", IFERROR(VLOOKUP(A370, Infrared!A:G, 6, FALSE), "N/A"))</f>
        <v/>
      </c>
      <c r="J370" t="str">
        <f>IF(A370="","", IFERROR(VLOOKUP(A370, Ultrasonic!A:H, 7, FALSE), "N/A"))</f>
        <v/>
      </c>
      <c r="K370" t="str">
        <f>IF(A370="","", IFERROR(VLOOKUP(A370, 'Code Violations'!A:V, 22, FALSE), "N/A"))</f>
        <v/>
      </c>
      <c r="L370" t="str">
        <f t="shared" si="5"/>
        <v/>
      </c>
    </row>
    <row r="371" spans="1:12" x14ac:dyDescent="0.25">
      <c r="A371" t="str">
        <f>IF('Equipment Information'!A371="","", 'Equipment Information'!A371)</f>
        <v/>
      </c>
      <c r="B371" t="str">
        <f>IF('Equipment Information'!B371="","", 'Equipment Information'!B371)</f>
        <v/>
      </c>
      <c r="C371" t="str">
        <f>IF('Equipment Information'!C371="","", 'Equipment Information'!C371)</f>
        <v/>
      </c>
      <c r="D371" t="str">
        <f>IF('Equipment Information'!D371="","", 'Equipment Information'!D371)</f>
        <v/>
      </c>
      <c r="E371" t="str">
        <f>IF(A371="","", IFERROR(VLOOKUP(A371, 'Energized Data'!A:T, 20, FALSE), "N/A"))</f>
        <v/>
      </c>
      <c r="F371" t="str">
        <f>IF(A371="","", IFERROR(VLOOKUP(A371, Insulation!A:J, 9, FALSE), "N/A"))</f>
        <v/>
      </c>
      <c r="G371" t="str">
        <f>IF(A371="","", IFERROR(VLOOKUP(A371, DLRO!A:I, 8, FALSE), "N/A"))</f>
        <v/>
      </c>
      <c r="H371" t="str">
        <f>IF(A371="","", IFERROR(VLOOKUP(A371, Torque!A:I, 8, FALSE), "N/A"))</f>
        <v/>
      </c>
      <c r="I371" t="str">
        <f>IF(A371="","", IFERROR(VLOOKUP(A371, Infrared!A:G, 6, FALSE), "N/A"))</f>
        <v/>
      </c>
      <c r="J371" t="str">
        <f>IF(A371="","", IFERROR(VLOOKUP(A371, Ultrasonic!A:H, 7, FALSE), "N/A"))</f>
        <v/>
      </c>
      <c r="K371" t="str">
        <f>IF(A371="","", IFERROR(VLOOKUP(A371, 'Code Violations'!A:V, 22, FALSE), "N/A"))</f>
        <v/>
      </c>
      <c r="L371" t="str">
        <f t="shared" si="5"/>
        <v/>
      </c>
    </row>
    <row r="372" spans="1:12" x14ac:dyDescent="0.25">
      <c r="A372" t="str">
        <f>IF('Equipment Information'!A372="","", 'Equipment Information'!A372)</f>
        <v/>
      </c>
      <c r="B372" t="str">
        <f>IF('Equipment Information'!B372="","", 'Equipment Information'!B372)</f>
        <v/>
      </c>
      <c r="C372" t="str">
        <f>IF('Equipment Information'!C372="","", 'Equipment Information'!C372)</f>
        <v/>
      </c>
      <c r="D372" t="str">
        <f>IF('Equipment Information'!D372="","", 'Equipment Information'!D372)</f>
        <v/>
      </c>
      <c r="E372" t="str">
        <f>IF(A372="","", IFERROR(VLOOKUP(A372, 'Energized Data'!A:T, 20, FALSE), "N/A"))</f>
        <v/>
      </c>
      <c r="F372" t="str">
        <f>IF(A372="","", IFERROR(VLOOKUP(A372, Insulation!A:J, 9, FALSE), "N/A"))</f>
        <v/>
      </c>
      <c r="G372" t="str">
        <f>IF(A372="","", IFERROR(VLOOKUP(A372, DLRO!A:I, 8, FALSE), "N/A"))</f>
        <v/>
      </c>
      <c r="H372" t="str">
        <f>IF(A372="","", IFERROR(VLOOKUP(A372, Torque!A:I, 8, FALSE), "N/A"))</f>
        <v/>
      </c>
      <c r="I372" t="str">
        <f>IF(A372="","", IFERROR(VLOOKUP(A372, Infrared!A:G, 6, FALSE), "N/A"))</f>
        <v/>
      </c>
      <c r="J372" t="str">
        <f>IF(A372="","", IFERROR(VLOOKUP(A372, Ultrasonic!A:H, 7, FALSE), "N/A"))</f>
        <v/>
      </c>
      <c r="K372" t="str">
        <f>IF(A372="","", IFERROR(VLOOKUP(A372, 'Code Violations'!A:V, 22, FALSE), "N/A"))</f>
        <v/>
      </c>
      <c r="L372" t="str">
        <f t="shared" si="5"/>
        <v/>
      </c>
    </row>
    <row r="373" spans="1:12" x14ac:dyDescent="0.25">
      <c r="A373" t="str">
        <f>IF('Equipment Information'!A373="","", 'Equipment Information'!A373)</f>
        <v/>
      </c>
      <c r="B373" t="str">
        <f>IF('Equipment Information'!B373="","", 'Equipment Information'!B373)</f>
        <v/>
      </c>
      <c r="C373" t="str">
        <f>IF('Equipment Information'!C373="","", 'Equipment Information'!C373)</f>
        <v/>
      </c>
      <c r="D373" t="str">
        <f>IF('Equipment Information'!D373="","", 'Equipment Information'!D373)</f>
        <v/>
      </c>
      <c r="E373" t="str">
        <f>IF(A373="","", IFERROR(VLOOKUP(A373, 'Energized Data'!A:T, 20, FALSE), "N/A"))</f>
        <v/>
      </c>
      <c r="F373" t="str">
        <f>IF(A373="","", IFERROR(VLOOKUP(A373, Insulation!A:J, 9, FALSE), "N/A"))</f>
        <v/>
      </c>
      <c r="G373" t="str">
        <f>IF(A373="","", IFERROR(VLOOKUP(A373, DLRO!A:I, 8, FALSE), "N/A"))</f>
        <v/>
      </c>
      <c r="H373" t="str">
        <f>IF(A373="","", IFERROR(VLOOKUP(A373, Torque!A:I, 8, FALSE), "N/A"))</f>
        <v/>
      </c>
      <c r="I373" t="str">
        <f>IF(A373="","", IFERROR(VLOOKUP(A373, Infrared!A:G, 6, FALSE), "N/A"))</f>
        <v/>
      </c>
      <c r="J373" t="str">
        <f>IF(A373="","", IFERROR(VLOOKUP(A373, Ultrasonic!A:H, 7, FALSE), "N/A"))</f>
        <v/>
      </c>
      <c r="K373" t="str">
        <f>IF(A373="","", IFERROR(VLOOKUP(A373, 'Code Violations'!A:V, 22, FALSE), "N/A"))</f>
        <v/>
      </c>
      <c r="L373" t="str">
        <f t="shared" si="5"/>
        <v/>
      </c>
    </row>
    <row r="374" spans="1:12" x14ac:dyDescent="0.25">
      <c r="A374" t="str">
        <f>IF('Equipment Information'!A374="","", 'Equipment Information'!A374)</f>
        <v/>
      </c>
      <c r="B374" t="str">
        <f>IF('Equipment Information'!B374="","", 'Equipment Information'!B374)</f>
        <v/>
      </c>
      <c r="C374" t="str">
        <f>IF('Equipment Information'!C374="","", 'Equipment Information'!C374)</f>
        <v/>
      </c>
      <c r="D374" t="str">
        <f>IF('Equipment Information'!D374="","", 'Equipment Information'!D374)</f>
        <v/>
      </c>
      <c r="E374" t="str">
        <f>IF(A374="","", IFERROR(VLOOKUP(A374, 'Energized Data'!A:T, 20, FALSE), "N/A"))</f>
        <v/>
      </c>
      <c r="F374" t="str">
        <f>IF(A374="","", IFERROR(VLOOKUP(A374, Insulation!A:J, 9, FALSE), "N/A"))</f>
        <v/>
      </c>
      <c r="G374" t="str">
        <f>IF(A374="","", IFERROR(VLOOKUP(A374, DLRO!A:I, 8, FALSE), "N/A"))</f>
        <v/>
      </c>
      <c r="H374" t="str">
        <f>IF(A374="","", IFERROR(VLOOKUP(A374, Torque!A:I, 8, FALSE), "N/A"))</f>
        <v/>
      </c>
      <c r="I374" t="str">
        <f>IF(A374="","", IFERROR(VLOOKUP(A374, Infrared!A:G, 6, FALSE), "N/A"))</f>
        <v/>
      </c>
      <c r="J374" t="str">
        <f>IF(A374="","", IFERROR(VLOOKUP(A374, Ultrasonic!A:H, 7, FALSE), "N/A"))</f>
        <v/>
      </c>
      <c r="K374" t="str">
        <f>IF(A374="","", IFERROR(VLOOKUP(A374, 'Code Violations'!A:V, 22, FALSE), "N/A"))</f>
        <v/>
      </c>
      <c r="L374" t="str">
        <f t="shared" si="5"/>
        <v/>
      </c>
    </row>
    <row r="375" spans="1:12" x14ac:dyDescent="0.25">
      <c r="A375" t="str">
        <f>IF('Equipment Information'!A375="","", 'Equipment Information'!A375)</f>
        <v/>
      </c>
      <c r="B375" t="str">
        <f>IF('Equipment Information'!B375="","", 'Equipment Information'!B375)</f>
        <v/>
      </c>
      <c r="C375" t="str">
        <f>IF('Equipment Information'!C375="","", 'Equipment Information'!C375)</f>
        <v/>
      </c>
      <c r="D375" t="str">
        <f>IF('Equipment Information'!D375="","", 'Equipment Information'!D375)</f>
        <v/>
      </c>
      <c r="E375" t="str">
        <f>IF(A375="","", IFERROR(VLOOKUP(A375, 'Energized Data'!A:T, 20, FALSE), "N/A"))</f>
        <v/>
      </c>
      <c r="F375" t="str">
        <f>IF(A375="","", IFERROR(VLOOKUP(A375, Insulation!A:J, 9, FALSE), "N/A"))</f>
        <v/>
      </c>
      <c r="G375" t="str">
        <f>IF(A375="","", IFERROR(VLOOKUP(A375, DLRO!A:I, 8, FALSE), "N/A"))</f>
        <v/>
      </c>
      <c r="H375" t="str">
        <f>IF(A375="","", IFERROR(VLOOKUP(A375, Torque!A:I, 8, FALSE), "N/A"))</f>
        <v/>
      </c>
      <c r="I375" t="str">
        <f>IF(A375="","", IFERROR(VLOOKUP(A375, Infrared!A:G, 6, FALSE), "N/A"))</f>
        <v/>
      </c>
      <c r="J375" t="str">
        <f>IF(A375="","", IFERROR(VLOOKUP(A375, Ultrasonic!A:H, 7, FALSE), "N/A"))</f>
        <v/>
      </c>
      <c r="K375" t="str">
        <f>IF(A375="","", IFERROR(VLOOKUP(A375, 'Code Violations'!A:V, 22, FALSE), "N/A"))</f>
        <v/>
      </c>
      <c r="L375" t="str">
        <f t="shared" si="5"/>
        <v/>
      </c>
    </row>
    <row r="376" spans="1:12" x14ac:dyDescent="0.25">
      <c r="A376" t="str">
        <f>IF('Equipment Information'!A376="","", 'Equipment Information'!A376)</f>
        <v/>
      </c>
      <c r="B376" t="str">
        <f>IF('Equipment Information'!B376="","", 'Equipment Information'!B376)</f>
        <v/>
      </c>
      <c r="C376" t="str">
        <f>IF('Equipment Information'!C376="","", 'Equipment Information'!C376)</f>
        <v/>
      </c>
      <c r="D376" t="str">
        <f>IF('Equipment Information'!D376="","", 'Equipment Information'!D376)</f>
        <v/>
      </c>
      <c r="E376" t="str">
        <f>IF(A376="","", IFERROR(VLOOKUP(A376, 'Energized Data'!A:T, 20, FALSE), "N/A"))</f>
        <v/>
      </c>
      <c r="F376" t="str">
        <f>IF(A376="","", IFERROR(VLOOKUP(A376, Insulation!A:J, 9, FALSE), "N/A"))</f>
        <v/>
      </c>
      <c r="G376" t="str">
        <f>IF(A376="","", IFERROR(VLOOKUP(A376, DLRO!A:I, 8, FALSE), "N/A"))</f>
        <v/>
      </c>
      <c r="H376" t="str">
        <f>IF(A376="","", IFERROR(VLOOKUP(A376, Torque!A:I, 8, FALSE), "N/A"))</f>
        <v/>
      </c>
      <c r="I376" t="str">
        <f>IF(A376="","", IFERROR(VLOOKUP(A376, Infrared!A:G, 6, FALSE), "N/A"))</f>
        <v/>
      </c>
      <c r="J376" t="str">
        <f>IF(A376="","", IFERROR(VLOOKUP(A376, Ultrasonic!A:H, 7, FALSE), "N/A"))</f>
        <v/>
      </c>
      <c r="K376" t="str">
        <f>IF(A376="","", IFERROR(VLOOKUP(A376, 'Code Violations'!A:V, 22, FALSE), "N/A"))</f>
        <v/>
      </c>
      <c r="L376" t="str">
        <f t="shared" si="5"/>
        <v/>
      </c>
    </row>
    <row r="377" spans="1:12" x14ac:dyDescent="0.25">
      <c r="A377" t="str">
        <f>IF('Equipment Information'!A377="","", 'Equipment Information'!A377)</f>
        <v/>
      </c>
      <c r="B377" t="str">
        <f>IF('Equipment Information'!B377="","", 'Equipment Information'!B377)</f>
        <v/>
      </c>
      <c r="C377" t="str">
        <f>IF('Equipment Information'!C377="","", 'Equipment Information'!C377)</f>
        <v/>
      </c>
      <c r="D377" t="str">
        <f>IF('Equipment Information'!D377="","", 'Equipment Information'!D377)</f>
        <v/>
      </c>
      <c r="E377" t="str">
        <f>IF(A377="","", IFERROR(VLOOKUP(A377, 'Energized Data'!A:T, 20, FALSE), "N/A"))</f>
        <v/>
      </c>
      <c r="F377" t="str">
        <f>IF(A377="","", IFERROR(VLOOKUP(A377, Insulation!A:J, 9, FALSE), "N/A"))</f>
        <v/>
      </c>
      <c r="G377" t="str">
        <f>IF(A377="","", IFERROR(VLOOKUP(A377, DLRO!A:I, 8, FALSE), "N/A"))</f>
        <v/>
      </c>
      <c r="H377" t="str">
        <f>IF(A377="","", IFERROR(VLOOKUP(A377, Torque!A:I, 8, FALSE), "N/A"))</f>
        <v/>
      </c>
      <c r="I377" t="str">
        <f>IF(A377="","", IFERROR(VLOOKUP(A377, Infrared!A:G, 6, FALSE), "N/A"))</f>
        <v/>
      </c>
      <c r="J377" t="str">
        <f>IF(A377="","", IFERROR(VLOOKUP(A377, Ultrasonic!A:H, 7, FALSE), "N/A"))</f>
        <v/>
      </c>
      <c r="K377" t="str">
        <f>IF(A377="","", IFERROR(VLOOKUP(A377, 'Code Violations'!A:V, 22, FALSE), "N/A"))</f>
        <v/>
      </c>
      <c r="L377" t="str">
        <f t="shared" si="5"/>
        <v/>
      </c>
    </row>
    <row r="378" spans="1:12" x14ac:dyDescent="0.25">
      <c r="A378" t="str">
        <f>IF('Equipment Information'!A378="","", 'Equipment Information'!A378)</f>
        <v/>
      </c>
      <c r="B378" t="str">
        <f>IF('Equipment Information'!B378="","", 'Equipment Information'!B378)</f>
        <v/>
      </c>
      <c r="C378" t="str">
        <f>IF('Equipment Information'!C378="","", 'Equipment Information'!C378)</f>
        <v/>
      </c>
      <c r="D378" t="str">
        <f>IF('Equipment Information'!D378="","", 'Equipment Information'!D378)</f>
        <v/>
      </c>
      <c r="E378" t="str">
        <f>IF(A378="","", IFERROR(VLOOKUP(A378, 'Energized Data'!A:T, 20, FALSE), "N/A"))</f>
        <v/>
      </c>
      <c r="F378" t="str">
        <f>IF(A378="","", IFERROR(VLOOKUP(A378, Insulation!A:J, 9, FALSE), "N/A"))</f>
        <v/>
      </c>
      <c r="G378" t="str">
        <f>IF(A378="","", IFERROR(VLOOKUP(A378, DLRO!A:I, 8, FALSE), "N/A"))</f>
        <v/>
      </c>
      <c r="H378" t="str">
        <f>IF(A378="","", IFERROR(VLOOKUP(A378, Torque!A:I, 8, FALSE), "N/A"))</f>
        <v/>
      </c>
      <c r="I378" t="str">
        <f>IF(A378="","", IFERROR(VLOOKUP(A378, Infrared!A:G, 6, FALSE), "N/A"))</f>
        <v/>
      </c>
      <c r="J378" t="str">
        <f>IF(A378="","", IFERROR(VLOOKUP(A378, Ultrasonic!A:H, 7, FALSE), "N/A"))</f>
        <v/>
      </c>
      <c r="K378" t="str">
        <f>IF(A378="","", IFERROR(VLOOKUP(A378, 'Code Violations'!A:V, 22, FALSE), "N/A"))</f>
        <v/>
      </c>
      <c r="L378" t="str">
        <f t="shared" si="5"/>
        <v/>
      </c>
    </row>
    <row r="379" spans="1:12" x14ac:dyDescent="0.25">
      <c r="A379" t="str">
        <f>IF('Equipment Information'!A379="","", 'Equipment Information'!A379)</f>
        <v/>
      </c>
      <c r="B379" t="str">
        <f>IF('Equipment Information'!B379="","", 'Equipment Information'!B379)</f>
        <v/>
      </c>
      <c r="C379" t="str">
        <f>IF('Equipment Information'!C379="","", 'Equipment Information'!C379)</f>
        <v/>
      </c>
      <c r="D379" t="str">
        <f>IF('Equipment Information'!D379="","", 'Equipment Information'!D379)</f>
        <v/>
      </c>
      <c r="E379" t="str">
        <f>IF(A379="","", IFERROR(VLOOKUP(A379, 'Energized Data'!A:T, 20, FALSE), "N/A"))</f>
        <v/>
      </c>
      <c r="F379" t="str">
        <f>IF(A379="","", IFERROR(VLOOKUP(A379, Insulation!A:J, 9, FALSE), "N/A"))</f>
        <v/>
      </c>
      <c r="G379" t="str">
        <f>IF(A379="","", IFERROR(VLOOKUP(A379, DLRO!A:I, 8, FALSE), "N/A"))</f>
        <v/>
      </c>
      <c r="H379" t="str">
        <f>IF(A379="","", IFERROR(VLOOKUP(A379, Torque!A:I, 8, FALSE), "N/A"))</f>
        <v/>
      </c>
      <c r="I379" t="str">
        <f>IF(A379="","", IFERROR(VLOOKUP(A379, Infrared!A:G, 6, FALSE), "N/A"))</f>
        <v/>
      </c>
      <c r="J379" t="str">
        <f>IF(A379="","", IFERROR(VLOOKUP(A379, Ultrasonic!A:H, 7, FALSE), "N/A"))</f>
        <v/>
      </c>
      <c r="K379" t="str">
        <f>IF(A379="","", IFERROR(VLOOKUP(A379, 'Code Violations'!A:V, 22, FALSE), "N/A"))</f>
        <v/>
      </c>
      <c r="L379" t="str">
        <f t="shared" si="5"/>
        <v/>
      </c>
    </row>
    <row r="380" spans="1:12" x14ac:dyDescent="0.25">
      <c r="A380" t="str">
        <f>IF('Equipment Information'!A380="","", 'Equipment Information'!A380)</f>
        <v/>
      </c>
      <c r="B380" t="str">
        <f>IF('Equipment Information'!B380="","", 'Equipment Information'!B380)</f>
        <v/>
      </c>
      <c r="C380" t="str">
        <f>IF('Equipment Information'!C380="","", 'Equipment Information'!C380)</f>
        <v/>
      </c>
      <c r="D380" t="str">
        <f>IF('Equipment Information'!D380="","", 'Equipment Information'!D380)</f>
        <v/>
      </c>
      <c r="E380" t="str">
        <f>IF(A380="","", IFERROR(VLOOKUP(A380, 'Energized Data'!A:T, 20, FALSE), "N/A"))</f>
        <v/>
      </c>
      <c r="F380" t="str">
        <f>IF(A380="","", IFERROR(VLOOKUP(A380, Insulation!A:J, 9, FALSE), "N/A"))</f>
        <v/>
      </c>
      <c r="G380" t="str">
        <f>IF(A380="","", IFERROR(VLOOKUP(A380, DLRO!A:I, 8, FALSE), "N/A"))</f>
        <v/>
      </c>
      <c r="H380" t="str">
        <f>IF(A380="","", IFERROR(VLOOKUP(A380, Torque!A:I, 8, FALSE), "N/A"))</f>
        <v/>
      </c>
      <c r="I380" t="str">
        <f>IF(A380="","", IFERROR(VLOOKUP(A380, Infrared!A:G, 6, FALSE), "N/A"))</f>
        <v/>
      </c>
      <c r="J380" t="str">
        <f>IF(A380="","", IFERROR(VLOOKUP(A380, Ultrasonic!A:H, 7, FALSE), "N/A"))</f>
        <v/>
      </c>
      <c r="K380" t="str">
        <f>IF(A380="","", IFERROR(VLOOKUP(A380, 'Code Violations'!A:V, 22, FALSE), "N/A"))</f>
        <v/>
      </c>
      <c r="L380" t="str">
        <f t="shared" si="5"/>
        <v/>
      </c>
    </row>
    <row r="381" spans="1:12" x14ac:dyDescent="0.25">
      <c r="A381" t="str">
        <f>IF('Equipment Information'!A381="","", 'Equipment Information'!A381)</f>
        <v/>
      </c>
      <c r="B381" t="str">
        <f>IF('Equipment Information'!B381="","", 'Equipment Information'!B381)</f>
        <v/>
      </c>
      <c r="C381" t="str">
        <f>IF('Equipment Information'!C381="","", 'Equipment Information'!C381)</f>
        <v/>
      </c>
      <c r="D381" t="str">
        <f>IF('Equipment Information'!D381="","", 'Equipment Information'!D381)</f>
        <v/>
      </c>
      <c r="E381" t="str">
        <f>IF(A381="","", IFERROR(VLOOKUP(A381, 'Energized Data'!A:T, 20, FALSE), "N/A"))</f>
        <v/>
      </c>
      <c r="F381" t="str">
        <f>IF(A381="","", IFERROR(VLOOKUP(A381, Insulation!A:J, 9, FALSE), "N/A"))</f>
        <v/>
      </c>
      <c r="G381" t="str">
        <f>IF(A381="","", IFERROR(VLOOKUP(A381, DLRO!A:I, 8, FALSE), "N/A"))</f>
        <v/>
      </c>
      <c r="H381" t="str">
        <f>IF(A381="","", IFERROR(VLOOKUP(A381, Torque!A:I, 8, FALSE), "N/A"))</f>
        <v/>
      </c>
      <c r="I381" t="str">
        <f>IF(A381="","", IFERROR(VLOOKUP(A381, Infrared!A:G, 6, FALSE), "N/A"))</f>
        <v/>
      </c>
      <c r="J381" t="str">
        <f>IF(A381="","", IFERROR(VLOOKUP(A381, Ultrasonic!A:H, 7, FALSE), "N/A"))</f>
        <v/>
      </c>
      <c r="K381" t="str">
        <f>IF(A381="","", IFERROR(VLOOKUP(A381, 'Code Violations'!A:V, 22, FALSE), "N/A"))</f>
        <v/>
      </c>
      <c r="L381" t="str">
        <f t="shared" si="5"/>
        <v/>
      </c>
    </row>
    <row r="382" spans="1:12" x14ac:dyDescent="0.25">
      <c r="A382" t="str">
        <f>IF('Equipment Information'!A382="","", 'Equipment Information'!A382)</f>
        <v/>
      </c>
      <c r="B382" t="str">
        <f>IF('Equipment Information'!B382="","", 'Equipment Information'!B382)</f>
        <v/>
      </c>
      <c r="C382" t="str">
        <f>IF('Equipment Information'!C382="","", 'Equipment Information'!C382)</f>
        <v/>
      </c>
      <c r="D382" t="str">
        <f>IF('Equipment Information'!D382="","", 'Equipment Information'!D382)</f>
        <v/>
      </c>
      <c r="E382" t="str">
        <f>IF(A382="","", IFERROR(VLOOKUP(A382, 'Energized Data'!A:T, 20, FALSE), "N/A"))</f>
        <v/>
      </c>
      <c r="F382" t="str">
        <f>IF(A382="","", IFERROR(VLOOKUP(A382, Insulation!A:J, 9, FALSE), "N/A"))</f>
        <v/>
      </c>
      <c r="G382" t="str">
        <f>IF(A382="","", IFERROR(VLOOKUP(A382, DLRO!A:I, 8, FALSE), "N/A"))</f>
        <v/>
      </c>
      <c r="H382" t="str">
        <f>IF(A382="","", IFERROR(VLOOKUP(A382, Torque!A:I, 8, FALSE), "N/A"))</f>
        <v/>
      </c>
      <c r="I382" t="str">
        <f>IF(A382="","", IFERROR(VLOOKUP(A382, Infrared!A:G, 6, FALSE), "N/A"))</f>
        <v/>
      </c>
      <c r="J382" t="str">
        <f>IF(A382="","", IFERROR(VLOOKUP(A382, Ultrasonic!A:H, 7, FALSE), "N/A"))</f>
        <v/>
      </c>
      <c r="K382" t="str">
        <f>IF(A382="","", IFERROR(VLOOKUP(A382, 'Code Violations'!A:V, 22, FALSE), "N/A"))</f>
        <v/>
      </c>
      <c r="L382" t="str">
        <f t="shared" si="5"/>
        <v/>
      </c>
    </row>
    <row r="383" spans="1:12" x14ac:dyDescent="0.25">
      <c r="A383" t="str">
        <f>IF('Equipment Information'!A383="","", 'Equipment Information'!A383)</f>
        <v/>
      </c>
      <c r="B383" t="str">
        <f>IF('Equipment Information'!B383="","", 'Equipment Information'!B383)</f>
        <v/>
      </c>
      <c r="C383" t="str">
        <f>IF('Equipment Information'!C383="","", 'Equipment Information'!C383)</f>
        <v/>
      </c>
      <c r="D383" t="str">
        <f>IF('Equipment Information'!D383="","", 'Equipment Information'!D383)</f>
        <v/>
      </c>
      <c r="E383" t="str">
        <f>IF(A383="","", IFERROR(VLOOKUP(A383, 'Energized Data'!A:T, 20, FALSE), "N/A"))</f>
        <v/>
      </c>
      <c r="F383" t="str">
        <f>IF(A383="","", IFERROR(VLOOKUP(A383, Insulation!A:J, 9, FALSE), "N/A"))</f>
        <v/>
      </c>
      <c r="G383" t="str">
        <f>IF(A383="","", IFERROR(VLOOKUP(A383, DLRO!A:I, 8, FALSE), "N/A"))</f>
        <v/>
      </c>
      <c r="H383" t="str">
        <f>IF(A383="","", IFERROR(VLOOKUP(A383, Torque!A:I, 8, FALSE), "N/A"))</f>
        <v/>
      </c>
      <c r="I383" t="str">
        <f>IF(A383="","", IFERROR(VLOOKUP(A383, Infrared!A:G, 6, FALSE), "N/A"))</f>
        <v/>
      </c>
      <c r="J383" t="str">
        <f>IF(A383="","", IFERROR(VLOOKUP(A383, Ultrasonic!A:H, 7, FALSE), "N/A"))</f>
        <v/>
      </c>
      <c r="K383" t="str">
        <f>IF(A383="","", IFERROR(VLOOKUP(A383, 'Code Violations'!A:V, 22, FALSE), "N/A"))</f>
        <v/>
      </c>
      <c r="L383" t="str">
        <f t="shared" si="5"/>
        <v/>
      </c>
    </row>
    <row r="384" spans="1:12" x14ac:dyDescent="0.25">
      <c r="A384" t="str">
        <f>IF('Equipment Information'!A384="","", 'Equipment Information'!A384)</f>
        <v/>
      </c>
      <c r="B384" t="str">
        <f>IF('Equipment Information'!B384="","", 'Equipment Information'!B384)</f>
        <v/>
      </c>
      <c r="C384" t="str">
        <f>IF('Equipment Information'!C384="","", 'Equipment Information'!C384)</f>
        <v/>
      </c>
      <c r="D384" t="str">
        <f>IF('Equipment Information'!D384="","", 'Equipment Information'!D384)</f>
        <v/>
      </c>
      <c r="E384" t="str">
        <f>IF(A384="","", IFERROR(VLOOKUP(A384, 'Energized Data'!A:T, 20, FALSE), "N/A"))</f>
        <v/>
      </c>
      <c r="F384" t="str">
        <f>IF(A384="","", IFERROR(VLOOKUP(A384, Insulation!A:J, 9, FALSE), "N/A"))</f>
        <v/>
      </c>
      <c r="G384" t="str">
        <f>IF(A384="","", IFERROR(VLOOKUP(A384, DLRO!A:I, 8, FALSE), "N/A"))</f>
        <v/>
      </c>
      <c r="H384" t="str">
        <f>IF(A384="","", IFERROR(VLOOKUP(A384, Torque!A:I, 8, FALSE), "N/A"))</f>
        <v/>
      </c>
      <c r="I384" t="str">
        <f>IF(A384="","", IFERROR(VLOOKUP(A384, Infrared!A:G, 6, FALSE), "N/A"))</f>
        <v/>
      </c>
      <c r="J384" t="str">
        <f>IF(A384="","", IFERROR(VLOOKUP(A384, Ultrasonic!A:H, 7, FALSE), "N/A"))</f>
        <v/>
      </c>
      <c r="K384" t="str">
        <f>IF(A384="","", IFERROR(VLOOKUP(A384, 'Code Violations'!A:V, 22, FALSE), "N/A"))</f>
        <v/>
      </c>
      <c r="L384" t="str">
        <f t="shared" si="5"/>
        <v/>
      </c>
    </row>
    <row r="385" spans="1:12" x14ac:dyDescent="0.25">
      <c r="A385" t="str">
        <f>IF('Equipment Information'!A385="","", 'Equipment Information'!A385)</f>
        <v/>
      </c>
      <c r="B385" t="str">
        <f>IF('Equipment Information'!B385="","", 'Equipment Information'!B385)</f>
        <v/>
      </c>
      <c r="C385" t="str">
        <f>IF('Equipment Information'!C385="","", 'Equipment Information'!C385)</f>
        <v/>
      </c>
      <c r="D385" t="str">
        <f>IF('Equipment Information'!D385="","", 'Equipment Information'!D385)</f>
        <v/>
      </c>
      <c r="E385" t="str">
        <f>IF(A385="","", IFERROR(VLOOKUP(A385, 'Energized Data'!A:T, 20, FALSE), "N/A"))</f>
        <v/>
      </c>
      <c r="F385" t="str">
        <f>IF(A385="","", IFERROR(VLOOKUP(A385, Insulation!A:J, 9, FALSE), "N/A"))</f>
        <v/>
      </c>
      <c r="G385" t="str">
        <f>IF(A385="","", IFERROR(VLOOKUP(A385, DLRO!A:I, 8, FALSE), "N/A"))</f>
        <v/>
      </c>
      <c r="H385" t="str">
        <f>IF(A385="","", IFERROR(VLOOKUP(A385, Torque!A:I, 8, FALSE), "N/A"))</f>
        <v/>
      </c>
      <c r="I385" t="str">
        <f>IF(A385="","", IFERROR(VLOOKUP(A385, Infrared!A:G, 6, FALSE), "N/A"))</f>
        <v/>
      </c>
      <c r="J385" t="str">
        <f>IF(A385="","", IFERROR(VLOOKUP(A385, Ultrasonic!A:H, 7, FALSE), "N/A"))</f>
        <v/>
      </c>
      <c r="K385" t="str">
        <f>IF(A385="","", IFERROR(VLOOKUP(A385, 'Code Violations'!A:V, 22, FALSE), "N/A"))</f>
        <v/>
      </c>
      <c r="L385" t="str">
        <f t="shared" si="5"/>
        <v/>
      </c>
    </row>
    <row r="386" spans="1:12" x14ac:dyDescent="0.25">
      <c r="A386" t="str">
        <f>IF('Equipment Information'!A386="","", 'Equipment Information'!A386)</f>
        <v/>
      </c>
      <c r="B386" t="str">
        <f>IF('Equipment Information'!B386="","", 'Equipment Information'!B386)</f>
        <v/>
      </c>
      <c r="C386" t="str">
        <f>IF('Equipment Information'!C386="","", 'Equipment Information'!C386)</f>
        <v/>
      </c>
      <c r="D386" t="str">
        <f>IF('Equipment Information'!D386="","", 'Equipment Information'!D386)</f>
        <v/>
      </c>
      <c r="E386" t="str">
        <f>IF(A386="","", IFERROR(VLOOKUP(A386, 'Energized Data'!A:T, 20, FALSE), "N/A"))</f>
        <v/>
      </c>
      <c r="F386" t="str">
        <f>IF(A386="","", IFERROR(VLOOKUP(A386, Insulation!A:J, 9, FALSE), "N/A"))</f>
        <v/>
      </c>
      <c r="G386" t="str">
        <f>IF(A386="","", IFERROR(VLOOKUP(A386, DLRO!A:I, 8, FALSE), "N/A"))</f>
        <v/>
      </c>
      <c r="H386" t="str">
        <f>IF(A386="","", IFERROR(VLOOKUP(A386, Torque!A:I, 8, FALSE), "N/A"))</f>
        <v/>
      </c>
      <c r="I386" t="str">
        <f>IF(A386="","", IFERROR(VLOOKUP(A386, Infrared!A:G, 6, FALSE), "N/A"))</f>
        <v/>
      </c>
      <c r="J386" t="str">
        <f>IF(A386="","", IFERROR(VLOOKUP(A386, Ultrasonic!A:H, 7, FALSE), "N/A"))</f>
        <v/>
      </c>
      <c r="K386" t="str">
        <f>IF(A386="","", IFERROR(VLOOKUP(A386, 'Code Violations'!A:V, 22, FALSE), "N/A"))</f>
        <v/>
      </c>
      <c r="L386" t="str">
        <f t="shared" ref="L386:L449" si="6">IF(A386="","", IF(COUNTIF(E386:K386, "FAIL")&gt;0, "FAIL", "PASS"))</f>
        <v/>
      </c>
    </row>
    <row r="387" spans="1:12" x14ac:dyDescent="0.25">
      <c r="A387" t="str">
        <f>IF('Equipment Information'!A387="","", 'Equipment Information'!A387)</f>
        <v/>
      </c>
      <c r="B387" t="str">
        <f>IF('Equipment Information'!B387="","", 'Equipment Information'!B387)</f>
        <v/>
      </c>
      <c r="C387" t="str">
        <f>IF('Equipment Information'!C387="","", 'Equipment Information'!C387)</f>
        <v/>
      </c>
      <c r="D387" t="str">
        <f>IF('Equipment Information'!D387="","", 'Equipment Information'!D387)</f>
        <v/>
      </c>
      <c r="E387" t="str">
        <f>IF(A387="","", IFERROR(VLOOKUP(A387, 'Energized Data'!A:T, 20, FALSE), "N/A"))</f>
        <v/>
      </c>
      <c r="F387" t="str">
        <f>IF(A387="","", IFERROR(VLOOKUP(A387, Insulation!A:J, 9, FALSE), "N/A"))</f>
        <v/>
      </c>
      <c r="G387" t="str">
        <f>IF(A387="","", IFERROR(VLOOKUP(A387, DLRO!A:I, 8, FALSE), "N/A"))</f>
        <v/>
      </c>
      <c r="H387" t="str">
        <f>IF(A387="","", IFERROR(VLOOKUP(A387, Torque!A:I, 8, FALSE), "N/A"))</f>
        <v/>
      </c>
      <c r="I387" t="str">
        <f>IF(A387="","", IFERROR(VLOOKUP(A387, Infrared!A:G, 6, FALSE), "N/A"))</f>
        <v/>
      </c>
      <c r="J387" t="str">
        <f>IF(A387="","", IFERROR(VLOOKUP(A387, Ultrasonic!A:H, 7, FALSE), "N/A"))</f>
        <v/>
      </c>
      <c r="K387" t="str">
        <f>IF(A387="","", IFERROR(VLOOKUP(A387, 'Code Violations'!A:V, 22, FALSE), "N/A"))</f>
        <v/>
      </c>
      <c r="L387" t="str">
        <f t="shared" si="6"/>
        <v/>
      </c>
    </row>
    <row r="388" spans="1:12" x14ac:dyDescent="0.25">
      <c r="A388" t="str">
        <f>IF('Equipment Information'!A388="","", 'Equipment Information'!A388)</f>
        <v/>
      </c>
      <c r="B388" t="str">
        <f>IF('Equipment Information'!B388="","", 'Equipment Information'!B388)</f>
        <v/>
      </c>
      <c r="C388" t="str">
        <f>IF('Equipment Information'!C388="","", 'Equipment Information'!C388)</f>
        <v/>
      </c>
      <c r="D388" t="str">
        <f>IF('Equipment Information'!D388="","", 'Equipment Information'!D388)</f>
        <v/>
      </c>
      <c r="E388" t="str">
        <f>IF(A388="","", IFERROR(VLOOKUP(A388, 'Energized Data'!A:T, 20, FALSE), "N/A"))</f>
        <v/>
      </c>
      <c r="F388" t="str">
        <f>IF(A388="","", IFERROR(VLOOKUP(A388, Insulation!A:J, 9, FALSE), "N/A"))</f>
        <v/>
      </c>
      <c r="G388" t="str">
        <f>IF(A388="","", IFERROR(VLOOKUP(A388, DLRO!A:I, 8, FALSE), "N/A"))</f>
        <v/>
      </c>
      <c r="H388" t="str">
        <f>IF(A388="","", IFERROR(VLOOKUP(A388, Torque!A:I, 8, FALSE), "N/A"))</f>
        <v/>
      </c>
      <c r="I388" t="str">
        <f>IF(A388="","", IFERROR(VLOOKUP(A388, Infrared!A:G, 6, FALSE), "N/A"))</f>
        <v/>
      </c>
      <c r="J388" t="str">
        <f>IF(A388="","", IFERROR(VLOOKUP(A388, Ultrasonic!A:H, 7, FALSE), "N/A"))</f>
        <v/>
      </c>
      <c r="K388" t="str">
        <f>IF(A388="","", IFERROR(VLOOKUP(A388, 'Code Violations'!A:V, 22, FALSE), "N/A"))</f>
        <v/>
      </c>
      <c r="L388" t="str">
        <f t="shared" si="6"/>
        <v/>
      </c>
    </row>
    <row r="389" spans="1:12" x14ac:dyDescent="0.25">
      <c r="A389" t="str">
        <f>IF('Equipment Information'!A389="","", 'Equipment Information'!A389)</f>
        <v/>
      </c>
      <c r="B389" t="str">
        <f>IF('Equipment Information'!B389="","", 'Equipment Information'!B389)</f>
        <v/>
      </c>
      <c r="C389" t="str">
        <f>IF('Equipment Information'!C389="","", 'Equipment Information'!C389)</f>
        <v/>
      </c>
      <c r="D389" t="str">
        <f>IF('Equipment Information'!D389="","", 'Equipment Information'!D389)</f>
        <v/>
      </c>
      <c r="E389" t="str">
        <f>IF(A389="","", IFERROR(VLOOKUP(A389, 'Energized Data'!A:T, 20, FALSE), "N/A"))</f>
        <v/>
      </c>
      <c r="F389" t="str">
        <f>IF(A389="","", IFERROR(VLOOKUP(A389, Insulation!A:J, 9, FALSE), "N/A"))</f>
        <v/>
      </c>
      <c r="G389" t="str">
        <f>IF(A389="","", IFERROR(VLOOKUP(A389, DLRO!A:I, 8, FALSE), "N/A"))</f>
        <v/>
      </c>
      <c r="H389" t="str">
        <f>IF(A389="","", IFERROR(VLOOKUP(A389, Torque!A:I, 8, FALSE), "N/A"))</f>
        <v/>
      </c>
      <c r="I389" t="str">
        <f>IF(A389="","", IFERROR(VLOOKUP(A389, Infrared!A:G, 6, FALSE), "N/A"))</f>
        <v/>
      </c>
      <c r="J389" t="str">
        <f>IF(A389="","", IFERROR(VLOOKUP(A389, Ultrasonic!A:H, 7, FALSE), "N/A"))</f>
        <v/>
      </c>
      <c r="K389" t="str">
        <f>IF(A389="","", IFERROR(VLOOKUP(A389, 'Code Violations'!A:V, 22, FALSE), "N/A"))</f>
        <v/>
      </c>
      <c r="L389" t="str">
        <f t="shared" si="6"/>
        <v/>
      </c>
    </row>
    <row r="390" spans="1:12" x14ac:dyDescent="0.25">
      <c r="A390" t="str">
        <f>IF('Equipment Information'!A390="","", 'Equipment Information'!A390)</f>
        <v/>
      </c>
      <c r="B390" t="str">
        <f>IF('Equipment Information'!B390="","", 'Equipment Information'!B390)</f>
        <v/>
      </c>
      <c r="C390" t="str">
        <f>IF('Equipment Information'!C390="","", 'Equipment Information'!C390)</f>
        <v/>
      </c>
      <c r="D390" t="str">
        <f>IF('Equipment Information'!D390="","", 'Equipment Information'!D390)</f>
        <v/>
      </c>
      <c r="E390" t="str">
        <f>IF(A390="","", IFERROR(VLOOKUP(A390, 'Energized Data'!A:T, 20, FALSE), "N/A"))</f>
        <v/>
      </c>
      <c r="F390" t="str">
        <f>IF(A390="","", IFERROR(VLOOKUP(A390, Insulation!A:J, 9, FALSE), "N/A"))</f>
        <v/>
      </c>
      <c r="G390" t="str">
        <f>IF(A390="","", IFERROR(VLOOKUP(A390, DLRO!A:I, 8, FALSE), "N/A"))</f>
        <v/>
      </c>
      <c r="H390" t="str">
        <f>IF(A390="","", IFERROR(VLOOKUP(A390, Torque!A:I, 8, FALSE), "N/A"))</f>
        <v/>
      </c>
      <c r="I390" t="str">
        <f>IF(A390="","", IFERROR(VLOOKUP(A390, Infrared!A:G, 6, FALSE), "N/A"))</f>
        <v/>
      </c>
      <c r="J390" t="str">
        <f>IF(A390="","", IFERROR(VLOOKUP(A390, Ultrasonic!A:H, 7, FALSE), "N/A"))</f>
        <v/>
      </c>
      <c r="K390" t="str">
        <f>IF(A390="","", IFERROR(VLOOKUP(A390, 'Code Violations'!A:V, 22, FALSE), "N/A"))</f>
        <v/>
      </c>
      <c r="L390" t="str">
        <f t="shared" si="6"/>
        <v/>
      </c>
    </row>
    <row r="391" spans="1:12" x14ac:dyDescent="0.25">
      <c r="A391" t="str">
        <f>IF('Equipment Information'!A391="","", 'Equipment Information'!A391)</f>
        <v/>
      </c>
      <c r="B391" t="str">
        <f>IF('Equipment Information'!B391="","", 'Equipment Information'!B391)</f>
        <v/>
      </c>
      <c r="C391" t="str">
        <f>IF('Equipment Information'!C391="","", 'Equipment Information'!C391)</f>
        <v/>
      </c>
      <c r="D391" t="str">
        <f>IF('Equipment Information'!D391="","", 'Equipment Information'!D391)</f>
        <v/>
      </c>
      <c r="E391" t="str">
        <f>IF(A391="","", IFERROR(VLOOKUP(A391, 'Energized Data'!A:T, 20, FALSE), "N/A"))</f>
        <v/>
      </c>
      <c r="F391" t="str">
        <f>IF(A391="","", IFERROR(VLOOKUP(A391, Insulation!A:J, 9, FALSE), "N/A"))</f>
        <v/>
      </c>
      <c r="G391" t="str">
        <f>IF(A391="","", IFERROR(VLOOKUP(A391, DLRO!A:I, 8, FALSE), "N/A"))</f>
        <v/>
      </c>
      <c r="H391" t="str">
        <f>IF(A391="","", IFERROR(VLOOKUP(A391, Torque!A:I, 8, FALSE), "N/A"))</f>
        <v/>
      </c>
      <c r="I391" t="str">
        <f>IF(A391="","", IFERROR(VLOOKUP(A391, Infrared!A:G, 6, FALSE), "N/A"))</f>
        <v/>
      </c>
      <c r="J391" t="str">
        <f>IF(A391="","", IFERROR(VLOOKUP(A391, Ultrasonic!A:H, 7, FALSE), "N/A"))</f>
        <v/>
      </c>
      <c r="K391" t="str">
        <f>IF(A391="","", IFERROR(VLOOKUP(A391, 'Code Violations'!A:V, 22, FALSE), "N/A"))</f>
        <v/>
      </c>
      <c r="L391" t="str">
        <f t="shared" si="6"/>
        <v/>
      </c>
    </row>
    <row r="392" spans="1:12" x14ac:dyDescent="0.25">
      <c r="A392" t="str">
        <f>IF('Equipment Information'!A392="","", 'Equipment Information'!A392)</f>
        <v/>
      </c>
      <c r="B392" t="str">
        <f>IF('Equipment Information'!B392="","", 'Equipment Information'!B392)</f>
        <v/>
      </c>
      <c r="C392" t="str">
        <f>IF('Equipment Information'!C392="","", 'Equipment Information'!C392)</f>
        <v/>
      </c>
      <c r="D392" t="str">
        <f>IF('Equipment Information'!D392="","", 'Equipment Information'!D392)</f>
        <v/>
      </c>
      <c r="E392" t="str">
        <f>IF(A392="","", IFERROR(VLOOKUP(A392, 'Energized Data'!A:T, 20, FALSE), "N/A"))</f>
        <v/>
      </c>
      <c r="F392" t="str">
        <f>IF(A392="","", IFERROR(VLOOKUP(A392, Insulation!A:J, 9, FALSE), "N/A"))</f>
        <v/>
      </c>
      <c r="G392" t="str">
        <f>IF(A392="","", IFERROR(VLOOKUP(A392, DLRO!A:I, 8, FALSE), "N/A"))</f>
        <v/>
      </c>
      <c r="H392" t="str">
        <f>IF(A392="","", IFERROR(VLOOKUP(A392, Torque!A:I, 8, FALSE), "N/A"))</f>
        <v/>
      </c>
      <c r="I392" t="str">
        <f>IF(A392="","", IFERROR(VLOOKUP(A392, Infrared!A:G, 6, FALSE), "N/A"))</f>
        <v/>
      </c>
      <c r="J392" t="str">
        <f>IF(A392="","", IFERROR(VLOOKUP(A392, Ultrasonic!A:H, 7, FALSE), "N/A"))</f>
        <v/>
      </c>
      <c r="K392" t="str">
        <f>IF(A392="","", IFERROR(VLOOKUP(A392, 'Code Violations'!A:V, 22, FALSE), "N/A"))</f>
        <v/>
      </c>
      <c r="L392" t="str">
        <f t="shared" si="6"/>
        <v/>
      </c>
    </row>
    <row r="393" spans="1:12" x14ac:dyDescent="0.25">
      <c r="A393" t="str">
        <f>IF('Equipment Information'!A393="","", 'Equipment Information'!A393)</f>
        <v/>
      </c>
      <c r="B393" t="str">
        <f>IF('Equipment Information'!B393="","", 'Equipment Information'!B393)</f>
        <v/>
      </c>
      <c r="C393" t="str">
        <f>IF('Equipment Information'!C393="","", 'Equipment Information'!C393)</f>
        <v/>
      </c>
      <c r="D393" t="str">
        <f>IF('Equipment Information'!D393="","", 'Equipment Information'!D393)</f>
        <v/>
      </c>
      <c r="E393" t="str">
        <f>IF(A393="","", IFERROR(VLOOKUP(A393, 'Energized Data'!A:T, 20, FALSE), "N/A"))</f>
        <v/>
      </c>
      <c r="F393" t="str">
        <f>IF(A393="","", IFERROR(VLOOKUP(A393, Insulation!A:J, 9, FALSE), "N/A"))</f>
        <v/>
      </c>
      <c r="G393" t="str">
        <f>IF(A393="","", IFERROR(VLOOKUP(A393, DLRO!A:I, 8, FALSE), "N/A"))</f>
        <v/>
      </c>
      <c r="H393" t="str">
        <f>IF(A393="","", IFERROR(VLOOKUP(A393, Torque!A:I, 8, FALSE), "N/A"))</f>
        <v/>
      </c>
      <c r="I393" t="str">
        <f>IF(A393="","", IFERROR(VLOOKUP(A393, Infrared!A:G, 6, FALSE), "N/A"))</f>
        <v/>
      </c>
      <c r="J393" t="str">
        <f>IF(A393="","", IFERROR(VLOOKUP(A393, Ultrasonic!A:H, 7, FALSE), "N/A"))</f>
        <v/>
      </c>
      <c r="K393" t="str">
        <f>IF(A393="","", IFERROR(VLOOKUP(A393, 'Code Violations'!A:V, 22, FALSE), "N/A"))</f>
        <v/>
      </c>
      <c r="L393" t="str">
        <f t="shared" si="6"/>
        <v/>
      </c>
    </row>
    <row r="394" spans="1:12" x14ac:dyDescent="0.25">
      <c r="A394" t="str">
        <f>IF('Equipment Information'!A394="","", 'Equipment Information'!A394)</f>
        <v/>
      </c>
      <c r="B394" t="str">
        <f>IF('Equipment Information'!B394="","", 'Equipment Information'!B394)</f>
        <v/>
      </c>
      <c r="C394" t="str">
        <f>IF('Equipment Information'!C394="","", 'Equipment Information'!C394)</f>
        <v/>
      </c>
      <c r="D394" t="str">
        <f>IF('Equipment Information'!D394="","", 'Equipment Information'!D394)</f>
        <v/>
      </c>
      <c r="E394" t="str">
        <f>IF(A394="","", IFERROR(VLOOKUP(A394, 'Energized Data'!A:T, 20, FALSE), "N/A"))</f>
        <v/>
      </c>
      <c r="F394" t="str">
        <f>IF(A394="","", IFERROR(VLOOKUP(A394, Insulation!A:J, 9, FALSE), "N/A"))</f>
        <v/>
      </c>
      <c r="G394" t="str">
        <f>IF(A394="","", IFERROR(VLOOKUP(A394, DLRO!A:I, 8, FALSE), "N/A"))</f>
        <v/>
      </c>
      <c r="H394" t="str">
        <f>IF(A394="","", IFERROR(VLOOKUP(A394, Torque!A:I, 8, FALSE), "N/A"))</f>
        <v/>
      </c>
      <c r="I394" t="str">
        <f>IF(A394="","", IFERROR(VLOOKUP(A394, Infrared!A:G, 6, FALSE), "N/A"))</f>
        <v/>
      </c>
      <c r="J394" t="str">
        <f>IF(A394="","", IFERROR(VLOOKUP(A394, Ultrasonic!A:H, 7, FALSE), "N/A"))</f>
        <v/>
      </c>
      <c r="K394" t="str">
        <f>IF(A394="","", IFERROR(VLOOKUP(A394, 'Code Violations'!A:V, 22, FALSE), "N/A"))</f>
        <v/>
      </c>
      <c r="L394" t="str">
        <f t="shared" si="6"/>
        <v/>
      </c>
    </row>
    <row r="395" spans="1:12" x14ac:dyDescent="0.25">
      <c r="A395" t="str">
        <f>IF('Equipment Information'!A395="","", 'Equipment Information'!A395)</f>
        <v/>
      </c>
      <c r="B395" t="str">
        <f>IF('Equipment Information'!B395="","", 'Equipment Information'!B395)</f>
        <v/>
      </c>
      <c r="C395" t="str">
        <f>IF('Equipment Information'!C395="","", 'Equipment Information'!C395)</f>
        <v/>
      </c>
      <c r="D395" t="str">
        <f>IF('Equipment Information'!D395="","", 'Equipment Information'!D395)</f>
        <v/>
      </c>
      <c r="E395" t="str">
        <f>IF(A395="","", IFERROR(VLOOKUP(A395, 'Energized Data'!A:T, 20, FALSE), "N/A"))</f>
        <v/>
      </c>
      <c r="F395" t="str">
        <f>IF(A395="","", IFERROR(VLOOKUP(A395, Insulation!A:J, 9, FALSE), "N/A"))</f>
        <v/>
      </c>
      <c r="G395" t="str">
        <f>IF(A395="","", IFERROR(VLOOKUP(A395, DLRO!A:I, 8, FALSE), "N/A"))</f>
        <v/>
      </c>
      <c r="H395" t="str">
        <f>IF(A395="","", IFERROR(VLOOKUP(A395, Torque!A:I, 8, FALSE), "N/A"))</f>
        <v/>
      </c>
      <c r="I395" t="str">
        <f>IF(A395="","", IFERROR(VLOOKUP(A395, Infrared!A:G, 6, FALSE), "N/A"))</f>
        <v/>
      </c>
      <c r="J395" t="str">
        <f>IF(A395="","", IFERROR(VLOOKUP(A395, Ultrasonic!A:H, 7, FALSE), "N/A"))</f>
        <v/>
      </c>
      <c r="K395" t="str">
        <f>IF(A395="","", IFERROR(VLOOKUP(A395, 'Code Violations'!A:V, 22, FALSE), "N/A"))</f>
        <v/>
      </c>
      <c r="L395" t="str">
        <f t="shared" si="6"/>
        <v/>
      </c>
    </row>
    <row r="396" spans="1:12" x14ac:dyDescent="0.25">
      <c r="A396" t="str">
        <f>IF('Equipment Information'!A396="","", 'Equipment Information'!A396)</f>
        <v/>
      </c>
      <c r="B396" t="str">
        <f>IF('Equipment Information'!B396="","", 'Equipment Information'!B396)</f>
        <v/>
      </c>
      <c r="C396" t="str">
        <f>IF('Equipment Information'!C396="","", 'Equipment Information'!C396)</f>
        <v/>
      </c>
      <c r="D396" t="str">
        <f>IF('Equipment Information'!D396="","", 'Equipment Information'!D396)</f>
        <v/>
      </c>
      <c r="E396" t="str">
        <f>IF(A396="","", IFERROR(VLOOKUP(A396, 'Energized Data'!A:T, 20, FALSE), "N/A"))</f>
        <v/>
      </c>
      <c r="F396" t="str">
        <f>IF(A396="","", IFERROR(VLOOKUP(A396, Insulation!A:J, 9, FALSE), "N/A"))</f>
        <v/>
      </c>
      <c r="G396" t="str">
        <f>IF(A396="","", IFERROR(VLOOKUP(A396, DLRO!A:I, 8, FALSE), "N/A"))</f>
        <v/>
      </c>
      <c r="H396" t="str">
        <f>IF(A396="","", IFERROR(VLOOKUP(A396, Torque!A:I, 8, FALSE), "N/A"))</f>
        <v/>
      </c>
      <c r="I396" t="str">
        <f>IF(A396="","", IFERROR(VLOOKUP(A396, Infrared!A:G, 6, FALSE), "N/A"))</f>
        <v/>
      </c>
      <c r="J396" t="str">
        <f>IF(A396="","", IFERROR(VLOOKUP(A396, Ultrasonic!A:H, 7, FALSE), "N/A"))</f>
        <v/>
      </c>
      <c r="K396" t="str">
        <f>IF(A396="","", IFERROR(VLOOKUP(A396, 'Code Violations'!A:V, 22, FALSE), "N/A"))</f>
        <v/>
      </c>
      <c r="L396" t="str">
        <f t="shared" si="6"/>
        <v/>
      </c>
    </row>
    <row r="397" spans="1:12" x14ac:dyDescent="0.25">
      <c r="A397" t="str">
        <f>IF('Equipment Information'!A397="","", 'Equipment Information'!A397)</f>
        <v/>
      </c>
      <c r="B397" t="str">
        <f>IF('Equipment Information'!B397="","", 'Equipment Information'!B397)</f>
        <v/>
      </c>
      <c r="C397" t="str">
        <f>IF('Equipment Information'!C397="","", 'Equipment Information'!C397)</f>
        <v/>
      </c>
      <c r="D397" t="str">
        <f>IF('Equipment Information'!D397="","", 'Equipment Information'!D397)</f>
        <v/>
      </c>
      <c r="E397" t="str">
        <f>IF(A397="","", IFERROR(VLOOKUP(A397, 'Energized Data'!A:T, 20, FALSE), "N/A"))</f>
        <v/>
      </c>
      <c r="F397" t="str">
        <f>IF(A397="","", IFERROR(VLOOKUP(A397, Insulation!A:J, 9, FALSE), "N/A"))</f>
        <v/>
      </c>
      <c r="G397" t="str">
        <f>IF(A397="","", IFERROR(VLOOKUP(A397, DLRO!A:I, 8, FALSE), "N/A"))</f>
        <v/>
      </c>
      <c r="H397" t="str">
        <f>IF(A397="","", IFERROR(VLOOKUP(A397, Torque!A:I, 8, FALSE), "N/A"))</f>
        <v/>
      </c>
      <c r="I397" t="str">
        <f>IF(A397="","", IFERROR(VLOOKUP(A397, Infrared!A:G, 6, FALSE), "N/A"))</f>
        <v/>
      </c>
      <c r="J397" t="str">
        <f>IF(A397="","", IFERROR(VLOOKUP(A397, Ultrasonic!A:H, 7, FALSE), "N/A"))</f>
        <v/>
      </c>
      <c r="K397" t="str">
        <f>IF(A397="","", IFERROR(VLOOKUP(A397, 'Code Violations'!A:V, 22, FALSE), "N/A"))</f>
        <v/>
      </c>
      <c r="L397" t="str">
        <f t="shared" si="6"/>
        <v/>
      </c>
    </row>
    <row r="398" spans="1:12" x14ac:dyDescent="0.25">
      <c r="A398" t="str">
        <f>IF('Equipment Information'!A398="","", 'Equipment Information'!A398)</f>
        <v/>
      </c>
      <c r="B398" t="str">
        <f>IF('Equipment Information'!B398="","", 'Equipment Information'!B398)</f>
        <v/>
      </c>
      <c r="C398" t="str">
        <f>IF('Equipment Information'!C398="","", 'Equipment Information'!C398)</f>
        <v/>
      </c>
      <c r="D398" t="str">
        <f>IF('Equipment Information'!D398="","", 'Equipment Information'!D398)</f>
        <v/>
      </c>
      <c r="E398" t="str">
        <f>IF(A398="","", IFERROR(VLOOKUP(A398, 'Energized Data'!A:T, 20, FALSE), "N/A"))</f>
        <v/>
      </c>
      <c r="F398" t="str">
        <f>IF(A398="","", IFERROR(VLOOKUP(A398, Insulation!A:J, 9, FALSE), "N/A"))</f>
        <v/>
      </c>
      <c r="G398" t="str">
        <f>IF(A398="","", IFERROR(VLOOKUP(A398, DLRO!A:I, 8, FALSE), "N/A"))</f>
        <v/>
      </c>
      <c r="H398" t="str">
        <f>IF(A398="","", IFERROR(VLOOKUP(A398, Torque!A:I, 8, FALSE), "N/A"))</f>
        <v/>
      </c>
      <c r="I398" t="str">
        <f>IF(A398="","", IFERROR(VLOOKUP(A398, Infrared!A:G, 6, FALSE), "N/A"))</f>
        <v/>
      </c>
      <c r="J398" t="str">
        <f>IF(A398="","", IFERROR(VLOOKUP(A398, Ultrasonic!A:H, 7, FALSE), "N/A"))</f>
        <v/>
      </c>
      <c r="K398" t="str">
        <f>IF(A398="","", IFERROR(VLOOKUP(A398, 'Code Violations'!A:V, 22, FALSE), "N/A"))</f>
        <v/>
      </c>
      <c r="L398" t="str">
        <f t="shared" si="6"/>
        <v/>
      </c>
    </row>
    <row r="399" spans="1:12" x14ac:dyDescent="0.25">
      <c r="A399" t="str">
        <f>IF('Equipment Information'!A399="","", 'Equipment Information'!A399)</f>
        <v/>
      </c>
      <c r="B399" t="str">
        <f>IF('Equipment Information'!B399="","", 'Equipment Information'!B399)</f>
        <v/>
      </c>
      <c r="C399" t="str">
        <f>IF('Equipment Information'!C399="","", 'Equipment Information'!C399)</f>
        <v/>
      </c>
      <c r="D399" t="str">
        <f>IF('Equipment Information'!D399="","", 'Equipment Information'!D399)</f>
        <v/>
      </c>
      <c r="E399" t="str">
        <f>IF(A399="","", IFERROR(VLOOKUP(A399, 'Energized Data'!A:T, 20, FALSE), "N/A"))</f>
        <v/>
      </c>
      <c r="F399" t="str">
        <f>IF(A399="","", IFERROR(VLOOKUP(A399, Insulation!A:J, 9, FALSE), "N/A"))</f>
        <v/>
      </c>
      <c r="G399" t="str">
        <f>IF(A399="","", IFERROR(VLOOKUP(A399, DLRO!A:I, 8, FALSE), "N/A"))</f>
        <v/>
      </c>
      <c r="H399" t="str">
        <f>IF(A399="","", IFERROR(VLOOKUP(A399, Torque!A:I, 8, FALSE), "N/A"))</f>
        <v/>
      </c>
      <c r="I399" t="str">
        <f>IF(A399="","", IFERROR(VLOOKUP(A399, Infrared!A:G, 6, FALSE), "N/A"))</f>
        <v/>
      </c>
      <c r="J399" t="str">
        <f>IF(A399="","", IFERROR(VLOOKUP(A399, Ultrasonic!A:H, 7, FALSE), "N/A"))</f>
        <v/>
      </c>
      <c r="K399" t="str">
        <f>IF(A399="","", IFERROR(VLOOKUP(A399, 'Code Violations'!A:V, 22, FALSE), "N/A"))</f>
        <v/>
      </c>
      <c r="L399" t="str">
        <f t="shared" si="6"/>
        <v/>
      </c>
    </row>
    <row r="400" spans="1:12" x14ac:dyDescent="0.25">
      <c r="A400" t="str">
        <f>IF('Equipment Information'!A400="","", 'Equipment Information'!A400)</f>
        <v/>
      </c>
      <c r="B400" t="str">
        <f>IF('Equipment Information'!B400="","", 'Equipment Information'!B400)</f>
        <v/>
      </c>
      <c r="C400" t="str">
        <f>IF('Equipment Information'!C400="","", 'Equipment Information'!C400)</f>
        <v/>
      </c>
      <c r="D400" t="str">
        <f>IF('Equipment Information'!D400="","", 'Equipment Information'!D400)</f>
        <v/>
      </c>
      <c r="E400" t="str">
        <f>IF(A400="","", IFERROR(VLOOKUP(A400, 'Energized Data'!A:T, 20, FALSE), "N/A"))</f>
        <v/>
      </c>
      <c r="F400" t="str">
        <f>IF(A400="","", IFERROR(VLOOKUP(A400, Insulation!A:J, 9, FALSE), "N/A"))</f>
        <v/>
      </c>
      <c r="G400" t="str">
        <f>IF(A400="","", IFERROR(VLOOKUP(A400, DLRO!A:I, 8, FALSE), "N/A"))</f>
        <v/>
      </c>
      <c r="H400" t="str">
        <f>IF(A400="","", IFERROR(VLOOKUP(A400, Torque!A:I, 8, FALSE), "N/A"))</f>
        <v/>
      </c>
      <c r="I400" t="str">
        <f>IF(A400="","", IFERROR(VLOOKUP(A400, Infrared!A:G, 6, FALSE), "N/A"))</f>
        <v/>
      </c>
      <c r="J400" t="str">
        <f>IF(A400="","", IFERROR(VLOOKUP(A400, Ultrasonic!A:H, 7, FALSE), "N/A"))</f>
        <v/>
      </c>
      <c r="K400" t="str">
        <f>IF(A400="","", IFERROR(VLOOKUP(A400, 'Code Violations'!A:V, 22, FALSE), "N/A"))</f>
        <v/>
      </c>
      <c r="L400" t="str">
        <f t="shared" si="6"/>
        <v/>
      </c>
    </row>
    <row r="401" spans="1:12" x14ac:dyDescent="0.25">
      <c r="A401" t="str">
        <f>IF('Equipment Information'!A401="","", 'Equipment Information'!A401)</f>
        <v/>
      </c>
      <c r="B401" t="str">
        <f>IF('Equipment Information'!B401="","", 'Equipment Information'!B401)</f>
        <v/>
      </c>
      <c r="C401" t="str">
        <f>IF('Equipment Information'!C401="","", 'Equipment Information'!C401)</f>
        <v/>
      </c>
      <c r="D401" t="str">
        <f>IF('Equipment Information'!D401="","", 'Equipment Information'!D401)</f>
        <v/>
      </c>
      <c r="E401" t="str">
        <f>IF(A401="","", IFERROR(VLOOKUP(A401, 'Energized Data'!A:T, 20, FALSE), "N/A"))</f>
        <v/>
      </c>
      <c r="F401" t="str">
        <f>IF(A401="","", IFERROR(VLOOKUP(A401, Insulation!A:J, 9, FALSE), "N/A"))</f>
        <v/>
      </c>
      <c r="G401" t="str">
        <f>IF(A401="","", IFERROR(VLOOKUP(A401, DLRO!A:I, 8, FALSE), "N/A"))</f>
        <v/>
      </c>
      <c r="H401" t="str">
        <f>IF(A401="","", IFERROR(VLOOKUP(A401, Torque!A:I, 8, FALSE), "N/A"))</f>
        <v/>
      </c>
      <c r="I401" t="str">
        <f>IF(A401="","", IFERROR(VLOOKUP(A401, Infrared!A:G, 6, FALSE), "N/A"))</f>
        <v/>
      </c>
      <c r="J401" t="str">
        <f>IF(A401="","", IFERROR(VLOOKUP(A401, Ultrasonic!A:H, 7, FALSE), "N/A"))</f>
        <v/>
      </c>
      <c r="K401" t="str">
        <f>IF(A401="","", IFERROR(VLOOKUP(A401, 'Code Violations'!A:V, 22, FALSE), "N/A"))</f>
        <v/>
      </c>
      <c r="L401" t="str">
        <f t="shared" si="6"/>
        <v/>
      </c>
    </row>
    <row r="402" spans="1:12" x14ac:dyDescent="0.25">
      <c r="A402" t="str">
        <f>IF('Equipment Information'!A402="","", 'Equipment Information'!A402)</f>
        <v/>
      </c>
      <c r="B402" t="str">
        <f>IF('Equipment Information'!B402="","", 'Equipment Information'!B402)</f>
        <v/>
      </c>
      <c r="C402" t="str">
        <f>IF('Equipment Information'!C402="","", 'Equipment Information'!C402)</f>
        <v/>
      </c>
      <c r="D402" t="str">
        <f>IF('Equipment Information'!D402="","", 'Equipment Information'!D402)</f>
        <v/>
      </c>
      <c r="E402" t="str">
        <f>IF(A402="","", IFERROR(VLOOKUP(A402, 'Energized Data'!A:T, 20, FALSE), "N/A"))</f>
        <v/>
      </c>
      <c r="F402" t="str">
        <f>IF(A402="","", IFERROR(VLOOKUP(A402, Insulation!A:J, 9, FALSE), "N/A"))</f>
        <v/>
      </c>
      <c r="G402" t="str">
        <f>IF(A402="","", IFERROR(VLOOKUP(A402, DLRO!A:I, 8, FALSE), "N/A"))</f>
        <v/>
      </c>
      <c r="H402" t="str">
        <f>IF(A402="","", IFERROR(VLOOKUP(A402, Torque!A:I, 8, FALSE), "N/A"))</f>
        <v/>
      </c>
      <c r="I402" t="str">
        <f>IF(A402="","", IFERROR(VLOOKUP(A402, Infrared!A:G, 6, FALSE), "N/A"))</f>
        <v/>
      </c>
      <c r="J402" t="str">
        <f>IF(A402="","", IFERROR(VLOOKUP(A402, Ultrasonic!A:H, 7, FALSE), "N/A"))</f>
        <v/>
      </c>
      <c r="K402" t="str">
        <f>IF(A402="","", IFERROR(VLOOKUP(A402, 'Code Violations'!A:V, 22, FALSE), "N/A"))</f>
        <v/>
      </c>
      <c r="L402" t="str">
        <f t="shared" si="6"/>
        <v/>
      </c>
    </row>
    <row r="403" spans="1:12" x14ac:dyDescent="0.25">
      <c r="A403" t="str">
        <f>IF('Equipment Information'!A403="","", 'Equipment Information'!A403)</f>
        <v/>
      </c>
      <c r="B403" t="str">
        <f>IF('Equipment Information'!B403="","", 'Equipment Information'!B403)</f>
        <v/>
      </c>
      <c r="C403" t="str">
        <f>IF('Equipment Information'!C403="","", 'Equipment Information'!C403)</f>
        <v/>
      </c>
      <c r="D403" t="str">
        <f>IF('Equipment Information'!D403="","", 'Equipment Information'!D403)</f>
        <v/>
      </c>
      <c r="E403" t="str">
        <f>IF(A403="","", IFERROR(VLOOKUP(A403, 'Energized Data'!A:T, 20, FALSE), "N/A"))</f>
        <v/>
      </c>
      <c r="F403" t="str">
        <f>IF(A403="","", IFERROR(VLOOKUP(A403, Insulation!A:J, 9, FALSE), "N/A"))</f>
        <v/>
      </c>
      <c r="G403" t="str">
        <f>IF(A403="","", IFERROR(VLOOKUP(A403, DLRO!A:I, 8, FALSE), "N/A"))</f>
        <v/>
      </c>
      <c r="H403" t="str">
        <f>IF(A403="","", IFERROR(VLOOKUP(A403, Torque!A:I, 8, FALSE), "N/A"))</f>
        <v/>
      </c>
      <c r="I403" t="str">
        <f>IF(A403="","", IFERROR(VLOOKUP(A403, Infrared!A:G, 6, FALSE), "N/A"))</f>
        <v/>
      </c>
      <c r="J403" t="str">
        <f>IF(A403="","", IFERROR(VLOOKUP(A403, Ultrasonic!A:H, 7, FALSE), "N/A"))</f>
        <v/>
      </c>
      <c r="K403" t="str">
        <f>IF(A403="","", IFERROR(VLOOKUP(A403, 'Code Violations'!A:V, 22, FALSE), "N/A"))</f>
        <v/>
      </c>
      <c r="L403" t="str">
        <f t="shared" si="6"/>
        <v/>
      </c>
    </row>
    <row r="404" spans="1:12" x14ac:dyDescent="0.25">
      <c r="A404" t="str">
        <f>IF('Equipment Information'!A404="","", 'Equipment Information'!A404)</f>
        <v/>
      </c>
      <c r="B404" t="str">
        <f>IF('Equipment Information'!B404="","", 'Equipment Information'!B404)</f>
        <v/>
      </c>
      <c r="C404" t="str">
        <f>IF('Equipment Information'!C404="","", 'Equipment Information'!C404)</f>
        <v/>
      </c>
      <c r="D404" t="str">
        <f>IF('Equipment Information'!D404="","", 'Equipment Information'!D404)</f>
        <v/>
      </c>
      <c r="E404" t="str">
        <f>IF(A404="","", IFERROR(VLOOKUP(A404, 'Energized Data'!A:T, 20, FALSE), "N/A"))</f>
        <v/>
      </c>
      <c r="F404" t="str">
        <f>IF(A404="","", IFERROR(VLOOKUP(A404, Insulation!A:J, 9, FALSE), "N/A"))</f>
        <v/>
      </c>
      <c r="G404" t="str">
        <f>IF(A404="","", IFERROR(VLOOKUP(A404, DLRO!A:I, 8, FALSE), "N/A"))</f>
        <v/>
      </c>
      <c r="H404" t="str">
        <f>IF(A404="","", IFERROR(VLOOKUP(A404, Torque!A:I, 8, FALSE), "N/A"))</f>
        <v/>
      </c>
      <c r="I404" t="str">
        <f>IF(A404="","", IFERROR(VLOOKUP(A404, Infrared!A:G, 6, FALSE), "N/A"))</f>
        <v/>
      </c>
      <c r="J404" t="str">
        <f>IF(A404="","", IFERROR(VLOOKUP(A404, Ultrasonic!A:H, 7, FALSE), "N/A"))</f>
        <v/>
      </c>
      <c r="K404" t="str">
        <f>IF(A404="","", IFERROR(VLOOKUP(A404, 'Code Violations'!A:V, 22, FALSE), "N/A"))</f>
        <v/>
      </c>
      <c r="L404" t="str">
        <f t="shared" si="6"/>
        <v/>
      </c>
    </row>
    <row r="405" spans="1:12" x14ac:dyDescent="0.25">
      <c r="A405" t="str">
        <f>IF('Equipment Information'!A405="","", 'Equipment Information'!A405)</f>
        <v/>
      </c>
      <c r="B405" t="str">
        <f>IF('Equipment Information'!B405="","", 'Equipment Information'!B405)</f>
        <v/>
      </c>
      <c r="C405" t="str">
        <f>IF('Equipment Information'!C405="","", 'Equipment Information'!C405)</f>
        <v/>
      </c>
      <c r="D405" t="str">
        <f>IF('Equipment Information'!D405="","", 'Equipment Information'!D405)</f>
        <v/>
      </c>
      <c r="E405" t="str">
        <f>IF(A405="","", IFERROR(VLOOKUP(A405, 'Energized Data'!A:T, 20, FALSE), "N/A"))</f>
        <v/>
      </c>
      <c r="F405" t="str">
        <f>IF(A405="","", IFERROR(VLOOKUP(A405, Insulation!A:J, 9, FALSE), "N/A"))</f>
        <v/>
      </c>
      <c r="G405" t="str">
        <f>IF(A405="","", IFERROR(VLOOKUP(A405, DLRO!A:I, 8, FALSE), "N/A"))</f>
        <v/>
      </c>
      <c r="H405" t="str">
        <f>IF(A405="","", IFERROR(VLOOKUP(A405, Torque!A:I, 8, FALSE), "N/A"))</f>
        <v/>
      </c>
      <c r="I405" t="str">
        <f>IF(A405="","", IFERROR(VLOOKUP(A405, Infrared!A:G, 6, FALSE), "N/A"))</f>
        <v/>
      </c>
      <c r="J405" t="str">
        <f>IF(A405="","", IFERROR(VLOOKUP(A405, Ultrasonic!A:H, 7, FALSE), "N/A"))</f>
        <v/>
      </c>
      <c r="K405" t="str">
        <f>IF(A405="","", IFERROR(VLOOKUP(A405, 'Code Violations'!A:V, 22, FALSE), "N/A"))</f>
        <v/>
      </c>
      <c r="L405" t="str">
        <f t="shared" si="6"/>
        <v/>
      </c>
    </row>
    <row r="406" spans="1:12" x14ac:dyDescent="0.25">
      <c r="A406" t="str">
        <f>IF('Equipment Information'!A406="","", 'Equipment Information'!A406)</f>
        <v/>
      </c>
      <c r="B406" t="str">
        <f>IF('Equipment Information'!B406="","", 'Equipment Information'!B406)</f>
        <v/>
      </c>
      <c r="C406" t="str">
        <f>IF('Equipment Information'!C406="","", 'Equipment Information'!C406)</f>
        <v/>
      </c>
      <c r="D406" t="str">
        <f>IF('Equipment Information'!D406="","", 'Equipment Information'!D406)</f>
        <v/>
      </c>
      <c r="E406" t="str">
        <f>IF(A406="","", IFERROR(VLOOKUP(A406, 'Energized Data'!A:T, 20, FALSE), "N/A"))</f>
        <v/>
      </c>
      <c r="F406" t="str">
        <f>IF(A406="","", IFERROR(VLOOKUP(A406, Insulation!A:J, 9, FALSE), "N/A"))</f>
        <v/>
      </c>
      <c r="G406" t="str">
        <f>IF(A406="","", IFERROR(VLOOKUP(A406, DLRO!A:I, 8, FALSE), "N/A"))</f>
        <v/>
      </c>
      <c r="H406" t="str">
        <f>IF(A406="","", IFERROR(VLOOKUP(A406, Torque!A:I, 8, FALSE), "N/A"))</f>
        <v/>
      </c>
      <c r="I406" t="str">
        <f>IF(A406="","", IFERROR(VLOOKUP(A406, Infrared!A:G, 6, FALSE), "N/A"))</f>
        <v/>
      </c>
      <c r="J406" t="str">
        <f>IF(A406="","", IFERROR(VLOOKUP(A406, Ultrasonic!A:H, 7, FALSE), "N/A"))</f>
        <v/>
      </c>
      <c r="K406" t="str">
        <f>IF(A406="","", IFERROR(VLOOKUP(A406, 'Code Violations'!A:V, 22, FALSE), "N/A"))</f>
        <v/>
      </c>
      <c r="L406" t="str">
        <f t="shared" si="6"/>
        <v/>
      </c>
    </row>
    <row r="407" spans="1:12" x14ac:dyDescent="0.25">
      <c r="A407" t="str">
        <f>IF('Equipment Information'!A407="","", 'Equipment Information'!A407)</f>
        <v/>
      </c>
      <c r="B407" t="str">
        <f>IF('Equipment Information'!B407="","", 'Equipment Information'!B407)</f>
        <v/>
      </c>
      <c r="C407" t="str">
        <f>IF('Equipment Information'!C407="","", 'Equipment Information'!C407)</f>
        <v/>
      </c>
      <c r="D407" t="str">
        <f>IF('Equipment Information'!D407="","", 'Equipment Information'!D407)</f>
        <v/>
      </c>
      <c r="E407" t="str">
        <f>IF(A407="","", IFERROR(VLOOKUP(A407, 'Energized Data'!A:T, 20, FALSE), "N/A"))</f>
        <v/>
      </c>
      <c r="F407" t="str">
        <f>IF(A407="","", IFERROR(VLOOKUP(A407, Insulation!A:J, 9, FALSE), "N/A"))</f>
        <v/>
      </c>
      <c r="G407" t="str">
        <f>IF(A407="","", IFERROR(VLOOKUP(A407, DLRO!A:I, 8, FALSE), "N/A"))</f>
        <v/>
      </c>
      <c r="H407" t="str">
        <f>IF(A407="","", IFERROR(VLOOKUP(A407, Torque!A:I, 8, FALSE), "N/A"))</f>
        <v/>
      </c>
      <c r="I407" t="str">
        <f>IF(A407="","", IFERROR(VLOOKUP(A407, Infrared!A:G, 6, FALSE), "N/A"))</f>
        <v/>
      </c>
      <c r="J407" t="str">
        <f>IF(A407="","", IFERROR(VLOOKUP(A407, Ultrasonic!A:H, 7, FALSE), "N/A"))</f>
        <v/>
      </c>
      <c r="K407" t="str">
        <f>IF(A407="","", IFERROR(VLOOKUP(A407, 'Code Violations'!A:V, 22, FALSE), "N/A"))</f>
        <v/>
      </c>
      <c r="L407" t="str">
        <f t="shared" si="6"/>
        <v/>
      </c>
    </row>
    <row r="408" spans="1:12" x14ac:dyDescent="0.25">
      <c r="A408" t="str">
        <f>IF('Equipment Information'!A408="","", 'Equipment Information'!A408)</f>
        <v/>
      </c>
      <c r="B408" t="str">
        <f>IF('Equipment Information'!B408="","", 'Equipment Information'!B408)</f>
        <v/>
      </c>
      <c r="C408" t="str">
        <f>IF('Equipment Information'!C408="","", 'Equipment Information'!C408)</f>
        <v/>
      </c>
      <c r="D408" t="str">
        <f>IF('Equipment Information'!D408="","", 'Equipment Information'!D408)</f>
        <v/>
      </c>
      <c r="E408" t="str">
        <f>IF(A408="","", IFERROR(VLOOKUP(A408, 'Energized Data'!A:T, 20, FALSE), "N/A"))</f>
        <v/>
      </c>
      <c r="F408" t="str">
        <f>IF(A408="","", IFERROR(VLOOKUP(A408, Insulation!A:J, 9, FALSE), "N/A"))</f>
        <v/>
      </c>
      <c r="G408" t="str">
        <f>IF(A408="","", IFERROR(VLOOKUP(A408, DLRO!A:I, 8, FALSE), "N/A"))</f>
        <v/>
      </c>
      <c r="H408" t="str">
        <f>IF(A408="","", IFERROR(VLOOKUP(A408, Torque!A:I, 8, FALSE), "N/A"))</f>
        <v/>
      </c>
      <c r="I408" t="str">
        <f>IF(A408="","", IFERROR(VLOOKUP(A408, Infrared!A:G, 6, FALSE), "N/A"))</f>
        <v/>
      </c>
      <c r="J408" t="str">
        <f>IF(A408="","", IFERROR(VLOOKUP(A408, Ultrasonic!A:H, 7, FALSE), "N/A"))</f>
        <v/>
      </c>
      <c r="K408" t="str">
        <f>IF(A408="","", IFERROR(VLOOKUP(A408, 'Code Violations'!A:V, 22, FALSE), "N/A"))</f>
        <v/>
      </c>
      <c r="L408" t="str">
        <f t="shared" si="6"/>
        <v/>
      </c>
    </row>
    <row r="409" spans="1:12" x14ac:dyDescent="0.25">
      <c r="A409" t="str">
        <f>IF('Equipment Information'!A409="","", 'Equipment Information'!A409)</f>
        <v/>
      </c>
      <c r="B409" t="str">
        <f>IF('Equipment Information'!B409="","", 'Equipment Information'!B409)</f>
        <v/>
      </c>
      <c r="C409" t="str">
        <f>IF('Equipment Information'!C409="","", 'Equipment Information'!C409)</f>
        <v/>
      </c>
      <c r="D409" t="str">
        <f>IF('Equipment Information'!D409="","", 'Equipment Information'!D409)</f>
        <v/>
      </c>
      <c r="E409" t="str">
        <f>IF(A409="","", IFERROR(VLOOKUP(A409, 'Energized Data'!A:T, 20, FALSE), "N/A"))</f>
        <v/>
      </c>
      <c r="F409" t="str">
        <f>IF(A409="","", IFERROR(VLOOKUP(A409, Insulation!A:J, 9, FALSE), "N/A"))</f>
        <v/>
      </c>
      <c r="G409" t="str">
        <f>IF(A409="","", IFERROR(VLOOKUP(A409, DLRO!A:I, 8, FALSE), "N/A"))</f>
        <v/>
      </c>
      <c r="H409" t="str">
        <f>IF(A409="","", IFERROR(VLOOKUP(A409, Torque!A:I, 8, FALSE), "N/A"))</f>
        <v/>
      </c>
      <c r="I409" t="str">
        <f>IF(A409="","", IFERROR(VLOOKUP(A409, Infrared!A:G, 6, FALSE), "N/A"))</f>
        <v/>
      </c>
      <c r="J409" t="str">
        <f>IF(A409="","", IFERROR(VLOOKUP(A409, Ultrasonic!A:H, 7, FALSE), "N/A"))</f>
        <v/>
      </c>
      <c r="K409" t="str">
        <f>IF(A409="","", IFERROR(VLOOKUP(A409, 'Code Violations'!A:V, 22, FALSE), "N/A"))</f>
        <v/>
      </c>
      <c r="L409" t="str">
        <f t="shared" si="6"/>
        <v/>
      </c>
    </row>
    <row r="410" spans="1:12" x14ac:dyDescent="0.25">
      <c r="A410" t="str">
        <f>IF('Equipment Information'!A410="","", 'Equipment Information'!A410)</f>
        <v/>
      </c>
      <c r="B410" t="str">
        <f>IF('Equipment Information'!B410="","", 'Equipment Information'!B410)</f>
        <v/>
      </c>
      <c r="C410" t="str">
        <f>IF('Equipment Information'!C410="","", 'Equipment Information'!C410)</f>
        <v/>
      </c>
      <c r="D410" t="str">
        <f>IF('Equipment Information'!D410="","", 'Equipment Information'!D410)</f>
        <v/>
      </c>
      <c r="E410" t="str">
        <f>IF(A410="","", IFERROR(VLOOKUP(A410, 'Energized Data'!A:T, 20, FALSE), "N/A"))</f>
        <v/>
      </c>
      <c r="F410" t="str">
        <f>IF(A410="","", IFERROR(VLOOKUP(A410, Insulation!A:J, 9, FALSE), "N/A"))</f>
        <v/>
      </c>
      <c r="G410" t="str">
        <f>IF(A410="","", IFERROR(VLOOKUP(A410, DLRO!A:I, 8, FALSE), "N/A"))</f>
        <v/>
      </c>
      <c r="H410" t="str">
        <f>IF(A410="","", IFERROR(VLOOKUP(A410, Torque!A:I, 8, FALSE), "N/A"))</f>
        <v/>
      </c>
      <c r="I410" t="str">
        <f>IF(A410="","", IFERROR(VLOOKUP(A410, Infrared!A:G, 6, FALSE), "N/A"))</f>
        <v/>
      </c>
      <c r="J410" t="str">
        <f>IF(A410="","", IFERROR(VLOOKUP(A410, Ultrasonic!A:H, 7, FALSE), "N/A"))</f>
        <v/>
      </c>
      <c r="K410" t="str">
        <f>IF(A410="","", IFERROR(VLOOKUP(A410, 'Code Violations'!A:V, 22, FALSE), "N/A"))</f>
        <v/>
      </c>
      <c r="L410" t="str">
        <f t="shared" si="6"/>
        <v/>
      </c>
    </row>
    <row r="411" spans="1:12" x14ac:dyDescent="0.25">
      <c r="A411" t="str">
        <f>IF('Equipment Information'!A411="","", 'Equipment Information'!A411)</f>
        <v/>
      </c>
      <c r="B411" t="str">
        <f>IF('Equipment Information'!B411="","", 'Equipment Information'!B411)</f>
        <v/>
      </c>
      <c r="C411" t="str">
        <f>IF('Equipment Information'!C411="","", 'Equipment Information'!C411)</f>
        <v/>
      </c>
      <c r="D411" t="str">
        <f>IF('Equipment Information'!D411="","", 'Equipment Information'!D411)</f>
        <v/>
      </c>
      <c r="E411" t="str">
        <f>IF(A411="","", IFERROR(VLOOKUP(A411, 'Energized Data'!A:T, 20, FALSE), "N/A"))</f>
        <v/>
      </c>
      <c r="F411" t="str">
        <f>IF(A411="","", IFERROR(VLOOKUP(A411, Insulation!A:J, 9, FALSE), "N/A"))</f>
        <v/>
      </c>
      <c r="G411" t="str">
        <f>IF(A411="","", IFERROR(VLOOKUP(A411, DLRO!A:I, 8, FALSE), "N/A"))</f>
        <v/>
      </c>
      <c r="H411" t="str">
        <f>IF(A411="","", IFERROR(VLOOKUP(A411, Torque!A:I, 8, FALSE), "N/A"))</f>
        <v/>
      </c>
      <c r="I411" t="str">
        <f>IF(A411="","", IFERROR(VLOOKUP(A411, Infrared!A:G, 6, FALSE), "N/A"))</f>
        <v/>
      </c>
      <c r="J411" t="str">
        <f>IF(A411="","", IFERROR(VLOOKUP(A411, Ultrasonic!A:H, 7, FALSE), "N/A"))</f>
        <v/>
      </c>
      <c r="K411" t="str">
        <f>IF(A411="","", IFERROR(VLOOKUP(A411, 'Code Violations'!A:V, 22, FALSE), "N/A"))</f>
        <v/>
      </c>
      <c r="L411" t="str">
        <f t="shared" si="6"/>
        <v/>
      </c>
    </row>
    <row r="412" spans="1:12" x14ac:dyDescent="0.25">
      <c r="A412" t="str">
        <f>IF('Equipment Information'!A412="","", 'Equipment Information'!A412)</f>
        <v/>
      </c>
      <c r="B412" t="str">
        <f>IF('Equipment Information'!B412="","", 'Equipment Information'!B412)</f>
        <v/>
      </c>
      <c r="C412" t="str">
        <f>IF('Equipment Information'!C412="","", 'Equipment Information'!C412)</f>
        <v/>
      </c>
      <c r="D412" t="str">
        <f>IF('Equipment Information'!D412="","", 'Equipment Information'!D412)</f>
        <v/>
      </c>
      <c r="E412" t="str">
        <f>IF(A412="","", IFERROR(VLOOKUP(A412, 'Energized Data'!A:T, 20, FALSE), "N/A"))</f>
        <v/>
      </c>
      <c r="F412" t="str">
        <f>IF(A412="","", IFERROR(VLOOKUP(A412, Insulation!A:J, 9, FALSE), "N/A"))</f>
        <v/>
      </c>
      <c r="G412" t="str">
        <f>IF(A412="","", IFERROR(VLOOKUP(A412, DLRO!A:I, 8, FALSE), "N/A"))</f>
        <v/>
      </c>
      <c r="H412" t="str">
        <f>IF(A412="","", IFERROR(VLOOKUP(A412, Torque!A:I, 8, FALSE), "N/A"))</f>
        <v/>
      </c>
      <c r="I412" t="str">
        <f>IF(A412="","", IFERROR(VLOOKUP(A412, Infrared!A:G, 6, FALSE), "N/A"))</f>
        <v/>
      </c>
      <c r="J412" t="str">
        <f>IF(A412="","", IFERROR(VLOOKUP(A412, Ultrasonic!A:H, 7, FALSE), "N/A"))</f>
        <v/>
      </c>
      <c r="K412" t="str">
        <f>IF(A412="","", IFERROR(VLOOKUP(A412, 'Code Violations'!A:V, 22, FALSE), "N/A"))</f>
        <v/>
      </c>
      <c r="L412" t="str">
        <f t="shared" si="6"/>
        <v/>
      </c>
    </row>
    <row r="413" spans="1:12" x14ac:dyDescent="0.25">
      <c r="A413" t="str">
        <f>IF('Equipment Information'!A413="","", 'Equipment Information'!A413)</f>
        <v/>
      </c>
      <c r="B413" t="str">
        <f>IF('Equipment Information'!B413="","", 'Equipment Information'!B413)</f>
        <v/>
      </c>
      <c r="C413" t="str">
        <f>IF('Equipment Information'!C413="","", 'Equipment Information'!C413)</f>
        <v/>
      </c>
      <c r="D413" t="str">
        <f>IF('Equipment Information'!D413="","", 'Equipment Information'!D413)</f>
        <v/>
      </c>
      <c r="E413" t="str">
        <f>IF(A413="","", IFERROR(VLOOKUP(A413, 'Energized Data'!A:T, 20, FALSE), "N/A"))</f>
        <v/>
      </c>
      <c r="F413" t="str">
        <f>IF(A413="","", IFERROR(VLOOKUP(A413, Insulation!A:J, 9, FALSE), "N/A"))</f>
        <v/>
      </c>
      <c r="G413" t="str">
        <f>IF(A413="","", IFERROR(VLOOKUP(A413, DLRO!A:I, 8, FALSE), "N/A"))</f>
        <v/>
      </c>
      <c r="H413" t="str">
        <f>IF(A413="","", IFERROR(VLOOKUP(A413, Torque!A:I, 8, FALSE), "N/A"))</f>
        <v/>
      </c>
      <c r="I413" t="str">
        <f>IF(A413="","", IFERROR(VLOOKUP(A413, Infrared!A:G, 6, FALSE), "N/A"))</f>
        <v/>
      </c>
      <c r="J413" t="str">
        <f>IF(A413="","", IFERROR(VLOOKUP(A413, Ultrasonic!A:H, 7, FALSE), "N/A"))</f>
        <v/>
      </c>
      <c r="K413" t="str">
        <f>IF(A413="","", IFERROR(VLOOKUP(A413, 'Code Violations'!A:V, 22, FALSE), "N/A"))</f>
        <v/>
      </c>
      <c r="L413" t="str">
        <f t="shared" si="6"/>
        <v/>
      </c>
    </row>
    <row r="414" spans="1:12" x14ac:dyDescent="0.25">
      <c r="A414" t="str">
        <f>IF('Equipment Information'!A414="","", 'Equipment Information'!A414)</f>
        <v/>
      </c>
      <c r="B414" t="str">
        <f>IF('Equipment Information'!B414="","", 'Equipment Information'!B414)</f>
        <v/>
      </c>
      <c r="C414" t="str">
        <f>IF('Equipment Information'!C414="","", 'Equipment Information'!C414)</f>
        <v/>
      </c>
      <c r="D414" t="str">
        <f>IF('Equipment Information'!D414="","", 'Equipment Information'!D414)</f>
        <v/>
      </c>
      <c r="E414" t="str">
        <f>IF(A414="","", IFERROR(VLOOKUP(A414, 'Energized Data'!A:T, 20, FALSE), "N/A"))</f>
        <v/>
      </c>
      <c r="F414" t="str">
        <f>IF(A414="","", IFERROR(VLOOKUP(A414, Insulation!A:J, 9, FALSE), "N/A"))</f>
        <v/>
      </c>
      <c r="G414" t="str">
        <f>IF(A414="","", IFERROR(VLOOKUP(A414, DLRO!A:I, 8, FALSE), "N/A"))</f>
        <v/>
      </c>
      <c r="H414" t="str">
        <f>IF(A414="","", IFERROR(VLOOKUP(A414, Torque!A:I, 8, FALSE), "N/A"))</f>
        <v/>
      </c>
      <c r="I414" t="str">
        <f>IF(A414="","", IFERROR(VLOOKUP(A414, Infrared!A:G, 6, FALSE), "N/A"))</f>
        <v/>
      </c>
      <c r="J414" t="str">
        <f>IF(A414="","", IFERROR(VLOOKUP(A414, Ultrasonic!A:H, 7, FALSE), "N/A"))</f>
        <v/>
      </c>
      <c r="K414" t="str">
        <f>IF(A414="","", IFERROR(VLOOKUP(A414, 'Code Violations'!A:V, 22, FALSE), "N/A"))</f>
        <v/>
      </c>
      <c r="L414" t="str">
        <f t="shared" si="6"/>
        <v/>
      </c>
    </row>
    <row r="415" spans="1:12" x14ac:dyDescent="0.25">
      <c r="A415" t="str">
        <f>IF('Equipment Information'!A415="","", 'Equipment Information'!A415)</f>
        <v/>
      </c>
      <c r="B415" t="str">
        <f>IF('Equipment Information'!B415="","", 'Equipment Information'!B415)</f>
        <v/>
      </c>
      <c r="C415" t="str">
        <f>IF('Equipment Information'!C415="","", 'Equipment Information'!C415)</f>
        <v/>
      </c>
      <c r="D415" t="str">
        <f>IF('Equipment Information'!D415="","", 'Equipment Information'!D415)</f>
        <v/>
      </c>
      <c r="E415" t="str">
        <f>IF(A415="","", IFERROR(VLOOKUP(A415, 'Energized Data'!A:T, 20, FALSE), "N/A"))</f>
        <v/>
      </c>
      <c r="F415" t="str">
        <f>IF(A415="","", IFERROR(VLOOKUP(A415, Insulation!A:J, 9, FALSE), "N/A"))</f>
        <v/>
      </c>
      <c r="G415" t="str">
        <f>IF(A415="","", IFERROR(VLOOKUP(A415, DLRO!A:I, 8, FALSE), "N/A"))</f>
        <v/>
      </c>
      <c r="H415" t="str">
        <f>IF(A415="","", IFERROR(VLOOKUP(A415, Torque!A:I, 8, FALSE), "N/A"))</f>
        <v/>
      </c>
      <c r="I415" t="str">
        <f>IF(A415="","", IFERROR(VLOOKUP(A415, Infrared!A:G, 6, FALSE), "N/A"))</f>
        <v/>
      </c>
      <c r="J415" t="str">
        <f>IF(A415="","", IFERROR(VLOOKUP(A415, Ultrasonic!A:H, 7, FALSE), "N/A"))</f>
        <v/>
      </c>
      <c r="K415" t="str">
        <f>IF(A415="","", IFERROR(VLOOKUP(A415, 'Code Violations'!A:V, 22, FALSE), "N/A"))</f>
        <v/>
      </c>
      <c r="L415" t="str">
        <f t="shared" si="6"/>
        <v/>
      </c>
    </row>
    <row r="416" spans="1:12" x14ac:dyDescent="0.25">
      <c r="A416" t="str">
        <f>IF('Equipment Information'!A416="","", 'Equipment Information'!A416)</f>
        <v/>
      </c>
      <c r="B416" t="str">
        <f>IF('Equipment Information'!B416="","", 'Equipment Information'!B416)</f>
        <v/>
      </c>
      <c r="C416" t="str">
        <f>IF('Equipment Information'!C416="","", 'Equipment Information'!C416)</f>
        <v/>
      </c>
      <c r="D416" t="str">
        <f>IF('Equipment Information'!D416="","", 'Equipment Information'!D416)</f>
        <v/>
      </c>
      <c r="E416" t="str">
        <f>IF(A416="","", IFERROR(VLOOKUP(A416, 'Energized Data'!A:T, 20, FALSE), "N/A"))</f>
        <v/>
      </c>
      <c r="F416" t="str">
        <f>IF(A416="","", IFERROR(VLOOKUP(A416, Insulation!A:J, 9, FALSE), "N/A"))</f>
        <v/>
      </c>
      <c r="G416" t="str">
        <f>IF(A416="","", IFERROR(VLOOKUP(A416, DLRO!A:I, 8, FALSE), "N/A"))</f>
        <v/>
      </c>
      <c r="H416" t="str">
        <f>IF(A416="","", IFERROR(VLOOKUP(A416, Torque!A:I, 8, FALSE), "N/A"))</f>
        <v/>
      </c>
      <c r="I416" t="str">
        <f>IF(A416="","", IFERROR(VLOOKUP(A416, Infrared!A:G, 6, FALSE), "N/A"))</f>
        <v/>
      </c>
      <c r="J416" t="str">
        <f>IF(A416="","", IFERROR(VLOOKUP(A416, Ultrasonic!A:H, 7, FALSE), "N/A"))</f>
        <v/>
      </c>
      <c r="K416" t="str">
        <f>IF(A416="","", IFERROR(VLOOKUP(A416, 'Code Violations'!A:V, 22, FALSE), "N/A"))</f>
        <v/>
      </c>
      <c r="L416" t="str">
        <f t="shared" si="6"/>
        <v/>
      </c>
    </row>
    <row r="417" spans="1:12" x14ac:dyDescent="0.25">
      <c r="A417" t="str">
        <f>IF('Equipment Information'!A417="","", 'Equipment Information'!A417)</f>
        <v/>
      </c>
      <c r="B417" t="str">
        <f>IF('Equipment Information'!B417="","", 'Equipment Information'!B417)</f>
        <v/>
      </c>
      <c r="C417" t="str">
        <f>IF('Equipment Information'!C417="","", 'Equipment Information'!C417)</f>
        <v/>
      </c>
      <c r="D417" t="str">
        <f>IF('Equipment Information'!D417="","", 'Equipment Information'!D417)</f>
        <v/>
      </c>
      <c r="E417" t="str">
        <f>IF(A417="","", IFERROR(VLOOKUP(A417, 'Energized Data'!A:T, 20, FALSE), "N/A"))</f>
        <v/>
      </c>
      <c r="F417" t="str">
        <f>IF(A417="","", IFERROR(VLOOKUP(A417, Insulation!A:J, 9, FALSE), "N/A"))</f>
        <v/>
      </c>
      <c r="G417" t="str">
        <f>IF(A417="","", IFERROR(VLOOKUP(A417, DLRO!A:I, 8, FALSE), "N/A"))</f>
        <v/>
      </c>
      <c r="H417" t="str">
        <f>IF(A417="","", IFERROR(VLOOKUP(A417, Torque!A:I, 8, FALSE), "N/A"))</f>
        <v/>
      </c>
      <c r="I417" t="str">
        <f>IF(A417="","", IFERROR(VLOOKUP(A417, Infrared!A:G, 6, FALSE), "N/A"))</f>
        <v/>
      </c>
      <c r="J417" t="str">
        <f>IF(A417="","", IFERROR(VLOOKUP(A417, Ultrasonic!A:H, 7, FALSE), "N/A"))</f>
        <v/>
      </c>
      <c r="K417" t="str">
        <f>IF(A417="","", IFERROR(VLOOKUP(A417, 'Code Violations'!A:V, 22, FALSE), "N/A"))</f>
        <v/>
      </c>
      <c r="L417" t="str">
        <f t="shared" si="6"/>
        <v/>
      </c>
    </row>
    <row r="418" spans="1:12" x14ac:dyDescent="0.25">
      <c r="A418" t="str">
        <f>IF('Equipment Information'!A418="","", 'Equipment Information'!A418)</f>
        <v/>
      </c>
      <c r="B418" t="str">
        <f>IF('Equipment Information'!B418="","", 'Equipment Information'!B418)</f>
        <v/>
      </c>
      <c r="C418" t="str">
        <f>IF('Equipment Information'!C418="","", 'Equipment Information'!C418)</f>
        <v/>
      </c>
      <c r="D418" t="str">
        <f>IF('Equipment Information'!D418="","", 'Equipment Information'!D418)</f>
        <v/>
      </c>
      <c r="E418" t="str">
        <f>IF(A418="","", IFERROR(VLOOKUP(A418, 'Energized Data'!A:T, 20, FALSE), "N/A"))</f>
        <v/>
      </c>
      <c r="F418" t="str">
        <f>IF(A418="","", IFERROR(VLOOKUP(A418, Insulation!A:J, 9, FALSE), "N/A"))</f>
        <v/>
      </c>
      <c r="G418" t="str">
        <f>IF(A418="","", IFERROR(VLOOKUP(A418, DLRO!A:I, 8, FALSE), "N/A"))</f>
        <v/>
      </c>
      <c r="H418" t="str">
        <f>IF(A418="","", IFERROR(VLOOKUP(A418, Torque!A:I, 8, FALSE), "N/A"))</f>
        <v/>
      </c>
      <c r="I418" t="str">
        <f>IF(A418="","", IFERROR(VLOOKUP(A418, Infrared!A:G, 6, FALSE), "N/A"))</f>
        <v/>
      </c>
      <c r="J418" t="str">
        <f>IF(A418="","", IFERROR(VLOOKUP(A418, Ultrasonic!A:H, 7, FALSE), "N/A"))</f>
        <v/>
      </c>
      <c r="K418" t="str">
        <f>IF(A418="","", IFERROR(VLOOKUP(A418, 'Code Violations'!A:V, 22, FALSE), "N/A"))</f>
        <v/>
      </c>
      <c r="L418" t="str">
        <f t="shared" si="6"/>
        <v/>
      </c>
    </row>
    <row r="419" spans="1:12" x14ac:dyDescent="0.25">
      <c r="A419" t="str">
        <f>IF('Equipment Information'!A419="","", 'Equipment Information'!A419)</f>
        <v/>
      </c>
      <c r="B419" t="str">
        <f>IF('Equipment Information'!B419="","", 'Equipment Information'!B419)</f>
        <v/>
      </c>
      <c r="C419" t="str">
        <f>IF('Equipment Information'!C419="","", 'Equipment Information'!C419)</f>
        <v/>
      </c>
      <c r="D419" t="str">
        <f>IF('Equipment Information'!D419="","", 'Equipment Information'!D419)</f>
        <v/>
      </c>
      <c r="E419" t="str">
        <f>IF(A419="","", IFERROR(VLOOKUP(A419, 'Energized Data'!A:T, 20, FALSE), "N/A"))</f>
        <v/>
      </c>
      <c r="F419" t="str">
        <f>IF(A419="","", IFERROR(VLOOKUP(A419, Insulation!A:J, 9, FALSE), "N/A"))</f>
        <v/>
      </c>
      <c r="G419" t="str">
        <f>IF(A419="","", IFERROR(VLOOKUP(A419, DLRO!A:I, 8, FALSE), "N/A"))</f>
        <v/>
      </c>
      <c r="H419" t="str">
        <f>IF(A419="","", IFERROR(VLOOKUP(A419, Torque!A:I, 8, FALSE), "N/A"))</f>
        <v/>
      </c>
      <c r="I419" t="str">
        <f>IF(A419="","", IFERROR(VLOOKUP(A419, Infrared!A:G, 6, FALSE), "N/A"))</f>
        <v/>
      </c>
      <c r="J419" t="str">
        <f>IF(A419="","", IFERROR(VLOOKUP(A419, Ultrasonic!A:H, 7, FALSE), "N/A"))</f>
        <v/>
      </c>
      <c r="K419" t="str">
        <f>IF(A419="","", IFERROR(VLOOKUP(A419, 'Code Violations'!A:V, 22, FALSE), "N/A"))</f>
        <v/>
      </c>
      <c r="L419" t="str">
        <f t="shared" si="6"/>
        <v/>
      </c>
    </row>
    <row r="420" spans="1:12" x14ac:dyDescent="0.25">
      <c r="A420" t="str">
        <f>IF('Equipment Information'!A420="","", 'Equipment Information'!A420)</f>
        <v/>
      </c>
      <c r="B420" t="str">
        <f>IF('Equipment Information'!B420="","", 'Equipment Information'!B420)</f>
        <v/>
      </c>
      <c r="C420" t="str">
        <f>IF('Equipment Information'!C420="","", 'Equipment Information'!C420)</f>
        <v/>
      </c>
      <c r="D420" t="str">
        <f>IF('Equipment Information'!D420="","", 'Equipment Information'!D420)</f>
        <v/>
      </c>
      <c r="E420" t="str">
        <f>IF(A420="","", IFERROR(VLOOKUP(A420, 'Energized Data'!A:T, 20, FALSE), "N/A"))</f>
        <v/>
      </c>
      <c r="F420" t="str">
        <f>IF(A420="","", IFERROR(VLOOKUP(A420, Insulation!A:J, 9, FALSE), "N/A"))</f>
        <v/>
      </c>
      <c r="G420" t="str">
        <f>IF(A420="","", IFERROR(VLOOKUP(A420, DLRO!A:I, 8, FALSE), "N/A"))</f>
        <v/>
      </c>
      <c r="H420" t="str">
        <f>IF(A420="","", IFERROR(VLOOKUP(A420, Torque!A:I, 8, FALSE), "N/A"))</f>
        <v/>
      </c>
      <c r="I420" t="str">
        <f>IF(A420="","", IFERROR(VLOOKUP(A420, Infrared!A:G, 6, FALSE), "N/A"))</f>
        <v/>
      </c>
      <c r="J420" t="str">
        <f>IF(A420="","", IFERROR(VLOOKUP(A420, Ultrasonic!A:H, 7, FALSE), "N/A"))</f>
        <v/>
      </c>
      <c r="K420" t="str">
        <f>IF(A420="","", IFERROR(VLOOKUP(A420, 'Code Violations'!A:V, 22, FALSE), "N/A"))</f>
        <v/>
      </c>
      <c r="L420" t="str">
        <f t="shared" si="6"/>
        <v/>
      </c>
    </row>
    <row r="421" spans="1:12" x14ac:dyDescent="0.25">
      <c r="A421" t="str">
        <f>IF('Equipment Information'!A421="","", 'Equipment Information'!A421)</f>
        <v/>
      </c>
      <c r="B421" t="str">
        <f>IF('Equipment Information'!B421="","", 'Equipment Information'!B421)</f>
        <v/>
      </c>
      <c r="C421" t="str">
        <f>IF('Equipment Information'!C421="","", 'Equipment Information'!C421)</f>
        <v/>
      </c>
      <c r="D421" t="str">
        <f>IF('Equipment Information'!D421="","", 'Equipment Information'!D421)</f>
        <v/>
      </c>
      <c r="E421" t="str">
        <f>IF(A421="","", IFERROR(VLOOKUP(A421, 'Energized Data'!A:T, 20, FALSE), "N/A"))</f>
        <v/>
      </c>
      <c r="F421" t="str">
        <f>IF(A421="","", IFERROR(VLOOKUP(A421, Insulation!A:J, 9, FALSE), "N/A"))</f>
        <v/>
      </c>
      <c r="G421" t="str">
        <f>IF(A421="","", IFERROR(VLOOKUP(A421, DLRO!A:I, 8, FALSE), "N/A"))</f>
        <v/>
      </c>
      <c r="H421" t="str">
        <f>IF(A421="","", IFERROR(VLOOKUP(A421, Torque!A:I, 8, FALSE), "N/A"))</f>
        <v/>
      </c>
      <c r="I421" t="str">
        <f>IF(A421="","", IFERROR(VLOOKUP(A421, Infrared!A:G, 6, FALSE), "N/A"))</f>
        <v/>
      </c>
      <c r="J421" t="str">
        <f>IF(A421="","", IFERROR(VLOOKUP(A421, Ultrasonic!A:H, 7, FALSE), "N/A"))</f>
        <v/>
      </c>
      <c r="K421" t="str">
        <f>IF(A421="","", IFERROR(VLOOKUP(A421, 'Code Violations'!A:V, 22, FALSE), "N/A"))</f>
        <v/>
      </c>
      <c r="L421" t="str">
        <f t="shared" si="6"/>
        <v/>
      </c>
    </row>
    <row r="422" spans="1:12" x14ac:dyDescent="0.25">
      <c r="A422" t="str">
        <f>IF('Equipment Information'!A422="","", 'Equipment Information'!A422)</f>
        <v/>
      </c>
      <c r="B422" t="str">
        <f>IF('Equipment Information'!B422="","", 'Equipment Information'!B422)</f>
        <v/>
      </c>
      <c r="C422" t="str">
        <f>IF('Equipment Information'!C422="","", 'Equipment Information'!C422)</f>
        <v/>
      </c>
      <c r="D422" t="str">
        <f>IF('Equipment Information'!D422="","", 'Equipment Information'!D422)</f>
        <v/>
      </c>
      <c r="E422" t="str">
        <f>IF(A422="","", IFERROR(VLOOKUP(A422, 'Energized Data'!A:T, 20, FALSE), "N/A"))</f>
        <v/>
      </c>
      <c r="F422" t="str">
        <f>IF(A422="","", IFERROR(VLOOKUP(A422, Insulation!A:J, 9, FALSE), "N/A"))</f>
        <v/>
      </c>
      <c r="G422" t="str">
        <f>IF(A422="","", IFERROR(VLOOKUP(A422, DLRO!A:I, 8, FALSE), "N/A"))</f>
        <v/>
      </c>
      <c r="H422" t="str">
        <f>IF(A422="","", IFERROR(VLOOKUP(A422, Torque!A:I, 8, FALSE), "N/A"))</f>
        <v/>
      </c>
      <c r="I422" t="str">
        <f>IF(A422="","", IFERROR(VLOOKUP(A422, Infrared!A:G, 6, FALSE), "N/A"))</f>
        <v/>
      </c>
      <c r="J422" t="str">
        <f>IF(A422="","", IFERROR(VLOOKUP(A422, Ultrasonic!A:H, 7, FALSE), "N/A"))</f>
        <v/>
      </c>
      <c r="K422" t="str">
        <f>IF(A422="","", IFERROR(VLOOKUP(A422, 'Code Violations'!A:V, 22, FALSE), "N/A"))</f>
        <v/>
      </c>
      <c r="L422" t="str">
        <f t="shared" si="6"/>
        <v/>
      </c>
    </row>
    <row r="423" spans="1:12" x14ac:dyDescent="0.25">
      <c r="A423" t="str">
        <f>IF('Equipment Information'!A423="","", 'Equipment Information'!A423)</f>
        <v/>
      </c>
      <c r="B423" t="str">
        <f>IF('Equipment Information'!B423="","", 'Equipment Information'!B423)</f>
        <v/>
      </c>
      <c r="C423" t="str">
        <f>IF('Equipment Information'!C423="","", 'Equipment Information'!C423)</f>
        <v/>
      </c>
      <c r="D423" t="str">
        <f>IF('Equipment Information'!D423="","", 'Equipment Information'!D423)</f>
        <v/>
      </c>
      <c r="E423" t="str">
        <f>IF(A423="","", IFERROR(VLOOKUP(A423, 'Energized Data'!A:T, 20, FALSE), "N/A"))</f>
        <v/>
      </c>
      <c r="F423" t="str">
        <f>IF(A423="","", IFERROR(VLOOKUP(A423, Insulation!A:J, 9, FALSE), "N/A"))</f>
        <v/>
      </c>
      <c r="G423" t="str">
        <f>IF(A423="","", IFERROR(VLOOKUP(A423, DLRO!A:I, 8, FALSE), "N/A"))</f>
        <v/>
      </c>
      <c r="H423" t="str">
        <f>IF(A423="","", IFERROR(VLOOKUP(A423, Torque!A:I, 8, FALSE), "N/A"))</f>
        <v/>
      </c>
      <c r="I423" t="str">
        <f>IF(A423="","", IFERROR(VLOOKUP(A423, Infrared!A:G, 6, FALSE), "N/A"))</f>
        <v/>
      </c>
      <c r="J423" t="str">
        <f>IF(A423="","", IFERROR(VLOOKUP(A423, Ultrasonic!A:H, 7, FALSE), "N/A"))</f>
        <v/>
      </c>
      <c r="K423" t="str">
        <f>IF(A423="","", IFERROR(VLOOKUP(A423, 'Code Violations'!A:V, 22, FALSE), "N/A"))</f>
        <v/>
      </c>
      <c r="L423" t="str">
        <f t="shared" si="6"/>
        <v/>
      </c>
    </row>
    <row r="424" spans="1:12" x14ac:dyDescent="0.25">
      <c r="A424" t="str">
        <f>IF('Equipment Information'!A424="","", 'Equipment Information'!A424)</f>
        <v/>
      </c>
      <c r="B424" t="str">
        <f>IF('Equipment Information'!B424="","", 'Equipment Information'!B424)</f>
        <v/>
      </c>
      <c r="C424" t="str">
        <f>IF('Equipment Information'!C424="","", 'Equipment Information'!C424)</f>
        <v/>
      </c>
      <c r="D424" t="str">
        <f>IF('Equipment Information'!D424="","", 'Equipment Information'!D424)</f>
        <v/>
      </c>
      <c r="E424" t="str">
        <f>IF(A424="","", IFERROR(VLOOKUP(A424, 'Energized Data'!A:T, 20, FALSE), "N/A"))</f>
        <v/>
      </c>
      <c r="F424" t="str">
        <f>IF(A424="","", IFERROR(VLOOKUP(A424, Insulation!A:J, 9, FALSE), "N/A"))</f>
        <v/>
      </c>
      <c r="G424" t="str">
        <f>IF(A424="","", IFERROR(VLOOKUP(A424, DLRO!A:I, 8, FALSE), "N/A"))</f>
        <v/>
      </c>
      <c r="H424" t="str">
        <f>IF(A424="","", IFERROR(VLOOKUP(A424, Torque!A:I, 8, FALSE), "N/A"))</f>
        <v/>
      </c>
      <c r="I424" t="str">
        <f>IF(A424="","", IFERROR(VLOOKUP(A424, Infrared!A:G, 6, FALSE), "N/A"))</f>
        <v/>
      </c>
      <c r="J424" t="str">
        <f>IF(A424="","", IFERROR(VLOOKUP(A424, Ultrasonic!A:H, 7, FALSE), "N/A"))</f>
        <v/>
      </c>
      <c r="K424" t="str">
        <f>IF(A424="","", IFERROR(VLOOKUP(A424, 'Code Violations'!A:V, 22, FALSE), "N/A"))</f>
        <v/>
      </c>
      <c r="L424" t="str">
        <f t="shared" si="6"/>
        <v/>
      </c>
    </row>
    <row r="425" spans="1:12" x14ac:dyDescent="0.25">
      <c r="A425" t="str">
        <f>IF('Equipment Information'!A425="","", 'Equipment Information'!A425)</f>
        <v/>
      </c>
      <c r="B425" t="str">
        <f>IF('Equipment Information'!B425="","", 'Equipment Information'!B425)</f>
        <v/>
      </c>
      <c r="C425" t="str">
        <f>IF('Equipment Information'!C425="","", 'Equipment Information'!C425)</f>
        <v/>
      </c>
      <c r="D425" t="str">
        <f>IF('Equipment Information'!D425="","", 'Equipment Information'!D425)</f>
        <v/>
      </c>
      <c r="E425" t="str">
        <f>IF(A425="","", IFERROR(VLOOKUP(A425, 'Energized Data'!A:T, 20, FALSE), "N/A"))</f>
        <v/>
      </c>
      <c r="F425" t="str">
        <f>IF(A425="","", IFERROR(VLOOKUP(A425, Insulation!A:J, 9, FALSE), "N/A"))</f>
        <v/>
      </c>
      <c r="G425" t="str">
        <f>IF(A425="","", IFERROR(VLOOKUP(A425, DLRO!A:I, 8, FALSE), "N/A"))</f>
        <v/>
      </c>
      <c r="H425" t="str">
        <f>IF(A425="","", IFERROR(VLOOKUP(A425, Torque!A:I, 8, FALSE), "N/A"))</f>
        <v/>
      </c>
      <c r="I425" t="str">
        <f>IF(A425="","", IFERROR(VLOOKUP(A425, Infrared!A:G, 6, FALSE), "N/A"))</f>
        <v/>
      </c>
      <c r="J425" t="str">
        <f>IF(A425="","", IFERROR(VLOOKUP(A425, Ultrasonic!A:H, 7, FALSE), "N/A"))</f>
        <v/>
      </c>
      <c r="K425" t="str">
        <f>IF(A425="","", IFERROR(VLOOKUP(A425, 'Code Violations'!A:V, 22, FALSE), "N/A"))</f>
        <v/>
      </c>
      <c r="L425" t="str">
        <f t="shared" si="6"/>
        <v/>
      </c>
    </row>
    <row r="426" spans="1:12" x14ac:dyDescent="0.25">
      <c r="A426" t="str">
        <f>IF('Equipment Information'!A426="","", 'Equipment Information'!A426)</f>
        <v/>
      </c>
      <c r="B426" t="str">
        <f>IF('Equipment Information'!B426="","", 'Equipment Information'!B426)</f>
        <v/>
      </c>
      <c r="C426" t="str">
        <f>IF('Equipment Information'!C426="","", 'Equipment Information'!C426)</f>
        <v/>
      </c>
      <c r="D426" t="str">
        <f>IF('Equipment Information'!D426="","", 'Equipment Information'!D426)</f>
        <v/>
      </c>
      <c r="E426" t="str">
        <f>IF(A426="","", IFERROR(VLOOKUP(A426, 'Energized Data'!A:T, 20, FALSE), "N/A"))</f>
        <v/>
      </c>
      <c r="F426" t="str">
        <f>IF(A426="","", IFERROR(VLOOKUP(A426, Insulation!A:J, 9, FALSE), "N/A"))</f>
        <v/>
      </c>
      <c r="G426" t="str">
        <f>IF(A426="","", IFERROR(VLOOKUP(A426, DLRO!A:I, 8, FALSE), "N/A"))</f>
        <v/>
      </c>
      <c r="H426" t="str">
        <f>IF(A426="","", IFERROR(VLOOKUP(A426, Torque!A:I, 8, FALSE), "N/A"))</f>
        <v/>
      </c>
      <c r="I426" t="str">
        <f>IF(A426="","", IFERROR(VLOOKUP(A426, Infrared!A:G, 6, FALSE), "N/A"))</f>
        <v/>
      </c>
      <c r="J426" t="str">
        <f>IF(A426="","", IFERROR(VLOOKUP(A426, Ultrasonic!A:H, 7, FALSE), "N/A"))</f>
        <v/>
      </c>
      <c r="K426" t="str">
        <f>IF(A426="","", IFERROR(VLOOKUP(A426, 'Code Violations'!A:V, 22, FALSE), "N/A"))</f>
        <v/>
      </c>
      <c r="L426" t="str">
        <f t="shared" si="6"/>
        <v/>
      </c>
    </row>
    <row r="427" spans="1:12" x14ac:dyDescent="0.25">
      <c r="A427" t="str">
        <f>IF('Equipment Information'!A427="","", 'Equipment Information'!A427)</f>
        <v/>
      </c>
      <c r="B427" t="str">
        <f>IF('Equipment Information'!B427="","", 'Equipment Information'!B427)</f>
        <v/>
      </c>
      <c r="C427" t="str">
        <f>IF('Equipment Information'!C427="","", 'Equipment Information'!C427)</f>
        <v/>
      </c>
      <c r="D427" t="str">
        <f>IF('Equipment Information'!D427="","", 'Equipment Information'!D427)</f>
        <v/>
      </c>
      <c r="E427" t="str">
        <f>IF(A427="","", IFERROR(VLOOKUP(A427, 'Energized Data'!A:T, 20, FALSE), "N/A"))</f>
        <v/>
      </c>
      <c r="F427" t="str">
        <f>IF(A427="","", IFERROR(VLOOKUP(A427, Insulation!A:J, 9, FALSE), "N/A"))</f>
        <v/>
      </c>
      <c r="G427" t="str">
        <f>IF(A427="","", IFERROR(VLOOKUP(A427, DLRO!A:I, 8, FALSE), "N/A"))</f>
        <v/>
      </c>
      <c r="H427" t="str">
        <f>IF(A427="","", IFERROR(VLOOKUP(A427, Torque!A:I, 8, FALSE), "N/A"))</f>
        <v/>
      </c>
      <c r="I427" t="str">
        <f>IF(A427="","", IFERROR(VLOOKUP(A427, Infrared!A:G, 6, FALSE), "N/A"))</f>
        <v/>
      </c>
      <c r="J427" t="str">
        <f>IF(A427="","", IFERROR(VLOOKUP(A427, Ultrasonic!A:H, 7, FALSE), "N/A"))</f>
        <v/>
      </c>
      <c r="K427" t="str">
        <f>IF(A427="","", IFERROR(VLOOKUP(A427, 'Code Violations'!A:V, 22, FALSE), "N/A"))</f>
        <v/>
      </c>
      <c r="L427" t="str">
        <f t="shared" si="6"/>
        <v/>
      </c>
    </row>
    <row r="428" spans="1:12" x14ac:dyDescent="0.25">
      <c r="A428" t="str">
        <f>IF('Equipment Information'!A428="","", 'Equipment Information'!A428)</f>
        <v/>
      </c>
      <c r="B428" t="str">
        <f>IF('Equipment Information'!B428="","", 'Equipment Information'!B428)</f>
        <v/>
      </c>
      <c r="C428" t="str">
        <f>IF('Equipment Information'!C428="","", 'Equipment Information'!C428)</f>
        <v/>
      </c>
      <c r="D428" t="str">
        <f>IF('Equipment Information'!D428="","", 'Equipment Information'!D428)</f>
        <v/>
      </c>
      <c r="E428" t="str">
        <f>IF(A428="","", IFERROR(VLOOKUP(A428, 'Energized Data'!A:T, 20, FALSE), "N/A"))</f>
        <v/>
      </c>
      <c r="F428" t="str">
        <f>IF(A428="","", IFERROR(VLOOKUP(A428, Insulation!A:J, 9, FALSE), "N/A"))</f>
        <v/>
      </c>
      <c r="G428" t="str">
        <f>IF(A428="","", IFERROR(VLOOKUP(A428, DLRO!A:I, 8, FALSE), "N/A"))</f>
        <v/>
      </c>
      <c r="H428" t="str">
        <f>IF(A428="","", IFERROR(VLOOKUP(A428, Torque!A:I, 8, FALSE), "N/A"))</f>
        <v/>
      </c>
      <c r="I428" t="str">
        <f>IF(A428="","", IFERROR(VLOOKUP(A428, Infrared!A:G, 6, FALSE), "N/A"))</f>
        <v/>
      </c>
      <c r="J428" t="str">
        <f>IF(A428="","", IFERROR(VLOOKUP(A428, Ultrasonic!A:H, 7, FALSE), "N/A"))</f>
        <v/>
      </c>
      <c r="K428" t="str">
        <f>IF(A428="","", IFERROR(VLOOKUP(A428, 'Code Violations'!A:V, 22, FALSE), "N/A"))</f>
        <v/>
      </c>
      <c r="L428" t="str">
        <f t="shared" si="6"/>
        <v/>
      </c>
    </row>
    <row r="429" spans="1:12" x14ac:dyDescent="0.25">
      <c r="A429" t="str">
        <f>IF('Equipment Information'!A429="","", 'Equipment Information'!A429)</f>
        <v/>
      </c>
      <c r="B429" t="str">
        <f>IF('Equipment Information'!B429="","", 'Equipment Information'!B429)</f>
        <v/>
      </c>
      <c r="C429" t="str">
        <f>IF('Equipment Information'!C429="","", 'Equipment Information'!C429)</f>
        <v/>
      </c>
      <c r="D429" t="str">
        <f>IF('Equipment Information'!D429="","", 'Equipment Information'!D429)</f>
        <v/>
      </c>
      <c r="E429" t="str">
        <f>IF(A429="","", IFERROR(VLOOKUP(A429, 'Energized Data'!A:T, 20, FALSE), "N/A"))</f>
        <v/>
      </c>
      <c r="F429" t="str">
        <f>IF(A429="","", IFERROR(VLOOKUP(A429, Insulation!A:J, 9, FALSE), "N/A"))</f>
        <v/>
      </c>
      <c r="G429" t="str">
        <f>IF(A429="","", IFERROR(VLOOKUP(A429, DLRO!A:I, 8, FALSE), "N/A"))</f>
        <v/>
      </c>
      <c r="H429" t="str">
        <f>IF(A429="","", IFERROR(VLOOKUP(A429, Torque!A:I, 8, FALSE), "N/A"))</f>
        <v/>
      </c>
      <c r="I429" t="str">
        <f>IF(A429="","", IFERROR(VLOOKUP(A429, Infrared!A:G, 6, FALSE), "N/A"))</f>
        <v/>
      </c>
      <c r="J429" t="str">
        <f>IF(A429="","", IFERROR(VLOOKUP(A429, Ultrasonic!A:H, 7, FALSE), "N/A"))</f>
        <v/>
      </c>
      <c r="K429" t="str">
        <f>IF(A429="","", IFERROR(VLOOKUP(A429, 'Code Violations'!A:V, 22, FALSE), "N/A"))</f>
        <v/>
      </c>
      <c r="L429" t="str">
        <f t="shared" si="6"/>
        <v/>
      </c>
    </row>
    <row r="430" spans="1:12" x14ac:dyDescent="0.25">
      <c r="A430" t="str">
        <f>IF('Equipment Information'!A430="","", 'Equipment Information'!A430)</f>
        <v/>
      </c>
      <c r="B430" t="str">
        <f>IF('Equipment Information'!B430="","", 'Equipment Information'!B430)</f>
        <v/>
      </c>
      <c r="C430" t="str">
        <f>IF('Equipment Information'!C430="","", 'Equipment Information'!C430)</f>
        <v/>
      </c>
      <c r="D430" t="str">
        <f>IF('Equipment Information'!D430="","", 'Equipment Information'!D430)</f>
        <v/>
      </c>
      <c r="E430" t="str">
        <f>IF(A430="","", IFERROR(VLOOKUP(A430, 'Energized Data'!A:T, 20, FALSE), "N/A"))</f>
        <v/>
      </c>
      <c r="F430" t="str">
        <f>IF(A430="","", IFERROR(VLOOKUP(A430, Insulation!A:J, 9, FALSE), "N/A"))</f>
        <v/>
      </c>
      <c r="G430" t="str">
        <f>IF(A430="","", IFERROR(VLOOKUP(A430, DLRO!A:I, 8, FALSE), "N/A"))</f>
        <v/>
      </c>
      <c r="H430" t="str">
        <f>IF(A430="","", IFERROR(VLOOKUP(A430, Torque!A:I, 8, FALSE), "N/A"))</f>
        <v/>
      </c>
      <c r="I430" t="str">
        <f>IF(A430="","", IFERROR(VLOOKUP(A430, Infrared!A:G, 6, FALSE), "N/A"))</f>
        <v/>
      </c>
      <c r="J430" t="str">
        <f>IF(A430="","", IFERROR(VLOOKUP(A430, Ultrasonic!A:H, 7, FALSE), "N/A"))</f>
        <v/>
      </c>
      <c r="K430" t="str">
        <f>IF(A430="","", IFERROR(VLOOKUP(A430, 'Code Violations'!A:V, 22, FALSE), "N/A"))</f>
        <v/>
      </c>
      <c r="L430" t="str">
        <f t="shared" si="6"/>
        <v/>
      </c>
    </row>
    <row r="431" spans="1:12" x14ac:dyDescent="0.25">
      <c r="A431" t="str">
        <f>IF('Equipment Information'!A431="","", 'Equipment Information'!A431)</f>
        <v/>
      </c>
      <c r="B431" t="str">
        <f>IF('Equipment Information'!B431="","", 'Equipment Information'!B431)</f>
        <v/>
      </c>
      <c r="C431" t="str">
        <f>IF('Equipment Information'!C431="","", 'Equipment Information'!C431)</f>
        <v/>
      </c>
      <c r="D431" t="str">
        <f>IF('Equipment Information'!D431="","", 'Equipment Information'!D431)</f>
        <v/>
      </c>
      <c r="E431" t="str">
        <f>IF(A431="","", IFERROR(VLOOKUP(A431, 'Energized Data'!A:T, 20, FALSE), "N/A"))</f>
        <v/>
      </c>
      <c r="F431" t="str">
        <f>IF(A431="","", IFERROR(VLOOKUP(A431, Insulation!A:J, 9, FALSE), "N/A"))</f>
        <v/>
      </c>
      <c r="G431" t="str">
        <f>IF(A431="","", IFERROR(VLOOKUP(A431, DLRO!A:I, 8, FALSE), "N/A"))</f>
        <v/>
      </c>
      <c r="H431" t="str">
        <f>IF(A431="","", IFERROR(VLOOKUP(A431, Torque!A:I, 8, FALSE), "N/A"))</f>
        <v/>
      </c>
      <c r="I431" t="str">
        <f>IF(A431="","", IFERROR(VLOOKUP(A431, Infrared!A:G, 6, FALSE), "N/A"))</f>
        <v/>
      </c>
      <c r="J431" t="str">
        <f>IF(A431="","", IFERROR(VLOOKUP(A431, Ultrasonic!A:H, 7, FALSE), "N/A"))</f>
        <v/>
      </c>
      <c r="K431" t="str">
        <f>IF(A431="","", IFERROR(VLOOKUP(A431, 'Code Violations'!A:V, 22, FALSE), "N/A"))</f>
        <v/>
      </c>
      <c r="L431" t="str">
        <f t="shared" si="6"/>
        <v/>
      </c>
    </row>
    <row r="432" spans="1:12" x14ac:dyDescent="0.25">
      <c r="A432" t="str">
        <f>IF('Equipment Information'!A432="","", 'Equipment Information'!A432)</f>
        <v/>
      </c>
      <c r="B432" t="str">
        <f>IF('Equipment Information'!B432="","", 'Equipment Information'!B432)</f>
        <v/>
      </c>
      <c r="C432" t="str">
        <f>IF('Equipment Information'!C432="","", 'Equipment Information'!C432)</f>
        <v/>
      </c>
      <c r="D432" t="str">
        <f>IF('Equipment Information'!D432="","", 'Equipment Information'!D432)</f>
        <v/>
      </c>
      <c r="E432" t="str">
        <f>IF(A432="","", IFERROR(VLOOKUP(A432, 'Energized Data'!A:T, 20, FALSE), "N/A"))</f>
        <v/>
      </c>
      <c r="F432" t="str">
        <f>IF(A432="","", IFERROR(VLOOKUP(A432, Insulation!A:J, 9, FALSE), "N/A"))</f>
        <v/>
      </c>
      <c r="G432" t="str">
        <f>IF(A432="","", IFERROR(VLOOKUP(A432, DLRO!A:I, 8, FALSE), "N/A"))</f>
        <v/>
      </c>
      <c r="H432" t="str">
        <f>IF(A432="","", IFERROR(VLOOKUP(A432, Torque!A:I, 8, FALSE), "N/A"))</f>
        <v/>
      </c>
      <c r="I432" t="str">
        <f>IF(A432="","", IFERROR(VLOOKUP(A432, Infrared!A:G, 6, FALSE), "N/A"))</f>
        <v/>
      </c>
      <c r="J432" t="str">
        <f>IF(A432="","", IFERROR(VLOOKUP(A432, Ultrasonic!A:H, 7, FALSE), "N/A"))</f>
        <v/>
      </c>
      <c r="K432" t="str">
        <f>IF(A432="","", IFERROR(VLOOKUP(A432, 'Code Violations'!A:V, 22, FALSE), "N/A"))</f>
        <v/>
      </c>
      <c r="L432" t="str">
        <f t="shared" si="6"/>
        <v/>
      </c>
    </row>
    <row r="433" spans="1:12" x14ac:dyDescent="0.25">
      <c r="A433" t="str">
        <f>IF('Equipment Information'!A433="","", 'Equipment Information'!A433)</f>
        <v/>
      </c>
      <c r="B433" t="str">
        <f>IF('Equipment Information'!B433="","", 'Equipment Information'!B433)</f>
        <v/>
      </c>
      <c r="C433" t="str">
        <f>IF('Equipment Information'!C433="","", 'Equipment Information'!C433)</f>
        <v/>
      </c>
      <c r="D433" t="str">
        <f>IF('Equipment Information'!D433="","", 'Equipment Information'!D433)</f>
        <v/>
      </c>
      <c r="E433" t="str">
        <f>IF(A433="","", IFERROR(VLOOKUP(A433, 'Energized Data'!A:T, 20, FALSE), "N/A"))</f>
        <v/>
      </c>
      <c r="F433" t="str">
        <f>IF(A433="","", IFERROR(VLOOKUP(A433, Insulation!A:J, 9, FALSE), "N/A"))</f>
        <v/>
      </c>
      <c r="G433" t="str">
        <f>IF(A433="","", IFERROR(VLOOKUP(A433, DLRO!A:I, 8, FALSE), "N/A"))</f>
        <v/>
      </c>
      <c r="H433" t="str">
        <f>IF(A433="","", IFERROR(VLOOKUP(A433, Torque!A:I, 8, FALSE), "N/A"))</f>
        <v/>
      </c>
      <c r="I433" t="str">
        <f>IF(A433="","", IFERROR(VLOOKUP(A433, Infrared!A:G, 6, FALSE), "N/A"))</f>
        <v/>
      </c>
      <c r="J433" t="str">
        <f>IF(A433="","", IFERROR(VLOOKUP(A433, Ultrasonic!A:H, 7, FALSE), "N/A"))</f>
        <v/>
      </c>
      <c r="K433" t="str">
        <f>IF(A433="","", IFERROR(VLOOKUP(A433, 'Code Violations'!A:V, 22, FALSE), "N/A"))</f>
        <v/>
      </c>
      <c r="L433" t="str">
        <f t="shared" si="6"/>
        <v/>
      </c>
    </row>
    <row r="434" spans="1:12" x14ac:dyDescent="0.25">
      <c r="A434" t="str">
        <f>IF('Equipment Information'!A434="","", 'Equipment Information'!A434)</f>
        <v/>
      </c>
      <c r="B434" t="str">
        <f>IF('Equipment Information'!B434="","", 'Equipment Information'!B434)</f>
        <v/>
      </c>
      <c r="C434" t="str">
        <f>IF('Equipment Information'!C434="","", 'Equipment Information'!C434)</f>
        <v/>
      </c>
      <c r="D434" t="str">
        <f>IF('Equipment Information'!D434="","", 'Equipment Information'!D434)</f>
        <v/>
      </c>
      <c r="E434" t="str">
        <f>IF(A434="","", IFERROR(VLOOKUP(A434, 'Energized Data'!A:T, 20, FALSE), "N/A"))</f>
        <v/>
      </c>
      <c r="F434" t="str">
        <f>IF(A434="","", IFERROR(VLOOKUP(A434, Insulation!A:J, 9, FALSE), "N/A"))</f>
        <v/>
      </c>
      <c r="G434" t="str">
        <f>IF(A434="","", IFERROR(VLOOKUP(A434, DLRO!A:I, 8, FALSE), "N/A"))</f>
        <v/>
      </c>
      <c r="H434" t="str">
        <f>IF(A434="","", IFERROR(VLOOKUP(A434, Torque!A:I, 8, FALSE), "N/A"))</f>
        <v/>
      </c>
      <c r="I434" t="str">
        <f>IF(A434="","", IFERROR(VLOOKUP(A434, Infrared!A:G, 6, FALSE), "N/A"))</f>
        <v/>
      </c>
      <c r="J434" t="str">
        <f>IF(A434="","", IFERROR(VLOOKUP(A434, Ultrasonic!A:H, 7, FALSE), "N/A"))</f>
        <v/>
      </c>
      <c r="K434" t="str">
        <f>IF(A434="","", IFERROR(VLOOKUP(A434, 'Code Violations'!A:V, 22, FALSE), "N/A"))</f>
        <v/>
      </c>
      <c r="L434" t="str">
        <f t="shared" si="6"/>
        <v/>
      </c>
    </row>
    <row r="435" spans="1:12" x14ac:dyDescent="0.25">
      <c r="A435" t="str">
        <f>IF('Equipment Information'!A435="","", 'Equipment Information'!A435)</f>
        <v/>
      </c>
      <c r="B435" t="str">
        <f>IF('Equipment Information'!B435="","", 'Equipment Information'!B435)</f>
        <v/>
      </c>
      <c r="C435" t="str">
        <f>IF('Equipment Information'!C435="","", 'Equipment Information'!C435)</f>
        <v/>
      </c>
      <c r="D435" t="str">
        <f>IF('Equipment Information'!D435="","", 'Equipment Information'!D435)</f>
        <v/>
      </c>
      <c r="E435" t="str">
        <f>IF(A435="","", IFERROR(VLOOKUP(A435, 'Energized Data'!A:T, 20, FALSE), "N/A"))</f>
        <v/>
      </c>
      <c r="F435" t="str">
        <f>IF(A435="","", IFERROR(VLOOKUP(A435, Insulation!A:J, 9, FALSE), "N/A"))</f>
        <v/>
      </c>
      <c r="G435" t="str">
        <f>IF(A435="","", IFERROR(VLOOKUP(A435, DLRO!A:I, 8, FALSE), "N/A"))</f>
        <v/>
      </c>
      <c r="H435" t="str">
        <f>IF(A435="","", IFERROR(VLOOKUP(A435, Torque!A:I, 8, FALSE), "N/A"))</f>
        <v/>
      </c>
      <c r="I435" t="str">
        <f>IF(A435="","", IFERROR(VLOOKUP(A435, Infrared!A:G, 6, FALSE), "N/A"))</f>
        <v/>
      </c>
      <c r="J435" t="str">
        <f>IF(A435="","", IFERROR(VLOOKUP(A435, Ultrasonic!A:H, 7, FALSE), "N/A"))</f>
        <v/>
      </c>
      <c r="K435" t="str">
        <f>IF(A435="","", IFERROR(VLOOKUP(A435, 'Code Violations'!A:V, 22, FALSE), "N/A"))</f>
        <v/>
      </c>
      <c r="L435" t="str">
        <f t="shared" si="6"/>
        <v/>
      </c>
    </row>
    <row r="436" spans="1:12" x14ac:dyDescent="0.25">
      <c r="A436" t="str">
        <f>IF('Equipment Information'!A436="","", 'Equipment Information'!A436)</f>
        <v/>
      </c>
      <c r="B436" t="str">
        <f>IF('Equipment Information'!B436="","", 'Equipment Information'!B436)</f>
        <v/>
      </c>
      <c r="C436" t="str">
        <f>IF('Equipment Information'!C436="","", 'Equipment Information'!C436)</f>
        <v/>
      </c>
      <c r="D436" t="str">
        <f>IF('Equipment Information'!D436="","", 'Equipment Information'!D436)</f>
        <v/>
      </c>
      <c r="E436" t="str">
        <f>IF(A436="","", IFERROR(VLOOKUP(A436, 'Energized Data'!A:T, 20, FALSE), "N/A"))</f>
        <v/>
      </c>
      <c r="F436" t="str">
        <f>IF(A436="","", IFERROR(VLOOKUP(A436, Insulation!A:J, 9, FALSE), "N/A"))</f>
        <v/>
      </c>
      <c r="G436" t="str">
        <f>IF(A436="","", IFERROR(VLOOKUP(A436, DLRO!A:I, 8, FALSE), "N/A"))</f>
        <v/>
      </c>
      <c r="H436" t="str">
        <f>IF(A436="","", IFERROR(VLOOKUP(A436, Torque!A:I, 8, FALSE), "N/A"))</f>
        <v/>
      </c>
      <c r="I436" t="str">
        <f>IF(A436="","", IFERROR(VLOOKUP(A436, Infrared!A:G, 6, FALSE), "N/A"))</f>
        <v/>
      </c>
      <c r="J436" t="str">
        <f>IF(A436="","", IFERROR(VLOOKUP(A436, Ultrasonic!A:H, 7, FALSE), "N/A"))</f>
        <v/>
      </c>
      <c r="K436" t="str">
        <f>IF(A436="","", IFERROR(VLOOKUP(A436, 'Code Violations'!A:V, 22, FALSE), "N/A"))</f>
        <v/>
      </c>
      <c r="L436" t="str">
        <f t="shared" si="6"/>
        <v/>
      </c>
    </row>
    <row r="437" spans="1:12" x14ac:dyDescent="0.25">
      <c r="A437" t="str">
        <f>IF('Equipment Information'!A437="","", 'Equipment Information'!A437)</f>
        <v/>
      </c>
      <c r="B437" t="str">
        <f>IF('Equipment Information'!B437="","", 'Equipment Information'!B437)</f>
        <v/>
      </c>
      <c r="C437" t="str">
        <f>IF('Equipment Information'!C437="","", 'Equipment Information'!C437)</f>
        <v/>
      </c>
      <c r="D437" t="str">
        <f>IF('Equipment Information'!D437="","", 'Equipment Information'!D437)</f>
        <v/>
      </c>
      <c r="E437" t="str">
        <f>IF(A437="","", IFERROR(VLOOKUP(A437, 'Energized Data'!A:T, 20, FALSE), "N/A"))</f>
        <v/>
      </c>
      <c r="F437" t="str">
        <f>IF(A437="","", IFERROR(VLOOKUP(A437, Insulation!A:J, 9, FALSE), "N/A"))</f>
        <v/>
      </c>
      <c r="G437" t="str">
        <f>IF(A437="","", IFERROR(VLOOKUP(A437, DLRO!A:I, 8, FALSE), "N/A"))</f>
        <v/>
      </c>
      <c r="H437" t="str">
        <f>IF(A437="","", IFERROR(VLOOKUP(A437, Torque!A:I, 8, FALSE), "N/A"))</f>
        <v/>
      </c>
      <c r="I437" t="str">
        <f>IF(A437="","", IFERROR(VLOOKUP(A437, Infrared!A:G, 6, FALSE), "N/A"))</f>
        <v/>
      </c>
      <c r="J437" t="str">
        <f>IF(A437="","", IFERROR(VLOOKUP(A437, Ultrasonic!A:H, 7, FALSE), "N/A"))</f>
        <v/>
      </c>
      <c r="K437" t="str">
        <f>IF(A437="","", IFERROR(VLOOKUP(A437, 'Code Violations'!A:V, 22, FALSE), "N/A"))</f>
        <v/>
      </c>
      <c r="L437" t="str">
        <f t="shared" si="6"/>
        <v/>
      </c>
    </row>
    <row r="438" spans="1:12" x14ac:dyDescent="0.25">
      <c r="A438" t="str">
        <f>IF('Equipment Information'!A438="","", 'Equipment Information'!A438)</f>
        <v/>
      </c>
      <c r="B438" t="str">
        <f>IF('Equipment Information'!B438="","", 'Equipment Information'!B438)</f>
        <v/>
      </c>
      <c r="C438" t="str">
        <f>IF('Equipment Information'!C438="","", 'Equipment Information'!C438)</f>
        <v/>
      </c>
      <c r="D438" t="str">
        <f>IF('Equipment Information'!D438="","", 'Equipment Information'!D438)</f>
        <v/>
      </c>
      <c r="E438" t="str">
        <f>IF(A438="","", IFERROR(VLOOKUP(A438, 'Energized Data'!A:T, 20, FALSE), "N/A"))</f>
        <v/>
      </c>
      <c r="F438" t="str">
        <f>IF(A438="","", IFERROR(VLOOKUP(A438, Insulation!A:J, 9, FALSE), "N/A"))</f>
        <v/>
      </c>
      <c r="G438" t="str">
        <f>IF(A438="","", IFERROR(VLOOKUP(A438, DLRO!A:I, 8, FALSE), "N/A"))</f>
        <v/>
      </c>
      <c r="H438" t="str">
        <f>IF(A438="","", IFERROR(VLOOKUP(A438, Torque!A:I, 8, FALSE), "N/A"))</f>
        <v/>
      </c>
      <c r="I438" t="str">
        <f>IF(A438="","", IFERROR(VLOOKUP(A438, Infrared!A:G, 6, FALSE), "N/A"))</f>
        <v/>
      </c>
      <c r="J438" t="str">
        <f>IF(A438="","", IFERROR(VLOOKUP(A438, Ultrasonic!A:H, 7, FALSE), "N/A"))</f>
        <v/>
      </c>
      <c r="K438" t="str">
        <f>IF(A438="","", IFERROR(VLOOKUP(A438, 'Code Violations'!A:V, 22, FALSE), "N/A"))</f>
        <v/>
      </c>
      <c r="L438" t="str">
        <f t="shared" si="6"/>
        <v/>
      </c>
    </row>
    <row r="439" spans="1:12" x14ac:dyDescent="0.25">
      <c r="A439" t="str">
        <f>IF('Equipment Information'!A439="","", 'Equipment Information'!A439)</f>
        <v/>
      </c>
      <c r="B439" t="str">
        <f>IF('Equipment Information'!B439="","", 'Equipment Information'!B439)</f>
        <v/>
      </c>
      <c r="C439" t="str">
        <f>IF('Equipment Information'!C439="","", 'Equipment Information'!C439)</f>
        <v/>
      </c>
      <c r="D439" t="str">
        <f>IF('Equipment Information'!D439="","", 'Equipment Information'!D439)</f>
        <v/>
      </c>
      <c r="E439" t="str">
        <f>IF(A439="","", IFERROR(VLOOKUP(A439, 'Energized Data'!A:T, 20, FALSE), "N/A"))</f>
        <v/>
      </c>
      <c r="F439" t="str">
        <f>IF(A439="","", IFERROR(VLOOKUP(A439, Insulation!A:J, 9, FALSE), "N/A"))</f>
        <v/>
      </c>
      <c r="G439" t="str">
        <f>IF(A439="","", IFERROR(VLOOKUP(A439, DLRO!A:I, 8, FALSE), "N/A"))</f>
        <v/>
      </c>
      <c r="H439" t="str">
        <f>IF(A439="","", IFERROR(VLOOKUP(A439, Torque!A:I, 8, FALSE), "N/A"))</f>
        <v/>
      </c>
      <c r="I439" t="str">
        <f>IF(A439="","", IFERROR(VLOOKUP(A439, Infrared!A:G, 6, FALSE), "N/A"))</f>
        <v/>
      </c>
      <c r="J439" t="str">
        <f>IF(A439="","", IFERROR(VLOOKUP(A439, Ultrasonic!A:H, 7, FALSE), "N/A"))</f>
        <v/>
      </c>
      <c r="K439" t="str">
        <f>IF(A439="","", IFERROR(VLOOKUP(A439, 'Code Violations'!A:V, 22, FALSE), "N/A"))</f>
        <v/>
      </c>
      <c r="L439" t="str">
        <f t="shared" si="6"/>
        <v/>
      </c>
    </row>
    <row r="440" spans="1:12" x14ac:dyDescent="0.25">
      <c r="A440" t="str">
        <f>IF('Equipment Information'!A440="","", 'Equipment Information'!A440)</f>
        <v/>
      </c>
      <c r="B440" t="str">
        <f>IF('Equipment Information'!B440="","", 'Equipment Information'!B440)</f>
        <v/>
      </c>
      <c r="C440" t="str">
        <f>IF('Equipment Information'!C440="","", 'Equipment Information'!C440)</f>
        <v/>
      </c>
      <c r="D440" t="str">
        <f>IF('Equipment Information'!D440="","", 'Equipment Information'!D440)</f>
        <v/>
      </c>
      <c r="E440" t="str">
        <f>IF(A440="","", IFERROR(VLOOKUP(A440, 'Energized Data'!A:T, 20, FALSE), "N/A"))</f>
        <v/>
      </c>
      <c r="F440" t="str">
        <f>IF(A440="","", IFERROR(VLOOKUP(A440, Insulation!A:J, 9, FALSE), "N/A"))</f>
        <v/>
      </c>
      <c r="G440" t="str">
        <f>IF(A440="","", IFERROR(VLOOKUP(A440, DLRO!A:I, 8, FALSE), "N/A"))</f>
        <v/>
      </c>
      <c r="H440" t="str">
        <f>IF(A440="","", IFERROR(VLOOKUP(A440, Torque!A:I, 8, FALSE), "N/A"))</f>
        <v/>
      </c>
      <c r="I440" t="str">
        <f>IF(A440="","", IFERROR(VLOOKUP(A440, Infrared!A:G, 6, FALSE), "N/A"))</f>
        <v/>
      </c>
      <c r="J440" t="str">
        <f>IF(A440="","", IFERROR(VLOOKUP(A440, Ultrasonic!A:H, 7, FALSE), "N/A"))</f>
        <v/>
      </c>
      <c r="K440" t="str">
        <f>IF(A440="","", IFERROR(VLOOKUP(A440, 'Code Violations'!A:V, 22, FALSE), "N/A"))</f>
        <v/>
      </c>
      <c r="L440" t="str">
        <f t="shared" si="6"/>
        <v/>
      </c>
    </row>
    <row r="441" spans="1:12" x14ac:dyDescent="0.25">
      <c r="A441" t="str">
        <f>IF('Equipment Information'!A441="","", 'Equipment Information'!A441)</f>
        <v/>
      </c>
      <c r="B441" t="str">
        <f>IF('Equipment Information'!B441="","", 'Equipment Information'!B441)</f>
        <v/>
      </c>
      <c r="C441" t="str">
        <f>IF('Equipment Information'!C441="","", 'Equipment Information'!C441)</f>
        <v/>
      </c>
      <c r="D441" t="str">
        <f>IF('Equipment Information'!D441="","", 'Equipment Information'!D441)</f>
        <v/>
      </c>
      <c r="E441" t="str">
        <f>IF(A441="","", IFERROR(VLOOKUP(A441, 'Energized Data'!A:T, 20, FALSE), "N/A"))</f>
        <v/>
      </c>
      <c r="F441" t="str">
        <f>IF(A441="","", IFERROR(VLOOKUP(A441, Insulation!A:J, 9, FALSE), "N/A"))</f>
        <v/>
      </c>
      <c r="G441" t="str">
        <f>IF(A441="","", IFERROR(VLOOKUP(A441, DLRO!A:I, 8, FALSE), "N/A"))</f>
        <v/>
      </c>
      <c r="H441" t="str">
        <f>IF(A441="","", IFERROR(VLOOKUP(A441, Torque!A:I, 8, FALSE), "N/A"))</f>
        <v/>
      </c>
      <c r="I441" t="str">
        <f>IF(A441="","", IFERROR(VLOOKUP(A441, Infrared!A:G, 6, FALSE), "N/A"))</f>
        <v/>
      </c>
      <c r="J441" t="str">
        <f>IF(A441="","", IFERROR(VLOOKUP(A441, Ultrasonic!A:H, 7, FALSE), "N/A"))</f>
        <v/>
      </c>
      <c r="K441" t="str">
        <f>IF(A441="","", IFERROR(VLOOKUP(A441, 'Code Violations'!A:V, 22, FALSE), "N/A"))</f>
        <v/>
      </c>
      <c r="L441" t="str">
        <f t="shared" si="6"/>
        <v/>
      </c>
    </row>
    <row r="442" spans="1:12" x14ac:dyDescent="0.25">
      <c r="A442" t="str">
        <f>IF('Equipment Information'!A442="","", 'Equipment Information'!A442)</f>
        <v/>
      </c>
      <c r="B442" t="str">
        <f>IF('Equipment Information'!B442="","", 'Equipment Information'!B442)</f>
        <v/>
      </c>
      <c r="C442" t="str">
        <f>IF('Equipment Information'!C442="","", 'Equipment Information'!C442)</f>
        <v/>
      </c>
      <c r="D442" t="str">
        <f>IF('Equipment Information'!D442="","", 'Equipment Information'!D442)</f>
        <v/>
      </c>
      <c r="E442" t="str">
        <f>IF(A442="","", IFERROR(VLOOKUP(A442, 'Energized Data'!A:T, 20, FALSE), "N/A"))</f>
        <v/>
      </c>
      <c r="F442" t="str">
        <f>IF(A442="","", IFERROR(VLOOKUP(A442, Insulation!A:J, 9, FALSE), "N/A"))</f>
        <v/>
      </c>
      <c r="G442" t="str">
        <f>IF(A442="","", IFERROR(VLOOKUP(A442, DLRO!A:I, 8, FALSE), "N/A"))</f>
        <v/>
      </c>
      <c r="H442" t="str">
        <f>IF(A442="","", IFERROR(VLOOKUP(A442, Torque!A:I, 8, FALSE), "N/A"))</f>
        <v/>
      </c>
      <c r="I442" t="str">
        <f>IF(A442="","", IFERROR(VLOOKUP(A442, Infrared!A:G, 6, FALSE), "N/A"))</f>
        <v/>
      </c>
      <c r="J442" t="str">
        <f>IF(A442="","", IFERROR(VLOOKUP(A442, Ultrasonic!A:H, 7, FALSE), "N/A"))</f>
        <v/>
      </c>
      <c r="K442" t="str">
        <f>IF(A442="","", IFERROR(VLOOKUP(A442, 'Code Violations'!A:V, 22, FALSE), "N/A"))</f>
        <v/>
      </c>
      <c r="L442" t="str">
        <f t="shared" si="6"/>
        <v/>
      </c>
    </row>
    <row r="443" spans="1:12" x14ac:dyDescent="0.25">
      <c r="A443" t="str">
        <f>IF('Equipment Information'!A443="","", 'Equipment Information'!A443)</f>
        <v/>
      </c>
      <c r="B443" t="str">
        <f>IF('Equipment Information'!B443="","", 'Equipment Information'!B443)</f>
        <v/>
      </c>
      <c r="C443" t="str">
        <f>IF('Equipment Information'!C443="","", 'Equipment Information'!C443)</f>
        <v/>
      </c>
      <c r="D443" t="str">
        <f>IF('Equipment Information'!D443="","", 'Equipment Information'!D443)</f>
        <v/>
      </c>
      <c r="E443" t="str">
        <f>IF(A443="","", IFERROR(VLOOKUP(A443, 'Energized Data'!A:T, 20, FALSE), "N/A"))</f>
        <v/>
      </c>
      <c r="F443" t="str">
        <f>IF(A443="","", IFERROR(VLOOKUP(A443, Insulation!A:J, 9, FALSE), "N/A"))</f>
        <v/>
      </c>
      <c r="G443" t="str">
        <f>IF(A443="","", IFERROR(VLOOKUP(A443, DLRO!A:I, 8, FALSE), "N/A"))</f>
        <v/>
      </c>
      <c r="H443" t="str">
        <f>IF(A443="","", IFERROR(VLOOKUP(A443, Torque!A:I, 8, FALSE), "N/A"))</f>
        <v/>
      </c>
      <c r="I443" t="str">
        <f>IF(A443="","", IFERROR(VLOOKUP(A443, Infrared!A:G, 6, FALSE), "N/A"))</f>
        <v/>
      </c>
      <c r="J443" t="str">
        <f>IF(A443="","", IFERROR(VLOOKUP(A443, Ultrasonic!A:H, 7, FALSE), "N/A"))</f>
        <v/>
      </c>
      <c r="K443" t="str">
        <f>IF(A443="","", IFERROR(VLOOKUP(A443, 'Code Violations'!A:V, 22, FALSE), "N/A"))</f>
        <v/>
      </c>
      <c r="L443" t="str">
        <f t="shared" si="6"/>
        <v/>
      </c>
    </row>
    <row r="444" spans="1:12" x14ac:dyDescent="0.25">
      <c r="A444" t="str">
        <f>IF('Equipment Information'!A444="","", 'Equipment Information'!A444)</f>
        <v/>
      </c>
      <c r="B444" t="str">
        <f>IF('Equipment Information'!B444="","", 'Equipment Information'!B444)</f>
        <v/>
      </c>
      <c r="C444" t="str">
        <f>IF('Equipment Information'!C444="","", 'Equipment Information'!C444)</f>
        <v/>
      </c>
      <c r="D444" t="str">
        <f>IF('Equipment Information'!D444="","", 'Equipment Information'!D444)</f>
        <v/>
      </c>
      <c r="E444" t="str">
        <f>IF(A444="","", IFERROR(VLOOKUP(A444, 'Energized Data'!A:T, 20, FALSE), "N/A"))</f>
        <v/>
      </c>
      <c r="F444" t="str">
        <f>IF(A444="","", IFERROR(VLOOKUP(A444, Insulation!A:J, 9, FALSE), "N/A"))</f>
        <v/>
      </c>
      <c r="G444" t="str">
        <f>IF(A444="","", IFERROR(VLOOKUP(A444, DLRO!A:I, 8, FALSE), "N/A"))</f>
        <v/>
      </c>
      <c r="H444" t="str">
        <f>IF(A444="","", IFERROR(VLOOKUP(A444, Torque!A:I, 8, FALSE), "N/A"))</f>
        <v/>
      </c>
      <c r="I444" t="str">
        <f>IF(A444="","", IFERROR(VLOOKUP(A444, Infrared!A:G, 6, FALSE), "N/A"))</f>
        <v/>
      </c>
      <c r="J444" t="str">
        <f>IF(A444="","", IFERROR(VLOOKUP(A444, Ultrasonic!A:H, 7, FALSE), "N/A"))</f>
        <v/>
      </c>
      <c r="K444" t="str">
        <f>IF(A444="","", IFERROR(VLOOKUP(A444, 'Code Violations'!A:V, 22, FALSE), "N/A"))</f>
        <v/>
      </c>
      <c r="L444" t="str">
        <f t="shared" si="6"/>
        <v/>
      </c>
    </row>
    <row r="445" spans="1:12" x14ac:dyDescent="0.25">
      <c r="A445" t="str">
        <f>IF('Equipment Information'!A445="","", 'Equipment Information'!A445)</f>
        <v/>
      </c>
      <c r="B445" t="str">
        <f>IF('Equipment Information'!B445="","", 'Equipment Information'!B445)</f>
        <v/>
      </c>
      <c r="C445" t="str">
        <f>IF('Equipment Information'!C445="","", 'Equipment Information'!C445)</f>
        <v/>
      </c>
      <c r="D445" t="str">
        <f>IF('Equipment Information'!D445="","", 'Equipment Information'!D445)</f>
        <v/>
      </c>
      <c r="E445" t="str">
        <f>IF(A445="","", IFERROR(VLOOKUP(A445, 'Energized Data'!A:T, 20, FALSE), "N/A"))</f>
        <v/>
      </c>
      <c r="F445" t="str">
        <f>IF(A445="","", IFERROR(VLOOKUP(A445, Insulation!A:J, 9, FALSE), "N/A"))</f>
        <v/>
      </c>
      <c r="G445" t="str">
        <f>IF(A445="","", IFERROR(VLOOKUP(A445, DLRO!A:I, 8, FALSE), "N/A"))</f>
        <v/>
      </c>
      <c r="H445" t="str">
        <f>IF(A445="","", IFERROR(VLOOKUP(A445, Torque!A:I, 8, FALSE), "N/A"))</f>
        <v/>
      </c>
      <c r="I445" t="str">
        <f>IF(A445="","", IFERROR(VLOOKUP(A445, Infrared!A:G, 6, FALSE), "N/A"))</f>
        <v/>
      </c>
      <c r="J445" t="str">
        <f>IF(A445="","", IFERROR(VLOOKUP(A445, Ultrasonic!A:H, 7, FALSE), "N/A"))</f>
        <v/>
      </c>
      <c r="K445" t="str">
        <f>IF(A445="","", IFERROR(VLOOKUP(A445, 'Code Violations'!A:V, 22, FALSE), "N/A"))</f>
        <v/>
      </c>
      <c r="L445" t="str">
        <f t="shared" si="6"/>
        <v/>
      </c>
    </row>
    <row r="446" spans="1:12" x14ac:dyDescent="0.25">
      <c r="A446" t="str">
        <f>IF('Equipment Information'!A446="","", 'Equipment Information'!A446)</f>
        <v/>
      </c>
      <c r="B446" t="str">
        <f>IF('Equipment Information'!B446="","", 'Equipment Information'!B446)</f>
        <v/>
      </c>
      <c r="C446" t="str">
        <f>IF('Equipment Information'!C446="","", 'Equipment Information'!C446)</f>
        <v/>
      </c>
      <c r="D446" t="str">
        <f>IF('Equipment Information'!D446="","", 'Equipment Information'!D446)</f>
        <v/>
      </c>
      <c r="E446" t="str">
        <f>IF(A446="","", IFERROR(VLOOKUP(A446, 'Energized Data'!A:T, 20, FALSE), "N/A"))</f>
        <v/>
      </c>
      <c r="F446" t="str">
        <f>IF(A446="","", IFERROR(VLOOKUP(A446, Insulation!A:J, 9, FALSE), "N/A"))</f>
        <v/>
      </c>
      <c r="G446" t="str">
        <f>IF(A446="","", IFERROR(VLOOKUP(A446, DLRO!A:I, 8, FALSE), "N/A"))</f>
        <v/>
      </c>
      <c r="H446" t="str">
        <f>IF(A446="","", IFERROR(VLOOKUP(A446, Torque!A:I, 8, FALSE), "N/A"))</f>
        <v/>
      </c>
      <c r="I446" t="str">
        <f>IF(A446="","", IFERROR(VLOOKUP(A446, Infrared!A:G, 6, FALSE), "N/A"))</f>
        <v/>
      </c>
      <c r="J446" t="str">
        <f>IF(A446="","", IFERROR(VLOOKUP(A446, Ultrasonic!A:H, 7, FALSE), "N/A"))</f>
        <v/>
      </c>
      <c r="K446" t="str">
        <f>IF(A446="","", IFERROR(VLOOKUP(A446, 'Code Violations'!A:V, 22, FALSE), "N/A"))</f>
        <v/>
      </c>
      <c r="L446" t="str">
        <f t="shared" si="6"/>
        <v/>
      </c>
    </row>
    <row r="447" spans="1:12" x14ac:dyDescent="0.25">
      <c r="A447" t="str">
        <f>IF('Equipment Information'!A447="","", 'Equipment Information'!A447)</f>
        <v/>
      </c>
      <c r="B447" t="str">
        <f>IF('Equipment Information'!B447="","", 'Equipment Information'!B447)</f>
        <v/>
      </c>
      <c r="C447" t="str">
        <f>IF('Equipment Information'!C447="","", 'Equipment Information'!C447)</f>
        <v/>
      </c>
      <c r="D447" t="str">
        <f>IF('Equipment Information'!D447="","", 'Equipment Information'!D447)</f>
        <v/>
      </c>
      <c r="E447" t="str">
        <f>IF(A447="","", IFERROR(VLOOKUP(A447, 'Energized Data'!A:T, 20, FALSE), "N/A"))</f>
        <v/>
      </c>
      <c r="F447" t="str">
        <f>IF(A447="","", IFERROR(VLOOKUP(A447, Insulation!A:J, 9, FALSE), "N/A"))</f>
        <v/>
      </c>
      <c r="G447" t="str">
        <f>IF(A447="","", IFERROR(VLOOKUP(A447, DLRO!A:I, 8, FALSE), "N/A"))</f>
        <v/>
      </c>
      <c r="H447" t="str">
        <f>IF(A447="","", IFERROR(VLOOKUP(A447, Torque!A:I, 8, FALSE), "N/A"))</f>
        <v/>
      </c>
      <c r="I447" t="str">
        <f>IF(A447="","", IFERROR(VLOOKUP(A447, Infrared!A:G, 6, FALSE), "N/A"))</f>
        <v/>
      </c>
      <c r="J447" t="str">
        <f>IF(A447="","", IFERROR(VLOOKUP(A447, Ultrasonic!A:H, 7, FALSE), "N/A"))</f>
        <v/>
      </c>
      <c r="K447" t="str">
        <f>IF(A447="","", IFERROR(VLOOKUP(A447, 'Code Violations'!A:V, 22, FALSE), "N/A"))</f>
        <v/>
      </c>
      <c r="L447" t="str">
        <f t="shared" si="6"/>
        <v/>
      </c>
    </row>
    <row r="448" spans="1:12" x14ac:dyDescent="0.25">
      <c r="A448" t="str">
        <f>IF('Equipment Information'!A448="","", 'Equipment Information'!A448)</f>
        <v/>
      </c>
      <c r="B448" t="str">
        <f>IF('Equipment Information'!B448="","", 'Equipment Information'!B448)</f>
        <v/>
      </c>
      <c r="C448" t="str">
        <f>IF('Equipment Information'!C448="","", 'Equipment Information'!C448)</f>
        <v/>
      </c>
      <c r="D448" t="str">
        <f>IF('Equipment Information'!D448="","", 'Equipment Information'!D448)</f>
        <v/>
      </c>
      <c r="E448" t="str">
        <f>IF(A448="","", IFERROR(VLOOKUP(A448, 'Energized Data'!A:T, 20, FALSE), "N/A"))</f>
        <v/>
      </c>
      <c r="F448" t="str">
        <f>IF(A448="","", IFERROR(VLOOKUP(A448, Insulation!A:J, 9, FALSE), "N/A"))</f>
        <v/>
      </c>
      <c r="G448" t="str">
        <f>IF(A448="","", IFERROR(VLOOKUP(A448, DLRO!A:I, 8, FALSE), "N/A"))</f>
        <v/>
      </c>
      <c r="H448" t="str">
        <f>IF(A448="","", IFERROR(VLOOKUP(A448, Torque!A:I, 8, FALSE), "N/A"))</f>
        <v/>
      </c>
      <c r="I448" t="str">
        <f>IF(A448="","", IFERROR(VLOOKUP(A448, Infrared!A:G, 6, FALSE), "N/A"))</f>
        <v/>
      </c>
      <c r="J448" t="str">
        <f>IF(A448="","", IFERROR(VLOOKUP(A448, Ultrasonic!A:H, 7, FALSE), "N/A"))</f>
        <v/>
      </c>
      <c r="K448" t="str">
        <f>IF(A448="","", IFERROR(VLOOKUP(A448, 'Code Violations'!A:V, 22, FALSE), "N/A"))</f>
        <v/>
      </c>
      <c r="L448" t="str">
        <f t="shared" si="6"/>
        <v/>
      </c>
    </row>
    <row r="449" spans="1:12" x14ac:dyDescent="0.25">
      <c r="A449" t="str">
        <f>IF('Equipment Information'!A449="","", 'Equipment Information'!A449)</f>
        <v/>
      </c>
      <c r="B449" t="str">
        <f>IF('Equipment Information'!B449="","", 'Equipment Information'!B449)</f>
        <v/>
      </c>
      <c r="C449" t="str">
        <f>IF('Equipment Information'!C449="","", 'Equipment Information'!C449)</f>
        <v/>
      </c>
      <c r="D449" t="str">
        <f>IF('Equipment Information'!D449="","", 'Equipment Information'!D449)</f>
        <v/>
      </c>
      <c r="E449" t="str">
        <f>IF(A449="","", IFERROR(VLOOKUP(A449, 'Energized Data'!A:T, 20, FALSE), "N/A"))</f>
        <v/>
      </c>
      <c r="F449" t="str">
        <f>IF(A449="","", IFERROR(VLOOKUP(A449, Insulation!A:J, 9, FALSE), "N/A"))</f>
        <v/>
      </c>
      <c r="G449" t="str">
        <f>IF(A449="","", IFERROR(VLOOKUP(A449, DLRO!A:I, 8, FALSE), "N/A"))</f>
        <v/>
      </c>
      <c r="H449" t="str">
        <f>IF(A449="","", IFERROR(VLOOKUP(A449, Torque!A:I, 8, FALSE), "N/A"))</f>
        <v/>
      </c>
      <c r="I449" t="str">
        <f>IF(A449="","", IFERROR(VLOOKUP(A449, Infrared!A:G, 6, FALSE), "N/A"))</f>
        <v/>
      </c>
      <c r="J449" t="str">
        <f>IF(A449="","", IFERROR(VLOOKUP(A449, Ultrasonic!A:H, 7, FALSE), "N/A"))</f>
        <v/>
      </c>
      <c r="K449" t="str">
        <f>IF(A449="","", IFERROR(VLOOKUP(A449, 'Code Violations'!A:V, 22, FALSE), "N/A"))</f>
        <v/>
      </c>
      <c r="L449" t="str">
        <f t="shared" si="6"/>
        <v/>
      </c>
    </row>
    <row r="450" spans="1:12" x14ac:dyDescent="0.25">
      <c r="A450" t="str">
        <f>IF('Equipment Information'!A450="","", 'Equipment Information'!A450)</f>
        <v/>
      </c>
      <c r="B450" t="str">
        <f>IF('Equipment Information'!B450="","", 'Equipment Information'!B450)</f>
        <v/>
      </c>
      <c r="C450" t="str">
        <f>IF('Equipment Information'!C450="","", 'Equipment Information'!C450)</f>
        <v/>
      </c>
      <c r="D450" t="str">
        <f>IF('Equipment Information'!D450="","", 'Equipment Information'!D450)</f>
        <v/>
      </c>
      <c r="E450" t="str">
        <f>IF(A450="","", IFERROR(VLOOKUP(A450, 'Energized Data'!A:T, 20, FALSE), "N/A"))</f>
        <v/>
      </c>
      <c r="F450" t="str">
        <f>IF(A450="","", IFERROR(VLOOKUP(A450, Insulation!A:J, 9, FALSE), "N/A"))</f>
        <v/>
      </c>
      <c r="G450" t="str">
        <f>IF(A450="","", IFERROR(VLOOKUP(A450, DLRO!A:I, 8, FALSE), "N/A"))</f>
        <v/>
      </c>
      <c r="H450" t="str">
        <f>IF(A450="","", IFERROR(VLOOKUP(A450, Torque!A:I, 8, FALSE), "N/A"))</f>
        <v/>
      </c>
      <c r="I450" t="str">
        <f>IF(A450="","", IFERROR(VLOOKUP(A450, Infrared!A:G, 6, FALSE), "N/A"))</f>
        <v/>
      </c>
      <c r="J450" t="str">
        <f>IF(A450="","", IFERROR(VLOOKUP(A450, Ultrasonic!A:H, 7, FALSE), "N/A"))</f>
        <v/>
      </c>
      <c r="K450" t="str">
        <f>IF(A450="","", IFERROR(VLOOKUP(A450, 'Code Violations'!A:V, 22, FALSE), "N/A"))</f>
        <v/>
      </c>
      <c r="L450" t="str">
        <f t="shared" ref="L450:L513" si="7">IF(A450="","", IF(COUNTIF(E450:K450, "FAIL")&gt;0, "FAIL", "PASS"))</f>
        <v/>
      </c>
    </row>
    <row r="451" spans="1:12" x14ac:dyDescent="0.25">
      <c r="A451" t="str">
        <f>IF('Equipment Information'!A451="","", 'Equipment Information'!A451)</f>
        <v/>
      </c>
      <c r="B451" t="str">
        <f>IF('Equipment Information'!B451="","", 'Equipment Information'!B451)</f>
        <v/>
      </c>
      <c r="C451" t="str">
        <f>IF('Equipment Information'!C451="","", 'Equipment Information'!C451)</f>
        <v/>
      </c>
      <c r="D451" t="str">
        <f>IF('Equipment Information'!D451="","", 'Equipment Information'!D451)</f>
        <v/>
      </c>
      <c r="E451" t="str">
        <f>IF(A451="","", IFERROR(VLOOKUP(A451, 'Energized Data'!A:T, 20, FALSE), "N/A"))</f>
        <v/>
      </c>
      <c r="F451" t="str">
        <f>IF(A451="","", IFERROR(VLOOKUP(A451, Insulation!A:J, 9, FALSE), "N/A"))</f>
        <v/>
      </c>
      <c r="G451" t="str">
        <f>IF(A451="","", IFERROR(VLOOKUP(A451, DLRO!A:I, 8, FALSE), "N/A"))</f>
        <v/>
      </c>
      <c r="H451" t="str">
        <f>IF(A451="","", IFERROR(VLOOKUP(A451, Torque!A:I, 8, FALSE), "N/A"))</f>
        <v/>
      </c>
      <c r="I451" t="str">
        <f>IF(A451="","", IFERROR(VLOOKUP(A451, Infrared!A:G, 6, FALSE), "N/A"))</f>
        <v/>
      </c>
      <c r="J451" t="str">
        <f>IF(A451="","", IFERROR(VLOOKUP(A451, Ultrasonic!A:H, 7, FALSE), "N/A"))</f>
        <v/>
      </c>
      <c r="K451" t="str">
        <f>IF(A451="","", IFERROR(VLOOKUP(A451, 'Code Violations'!A:V, 22, FALSE), "N/A"))</f>
        <v/>
      </c>
      <c r="L451" t="str">
        <f t="shared" si="7"/>
        <v/>
      </c>
    </row>
    <row r="452" spans="1:12" x14ac:dyDescent="0.25">
      <c r="A452" t="str">
        <f>IF('Equipment Information'!A452="","", 'Equipment Information'!A452)</f>
        <v/>
      </c>
      <c r="B452" t="str">
        <f>IF('Equipment Information'!B452="","", 'Equipment Information'!B452)</f>
        <v/>
      </c>
      <c r="C452" t="str">
        <f>IF('Equipment Information'!C452="","", 'Equipment Information'!C452)</f>
        <v/>
      </c>
      <c r="D452" t="str">
        <f>IF('Equipment Information'!D452="","", 'Equipment Information'!D452)</f>
        <v/>
      </c>
      <c r="E452" t="str">
        <f>IF(A452="","", IFERROR(VLOOKUP(A452, 'Energized Data'!A:T, 20, FALSE), "N/A"))</f>
        <v/>
      </c>
      <c r="F452" t="str">
        <f>IF(A452="","", IFERROR(VLOOKUP(A452, Insulation!A:J, 9, FALSE), "N/A"))</f>
        <v/>
      </c>
      <c r="G452" t="str">
        <f>IF(A452="","", IFERROR(VLOOKUP(A452, DLRO!A:I, 8, FALSE), "N/A"))</f>
        <v/>
      </c>
      <c r="H452" t="str">
        <f>IF(A452="","", IFERROR(VLOOKUP(A452, Torque!A:I, 8, FALSE), "N/A"))</f>
        <v/>
      </c>
      <c r="I452" t="str">
        <f>IF(A452="","", IFERROR(VLOOKUP(A452, Infrared!A:G, 6, FALSE), "N/A"))</f>
        <v/>
      </c>
      <c r="J452" t="str">
        <f>IF(A452="","", IFERROR(VLOOKUP(A452, Ultrasonic!A:H, 7, FALSE), "N/A"))</f>
        <v/>
      </c>
      <c r="K452" t="str">
        <f>IF(A452="","", IFERROR(VLOOKUP(A452, 'Code Violations'!A:V, 22, FALSE), "N/A"))</f>
        <v/>
      </c>
      <c r="L452" t="str">
        <f t="shared" si="7"/>
        <v/>
      </c>
    </row>
    <row r="453" spans="1:12" x14ac:dyDescent="0.25">
      <c r="A453" t="str">
        <f>IF('Equipment Information'!A453="","", 'Equipment Information'!A453)</f>
        <v/>
      </c>
      <c r="B453" t="str">
        <f>IF('Equipment Information'!B453="","", 'Equipment Information'!B453)</f>
        <v/>
      </c>
      <c r="C453" t="str">
        <f>IF('Equipment Information'!C453="","", 'Equipment Information'!C453)</f>
        <v/>
      </c>
      <c r="D453" t="str">
        <f>IF('Equipment Information'!D453="","", 'Equipment Information'!D453)</f>
        <v/>
      </c>
      <c r="E453" t="str">
        <f>IF(A453="","", IFERROR(VLOOKUP(A453, 'Energized Data'!A:T, 20, FALSE), "N/A"))</f>
        <v/>
      </c>
      <c r="F453" t="str">
        <f>IF(A453="","", IFERROR(VLOOKUP(A453, Insulation!A:J, 9, FALSE), "N/A"))</f>
        <v/>
      </c>
      <c r="G453" t="str">
        <f>IF(A453="","", IFERROR(VLOOKUP(A453, DLRO!A:I, 8, FALSE), "N/A"))</f>
        <v/>
      </c>
      <c r="H453" t="str">
        <f>IF(A453="","", IFERROR(VLOOKUP(A453, Torque!A:I, 8, FALSE), "N/A"))</f>
        <v/>
      </c>
      <c r="I453" t="str">
        <f>IF(A453="","", IFERROR(VLOOKUP(A453, Infrared!A:G, 6, FALSE), "N/A"))</f>
        <v/>
      </c>
      <c r="J453" t="str">
        <f>IF(A453="","", IFERROR(VLOOKUP(A453, Ultrasonic!A:H, 7, FALSE), "N/A"))</f>
        <v/>
      </c>
      <c r="K453" t="str">
        <f>IF(A453="","", IFERROR(VLOOKUP(A453, 'Code Violations'!A:V, 22, FALSE), "N/A"))</f>
        <v/>
      </c>
      <c r="L453" t="str">
        <f t="shared" si="7"/>
        <v/>
      </c>
    </row>
    <row r="454" spans="1:12" x14ac:dyDescent="0.25">
      <c r="A454" t="str">
        <f>IF('Equipment Information'!A454="","", 'Equipment Information'!A454)</f>
        <v/>
      </c>
      <c r="B454" t="str">
        <f>IF('Equipment Information'!B454="","", 'Equipment Information'!B454)</f>
        <v/>
      </c>
      <c r="C454" t="str">
        <f>IF('Equipment Information'!C454="","", 'Equipment Information'!C454)</f>
        <v/>
      </c>
      <c r="D454" t="str">
        <f>IF('Equipment Information'!D454="","", 'Equipment Information'!D454)</f>
        <v/>
      </c>
      <c r="E454" t="str">
        <f>IF(A454="","", IFERROR(VLOOKUP(A454, 'Energized Data'!A:T, 20, FALSE), "N/A"))</f>
        <v/>
      </c>
      <c r="F454" t="str">
        <f>IF(A454="","", IFERROR(VLOOKUP(A454, Insulation!A:J, 9, FALSE), "N/A"))</f>
        <v/>
      </c>
      <c r="G454" t="str">
        <f>IF(A454="","", IFERROR(VLOOKUP(A454, DLRO!A:I, 8, FALSE), "N/A"))</f>
        <v/>
      </c>
      <c r="H454" t="str">
        <f>IF(A454="","", IFERROR(VLOOKUP(A454, Torque!A:I, 8, FALSE), "N/A"))</f>
        <v/>
      </c>
      <c r="I454" t="str">
        <f>IF(A454="","", IFERROR(VLOOKUP(A454, Infrared!A:G, 6, FALSE), "N/A"))</f>
        <v/>
      </c>
      <c r="J454" t="str">
        <f>IF(A454="","", IFERROR(VLOOKUP(A454, Ultrasonic!A:H, 7, FALSE), "N/A"))</f>
        <v/>
      </c>
      <c r="K454" t="str">
        <f>IF(A454="","", IFERROR(VLOOKUP(A454, 'Code Violations'!A:V, 22, FALSE), "N/A"))</f>
        <v/>
      </c>
      <c r="L454" t="str">
        <f t="shared" si="7"/>
        <v/>
      </c>
    </row>
    <row r="455" spans="1:12" x14ac:dyDescent="0.25">
      <c r="A455" t="str">
        <f>IF('Equipment Information'!A455="","", 'Equipment Information'!A455)</f>
        <v/>
      </c>
      <c r="B455" t="str">
        <f>IF('Equipment Information'!B455="","", 'Equipment Information'!B455)</f>
        <v/>
      </c>
      <c r="C455" t="str">
        <f>IF('Equipment Information'!C455="","", 'Equipment Information'!C455)</f>
        <v/>
      </c>
      <c r="D455" t="str">
        <f>IF('Equipment Information'!D455="","", 'Equipment Information'!D455)</f>
        <v/>
      </c>
      <c r="E455" t="str">
        <f>IF(A455="","", IFERROR(VLOOKUP(A455, 'Energized Data'!A:T, 20, FALSE), "N/A"))</f>
        <v/>
      </c>
      <c r="F455" t="str">
        <f>IF(A455="","", IFERROR(VLOOKUP(A455, Insulation!A:J, 9, FALSE), "N/A"))</f>
        <v/>
      </c>
      <c r="G455" t="str">
        <f>IF(A455="","", IFERROR(VLOOKUP(A455, DLRO!A:I, 8, FALSE), "N/A"))</f>
        <v/>
      </c>
      <c r="H455" t="str">
        <f>IF(A455="","", IFERROR(VLOOKUP(A455, Torque!A:I, 8, FALSE), "N/A"))</f>
        <v/>
      </c>
      <c r="I455" t="str">
        <f>IF(A455="","", IFERROR(VLOOKUP(A455, Infrared!A:G, 6, FALSE), "N/A"))</f>
        <v/>
      </c>
      <c r="J455" t="str">
        <f>IF(A455="","", IFERROR(VLOOKUP(A455, Ultrasonic!A:H, 7, FALSE), "N/A"))</f>
        <v/>
      </c>
      <c r="K455" t="str">
        <f>IF(A455="","", IFERROR(VLOOKUP(A455, 'Code Violations'!A:V, 22, FALSE), "N/A"))</f>
        <v/>
      </c>
      <c r="L455" t="str">
        <f t="shared" si="7"/>
        <v/>
      </c>
    </row>
    <row r="456" spans="1:12" x14ac:dyDescent="0.25">
      <c r="A456" t="str">
        <f>IF('Equipment Information'!A456="","", 'Equipment Information'!A456)</f>
        <v/>
      </c>
      <c r="B456" t="str">
        <f>IF('Equipment Information'!B456="","", 'Equipment Information'!B456)</f>
        <v/>
      </c>
      <c r="C456" t="str">
        <f>IF('Equipment Information'!C456="","", 'Equipment Information'!C456)</f>
        <v/>
      </c>
      <c r="D456" t="str">
        <f>IF('Equipment Information'!D456="","", 'Equipment Information'!D456)</f>
        <v/>
      </c>
      <c r="E456" t="str">
        <f>IF(A456="","", IFERROR(VLOOKUP(A456, 'Energized Data'!A:T, 20, FALSE), "N/A"))</f>
        <v/>
      </c>
      <c r="F456" t="str">
        <f>IF(A456="","", IFERROR(VLOOKUP(A456, Insulation!A:J, 9, FALSE), "N/A"))</f>
        <v/>
      </c>
      <c r="G456" t="str">
        <f>IF(A456="","", IFERROR(VLOOKUP(A456, DLRO!A:I, 8, FALSE), "N/A"))</f>
        <v/>
      </c>
      <c r="H456" t="str">
        <f>IF(A456="","", IFERROR(VLOOKUP(A456, Torque!A:I, 8, FALSE), "N/A"))</f>
        <v/>
      </c>
      <c r="I456" t="str">
        <f>IF(A456="","", IFERROR(VLOOKUP(A456, Infrared!A:G, 6, FALSE), "N/A"))</f>
        <v/>
      </c>
      <c r="J456" t="str">
        <f>IF(A456="","", IFERROR(VLOOKUP(A456, Ultrasonic!A:H, 7, FALSE), "N/A"))</f>
        <v/>
      </c>
      <c r="K456" t="str">
        <f>IF(A456="","", IFERROR(VLOOKUP(A456, 'Code Violations'!A:V, 22, FALSE), "N/A"))</f>
        <v/>
      </c>
      <c r="L456" t="str">
        <f t="shared" si="7"/>
        <v/>
      </c>
    </row>
    <row r="457" spans="1:12" x14ac:dyDescent="0.25">
      <c r="A457" t="str">
        <f>IF('Equipment Information'!A457="","", 'Equipment Information'!A457)</f>
        <v/>
      </c>
      <c r="B457" t="str">
        <f>IF('Equipment Information'!B457="","", 'Equipment Information'!B457)</f>
        <v/>
      </c>
      <c r="C457" t="str">
        <f>IF('Equipment Information'!C457="","", 'Equipment Information'!C457)</f>
        <v/>
      </c>
      <c r="D457" t="str">
        <f>IF('Equipment Information'!D457="","", 'Equipment Information'!D457)</f>
        <v/>
      </c>
      <c r="E457" t="str">
        <f>IF(A457="","", IFERROR(VLOOKUP(A457, 'Energized Data'!A:T, 20, FALSE), "N/A"))</f>
        <v/>
      </c>
      <c r="F457" t="str">
        <f>IF(A457="","", IFERROR(VLOOKUP(A457, Insulation!A:J, 9, FALSE), "N/A"))</f>
        <v/>
      </c>
      <c r="G457" t="str">
        <f>IF(A457="","", IFERROR(VLOOKUP(A457, DLRO!A:I, 8, FALSE), "N/A"))</f>
        <v/>
      </c>
      <c r="H457" t="str">
        <f>IF(A457="","", IFERROR(VLOOKUP(A457, Torque!A:I, 8, FALSE), "N/A"))</f>
        <v/>
      </c>
      <c r="I457" t="str">
        <f>IF(A457="","", IFERROR(VLOOKUP(A457, Infrared!A:G, 6, FALSE), "N/A"))</f>
        <v/>
      </c>
      <c r="J457" t="str">
        <f>IF(A457="","", IFERROR(VLOOKUP(A457, Ultrasonic!A:H, 7, FALSE), "N/A"))</f>
        <v/>
      </c>
      <c r="K457" t="str">
        <f>IF(A457="","", IFERROR(VLOOKUP(A457, 'Code Violations'!A:V, 22, FALSE), "N/A"))</f>
        <v/>
      </c>
      <c r="L457" t="str">
        <f t="shared" si="7"/>
        <v/>
      </c>
    </row>
    <row r="458" spans="1:12" x14ac:dyDescent="0.25">
      <c r="A458" t="str">
        <f>IF('Equipment Information'!A458="","", 'Equipment Information'!A458)</f>
        <v/>
      </c>
      <c r="B458" t="str">
        <f>IF('Equipment Information'!B458="","", 'Equipment Information'!B458)</f>
        <v/>
      </c>
      <c r="C458" t="str">
        <f>IF('Equipment Information'!C458="","", 'Equipment Information'!C458)</f>
        <v/>
      </c>
      <c r="D458" t="str">
        <f>IF('Equipment Information'!D458="","", 'Equipment Information'!D458)</f>
        <v/>
      </c>
      <c r="E458" t="str">
        <f>IF(A458="","", IFERROR(VLOOKUP(A458, 'Energized Data'!A:T, 20, FALSE), "N/A"))</f>
        <v/>
      </c>
      <c r="F458" t="str">
        <f>IF(A458="","", IFERROR(VLOOKUP(A458, Insulation!A:J, 9, FALSE), "N/A"))</f>
        <v/>
      </c>
      <c r="G458" t="str">
        <f>IF(A458="","", IFERROR(VLOOKUP(A458, DLRO!A:I, 8, FALSE), "N/A"))</f>
        <v/>
      </c>
      <c r="H458" t="str">
        <f>IF(A458="","", IFERROR(VLOOKUP(A458, Torque!A:I, 8, FALSE), "N/A"))</f>
        <v/>
      </c>
      <c r="I458" t="str">
        <f>IF(A458="","", IFERROR(VLOOKUP(A458, Infrared!A:G, 6, FALSE), "N/A"))</f>
        <v/>
      </c>
      <c r="J458" t="str">
        <f>IF(A458="","", IFERROR(VLOOKUP(A458, Ultrasonic!A:H, 7, FALSE), "N/A"))</f>
        <v/>
      </c>
      <c r="K458" t="str">
        <f>IF(A458="","", IFERROR(VLOOKUP(A458, 'Code Violations'!A:V, 22, FALSE), "N/A"))</f>
        <v/>
      </c>
      <c r="L458" t="str">
        <f t="shared" si="7"/>
        <v/>
      </c>
    </row>
    <row r="459" spans="1:12" x14ac:dyDescent="0.25">
      <c r="A459" t="str">
        <f>IF('Equipment Information'!A459="","", 'Equipment Information'!A459)</f>
        <v/>
      </c>
      <c r="B459" t="str">
        <f>IF('Equipment Information'!B459="","", 'Equipment Information'!B459)</f>
        <v/>
      </c>
      <c r="C459" t="str">
        <f>IF('Equipment Information'!C459="","", 'Equipment Information'!C459)</f>
        <v/>
      </c>
      <c r="D459" t="str">
        <f>IF('Equipment Information'!D459="","", 'Equipment Information'!D459)</f>
        <v/>
      </c>
      <c r="E459" t="str">
        <f>IF(A459="","", IFERROR(VLOOKUP(A459, 'Energized Data'!A:T, 20, FALSE), "N/A"))</f>
        <v/>
      </c>
      <c r="F459" t="str">
        <f>IF(A459="","", IFERROR(VLOOKUP(A459, Insulation!A:J, 9, FALSE), "N/A"))</f>
        <v/>
      </c>
      <c r="G459" t="str">
        <f>IF(A459="","", IFERROR(VLOOKUP(A459, DLRO!A:I, 8, FALSE), "N/A"))</f>
        <v/>
      </c>
      <c r="H459" t="str">
        <f>IF(A459="","", IFERROR(VLOOKUP(A459, Torque!A:I, 8, FALSE), "N/A"))</f>
        <v/>
      </c>
      <c r="I459" t="str">
        <f>IF(A459="","", IFERROR(VLOOKUP(A459, Infrared!A:G, 6, FALSE), "N/A"))</f>
        <v/>
      </c>
      <c r="J459" t="str">
        <f>IF(A459="","", IFERROR(VLOOKUP(A459, Ultrasonic!A:H, 7, FALSE), "N/A"))</f>
        <v/>
      </c>
      <c r="K459" t="str">
        <f>IF(A459="","", IFERROR(VLOOKUP(A459, 'Code Violations'!A:V, 22, FALSE), "N/A"))</f>
        <v/>
      </c>
      <c r="L459" t="str">
        <f t="shared" si="7"/>
        <v/>
      </c>
    </row>
    <row r="460" spans="1:12" x14ac:dyDescent="0.25">
      <c r="A460" t="str">
        <f>IF('Equipment Information'!A460="","", 'Equipment Information'!A460)</f>
        <v/>
      </c>
      <c r="B460" t="str">
        <f>IF('Equipment Information'!B460="","", 'Equipment Information'!B460)</f>
        <v/>
      </c>
      <c r="C460" t="str">
        <f>IF('Equipment Information'!C460="","", 'Equipment Information'!C460)</f>
        <v/>
      </c>
      <c r="D460" t="str">
        <f>IF('Equipment Information'!D460="","", 'Equipment Information'!D460)</f>
        <v/>
      </c>
      <c r="E460" t="str">
        <f>IF(A460="","", IFERROR(VLOOKUP(A460, 'Energized Data'!A:T, 20, FALSE), "N/A"))</f>
        <v/>
      </c>
      <c r="F460" t="str">
        <f>IF(A460="","", IFERROR(VLOOKUP(A460, Insulation!A:J, 9, FALSE), "N/A"))</f>
        <v/>
      </c>
      <c r="G460" t="str">
        <f>IF(A460="","", IFERROR(VLOOKUP(A460, DLRO!A:I, 8, FALSE), "N/A"))</f>
        <v/>
      </c>
      <c r="H460" t="str">
        <f>IF(A460="","", IFERROR(VLOOKUP(A460, Torque!A:I, 8, FALSE), "N/A"))</f>
        <v/>
      </c>
      <c r="I460" t="str">
        <f>IF(A460="","", IFERROR(VLOOKUP(A460, Infrared!A:G, 6, FALSE), "N/A"))</f>
        <v/>
      </c>
      <c r="J460" t="str">
        <f>IF(A460="","", IFERROR(VLOOKUP(A460, Ultrasonic!A:H, 7, FALSE), "N/A"))</f>
        <v/>
      </c>
      <c r="K460" t="str">
        <f>IF(A460="","", IFERROR(VLOOKUP(A460, 'Code Violations'!A:V, 22, FALSE), "N/A"))</f>
        <v/>
      </c>
      <c r="L460" t="str">
        <f t="shared" si="7"/>
        <v/>
      </c>
    </row>
    <row r="461" spans="1:12" x14ac:dyDescent="0.25">
      <c r="A461" t="str">
        <f>IF('Equipment Information'!A461="","", 'Equipment Information'!A461)</f>
        <v/>
      </c>
      <c r="B461" t="str">
        <f>IF('Equipment Information'!B461="","", 'Equipment Information'!B461)</f>
        <v/>
      </c>
      <c r="C461" t="str">
        <f>IF('Equipment Information'!C461="","", 'Equipment Information'!C461)</f>
        <v/>
      </c>
      <c r="D461" t="str">
        <f>IF('Equipment Information'!D461="","", 'Equipment Information'!D461)</f>
        <v/>
      </c>
      <c r="E461" t="str">
        <f>IF(A461="","", IFERROR(VLOOKUP(A461, 'Energized Data'!A:T, 20, FALSE), "N/A"))</f>
        <v/>
      </c>
      <c r="F461" t="str">
        <f>IF(A461="","", IFERROR(VLOOKUP(A461, Insulation!A:J, 9, FALSE), "N/A"))</f>
        <v/>
      </c>
      <c r="G461" t="str">
        <f>IF(A461="","", IFERROR(VLOOKUP(A461, DLRO!A:I, 8, FALSE), "N/A"))</f>
        <v/>
      </c>
      <c r="H461" t="str">
        <f>IF(A461="","", IFERROR(VLOOKUP(A461, Torque!A:I, 8, FALSE), "N/A"))</f>
        <v/>
      </c>
      <c r="I461" t="str">
        <f>IF(A461="","", IFERROR(VLOOKUP(A461, Infrared!A:G, 6, FALSE), "N/A"))</f>
        <v/>
      </c>
      <c r="J461" t="str">
        <f>IF(A461="","", IFERROR(VLOOKUP(A461, Ultrasonic!A:H, 7, FALSE), "N/A"))</f>
        <v/>
      </c>
      <c r="K461" t="str">
        <f>IF(A461="","", IFERROR(VLOOKUP(A461, 'Code Violations'!A:V, 22, FALSE), "N/A"))</f>
        <v/>
      </c>
      <c r="L461" t="str">
        <f t="shared" si="7"/>
        <v/>
      </c>
    </row>
    <row r="462" spans="1:12" x14ac:dyDescent="0.25">
      <c r="A462" t="str">
        <f>IF('Equipment Information'!A462="","", 'Equipment Information'!A462)</f>
        <v/>
      </c>
      <c r="B462" t="str">
        <f>IF('Equipment Information'!B462="","", 'Equipment Information'!B462)</f>
        <v/>
      </c>
      <c r="C462" t="str">
        <f>IF('Equipment Information'!C462="","", 'Equipment Information'!C462)</f>
        <v/>
      </c>
      <c r="D462" t="str">
        <f>IF('Equipment Information'!D462="","", 'Equipment Information'!D462)</f>
        <v/>
      </c>
      <c r="E462" t="str">
        <f>IF(A462="","", IFERROR(VLOOKUP(A462, 'Energized Data'!A:T, 20, FALSE), "N/A"))</f>
        <v/>
      </c>
      <c r="F462" t="str">
        <f>IF(A462="","", IFERROR(VLOOKUP(A462, Insulation!A:J, 9, FALSE), "N/A"))</f>
        <v/>
      </c>
      <c r="G462" t="str">
        <f>IF(A462="","", IFERROR(VLOOKUP(A462, DLRO!A:I, 8, FALSE), "N/A"))</f>
        <v/>
      </c>
      <c r="H462" t="str">
        <f>IF(A462="","", IFERROR(VLOOKUP(A462, Torque!A:I, 8, FALSE), "N/A"))</f>
        <v/>
      </c>
      <c r="I462" t="str">
        <f>IF(A462="","", IFERROR(VLOOKUP(A462, Infrared!A:G, 6, FALSE), "N/A"))</f>
        <v/>
      </c>
      <c r="J462" t="str">
        <f>IF(A462="","", IFERROR(VLOOKUP(A462, Ultrasonic!A:H, 7, FALSE), "N/A"))</f>
        <v/>
      </c>
      <c r="K462" t="str">
        <f>IF(A462="","", IFERROR(VLOOKUP(A462, 'Code Violations'!A:V, 22, FALSE), "N/A"))</f>
        <v/>
      </c>
      <c r="L462" t="str">
        <f t="shared" si="7"/>
        <v/>
      </c>
    </row>
    <row r="463" spans="1:12" x14ac:dyDescent="0.25">
      <c r="A463" t="str">
        <f>IF('Equipment Information'!A463="","", 'Equipment Information'!A463)</f>
        <v/>
      </c>
      <c r="B463" t="str">
        <f>IF('Equipment Information'!B463="","", 'Equipment Information'!B463)</f>
        <v/>
      </c>
      <c r="C463" t="str">
        <f>IF('Equipment Information'!C463="","", 'Equipment Information'!C463)</f>
        <v/>
      </c>
      <c r="D463" t="str">
        <f>IF('Equipment Information'!D463="","", 'Equipment Information'!D463)</f>
        <v/>
      </c>
      <c r="E463" t="str">
        <f>IF(A463="","", IFERROR(VLOOKUP(A463, 'Energized Data'!A:T, 20, FALSE), "N/A"))</f>
        <v/>
      </c>
      <c r="F463" t="str">
        <f>IF(A463="","", IFERROR(VLOOKUP(A463, Insulation!A:J, 9, FALSE), "N/A"))</f>
        <v/>
      </c>
      <c r="G463" t="str">
        <f>IF(A463="","", IFERROR(VLOOKUP(A463, DLRO!A:I, 8, FALSE), "N/A"))</f>
        <v/>
      </c>
      <c r="H463" t="str">
        <f>IF(A463="","", IFERROR(VLOOKUP(A463, Torque!A:I, 8, FALSE), "N/A"))</f>
        <v/>
      </c>
      <c r="I463" t="str">
        <f>IF(A463="","", IFERROR(VLOOKUP(A463, Infrared!A:G, 6, FALSE), "N/A"))</f>
        <v/>
      </c>
      <c r="J463" t="str">
        <f>IF(A463="","", IFERROR(VLOOKUP(A463, Ultrasonic!A:H, 7, FALSE), "N/A"))</f>
        <v/>
      </c>
      <c r="K463" t="str">
        <f>IF(A463="","", IFERROR(VLOOKUP(A463, 'Code Violations'!A:V, 22, FALSE), "N/A"))</f>
        <v/>
      </c>
      <c r="L463" t="str">
        <f t="shared" si="7"/>
        <v/>
      </c>
    </row>
    <row r="464" spans="1:12" x14ac:dyDescent="0.25">
      <c r="A464" t="str">
        <f>IF('Equipment Information'!A464="","", 'Equipment Information'!A464)</f>
        <v/>
      </c>
      <c r="B464" t="str">
        <f>IF('Equipment Information'!B464="","", 'Equipment Information'!B464)</f>
        <v/>
      </c>
      <c r="C464" t="str">
        <f>IF('Equipment Information'!C464="","", 'Equipment Information'!C464)</f>
        <v/>
      </c>
      <c r="D464" t="str">
        <f>IF('Equipment Information'!D464="","", 'Equipment Information'!D464)</f>
        <v/>
      </c>
      <c r="E464" t="str">
        <f>IF(A464="","", IFERROR(VLOOKUP(A464, 'Energized Data'!A:T, 20, FALSE), "N/A"))</f>
        <v/>
      </c>
      <c r="F464" t="str">
        <f>IF(A464="","", IFERROR(VLOOKUP(A464, Insulation!A:J, 9, FALSE), "N/A"))</f>
        <v/>
      </c>
      <c r="G464" t="str">
        <f>IF(A464="","", IFERROR(VLOOKUP(A464, DLRO!A:I, 8, FALSE), "N/A"))</f>
        <v/>
      </c>
      <c r="H464" t="str">
        <f>IF(A464="","", IFERROR(VLOOKUP(A464, Torque!A:I, 8, FALSE), "N/A"))</f>
        <v/>
      </c>
      <c r="I464" t="str">
        <f>IF(A464="","", IFERROR(VLOOKUP(A464, Infrared!A:G, 6, FALSE), "N/A"))</f>
        <v/>
      </c>
      <c r="J464" t="str">
        <f>IF(A464="","", IFERROR(VLOOKUP(A464, Ultrasonic!A:H, 7, FALSE), "N/A"))</f>
        <v/>
      </c>
      <c r="K464" t="str">
        <f>IF(A464="","", IFERROR(VLOOKUP(A464, 'Code Violations'!A:V, 22, FALSE), "N/A"))</f>
        <v/>
      </c>
      <c r="L464" t="str">
        <f t="shared" si="7"/>
        <v/>
      </c>
    </row>
    <row r="465" spans="1:12" x14ac:dyDescent="0.25">
      <c r="A465" t="str">
        <f>IF('Equipment Information'!A465="","", 'Equipment Information'!A465)</f>
        <v/>
      </c>
      <c r="B465" t="str">
        <f>IF('Equipment Information'!B465="","", 'Equipment Information'!B465)</f>
        <v/>
      </c>
      <c r="C465" t="str">
        <f>IF('Equipment Information'!C465="","", 'Equipment Information'!C465)</f>
        <v/>
      </c>
      <c r="D465" t="str">
        <f>IF('Equipment Information'!D465="","", 'Equipment Information'!D465)</f>
        <v/>
      </c>
      <c r="E465" t="str">
        <f>IF(A465="","", IFERROR(VLOOKUP(A465, 'Energized Data'!A:T, 20, FALSE), "N/A"))</f>
        <v/>
      </c>
      <c r="F465" t="str">
        <f>IF(A465="","", IFERROR(VLOOKUP(A465, Insulation!A:J, 9, FALSE), "N/A"))</f>
        <v/>
      </c>
      <c r="G465" t="str">
        <f>IF(A465="","", IFERROR(VLOOKUP(A465, DLRO!A:I, 8, FALSE), "N/A"))</f>
        <v/>
      </c>
      <c r="H465" t="str">
        <f>IF(A465="","", IFERROR(VLOOKUP(A465, Torque!A:I, 8, FALSE), "N/A"))</f>
        <v/>
      </c>
      <c r="I465" t="str">
        <f>IF(A465="","", IFERROR(VLOOKUP(A465, Infrared!A:G, 6, FALSE), "N/A"))</f>
        <v/>
      </c>
      <c r="J465" t="str">
        <f>IF(A465="","", IFERROR(VLOOKUP(A465, Ultrasonic!A:H, 7, FALSE), "N/A"))</f>
        <v/>
      </c>
      <c r="K465" t="str">
        <f>IF(A465="","", IFERROR(VLOOKUP(A465, 'Code Violations'!A:V, 22, FALSE), "N/A"))</f>
        <v/>
      </c>
      <c r="L465" t="str">
        <f t="shared" si="7"/>
        <v/>
      </c>
    </row>
    <row r="466" spans="1:12" x14ac:dyDescent="0.25">
      <c r="A466" t="str">
        <f>IF('Equipment Information'!A466="","", 'Equipment Information'!A466)</f>
        <v/>
      </c>
      <c r="B466" t="str">
        <f>IF('Equipment Information'!B466="","", 'Equipment Information'!B466)</f>
        <v/>
      </c>
      <c r="C466" t="str">
        <f>IF('Equipment Information'!C466="","", 'Equipment Information'!C466)</f>
        <v/>
      </c>
      <c r="D466" t="str">
        <f>IF('Equipment Information'!D466="","", 'Equipment Information'!D466)</f>
        <v/>
      </c>
      <c r="E466" t="str">
        <f>IF(A466="","", IFERROR(VLOOKUP(A466, 'Energized Data'!A:T, 20, FALSE), "N/A"))</f>
        <v/>
      </c>
      <c r="F466" t="str">
        <f>IF(A466="","", IFERROR(VLOOKUP(A466, Insulation!A:J, 9, FALSE), "N/A"))</f>
        <v/>
      </c>
      <c r="G466" t="str">
        <f>IF(A466="","", IFERROR(VLOOKUP(A466, DLRO!A:I, 8, FALSE), "N/A"))</f>
        <v/>
      </c>
      <c r="H466" t="str">
        <f>IF(A466="","", IFERROR(VLOOKUP(A466, Torque!A:I, 8, FALSE), "N/A"))</f>
        <v/>
      </c>
      <c r="I466" t="str">
        <f>IF(A466="","", IFERROR(VLOOKUP(A466, Infrared!A:G, 6, FALSE), "N/A"))</f>
        <v/>
      </c>
      <c r="J466" t="str">
        <f>IF(A466="","", IFERROR(VLOOKUP(A466, Ultrasonic!A:H, 7, FALSE), "N/A"))</f>
        <v/>
      </c>
      <c r="K466" t="str">
        <f>IF(A466="","", IFERROR(VLOOKUP(A466, 'Code Violations'!A:V, 22, FALSE), "N/A"))</f>
        <v/>
      </c>
      <c r="L466" t="str">
        <f t="shared" si="7"/>
        <v/>
      </c>
    </row>
    <row r="467" spans="1:12" x14ac:dyDescent="0.25">
      <c r="A467" t="str">
        <f>IF('Equipment Information'!A467="","", 'Equipment Information'!A467)</f>
        <v/>
      </c>
      <c r="B467" t="str">
        <f>IF('Equipment Information'!B467="","", 'Equipment Information'!B467)</f>
        <v/>
      </c>
      <c r="C467" t="str">
        <f>IF('Equipment Information'!C467="","", 'Equipment Information'!C467)</f>
        <v/>
      </c>
      <c r="D467" t="str">
        <f>IF('Equipment Information'!D467="","", 'Equipment Information'!D467)</f>
        <v/>
      </c>
      <c r="E467" t="str">
        <f>IF(A467="","", IFERROR(VLOOKUP(A467, 'Energized Data'!A:T, 20, FALSE), "N/A"))</f>
        <v/>
      </c>
      <c r="F467" t="str">
        <f>IF(A467="","", IFERROR(VLOOKUP(A467, Insulation!A:J, 9, FALSE), "N/A"))</f>
        <v/>
      </c>
      <c r="G467" t="str">
        <f>IF(A467="","", IFERROR(VLOOKUP(A467, DLRO!A:I, 8, FALSE), "N/A"))</f>
        <v/>
      </c>
      <c r="H467" t="str">
        <f>IF(A467="","", IFERROR(VLOOKUP(A467, Torque!A:I, 8, FALSE), "N/A"))</f>
        <v/>
      </c>
      <c r="I467" t="str">
        <f>IF(A467="","", IFERROR(VLOOKUP(A467, Infrared!A:G, 6, FALSE), "N/A"))</f>
        <v/>
      </c>
      <c r="J467" t="str">
        <f>IF(A467="","", IFERROR(VLOOKUP(A467, Ultrasonic!A:H, 7, FALSE), "N/A"))</f>
        <v/>
      </c>
      <c r="K467" t="str">
        <f>IF(A467="","", IFERROR(VLOOKUP(A467, 'Code Violations'!A:V, 22, FALSE), "N/A"))</f>
        <v/>
      </c>
      <c r="L467" t="str">
        <f t="shared" si="7"/>
        <v/>
      </c>
    </row>
    <row r="468" spans="1:12" x14ac:dyDescent="0.25">
      <c r="A468" t="str">
        <f>IF('Equipment Information'!A468="","", 'Equipment Information'!A468)</f>
        <v/>
      </c>
      <c r="B468" t="str">
        <f>IF('Equipment Information'!B468="","", 'Equipment Information'!B468)</f>
        <v/>
      </c>
      <c r="C468" t="str">
        <f>IF('Equipment Information'!C468="","", 'Equipment Information'!C468)</f>
        <v/>
      </c>
      <c r="D468" t="str">
        <f>IF('Equipment Information'!D468="","", 'Equipment Information'!D468)</f>
        <v/>
      </c>
      <c r="E468" t="str">
        <f>IF(A468="","", IFERROR(VLOOKUP(A468, 'Energized Data'!A:T, 20, FALSE), "N/A"))</f>
        <v/>
      </c>
      <c r="F468" t="str">
        <f>IF(A468="","", IFERROR(VLOOKUP(A468, Insulation!A:J, 9, FALSE), "N/A"))</f>
        <v/>
      </c>
      <c r="G468" t="str">
        <f>IF(A468="","", IFERROR(VLOOKUP(A468, DLRO!A:I, 8, FALSE), "N/A"))</f>
        <v/>
      </c>
      <c r="H468" t="str">
        <f>IF(A468="","", IFERROR(VLOOKUP(A468, Torque!A:I, 8, FALSE), "N/A"))</f>
        <v/>
      </c>
      <c r="I468" t="str">
        <f>IF(A468="","", IFERROR(VLOOKUP(A468, Infrared!A:G, 6, FALSE), "N/A"))</f>
        <v/>
      </c>
      <c r="J468" t="str">
        <f>IF(A468="","", IFERROR(VLOOKUP(A468, Ultrasonic!A:H, 7, FALSE), "N/A"))</f>
        <v/>
      </c>
      <c r="K468" t="str">
        <f>IF(A468="","", IFERROR(VLOOKUP(A468, 'Code Violations'!A:V, 22, FALSE), "N/A"))</f>
        <v/>
      </c>
      <c r="L468" t="str">
        <f t="shared" si="7"/>
        <v/>
      </c>
    </row>
    <row r="469" spans="1:12" x14ac:dyDescent="0.25">
      <c r="A469" t="str">
        <f>IF('Equipment Information'!A469="","", 'Equipment Information'!A469)</f>
        <v/>
      </c>
      <c r="B469" t="str">
        <f>IF('Equipment Information'!B469="","", 'Equipment Information'!B469)</f>
        <v/>
      </c>
      <c r="C469" t="str">
        <f>IF('Equipment Information'!C469="","", 'Equipment Information'!C469)</f>
        <v/>
      </c>
      <c r="D469" t="str">
        <f>IF('Equipment Information'!D469="","", 'Equipment Information'!D469)</f>
        <v/>
      </c>
      <c r="E469" t="str">
        <f>IF(A469="","", IFERROR(VLOOKUP(A469, 'Energized Data'!A:T, 20, FALSE), "N/A"))</f>
        <v/>
      </c>
      <c r="F469" t="str">
        <f>IF(A469="","", IFERROR(VLOOKUP(A469, Insulation!A:J, 9, FALSE), "N/A"))</f>
        <v/>
      </c>
      <c r="G469" t="str">
        <f>IF(A469="","", IFERROR(VLOOKUP(A469, DLRO!A:I, 8, FALSE), "N/A"))</f>
        <v/>
      </c>
      <c r="H469" t="str">
        <f>IF(A469="","", IFERROR(VLOOKUP(A469, Torque!A:I, 8, FALSE), "N/A"))</f>
        <v/>
      </c>
      <c r="I469" t="str">
        <f>IF(A469="","", IFERROR(VLOOKUP(A469, Infrared!A:G, 6, FALSE), "N/A"))</f>
        <v/>
      </c>
      <c r="J469" t="str">
        <f>IF(A469="","", IFERROR(VLOOKUP(A469, Ultrasonic!A:H, 7, FALSE), "N/A"))</f>
        <v/>
      </c>
      <c r="K469" t="str">
        <f>IF(A469="","", IFERROR(VLOOKUP(A469, 'Code Violations'!A:V, 22, FALSE), "N/A"))</f>
        <v/>
      </c>
      <c r="L469" t="str">
        <f t="shared" si="7"/>
        <v/>
      </c>
    </row>
    <row r="470" spans="1:12" x14ac:dyDescent="0.25">
      <c r="A470" t="str">
        <f>IF('Equipment Information'!A470="","", 'Equipment Information'!A470)</f>
        <v/>
      </c>
      <c r="B470" t="str">
        <f>IF('Equipment Information'!B470="","", 'Equipment Information'!B470)</f>
        <v/>
      </c>
      <c r="C470" t="str">
        <f>IF('Equipment Information'!C470="","", 'Equipment Information'!C470)</f>
        <v/>
      </c>
      <c r="D470" t="str">
        <f>IF('Equipment Information'!D470="","", 'Equipment Information'!D470)</f>
        <v/>
      </c>
      <c r="E470" t="str">
        <f>IF(A470="","", IFERROR(VLOOKUP(A470, 'Energized Data'!A:T, 20, FALSE), "N/A"))</f>
        <v/>
      </c>
      <c r="F470" t="str">
        <f>IF(A470="","", IFERROR(VLOOKUP(A470, Insulation!A:J, 9, FALSE), "N/A"))</f>
        <v/>
      </c>
      <c r="G470" t="str">
        <f>IF(A470="","", IFERROR(VLOOKUP(A470, DLRO!A:I, 8, FALSE), "N/A"))</f>
        <v/>
      </c>
      <c r="H470" t="str">
        <f>IF(A470="","", IFERROR(VLOOKUP(A470, Torque!A:I, 8, FALSE), "N/A"))</f>
        <v/>
      </c>
      <c r="I470" t="str">
        <f>IF(A470="","", IFERROR(VLOOKUP(A470, Infrared!A:G, 6, FALSE), "N/A"))</f>
        <v/>
      </c>
      <c r="J470" t="str">
        <f>IF(A470="","", IFERROR(VLOOKUP(A470, Ultrasonic!A:H, 7, FALSE), "N/A"))</f>
        <v/>
      </c>
      <c r="K470" t="str">
        <f>IF(A470="","", IFERROR(VLOOKUP(A470, 'Code Violations'!A:V, 22, FALSE), "N/A"))</f>
        <v/>
      </c>
      <c r="L470" t="str">
        <f t="shared" si="7"/>
        <v/>
      </c>
    </row>
    <row r="471" spans="1:12" x14ac:dyDescent="0.25">
      <c r="A471" t="str">
        <f>IF('Equipment Information'!A471="","", 'Equipment Information'!A471)</f>
        <v/>
      </c>
      <c r="B471" t="str">
        <f>IF('Equipment Information'!B471="","", 'Equipment Information'!B471)</f>
        <v/>
      </c>
      <c r="C471" t="str">
        <f>IF('Equipment Information'!C471="","", 'Equipment Information'!C471)</f>
        <v/>
      </c>
      <c r="D471" t="str">
        <f>IF('Equipment Information'!D471="","", 'Equipment Information'!D471)</f>
        <v/>
      </c>
      <c r="E471" t="str">
        <f>IF(A471="","", IFERROR(VLOOKUP(A471, 'Energized Data'!A:T, 20, FALSE), "N/A"))</f>
        <v/>
      </c>
      <c r="F471" t="str">
        <f>IF(A471="","", IFERROR(VLOOKUP(A471, Insulation!A:J, 9, FALSE), "N/A"))</f>
        <v/>
      </c>
      <c r="G471" t="str">
        <f>IF(A471="","", IFERROR(VLOOKUP(A471, DLRO!A:I, 8, FALSE), "N/A"))</f>
        <v/>
      </c>
      <c r="H471" t="str">
        <f>IF(A471="","", IFERROR(VLOOKUP(A471, Torque!A:I, 8, FALSE), "N/A"))</f>
        <v/>
      </c>
      <c r="I471" t="str">
        <f>IF(A471="","", IFERROR(VLOOKUP(A471, Infrared!A:G, 6, FALSE), "N/A"))</f>
        <v/>
      </c>
      <c r="J471" t="str">
        <f>IF(A471="","", IFERROR(VLOOKUP(A471, Ultrasonic!A:H, 7, FALSE), "N/A"))</f>
        <v/>
      </c>
      <c r="K471" t="str">
        <f>IF(A471="","", IFERROR(VLOOKUP(A471, 'Code Violations'!A:V, 22, FALSE), "N/A"))</f>
        <v/>
      </c>
      <c r="L471" t="str">
        <f t="shared" si="7"/>
        <v/>
      </c>
    </row>
    <row r="472" spans="1:12" x14ac:dyDescent="0.25">
      <c r="A472" t="str">
        <f>IF('Equipment Information'!A472="","", 'Equipment Information'!A472)</f>
        <v/>
      </c>
      <c r="B472" t="str">
        <f>IF('Equipment Information'!B472="","", 'Equipment Information'!B472)</f>
        <v/>
      </c>
      <c r="C472" t="str">
        <f>IF('Equipment Information'!C472="","", 'Equipment Information'!C472)</f>
        <v/>
      </c>
      <c r="D472" t="str">
        <f>IF('Equipment Information'!D472="","", 'Equipment Information'!D472)</f>
        <v/>
      </c>
      <c r="E472" t="str">
        <f>IF(A472="","", IFERROR(VLOOKUP(A472, 'Energized Data'!A:T, 20, FALSE), "N/A"))</f>
        <v/>
      </c>
      <c r="F472" t="str">
        <f>IF(A472="","", IFERROR(VLOOKUP(A472, Insulation!A:J, 9, FALSE), "N/A"))</f>
        <v/>
      </c>
      <c r="G472" t="str">
        <f>IF(A472="","", IFERROR(VLOOKUP(A472, DLRO!A:I, 8, FALSE), "N/A"))</f>
        <v/>
      </c>
      <c r="H472" t="str">
        <f>IF(A472="","", IFERROR(VLOOKUP(A472, Torque!A:I, 8, FALSE), "N/A"))</f>
        <v/>
      </c>
      <c r="I472" t="str">
        <f>IF(A472="","", IFERROR(VLOOKUP(A472, Infrared!A:G, 6, FALSE), "N/A"))</f>
        <v/>
      </c>
      <c r="J472" t="str">
        <f>IF(A472="","", IFERROR(VLOOKUP(A472, Ultrasonic!A:H, 7, FALSE), "N/A"))</f>
        <v/>
      </c>
      <c r="K472" t="str">
        <f>IF(A472="","", IFERROR(VLOOKUP(A472, 'Code Violations'!A:V, 22, FALSE), "N/A"))</f>
        <v/>
      </c>
      <c r="L472" t="str">
        <f t="shared" si="7"/>
        <v/>
      </c>
    </row>
    <row r="473" spans="1:12" x14ac:dyDescent="0.25">
      <c r="A473" t="str">
        <f>IF('Equipment Information'!A473="","", 'Equipment Information'!A473)</f>
        <v/>
      </c>
      <c r="B473" t="str">
        <f>IF('Equipment Information'!B473="","", 'Equipment Information'!B473)</f>
        <v/>
      </c>
      <c r="C473" t="str">
        <f>IF('Equipment Information'!C473="","", 'Equipment Information'!C473)</f>
        <v/>
      </c>
      <c r="D473" t="str">
        <f>IF('Equipment Information'!D473="","", 'Equipment Information'!D473)</f>
        <v/>
      </c>
      <c r="E473" t="str">
        <f>IF(A473="","", IFERROR(VLOOKUP(A473, 'Energized Data'!A:T, 20, FALSE), "N/A"))</f>
        <v/>
      </c>
      <c r="F473" t="str">
        <f>IF(A473="","", IFERROR(VLOOKUP(A473, Insulation!A:J, 9, FALSE), "N/A"))</f>
        <v/>
      </c>
      <c r="G473" t="str">
        <f>IF(A473="","", IFERROR(VLOOKUP(A473, DLRO!A:I, 8, FALSE), "N/A"))</f>
        <v/>
      </c>
      <c r="H473" t="str">
        <f>IF(A473="","", IFERROR(VLOOKUP(A473, Torque!A:I, 8, FALSE), "N/A"))</f>
        <v/>
      </c>
      <c r="I473" t="str">
        <f>IF(A473="","", IFERROR(VLOOKUP(A473, Infrared!A:G, 6, FALSE), "N/A"))</f>
        <v/>
      </c>
      <c r="J473" t="str">
        <f>IF(A473="","", IFERROR(VLOOKUP(A473, Ultrasonic!A:H, 7, FALSE), "N/A"))</f>
        <v/>
      </c>
      <c r="K473" t="str">
        <f>IF(A473="","", IFERROR(VLOOKUP(A473, 'Code Violations'!A:V, 22, FALSE), "N/A"))</f>
        <v/>
      </c>
      <c r="L473" t="str">
        <f t="shared" si="7"/>
        <v/>
      </c>
    </row>
    <row r="474" spans="1:12" x14ac:dyDescent="0.25">
      <c r="A474" t="str">
        <f>IF('Equipment Information'!A474="","", 'Equipment Information'!A474)</f>
        <v/>
      </c>
      <c r="B474" t="str">
        <f>IF('Equipment Information'!B474="","", 'Equipment Information'!B474)</f>
        <v/>
      </c>
      <c r="C474" t="str">
        <f>IF('Equipment Information'!C474="","", 'Equipment Information'!C474)</f>
        <v/>
      </c>
      <c r="D474" t="str">
        <f>IF('Equipment Information'!D474="","", 'Equipment Information'!D474)</f>
        <v/>
      </c>
      <c r="E474" t="str">
        <f>IF(A474="","", IFERROR(VLOOKUP(A474, 'Energized Data'!A:T, 20, FALSE), "N/A"))</f>
        <v/>
      </c>
      <c r="F474" t="str">
        <f>IF(A474="","", IFERROR(VLOOKUP(A474, Insulation!A:J, 9, FALSE), "N/A"))</f>
        <v/>
      </c>
      <c r="G474" t="str">
        <f>IF(A474="","", IFERROR(VLOOKUP(A474, DLRO!A:I, 8, FALSE), "N/A"))</f>
        <v/>
      </c>
      <c r="H474" t="str">
        <f>IF(A474="","", IFERROR(VLOOKUP(A474, Torque!A:I, 8, FALSE), "N/A"))</f>
        <v/>
      </c>
      <c r="I474" t="str">
        <f>IF(A474="","", IFERROR(VLOOKUP(A474, Infrared!A:G, 6, FALSE), "N/A"))</f>
        <v/>
      </c>
      <c r="J474" t="str">
        <f>IF(A474="","", IFERROR(VLOOKUP(A474, Ultrasonic!A:H, 7, FALSE), "N/A"))</f>
        <v/>
      </c>
      <c r="K474" t="str">
        <f>IF(A474="","", IFERROR(VLOOKUP(A474, 'Code Violations'!A:V, 22, FALSE), "N/A"))</f>
        <v/>
      </c>
      <c r="L474" t="str">
        <f t="shared" si="7"/>
        <v/>
      </c>
    </row>
    <row r="475" spans="1:12" x14ac:dyDescent="0.25">
      <c r="A475" t="str">
        <f>IF('Equipment Information'!A475="","", 'Equipment Information'!A475)</f>
        <v/>
      </c>
      <c r="B475" t="str">
        <f>IF('Equipment Information'!B475="","", 'Equipment Information'!B475)</f>
        <v/>
      </c>
      <c r="C475" t="str">
        <f>IF('Equipment Information'!C475="","", 'Equipment Information'!C475)</f>
        <v/>
      </c>
      <c r="D475" t="str">
        <f>IF('Equipment Information'!D475="","", 'Equipment Information'!D475)</f>
        <v/>
      </c>
      <c r="E475" t="str">
        <f>IF(A475="","", IFERROR(VLOOKUP(A475, 'Energized Data'!A:T, 20, FALSE), "N/A"))</f>
        <v/>
      </c>
      <c r="F475" t="str">
        <f>IF(A475="","", IFERROR(VLOOKUP(A475, Insulation!A:J, 9, FALSE), "N/A"))</f>
        <v/>
      </c>
      <c r="G475" t="str">
        <f>IF(A475="","", IFERROR(VLOOKUP(A475, DLRO!A:I, 8, FALSE), "N/A"))</f>
        <v/>
      </c>
      <c r="H475" t="str">
        <f>IF(A475="","", IFERROR(VLOOKUP(A475, Torque!A:I, 8, FALSE), "N/A"))</f>
        <v/>
      </c>
      <c r="I475" t="str">
        <f>IF(A475="","", IFERROR(VLOOKUP(A475, Infrared!A:G, 6, FALSE), "N/A"))</f>
        <v/>
      </c>
      <c r="J475" t="str">
        <f>IF(A475="","", IFERROR(VLOOKUP(A475, Ultrasonic!A:H, 7, FALSE), "N/A"))</f>
        <v/>
      </c>
      <c r="K475" t="str">
        <f>IF(A475="","", IFERROR(VLOOKUP(A475, 'Code Violations'!A:V, 22, FALSE), "N/A"))</f>
        <v/>
      </c>
      <c r="L475" t="str">
        <f t="shared" si="7"/>
        <v/>
      </c>
    </row>
    <row r="476" spans="1:12" x14ac:dyDescent="0.25">
      <c r="A476" t="str">
        <f>IF('Equipment Information'!A476="","", 'Equipment Information'!A476)</f>
        <v/>
      </c>
      <c r="B476" t="str">
        <f>IF('Equipment Information'!B476="","", 'Equipment Information'!B476)</f>
        <v/>
      </c>
      <c r="C476" t="str">
        <f>IF('Equipment Information'!C476="","", 'Equipment Information'!C476)</f>
        <v/>
      </c>
      <c r="D476" t="str">
        <f>IF('Equipment Information'!D476="","", 'Equipment Information'!D476)</f>
        <v/>
      </c>
      <c r="E476" t="str">
        <f>IF(A476="","", IFERROR(VLOOKUP(A476, 'Energized Data'!A:T, 20, FALSE), "N/A"))</f>
        <v/>
      </c>
      <c r="F476" t="str">
        <f>IF(A476="","", IFERROR(VLOOKUP(A476, Insulation!A:J, 9, FALSE), "N/A"))</f>
        <v/>
      </c>
      <c r="G476" t="str">
        <f>IF(A476="","", IFERROR(VLOOKUP(A476, DLRO!A:I, 8, FALSE), "N/A"))</f>
        <v/>
      </c>
      <c r="H476" t="str">
        <f>IF(A476="","", IFERROR(VLOOKUP(A476, Torque!A:I, 8, FALSE), "N/A"))</f>
        <v/>
      </c>
      <c r="I476" t="str">
        <f>IF(A476="","", IFERROR(VLOOKUP(A476, Infrared!A:G, 6, FALSE), "N/A"))</f>
        <v/>
      </c>
      <c r="J476" t="str">
        <f>IF(A476="","", IFERROR(VLOOKUP(A476, Ultrasonic!A:H, 7, FALSE), "N/A"))</f>
        <v/>
      </c>
      <c r="K476" t="str">
        <f>IF(A476="","", IFERROR(VLOOKUP(A476, 'Code Violations'!A:V, 22, FALSE), "N/A"))</f>
        <v/>
      </c>
      <c r="L476" t="str">
        <f t="shared" si="7"/>
        <v/>
      </c>
    </row>
    <row r="477" spans="1:12" x14ac:dyDescent="0.25">
      <c r="A477" t="str">
        <f>IF('Equipment Information'!A477="","", 'Equipment Information'!A477)</f>
        <v/>
      </c>
      <c r="B477" t="str">
        <f>IF('Equipment Information'!B477="","", 'Equipment Information'!B477)</f>
        <v/>
      </c>
      <c r="C477" t="str">
        <f>IF('Equipment Information'!C477="","", 'Equipment Information'!C477)</f>
        <v/>
      </c>
      <c r="D477" t="str">
        <f>IF('Equipment Information'!D477="","", 'Equipment Information'!D477)</f>
        <v/>
      </c>
      <c r="E477" t="str">
        <f>IF(A477="","", IFERROR(VLOOKUP(A477, 'Energized Data'!A:T, 20, FALSE), "N/A"))</f>
        <v/>
      </c>
      <c r="F477" t="str">
        <f>IF(A477="","", IFERROR(VLOOKUP(A477, Insulation!A:J, 9, FALSE), "N/A"))</f>
        <v/>
      </c>
      <c r="G477" t="str">
        <f>IF(A477="","", IFERROR(VLOOKUP(A477, DLRO!A:I, 8, FALSE), "N/A"))</f>
        <v/>
      </c>
      <c r="H477" t="str">
        <f>IF(A477="","", IFERROR(VLOOKUP(A477, Torque!A:I, 8, FALSE), "N/A"))</f>
        <v/>
      </c>
      <c r="I477" t="str">
        <f>IF(A477="","", IFERROR(VLOOKUP(A477, Infrared!A:G, 6, FALSE), "N/A"))</f>
        <v/>
      </c>
      <c r="J477" t="str">
        <f>IF(A477="","", IFERROR(VLOOKUP(A477, Ultrasonic!A:H, 7, FALSE), "N/A"))</f>
        <v/>
      </c>
      <c r="K477" t="str">
        <f>IF(A477="","", IFERROR(VLOOKUP(A477, 'Code Violations'!A:V, 22, FALSE), "N/A"))</f>
        <v/>
      </c>
      <c r="L477" t="str">
        <f t="shared" si="7"/>
        <v/>
      </c>
    </row>
    <row r="478" spans="1:12" x14ac:dyDescent="0.25">
      <c r="A478" t="str">
        <f>IF('Equipment Information'!A478="","", 'Equipment Information'!A478)</f>
        <v/>
      </c>
      <c r="B478" t="str">
        <f>IF('Equipment Information'!B478="","", 'Equipment Information'!B478)</f>
        <v/>
      </c>
      <c r="C478" t="str">
        <f>IF('Equipment Information'!C478="","", 'Equipment Information'!C478)</f>
        <v/>
      </c>
      <c r="D478" t="str">
        <f>IF('Equipment Information'!D478="","", 'Equipment Information'!D478)</f>
        <v/>
      </c>
      <c r="E478" t="str">
        <f>IF(A478="","", IFERROR(VLOOKUP(A478, 'Energized Data'!A:T, 20, FALSE), "N/A"))</f>
        <v/>
      </c>
      <c r="F478" t="str">
        <f>IF(A478="","", IFERROR(VLOOKUP(A478, Insulation!A:J, 9, FALSE), "N/A"))</f>
        <v/>
      </c>
      <c r="G478" t="str">
        <f>IF(A478="","", IFERROR(VLOOKUP(A478, DLRO!A:I, 8, FALSE), "N/A"))</f>
        <v/>
      </c>
      <c r="H478" t="str">
        <f>IF(A478="","", IFERROR(VLOOKUP(A478, Torque!A:I, 8, FALSE), "N/A"))</f>
        <v/>
      </c>
      <c r="I478" t="str">
        <f>IF(A478="","", IFERROR(VLOOKUP(A478, Infrared!A:G, 6, FALSE), "N/A"))</f>
        <v/>
      </c>
      <c r="J478" t="str">
        <f>IF(A478="","", IFERROR(VLOOKUP(A478, Ultrasonic!A:H, 7, FALSE), "N/A"))</f>
        <v/>
      </c>
      <c r="K478" t="str">
        <f>IF(A478="","", IFERROR(VLOOKUP(A478, 'Code Violations'!A:V, 22, FALSE), "N/A"))</f>
        <v/>
      </c>
      <c r="L478" t="str">
        <f t="shared" si="7"/>
        <v/>
      </c>
    </row>
    <row r="479" spans="1:12" x14ac:dyDescent="0.25">
      <c r="A479" t="str">
        <f>IF('Equipment Information'!A479="","", 'Equipment Information'!A479)</f>
        <v/>
      </c>
      <c r="B479" t="str">
        <f>IF('Equipment Information'!B479="","", 'Equipment Information'!B479)</f>
        <v/>
      </c>
      <c r="C479" t="str">
        <f>IF('Equipment Information'!C479="","", 'Equipment Information'!C479)</f>
        <v/>
      </c>
      <c r="D479" t="str">
        <f>IF('Equipment Information'!D479="","", 'Equipment Information'!D479)</f>
        <v/>
      </c>
      <c r="E479" t="str">
        <f>IF(A479="","", IFERROR(VLOOKUP(A479, 'Energized Data'!A:T, 20, FALSE), "N/A"))</f>
        <v/>
      </c>
      <c r="F479" t="str">
        <f>IF(A479="","", IFERROR(VLOOKUP(A479, Insulation!A:J, 9, FALSE), "N/A"))</f>
        <v/>
      </c>
      <c r="G479" t="str">
        <f>IF(A479="","", IFERROR(VLOOKUP(A479, DLRO!A:I, 8, FALSE), "N/A"))</f>
        <v/>
      </c>
      <c r="H479" t="str">
        <f>IF(A479="","", IFERROR(VLOOKUP(A479, Torque!A:I, 8, FALSE), "N/A"))</f>
        <v/>
      </c>
      <c r="I479" t="str">
        <f>IF(A479="","", IFERROR(VLOOKUP(A479, Infrared!A:G, 6, FALSE), "N/A"))</f>
        <v/>
      </c>
      <c r="J479" t="str">
        <f>IF(A479="","", IFERROR(VLOOKUP(A479, Ultrasonic!A:H, 7, FALSE), "N/A"))</f>
        <v/>
      </c>
      <c r="K479" t="str">
        <f>IF(A479="","", IFERROR(VLOOKUP(A479, 'Code Violations'!A:V, 22, FALSE), "N/A"))</f>
        <v/>
      </c>
      <c r="L479" t="str">
        <f t="shared" si="7"/>
        <v/>
      </c>
    </row>
    <row r="480" spans="1:12" x14ac:dyDescent="0.25">
      <c r="A480" t="str">
        <f>IF('Equipment Information'!A480="","", 'Equipment Information'!A480)</f>
        <v/>
      </c>
      <c r="B480" t="str">
        <f>IF('Equipment Information'!B480="","", 'Equipment Information'!B480)</f>
        <v/>
      </c>
      <c r="C480" t="str">
        <f>IF('Equipment Information'!C480="","", 'Equipment Information'!C480)</f>
        <v/>
      </c>
      <c r="D480" t="str">
        <f>IF('Equipment Information'!D480="","", 'Equipment Information'!D480)</f>
        <v/>
      </c>
      <c r="E480" t="str">
        <f>IF(A480="","", IFERROR(VLOOKUP(A480, 'Energized Data'!A:T, 20, FALSE), "N/A"))</f>
        <v/>
      </c>
      <c r="F480" t="str">
        <f>IF(A480="","", IFERROR(VLOOKUP(A480, Insulation!A:J, 9, FALSE), "N/A"))</f>
        <v/>
      </c>
      <c r="G480" t="str">
        <f>IF(A480="","", IFERROR(VLOOKUP(A480, DLRO!A:I, 8, FALSE), "N/A"))</f>
        <v/>
      </c>
      <c r="H480" t="str">
        <f>IF(A480="","", IFERROR(VLOOKUP(A480, Torque!A:I, 8, FALSE), "N/A"))</f>
        <v/>
      </c>
      <c r="I480" t="str">
        <f>IF(A480="","", IFERROR(VLOOKUP(A480, Infrared!A:G, 6, FALSE), "N/A"))</f>
        <v/>
      </c>
      <c r="J480" t="str">
        <f>IF(A480="","", IFERROR(VLOOKUP(A480, Ultrasonic!A:H, 7, FALSE), "N/A"))</f>
        <v/>
      </c>
      <c r="K480" t="str">
        <f>IF(A480="","", IFERROR(VLOOKUP(A480, 'Code Violations'!A:V, 22, FALSE), "N/A"))</f>
        <v/>
      </c>
      <c r="L480" t="str">
        <f t="shared" si="7"/>
        <v/>
      </c>
    </row>
    <row r="481" spans="1:12" x14ac:dyDescent="0.25">
      <c r="A481" t="str">
        <f>IF('Equipment Information'!A481="","", 'Equipment Information'!A481)</f>
        <v/>
      </c>
      <c r="B481" t="str">
        <f>IF('Equipment Information'!B481="","", 'Equipment Information'!B481)</f>
        <v/>
      </c>
      <c r="C481" t="str">
        <f>IF('Equipment Information'!C481="","", 'Equipment Information'!C481)</f>
        <v/>
      </c>
      <c r="D481" t="str">
        <f>IF('Equipment Information'!D481="","", 'Equipment Information'!D481)</f>
        <v/>
      </c>
      <c r="E481" t="str">
        <f>IF(A481="","", IFERROR(VLOOKUP(A481, 'Energized Data'!A:T, 20, FALSE), "N/A"))</f>
        <v/>
      </c>
      <c r="F481" t="str">
        <f>IF(A481="","", IFERROR(VLOOKUP(A481, Insulation!A:J, 9, FALSE), "N/A"))</f>
        <v/>
      </c>
      <c r="G481" t="str">
        <f>IF(A481="","", IFERROR(VLOOKUP(A481, DLRO!A:I, 8, FALSE), "N/A"))</f>
        <v/>
      </c>
      <c r="H481" t="str">
        <f>IF(A481="","", IFERROR(VLOOKUP(A481, Torque!A:I, 8, FALSE), "N/A"))</f>
        <v/>
      </c>
      <c r="I481" t="str">
        <f>IF(A481="","", IFERROR(VLOOKUP(A481, Infrared!A:G, 6, FALSE), "N/A"))</f>
        <v/>
      </c>
      <c r="J481" t="str">
        <f>IF(A481="","", IFERROR(VLOOKUP(A481, Ultrasonic!A:H, 7, FALSE), "N/A"))</f>
        <v/>
      </c>
      <c r="K481" t="str">
        <f>IF(A481="","", IFERROR(VLOOKUP(A481, 'Code Violations'!A:V, 22, FALSE), "N/A"))</f>
        <v/>
      </c>
      <c r="L481" t="str">
        <f t="shared" si="7"/>
        <v/>
      </c>
    </row>
    <row r="482" spans="1:12" x14ac:dyDescent="0.25">
      <c r="A482" t="str">
        <f>IF('Equipment Information'!A482="","", 'Equipment Information'!A482)</f>
        <v/>
      </c>
      <c r="B482" t="str">
        <f>IF('Equipment Information'!B482="","", 'Equipment Information'!B482)</f>
        <v/>
      </c>
      <c r="C482" t="str">
        <f>IF('Equipment Information'!C482="","", 'Equipment Information'!C482)</f>
        <v/>
      </c>
      <c r="D482" t="str">
        <f>IF('Equipment Information'!D482="","", 'Equipment Information'!D482)</f>
        <v/>
      </c>
      <c r="E482" t="str">
        <f>IF(A482="","", IFERROR(VLOOKUP(A482, 'Energized Data'!A:T, 20, FALSE), "N/A"))</f>
        <v/>
      </c>
      <c r="F482" t="str">
        <f>IF(A482="","", IFERROR(VLOOKUP(A482, Insulation!A:J, 9, FALSE), "N/A"))</f>
        <v/>
      </c>
      <c r="G482" t="str">
        <f>IF(A482="","", IFERROR(VLOOKUP(A482, DLRO!A:I, 8, FALSE), "N/A"))</f>
        <v/>
      </c>
      <c r="H482" t="str">
        <f>IF(A482="","", IFERROR(VLOOKUP(A482, Torque!A:I, 8, FALSE), "N/A"))</f>
        <v/>
      </c>
      <c r="I482" t="str">
        <f>IF(A482="","", IFERROR(VLOOKUP(A482, Infrared!A:G, 6, FALSE), "N/A"))</f>
        <v/>
      </c>
      <c r="J482" t="str">
        <f>IF(A482="","", IFERROR(VLOOKUP(A482, Ultrasonic!A:H, 7, FALSE), "N/A"))</f>
        <v/>
      </c>
      <c r="K482" t="str">
        <f>IF(A482="","", IFERROR(VLOOKUP(A482, 'Code Violations'!A:V, 22, FALSE), "N/A"))</f>
        <v/>
      </c>
      <c r="L482" t="str">
        <f t="shared" si="7"/>
        <v/>
      </c>
    </row>
    <row r="483" spans="1:12" x14ac:dyDescent="0.25">
      <c r="A483" t="str">
        <f>IF('Equipment Information'!A483="","", 'Equipment Information'!A483)</f>
        <v/>
      </c>
      <c r="B483" t="str">
        <f>IF('Equipment Information'!B483="","", 'Equipment Information'!B483)</f>
        <v/>
      </c>
      <c r="C483" t="str">
        <f>IF('Equipment Information'!C483="","", 'Equipment Information'!C483)</f>
        <v/>
      </c>
      <c r="D483" t="str">
        <f>IF('Equipment Information'!D483="","", 'Equipment Information'!D483)</f>
        <v/>
      </c>
      <c r="E483" t="str">
        <f>IF(A483="","", IFERROR(VLOOKUP(A483, 'Energized Data'!A:T, 20, FALSE), "N/A"))</f>
        <v/>
      </c>
      <c r="F483" t="str">
        <f>IF(A483="","", IFERROR(VLOOKUP(A483, Insulation!A:J, 9, FALSE), "N/A"))</f>
        <v/>
      </c>
      <c r="G483" t="str">
        <f>IF(A483="","", IFERROR(VLOOKUP(A483, DLRO!A:I, 8, FALSE), "N/A"))</f>
        <v/>
      </c>
      <c r="H483" t="str">
        <f>IF(A483="","", IFERROR(VLOOKUP(A483, Torque!A:I, 8, FALSE), "N/A"))</f>
        <v/>
      </c>
      <c r="I483" t="str">
        <f>IF(A483="","", IFERROR(VLOOKUP(A483, Infrared!A:G, 6, FALSE), "N/A"))</f>
        <v/>
      </c>
      <c r="J483" t="str">
        <f>IF(A483="","", IFERROR(VLOOKUP(A483, Ultrasonic!A:H, 7, FALSE), "N/A"))</f>
        <v/>
      </c>
      <c r="K483" t="str">
        <f>IF(A483="","", IFERROR(VLOOKUP(A483, 'Code Violations'!A:V, 22, FALSE), "N/A"))</f>
        <v/>
      </c>
      <c r="L483" t="str">
        <f t="shared" si="7"/>
        <v/>
      </c>
    </row>
    <row r="484" spans="1:12" x14ac:dyDescent="0.25">
      <c r="A484" t="str">
        <f>IF('Equipment Information'!A484="","", 'Equipment Information'!A484)</f>
        <v/>
      </c>
      <c r="B484" t="str">
        <f>IF('Equipment Information'!B484="","", 'Equipment Information'!B484)</f>
        <v/>
      </c>
      <c r="C484" t="str">
        <f>IF('Equipment Information'!C484="","", 'Equipment Information'!C484)</f>
        <v/>
      </c>
      <c r="D484" t="str">
        <f>IF('Equipment Information'!D484="","", 'Equipment Information'!D484)</f>
        <v/>
      </c>
      <c r="E484" t="str">
        <f>IF(A484="","", IFERROR(VLOOKUP(A484, 'Energized Data'!A:T, 20, FALSE), "N/A"))</f>
        <v/>
      </c>
      <c r="F484" t="str">
        <f>IF(A484="","", IFERROR(VLOOKUP(A484, Insulation!A:J, 9, FALSE), "N/A"))</f>
        <v/>
      </c>
      <c r="G484" t="str">
        <f>IF(A484="","", IFERROR(VLOOKUP(A484, DLRO!A:I, 8, FALSE), "N/A"))</f>
        <v/>
      </c>
      <c r="H484" t="str">
        <f>IF(A484="","", IFERROR(VLOOKUP(A484, Torque!A:I, 8, FALSE), "N/A"))</f>
        <v/>
      </c>
      <c r="I484" t="str">
        <f>IF(A484="","", IFERROR(VLOOKUP(A484, Infrared!A:G, 6, FALSE), "N/A"))</f>
        <v/>
      </c>
      <c r="J484" t="str">
        <f>IF(A484="","", IFERROR(VLOOKUP(A484, Ultrasonic!A:H, 7, FALSE), "N/A"))</f>
        <v/>
      </c>
      <c r="K484" t="str">
        <f>IF(A484="","", IFERROR(VLOOKUP(A484, 'Code Violations'!A:V, 22, FALSE), "N/A"))</f>
        <v/>
      </c>
      <c r="L484" t="str">
        <f t="shared" si="7"/>
        <v/>
      </c>
    </row>
    <row r="485" spans="1:12" x14ac:dyDescent="0.25">
      <c r="A485" t="str">
        <f>IF('Equipment Information'!A485="","", 'Equipment Information'!A485)</f>
        <v/>
      </c>
      <c r="B485" t="str">
        <f>IF('Equipment Information'!B485="","", 'Equipment Information'!B485)</f>
        <v/>
      </c>
      <c r="C485" t="str">
        <f>IF('Equipment Information'!C485="","", 'Equipment Information'!C485)</f>
        <v/>
      </c>
      <c r="D485" t="str">
        <f>IF('Equipment Information'!D485="","", 'Equipment Information'!D485)</f>
        <v/>
      </c>
      <c r="E485" t="str">
        <f>IF(A485="","", IFERROR(VLOOKUP(A485, 'Energized Data'!A:T, 20, FALSE), "N/A"))</f>
        <v/>
      </c>
      <c r="F485" t="str">
        <f>IF(A485="","", IFERROR(VLOOKUP(A485, Insulation!A:J, 9, FALSE), "N/A"))</f>
        <v/>
      </c>
      <c r="G485" t="str">
        <f>IF(A485="","", IFERROR(VLOOKUP(A485, DLRO!A:I, 8, FALSE), "N/A"))</f>
        <v/>
      </c>
      <c r="H485" t="str">
        <f>IF(A485="","", IFERROR(VLOOKUP(A485, Torque!A:I, 8, FALSE), "N/A"))</f>
        <v/>
      </c>
      <c r="I485" t="str">
        <f>IF(A485="","", IFERROR(VLOOKUP(A485, Infrared!A:G, 6, FALSE), "N/A"))</f>
        <v/>
      </c>
      <c r="J485" t="str">
        <f>IF(A485="","", IFERROR(VLOOKUP(A485, Ultrasonic!A:H, 7, FALSE), "N/A"))</f>
        <v/>
      </c>
      <c r="K485" t="str">
        <f>IF(A485="","", IFERROR(VLOOKUP(A485, 'Code Violations'!A:V, 22, FALSE), "N/A"))</f>
        <v/>
      </c>
      <c r="L485" t="str">
        <f t="shared" si="7"/>
        <v/>
      </c>
    </row>
    <row r="486" spans="1:12" x14ac:dyDescent="0.25">
      <c r="A486" t="str">
        <f>IF('Equipment Information'!A486="","", 'Equipment Information'!A486)</f>
        <v/>
      </c>
      <c r="B486" t="str">
        <f>IF('Equipment Information'!B486="","", 'Equipment Information'!B486)</f>
        <v/>
      </c>
      <c r="C486" t="str">
        <f>IF('Equipment Information'!C486="","", 'Equipment Information'!C486)</f>
        <v/>
      </c>
      <c r="D486" t="str">
        <f>IF('Equipment Information'!D486="","", 'Equipment Information'!D486)</f>
        <v/>
      </c>
      <c r="E486" t="str">
        <f>IF(A486="","", IFERROR(VLOOKUP(A486, 'Energized Data'!A:T, 20, FALSE), "N/A"))</f>
        <v/>
      </c>
      <c r="F486" t="str">
        <f>IF(A486="","", IFERROR(VLOOKUP(A486, Insulation!A:J, 9, FALSE), "N/A"))</f>
        <v/>
      </c>
      <c r="G486" t="str">
        <f>IF(A486="","", IFERROR(VLOOKUP(A486, DLRO!A:I, 8, FALSE), "N/A"))</f>
        <v/>
      </c>
      <c r="H486" t="str">
        <f>IF(A486="","", IFERROR(VLOOKUP(A486, Torque!A:I, 8, FALSE), "N/A"))</f>
        <v/>
      </c>
      <c r="I486" t="str">
        <f>IF(A486="","", IFERROR(VLOOKUP(A486, Infrared!A:G, 6, FALSE), "N/A"))</f>
        <v/>
      </c>
      <c r="J486" t="str">
        <f>IF(A486="","", IFERROR(VLOOKUP(A486, Ultrasonic!A:H, 7, FALSE), "N/A"))</f>
        <v/>
      </c>
      <c r="K486" t="str">
        <f>IF(A486="","", IFERROR(VLOOKUP(A486, 'Code Violations'!A:V, 22, FALSE), "N/A"))</f>
        <v/>
      </c>
      <c r="L486" t="str">
        <f t="shared" si="7"/>
        <v/>
      </c>
    </row>
    <row r="487" spans="1:12" x14ac:dyDescent="0.25">
      <c r="A487" t="str">
        <f>IF('Equipment Information'!A487="","", 'Equipment Information'!A487)</f>
        <v/>
      </c>
      <c r="B487" t="str">
        <f>IF('Equipment Information'!B487="","", 'Equipment Information'!B487)</f>
        <v/>
      </c>
      <c r="C487" t="str">
        <f>IF('Equipment Information'!C487="","", 'Equipment Information'!C487)</f>
        <v/>
      </c>
      <c r="D487" t="str">
        <f>IF('Equipment Information'!D487="","", 'Equipment Information'!D487)</f>
        <v/>
      </c>
      <c r="E487" t="str">
        <f>IF(A487="","", IFERROR(VLOOKUP(A487, 'Energized Data'!A:T, 20, FALSE), "N/A"))</f>
        <v/>
      </c>
      <c r="F487" t="str">
        <f>IF(A487="","", IFERROR(VLOOKUP(A487, Insulation!A:J, 9, FALSE), "N/A"))</f>
        <v/>
      </c>
      <c r="G487" t="str">
        <f>IF(A487="","", IFERROR(VLOOKUP(A487, DLRO!A:I, 8, FALSE), "N/A"))</f>
        <v/>
      </c>
      <c r="H487" t="str">
        <f>IF(A487="","", IFERROR(VLOOKUP(A487, Torque!A:I, 8, FALSE), "N/A"))</f>
        <v/>
      </c>
      <c r="I487" t="str">
        <f>IF(A487="","", IFERROR(VLOOKUP(A487, Infrared!A:G, 6, FALSE), "N/A"))</f>
        <v/>
      </c>
      <c r="J487" t="str">
        <f>IF(A487="","", IFERROR(VLOOKUP(A487, Ultrasonic!A:H, 7, FALSE), "N/A"))</f>
        <v/>
      </c>
      <c r="K487" t="str">
        <f>IF(A487="","", IFERROR(VLOOKUP(A487, 'Code Violations'!A:V, 22, FALSE), "N/A"))</f>
        <v/>
      </c>
      <c r="L487" t="str">
        <f t="shared" si="7"/>
        <v/>
      </c>
    </row>
    <row r="488" spans="1:12" x14ac:dyDescent="0.25">
      <c r="A488" t="str">
        <f>IF('Equipment Information'!A488="","", 'Equipment Information'!A488)</f>
        <v/>
      </c>
      <c r="B488" t="str">
        <f>IF('Equipment Information'!B488="","", 'Equipment Information'!B488)</f>
        <v/>
      </c>
      <c r="C488" t="str">
        <f>IF('Equipment Information'!C488="","", 'Equipment Information'!C488)</f>
        <v/>
      </c>
      <c r="D488" t="str">
        <f>IF('Equipment Information'!D488="","", 'Equipment Information'!D488)</f>
        <v/>
      </c>
      <c r="E488" t="str">
        <f>IF(A488="","", IFERROR(VLOOKUP(A488, 'Energized Data'!A:T, 20, FALSE), "N/A"))</f>
        <v/>
      </c>
      <c r="F488" t="str">
        <f>IF(A488="","", IFERROR(VLOOKUP(A488, Insulation!A:J, 9, FALSE), "N/A"))</f>
        <v/>
      </c>
      <c r="G488" t="str">
        <f>IF(A488="","", IFERROR(VLOOKUP(A488, DLRO!A:I, 8, FALSE), "N/A"))</f>
        <v/>
      </c>
      <c r="H488" t="str">
        <f>IF(A488="","", IFERROR(VLOOKUP(A488, Torque!A:I, 8, FALSE), "N/A"))</f>
        <v/>
      </c>
      <c r="I488" t="str">
        <f>IF(A488="","", IFERROR(VLOOKUP(A488, Infrared!A:G, 6, FALSE), "N/A"))</f>
        <v/>
      </c>
      <c r="J488" t="str">
        <f>IF(A488="","", IFERROR(VLOOKUP(A488, Ultrasonic!A:H, 7, FALSE), "N/A"))</f>
        <v/>
      </c>
      <c r="K488" t="str">
        <f>IF(A488="","", IFERROR(VLOOKUP(A488, 'Code Violations'!A:V, 22, FALSE), "N/A"))</f>
        <v/>
      </c>
      <c r="L488" t="str">
        <f t="shared" si="7"/>
        <v/>
      </c>
    </row>
    <row r="489" spans="1:12" x14ac:dyDescent="0.25">
      <c r="A489" t="str">
        <f>IF('Equipment Information'!A489="","", 'Equipment Information'!A489)</f>
        <v/>
      </c>
      <c r="B489" t="str">
        <f>IF('Equipment Information'!B489="","", 'Equipment Information'!B489)</f>
        <v/>
      </c>
      <c r="C489" t="str">
        <f>IF('Equipment Information'!C489="","", 'Equipment Information'!C489)</f>
        <v/>
      </c>
      <c r="D489" t="str">
        <f>IF('Equipment Information'!D489="","", 'Equipment Information'!D489)</f>
        <v/>
      </c>
      <c r="E489" t="str">
        <f>IF(A489="","", IFERROR(VLOOKUP(A489, 'Energized Data'!A:T, 20, FALSE), "N/A"))</f>
        <v/>
      </c>
      <c r="F489" t="str">
        <f>IF(A489="","", IFERROR(VLOOKUP(A489, Insulation!A:J, 9, FALSE), "N/A"))</f>
        <v/>
      </c>
      <c r="G489" t="str">
        <f>IF(A489="","", IFERROR(VLOOKUP(A489, DLRO!A:I, 8, FALSE), "N/A"))</f>
        <v/>
      </c>
      <c r="H489" t="str">
        <f>IF(A489="","", IFERROR(VLOOKUP(A489, Torque!A:I, 8, FALSE), "N/A"))</f>
        <v/>
      </c>
      <c r="I489" t="str">
        <f>IF(A489="","", IFERROR(VLOOKUP(A489, Infrared!A:G, 6, FALSE), "N/A"))</f>
        <v/>
      </c>
      <c r="J489" t="str">
        <f>IF(A489="","", IFERROR(VLOOKUP(A489, Ultrasonic!A:H, 7, FALSE), "N/A"))</f>
        <v/>
      </c>
      <c r="K489" t="str">
        <f>IF(A489="","", IFERROR(VLOOKUP(A489, 'Code Violations'!A:V, 22, FALSE), "N/A"))</f>
        <v/>
      </c>
      <c r="L489" t="str">
        <f t="shared" si="7"/>
        <v/>
      </c>
    </row>
    <row r="490" spans="1:12" x14ac:dyDescent="0.25">
      <c r="A490" t="str">
        <f>IF('Equipment Information'!A490="","", 'Equipment Information'!A490)</f>
        <v/>
      </c>
      <c r="B490" t="str">
        <f>IF('Equipment Information'!B490="","", 'Equipment Information'!B490)</f>
        <v/>
      </c>
      <c r="C490" t="str">
        <f>IF('Equipment Information'!C490="","", 'Equipment Information'!C490)</f>
        <v/>
      </c>
      <c r="D490" t="str">
        <f>IF('Equipment Information'!D490="","", 'Equipment Information'!D490)</f>
        <v/>
      </c>
      <c r="E490" t="str">
        <f>IF(A490="","", IFERROR(VLOOKUP(A490, 'Energized Data'!A:T, 20, FALSE), "N/A"))</f>
        <v/>
      </c>
      <c r="F490" t="str">
        <f>IF(A490="","", IFERROR(VLOOKUP(A490, Insulation!A:J, 9, FALSE), "N/A"))</f>
        <v/>
      </c>
      <c r="G490" t="str">
        <f>IF(A490="","", IFERROR(VLOOKUP(A490, DLRO!A:I, 8, FALSE), "N/A"))</f>
        <v/>
      </c>
      <c r="H490" t="str">
        <f>IF(A490="","", IFERROR(VLOOKUP(A490, Torque!A:I, 8, FALSE), "N/A"))</f>
        <v/>
      </c>
      <c r="I490" t="str">
        <f>IF(A490="","", IFERROR(VLOOKUP(A490, Infrared!A:G, 6, FALSE), "N/A"))</f>
        <v/>
      </c>
      <c r="J490" t="str">
        <f>IF(A490="","", IFERROR(VLOOKUP(A490, Ultrasonic!A:H, 7, FALSE), "N/A"))</f>
        <v/>
      </c>
      <c r="K490" t="str">
        <f>IF(A490="","", IFERROR(VLOOKUP(A490, 'Code Violations'!A:V, 22, FALSE), "N/A"))</f>
        <v/>
      </c>
      <c r="L490" t="str">
        <f t="shared" si="7"/>
        <v/>
      </c>
    </row>
    <row r="491" spans="1:12" x14ac:dyDescent="0.25">
      <c r="A491" t="str">
        <f>IF('Equipment Information'!A491="","", 'Equipment Information'!A491)</f>
        <v/>
      </c>
      <c r="B491" t="str">
        <f>IF('Equipment Information'!B491="","", 'Equipment Information'!B491)</f>
        <v/>
      </c>
      <c r="C491" t="str">
        <f>IF('Equipment Information'!C491="","", 'Equipment Information'!C491)</f>
        <v/>
      </c>
      <c r="D491" t="str">
        <f>IF('Equipment Information'!D491="","", 'Equipment Information'!D491)</f>
        <v/>
      </c>
      <c r="E491" t="str">
        <f>IF(A491="","", IFERROR(VLOOKUP(A491, 'Energized Data'!A:T, 20, FALSE), "N/A"))</f>
        <v/>
      </c>
      <c r="F491" t="str">
        <f>IF(A491="","", IFERROR(VLOOKUP(A491, Insulation!A:J, 9, FALSE), "N/A"))</f>
        <v/>
      </c>
      <c r="G491" t="str">
        <f>IF(A491="","", IFERROR(VLOOKUP(A491, DLRO!A:I, 8, FALSE), "N/A"))</f>
        <v/>
      </c>
      <c r="H491" t="str">
        <f>IF(A491="","", IFERROR(VLOOKUP(A491, Torque!A:I, 8, FALSE), "N/A"))</f>
        <v/>
      </c>
      <c r="I491" t="str">
        <f>IF(A491="","", IFERROR(VLOOKUP(A491, Infrared!A:G, 6, FALSE), "N/A"))</f>
        <v/>
      </c>
      <c r="J491" t="str">
        <f>IF(A491="","", IFERROR(VLOOKUP(A491, Ultrasonic!A:H, 7, FALSE), "N/A"))</f>
        <v/>
      </c>
      <c r="K491" t="str">
        <f>IF(A491="","", IFERROR(VLOOKUP(A491, 'Code Violations'!A:V, 22, FALSE), "N/A"))</f>
        <v/>
      </c>
      <c r="L491" t="str">
        <f t="shared" si="7"/>
        <v/>
      </c>
    </row>
    <row r="492" spans="1:12" x14ac:dyDescent="0.25">
      <c r="A492" t="str">
        <f>IF('Equipment Information'!A492="","", 'Equipment Information'!A492)</f>
        <v/>
      </c>
      <c r="B492" t="str">
        <f>IF('Equipment Information'!B492="","", 'Equipment Information'!B492)</f>
        <v/>
      </c>
      <c r="C492" t="str">
        <f>IF('Equipment Information'!C492="","", 'Equipment Information'!C492)</f>
        <v/>
      </c>
      <c r="D492" t="str">
        <f>IF('Equipment Information'!D492="","", 'Equipment Information'!D492)</f>
        <v/>
      </c>
      <c r="E492" t="str">
        <f>IF(A492="","", IFERROR(VLOOKUP(A492, 'Energized Data'!A:T, 20, FALSE), "N/A"))</f>
        <v/>
      </c>
      <c r="F492" t="str">
        <f>IF(A492="","", IFERROR(VLOOKUP(A492, Insulation!A:J, 9, FALSE), "N/A"))</f>
        <v/>
      </c>
      <c r="G492" t="str">
        <f>IF(A492="","", IFERROR(VLOOKUP(A492, DLRO!A:I, 8, FALSE), "N/A"))</f>
        <v/>
      </c>
      <c r="H492" t="str">
        <f>IF(A492="","", IFERROR(VLOOKUP(A492, Torque!A:I, 8, FALSE), "N/A"))</f>
        <v/>
      </c>
      <c r="I492" t="str">
        <f>IF(A492="","", IFERROR(VLOOKUP(A492, Infrared!A:G, 6, FALSE), "N/A"))</f>
        <v/>
      </c>
      <c r="J492" t="str">
        <f>IF(A492="","", IFERROR(VLOOKUP(A492, Ultrasonic!A:H, 7, FALSE), "N/A"))</f>
        <v/>
      </c>
      <c r="K492" t="str">
        <f>IF(A492="","", IFERROR(VLOOKUP(A492, 'Code Violations'!A:V, 22, FALSE), "N/A"))</f>
        <v/>
      </c>
      <c r="L492" t="str">
        <f t="shared" si="7"/>
        <v/>
      </c>
    </row>
    <row r="493" spans="1:12" x14ac:dyDescent="0.25">
      <c r="A493" t="str">
        <f>IF('Equipment Information'!A493="","", 'Equipment Information'!A493)</f>
        <v/>
      </c>
      <c r="B493" t="str">
        <f>IF('Equipment Information'!B493="","", 'Equipment Information'!B493)</f>
        <v/>
      </c>
      <c r="C493" t="str">
        <f>IF('Equipment Information'!C493="","", 'Equipment Information'!C493)</f>
        <v/>
      </c>
      <c r="D493" t="str">
        <f>IF('Equipment Information'!D493="","", 'Equipment Information'!D493)</f>
        <v/>
      </c>
      <c r="E493" t="str">
        <f>IF(A493="","", IFERROR(VLOOKUP(A493, 'Energized Data'!A:T, 20, FALSE), "N/A"))</f>
        <v/>
      </c>
      <c r="F493" t="str">
        <f>IF(A493="","", IFERROR(VLOOKUP(A493, Insulation!A:J, 9, FALSE), "N/A"))</f>
        <v/>
      </c>
      <c r="G493" t="str">
        <f>IF(A493="","", IFERROR(VLOOKUP(A493, DLRO!A:I, 8, FALSE), "N/A"))</f>
        <v/>
      </c>
      <c r="H493" t="str">
        <f>IF(A493="","", IFERROR(VLOOKUP(A493, Torque!A:I, 8, FALSE), "N/A"))</f>
        <v/>
      </c>
      <c r="I493" t="str">
        <f>IF(A493="","", IFERROR(VLOOKUP(A493, Infrared!A:G, 6, FALSE), "N/A"))</f>
        <v/>
      </c>
      <c r="J493" t="str">
        <f>IF(A493="","", IFERROR(VLOOKUP(A493, Ultrasonic!A:H, 7, FALSE), "N/A"))</f>
        <v/>
      </c>
      <c r="K493" t="str">
        <f>IF(A493="","", IFERROR(VLOOKUP(A493, 'Code Violations'!A:V, 22, FALSE), "N/A"))</f>
        <v/>
      </c>
      <c r="L493" t="str">
        <f t="shared" si="7"/>
        <v/>
      </c>
    </row>
    <row r="494" spans="1:12" x14ac:dyDescent="0.25">
      <c r="A494" t="str">
        <f>IF('Equipment Information'!A494="","", 'Equipment Information'!A494)</f>
        <v/>
      </c>
      <c r="B494" t="str">
        <f>IF('Equipment Information'!B494="","", 'Equipment Information'!B494)</f>
        <v/>
      </c>
      <c r="C494" t="str">
        <f>IF('Equipment Information'!C494="","", 'Equipment Information'!C494)</f>
        <v/>
      </c>
      <c r="D494" t="str">
        <f>IF('Equipment Information'!D494="","", 'Equipment Information'!D494)</f>
        <v/>
      </c>
      <c r="E494" t="str">
        <f>IF(A494="","", IFERROR(VLOOKUP(A494, 'Energized Data'!A:T, 20, FALSE), "N/A"))</f>
        <v/>
      </c>
      <c r="F494" t="str">
        <f>IF(A494="","", IFERROR(VLOOKUP(A494, Insulation!A:J, 9, FALSE), "N/A"))</f>
        <v/>
      </c>
      <c r="G494" t="str">
        <f>IF(A494="","", IFERROR(VLOOKUP(A494, DLRO!A:I, 8, FALSE), "N/A"))</f>
        <v/>
      </c>
      <c r="H494" t="str">
        <f>IF(A494="","", IFERROR(VLOOKUP(A494, Torque!A:I, 8, FALSE), "N/A"))</f>
        <v/>
      </c>
      <c r="I494" t="str">
        <f>IF(A494="","", IFERROR(VLOOKUP(A494, Infrared!A:G, 6, FALSE), "N/A"))</f>
        <v/>
      </c>
      <c r="J494" t="str">
        <f>IF(A494="","", IFERROR(VLOOKUP(A494, Ultrasonic!A:H, 7, FALSE), "N/A"))</f>
        <v/>
      </c>
      <c r="K494" t="str">
        <f>IF(A494="","", IFERROR(VLOOKUP(A494, 'Code Violations'!A:V, 22, FALSE), "N/A"))</f>
        <v/>
      </c>
      <c r="L494" t="str">
        <f t="shared" si="7"/>
        <v/>
      </c>
    </row>
    <row r="495" spans="1:12" x14ac:dyDescent="0.25">
      <c r="A495" t="str">
        <f>IF('Equipment Information'!A495="","", 'Equipment Information'!A495)</f>
        <v/>
      </c>
      <c r="B495" t="str">
        <f>IF('Equipment Information'!B495="","", 'Equipment Information'!B495)</f>
        <v/>
      </c>
      <c r="C495" t="str">
        <f>IF('Equipment Information'!C495="","", 'Equipment Information'!C495)</f>
        <v/>
      </c>
      <c r="D495" t="str">
        <f>IF('Equipment Information'!D495="","", 'Equipment Information'!D495)</f>
        <v/>
      </c>
      <c r="E495" t="str">
        <f>IF(A495="","", IFERROR(VLOOKUP(A495, 'Energized Data'!A:T, 20, FALSE), "N/A"))</f>
        <v/>
      </c>
      <c r="F495" t="str">
        <f>IF(A495="","", IFERROR(VLOOKUP(A495, Insulation!A:J, 9, FALSE), "N/A"))</f>
        <v/>
      </c>
      <c r="G495" t="str">
        <f>IF(A495="","", IFERROR(VLOOKUP(A495, DLRO!A:I, 8, FALSE), "N/A"))</f>
        <v/>
      </c>
      <c r="H495" t="str">
        <f>IF(A495="","", IFERROR(VLOOKUP(A495, Torque!A:I, 8, FALSE), "N/A"))</f>
        <v/>
      </c>
      <c r="I495" t="str">
        <f>IF(A495="","", IFERROR(VLOOKUP(A495, Infrared!A:G, 6, FALSE), "N/A"))</f>
        <v/>
      </c>
      <c r="J495" t="str">
        <f>IF(A495="","", IFERROR(VLOOKUP(A495, Ultrasonic!A:H, 7, FALSE), "N/A"))</f>
        <v/>
      </c>
      <c r="K495" t="str">
        <f>IF(A495="","", IFERROR(VLOOKUP(A495, 'Code Violations'!A:V, 22, FALSE), "N/A"))</f>
        <v/>
      </c>
      <c r="L495" t="str">
        <f t="shared" si="7"/>
        <v/>
      </c>
    </row>
    <row r="496" spans="1:12" x14ac:dyDescent="0.25">
      <c r="A496" t="str">
        <f>IF('Equipment Information'!A496="","", 'Equipment Information'!A496)</f>
        <v/>
      </c>
      <c r="B496" t="str">
        <f>IF('Equipment Information'!B496="","", 'Equipment Information'!B496)</f>
        <v/>
      </c>
      <c r="C496" t="str">
        <f>IF('Equipment Information'!C496="","", 'Equipment Information'!C496)</f>
        <v/>
      </c>
      <c r="D496" t="str">
        <f>IF('Equipment Information'!D496="","", 'Equipment Information'!D496)</f>
        <v/>
      </c>
      <c r="E496" t="str">
        <f>IF(A496="","", IFERROR(VLOOKUP(A496, 'Energized Data'!A:T, 20, FALSE), "N/A"))</f>
        <v/>
      </c>
      <c r="F496" t="str">
        <f>IF(A496="","", IFERROR(VLOOKUP(A496, Insulation!A:J, 9, FALSE), "N/A"))</f>
        <v/>
      </c>
      <c r="G496" t="str">
        <f>IF(A496="","", IFERROR(VLOOKUP(A496, DLRO!A:I, 8, FALSE), "N/A"))</f>
        <v/>
      </c>
      <c r="H496" t="str">
        <f>IF(A496="","", IFERROR(VLOOKUP(A496, Torque!A:I, 8, FALSE), "N/A"))</f>
        <v/>
      </c>
      <c r="I496" t="str">
        <f>IF(A496="","", IFERROR(VLOOKUP(A496, Infrared!A:G, 6, FALSE), "N/A"))</f>
        <v/>
      </c>
      <c r="J496" t="str">
        <f>IF(A496="","", IFERROR(VLOOKUP(A496, Ultrasonic!A:H, 7, FALSE), "N/A"))</f>
        <v/>
      </c>
      <c r="K496" t="str">
        <f>IF(A496="","", IFERROR(VLOOKUP(A496, 'Code Violations'!A:V, 22, FALSE), "N/A"))</f>
        <v/>
      </c>
      <c r="L496" t="str">
        <f t="shared" si="7"/>
        <v/>
      </c>
    </row>
    <row r="497" spans="1:12" x14ac:dyDescent="0.25">
      <c r="A497" t="str">
        <f>IF('Equipment Information'!A497="","", 'Equipment Information'!A497)</f>
        <v/>
      </c>
      <c r="B497" t="str">
        <f>IF('Equipment Information'!B497="","", 'Equipment Information'!B497)</f>
        <v/>
      </c>
      <c r="C497" t="str">
        <f>IF('Equipment Information'!C497="","", 'Equipment Information'!C497)</f>
        <v/>
      </c>
      <c r="D497" t="str">
        <f>IF('Equipment Information'!D497="","", 'Equipment Information'!D497)</f>
        <v/>
      </c>
      <c r="E497" t="str">
        <f>IF(A497="","", IFERROR(VLOOKUP(A497, 'Energized Data'!A:T, 20, FALSE), "N/A"))</f>
        <v/>
      </c>
      <c r="F497" t="str">
        <f>IF(A497="","", IFERROR(VLOOKUP(A497, Insulation!A:J, 9, FALSE), "N/A"))</f>
        <v/>
      </c>
      <c r="G497" t="str">
        <f>IF(A497="","", IFERROR(VLOOKUP(A497, DLRO!A:I, 8, FALSE), "N/A"))</f>
        <v/>
      </c>
      <c r="H497" t="str">
        <f>IF(A497="","", IFERROR(VLOOKUP(A497, Torque!A:I, 8, FALSE), "N/A"))</f>
        <v/>
      </c>
      <c r="I497" t="str">
        <f>IF(A497="","", IFERROR(VLOOKUP(A497, Infrared!A:G, 6, FALSE), "N/A"))</f>
        <v/>
      </c>
      <c r="J497" t="str">
        <f>IF(A497="","", IFERROR(VLOOKUP(A497, Ultrasonic!A:H, 7, FALSE), "N/A"))</f>
        <v/>
      </c>
      <c r="K497" t="str">
        <f>IF(A497="","", IFERROR(VLOOKUP(A497, 'Code Violations'!A:V, 22, FALSE), "N/A"))</f>
        <v/>
      </c>
      <c r="L497" t="str">
        <f t="shared" si="7"/>
        <v/>
      </c>
    </row>
    <row r="498" spans="1:12" x14ac:dyDescent="0.25">
      <c r="A498" t="str">
        <f>IF('Equipment Information'!A498="","", 'Equipment Information'!A498)</f>
        <v/>
      </c>
      <c r="B498" t="str">
        <f>IF('Equipment Information'!B498="","", 'Equipment Information'!B498)</f>
        <v/>
      </c>
      <c r="C498" t="str">
        <f>IF('Equipment Information'!C498="","", 'Equipment Information'!C498)</f>
        <v/>
      </c>
      <c r="D498" t="str">
        <f>IF('Equipment Information'!D498="","", 'Equipment Information'!D498)</f>
        <v/>
      </c>
      <c r="E498" t="str">
        <f>IF(A498="","", IFERROR(VLOOKUP(A498, 'Energized Data'!A:T, 20, FALSE), "N/A"))</f>
        <v/>
      </c>
      <c r="F498" t="str">
        <f>IF(A498="","", IFERROR(VLOOKUP(A498, Insulation!A:J, 9, FALSE), "N/A"))</f>
        <v/>
      </c>
      <c r="G498" t="str">
        <f>IF(A498="","", IFERROR(VLOOKUP(A498, DLRO!A:I, 8, FALSE), "N/A"))</f>
        <v/>
      </c>
      <c r="H498" t="str">
        <f>IF(A498="","", IFERROR(VLOOKUP(A498, Torque!A:I, 8, FALSE), "N/A"))</f>
        <v/>
      </c>
      <c r="I498" t="str">
        <f>IF(A498="","", IFERROR(VLOOKUP(A498, Infrared!A:G, 6, FALSE), "N/A"))</f>
        <v/>
      </c>
      <c r="J498" t="str">
        <f>IF(A498="","", IFERROR(VLOOKUP(A498, Ultrasonic!A:H, 7, FALSE), "N/A"))</f>
        <v/>
      </c>
      <c r="K498" t="str">
        <f>IF(A498="","", IFERROR(VLOOKUP(A498, 'Code Violations'!A:V, 22, FALSE), "N/A"))</f>
        <v/>
      </c>
      <c r="L498" t="str">
        <f t="shared" si="7"/>
        <v/>
      </c>
    </row>
    <row r="499" spans="1:12" x14ac:dyDescent="0.25">
      <c r="A499" t="str">
        <f>IF('Equipment Information'!A499="","", 'Equipment Information'!A499)</f>
        <v/>
      </c>
      <c r="B499" t="str">
        <f>IF('Equipment Information'!B499="","", 'Equipment Information'!B499)</f>
        <v/>
      </c>
      <c r="C499" t="str">
        <f>IF('Equipment Information'!C499="","", 'Equipment Information'!C499)</f>
        <v/>
      </c>
      <c r="D499" t="str">
        <f>IF('Equipment Information'!D499="","", 'Equipment Information'!D499)</f>
        <v/>
      </c>
      <c r="E499" t="str">
        <f>IF(A499="","", IFERROR(VLOOKUP(A499, 'Energized Data'!A:T, 20, FALSE), "N/A"))</f>
        <v/>
      </c>
      <c r="F499" t="str">
        <f>IF(A499="","", IFERROR(VLOOKUP(A499, Insulation!A:J, 9, FALSE), "N/A"))</f>
        <v/>
      </c>
      <c r="G499" t="str">
        <f>IF(A499="","", IFERROR(VLOOKUP(A499, DLRO!A:I, 8, FALSE), "N/A"))</f>
        <v/>
      </c>
      <c r="H499" t="str">
        <f>IF(A499="","", IFERROR(VLOOKUP(A499, Torque!A:I, 8, FALSE), "N/A"))</f>
        <v/>
      </c>
      <c r="I499" t="str">
        <f>IF(A499="","", IFERROR(VLOOKUP(A499, Infrared!A:G, 6, FALSE), "N/A"))</f>
        <v/>
      </c>
      <c r="J499" t="str">
        <f>IF(A499="","", IFERROR(VLOOKUP(A499, Ultrasonic!A:H, 7, FALSE), "N/A"))</f>
        <v/>
      </c>
      <c r="K499" t="str">
        <f>IF(A499="","", IFERROR(VLOOKUP(A499, 'Code Violations'!A:V, 22, FALSE), "N/A"))</f>
        <v/>
      </c>
      <c r="L499" t="str">
        <f t="shared" si="7"/>
        <v/>
      </c>
    </row>
  </sheetData>
  <conditionalFormatting sqref="E2:E500">
    <cfRule type="expression" dxfId="1" priority="2" stopIfTrue="1">
      <formula>E2="Imbalance"</formula>
    </cfRule>
  </conditionalFormatting>
  <conditionalFormatting sqref="E2:L500">
    <cfRule type="expression" dxfId="0" priority="1" stopIfTrue="1">
      <formula>E2="FAIL"</formula>
    </cfRule>
  </conditionalFormatting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99"/>
  <sheetViews>
    <sheetView tabSelected="1" workbookViewId="0">
      <pane ySplit="1" topLeftCell="A164" activePane="bottomLeft" state="frozen"/>
      <selection pane="bottomLeft" activeCell="F121" sqref="F121"/>
    </sheetView>
  </sheetViews>
  <sheetFormatPr defaultRowHeight="15" x14ac:dyDescent="0.25"/>
  <cols>
    <col min="1" max="1" width="20" customWidth="1"/>
    <col min="2" max="2" width="41.85546875" customWidth="1"/>
    <col min="3" max="3" width="29.5703125" customWidth="1"/>
    <col min="4" max="4" width="63.140625" customWidth="1"/>
    <col min="5" max="6" width="20" customWidth="1"/>
    <col min="7" max="7" width="54.5703125" customWidth="1"/>
    <col min="8" max="9" width="20" customWidth="1"/>
    <col min="10" max="10" width="48.7109375" customWidth="1"/>
    <col min="11" max="12" width="20" customWidth="1"/>
    <col min="13" max="13" width="35" customWidth="1"/>
    <col min="14" max="15" width="20" customWidth="1"/>
    <col min="16" max="16" width="35" customWidth="1"/>
    <col min="17" max="18" width="20" customWidth="1"/>
    <col min="19" max="19" width="76.28515625" customWidth="1"/>
    <col min="20" max="22" width="20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25">
      <c r="A2" t="str">
        <f>IF('Equipment Information'!A2="","", 'Equipment Information'!A2)</f>
        <v>20260648</v>
      </c>
      <c r="B2" t="str">
        <f>IF('Equipment Information'!B2="","", 'Equipment Information'!B2)</f>
        <v>Main Building Disconnect (Sec 1 of 3)</v>
      </c>
      <c r="C2" t="str">
        <f>IF('Equipment Information'!C2="","", 'Equipment Information'!C2)</f>
        <v>Electrical Room #2</v>
      </c>
      <c r="D2" t="s">
        <v>22</v>
      </c>
      <c r="E2" t="str">
        <f>IF(D2="","", IFERROR(VLOOKUP(D2, Hidden_Data!M:N, 2, FALSE), "0"))</f>
        <v>Critical (5pts)</v>
      </c>
      <c r="F2" t="s">
        <v>23</v>
      </c>
      <c r="H2" t="str">
        <f>IF(G2="","", IFERROR(VLOOKUP(G2, Hidden_Data!M:N, 2, FALSE), "0"))</f>
        <v/>
      </c>
      <c r="K2" t="str">
        <f>IF(J2="","", IFERROR(VLOOKUP(J2, Hidden_Data!M:N, 2, FALSE), "0"))</f>
        <v/>
      </c>
      <c r="N2" t="str">
        <f>IF(M2="","", IFERROR(VLOOKUP(M2, Hidden_Data!M:N, 2, FALSE), "0"))</f>
        <v/>
      </c>
      <c r="Q2" t="str">
        <f>IF(P2="","", IFERROR(VLOOKUP(P2, Hidden_Data!M:N, 2, FALSE), "0"))</f>
        <v/>
      </c>
      <c r="T2">
        <f t="shared" ref="T2:T65" si="0">IF(A2="","", SUM(IF(F2="Yes", 0, IF(E2="", 0, IFERROR(VALUE(MID(E2, SEARCH("(",E2)+1, 1)), 0))), IF(I2="Yes", 0, IF(H2="", 0, IFERROR(VALUE(MID(H2, SEARCH("(",H2)+1, 1)), 0))), IF(L2="Yes", 0, IF(K2="", 0, IFERROR(VALUE(MID(K2, SEARCH("(",K2)+1, 1)), 0))), IF(O2="Yes", 0, IF(N2="", 0, IFERROR(VALUE(MID(N2, SEARCH("(",N2)+1, 1)), 0))), IF(R2="Yes", 0, IF(Q2="", 0, IFERROR(VALUE(MID(Q2, SEARCH("(",Q2)+1, 1)), 0)))))</f>
        <v>5</v>
      </c>
      <c r="U2" t="str">
        <f t="shared" ref="U2:U65" si="1">IF(A2="","", IF(T2&gt;=5, "Priority 1 (Critical)", IF(T2&gt;=3, "Priority 2 (Major)", IF(T2&gt;=1, "Priority 3 (Minor)", "Pass/Fixed"))))</f>
        <v>Priority 1 (Critical)</v>
      </c>
      <c r="V2" t="str">
        <f t="shared" ref="V2:V65" si="2">IF(A2="","", IF(T2&gt;0, "FAIL", "PASS"))</f>
        <v>FAIL</v>
      </c>
    </row>
    <row r="3" spans="1:22" x14ac:dyDescent="0.25">
      <c r="A3" t="str">
        <f>IF('Equipment Information'!A3="","", 'Equipment Information'!A3)</f>
        <v>20260649</v>
      </c>
      <c r="B3" t="str">
        <f>IF('Equipment Information'!B3="","", 'Equipment Information'!B3)</f>
        <v>Main Building Disconnect (Sec 2 of 3)</v>
      </c>
      <c r="C3" t="str">
        <f>IF('Equipment Information'!C3="","", 'Equipment Information'!C3)</f>
        <v>Electrical Room #2</v>
      </c>
      <c r="E3" t="str">
        <f>IF(D3="","", IFERROR(VLOOKUP(D3, Hidden_Data!M:N, 2, FALSE), "0"))</f>
        <v/>
      </c>
      <c r="H3" t="str">
        <f>IF(G3="","", IFERROR(VLOOKUP(G3, Hidden_Data!M:N, 2, FALSE), "0"))</f>
        <v/>
      </c>
      <c r="K3" t="str">
        <f>IF(J3="","", IFERROR(VLOOKUP(J3, Hidden_Data!M:N, 2, FALSE), "0"))</f>
        <v/>
      </c>
      <c r="N3" t="str">
        <f>IF(M3="","", IFERROR(VLOOKUP(M3, Hidden_Data!M:N, 2, FALSE), "0"))</f>
        <v/>
      </c>
      <c r="Q3" t="str">
        <f>IF(P3="","", IFERROR(VLOOKUP(P3, Hidden_Data!M:N, 2, FALSE), "0"))</f>
        <v/>
      </c>
      <c r="T3">
        <f t="shared" si="0"/>
        <v>0</v>
      </c>
      <c r="U3" t="str">
        <f t="shared" si="1"/>
        <v>Pass/Fixed</v>
      </c>
      <c r="V3" t="str">
        <f t="shared" si="2"/>
        <v>PASS</v>
      </c>
    </row>
    <row r="4" spans="1:22" x14ac:dyDescent="0.25">
      <c r="A4" t="str">
        <f>IF('Equipment Information'!A4="","", 'Equipment Information'!A4)</f>
        <v>20260650</v>
      </c>
      <c r="B4" t="str">
        <f>IF('Equipment Information'!B4="","", 'Equipment Information'!B4)</f>
        <v>Main Building Disconnect (Sec 3 of 3)</v>
      </c>
      <c r="C4" t="str">
        <f>IF('Equipment Information'!C4="","", 'Equipment Information'!C4)</f>
        <v>Electrical Room #2</v>
      </c>
      <c r="D4" t="s">
        <v>24</v>
      </c>
      <c r="E4" t="str">
        <f>IF(D4="","", IFERROR(VLOOKUP(D4, Hidden_Data!M:N, 2, FALSE), "0"))</f>
        <v>Critical (5pts)</v>
      </c>
      <c r="F4" t="s">
        <v>23</v>
      </c>
      <c r="G4" t="s">
        <v>25</v>
      </c>
      <c r="H4" t="str">
        <f>IF(G4="","", IFERROR(VLOOKUP(G4, Hidden_Data!M:N, 2, FALSE), "0"))</f>
        <v>Major (3pts)</v>
      </c>
      <c r="I4" t="s">
        <v>23</v>
      </c>
      <c r="K4" t="str">
        <f>IF(J4="","", IFERROR(VLOOKUP(J4, Hidden_Data!M:N, 2, FALSE), "0"))</f>
        <v/>
      </c>
      <c r="N4" t="str">
        <f>IF(M4="","", IFERROR(VLOOKUP(M4, Hidden_Data!M:N, 2, FALSE), "0"))</f>
        <v/>
      </c>
      <c r="Q4" t="str">
        <f>IF(P4="","", IFERROR(VLOOKUP(P4, Hidden_Data!M:N, 2, FALSE), "0"))</f>
        <v/>
      </c>
      <c r="S4" t="s">
        <v>26</v>
      </c>
      <c r="T4">
        <f t="shared" si="0"/>
        <v>8</v>
      </c>
      <c r="U4" t="str">
        <f t="shared" si="1"/>
        <v>Priority 1 (Critical)</v>
      </c>
      <c r="V4" t="str">
        <f t="shared" si="2"/>
        <v>FAIL</v>
      </c>
    </row>
    <row r="5" spans="1:22" x14ac:dyDescent="0.25">
      <c r="A5" t="str">
        <f>IF('Equipment Information'!A5="","", 'Equipment Information'!A5)</f>
        <v>20260651</v>
      </c>
      <c r="B5" t="str">
        <f>IF('Equipment Information'!B5="","", 'Equipment Information'!B5)</f>
        <v>Power Cond. #1 Disconnect</v>
      </c>
      <c r="C5" t="str">
        <f>IF('Equipment Information'!C5="","", 'Equipment Information'!C5)</f>
        <v>Electrical Room #2</v>
      </c>
      <c r="E5" t="str">
        <f>IF(D5="","", IFERROR(VLOOKUP(D5, Hidden_Data!M:N, 2, FALSE), "0"))</f>
        <v/>
      </c>
      <c r="H5" t="str">
        <f>IF(G5="","", IFERROR(VLOOKUP(G5, Hidden_Data!M:N, 2, FALSE), "0"))</f>
        <v/>
      </c>
      <c r="K5" t="str">
        <f>IF(J5="","", IFERROR(VLOOKUP(J5, Hidden_Data!M:N, 2, FALSE), "0"))</f>
        <v/>
      </c>
      <c r="N5" t="str">
        <f>IF(M5="","", IFERROR(VLOOKUP(M5, Hidden_Data!M:N, 2, FALSE), "0"))</f>
        <v/>
      </c>
      <c r="Q5" t="str">
        <f>IF(P5="","", IFERROR(VLOOKUP(P5, Hidden_Data!M:N, 2, FALSE), "0"))</f>
        <v/>
      </c>
      <c r="T5">
        <f t="shared" si="0"/>
        <v>0</v>
      </c>
      <c r="U5" t="str">
        <f t="shared" si="1"/>
        <v>Pass/Fixed</v>
      </c>
      <c r="V5" t="str">
        <f t="shared" si="2"/>
        <v>PASS</v>
      </c>
    </row>
    <row r="6" spans="1:22" x14ac:dyDescent="0.25">
      <c r="A6" t="str">
        <f>IF('Equipment Information'!A6="","", 'Equipment Information'!A6)</f>
        <v>20260652</v>
      </c>
      <c r="B6" t="str">
        <f>IF('Equipment Information'!B6="","", 'Equipment Information'!B6)</f>
        <v>Power Cond. #2 Disconnect</v>
      </c>
      <c r="C6" t="str">
        <f>IF('Equipment Information'!C6="","", 'Equipment Information'!C6)</f>
        <v>Electrical Room #2</v>
      </c>
      <c r="E6" t="str">
        <f>IF(D6="","", IFERROR(VLOOKUP(D6, Hidden_Data!M:N, 2, FALSE), "0"))</f>
        <v/>
      </c>
      <c r="H6" t="str">
        <f>IF(G6="","", IFERROR(VLOOKUP(G6, Hidden_Data!M:N, 2, FALSE), "0"))</f>
        <v/>
      </c>
      <c r="K6" t="str">
        <f>IF(J6="","", IFERROR(VLOOKUP(J6, Hidden_Data!M:N, 2, FALSE), "0"))</f>
        <v/>
      </c>
      <c r="N6" t="str">
        <f>IF(M6="","", IFERROR(VLOOKUP(M6, Hidden_Data!M:N, 2, FALSE), "0"))</f>
        <v/>
      </c>
      <c r="Q6" t="str">
        <f>IF(P6="","", IFERROR(VLOOKUP(P6, Hidden_Data!M:N, 2, FALSE), "0"))</f>
        <v/>
      </c>
      <c r="T6">
        <f t="shared" si="0"/>
        <v>0</v>
      </c>
      <c r="U6" t="str">
        <f t="shared" si="1"/>
        <v>Pass/Fixed</v>
      </c>
      <c r="V6" t="str">
        <f t="shared" si="2"/>
        <v>PASS</v>
      </c>
    </row>
    <row r="7" spans="1:22" x14ac:dyDescent="0.25">
      <c r="A7" t="str">
        <f>IF('Equipment Information'!A7="","", 'Equipment Information'!A7)</f>
        <v>20260653</v>
      </c>
      <c r="B7" t="str">
        <f>IF('Equipment Information'!B7="","", 'Equipment Information'!B7)</f>
        <v>LP #1</v>
      </c>
      <c r="C7" t="str">
        <f>IF('Equipment Information'!C7="","", 'Equipment Information'!C7)</f>
        <v>Electrical Room #2</v>
      </c>
      <c r="D7" t="s">
        <v>27</v>
      </c>
      <c r="E7" t="str">
        <f>IF(D7="","", IFERROR(VLOOKUP(D7, Hidden_Data!M:N, 2, FALSE), "0"))</f>
        <v>Critical (5pts)</v>
      </c>
      <c r="F7" t="s">
        <v>23</v>
      </c>
      <c r="H7" t="str">
        <f>IF(G7="","", IFERROR(VLOOKUP(G7, Hidden_Data!M:N, 2, FALSE), "0"))</f>
        <v/>
      </c>
      <c r="K7" t="str">
        <f>IF(J7="","", IFERROR(VLOOKUP(J7, Hidden_Data!M:N, 2, FALSE), "0"))</f>
        <v/>
      </c>
      <c r="N7" t="str">
        <f>IF(M7="","", IFERROR(VLOOKUP(M7, Hidden_Data!M:N, 2, FALSE), "0"))</f>
        <v/>
      </c>
      <c r="Q7" t="str">
        <f>IF(P7="","", IFERROR(VLOOKUP(P7, Hidden_Data!M:N, 2, FALSE), "0"))</f>
        <v/>
      </c>
      <c r="S7" t="s">
        <v>28</v>
      </c>
      <c r="T7">
        <f t="shared" si="0"/>
        <v>5</v>
      </c>
      <c r="U7" t="str">
        <f t="shared" si="1"/>
        <v>Priority 1 (Critical)</v>
      </c>
      <c r="V7" t="str">
        <f t="shared" si="2"/>
        <v>FAIL</v>
      </c>
    </row>
    <row r="8" spans="1:22" x14ac:dyDescent="0.25">
      <c r="A8" t="str">
        <f>IF('Equipment Information'!A8="","", 'Equipment Information'!A8)</f>
        <v>20260654</v>
      </c>
      <c r="B8" t="str">
        <f>IF('Equipment Information'!B8="","", 'Equipment Information'!B8)</f>
        <v>P-1</v>
      </c>
      <c r="C8" t="str">
        <f>IF('Equipment Information'!C8="","", 'Equipment Information'!C8)</f>
        <v>Electrical Room #2</v>
      </c>
      <c r="D8" t="s">
        <v>29</v>
      </c>
      <c r="E8" t="str">
        <f>IF(D8="","", IFERROR(VLOOKUP(D8, Hidden_Data!M:N, 2, FALSE), "0"))</f>
        <v>Major (3pts)</v>
      </c>
      <c r="F8" t="s">
        <v>23</v>
      </c>
      <c r="G8" t="s">
        <v>30</v>
      </c>
      <c r="H8" t="str">
        <f>IF(G8="","", IFERROR(VLOOKUP(G8, Hidden_Data!M:N, 2, FALSE), "0"))</f>
        <v>Minor (1pt)</v>
      </c>
      <c r="I8" t="s">
        <v>23</v>
      </c>
      <c r="K8" t="str">
        <f>IF(J8="","", IFERROR(VLOOKUP(J8, Hidden_Data!M:N, 2, FALSE), "0"))</f>
        <v/>
      </c>
      <c r="N8" t="str">
        <f>IF(M8="","", IFERROR(VLOOKUP(M8, Hidden_Data!M:N, 2, FALSE), "0"))</f>
        <v/>
      </c>
      <c r="Q8" t="str">
        <f>IF(P8="","", IFERROR(VLOOKUP(P8, Hidden_Data!M:N, 2, FALSE), "0"))</f>
        <v/>
      </c>
      <c r="S8" t="s">
        <v>31</v>
      </c>
      <c r="T8">
        <f t="shared" si="0"/>
        <v>4</v>
      </c>
      <c r="U8" t="str">
        <f t="shared" si="1"/>
        <v>Priority 2 (Major)</v>
      </c>
      <c r="V8" t="str">
        <f t="shared" si="2"/>
        <v>FAIL</v>
      </c>
    </row>
    <row r="9" spans="1:22" x14ac:dyDescent="0.25">
      <c r="A9" t="str">
        <f>IF('Equipment Information'!A9="","", 'Equipment Information'!A9)</f>
        <v>20260655</v>
      </c>
      <c r="B9" t="str">
        <f>IF('Equipment Information'!B9="","", 'Equipment Information'!B9)</f>
        <v>P-2</v>
      </c>
      <c r="C9" t="str">
        <f>IF('Equipment Information'!C9="","", 'Equipment Information'!C9)</f>
        <v>Electrical Room #2</v>
      </c>
      <c r="D9" t="s">
        <v>32</v>
      </c>
      <c r="E9" t="str">
        <f>IF(D9="","", IFERROR(VLOOKUP(D9, Hidden_Data!M:N, 2, FALSE), "0"))</f>
        <v>Critical (5pts)</v>
      </c>
      <c r="H9" t="str">
        <f>IF(G9="","", IFERROR(VLOOKUP(G9, Hidden_Data!M:N, 2, FALSE), "0"))</f>
        <v/>
      </c>
      <c r="K9" t="str">
        <f>IF(J9="","", IFERROR(VLOOKUP(J9, Hidden_Data!M:N, 2, FALSE), "0"))</f>
        <v/>
      </c>
      <c r="N9" t="str">
        <f>IF(M9="","", IFERROR(VLOOKUP(M9, Hidden_Data!M:N, 2, FALSE), "0"))</f>
        <v/>
      </c>
      <c r="Q9" t="str">
        <f>IF(P9="","", IFERROR(VLOOKUP(P9, Hidden_Data!M:N, 2, FALSE), "0"))</f>
        <v/>
      </c>
      <c r="T9">
        <f t="shared" si="0"/>
        <v>5</v>
      </c>
      <c r="U9" t="str">
        <f t="shared" si="1"/>
        <v>Priority 1 (Critical)</v>
      </c>
      <c r="V9" t="str">
        <f t="shared" si="2"/>
        <v>FAIL</v>
      </c>
    </row>
    <row r="10" spans="1:22" x14ac:dyDescent="0.25">
      <c r="A10" t="str">
        <f>IF('Equipment Information'!A10="","", 'Equipment Information'!A10)</f>
        <v>20260656</v>
      </c>
      <c r="B10" t="str">
        <f>IF('Equipment Information'!B10="","", 'Equipment Information'!B10)</f>
        <v>DP #4</v>
      </c>
      <c r="C10" t="str">
        <f>IF('Equipment Information'!C10="","", 'Equipment Information'!C10)</f>
        <v>Electrical Room #2</v>
      </c>
      <c r="D10" t="s">
        <v>30</v>
      </c>
      <c r="E10" t="str">
        <f>IF(D10="","", IFERROR(VLOOKUP(D10, Hidden_Data!M:N, 2, FALSE), "0"))</f>
        <v>Minor (1pt)</v>
      </c>
      <c r="F10" t="s">
        <v>23</v>
      </c>
      <c r="H10" t="str">
        <f>IF(G10="","", IFERROR(VLOOKUP(G10, Hidden_Data!M:N, 2, FALSE), "0"))</f>
        <v/>
      </c>
      <c r="K10" t="str">
        <f>IF(J10="","", IFERROR(VLOOKUP(J10, Hidden_Data!M:N, 2, FALSE), "0"))</f>
        <v/>
      </c>
      <c r="N10" t="str">
        <f>IF(M10="","", IFERROR(VLOOKUP(M10, Hidden_Data!M:N, 2, FALSE), "0"))</f>
        <v/>
      </c>
      <c r="Q10" t="str">
        <f>IF(P10="","", IFERROR(VLOOKUP(P10, Hidden_Data!M:N, 2, FALSE), "0"))</f>
        <v/>
      </c>
      <c r="T10">
        <f t="shared" si="0"/>
        <v>1</v>
      </c>
      <c r="U10" t="str">
        <f t="shared" si="1"/>
        <v>Priority 3 (Minor)</v>
      </c>
      <c r="V10" t="str">
        <f t="shared" si="2"/>
        <v>FAIL</v>
      </c>
    </row>
    <row r="11" spans="1:22" x14ac:dyDescent="0.25">
      <c r="A11" t="str">
        <f>IF('Equipment Information'!A11="","", 'Equipment Information'!A11)</f>
        <v>20260657</v>
      </c>
      <c r="B11" t="str">
        <f>IF('Equipment Information'!B11="","", 'Equipment Information'!B11)</f>
        <v>DP #5</v>
      </c>
      <c r="C11" t="str">
        <f>IF('Equipment Information'!C11="","", 'Equipment Information'!C11)</f>
        <v>Electrical Room #2</v>
      </c>
      <c r="E11" t="str">
        <f>IF(D11="","", IFERROR(VLOOKUP(D11, Hidden_Data!M:N, 2, FALSE), "0"))</f>
        <v/>
      </c>
      <c r="H11" t="str">
        <f>IF(G11="","", IFERROR(VLOOKUP(G11, Hidden_Data!M:N, 2, FALSE), "0"))</f>
        <v/>
      </c>
      <c r="K11" t="str">
        <f>IF(J11="","", IFERROR(VLOOKUP(J11, Hidden_Data!M:N, 2, FALSE), "0"))</f>
        <v/>
      </c>
      <c r="N11" t="str">
        <f>IF(M11="","", IFERROR(VLOOKUP(M11, Hidden_Data!M:N, 2, FALSE), "0"))</f>
        <v/>
      </c>
      <c r="Q11" t="str">
        <f>IF(P11="","", IFERROR(VLOOKUP(P11, Hidden_Data!M:N, 2, FALSE), "0"))</f>
        <v/>
      </c>
      <c r="T11">
        <f t="shared" si="0"/>
        <v>0</v>
      </c>
      <c r="U11" t="str">
        <f t="shared" si="1"/>
        <v>Pass/Fixed</v>
      </c>
      <c r="V11" t="str">
        <f t="shared" si="2"/>
        <v>PASS</v>
      </c>
    </row>
    <row r="12" spans="1:22" x14ac:dyDescent="0.25">
      <c r="A12" t="str">
        <f>IF('Equipment Information'!A12="","", 'Equipment Information'!A12)</f>
        <v>20260658</v>
      </c>
      <c r="B12" t="str">
        <f>IF('Equipment Information'!B12="","", 'Equipment Information'!B12)</f>
        <v>DP #6</v>
      </c>
      <c r="C12" t="str">
        <f>IF('Equipment Information'!C12="","", 'Equipment Information'!C12)</f>
        <v>Electrical Room #2</v>
      </c>
      <c r="E12" t="str">
        <f>IF(D12="","", IFERROR(VLOOKUP(D12, Hidden_Data!M:N, 2, FALSE), "0"))</f>
        <v/>
      </c>
      <c r="H12" t="str">
        <f>IF(G12="","", IFERROR(VLOOKUP(G12, Hidden_Data!M:N, 2, FALSE), "0"))</f>
        <v/>
      </c>
      <c r="K12" t="str">
        <f>IF(J12="","", IFERROR(VLOOKUP(J12, Hidden_Data!M:N, 2, FALSE), "0"))</f>
        <v/>
      </c>
      <c r="N12" t="str">
        <f>IF(M12="","", IFERROR(VLOOKUP(M12, Hidden_Data!M:N, 2, FALSE), "0"))</f>
        <v/>
      </c>
      <c r="Q12" t="str">
        <f>IF(P12="","", IFERROR(VLOOKUP(P12, Hidden_Data!M:N, 2, FALSE), "0"))</f>
        <v/>
      </c>
      <c r="T12">
        <f t="shared" si="0"/>
        <v>0</v>
      </c>
      <c r="U12" t="str">
        <f t="shared" si="1"/>
        <v>Pass/Fixed</v>
      </c>
      <c r="V12" t="str">
        <f t="shared" si="2"/>
        <v>PASS</v>
      </c>
    </row>
    <row r="13" spans="1:22" x14ac:dyDescent="0.25">
      <c r="A13" t="str">
        <f>IF('Equipment Information'!A13="","", 'Equipment Information'!A13)</f>
        <v>20260659</v>
      </c>
      <c r="B13" t="str">
        <f>IF('Equipment Information'!B13="","", 'Equipment Information'!B13)</f>
        <v>PDP</v>
      </c>
      <c r="C13" t="str">
        <f>IF('Equipment Information'!C13="","", 'Equipment Information'!C13)</f>
        <v>Electrical Room #2</v>
      </c>
      <c r="D13" t="s">
        <v>33</v>
      </c>
      <c r="E13" t="str">
        <f>IF(D13="","", IFERROR(VLOOKUP(D13, Hidden_Data!M:N, 2, FALSE), "0"))</f>
        <v>Major (3pts)</v>
      </c>
      <c r="F13" t="s">
        <v>23</v>
      </c>
      <c r="H13" t="str">
        <f>IF(G13="","", IFERROR(VLOOKUP(G13, Hidden_Data!M:N, 2, FALSE), "0"))</f>
        <v/>
      </c>
      <c r="K13" t="str">
        <f>IF(J13="","", IFERROR(VLOOKUP(J13, Hidden_Data!M:N, 2, FALSE), "0"))</f>
        <v/>
      </c>
      <c r="N13" t="str">
        <f>IF(M13="","", IFERROR(VLOOKUP(M13, Hidden_Data!M:N, 2, FALSE), "0"))</f>
        <v/>
      </c>
      <c r="Q13" t="str">
        <f>IF(P13="","", IFERROR(VLOOKUP(P13, Hidden_Data!M:N, 2, FALSE), "0"))</f>
        <v/>
      </c>
      <c r="T13">
        <f t="shared" si="0"/>
        <v>3</v>
      </c>
      <c r="U13" t="str">
        <f t="shared" si="1"/>
        <v>Priority 2 (Major)</v>
      </c>
      <c r="V13" t="str">
        <f t="shared" si="2"/>
        <v>FAIL</v>
      </c>
    </row>
    <row r="14" spans="1:22" x14ac:dyDescent="0.25">
      <c r="A14" t="str">
        <f>IF('Equipment Information'!A14="","", 'Equipment Information'!A14)</f>
        <v>20260660</v>
      </c>
      <c r="B14" t="str">
        <f>IF('Equipment Information'!B14="","", 'Equipment Information'!B14)</f>
        <v>T-2</v>
      </c>
      <c r="C14" t="str">
        <f>IF('Equipment Information'!C14="","", 'Equipment Information'!C14)</f>
        <v>Electrical Room #2</v>
      </c>
      <c r="D14" t="s">
        <v>34</v>
      </c>
      <c r="E14" t="str">
        <f>IF(D14="","", IFERROR(VLOOKUP(D14, Hidden_Data!M:N, 2, FALSE), "0"))</f>
        <v>Critical (5pts)</v>
      </c>
      <c r="F14" t="s">
        <v>23</v>
      </c>
      <c r="H14" t="str">
        <f>IF(G14="","", IFERROR(VLOOKUP(G14, Hidden_Data!M:N, 2, FALSE), "0"))</f>
        <v/>
      </c>
      <c r="K14" t="str">
        <f>IF(J14="","", IFERROR(VLOOKUP(J14, Hidden_Data!M:N, 2, FALSE), "0"))</f>
        <v/>
      </c>
      <c r="N14" t="str">
        <f>IF(M14="","", IFERROR(VLOOKUP(M14, Hidden_Data!M:N, 2, FALSE), "0"))</f>
        <v/>
      </c>
      <c r="Q14" t="str">
        <f>IF(P14="","", IFERROR(VLOOKUP(P14, Hidden_Data!M:N, 2, FALSE), "0"))</f>
        <v/>
      </c>
      <c r="T14">
        <f t="shared" si="0"/>
        <v>5</v>
      </c>
      <c r="U14" t="str">
        <f t="shared" si="1"/>
        <v>Priority 1 (Critical)</v>
      </c>
      <c r="V14" t="str">
        <f t="shared" si="2"/>
        <v>FAIL</v>
      </c>
    </row>
    <row r="15" spans="1:22" x14ac:dyDescent="0.25">
      <c r="A15" t="str">
        <f>IF('Equipment Information'!A15="","", 'Equipment Information'!A15)</f>
        <v>20260661</v>
      </c>
      <c r="B15" t="str">
        <f>IF('Equipment Information'!B15="","", 'Equipment Information'!B15)</f>
        <v>OH XFMR</v>
      </c>
      <c r="C15" t="str">
        <f>IF('Equipment Information'!C15="","", 'Equipment Information'!C15)</f>
        <v>Electrical Room #2</v>
      </c>
      <c r="E15" t="str">
        <f>IF(D15="","", IFERROR(VLOOKUP(D15, Hidden_Data!M:N, 2, FALSE), "0"))</f>
        <v/>
      </c>
      <c r="H15" t="str">
        <f>IF(G15="","", IFERROR(VLOOKUP(G15, Hidden_Data!M:N, 2, FALSE), "0"))</f>
        <v/>
      </c>
      <c r="K15" t="str">
        <f>IF(J15="","", IFERROR(VLOOKUP(J15, Hidden_Data!M:N, 2, FALSE), "0"))</f>
        <v/>
      </c>
      <c r="N15" t="str">
        <f>IF(M15="","", IFERROR(VLOOKUP(M15, Hidden_Data!M:N, 2, FALSE), "0"))</f>
        <v/>
      </c>
      <c r="Q15" t="str">
        <f>IF(P15="","", IFERROR(VLOOKUP(P15, Hidden_Data!M:N, 2, FALSE), "0"))</f>
        <v/>
      </c>
      <c r="T15">
        <f t="shared" si="0"/>
        <v>0</v>
      </c>
      <c r="U15" t="str">
        <f t="shared" si="1"/>
        <v>Pass/Fixed</v>
      </c>
      <c r="V15" t="str">
        <f t="shared" si="2"/>
        <v>PASS</v>
      </c>
    </row>
    <row r="16" spans="1:22" x14ac:dyDescent="0.25">
      <c r="A16" t="str">
        <f>IF('Equipment Information'!A16="","", 'Equipment Information'!A16)</f>
        <v>20260662</v>
      </c>
      <c r="B16" t="str">
        <f>IF('Equipment Information'!B16="","", 'Equipment Information'!B16)</f>
        <v>DP7 Freezer</v>
      </c>
      <c r="C16" t="str">
        <f>IF('Equipment Information'!C16="","", 'Equipment Information'!C16)</f>
        <v>Electrical Room #3</v>
      </c>
      <c r="D16" t="s">
        <v>34</v>
      </c>
      <c r="E16" t="str">
        <f>IF(D16="","", IFERROR(VLOOKUP(D16, Hidden_Data!M:N, 2, FALSE), "0"))</f>
        <v>Critical (5pts)</v>
      </c>
      <c r="F16" t="s">
        <v>23</v>
      </c>
      <c r="G16" t="s">
        <v>30</v>
      </c>
      <c r="H16" t="str">
        <f>IF(G16="","", IFERROR(VLOOKUP(G16, Hidden_Data!M:N, 2, FALSE), "0"))</f>
        <v>Minor (1pt)</v>
      </c>
      <c r="I16" t="s">
        <v>35</v>
      </c>
      <c r="K16" t="str">
        <f>IF(J16="","", IFERROR(VLOOKUP(J16, Hidden_Data!M:N, 2, FALSE), "0"))</f>
        <v/>
      </c>
      <c r="N16" t="str">
        <f>IF(M16="","", IFERROR(VLOOKUP(M16, Hidden_Data!M:N, 2, FALSE), "0"))</f>
        <v/>
      </c>
      <c r="Q16" t="str">
        <f>IF(P16="","", IFERROR(VLOOKUP(P16, Hidden_Data!M:N, 2, FALSE), "0"))</f>
        <v/>
      </c>
      <c r="T16">
        <f t="shared" si="0"/>
        <v>5</v>
      </c>
      <c r="U16" t="str">
        <f t="shared" si="1"/>
        <v>Priority 1 (Critical)</v>
      </c>
      <c r="V16" t="str">
        <f t="shared" si="2"/>
        <v>FAIL</v>
      </c>
    </row>
    <row r="17" spans="1:22" x14ac:dyDescent="0.25">
      <c r="A17" t="str">
        <f>IF('Equipment Information'!A17="","", 'Equipment Information'!A17)</f>
        <v>20260663</v>
      </c>
      <c r="B17" t="str">
        <f>IF('Equipment Information'!B17="","", 'Equipment Information'!B17)</f>
        <v>(N/A 75 KVA XFMR)</v>
      </c>
      <c r="C17" t="str">
        <f>IF('Equipment Information'!C17="","", 'Equipment Information'!C17)</f>
        <v>Electrical Room #3</v>
      </c>
      <c r="D17" t="s">
        <v>34</v>
      </c>
      <c r="E17" t="str">
        <f>IF(D17="","", IFERROR(VLOOKUP(D17, Hidden_Data!M:N, 2, FALSE), "0"))</f>
        <v>Critical (5pts)</v>
      </c>
      <c r="F17" t="s">
        <v>23</v>
      </c>
      <c r="H17" t="str">
        <f>IF(G17="","", IFERROR(VLOOKUP(G17, Hidden_Data!M:N, 2, FALSE), "0"))</f>
        <v/>
      </c>
      <c r="K17" t="str">
        <f>IF(J17="","", IFERROR(VLOOKUP(J17, Hidden_Data!M:N, 2, FALSE), "0"))</f>
        <v/>
      </c>
      <c r="N17" t="str">
        <f>IF(M17="","", IFERROR(VLOOKUP(M17, Hidden_Data!M:N, 2, FALSE), "0"))</f>
        <v/>
      </c>
      <c r="Q17" t="str">
        <f>IF(P17="","", IFERROR(VLOOKUP(P17, Hidden_Data!M:N, 2, FALSE), "0"))</f>
        <v/>
      </c>
      <c r="T17">
        <f t="shared" si="0"/>
        <v>5</v>
      </c>
      <c r="U17" t="str">
        <f t="shared" si="1"/>
        <v>Priority 1 (Critical)</v>
      </c>
      <c r="V17" t="str">
        <f t="shared" si="2"/>
        <v>FAIL</v>
      </c>
    </row>
    <row r="18" spans="1:22" x14ac:dyDescent="0.25">
      <c r="A18" t="str">
        <f>IF('Equipment Information'!A18="","", 'Equipment Information'!A18)</f>
        <v>20260664</v>
      </c>
      <c r="B18" t="str">
        <f>IF('Equipment Information'!B18="","", 'Equipment Information'!B18)</f>
        <v>(N/A PNL)</v>
      </c>
      <c r="C18" t="str">
        <f>IF('Equipment Information'!C18="","", 'Equipment Information'!C18)</f>
        <v>Electrical Room #3</v>
      </c>
      <c r="D18" t="s">
        <v>34</v>
      </c>
      <c r="E18" t="str">
        <f>IF(D18="","", IFERROR(VLOOKUP(D18, Hidden_Data!M:N, 2, FALSE), "0"))</f>
        <v>Critical (5pts)</v>
      </c>
      <c r="F18" t="s">
        <v>23</v>
      </c>
      <c r="H18" t="str">
        <f>IF(G18="","", IFERROR(VLOOKUP(G18, Hidden_Data!M:N, 2, FALSE), "0"))</f>
        <v/>
      </c>
      <c r="K18" t="str">
        <f>IF(J18="","", IFERROR(VLOOKUP(J18, Hidden_Data!M:N, 2, FALSE), "0"))</f>
        <v/>
      </c>
      <c r="N18" t="str">
        <f>IF(M18="","", IFERROR(VLOOKUP(M18, Hidden_Data!M:N, 2, FALSE), "0"))</f>
        <v/>
      </c>
      <c r="Q18" t="str">
        <f>IF(P18="","", IFERROR(VLOOKUP(P18, Hidden_Data!M:N, 2, FALSE), "0"))</f>
        <v/>
      </c>
      <c r="T18">
        <f t="shared" si="0"/>
        <v>5</v>
      </c>
      <c r="U18" t="str">
        <f t="shared" si="1"/>
        <v>Priority 1 (Critical)</v>
      </c>
      <c r="V18" t="str">
        <f t="shared" si="2"/>
        <v>FAIL</v>
      </c>
    </row>
    <row r="19" spans="1:22" x14ac:dyDescent="0.25">
      <c r="A19" t="str">
        <f>IF('Equipment Information'!A19="","", 'Equipment Information'!A19)</f>
        <v>20260665</v>
      </c>
      <c r="B19" t="str">
        <f>IF('Equipment Information'!B19="","", 'Equipment Information'!B19)</f>
        <v>USES</v>
      </c>
      <c r="C19" t="str">
        <f>IF('Equipment Information'!C19="","", 'Equipment Information'!C19)</f>
        <v>Electrical Room #3</v>
      </c>
      <c r="D19" t="s">
        <v>651</v>
      </c>
      <c r="E19" t="str">
        <f>IF(D19="","", IFERROR(VLOOKUP(D19, Hidden_Data!M:N, 2, FALSE), "0"))</f>
        <v>Critical (5pts)</v>
      </c>
      <c r="F19" t="s">
        <v>23</v>
      </c>
      <c r="H19" t="str">
        <f>IF(G19="","", IFERROR(VLOOKUP(G19, Hidden_Data!M:N, 2, FALSE), "0"))</f>
        <v/>
      </c>
      <c r="K19" t="str">
        <f>IF(J19="","", IFERROR(VLOOKUP(J19, Hidden_Data!M:N, 2, FALSE), "0"))</f>
        <v/>
      </c>
      <c r="N19" t="str">
        <f>IF(M19="","", IFERROR(VLOOKUP(M19, Hidden_Data!M:N, 2, FALSE), "0"))</f>
        <v/>
      </c>
      <c r="Q19" t="str">
        <f>IF(P19="","", IFERROR(VLOOKUP(P19, Hidden_Data!M:N, 2, FALSE), "0"))</f>
        <v/>
      </c>
      <c r="S19" t="s">
        <v>39</v>
      </c>
      <c r="T19">
        <f t="shared" si="0"/>
        <v>5</v>
      </c>
      <c r="U19" t="str">
        <f t="shared" si="1"/>
        <v>Priority 1 (Critical)</v>
      </c>
      <c r="V19" t="str">
        <f t="shared" si="2"/>
        <v>FAIL</v>
      </c>
    </row>
    <row r="20" spans="1:22" x14ac:dyDescent="0.25">
      <c r="A20" t="str">
        <f>IF('Equipment Information'!A20="","", 'Equipment Information'!A20)</f>
        <v>20260666</v>
      </c>
      <c r="B20" t="str">
        <f>IF('Equipment Information'!B20="","", 'Equipment Information'!B20)</f>
        <v>Fan (P3-4/6/8)</v>
      </c>
      <c r="C20" t="str">
        <f>IF('Equipment Information'!C20="","", 'Equipment Information'!C20)</f>
        <v>Electrical Room #3</v>
      </c>
      <c r="E20" t="str">
        <f>IF(D20="","", IFERROR(VLOOKUP(D20, Hidden_Data!M:N, 2, FALSE), "0"))</f>
        <v/>
      </c>
      <c r="H20" t="str">
        <f>IF(G20="","", IFERROR(VLOOKUP(G20, Hidden_Data!M:N, 2, FALSE), "0"))</f>
        <v/>
      </c>
      <c r="K20" t="str">
        <f>IF(J20="","", IFERROR(VLOOKUP(J20, Hidden_Data!M:N, 2, FALSE), "0"))</f>
        <v/>
      </c>
      <c r="N20" t="str">
        <f>IF(M20="","", IFERROR(VLOOKUP(M20, Hidden_Data!M:N, 2, FALSE), "0"))</f>
        <v/>
      </c>
      <c r="Q20" t="str">
        <f>IF(P20="","", IFERROR(VLOOKUP(P20, Hidden_Data!M:N, 2, FALSE), "0"))</f>
        <v/>
      </c>
      <c r="T20">
        <f t="shared" si="0"/>
        <v>0</v>
      </c>
      <c r="U20" t="str">
        <f t="shared" si="1"/>
        <v>Pass/Fixed</v>
      </c>
      <c r="V20" t="str">
        <f t="shared" si="2"/>
        <v>PASS</v>
      </c>
    </row>
    <row r="21" spans="1:22" x14ac:dyDescent="0.25">
      <c r="A21" t="str">
        <f>IF('Equipment Information'!A21="","", 'Equipment Information'!A21)</f>
        <v>20260667</v>
      </c>
      <c r="B21" t="str">
        <f>IF('Equipment Information'!B21="","", 'Equipment Information'!B21)</f>
        <v>Fan (P3-4/6/8)</v>
      </c>
      <c r="C21" t="str">
        <f>IF('Equipment Information'!C21="","", 'Equipment Information'!C21)</f>
        <v>Electrical Room #3</v>
      </c>
      <c r="E21" t="str">
        <f>IF(D21="","", IFERROR(VLOOKUP(D21, Hidden_Data!M:N, 2, FALSE), "0"))</f>
        <v/>
      </c>
      <c r="H21" t="str">
        <f>IF(G21="","", IFERROR(VLOOKUP(G21, Hidden_Data!M:N, 2, FALSE), "0"))</f>
        <v/>
      </c>
      <c r="K21" t="str">
        <f>IF(J21="","", IFERROR(VLOOKUP(J21, Hidden_Data!M:N, 2, FALSE), "0"))</f>
        <v/>
      </c>
      <c r="N21" t="str">
        <f>IF(M21="","", IFERROR(VLOOKUP(M21, Hidden_Data!M:N, 2, FALSE), "0"))</f>
        <v/>
      </c>
      <c r="Q21" t="str">
        <f>IF(P21="","", IFERROR(VLOOKUP(P21, Hidden_Data!M:N, 2, FALSE), "0"))</f>
        <v/>
      </c>
      <c r="T21">
        <f t="shared" si="0"/>
        <v>0</v>
      </c>
      <c r="U21" t="str">
        <f t="shared" si="1"/>
        <v>Pass/Fixed</v>
      </c>
      <c r="V21" t="str">
        <f t="shared" si="2"/>
        <v>PASS</v>
      </c>
    </row>
    <row r="22" spans="1:22" x14ac:dyDescent="0.25">
      <c r="A22" t="str">
        <f>IF('Equipment Information'!A22="","", 'Equipment Information'!A22)</f>
        <v>20260668</v>
      </c>
      <c r="B22" t="str">
        <f>IF('Equipment Information'!B22="","", 'Equipment Information'!B22)</f>
        <v>P3</v>
      </c>
      <c r="C22" t="str">
        <f>IF('Equipment Information'!C22="","", 'Equipment Information'!C22)</f>
        <v>Electrical Room #3</v>
      </c>
      <c r="E22" t="str">
        <f>IF(D22="","", IFERROR(VLOOKUP(D22, Hidden_Data!M:N, 2, FALSE), "0"))</f>
        <v/>
      </c>
      <c r="H22" t="str">
        <f>IF(G22="","", IFERROR(VLOOKUP(G22, Hidden_Data!M:N, 2, FALSE), "0"))</f>
        <v/>
      </c>
      <c r="K22" t="str">
        <f>IF(J22="","", IFERROR(VLOOKUP(J22, Hidden_Data!M:N, 2, FALSE), "0"))</f>
        <v/>
      </c>
      <c r="N22" t="str">
        <f>IF(M22="","", IFERROR(VLOOKUP(M22, Hidden_Data!M:N, 2, FALSE), "0"))</f>
        <v/>
      </c>
      <c r="Q22" t="str">
        <f>IF(P22="","", IFERROR(VLOOKUP(P22, Hidden_Data!M:N, 2, FALSE), "0"))</f>
        <v/>
      </c>
      <c r="T22">
        <f t="shared" si="0"/>
        <v>0</v>
      </c>
      <c r="U22" t="str">
        <f t="shared" si="1"/>
        <v>Pass/Fixed</v>
      </c>
      <c r="V22" t="str">
        <f t="shared" si="2"/>
        <v>PASS</v>
      </c>
    </row>
    <row r="23" spans="1:22" x14ac:dyDescent="0.25">
      <c r="A23" t="str">
        <f>IF('Equipment Information'!A23="","", 'Equipment Information'!A23)</f>
        <v>20260669</v>
      </c>
      <c r="B23" t="str">
        <f>IF('Equipment Information'!B23="","", 'Equipment Information'!B23)</f>
        <v>DP7</v>
      </c>
      <c r="C23" t="str">
        <f>IF('Equipment Information'!C23="","", 'Equipment Information'!C23)</f>
        <v>Electrical Room #3</v>
      </c>
      <c r="D23" t="s">
        <v>651</v>
      </c>
      <c r="E23" t="str">
        <f>IF(D23="","", IFERROR(VLOOKUP(D23, Hidden_Data!M:N, 2, FALSE), "0"))</f>
        <v>Critical (5pts)</v>
      </c>
      <c r="F23" t="s">
        <v>23</v>
      </c>
      <c r="H23" t="str">
        <f>IF(G23="","", IFERROR(VLOOKUP(G23, Hidden_Data!M:N, 2, FALSE), "0"))</f>
        <v/>
      </c>
      <c r="K23" t="str">
        <f>IF(J23="","", IFERROR(VLOOKUP(J23, Hidden_Data!M:N, 2, FALSE), "0"))</f>
        <v/>
      </c>
      <c r="N23" t="str">
        <f>IF(M23="","", IFERROR(VLOOKUP(M23, Hidden_Data!M:N, 2, FALSE), "0"))</f>
        <v/>
      </c>
      <c r="Q23" t="str">
        <f>IF(P23="","", IFERROR(VLOOKUP(P23, Hidden_Data!M:N, 2, FALSE), "0"))</f>
        <v/>
      </c>
      <c r="S23" t="s">
        <v>40</v>
      </c>
      <c r="T23">
        <f t="shared" si="0"/>
        <v>5</v>
      </c>
      <c r="U23" t="str">
        <f t="shared" si="1"/>
        <v>Priority 1 (Critical)</v>
      </c>
      <c r="V23" t="str">
        <f t="shared" si="2"/>
        <v>FAIL</v>
      </c>
    </row>
    <row r="24" spans="1:22" x14ac:dyDescent="0.25">
      <c r="A24" t="str">
        <f>IF('Equipment Information'!A24="","", 'Equipment Information'!A24)</f>
        <v>20260670</v>
      </c>
      <c r="B24" t="str">
        <f>IF('Equipment Information'!B24="","", 'Equipment Information'!B24)</f>
        <v>CP-DP7 [Sec. 1]</v>
      </c>
      <c r="C24" t="str">
        <f>IF('Equipment Information'!C24="","", 'Equipment Information'!C24)</f>
        <v>Electrical Room #3</v>
      </c>
      <c r="E24" t="str">
        <f>IF(D24="","", IFERROR(VLOOKUP(D24, Hidden_Data!M:N, 2, FALSE), "0"))</f>
        <v/>
      </c>
      <c r="H24" t="str">
        <f>IF(G24="","", IFERROR(VLOOKUP(G24, Hidden_Data!M:N, 2, FALSE), "0"))</f>
        <v/>
      </c>
      <c r="K24" t="str">
        <f>IF(J24="","", IFERROR(VLOOKUP(J24, Hidden_Data!M:N, 2, FALSE), "0"))</f>
        <v/>
      </c>
      <c r="N24" t="str">
        <f>IF(M24="","", IFERROR(VLOOKUP(M24, Hidden_Data!M:N, 2, FALSE), "0"))</f>
        <v/>
      </c>
      <c r="Q24" t="str">
        <f>IF(P24="","", IFERROR(VLOOKUP(P24, Hidden_Data!M:N, 2, FALSE), "0"))</f>
        <v/>
      </c>
      <c r="T24">
        <f t="shared" si="0"/>
        <v>0</v>
      </c>
      <c r="U24" t="str">
        <f t="shared" si="1"/>
        <v>Pass/Fixed</v>
      </c>
      <c r="V24" t="str">
        <f t="shared" si="2"/>
        <v>PASS</v>
      </c>
    </row>
    <row r="25" spans="1:22" x14ac:dyDescent="0.25">
      <c r="A25" t="str">
        <f>IF('Equipment Information'!A25="","", 'Equipment Information'!A25)</f>
        <v>20260671</v>
      </c>
      <c r="B25" t="str">
        <f>IF('Equipment Information'!B25="","", 'Equipment Information'!B25)</f>
        <v>CP-DP7 [Sec. 2]</v>
      </c>
      <c r="C25" t="str">
        <f>IF('Equipment Information'!C25="","", 'Equipment Information'!C25)</f>
        <v>Electrical Room #3</v>
      </c>
      <c r="D25" t="s">
        <v>41</v>
      </c>
      <c r="E25" t="str">
        <f>IF(D25="","", IFERROR(VLOOKUP(D25, Hidden_Data!M:N, 2, FALSE), "0"))</f>
        <v>Major (3pts)</v>
      </c>
      <c r="F25" t="s">
        <v>23</v>
      </c>
      <c r="G25" t="s">
        <v>33</v>
      </c>
      <c r="H25" t="str">
        <f>IF(G25="","", IFERROR(VLOOKUP(G25, Hidden_Data!M:N, 2, FALSE), "0"))</f>
        <v>Major (3pts)</v>
      </c>
      <c r="I25" t="s">
        <v>23</v>
      </c>
      <c r="K25" t="str">
        <f>IF(J25="","", IFERROR(VLOOKUP(J25, Hidden_Data!M:N, 2, FALSE), "0"))</f>
        <v/>
      </c>
      <c r="N25" t="str">
        <f>IF(M25="","", IFERROR(VLOOKUP(M25, Hidden_Data!M:N, 2, FALSE), "0"))</f>
        <v/>
      </c>
      <c r="Q25" t="str">
        <f>IF(P25="","", IFERROR(VLOOKUP(P25, Hidden_Data!M:N, 2, FALSE), "0"))</f>
        <v/>
      </c>
      <c r="T25">
        <f t="shared" si="0"/>
        <v>6</v>
      </c>
      <c r="U25" t="str">
        <f t="shared" si="1"/>
        <v>Priority 1 (Critical)</v>
      </c>
      <c r="V25" t="str">
        <f t="shared" si="2"/>
        <v>FAIL</v>
      </c>
    </row>
    <row r="26" spans="1:22" x14ac:dyDescent="0.25">
      <c r="A26" t="str">
        <f>IF('Equipment Information'!A26="","", 'Equipment Information'!A26)</f>
        <v>20260672</v>
      </c>
      <c r="B26" t="str">
        <f>IF('Equipment Information'!B26="","", 'Equipment Information'!B26)</f>
        <v>CP-DP7 [Sec. 3]</v>
      </c>
      <c r="C26" t="str">
        <f>IF('Equipment Information'!C26="","", 'Equipment Information'!C26)</f>
        <v>Electrical Room #3</v>
      </c>
      <c r="E26" t="str">
        <f>IF(D26="","", IFERROR(VLOOKUP(D26, Hidden_Data!M:N, 2, FALSE), "0"))</f>
        <v/>
      </c>
      <c r="H26" t="str">
        <f>IF(G26="","", IFERROR(VLOOKUP(G26, Hidden_Data!M:N, 2, FALSE), "0"))</f>
        <v/>
      </c>
      <c r="K26" t="str">
        <f>IF(J26="","", IFERROR(VLOOKUP(J26, Hidden_Data!M:N, 2, FALSE), "0"))</f>
        <v/>
      </c>
      <c r="N26" t="str">
        <f>IF(M26="","", IFERROR(VLOOKUP(M26, Hidden_Data!M:N, 2, FALSE), "0"))</f>
        <v/>
      </c>
      <c r="Q26" t="str">
        <f>IF(P26="","", IFERROR(VLOOKUP(P26, Hidden_Data!M:N, 2, FALSE), "0"))</f>
        <v/>
      </c>
      <c r="T26">
        <f t="shared" si="0"/>
        <v>0</v>
      </c>
      <c r="U26" t="str">
        <f t="shared" si="1"/>
        <v>Pass/Fixed</v>
      </c>
      <c r="V26" t="str">
        <f t="shared" si="2"/>
        <v>PASS</v>
      </c>
    </row>
    <row r="27" spans="1:22" x14ac:dyDescent="0.25">
      <c r="A27" t="str">
        <f>IF('Equipment Information'!A27="","", 'Equipment Information'!A27)</f>
        <v>20260673</v>
      </c>
      <c r="B27" t="str">
        <f>IF('Equipment Information'!B27="","", 'Equipment Information'!B27)</f>
        <v>OH XFMR</v>
      </c>
      <c r="C27" t="str">
        <f>IF('Equipment Information'!C27="","", 'Equipment Information'!C27)</f>
        <v>Electrical Room #3</v>
      </c>
      <c r="E27" t="str">
        <f>IF(D27="","", IFERROR(VLOOKUP(D27, Hidden_Data!M:N, 2, FALSE), "0"))</f>
        <v/>
      </c>
      <c r="H27" t="str">
        <f>IF(G27="","", IFERROR(VLOOKUP(G27, Hidden_Data!M:N, 2, FALSE), "0"))</f>
        <v/>
      </c>
      <c r="K27" t="str">
        <f>IF(J27="","", IFERROR(VLOOKUP(J27, Hidden_Data!M:N, 2, FALSE), "0"))</f>
        <v/>
      </c>
      <c r="N27" t="str">
        <f>IF(M27="","", IFERROR(VLOOKUP(M27, Hidden_Data!M:N, 2, FALSE), "0"))</f>
        <v/>
      </c>
      <c r="Q27" t="str">
        <f>IF(P27="","", IFERROR(VLOOKUP(P27, Hidden_Data!M:N, 2, FALSE), "0"))</f>
        <v/>
      </c>
      <c r="T27">
        <f t="shared" si="0"/>
        <v>0</v>
      </c>
      <c r="U27" t="str">
        <f t="shared" si="1"/>
        <v>Pass/Fixed</v>
      </c>
      <c r="V27" t="str">
        <f t="shared" si="2"/>
        <v>PASS</v>
      </c>
    </row>
    <row r="28" spans="1:22" x14ac:dyDescent="0.25">
      <c r="A28" t="str">
        <f>IF('Equipment Information'!A28="","", 'Equipment Information'!A28)</f>
        <v>20260674</v>
      </c>
      <c r="B28" t="str">
        <f>IF('Equipment Information'!B28="","", 'Equipment Information'!B28)</f>
        <v>MDP-2 [Sec. 1]</v>
      </c>
      <c r="C28" t="str">
        <f>IF('Equipment Information'!C28="","", 'Equipment Information'!C28)</f>
        <v>Electrical Room #1</v>
      </c>
      <c r="E28" t="str">
        <f>IF(D28="","", IFERROR(VLOOKUP(D28, Hidden_Data!M:N, 2, FALSE), "0"))</f>
        <v/>
      </c>
      <c r="H28" t="str">
        <f>IF(G28="","", IFERROR(VLOOKUP(G28, Hidden_Data!M:N, 2, FALSE), "0"))</f>
        <v/>
      </c>
      <c r="K28" t="str">
        <f>IF(J28="","", IFERROR(VLOOKUP(J28, Hidden_Data!M:N, 2, FALSE), "0"))</f>
        <v/>
      </c>
      <c r="N28" t="str">
        <f>IF(M28="","", IFERROR(VLOOKUP(M28, Hidden_Data!M:N, 2, FALSE), "0"))</f>
        <v/>
      </c>
      <c r="Q28" t="str">
        <f>IF(P28="","", IFERROR(VLOOKUP(P28, Hidden_Data!M:N, 2, FALSE), "0"))</f>
        <v/>
      </c>
      <c r="T28">
        <f t="shared" si="0"/>
        <v>0</v>
      </c>
      <c r="U28" t="str">
        <f t="shared" si="1"/>
        <v>Pass/Fixed</v>
      </c>
      <c r="V28" t="str">
        <f t="shared" si="2"/>
        <v>PASS</v>
      </c>
    </row>
    <row r="29" spans="1:22" x14ac:dyDescent="0.25">
      <c r="A29" t="str">
        <f>IF('Equipment Information'!A29="","", 'Equipment Information'!A29)</f>
        <v>20260675</v>
      </c>
      <c r="B29" t="str">
        <f>IF('Equipment Information'!B29="","", 'Equipment Information'!B29)</f>
        <v>MDP-2 [Sec. 2]</v>
      </c>
      <c r="C29" t="str">
        <f>IF('Equipment Information'!C29="","", 'Equipment Information'!C29)</f>
        <v>Electrical Room #1</v>
      </c>
      <c r="E29" t="str">
        <f>IF(D29="","", IFERROR(VLOOKUP(D29, Hidden_Data!M:N, 2, FALSE), "0"))</f>
        <v/>
      </c>
      <c r="H29" t="str">
        <f>IF(G29="","", IFERROR(VLOOKUP(G29, Hidden_Data!M:N, 2, FALSE), "0"))</f>
        <v/>
      </c>
      <c r="K29" t="str">
        <f>IF(J29="","", IFERROR(VLOOKUP(J29, Hidden_Data!M:N, 2, FALSE), "0"))</f>
        <v/>
      </c>
      <c r="N29" t="str">
        <f>IF(M29="","", IFERROR(VLOOKUP(M29, Hidden_Data!M:N, 2, FALSE), "0"))</f>
        <v/>
      </c>
      <c r="Q29" t="str">
        <f>IF(P29="","", IFERROR(VLOOKUP(P29, Hidden_Data!M:N, 2, FALSE), "0"))</f>
        <v/>
      </c>
      <c r="T29">
        <f t="shared" si="0"/>
        <v>0</v>
      </c>
      <c r="U29" t="str">
        <f t="shared" si="1"/>
        <v>Pass/Fixed</v>
      </c>
      <c r="V29" t="str">
        <f t="shared" si="2"/>
        <v>PASS</v>
      </c>
    </row>
    <row r="30" spans="1:22" x14ac:dyDescent="0.25">
      <c r="A30" t="str">
        <f>IF('Equipment Information'!A30="","", 'Equipment Information'!A30)</f>
        <v>20260676</v>
      </c>
      <c r="B30" t="str">
        <f>IF('Equipment Information'!B30="","", 'Equipment Information'!B30)</f>
        <v>Vacuum Exhaust</v>
      </c>
      <c r="C30" t="str">
        <f>IF('Equipment Information'!C30="","", 'Equipment Information'!C30)</f>
        <v>Electrical Room #1</v>
      </c>
      <c r="E30" t="str">
        <f>IF(D30="","", IFERROR(VLOOKUP(D30, Hidden_Data!M:N, 2, FALSE), "0"))</f>
        <v/>
      </c>
      <c r="H30" t="str">
        <f>IF(G30="","", IFERROR(VLOOKUP(G30, Hidden_Data!M:N, 2, FALSE), "0"))</f>
        <v/>
      </c>
      <c r="K30" t="str">
        <f>IF(J30="","", IFERROR(VLOOKUP(J30, Hidden_Data!M:N, 2, FALSE), "0"))</f>
        <v/>
      </c>
      <c r="N30" t="str">
        <f>IF(M30="","", IFERROR(VLOOKUP(M30, Hidden_Data!M:N, 2, FALSE), "0"))</f>
        <v/>
      </c>
      <c r="Q30" t="str">
        <f>IF(P30="","", IFERROR(VLOOKUP(P30, Hidden_Data!M:N, 2, FALSE), "0"))</f>
        <v/>
      </c>
      <c r="T30">
        <f t="shared" si="0"/>
        <v>0</v>
      </c>
      <c r="U30" t="str">
        <f t="shared" si="1"/>
        <v>Pass/Fixed</v>
      </c>
      <c r="V30" t="str">
        <f t="shared" si="2"/>
        <v>PASS</v>
      </c>
    </row>
    <row r="31" spans="1:22" x14ac:dyDescent="0.25">
      <c r="A31" t="str">
        <f>IF('Equipment Information'!A31="","", 'Equipment Information'!A31)</f>
        <v>20260677</v>
      </c>
      <c r="B31" t="str">
        <f>IF('Equipment Information'!B31="","", 'Equipment Information'!B31)</f>
        <v>Air Knife</v>
      </c>
      <c r="C31" t="str">
        <f>IF('Equipment Information'!C31="","", 'Equipment Information'!C31)</f>
        <v>Electrical Room #1</v>
      </c>
      <c r="E31" t="str">
        <f>IF(D31="","", IFERROR(VLOOKUP(D31, Hidden_Data!M:N, 2, FALSE), "0"))</f>
        <v/>
      </c>
      <c r="H31" t="str">
        <f>IF(G31="","", IFERROR(VLOOKUP(G31, Hidden_Data!M:N, 2, FALSE), "0"))</f>
        <v/>
      </c>
      <c r="K31" t="str">
        <f>IF(J31="","", IFERROR(VLOOKUP(J31, Hidden_Data!M:N, 2, FALSE), "0"))</f>
        <v/>
      </c>
      <c r="N31" t="str">
        <f>IF(M31="","", IFERROR(VLOOKUP(M31, Hidden_Data!M:N, 2, FALSE), "0"))</f>
        <v/>
      </c>
      <c r="Q31" t="str">
        <f>IF(P31="","", IFERROR(VLOOKUP(P31, Hidden_Data!M:N, 2, FALSE), "0"))</f>
        <v/>
      </c>
      <c r="T31">
        <f t="shared" si="0"/>
        <v>0</v>
      </c>
      <c r="U31" t="str">
        <f t="shared" si="1"/>
        <v>Pass/Fixed</v>
      </c>
      <c r="V31" t="str">
        <f t="shared" si="2"/>
        <v>PASS</v>
      </c>
    </row>
    <row r="32" spans="1:22" x14ac:dyDescent="0.25">
      <c r="A32" t="str">
        <f>IF('Equipment Information'!A32="","", 'Equipment Information'!A32)</f>
        <v>20260678</v>
      </c>
      <c r="B32" t="str">
        <f>IF('Equipment Information'!B32="","", 'Equipment Information'!B32)</f>
        <v>CP-Dryer #2</v>
      </c>
      <c r="C32" t="str">
        <f>IF('Equipment Information'!C32="","", 'Equipment Information'!C32)</f>
        <v>Electrical Room #4</v>
      </c>
      <c r="D32" t="s">
        <v>42</v>
      </c>
      <c r="E32" t="str">
        <f>IF(D32="","", IFERROR(VLOOKUP(D32, Hidden_Data!M:N, 2, FALSE), "0"))</f>
        <v>Critical (5pts)</v>
      </c>
      <c r="F32" t="s">
        <v>23</v>
      </c>
      <c r="G32" t="s">
        <v>25</v>
      </c>
      <c r="H32" t="str">
        <f>IF(G32="","", IFERROR(VLOOKUP(G32, Hidden_Data!M:N, 2, FALSE), "0"))</f>
        <v>Major (3pts)</v>
      </c>
      <c r="I32" t="s">
        <v>23</v>
      </c>
      <c r="K32" t="str">
        <f>IF(J32="","", IFERROR(VLOOKUP(J32, Hidden_Data!M:N, 2, FALSE), "0"))</f>
        <v/>
      </c>
      <c r="N32" t="str">
        <f>IF(M32="","", IFERROR(VLOOKUP(M32, Hidden_Data!M:N, 2, FALSE), "0"))</f>
        <v/>
      </c>
      <c r="Q32" t="str">
        <f>IF(P32="","", IFERROR(VLOOKUP(P32, Hidden_Data!M:N, 2, FALSE), "0"))</f>
        <v/>
      </c>
      <c r="T32">
        <f t="shared" si="0"/>
        <v>8</v>
      </c>
      <c r="U32" t="str">
        <f t="shared" si="1"/>
        <v>Priority 1 (Critical)</v>
      </c>
      <c r="V32" t="str">
        <f t="shared" si="2"/>
        <v>FAIL</v>
      </c>
    </row>
    <row r="33" spans="1:22" x14ac:dyDescent="0.25">
      <c r="A33" t="str">
        <f>IF('Equipment Information'!A33="","", 'Equipment Information'!A33)</f>
        <v>20260679</v>
      </c>
      <c r="B33" t="str">
        <f>IF('Equipment Information'!B33="","", 'Equipment Information'!B33)</f>
        <v>CP-Silo Alley</v>
      </c>
      <c r="C33" t="str">
        <f>IF('Equipment Information'!C33="","", 'Equipment Information'!C33)</f>
        <v>Electrical Room #4</v>
      </c>
      <c r="E33" t="str">
        <f>IF(D33="","", IFERROR(VLOOKUP(D33, Hidden_Data!M:N, 2, FALSE), "0"))</f>
        <v/>
      </c>
      <c r="H33" t="str">
        <f>IF(G33="","", IFERROR(VLOOKUP(G33, Hidden_Data!M:N, 2, FALSE), "0"))</f>
        <v/>
      </c>
      <c r="K33" t="str">
        <f>IF(J33="","", IFERROR(VLOOKUP(J33, Hidden_Data!M:N, 2, FALSE), "0"))</f>
        <v/>
      </c>
      <c r="N33" t="str">
        <f>IF(M33="","", IFERROR(VLOOKUP(M33, Hidden_Data!M:N, 2, FALSE), "0"))</f>
        <v/>
      </c>
      <c r="Q33" t="str">
        <f>IF(P33="","", IFERROR(VLOOKUP(P33, Hidden_Data!M:N, 2, FALSE), "0"))</f>
        <v/>
      </c>
      <c r="T33">
        <f t="shared" si="0"/>
        <v>0</v>
      </c>
      <c r="U33" t="str">
        <f t="shared" si="1"/>
        <v>Pass/Fixed</v>
      </c>
      <c r="V33" t="str">
        <f t="shared" si="2"/>
        <v>PASS</v>
      </c>
    </row>
    <row r="34" spans="1:22" x14ac:dyDescent="0.25">
      <c r="A34" t="str">
        <f>IF('Equipment Information'!A34="","", 'Equipment Information'!A34)</f>
        <v>20260680</v>
      </c>
      <c r="B34" t="str">
        <f>IF('Equipment Information'!B34="","", 'Equipment Information'!B34)</f>
        <v>Machine Control</v>
      </c>
      <c r="C34" t="str">
        <f>IF('Equipment Information'!C34="","", 'Equipment Information'!C34)</f>
        <v>Electrical Room #4</v>
      </c>
      <c r="D34" t="s">
        <v>43</v>
      </c>
      <c r="E34" t="str">
        <f>IF(D34="","", IFERROR(VLOOKUP(D34, Hidden_Data!M:N, 2, FALSE), "0"))</f>
        <v>Critical (5pts)</v>
      </c>
      <c r="F34" t="s">
        <v>23</v>
      </c>
      <c r="H34" t="str">
        <f>IF(G34="","", IFERROR(VLOOKUP(G34, Hidden_Data!M:N, 2, FALSE), "0"))</f>
        <v/>
      </c>
      <c r="K34" t="str">
        <f>IF(J34="","", IFERROR(VLOOKUP(J34, Hidden_Data!M:N, 2, FALSE), "0"))</f>
        <v/>
      </c>
      <c r="N34" t="str">
        <f>IF(M34="","", IFERROR(VLOOKUP(M34, Hidden_Data!M:N, 2, FALSE), "0"))</f>
        <v/>
      </c>
      <c r="Q34" t="str">
        <f>IF(P34="","", IFERROR(VLOOKUP(P34, Hidden_Data!M:N, 2, FALSE), "0"))</f>
        <v/>
      </c>
      <c r="T34">
        <f t="shared" si="0"/>
        <v>5</v>
      </c>
      <c r="U34" t="str">
        <f t="shared" si="1"/>
        <v>Priority 1 (Critical)</v>
      </c>
      <c r="V34" t="str">
        <f t="shared" si="2"/>
        <v>FAIL</v>
      </c>
    </row>
    <row r="35" spans="1:22" x14ac:dyDescent="0.25">
      <c r="A35" t="str">
        <f>IF('Equipment Information'!A35="","", 'Equipment Information'!A35)</f>
        <v>20260681</v>
      </c>
      <c r="B35" t="str">
        <f>IF('Equipment Information'!B35="","", 'Equipment Information'!B35)</f>
        <v>CP-Dryer #1 [Sec. 1]</v>
      </c>
      <c r="C35" t="str">
        <f>IF('Equipment Information'!C35="","", 'Equipment Information'!C35)</f>
        <v>Electrical Room #4</v>
      </c>
      <c r="E35" t="str">
        <f>IF(D35="","", IFERROR(VLOOKUP(D35, Hidden_Data!M:N, 2, FALSE), "0"))</f>
        <v/>
      </c>
      <c r="H35" t="str">
        <f>IF(G35="","", IFERROR(VLOOKUP(G35, Hidden_Data!M:N, 2, FALSE), "0"))</f>
        <v/>
      </c>
      <c r="K35" t="str">
        <f>IF(J35="","", IFERROR(VLOOKUP(J35, Hidden_Data!M:N, 2, FALSE), "0"))</f>
        <v/>
      </c>
      <c r="N35" t="str">
        <f>IF(M35="","", IFERROR(VLOOKUP(M35, Hidden_Data!M:N, 2, FALSE), "0"))</f>
        <v/>
      </c>
      <c r="Q35" t="str">
        <f>IF(P35="","", IFERROR(VLOOKUP(P35, Hidden_Data!M:N, 2, FALSE), "0"))</f>
        <v/>
      </c>
      <c r="T35">
        <f t="shared" si="0"/>
        <v>0</v>
      </c>
      <c r="U35" t="str">
        <f t="shared" si="1"/>
        <v>Pass/Fixed</v>
      </c>
      <c r="V35" t="str">
        <f t="shared" si="2"/>
        <v>PASS</v>
      </c>
    </row>
    <row r="36" spans="1:22" x14ac:dyDescent="0.25">
      <c r="A36" t="str">
        <f>IF('Equipment Information'!A36="","", 'Equipment Information'!A36)</f>
        <v>20260682</v>
      </c>
      <c r="B36" t="str">
        <f>IF('Equipment Information'!B36="","", 'Equipment Information'!B36)</f>
        <v>CP-Dryer #1 [Sec. 2]</v>
      </c>
      <c r="C36" t="str">
        <f>IF('Equipment Information'!C36="","", 'Equipment Information'!C36)</f>
        <v>Electrical Room #4</v>
      </c>
      <c r="D36" t="s">
        <v>44</v>
      </c>
      <c r="E36" t="str">
        <f>IF(D36="","", IFERROR(VLOOKUP(D36, Hidden_Data!M:N, 2, FALSE), "0"))</f>
        <v>Critical (5pts)</v>
      </c>
      <c r="H36" t="str">
        <f>IF(G36="","", IFERROR(VLOOKUP(G36, Hidden_Data!M:N, 2, FALSE), "0"))</f>
        <v/>
      </c>
      <c r="K36" t="str">
        <f>IF(J36="","", IFERROR(VLOOKUP(J36, Hidden_Data!M:N, 2, FALSE), "0"))</f>
        <v/>
      </c>
      <c r="N36" t="str">
        <f>IF(M36="","", IFERROR(VLOOKUP(M36, Hidden_Data!M:N, 2, FALSE), "0"))</f>
        <v/>
      </c>
      <c r="Q36" t="str">
        <f>IF(P36="","", IFERROR(VLOOKUP(P36, Hidden_Data!M:N, 2, FALSE), "0"))</f>
        <v/>
      </c>
      <c r="T36">
        <f t="shared" si="0"/>
        <v>5</v>
      </c>
      <c r="U36" t="str">
        <f t="shared" si="1"/>
        <v>Priority 1 (Critical)</v>
      </c>
      <c r="V36" t="str">
        <f t="shared" si="2"/>
        <v>FAIL</v>
      </c>
    </row>
    <row r="37" spans="1:22" x14ac:dyDescent="0.25">
      <c r="A37" t="str">
        <f>IF('Equipment Information'!A37="","", 'Equipment Information'!A37)</f>
        <v>20260683</v>
      </c>
      <c r="B37" t="str">
        <f>IF('Equipment Information'!B37="","", 'Equipment Information'!B37)</f>
        <v>CP-Packout [Sec. 1]</v>
      </c>
      <c r="C37" t="str">
        <f>IF('Equipment Information'!C37="","", 'Equipment Information'!C37)</f>
        <v>Electrical Room #4</v>
      </c>
      <c r="E37" t="str">
        <f>IF(D37="","", IFERROR(VLOOKUP(D37, Hidden_Data!M:N, 2, FALSE), "0"))</f>
        <v/>
      </c>
      <c r="H37" t="str">
        <f>IF(G37="","", IFERROR(VLOOKUP(G37, Hidden_Data!M:N, 2, FALSE), "0"))</f>
        <v/>
      </c>
      <c r="K37" t="str">
        <f>IF(J37="","", IFERROR(VLOOKUP(J37, Hidden_Data!M:N, 2, FALSE), "0"))</f>
        <v/>
      </c>
      <c r="N37" t="str">
        <f>IF(M37="","", IFERROR(VLOOKUP(M37, Hidden_Data!M:N, 2, FALSE), "0"))</f>
        <v/>
      </c>
      <c r="Q37" t="str">
        <f>IF(P37="","", IFERROR(VLOOKUP(P37, Hidden_Data!M:N, 2, FALSE), "0"))</f>
        <v/>
      </c>
      <c r="T37">
        <f t="shared" si="0"/>
        <v>0</v>
      </c>
      <c r="U37" t="str">
        <f t="shared" si="1"/>
        <v>Pass/Fixed</v>
      </c>
      <c r="V37" t="str">
        <f t="shared" si="2"/>
        <v>PASS</v>
      </c>
    </row>
    <row r="38" spans="1:22" x14ac:dyDescent="0.25">
      <c r="A38" t="str">
        <f>IF('Equipment Information'!A38="","", 'Equipment Information'!A38)</f>
        <v>20260684</v>
      </c>
      <c r="B38" t="str">
        <f>IF('Equipment Information'!B38="","", 'Equipment Information'!B38)</f>
        <v>CP-Packout [Sec. 2]</v>
      </c>
      <c r="C38" t="str">
        <f>IF('Equipment Information'!C38="","", 'Equipment Information'!C38)</f>
        <v>Electrical Room #4</v>
      </c>
      <c r="E38" t="str">
        <f>IF(D38="","", IFERROR(VLOOKUP(D38, Hidden_Data!M:N, 2, FALSE), "0"))</f>
        <v/>
      </c>
      <c r="H38" t="str">
        <f>IF(G38="","", IFERROR(VLOOKUP(G38, Hidden_Data!M:N, 2, FALSE), "0"))</f>
        <v/>
      </c>
      <c r="K38" t="str">
        <f>IF(J38="","", IFERROR(VLOOKUP(J38, Hidden_Data!M:N, 2, FALSE), "0"))</f>
        <v/>
      </c>
      <c r="N38" t="str">
        <f>IF(M38="","", IFERROR(VLOOKUP(M38, Hidden_Data!M:N, 2, FALSE), "0"))</f>
        <v/>
      </c>
      <c r="Q38" t="str">
        <f>IF(P38="","", IFERROR(VLOOKUP(P38, Hidden_Data!M:N, 2, FALSE), "0"))</f>
        <v/>
      </c>
      <c r="T38">
        <f t="shared" si="0"/>
        <v>0</v>
      </c>
      <c r="U38" t="str">
        <f t="shared" si="1"/>
        <v>Pass/Fixed</v>
      </c>
      <c r="V38" t="str">
        <f t="shared" si="2"/>
        <v>PASS</v>
      </c>
    </row>
    <row r="39" spans="1:22" x14ac:dyDescent="0.25">
      <c r="A39" t="str">
        <f>IF('Equipment Information'!A39="","", 'Equipment Information'!A39)</f>
        <v>20260685</v>
      </c>
      <c r="B39" t="str">
        <f>IF('Equipment Information'!B39="","", 'Equipment Information'!B39)</f>
        <v>CP-Packout [Sec. 3]</v>
      </c>
      <c r="C39" t="str">
        <f>IF('Equipment Information'!C39="","", 'Equipment Information'!C39)</f>
        <v>Electrical Room #4</v>
      </c>
      <c r="D39" t="s">
        <v>45</v>
      </c>
      <c r="E39" t="str">
        <f>IF(D39="","", IFERROR(VLOOKUP(D39, Hidden_Data!M:N, 2, FALSE), "0"))</f>
        <v>Minor (1pt)</v>
      </c>
      <c r="F39" t="s">
        <v>35</v>
      </c>
      <c r="H39" t="str">
        <f>IF(G39="","", IFERROR(VLOOKUP(G39, Hidden_Data!M:N, 2, FALSE), "0"))</f>
        <v/>
      </c>
      <c r="K39" t="str">
        <f>IF(J39="","", IFERROR(VLOOKUP(J39, Hidden_Data!M:N, 2, FALSE), "0"))</f>
        <v/>
      </c>
      <c r="N39" t="str">
        <f>IF(M39="","", IFERROR(VLOOKUP(M39, Hidden_Data!M:N, 2, FALSE), "0"))</f>
        <v/>
      </c>
      <c r="Q39" t="str">
        <f>IF(P39="","", IFERROR(VLOOKUP(P39, Hidden_Data!M:N, 2, FALSE), "0"))</f>
        <v/>
      </c>
      <c r="T39">
        <f t="shared" si="0"/>
        <v>0</v>
      </c>
      <c r="U39" t="str">
        <f t="shared" si="1"/>
        <v>Pass/Fixed</v>
      </c>
      <c r="V39" t="str">
        <f t="shared" si="2"/>
        <v>PASS</v>
      </c>
    </row>
    <row r="40" spans="1:22" x14ac:dyDescent="0.25">
      <c r="A40" t="str">
        <f>IF('Equipment Information'!A40="","", 'Equipment Information'!A40)</f>
        <v>20260686</v>
      </c>
      <c r="B40" t="str">
        <f>IF('Equipment Information'!B40="","", 'Equipment Information'!B40)</f>
        <v>CP-5110</v>
      </c>
      <c r="C40" t="str">
        <f>IF('Equipment Information'!C40="","", 'Equipment Information'!C40)</f>
        <v>Electrical Room #4</v>
      </c>
      <c r="E40" t="str">
        <f>IF(D40="","", IFERROR(VLOOKUP(D40, Hidden_Data!M:N, 2, FALSE), "0"))</f>
        <v/>
      </c>
      <c r="H40" t="str">
        <f>IF(G40="","", IFERROR(VLOOKUP(G40, Hidden_Data!M:N, 2, FALSE), "0"))</f>
        <v/>
      </c>
      <c r="K40" t="str">
        <f>IF(J40="","", IFERROR(VLOOKUP(J40, Hidden_Data!M:N, 2, FALSE), "0"))</f>
        <v/>
      </c>
      <c r="N40" t="str">
        <f>IF(M40="","", IFERROR(VLOOKUP(M40, Hidden_Data!M:N, 2, FALSE), "0"))</f>
        <v/>
      </c>
      <c r="Q40" t="str">
        <f>IF(P40="","", IFERROR(VLOOKUP(P40, Hidden_Data!M:N, 2, FALSE), "0"))</f>
        <v/>
      </c>
      <c r="T40">
        <f t="shared" si="0"/>
        <v>0</v>
      </c>
      <c r="U40" t="str">
        <f t="shared" si="1"/>
        <v>Pass/Fixed</v>
      </c>
      <c r="V40" t="str">
        <f t="shared" si="2"/>
        <v>PASS</v>
      </c>
    </row>
    <row r="41" spans="1:22" x14ac:dyDescent="0.25">
      <c r="A41" t="str">
        <f>IF('Equipment Information'!A41="","", 'Equipment Information'!A41)</f>
        <v>20260687</v>
      </c>
      <c r="B41" t="str">
        <f>IF('Equipment Information'!B41="","", 'Equipment Information'!B41)</f>
        <v>CP-5120</v>
      </c>
      <c r="C41" t="str">
        <f>IF('Equipment Information'!C41="","", 'Equipment Information'!C41)</f>
        <v>Electrical Room #4</v>
      </c>
      <c r="D41" t="s">
        <v>653</v>
      </c>
      <c r="E41" t="str">
        <f>IF(D41="","", IFERROR(VLOOKUP(D41, Hidden_Data!M:N, 2, FALSE), "0"))</f>
        <v>Major (3pts)</v>
      </c>
      <c r="F41" t="s">
        <v>23</v>
      </c>
      <c r="H41" t="str">
        <f>IF(G41="","", IFERROR(VLOOKUP(G41, Hidden_Data!M:N, 2, FALSE), "0"))</f>
        <v/>
      </c>
      <c r="K41" t="str">
        <f>IF(J41="","", IFERROR(VLOOKUP(J41, Hidden_Data!M:N, 2, FALSE), "0"))</f>
        <v/>
      </c>
      <c r="N41" t="str">
        <f>IF(M41="","", IFERROR(VLOOKUP(M41, Hidden_Data!M:N, 2, FALSE), "0"))</f>
        <v/>
      </c>
      <c r="Q41" t="str">
        <f>IF(P41="","", IFERROR(VLOOKUP(P41, Hidden_Data!M:N, 2, FALSE), "0"))</f>
        <v/>
      </c>
      <c r="S41" t="s">
        <v>47</v>
      </c>
      <c r="T41">
        <f t="shared" si="0"/>
        <v>3</v>
      </c>
      <c r="U41" t="str">
        <f t="shared" si="1"/>
        <v>Priority 2 (Major)</v>
      </c>
      <c r="V41" t="str">
        <f t="shared" si="2"/>
        <v>FAIL</v>
      </c>
    </row>
    <row r="42" spans="1:22" x14ac:dyDescent="0.25">
      <c r="A42" t="str">
        <f>IF('Equipment Information'!A42="","", 'Equipment Information'!A42)</f>
        <v>20260688</v>
      </c>
      <c r="B42" t="str">
        <f>IF('Equipment Information'!B42="","", 'Equipment Information'!B42)</f>
        <v>RF-7101</v>
      </c>
      <c r="C42" t="str">
        <f>IF('Equipment Information'!C42="","", 'Equipment Information'!C42)</f>
        <v>Electrical Room #4</v>
      </c>
      <c r="E42" t="str">
        <f>IF(D42="","", IFERROR(VLOOKUP(D42, Hidden_Data!M:N, 2, FALSE), "0"))</f>
        <v/>
      </c>
      <c r="H42" t="str">
        <f>IF(G42="","", IFERROR(VLOOKUP(G42, Hidden_Data!M:N, 2, FALSE), "0"))</f>
        <v/>
      </c>
      <c r="K42" t="str">
        <f>IF(J42="","", IFERROR(VLOOKUP(J42, Hidden_Data!M:N, 2, FALSE), "0"))</f>
        <v/>
      </c>
      <c r="N42" t="str">
        <f>IF(M42="","", IFERROR(VLOOKUP(M42, Hidden_Data!M:N, 2, FALSE), "0"))</f>
        <v/>
      </c>
      <c r="Q42" t="str">
        <f>IF(P42="","", IFERROR(VLOOKUP(P42, Hidden_Data!M:N, 2, FALSE), "0"))</f>
        <v/>
      </c>
      <c r="T42">
        <f t="shared" si="0"/>
        <v>0</v>
      </c>
      <c r="U42" t="str">
        <f t="shared" si="1"/>
        <v>Pass/Fixed</v>
      </c>
      <c r="V42" t="str">
        <f t="shared" si="2"/>
        <v>PASS</v>
      </c>
    </row>
    <row r="43" spans="1:22" x14ac:dyDescent="0.25">
      <c r="A43" t="str">
        <f>IF('Equipment Information'!A43="","", 'Equipment Information'!A43)</f>
        <v>20260689</v>
      </c>
      <c r="B43" t="str">
        <f>IF('Equipment Information'!B43="","", 'Equipment Information'!B43)</f>
        <v>RF-7102</v>
      </c>
      <c r="C43" t="str">
        <f>IF('Equipment Information'!C43="","", 'Equipment Information'!C43)</f>
        <v>Electrical Room #4</v>
      </c>
      <c r="E43" t="str">
        <f>IF(D43="","", IFERROR(VLOOKUP(D43, Hidden_Data!M:N, 2, FALSE), "0"))</f>
        <v/>
      </c>
      <c r="H43" t="str">
        <f>IF(G43="","", IFERROR(VLOOKUP(G43, Hidden_Data!M:N, 2, FALSE), "0"))</f>
        <v/>
      </c>
      <c r="K43" t="str">
        <f>IF(J43="","", IFERROR(VLOOKUP(J43, Hidden_Data!M:N, 2, FALSE), "0"))</f>
        <v/>
      </c>
      <c r="N43" t="str">
        <f>IF(M43="","", IFERROR(VLOOKUP(M43, Hidden_Data!M:N, 2, FALSE), "0"))</f>
        <v/>
      </c>
      <c r="Q43" t="str">
        <f>IF(P43="","", IFERROR(VLOOKUP(P43, Hidden_Data!M:N, 2, FALSE), "0"))</f>
        <v/>
      </c>
      <c r="T43">
        <f t="shared" si="0"/>
        <v>0</v>
      </c>
      <c r="U43" t="str">
        <f t="shared" si="1"/>
        <v>Pass/Fixed</v>
      </c>
      <c r="V43" t="str">
        <f t="shared" si="2"/>
        <v>PASS</v>
      </c>
    </row>
    <row r="44" spans="1:22" x14ac:dyDescent="0.25">
      <c r="A44" t="str">
        <f>IF('Equipment Information'!A44="","", 'Equipment Information'!A44)</f>
        <v>20260690</v>
      </c>
      <c r="B44" t="str">
        <f>IF('Equipment Information'!B44="","", 'Equipment Information'!B44)</f>
        <v>RF-7103</v>
      </c>
      <c r="C44" t="str">
        <f>IF('Equipment Information'!C44="","", 'Equipment Information'!C44)</f>
        <v>Electrical Room #4</v>
      </c>
      <c r="E44" t="str">
        <f>IF(D44="","", IFERROR(VLOOKUP(D44, Hidden_Data!M:N, 2, FALSE), "0"))</f>
        <v/>
      </c>
      <c r="H44" t="str">
        <f>IF(G44="","", IFERROR(VLOOKUP(G44, Hidden_Data!M:N, 2, FALSE), "0"))</f>
        <v/>
      </c>
      <c r="K44" t="str">
        <f>IF(J44="","", IFERROR(VLOOKUP(J44, Hidden_Data!M:N, 2, FALSE), "0"))</f>
        <v/>
      </c>
      <c r="N44" t="str">
        <f>IF(M44="","", IFERROR(VLOOKUP(M44, Hidden_Data!M:N, 2, FALSE), "0"))</f>
        <v/>
      </c>
      <c r="Q44" t="str">
        <f>IF(P44="","", IFERROR(VLOOKUP(P44, Hidden_Data!M:N, 2, FALSE), "0"))</f>
        <v/>
      </c>
      <c r="T44">
        <f t="shared" si="0"/>
        <v>0</v>
      </c>
      <c r="U44" t="str">
        <f t="shared" si="1"/>
        <v>Pass/Fixed</v>
      </c>
      <c r="V44" t="str">
        <f t="shared" si="2"/>
        <v>PASS</v>
      </c>
    </row>
    <row r="45" spans="1:22" x14ac:dyDescent="0.25">
      <c r="A45" t="str">
        <f>IF('Equipment Information'!A45="","", 'Equipment Information'!A45)</f>
        <v>20260691</v>
      </c>
      <c r="B45" t="str">
        <f>IF('Equipment Information'!B45="","", 'Equipment Information'!B45)</f>
        <v>RF-7104</v>
      </c>
      <c r="C45" t="str">
        <f>IF('Equipment Information'!C45="","", 'Equipment Information'!C45)</f>
        <v>Electrical Room #4</v>
      </c>
      <c r="D45" t="s">
        <v>34</v>
      </c>
      <c r="E45" t="str">
        <f>IF(D45="","", IFERROR(VLOOKUP(D45, Hidden_Data!M:N, 2, FALSE), "0"))</f>
        <v>Critical (5pts)</v>
      </c>
      <c r="F45" t="s">
        <v>23</v>
      </c>
      <c r="H45" t="str">
        <f>IF(G45="","", IFERROR(VLOOKUP(G45, Hidden_Data!M:N, 2, FALSE), "0"))</f>
        <v/>
      </c>
      <c r="K45" t="str">
        <f>IF(J45="","", IFERROR(VLOOKUP(J45, Hidden_Data!M:N, 2, FALSE), "0"))</f>
        <v/>
      </c>
      <c r="N45" t="str">
        <f>IF(M45="","", IFERROR(VLOOKUP(M45, Hidden_Data!M:N, 2, FALSE), "0"))</f>
        <v/>
      </c>
      <c r="Q45" t="str">
        <f>IF(P45="","", IFERROR(VLOOKUP(P45, Hidden_Data!M:N, 2, FALSE), "0"))</f>
        <v/>
      </c>
      <c r="T45">
        <f t="shared" si="0"/>
        <v>5</v>
      </c>
      <c r="U45" t="str">
        <f t="shared" si="1"/>
        <v>Priority 1 (Critical)</v>
      </c>
      <c r="V45" t="str">
        <f t="shared" si="2"/>
        <v>FAIL</v>
      </c>
    </row>
    <row r="46" spans="1:22" x14ac:dyDescent="0.25">
      <c r="A46" t="str">
        <f>IF('Equipment Information'!A46="","", 'Equipment Information'!A46)</f>
        <v>20260692</v>
      </c>
      <c r="B46" t="str">
        <f>IF('Equipment Information'!B46="","", 'Equipment Information'!B46)</f>
        <v>DP-10</v>
      </c>
      <c r="C46" t="str">
        <f>IF('Equipment Information'!C46="","", 'Equipment Information'!C46)</f>
        <v>Electrical Room #4</v>
      </c>
      <c r="E46" t="str">
        <f>IF(D46="","", IFERROR(VLOOKUP(D46, Hidden_Data!M:N, 2, FALSE), "0"))</f>
        <v/>
      </c>
      <c r="H46" t="str">
        <f>IF(G46="","", IFERROR(VLOOKUP(G46, Hidden_Data!M:N, 2, FALSE), "0"))</f>
        <v/>
      </c>
      <c r="K46" t="str">
        <f>IF(J46="","", IFERROR(VLOOKUP(J46, Hidden_Data!M:N, 2, FALSE), "0"))</f>
        <v/>
      </c>
      <c r="N46" t="str">
        <f>IF(M46="","", IFERROR(VLOOKUP(M46, Hidden_Data!M:N, 2, FALSE), "0"))</f>
        <v/>
      </c>
      <c r="Q46" t="str">
        <f>IF(P46="","", IFERROR(VLOOKUP(P46, Hidden_Data!M:N, 2, FALSE), "0"))</f>
        <v/>
      </c>
      <c r="T46">
        <f t="shared" si="0"/>
        <v>0</v>
      </c>
      <c r="U46" t="str">
        <f t="shared" si="1"/>
        <v>Pass/Fixed</v>
      </c>
      <c r="V46" t="str">
        <f t="shared" si="2"/>
        <v>PASS</v>
      </c>
    </row>
    <row r="47" spans="1:22" x14ac:dyDescent="0.25">
      <c r="A47" t="str">
        <f>IF('Equipment Information'!A47="","", 'Equipment Information'!A47)</f>
        <v>20260693</v>
      </c>
      <c r="B47" t="str">
        <f>IF('Equipment Information'!B47="","", 'Equipment Information'!B47)</f>
        <v>Cooling Towers</v>
      </c>
      <c r="C47" t="str">
        <f>IF('Equipment Information'!C47="","", 'Equipment Information'!C47)</f>
        <v>Electrical Room #4</v>
      </c>
      <c r="E47" t="str">
        <f>IF(D47="","", IFERROR(VLOOKUP(D47, Hidden_Data!M:N, 2, FALSE), "0"))</f>
        <v/>
      </c>
      <c r="H47" t="str">
        <f>IF(G47="","", IFERROR(VLOOKUP(G47, Hidden_Data!M:N, 2, FALSE), "0"))</f>
        <v/>
      </c>
      <c r="K47" t="str">
        <f>IF(J47="","", IFERROR(VLOOKUP(J47, Hidden_Data!M:N, 2, FALSE), "0"))</f>
        <v/>
      </c>
      <c r="N47" t="str">
        <f>IF(M47="","", IFERROR(VLOOKUP(M47, Hidden_Data!M:N, 2, FALSE), "0"))</f>
        <v/>
      </c>
      <c r="Q47" t="str">
        <f>IF(P47="","", IFERROR(VLOOKUP(P47, Hidden_Data!M:N, 2, FALSE), "0"))</f>
        <v/>
      </c>
      <c r="T47">
        <f t="shared" si="0"/>
        <v>0</v>
      </c>
      <c r="U47" t="str">
        <f t="shared" si="1"/>
        <v>Pass/Fixed</v>
      </c>
      <c r="V47" t="str">
        <f t="shared" si="2"/>
        <v>PASS</v>
      </c>
    </row>
    <row r="48" spans="1:22" x14ac:dyDescent="0.25">
      <c r="A48" t="str">
        <f>IF('Equipment Information'!A48="","", 'Equipment Information'!A48)</f>
        <v>20260694</v>
      </c>
      <c r="B48" t="str">
        <f>IF('Equipment Information'!B48="","", 'Equipment Information'!B48)</f>
        <v>PP FF-2</v>
      </c>
      <c r="C48" t="str">
        <f>IF('Equipment Information'!C48="","", 'Equipment Information'!C48)</f>
        <v>Electrical Room #4</v>
      </c>
      <c r="E48" t="str">
        <f>IF(D48="","", IFERROR(VLOOKUP(D48, Hidden_Data!M:N, 2, FALSE), "0"))</f>
        <v/>
      </c>
      <c r="H48" t="str">
        <f>IF(G48="","", IFERROR(VLOOKUP(G48, Hidden_Data!M:N, 2, FALSE), "0"))</f>
        <v/>
      </c>
      <c r="K48" t="str">
        <f>IF(J48="","", IFERROR(VLOOKUP(J48, Hidden_Data!M:N, 2, FALSE), "0"))</f>
        <v/>
      </c>
      <c r="N48" t="str">
        <f>IF(M48="","", IFERROR(VLOOKUP(M48, Hidden_Data!M:N, 2, FALSE), "0"))</f>
        <v/>
      </c>
      <c r="Q48" t="str">
        <f>IF(P48="","", IFERROR(VLOOKUP(P48, Hidden_Data!M:N, 2, FALSE), "0"))</f>
        <v/>
      </c>
      <c r="T48">
        <f t="shared" si="0"/>
        <v>0</v>
      </c>
      <c r="U48" t="str">
        <f t="shared" si="1"/>
        <v>Pass/Fixed</v>
      </c>
      <c r="V48" t="str">
        <f t="shared" si="2"/>
        <v>PASS</v>
      </c>
    </row>
    <row r="49" spans="1:22" x14ac:dyDescent="0.25">
      <c r="A49" t="str">
        <f>IF('Equipment Information'!A49="","", 'Equipment Information'!A49)</f>
        <v>20260695</v>
      </c>
      <c r="B49" t="str">
        <f>IF('Equipment Information'!B49="","", 'Equipment Information'!B49)</f>
        <v>LP FF-1</v>
      </c>
      <c r="C49" t="str">
        <f>IF('Equipment Information'!C49="","", 'Equipment Information'!C49)</f>
        <v>Electrical Room #4</v>
      </c>
      <c r="E49" t="str">
        <f>IF(D49="","", IFERROR(VLOOKUP(D49, Hidden_Data!M:N, 2, FALSE), "0"))</f>
        <v/>
      </c>
      <c r="H49" t="str">
        <f>IF(G49="","", IFERROR(VLOOKUP(G49, Hidden_Data!M:N, 2, FALSE), "0"))</f>
        <v/>
      </c>
      <c r="K49" t="str">
        <f>IF(J49="","", IFERROR(VLOOKUP(J49, Hidden_Data!M:N, 2, FALSE), "0"))</f>
        <v/>
      </c>
      <c r="N49" t="str">
        <f>IF(M49="","", IFERROR(VLOOKUP(M49, Hidden_Data!M:N, 2, FALSE), "0"))</f>
        <v/>
      </c>
      <c r="Q49" t="str">
        <f>IF(P49="","", IFERROR(VLOOKUP(P49, Hidden_Data!M:N, 2, FALSE), "0"))</f>
        <v/>
      </c>
      <c r="T49">
        <f t="shared" si="0"/>
        <v>0</v>
      </c>
      <c r="U49" t="str">
        <f t="shared" si="1"/>
        <v>Pass/Fixed</v>
      </c>
      <c r="V49" t="str">
        <f t="shared" si="2"/>
        <v>PASS</v>
      </c>
    </row>
    <row r="50" spans="1:22" x14ac:dyDescent="0.25">
      <c r="A50" t="str">
        <f>IF('Equipment Information'!A50="","", 'Equipment Information'!A50)</f>
        <v>20260696</v>
      </c>
      <c r="B50" t="str">
        <f>IF('Equipment Information'!B50="","", 'Equipment Information'!B50)</f>
        <v>PP FF-1</v>
      </c>
      <c r="C50" t="str">
        <f>IF('Equipment Information'!C50="","", 'Equipment Information'!C50)</f>
        <v>Electrical Room #4</v>
      </c>
      <c r="D50" t="s">
        <v>30</v>
      </c>
      <c r="E50" t="str">
        <f>IF(D50="","", IFERROR(VLOOKUP(D50, Hidden_Data!M:N, 2, FALSE), "0"))</f>
        <v>Minor (1pt)</v>
      </c>
      <c r="F50" t="s">
        <v>23</v>
      </c>
      <c r="H50" t="str">
        <f>IF(G50="","", IFERROR(VLOOKUP(G50, Hidden_Data!M:N, 2, FALSE), "0"))</f>
        <v/>
      </c>
      <c r="K50" t="str">
        <f>IF(J50="","", IFERROR(VLOOKUP(J50, Hidden_Data!M:N, 2, FALSE), "0"))</f>
        <v/>
      </c>
      <c r="N50" t="str">
        <f>IF(M50="","", IFERROR(VLOOKUP(M50, Hidden_Data!M:N, 2, FALSE), "0"))</f>
        <v/>
      </c>
      <c r="Q50" t="str">
        <f>IF(P50="","", IFERROR(VLOOKUP(P50, Hidden_Data!M:N, 2, FALSE), "0"))</f>
        <v/>
      </c>
      <c r="T50">
        <f t="shared" si="0"/>
        <v>1</v>
      </c>
      <c r="U50" t="str">
        <f t="shared" si="1"/>
        <v>Priority 3 (Minor)</v>
      </c>
      <c r="V50" t="str">
        <f t="shared" si="2"/>
        <v>FAIL</v>
      </c>
    </row>
    <row r="51" spans="1:22" x14ac:dyDescent="0.25">
      <c r="A51" t="str">
        <f>IF('Equipment Information'!A51="","", 'Equipment Information'!A51)</f>
        <v>20260697</v>
      </c>
      <c r="B51" t="str">
        <f>IF('Equipment Information'!B51="","", 'Equipment Information'!B51)</f>
        <v>PP FF-1A</v>
      </c>
      <c r="C51" t="str">
        <f>IF('Equipment Information'!C51="","", 'Equipment Information'!C51)</f>
        <v>Electrical Room #4</v>
      </c>
      <c r="E51" t="str">
        <f>IF(D51="","", IFERROR(VLOOKUP(D51, Hidden_Data!M:N, 2, FALSE), "0"))</f>
        <v/>
      </c>
      <c r="H51" t="str">
        <f>IF(G51="","", IFERROR(VLOOKUP(G51, Hidden_Data!M:N, 2, FALSE), "0"))</f>
        <v/>
      </c>
      <c r="K51" t="str">
        <f>IF(J51="","", IFERROR(VLOOKUP(J51, Hidden_Data!M:N, 2, FALSE), "0"))</f>
        <v/>
      </c>
      <c r="N51" t="str">
        <f>IF(M51="","", IFERROR(VLOOKUP(M51, Hidden_Data!M:N, 2, FALSE), "0"))</f>
        <v/>
      </c>
      <c r="Q51" t="str">
        <f>IF(P51="","", IFERROR(VLOOKUP(P51, Hidden_Data!M:N, 2, FALSE), "0"))</f>
        <v/>
      </c>
      <c r="T51">
        <f t="shared" si="0"/>
        <v>0</v>
      </c>
      <c r="U51" t="str">
        <f t="shared" si="1"/>
        <v>Pass/Fixed</v>
      </c>
      <c r="V51" t="str">
        <f t="shared" si="2"/>
        <v>PASS</v>
      </c>
    </row>
    <row r="52" spans="1:22" x14ac:dyDescent="0.25">
      <c r="A52" t="str">
        <f>IF('Equipment Information'!A52="","", 'Equipment Information'!A52)</f>
        <v>20260698</v>
      </c>
      <c r="B52" t="str">
        <f>IF('Equipment Information'!B52="","", 'Equipment Information'!B52)</f>
        <v>CP-5110 &amp; CP-5120</v>
      </c>
      <c r="C52" t="str">
        <f>IF('Equipment Information'!C52="","", 'Equipment Information'!C52)</f>
        <v>Electrical Room #4</v>
      </c>
      <c r="E52" t="str">
        <f>IF(D52="","", IFERROR(VLOOKUP(D52, Hidden_Data!M:N, 2, FALSE), "0"))</f>
        <v/>
      </c>
      <c r="H52" t="str">
        <f>IF(G52="","", IFERROR(VLOOKUP(G52, Hidden_Data!M:N, 2, FALSE), "0"))</f>
        <v/>
      </c>
      <c r="K52" t="str">
        <f>IF(J52="","", IFERROR(VLOOKUP(J52, Hidden_Data!M:N, 2, FALSE), "0"))</f>
        <v/>
      </c>
      <c r="N52" t="str">
        <f>IF(M52="","", IFERROR(VLOOKUP(M52, Hidden_Data!M:N, 2, FALSE), "0"))</f>
        <v/>
      </c>
      <c r="Q52" t="str">
        <f>IF(P52="","", IFERROR(VLOOKUP(P52, Hidden_Data!M:N, 2, FALSE), "0"))</f>
        <v/>
      </c>
      <c r="T52">
        <f t="shared" si="0"/>
        <v>0</v>
      </c>
      <c r="U52" t="str">
        <f t="shared" si="1"/>
        <v>Pass/Fixed</v>
      </c>
      <c r="V52" t="str">
        <f t="shared" si="2"/>
        <v>PASS</v>
      </c>
    </row>
    <row r="53" spans="1:22" x14ac:dyDescent="0.25">
      <c r="A53" t="str">
        <f>IF('Equipment Information'!A53="","", 'Equipment Information'!A53)</f>
        <v>20260699</v>
      </c>
      <c r="B53" t="str">
        <f>IF('Equipment Information'!B53="","", 'Equipment Information'!B53)</f>
        <v/>
      </c>
      <c r="C53" t="str">
        <f>IF('Equipment Information'!C53="","", 'Equipment Information'!C53)</f>
        <v>Electrical Room #4 Mezzanine</v>
      </c>
      <c r="E53" t="str">
        <f>IF(D53="","", IFERROR(VLOOKUP(D53, Hidden_Data!M:N, 2, FALSE), "0"))</f>
        <v/>
      </c>
      <c r="H53" t="str">
        <f>IF(G53="","", IFERROR(VLOOKUP(G53, Hidden_Data!M:N, 2, FALSE), "0"))</f>
        <v/>
      </c>
      <c r="K53" t="str">
        <f>IF(J53="","", IFERROR(VLOOKUP(J53, Hidden_Data!M:N, 2, FALSE), "0"))</f>
        <v/>
      </c>
      <c r="N53" t="str">
        <f>IF(M53="","", IFERROR(VLOOKUP(M53, Hidden_Data!M:N, 2, FALSE), "0"))</f>
        <v/>
      </c>
      <c r="Q53" t="str">
        <f>IF(P53="","", IFERROR(VLOOKUP(P53, Hidden_Data!M:N, 2, FALSE), "0"))</f>
        <v/>
      </c>
      <c r="T53">
        <f t="shared" si="0"/>
        <v>0</v>
      </c>
      <c r="U53" t="str">
        <f t="shared" si="1"/>
        <v>Pass/Fixed</v>
      </c>
      <c r="V53" t="str">
        <f t="shared" si="2"/>
        <v>PASS</v>
      </c>
    </row>
    <row r="54" spans="1:22" x14ac:dyDescent="0.25">
      <c r="A54" t="str">
        <f>IF('Equipment Information'!A54="","", 'Equipment Information'!A54)</f>
        <v>20260700</v>
      </c>
      <c r="B54" t="str">
        <f>IF('Equipment Information'!B54="","", 'Equipment Information'!B54)</f>
        <v/>
      </c>
      <c r="C54" t="str">
        <f>IF('Equipment Information'!C54="","", 'Equipment Information'!C54)</f>
        <v>Electrical Room #4 Mezzanine</v>
      </c>
      <c r="E54" t="str">
        <f>IF(D54="","", IFERROR(VLOOKUP(D54, Hidden_Data!M:N, 2, FALSE), "0"))</f>
        <v/>
      </c>
      <c r="H54" t="str">
        <f>IF(G54="","", IFERROR(VLOOKUP(G54, Hidden_Data!M:N, 2, FALSE), "0"))</f>
        <v/>
      </c>
      <c r="K54" t="str">
        <f>IF(J54="","", IFERROR(VLOOKUP(J54, Hidden_Data!M:N, 2, FALSE), "0"))</f>
        <v/>
      </c>
      <c r="N54" t="str">
        <f>IF(M54="","", IFERROR(VLOOKUP(M54, Hidden_Data!M:N, 2, FALSE), "0"))</f>
        <v/>
      </c>
      <c r="Q54" t="str">
        <f>IF(P54="","", IFERROR(VLOOKUP(P54, Hidden_Data!M:N, 2, FALSE), "0"))</f>
        <v/>
      </c>
      <c r="T54">
        <f t="shared" si="0"/>
        <v>0</v>
      </c>
      <c r="U54" t="str">
        <f t="shared" si="1"/>
        <v>Pass/Fixed</v>
      </c>
      <c r="V54" t="str">
        <f t="shared" si="2"/>
        <v>PASS</v>
      </c>
    </row>
    <row r="55" spans="1:22" x14ac:dyDescent="0.25">
      <c r="A55" t="str">
        <f>IF('Equipment Information'!A55="","", 'Equipment Information'!A55)</f>
        <v>20260701</v>
      </c>
      <c r="B55" t="str">
        <f>IF('Equipment Information'!B55="","", 'Equipment Information'!B55)</f>
        <v/>
      </c>
      <c r="C55" t="str">
        <f>IF('Equipment Information'!C55="","", 'Equipment Information'!C55)</f>
        <v>Electrical Room #4 Mezzanine</v>
      </c>
      <c r="E55" t="str">
        <f>IF(D55="","", IFERROR(VLOOKUP(D55, Hidden_Data!M:N, 2, FALSE), "0"))</f>
        <v/>
      </c>
      <c r="H55" t="str">
        <f>IF(G55="","", IFERROR(VLOOKUP(G55, Hidden_Data!M:N, 2, FALSE), "0"))</f>
        <v/>
      </c>
      <c r="K55" t="str">
        <f>IF(J55="","", IFERROR(VLOOKUP(J55, Hidden_Data!M:N, 2, FALSE), "0"))</f>
        <v/>
      </c>
      <c r="N55" t="str">
        <f>IF(M55="","", IFERROR(VLOOKUP(M55, Hidden_Data!M:N, 2, FALSE), "0"))</f>
        <v/>
      </c>
      <c r="Q55" t="str">
        <f>IF(P55="","", IFERROR(VLOOKUP(P55, Hidden_Data!M:N, 2, FALSE), "0"))</f>
        <v/>
      </c>
      <c r="T55">
        <f t="shared" si="0"/>
        <v>0</v>
      </c>
      <c r="U55" t="str">
        <f t="shared" si="1"/>
        <v>Pass/Fixed</v>
      </c>
      <c r="V55" t="str">
        <f t="shared" si="2"/>
        <v>PASS</v>
      </c>
    </row>
    <row r="56" spans="1:22" x14ac:dyDescent="0.25">
      <c r="A56" t="str">
        <f>IF('Equipment Information'!A56="","", 'Equipment Information'!A56)</f>
        <v>20260702</v>
      </c>
      <c r="B56" t="str">
        <f>IF('Equipment Information'!B56="","", 'Equipment Information'!B56)</f>
        <v/>
      </c>
      <c r="C56" t="str">
        <f>IF('Equipment Information'!C56="","", 'Equipment Information'!C56)</f>
        <v>Electrical Room #4 Mezzanine</v>
      </c>
      <c r="E56" t="str">
        <f>IF(D56="","", IFERROR(VLOOKUP(D56, Hidden_Data!M:N, 2, FALSE), "0"))</f>
        <v/>
      </c>
      <c r="H56" t="str">
        <f>IF(G56="","", IFERROR(VLOOKUP(G56, Hidden_Data!M:N, 2, FALSE), "0"))</f>
        <v/>
      </c>
      <c r="K56" t="str">
        <f>IF(J56="","", IFERROR(VLOOKUP(J56, Hidden_Data!M:N, 2, FALSE), "0"))</f>
        <v/>
      </c>
      <c r="N56" t="str">
        <f>IF(M56="","", IFERROR(VLOOKUP(M56, Hidden_Data!M:N, 2, FALSE), "0"))</f>
        <v/>
      </c>
      <c r="Q56" t="str">
        <f>IF(P56="","", IFERROR(VLOOKUP(P56, Hidden_Data!M:N, 2, FALSE), "0"))</f>
        <v/>
      </c>
      <c r="T56">
        <f t="shared" si="0"/>
        <v>0</v>
      </c>
      <c r="U56" t="str">
        <f t="shared" si="1"/>
        <v>Pass/Fixed</v>
      </c>
      <c r="V56" t="str">
        <f t="shared" si="2"/>
        <v>PASS</v>
      </c>
    </row>
    <row r="57" spans="1:22" x14ac:dyDescent="0.25">
      <c r="A57" t="str">
        <f>IF('Equipment Information'!A57="","", 'Equipment Information'!A57)</f>
        <v>20260703</v>
      </c>
      <c r="B57" t="str">
        <f>IF('Equipment Information'!B57="","", 'Equipment Information'!B57)</f>
        <v/>
      </c>
      <c r="C57" t="str">
        <f>IF('Equipment Information'!C57="","", 'Equipment Information'!C57)</f>
        <v>Electrical Room #4 Mezzanine</v>
      </c>
      <c r="E57" t="str">
        <f>IF(D57="","", IFERROR(VLOOKUP(D57, Hidden_Data!M:N, 2, FALSE), "0"))</f>
        <v/>
      </c>
      <c r="H57" t="str">
        <f>IF(G57="","", IFERROR(VLOOKUP(G57, Hidden_Data!M:N, 2, FALSE), "0"))</f>
        <v/>
      </c>
      <c r="K57" t="str">
        <f>IF(J57="","", IFERROR(VLOOKUP(J57, Hidden_Data!M:N, 2, FALSE), "0"))</f>
        <v/>
      </c>
      <c r="N57" t="str">
        <f>IF(M57="","", IFERROR(VLOOKUP(M57, Hidden_Data!M:N, 2, FALSE), "0"))</f>
        <v/>
      </c>
      <c r="Q57" t="str">
        <f>IF(P57="","", IFERROR(VLOOKUP(P57, Hidden_Data!M:N, 2, FALSE), "0"))</f>
        <v/>
      </c>
      <c r="T57">
        <f t="shared" si="0"/>
        <v>0</v>
      </c>
      <c r="U57" t="str">
        <f t="shared" si="1"/>
        <v>Pass/Fixed</v>
      </c>
      <c r="V57" t="str">
        <f t="shared" si="2"/>
        <v>PASS</v>
      </c>
    </row>
    <row r="58" spans="1:22" x14ac:dyDescent="0.25">
      <c r="A58" t="str">
        <f>IF('Equipment Information'!A58="","", 'Equipment Information'!A58)</f>
        <v>20260704</v>
      </c>
      <c r="B58" t="str">
        <f>IF('Equipment Information'!B58="","", 'Equipment Information'!B58)</f>
        <v/>
      </c>
      <c r="C58" t="str">
        <f>IF('Equipment Information'!C58="","", 'Equipment Information'!C58)</f>
        <v>Electrical Room #4 Mezzanine</v>
      </c>
      <c r="E58" t="str">
        <f>IF(D58="","", IFERROR(VLOOKUP(D58, Hidden_Data!M:N, 2, FALSE), "0"))</f>
        <v/>
      </c>
      <c r="H58" t="str">
        <f>IF(G58="","", IFERROR(VLOOKUP(G58, Hidden_Data!M:N, 2, FALSE), "0"))</f>
        <v/>
      </c>
      <c r="K58" t="str">
        <f>IF(J58="","", IFERROR(VLOOKUP(J58, Hidden_Data!M:N, 2, FALSE), "0"))</f>
        <v/>
      </c>
      <c r="N58" t="str">
        <f>IF(M58="","", IFERROR(VLOOKUP(M58, Hidden_Data!M:N, 2, FALSE), "0"))</f>
        <v/>
      </c>
      <c r="Q58" t="str">
        <f>IF(P58="","", IFERROR(VLOOKUP(P58, Hidden_Data!M:N, 2, FALSE), "0"))</f>
        <v/>
      </c>
      <c r="T58">
        <f t="shared" si="0"/>
        <v>0</v>
      </c>
      <c r="U58" t="str">
        <f t="shared" si="1"/>
        <v>Pass/Fixed</v>
      </c>
      <c r="V58" t="str">
        <f t="shared" si="2"/>
        <v>PASS</v>
      </c>
    </row>
    <row r="59" spans="1:22" x14ac:dyDescent="0.25">
      <c r="A59" t="str">
        <f>IF('Equipment Information'!A59="","", 'Equipment Information'!A59)</f>
        <v>20260705</v>
      </c>
      <c r="B59" t="str">
        <f>IF('Equipment Information'!B59="","", 'Equipment Information'!B59)</f>
        <v>15 kVa Transformer</v>
      </c>
      <c r="C59" t="str">
        <f>IF('Equipment Information'!C59="","", 'Equipment Information'!C59)</f>
        <v>Packaging</v>
      </c>
      <c r="E59" t="str">
        <f>IF(D59="","", IFERROR(VLOOKUP(D59, Hidden_Data!M:N, 2, FALSE), "0"))</f>
        <v/>
      </c>
      <c r="H59" t="str">
        <f>IF(G59="","", IFERROR(VLOOKUP(G59, Hidden_Data!M:N, 2, FALSE), "0"))</f>
        <v/>
      </c>
      <c r="K59" t="str">
        <f>IF(J59="","", IFERROR(VLOOKUP(J59, Hidden_Data!M:N, 2, FALSE), "0"))</f>
        <v/>
      </c>
      <c r="N59" t="str">
        <f>IF(M59="","", IFERROR(VLOOKUP(M59, Hidden_Data!M:N, 2, FALSE), "0"))</f>
        <v/>
      </c>
      <c r="Q59" t="str">
        <f>IF(P59="","", IFERROR(VLOOKUP(P59, Hidden_Data!M:N, 2, FALSE), "0"))</f>
        <v/>
      </c>
      <c r="T59">
        <f t="shared" si="0"/>
        <v>0</v>
      </c>
      <c r="U59" t="str">
        <f t="shared" si="1"/>
        <v>Pass/Fixed</v>
      </c>
      <c r="V59" t="str">
        <f t="shared" si="2"/>
        <v>PASS</v>
      </c>
    </row>
    <row r="60" spans="1:22" x14ac:dyDescent="0.25">
      <c r="A60" t="str">
        <f>IF('Equipment Information'!A60="","", 'Equipment Information'!A60)</f>
        <v>20260706</v>
      </c>
      <c r="B60" t="str">
        <f>IF('Equipment Information'!B60="","", 'Equipment Information'!B60)</f>
        <v>Color Sorter Transformer</v>
      </c>
      <c r="C60" t="str">
        <f>IF('Equipment Information'!C60="","", 'Equipment Information'!C60)</f>
        <v>Packaging</v>
      </c>
      <c r="D60" t="s">
        <v>48</v>
      </c>
      <c r="E60" t="str">
        <f>IF(D60="","", IFERROR(VLOOKUP(D60, Hidden_Data!M:N, 2, FALSE), "0"))</f>
        <v>Minor (1pt)</v>
      </c>
      <c r="F60" t="s">
        <v>23</v>
      </c>
      <c r="H60" t="str">
        <f>IF(G60="","", IFERROR(VLOOKUP(G60, Hidden_Data!M:N, 2, FALSE), "0"))</f>
        <v/>
      </c>
      <c r="K60" t="str">
        <f>IF(J60="","", IFERROR(VLOOKUP(J60, Hidden_Data!M:N, 2, FALSE), "0"))</f>
        <v/>
      </c>
      <c r="N60" t="str">
        <f>IF(M60="","", IFERROR(VLOOKUP(M60, Hidden_Data!M:N, 2, FALSE), "0"))</f>
        <v/>
      </c>
      <c r="Q60" t="str">
        <f>IF(P60="","", IFERROR(VLOOKUP(P60, Hidden_Data!M:N, 2, FALSE), "0"))</f>
        <v/>
      </c>
      <c r="T60">
        <f t="shared" si="0"/>
        <v>1</v>
      </c>
      <c r="U60" t="str">
        <f t="shared" si="1"/>
        <v>Priority 3 (Minor)</v>
      </c>
      <c r="V60" t="str">
        <f t="shared" si="2"/>
        <v>FAIL</v>
      </c>
    </row>
    <row r="61" spans="1:22" x14ac:dyDescent="0.25">
      <c r="A61" t="str">
        <f>IF('Equipment Information'!A61="","", 'Equipment Information'!A61)</f>
        <v>20260707</v>
      </c>
      <c r="B61" t="str">
        <f>IF('Equipment Information'!B61="","", 'Equipment Information'!B61)</f>
        <v>LP3 Sub-Panel</v>
      </c>
      <c r="C61" t="str">
        <f>IF('Equipment Information'!C61="","", 'Equipment Information'!C61)</f>
        <v>Packaging</v>
      </c>
      <c r="D61" t="s">
        <v>29</v>
      </c>
      <c r="E61" t="str">
        <f>IF(D61="","", IFERROR(VLOOKUP(D61, Hidden_Data!M:N, 2, FALSE), "0"))</f>
        <v>Major (3pts)</v>
      </c>
      <c r="F61" t="s">
        <v>35</v>
      </c>
      <c r="H61" t="str">
        <f>IF(G61="","", IFERROR(VLOOKUP(G61, Hidden_Data!M:N, 2, FALSE), "0"))</f>
        <v/>
      </c>
      <c r="K61" t="str">
        <f>IF(J61="","", IFERROR(VLOOKUP(J61, Hidden_Data!M:N, 2, FALSE), "0"))</f>
        <v/>
      </c>
      <c r="N61" t="str">
        <f>IF(M61="","", IFERROR(VLOOKUP(M61, Hidden_Data!M:N, 2, FALSE), "0"))</f>
        <v/>
      </c>
      <c r="Q61" t="str">
        <f>IF(P61="","", IFERROR(VLOOKUP(P61, Hidden_Data!M:N, 2, FALSE), "0"))</f>
        <v/>
      </c>
      <c r="T61">
        <f t="shared" si="0"/>
        <v>0</v>
      </c>
      <c r="U61" t="str">
        <f t="shared" si="1"/>
        <v>Pass/Fixed</v>
      </c>
      <c r="V61" t="str">
        <f t="shared" si="2"/>
        <v>PASS</v>
      </c>
    </row>
    <row r="62" spans="1:22" x14ac:dyDescent="0.25">
      <c r="A62" t="str">
        <f>IF('Equipment Information'!A62="","", 'Equipment Information'!A62)</f>
        <v>20260708</v>
      </c>
      <c r="B62" t="str">
        <f>IF('Equipment Information'!B62="","", 'Equipment Information'!B62)</f>
        <v>LP3</v>
      </c>
      <c r="C62" t="str">
        <f>IF('Equipment Information'!C62="","", 'Equipment Information'!C62)</f>
        <v>Packaging</v>
      </c>
      <c r="D62" t="s">
        <v>30</v>
      </c>
      <c r="E62" t="str">
        <f>IF(D62="","", IFERROR(VLOOKUP(D62, Hidden_Data!M:N, 2, FALSE), "0"))</f>
        <v>Minor (1pt)</v>
      </c>
      <c r="F62" t="s">
        <v>23</v>
      </c>
      <c r="G62" t="s">
        <v>24</v>
      </c>
      <c r="H62" t="str">
        <f>IF(G62="","", IFERROR(VLOOKUP(G62, Hidden_Data!M:N, 2, FALSE), "0"))</f>
        <v>Critical (5pts)</v>
      </c>
      <c r="I62" t="s">
        <v>35</v>
      </c>
      <c r="K62" t="str">
        <f>IF(J62="","", IFERROR(VLOOKUP(J62, Hidden_Data!M:N, 2, FALSE), "0"))</f>
        <v/>
      </c>
      <c r="N62" t="str">
        <f>IF(M62="","", IFERROR(VLOOKUP(M62, Hidden_Data!M:N, 2, FALSE), "0"))</f>
        <v/>
      </c>
      <c r="Q62" t="str">
        <f>IF(P62="","", IFERROR(VLOOKUP(P62, Hidden_Data!M:N, 2, FALSE), "0"))</f>
        <v/>
      </c>
      <c r="T62">
        <f t="shared" si="0"/>
        <v>1</v>
      </c>
      <c r="U62" t="str">
        <f t="shared" si="1"/>
        <v>Priority 3 (Minor)</v>
      </c>
      <c r="V62" t="str">
        <f t="shared" si="2"/>
        <v>FAIL</v>
      </c>
    </row>
    <row r="63" spans="1:22" x14ac:dyDescent="0.25">
      <c r="A63" t="str">
        <f>IF('Equipment Information'!A63="","", 'Equipment Information'!A63)</f>
        <v>20260709</v>
      </c>
      <c r="B63" t="str">
        <f>IF('Equipment Information'!B63="","", 'Equipment Information'!B63)</f>
        <v>Color Sorter Supply</v>
      </c>
      <c r="C63" t="str">
        <f>IF('Equipment Information'!C63="","", 'Equipment Information'!C63)</f>
        <v>Packaging</v>
      </c>
      <c r="E63" t="str">
        <f>IF(D63="","", IFERROR(VLOOKUP(D63, Hidden_Data!M:N, 2, FALSE), "0"))</f>
        <v/>
      </c>
      <c r="H63" t="str">
        <f>IF(G63="","", IFERROR(VLOOKUP(G63, Hidden_Data!M:N, 2, FALSE), "0"))</f>
        <v/>
      </c>
      <c r="K63" t="str">
        <f>IF(J63="","", IFERROR(VLOOKUP(J63, Hidden_Data!M:N, 2, FALSE), "0"))</f>
        <v/>
      </c>
      <c r="N63" t="str">
        <f>IF(M63="","", IFERROR(VLOOKUP(M63, Hidden_Data!M:N, 2, FALSE), "0"))</f>
        <v/>
      </c>
      <c r="Q63" t="str">
        <f>IF(P63="","", IFERROR(VLOOKUP(P63, Hidden_Data!M:N, 2, FALSE), "0"))</f>
        <v/>
      </c>
      <c r="T63">
        <f t="shared" si="0"/>
        <v>0</v>
      </c>
      <c r="U63" t="str">
        <f t="shared" si="1"/>
        <v>Pass/Fixed</v>
      </c>
      <c r="V63" t="str">
        <f t="shared" si="2"/>
        <v>PASS</v>
      </c>
    </row>
    <row r="64" spans="1:22" x14ac:dyDescent="0.25">
      <c r="A64" t="str">
        <f>IF('Equipment Information'!A64="","", 'Equipment Information'!A64)</f>
        <v>20260710</v>
      </c>
      <c r="B64" t="str">
        <f>IF('Equipment Information'!B64="","", 'Equipment Information'!B64)</f>
        <v>HP3</v>
      </c>
      <c r="C64" t="str">
        <f>IF('Equipment Information'!C64="","", 'Equipment Information'!C64)</f>
        <v>Packaging</v>
      </c>
      <c r="E64" t="str">
        <f>IF(D64="","", IFERROR(VLOOKUP(D64, Hidden_Data!M:N, 2, FALSE), "0"))</f>
        <v/>
      </c>
      <c r="H64" t="str">
        <f>IF(G64="","", IFERROR(VLOOKUP(G64, Hidden_Data!M:N, 2, FALSE), "0"))</f>
        <v/>
      </c>
      <c r="K64" t="str">
        <f>IF(J64="","", IFERROR(VLOOKUP(J64, Hidden_Data!M:N, 2, FALSE), "0"))</f>
        <v/>
      </c>
      <c r="N64" t="str">
        <f>IF(M64="","", IFERROR(VLOOKUP(M64, Hidden_Data!M:N, 2, FALSE), "0"))</f>
        <v/>
      </c>
      <c r="Q64" t="str">
        <f>IF(P64="","", IFERROR(VLOOKUP(P64, Hidden_Data!M:N, 2, FALSE), "0"))</f>
        <v/>
      </c>
      <c r="T64">
        <f t="shared" si="0"/>
        <v>0</v>
      </c>
      <c r="U64" t="str">
        <f t="shared" si="1"/>
        <v>Pass/Fixed</v>
      </c>
      <c r="V64" t="str">
        <f t="shared" si="2"/>
        <v>PASS</v>
      </c>
    </row>
    <row r="65" spans="1:22" x14ac:dyDescent="0.25">
      <c r="A65" t="str">
        <f>IF('Equipment Information'!A65="","", 'Equipment Information'!A65)</f>
        <v>20260711</v>
      </c>
      <c r="B65" t="str">
        <f>IF('Equipment Information'!B65="","", 'Equipment Information'!B65)</f>
        <v>HP3-1</v>
      </c>
      <c r="C65" t="str">
        <f>IF('Equipment Information'!C65="","", 'Equipment Information'!C65)</f>
        <v>Packaging</v>
      </c>
      <c r="D65" t="s">
        <v>30</v>
      </c>
      <c r="E65" t="str">
        <f>IF(D65="","", IFERROR(VLOOKUP(D65, Hidden_Data!M:N, 2, FALSE), "0"))</f>
        <v>Minor (1pt)</v>
      </c>
      <c r="F65" t="s">
        <v>23</v>
      </c>
      <c r="H65" t="str">
        <f>IF(G65="","", IFERROR(VLOOKUP(G65, Hidden_Data!M:N, 2, FALSE), "0"))</f>
        <v/>
      </c>
      <c r="K65" t="str">
        <f>IF(J65="","", IFERROR(VLOOKUP(J65, Hidden_Data!M:N, 2, FALSE), "0"))</f>
        <v/>
      </c>
      <c r="N65" t="str">
        <f>IF(M65="","", IFERROR(VLOOKUP(M65, Hidden_Data!M:N, 2, FALSE), "0"))</f>
        <v/>
      </c>
      <c r="Q65" t="str">
        <f>IF(P65="","", IFERROR(VLOOKUP(P65, Hidden_Data!M:N, 2, FALSE), "0"))</f>
        <v/>
      </c>
      <c r="T65">
        <f t="shared" si="0"/>
        <v>1</v>
      </c>
      <c r="U65" t="str">
        <f t="shared" si="1"/>
        <v>Priority 3 (Minor)</v>
      </c>
      <c r="V65" t="str">
        <f t="shared" si="2"/>
        <v>FAIL</v>
      </c>
    </row>
    <row r="66" spans="1:22" x14ac:dyDescent="0.25">
      <c r="A66" t="str">
        <f>IF('Equipment Information'!A66="","", 'Equipment Information'!A66)</f>
        <v>20260712</v>
      </c>
      <c r="B66" t="str">
        <f>IF('Equipment Information'!B66="","", 'Equipment Information'!B66)</f>
        <v>SW 2</v>
      </c>
      <c r="C66" t="str">
        <f>IF('Equipment Information'!C66="","", 'Equipment Information'!C66)</f>
        <v>Packaging</v>
      </c>
      <c r="E66" t="str">
        <f>IF(D66="","", IFERROR(VLOOKUP(D66, Hidden_Data!M:N, 2, FALSE), "0"))</f>
        <v/>
      </c>
      <c r="H66" t="str">
        <f>IF(G66="","", IFERROR(VLOOKUP(G66, Hidden_Data!M:N, 2, FALSE), "0"))</f>
        <v/>
      </c>
      <c r="K66" t="str">
        <f>IF(J66="","", IFERROR(VLOOKUP(J66, Hidden_Data!M:N, 2, FALSE), "0"))</f>
        <v/>
      </c>
      <c r="N66" t="str">
        <f>IF(M66="","", IFERROR(VLOOKUP(M66, Hidden_Data!M:N, 2, FALSE), "0"))</f>
        <v/>
      </c>
      <c r="Q66" t="str">
        <f>IF(P66="","", IFERROR(VLOOKUP(P66, Hidden_Data!M:N, 2, FALSE), "0"))</f>
        <v/>
      </c>
      <c r="T66">
        <f t="shared" ref="T66:T129" si="3">IF(A66="","", SUM(IF(F66="Yes", 0, IF(E66="", 0, IFERROR(VALUE(MID(E66, SEARCH("(",E66)+1, 1)), 0))), IF(I66="Yes", 0, IF(H66="", 0, IFERROR(VALUE(MID(H66, SEARCH("(",H66)+1, 1)), 0))), IF(L66="Yes", 0, IF(K66="", 0, IFERROR(VALUE(MID(K66, SEARCH("(",K66)+1, 1)), 0))), IF(O66="Yes", 0, IF(N66="", 0, IFERROR(VALUE(MID(N66, SEARCH("(",N66)+1, 1)), 0))), IF(R66="Yes", 0, IF(Q66="", 0, IFERROR(VALUE(MID(Q66, SEARCH("(",Q66)+1, 1)), 0)))))</f>
        <v>0</v>
      </c>
      <c r="U66" t="str">
        <f t="shared" ref="U66:U129" si="4">IF(A66="","", IF(T66&gt;=5, "Priority 1 (Critical)", IF(T66&gt;=3, "Priority 2 (Major)", IF(T66&gt;=1, "Priority 3 (Minor)", "Pass/Fixed"))))</f>
        <v>Pass/Fixed</v>
      </c>
      <c r="V66" t="str">
        <f t="shared" ref="V66:V129" si="5">IF(A66="","", IF(T66&gt;0, "FAIL", "PASS"))</f>
        <v>PASS</v>
      </c>
    </row>
    <row r="67" spans="1:22" x14ac:dyDescent="0.25">
      <c r="A67" t="str">
        <f>IF('Equipment Information'!A67="","", 'Equipment Information'!A67)</f>
        <v>20260713</v>
      </c>
      <c r="B67" t="str">
        <f>IF('Equipment Information'!B67="","", 'Equipment Information'!B67)</f>
        <v/>
      </c>
      <c r="C67" t="str">
        <f>IF('Equipment Information'!C67="","", 'Equipment Information'!C67)</f>
        <v>Packaging</v>
      </c>
      <c r="E67" t="str">
        <f>IF(D67="","", IFERROR(VLOOKUP(D67, Hidden_Data!M:N, 2, FALSE), "0"))</f>
        <v/>
      </c>
      <c r="H67" t="str">
        <f>IF(G67="","", IFERROR(VLOOKUP(G67, Hidden_Data!M:N, 2, FALSE), "0"))</f>
        <v/>
      </c>
      <c r="K67" t="str">
        <f>IF(J67="","", IFERROR(VLOOKUP(J67, Hidden_Data!M:N, 2, FALSE), "0"))</f>
        <v/>
      </c>
      <c r="N67" t="str">
        <f>IF(M67="","", IFERROR(VLOOKUP(M67, Hidden_Data!M:N, 2, FALSE), "0"))</f>
        <v/>
      </c>
      <c r="Q67" t="str">
        <f>IF(P67="","", IFERROR(VLOOKUP(P67, Hidden_Data!M:N, 2, FALSE), "0"))</f>
        <v/>
      </c>
      <c r="T67">
        <f t="shared" si="3"/>
        <v>0</v>
      </c>
      <c r="U67" t="str">
        <f t="shared" si="4"/>
        <v>Pass/Fixed</v>
      </c>
      <c r="V67" t="str">
        <f t="shared" si="5"/>
        <v>PASS</v>
      </c>
    </row>
    <row r="68" spans="1:22" x14ac:dyDescent="0.25">
      <c r="A68" t="str">
        <f>IF('Equipment Information'!A68="","", 'Equipment Information'!A68)</f>
        <v>20260714</v>
      </c>
      <c r="B68" t="str">
        <f>IF('Equipment Information'!B68="","", 'Equipment Information'!B68)</f>
        <v>LP-1</v>
      </c>
      <c r="C68" t="str">
        <f>IF('Equipment Information'!C68="","", 'Equipment Information'!C68)</f>
        <v>Receiving Station</v>
      </c>
      <c r="E68" t="str">
        <f>IF(D68="","", IFERROR(VLOOKUP(D68, Hidden_Data!M:N, 2, FALSE), "0"))</f>
        <v/>
      </c>
      <c r="H68" t="str">
        <f>IF(G68="","", IFERROR(VLOOKUP(G68, Hidden_Data!M:N, 2, FALSE), "0"))</f>
        <v/>
      </c>
      <c r="K68" t="str">
        <f>IF(J68="","", IFERROR(VLOOKUP(J68, Hidden_Data!M:N, 2, FALSE), "0"))</f>
        <v/>
      </c>
      <c r="N68" t="str">
        <f>IF(M68="","", IFERROR(VLOOKUP(M68, Hidden_Data!M:N, 2, FALSE), "0"))</f>
        <v/>
      </c>
      <c r="Q68" t="str">
        <f>IF(P68="","", IFERROR(VLOOKUP(P68, Hidden_Data!M:N, 2, FALSE), "0"))</f>
        <v/>
      </c>
      <c r="T68">
        <f t="shared" si="3"/>
        <v>0</v>
      </c>
      <c r="U68" t="str">
        <f t="shared" si="4"/>
        <v>Pass/Fixed</v>
      </c>
      <c r="V68" t="str">
        <f t="shared" si="5"/>
        <v>PASS</v>
      </c>
    </row>
    <row r="69" spans="1:22" x14ac:dyDescent="0.25">
      <c r="A69" t="str">
        <f>IF('Equipment Information'!A69="","", 'Equipment Information'!A69)</f>
        <v>20260715</v>
      </c>
      <c r="B69" t="str">
        <f>IF('Equipment Information'!B69="","", 'Equipment Information'!B69)</f>
        <v>Photo-Eye Ctl'd Contactor</v>
      </c>
      <c r="C69" t="str">
        <f>IF('Equipment Information'!C69="","", 'Equipment Information'!C69)</f>
        <v>Receiving Station</v>
      </c>
      <c r="E69" t="str">
        <f>IF(D69="","", IFERROR(VLOOKUP(D69, Hidden_Data!M:N, 2, FALSE), "0"))</f>
        <v/>
      </c>
      <c r="H69" t="str">
        <f>IF(G69="","", IFERROR(VLOOKUP(G69, Hidden_Data!M:N, 2, FALSE), "0"))</f>
        <v/>
      </c>
      <c r="K69" t="str">
        <f>IF(J69="","", IFERROR(VLOOKUP(J69, Hidden_Data!M:N, 2, FALSE), "0"))</f>
        <v/>
      </c>
      <c r="N69" t="str">
        <f>IF(M69="","", IFERROR(VLOOKUP(M69, Hidden_Data!M:N, 2, FALSE), "0"))</f>
        <v/>
      </c>
      <c r="Q69" t="str">
        <f>IF(P69="","", IFERROR(VLOOKUP(P69, Hidden_Data!M:N, 2, FALSE), "0"))</f>
        <v/>
      </c>
      <c r="T69">
        <f t="shared" si="3"/>
        <v>0</v>
      </c>
      <c r="U69" t="str">
        <f t="shared" si="4"/>
        <v>Pass/Fixed</v>
      </c>
      <c r="V69" t="str">
        <f t="shared" si="5"/>
        <v>PASS</v>
      </c>
    </row>
    <row r="70" spans="1:22" x14ac:dyDescent="0.25">
      <c r="A70" t="str">
        <f>IF('Equipment Information'!A70="","", 'Equipment Information'!A70)</f>
        <v>20260716</v>
      </c>
      <c r="B70" t="str">
        <f>IF('Equipment Information'!B70="","", 'Equipment Information'!B70)</f>
        <v>LP1A</v>
      </c>
      <c r="C70" t="str">
        <f>IF('Equipment Information'!C70="","", 'Equipment Information'!C70)</f>
        <v>Receiving Station</v>
      </c>
      <c r="E70" t="str">
        <f>IF(D70="","", IFERROR(VLOOKUP(D70, Hidden_Data!M:N, 2, FALSE), "0"))</f>
        <v/>
      </c>
      <c r="H70" t="str">
        <f>IF(G70="","", IFERROR(VLOOKUP(G70, Hidden_Data!M:N, 2, FALSE), "0"))</f>
        <v/>
      </c>
      <c r="K70" t="str">
        <f>IF(J70="","", IFERROR(VLOOKUP(J70, Hidden_Data!M:N, 2, FALSE), "0"))</f>
        <v/>
      </c>
      <c r="N70" t="str">
        <f>IF(M70="","", IFERROR(VLOOKUP(M70, Hidden_Data!M:N, 2, FALSE), "0"))</f>
        <v/>
      </c>
      <c r="Q70" t="str">
        <f>IF(P70="","", IFERROR(VLOOKUP(P70, Hidden_Data!M:N, 2, FALSE), "0"))</f>
        <v/>
      </c>
      <c r="T70">
        <f t="shared" si="3"/>
        <v>0</v>
      </c>
      <c r="U70" t="str">
        <f t="shared" si="4"/>
        <v>Pass/Fixed</v>
      </c>
      <c r="V70" t="str">
        <f t="shared" si="5"/>
        <v>PASS</v>
      </c>
    </row>
    <row r="71" spans="1:22" x14ac:dyDescent="0.25">
      <c r="A71" t="str">
        <f>IF('Equipment Information'!A71="","", 'Equipment Information'!A71)</f>
        <v>20260717</v>
      </c>
      <c r="B71" t="str">
        <f>IF('Equipment Information'!B71="","", 'Equipment Information'!B71)</f>
        <v>Pool Pump #1 Main Disconnect</v>
      </c>
      <c r="C71" t="str">
        <f>IF('Equipment Information'!C71="","", 'Equipment Information'!C71)</f>
        <v>Receiving Station</v>
      </c>
      <c r="E71" t="str">
        <f>IF(D71="","", IFERROR(VLOOKUP(D71, Hidden_Data!M:N, 2, FALSE), "0"))</f>
        <v/>
      </c>
      <c r="H71" t="str">
        <f>IF(G71="","", IFERROR(VLOOKUP(G71, Hidden_Data!M:N, 2, FALSE), "0"))</f>
        <v/>
      </c>
      <c r="K71" t="str">
        <f>IF(J71="","", IFERROR(VLOOKUP(J71, Hidden_Data!M:N, 2, FALSE), "0"))</f>
        <v/>
      </c>
      <c r="N71" t="str">
        <f>IF(M71="","", IFERROR(VLOOKUP(M71, Hidden_Data!M:N, 2, FALSE), "0"))</f>
        <v/>
      </c>
      <c r="Q71" t="str">
        <f>IF(P71="","", IFERROR(VLOOKUP(P71, Hidden_Data!M:N, 2, FALSE), "0"))</f>
        <v/>
      </c>
      <c r="T71">
        <f t="shared" si="3"/>
        <v>0</v>
      </c>
      <c r="U71" t="str">
        <f t="shared" si="4"/>
        <v>Pass/Fixed</v>
      </c>
      <c r="V71" t="str">
        <f t="shared" si="5"/>
        <v>PASS</v>
      </c>
    </row>
    <row r="72" spans="1:22" x14ac:dyDescent="0.25">
      <c r="A72" t="str">
        <f>IF('Equipment Information'!A72="","", 'Equipment Information'!A72)</f>
        <v>20260718</v>
      </c>
      <c r="B72" t="str">
        <f>IF('Equipment Information'!B72="","", 'Equipment Information'!B72)</f>
        <v>Pool Pump #2 Main Disconnect</v>
      </c>
      <c r="C72" t="str">
        <f>IF('Equipment Information'!C72="","", 'Equipment Information'!C72)</f>
        <v>Receiving Station</v>
      </c>
      <c r="E72" t="str">
        <f>IF(D72="","", IFERROR(VLOOKUP(D72, Hidden_Data!M:N, 2, FALSE), "0"))</f>
        <v/>
      </c>
      <c r="H72" t="str">
        <f>IF(G72="","", IFERROR(VLOOKUP(G72, Hidden_Data!M:N, 2, FALSE), "0"))</f>
        <v/>
      </c>
      <c r="K72" t="str">
        <f>IF(J72="","", IFERROR(VLOOKUP(J72, Hidden_Data!M:N, 2, FALSE), "0"))</f>
        <v/>
      </c>
      <c r="N72" t="str">
        <f>IF(M72="","", IFERROR(VLOOKUP(M72, Hidden_Data!M:N, 2, FALSE), "0"))</f>
        <v/>
      </c>
      <c r="Q72" t="str">
        <f>IF(P72="","", IFERROR(VLOOKUP(P72, Hidden_Data!M:N, 2, FALSE), "0"))</f>
        <v/>
      </c>
      <c r="T72">
        <f t="shared" si="3"/>
        <v>0</v>
      </c>
      <c r="U72" t="str">
        <f t="shared" si="4"/>
        <v>Pass/Fixed</v>
      </c>
      <c r="V72" t="str">
        <f t="shared" si="5"/>
        <v>PASS</v>
      </c>
    </row>
    <row r="73" spans="1:22" x14ac:dyDescent="0.25">
      <c r="A73" t="str">
        <f>IF('Equipment Information'!A73="","", 'Equipment Information'!A73)</f>
        <v>20260719</v>
      </c>
      <c r="B73" t="str">
        <f>IF('Equipment Information'!B73="","", 'Equipment Information'!B73)</f>
        <v>Pool Pump #1 VFD</v>
      </c>
      <c r="C73" t="str">
        <f>IF('Equipment Information'!C73="","", 'Equipment Information'!C73)</f>
        <v>Receiving Station</v>
      </c>
      <c r="E73" t="str">
        <f>IF(D73="","", IFERROR(VLOOKUP(D73, Hidden_Data!M:N, 2, FALSE), "0"))</f>
        <v/>
      </c>
      <c r="H73" t="str">
        <f>IF(G73="","", IFERROR(VLOOKUP(G73, Hidden_Data!M:N, 2, FALSE), "0"))</f>
        <v/>
      </c>
      <c r="K73" t="str">
        <f>IF(J73="","", IFERROR(VLOOKUP(J73, Hidden_Data!M:N, 2, FALSE), "0"))</f>
        <v/>
      </c>
      <c r="N73" t="str">
        <f>IF(M73="","", IFERROR(VLOOKUP(M73, Hidden_Data!M:N, 2, FALSE), "0"))</f>
        <v/>
      </c>
      <c r="Q73" t="str">
        <f>IF(P73="","", IFERROR(VLOOKUP(P73, Hidden_Data!M:N, 2, FALSE), "0"))</f>
        <v/>
      </c>
      <c r="T73">
        <f t="shared" si="3"/>
        <v>0</v>
      </c>
      <c r="U73" t="str">
        <f t="shared" si="4"/>
        <v>Pass/Fixed</v>
      </c>
      <c r="V73" t="str">
        <f t="shared" si="5"/>
        <v>PASS</v>
      </c>
    </row>
    <row r="74" spans="1:22" x14ac:dyDescent="0.25">
      <c r="A74" t="str">
        <f>IF('Equipment Information'!A74="","", 'Equipment Information'!A74)</f>
        <v>20260720</v>
      </c>
      <c r="B74" t="str">
        <f>IF('Equipment Information'!B74="","", 'Equipment Information'!B74)</f>
        <v>Pool Pump #2 VFD</v>
      </c>
      <c r="C74" t="str">
        <f>IF('Equipment Information'!C74="","", 'Equipment Information'!C74)</f>
        <v>Receiving Station</v>
      </c>
      <c r="E74" t="str">
        <f>IF(D74="","", IFERROR(VLOOKUP(D74, Hidden_Data!M:N, 2, FALSE), "0"))</f>
        <v/>
      </c>
      <c r="H74" t="str">
        <f>IF(G74="","", IFERROR(VLOOKUP(G74, Hidden_Data!M:N, 2, FALSE), "0"))</f>
        <v/>
      </c>
      <c r="K74" t="str">
        <f>IF(J74="","", IFERROR(VLOOKUP(J74, Hidden_Data!M:N, 2, FALSE), "0"))</f>
        <v/>
      </c>
      <c r="N74" t="str">
        <f>IF(M74="","", IFERROR(VLOOKUP(M74, Hidden_Data!M:N, 2, FALSE), "0"))</f>
        <v/>
      </c>
      <c r="Q74" t="str">
        <f>IF(P74="","", IFERROR(VLOOKUP(P74, Hidden_Data!M:N, 2, FALSE), "0"))</f>
        <v/>
      </c>
      <c r="T74">
        <f t="shared" si="3"/>
        <v>0</v>
      </c>
      <c r="U74" t="str">
        <f t="shared" si="4"/>
        <v>Pass/Fixed</v>
      </c>
      <c r="V74" t="str">
        <f t="shared" si="5"/>
        <v>PASS</v>
      </c>
    </row>
    <row r="75" spans="1:22" x14ac:dyDescent="0.25">
      <c r="A75" t="str">
        <f>IF('Equipment Information'!A75="","", 'Equipment Information'!A75)</f>
        <v>20260721</v>
      </c>
      <c r="B75" t="str">
        <f>IF('Equipment Information'!B75="","", 'Equipment Information'!B75)</f>
        <v>45 kVA Transformer</v>
      </c>
      <c r="C75" t="str">
        <f>IF('Equipment Information'!C75="","", 'Equipment Information'!C75)</f>
        <v>Receiving Station</v>
      </c>
      <c r="E75" t="str">
        <f>IF(D75="","", IFERROR(VLOOKUP(D75, Hidden_Data!M:N, 2, FALSE), "0"))</f>
        <v/>
      </c>
      <c r="H75" t="str">
        <f>IF(G75="","", IFERROR(VLOOKUP(G75, Hidden_Data!M:N, 2, FALSE), "0"))</f>
        <v/>
      </c>
      <c r="K75" t="str">
        <f>IF(J75="","", IFERROR(VLOOKUP(J75, Hidden_Data!M:N, 2, FALSE), "0"))</f>
        <v/>
      </c>
      <c r="N75" t="str">
        <f>IF(M75="","", IFERROR(VLOOKUP(M75, Hidden_Data!M:N, 2, FALSE), "0"))</f>
        <v/>
      </c>
      <c r="Q75" t="str">
        <f>IF(P75="","", IFERROR(VLOOKUP(P75, Hidden_Data!M:N, 2, FALSE), "0"))</f>
        <v/>
      </c>
      <c r="T75">
        <f t="shared" si="3"/>
        <v>0</v>
      </c>
      <c r="U75" t="str">
        <f t="shared" si="4"/>
        <v>Pass/Fixed</v>
      </c>
      <c r="V75" t="str">
        <f t="shared" si="5"/>
        <v>PASS</v>
      </c>
    </row>
    <row r="76" spans="1:22" x14ac:dyDescent="0.25">
      <c r="A76" t="str">
        <f>IF('Equipment Information'!A76="","", 'Equipment Information'!A76)</f>
        <v>20260722</v>
      </c>
      <c r="B76" t="str">
        <f>IF('Equipment Information'!B76="","", 'Equipment Information'!B76)</f>
        <v>45 kVA Transformer Disconnect</v>
      </c>
      <c r="C76" t="str">
        <f>IF('Equipment Information'!C76="","", 'Equipment Information'!C76)</f>
        <v>Receiving Station</v>
      </c>
      <c r="E76" t="str">
        <f>IF(D76="","", IFERROR(VLOOKUP(D76, Hidden_Data!M:N, 2, FALSE), "0"))</f>
        <v/>
      </c>
      <c r="H76" t="str">
        <f>IF(G76="","", IFERROR(VLOOKUP(G76, Hidden_Data!M:N, 2, FALSE), "0"))</f>
        <v/>
      </c>
      <c r="K76" t="str">
        <f>IF(J76="","", IFERROR(VLOOKUP(J76, Hidden_Data!M:N, 2, FALSE), "0"))</f>
        <v/>
      </c>
      <c r="N76" t="str">
        <f>IF(M76="","", IFERROR(VLOOKUP(M76, Hidden_Data!M:N, 2, FALSE), "0"))</f>
        <v/>
      </c>
      <c r="Q76" t="str">
        <f>IF(P76="","", IFERROR(VLOOKUP(P76, Hidden_Data!M:N, 2, FALSE), "0"))</f>
        <v/>
      </c>
      <c r="T76">
        <f t="shared" si="3"/>
        <v>0</v>
      </c>
      <c r="U76" t="str">
        <f t="shared" si="4"/>
        <v>Pass/Fixed</v>
      </c>
      <c r="V76" t="str">
        <f t="shared" si="5"/>
        <v>PASS</v>
      </c>
    </row>
    <row r="77" spans="1:22" x14ac:dyDescent="0.25">
      <c r="A77" t="str">
        <f>IF('Equipment Information'!A77="","", 'Equipment Information'!A77)</f>
        <v>20260723</v>
      </c>
      <c r="B77" t="str">
        <f>IF('Equipment Information'!B77="","", 'Equipment Information'!B77)</f>
        <v>Bay 25 480V Outlet Disconnect</v>
      </c>
      <c r="C77" t="str">
        <f>IF('Equipment Information'!C77="","", 'Equipment Information'!C77)</f>
        <v>Receiving Station</v>
      </c>
      <c r="E77" t="str">
        <f>IF(D77="","", IFERROR(VLOOKUP(D77, Hidden_Data!M:N, 2, FALSE), "0"))</f>
        <v/>
      </c>
      <c r="H77" t="str">
        <f>IF(G77="","", IFERROR(VLOOKUP(G77, Hidden_Data!M:N, 2, FALSE), "0"))</f>
        <v/>
      </c>
      <c r="K77" t="str">
        <f>IF(J77="","", IFERROR(VLOOKUP(J77, Hidden_Data!M:N, 2, FALSE), "0"))</f>
        <v/>
      </c>
      <c r="N77" t="str">
        <f>IF(M77="","", IFERROR(VLOOKUP(M77, Hidden_Data!M:N, 2, FALSE), "0"))</f>
        <v/>
      </c>
      <c r="Q77" t="str">
        <f>IF(P77="","", IFERROR(VLOOKUP(P77, Hidden_Data!M:N, 2, FALSE), "0"))</f>
        <v/>
      </c>
      <c r="T77">
        <f t="shared" si="3"/>
        <v>0</v>
      </c>
      <c r="U77" t="str">
        <f t="shared" si="4"/>
        <v>Pass/Fixed</v>
      </c>
      <c r="V77" t="str">
        <f t="shared" si="5"/>
        <v>PASS</v>
      </c>
    </row>
    <row r="78" spans="1:22" x14ac:dyDescent="0.25">
      <c r="A78" t="str">
        <f>IF('Equipment Information'!A78="","", 'Equipment Information'!A78)</f>
        <v>20260724</v>
      </c>
      <c r="B78" t="str">
        <f>IF('Equipment Information'!B78="","", 'Equipment Information'!B78)</f>
        <v>Compressor Disconnect</v>
      </c>
      <c r="C78" t="str">
        <f>IF('Equipment Information'!C78="","", 'Equipment Information'!C78)</f>
        <v>Receiving Station</v>
      </c>
      <c r="E78" t="str">
        <f>IF(D78="","", IFERROR(VLOOKUP(D78, Hidden_Data!M:N, 2, FALSE), "0"))</f>
        <v/>
      </c>
      <c r="H78" t="str">
        <f>IF(G78="","", IFERROR(VLOOKUP(G78, Hidden_Data!M:N, 2, FALSE), "0"))</f>
        <v/>
      </c>
      <c r="K78" t="str">
        <f>IF(J78="","", IFERROR(VLOOKUP(J78, Hidden_Data!M:N, 2, FALSE), "0"))</f>
        <v/>
      </c>
      <c r="N78" t="str">
        <f>IF(M78="","", IFERROR(VLOOKUP(M78, Hidden_Data!M:N, 2, FALSE), "0"))</f>
        <v/>
      </c>
      <c r="Q78" t="str">
        <f>IF(P78="","", IFERROR(VLOOKUP(P78, Hidden_Data!M:N, 2, FALSE), "0"))</f>
        <v/>
      </c>
      <c r="T78">
        <f t="shared" si="3"/>
        <v>0</v>
      </c>
      <c r="U78" t="str">
        <f t="shared" si="4"/>
        <v>Pass/Fixed</v>
      </c>
      <c r="V78" t="str">
        <f t="shared" si="5"/>
        <v>PASS</v>
      </c>
    </row>
    <row r="79" spans="1:22" x14ac:dyDescent="0.25">
      <c r="A79" t="str">
        <f>IF('Equipment Information'!A79="","", 'Equipment Information'!A79)</f>
        <v>20260725</v>
      </c>
      <c r="B79" t="str">
        <f>IF('Equipment Information'!B79="","", 'Equipment Information'!B79)</f>
        <v>PP1 Transformer Disconnect</v>
      </c>
      <c r="C79" t="str">
        <f>IF('Equipment Information'!C79="","", 'Equipment Information'!C79)</f>
        <v>Receiving Station</v>
      </c>
      <c r="E79" t="str">
        <f>IF(D79="","", IFERROR(VLOOKUP(D79, Hidden_Data!M:N, 2, FALSE), "0"))</f>
        <v/>
      </c>
      <c r="H79" t="str">
        <f>IF(G79="","", IFERROR(VLOOKUP(G79, Hidden_Data!M:N, 2, FALSE), "0"))</f>
        <v/>
      </c>
      <c r="K79" t="str">
        <f>IF(J79="","", IFERROR(VLOOKUP(J79, Hidden_Data!M:N, 2, FALSE), "0"))</f>
        <v/>
      </c>
      <c r="N79" t="str">
        <f>IF(M79="","", IFERROR(VLOOKUP(M79, Hidden_Data!M:N, 2, FALSE), "0"))</f>
        <v/>
      </c>
      <c r="Q79" t="str">
        <f>IF(P79="","", IFERROR(VLOOKUP(P79, Hidden_Data!M:N, 2, FALSE), "0"))</f>
        <v/>
      </c>
      <c r="T79">
        <f t="shared" si="3"/>
        <v>0</v>
      </c>
      <c r="U79" t="str">
        <f t="shared" si="4"/>
        <v>Pass/Fixed</v>
      </c>
      <c r="V79" t="str">
        <f t="shared" si="5"/>
        <v>PASS</v>
      </c>
    </row>
    <row r="80" spans="1:22" x14ac:dyDescent="0.25">
      <c r="A80" t="str">
        <f>IF('Equipment Information'!A80="","", 'Equipment Information'!A80)</f>
        <v>20260726</v>
      </c>
      <c r="B80" t="str">
        <f>IF('Equipment Information'!B80="","", 'Equipment Information'!B80)</f>
        <v>PP1 Welding Recept. Disconnect</v>
      </c>
      <c r="C80" t="str">
        <f>IF('Equipment Information'!C80="","", 'Equipment Information'!C80)</f>
        <v>Receiving Station</v>
      </c>
      <c r="E80" t="str">
        <f>IF(D80="","", IFERROR(VLOOKUP(D80, Hidden_Data!M:N, 2, FALSE), "0"))</f>
        <v/>
      </c>
      <c r="H80" t="str">
        <f>IF(G80="","", IFERROR(VLOOKUP(G80, Hidden_Data!M:N, 2, FALSE), "0"))</f>
        <v/>
      </c>
      <c r="K80" t="str">
        <f>IF(J80="","", IFERROR(VLOOKUP(J80, Hidden_Data!M:N, 2, FALSE), "0"))</f>
        <v/>
      </c>
      <c r="N80" t="str">
        <f>IF(M80="","", IFERROR(VLOOKUP(M80, Hidden_Data!M:N, 2, FALSE), "0"))</f>
        <v/>
      </c>
      <c r="Q80" t="str">
        <f>IF(P80="","", IFERROR(VLOOKUP(P80, Hidden_Data!M:N, 2, FALSE), "0"))</f>
        <v/>
      </c>
      <c r="T80">
        <f t="shared" si="3"/>
        <v>0</v>
      </c>
      <c r="U80" t="str">
        <f t="shared" si="4"/>
        <v>Pass/Fixed</v>
      </c>
      <c r="V80" t="str">
        <f t="shared" si="5"/>
        <v>PASS</v>
      </c>
    </row>
    <row r="81" spans="1:22" x14ac:dyDescent="0.25">
      <c r="A81" t="str">
        <f>IF('Equipment Information'!A81="","", 'Equipment Information'!A81)</f>
        <v>20260727</v>
      </c>
      <c r="B81" t="str">
        <f>IF('Equipment Information'!B81="","", 'Equipment Information'!B81)</f>
        <v>PP-1</v>
      </c>
      <c r="C81" t="str">
        <f>IF('Equipment Information'!C81="","", 'Equipment Information'!C81)</f>
        <v>Receiving Station</v>
      </c>
      <c r="D81" t="s">
        <v>33</v>
      </c>
      <c r="E81" t="str">
        <f>IF(D81="","", IFERROR(VLOOKUP(D81, Hidden_Data!M:N, 2, FALSE), "0"))</f>
        <v>Major (3pts)</v>
      </c>
      <c r="F81" t="s">
        <v>23</v>
      </c>
      <c r="G81" t="s">
        <v>24</v>
      </c>
      <c r="H81" t="str">
        <f>IF(G81="","", IFERROR(VLOOKUP(G81, Hidden_Data!M:N, 2, FALSE), "0"))</f>
        <v>Critical (5pts)</v>
      </c>
      <c r="I81" t="s">
        <v>23</v>
      </c>
      <c r="J81" t="s">
        <v>30</v>
      </c>
      <c r="K81" t="str">
        <f>IF(J81="","", IFERROR(VLOOKUP(J81, Hidden_Data!M:N, 2, FALSE), "0"))</f>
        <v>Minor (1pt)</v>
      </c>
      <c r="L81" t="s">
        <v>23</v>
      </c>
      <c r="N81" t="str">
        <f>IF(M81="","", IFERROR(VLOOKUP(M81, Hidden_Data!M:N, 2, FALSE), "0"))</f>
        <v/>
      </c>
      <c r="Q81" t="str">
        <f>IF(P81="","", IFERROR(VLOOKUP(P81, Hidden_Data!M:N, 2, FALSE), "0"))</f>
        <v/>
      </c>
      <c r="T81">
        <f t="shared" si="3"/>
        <v>9</v>
      </c>
      <c r="U81" t="str">
        <f t="shared" si="4"/>
        <v>Priority 1 (Critical)</v>
      </c>
      <c r="V81" t="str">
        <f t="shared" si="5"/>
        <v>FAIL</v>
      </c>
    </row>
    <row r="82" spans="1:22" x14ac:dyDescent="0.25">
      <c r="A82" t="str">
        <f>IF('Equipment Information'!A82="","", 'Equipment Information'!A82)</f>
        <v>20260728</v>
      </c>
      <c r="B82" t="str">
        <f>IF('Equipment Information'!B82="","", 'Equipment Information'!B82)</f>
        <v>OH XFMR</v>
      </c>
      <c r="C82" t="str">
        <f>IF('Equipment Information'!C82="","", 'Equipment Information'!C82)</f>
        <v>Receiving Station</v>
      </c>
      <c r="E82" t="str">
        <f>IF(D82="","", IFERROR(VLOOKUP(D82, Hidden_Data!M:N, 2, FALSE), "0"))</f>
        <v/>
      </c>
      <c r="H82" t="str">
        <f>IF(G82="","", IFERROR(VLOOKUP(G82, Hidden_Data!M:N, 2, FALSE), "0"))</f>
        <v/>
      </c>
      <c r="K82" t="str">
        <f>IF(J82="","", IFERROR(VLOOKUP(J82, Hidden_Data!M:N, 2, FALSE), "0"))</f>
        <v/>
      </c>
      <c r="N82" t="str">
        <f>IF(M82="","", IFERROR(VLOOKUP(M82, Hidden_Data!M:N, 2, FALSE), "0"))</f>
        <v/>
      </c>
      <c r="Q82" t="str">
        <f>IF(P82="","", IFERROR(VLOOKUP(P82, Hidden_Data!M:N, 2, FALSE), "0"))</f>
        <v/>
      </c>
      <c r="T82">
        <f t="shared" si="3"/>
        <v>0</v>
      </c>
      <c r="U82" t="str">
        <f t="shared" si="4"/>
        <v>Pass/Fixed</v>
      </c>
      <c r="V82" t="str">
        <f t="shared" si="5"/>
        <v>PASS</v>
      </c>
    </row>
    <row r="83" spans="1:22" x14ac:dyDescent="0.25">
      <c r="A83" t="str">
        <f>IF('Equipment Information'!A83="","", 'Equipment Information'!A83)</f>
        <v>20260729</v>
      </c>
      <c r="B83" t="str">
        <f>IF('Equipment Information'!B83="","", 'Equipment Information'!B83)</f>
        <v>LP-2</v>
      </c>
      <c r="C83" t="str">
        <f>IF('Equipment Information'!C83="","", 'Equipment Information'!C83)</f>
        <v>Receiving Station</v>
      </c>
      <c r="E83" t="str">
        <f>IF(D83="","", IFERROR(VLOOKUP(D83, Hidden_Data!M:N, 2, FALSE), "0"))</f>
        <v/>
      </c>
      <c r="H83" t="str">
        <f>IF(G83="","", IFERROR(VLOOKUP(G83, Hidden_Data!M:N, 2, FALSE), "0"))</f>
        <v/>
      </c>
      <c r="K83" t="str">
        <f>IF(J83="","", IFERROR(VLOOKUP(J83, Hidden_Data!M:N, 2, FALSE), "0"))</f>
        <v/>
      </c>
      <c r="N83" t="str">
        <f>IF(M83="","", IFERROR(VLOOKUP(M83, Hidden_Data!M:N, 2, FALSE), "0"))</f>
        <v/>
      </c>
      <c r="Q83" t="str">
        <f>IF(P83="","", IFERROR(VLOOKUP(P83, Hidden_Data!M:N, 2, FALSE), "0"))</f>
        <v/>
      </c>
      <c r="T83">
        <f t="shared" si="3"/>
        <v>0</v>
      </c>
      <c r="U83" t="str">
        <f t="shared" si="4"/>
        <v>Pass/Fixed</v>
      </c>
      <c r="V83" t="str">
        <f t="shared" si="5"/>
        <v>PASS</v>
      </c>
    </row>
    <row r="84" spans="1:22" x14ac:dyDescent="0.25">
      <c r="A84" t="str">
        <f>IF('Equipment Information'!A84="","", 'Equipment Information'!A84)</f>
        <v>20260730</v>
      </c>
      <c r="B84" t="str">
        <f>IF('Equipment Information'!B84="","", 'Equipment Information'!B84)</f>
        <v>Weld Gutter Disconnect</v>
      </c>
      <c r="C84" t="str">
        <f>IF('Equipment Information'!C84="","", 'Equipment Information'!C84)</f>
        <v>Receiving Station</v>
      </c>
      <c r="E84" t="str">
        <f>IF(D84="","", IFERROR(VLOOKUP(D84, Hidden_Data!M:N, 2, FALSE), "0"))</f>
        <v/>
      </c>
      <c r="H84" t="str">
        <f>IF(G84="","", IFERROR(VLOOKUP(G84, Hidden_Data!M:N, 2, FALSE), "0"))</f>
        <v/>
      </c>
      <c r="K84" t="str">
        <f>IF(J84="","", IFERROR(VLOOKUP(J84, Hidden_Data!M:N, 2, FALSE), "0"))</f>
        <v/>
      </c>
      <c r="N84" t="str">
        <f>IF(M84="","", IFERROR(VLOOKUP(M84, Hidden_Data!M:N, 2, FALSE), "0"))</f>
        <v/>
      </c>
      <c r="Q84" t="str">
        <f>IF(P84="","", IFERROR(VLOOKUP(P84, Hidden_Data!M:N, 2, FALSE), "0"))</f>
        <v/>
      </c>
      <c r="T84">
        <f t="shared" si="3"/>
        <v>0</v>
      </c>
      <c r="U84" t="str">
        <f t="shared" si="4"/>
        <v>Pass/Fixed</v>
      </c>
      <c r="V84" t="str">
        <f t="shared" si="5"/>
        <v>PASS</v>
      </c>
    </row>
    <row r="85" spans="1:22" x14ac:dyDescent="0.25">
      <c r="A85" t="str">
        <f>IF('Equipment Information'!A85="","", 'Equipment Information'!A85)</f>
        <v>20260731</v>
      </c>
      <c r="B85" t="str">
        <f>IF('Equipment Information'!B85="","", 'Equipment Information'!B85)</f>
        <v>OH XFMR</v>
      </c>
      <c r="C85" t="str">
        <f>IF('Equipment Information'!C85="","", 'Equipment Information'!C85)</f>
        <v>Receiving Station</v>
      </c>
      <c r="E85" t="str">
        <f>IF(D85="","", IFERROR(VLOOKUP(D85, Hidden_Data!M:N, 2, FALSE), "0"))</f>
        <v/>
      </c>
      <c r="H85" t="str">
        <f>IF(G85="","", IFERROR(VLOOKUP(G85, Hidden_Data!M:N, 2, FALSE), "0"))</f>
        <v/>
      </c>
      <c r="K85" t="str">
        <f>IF(J85="","", IFERROR(VLOOKUP(J85, Hidden_Data!M:N, 2, FALSE), "0"))</f>
        <v/>
      </c>
      <c r="N85" t="str">
        <f>IF(M85="","", IFERROR(VLOOKUP(M85, Hidden_Data!M:N, 2, FALSE), "0"))</f>
        <v/>
      </c>
      <c r="Q85" t="str">
        <f>IF(P85="","", IFERROR(VLOOKUP(P85, Hidden_Data!M:N, 2, FALSE), "0"))</f>
        <v/>
      </c>
      <c r="T85">
        <f t="shared" si="3"/>
        <v>0</v>
      </c>
      <c r="U85" t="str">
        <f t="shared" si="4"/>
        <v>Pass/Fixed</v>
      </c>
      <c r="V85" t="str">
        <f t="shared" si="5"/>
        <v>PASS</v>
      </c>
    </row>
    <row r="86" spans="1:22" x14ac:dyDescent="0.25">
      <c r="A86" t="str">
        <f>IF('Equipment Information'!A86="","", 'Equipment Information'!A86)</f>
        <v>20260732</v>
      </c>
      <c r="B86" t="str">
        <f>IF('Equipment Information'!B86="","", 'Equipment Information'!B86)</f>
        <v>Lighting XFMR Disconnect</v>
      </c>
      <c r="C86" t="str">
        <f>IF('Equipment Information'!C86="","", 'Equipment Information'!C86)</f>
        <v>Receiving Station</v>
      </c>
      <c r="E86" t="str">
        <f>IF(D86="","", IFERROR(VLOOKUP(D86, Hidden_Data!M:N, 2, FALSE), "0"))</f>
        <v/>
      </c>
      <c r="H86" t="str">
        <f>IF(G86="","", IFERROR(VLOOKUP(G86, Hidden_Data!M:N, 2, FALSE), "0"))</f>
        <v/>
      </c>
      <c r="K86" t="str">
        <f>IF(J86="","", IFERROR(VLOOKUP(J86, Hidden_Data!M:N, 2, FALSE), "0"))</f>
        <v/>
      </c>
      <c r="N86" t="str">
        <f>IF(M86="","", IFERROR(VLOOKUP(M86, Hidden_Data!M:N, 2, FALSE), "0"))</f>
        <v/>
      </c>
      <c r="Q86" t="str">
        <f>IF(P86="","", IFERROR(VLOOKUP(P86, Hidden_Data!M:N, 2, FALSE), "0"))</f>
        <v/>
      </c>
      <c r="T86">
        <f t="shared" si="3"/>
        <v>0</v>
      </c>
      <c r="U86" t="str">
        <f t="shared" si="4"/>
        <v>Pass/Fixed</v>
      </c>
      <c r="V86" t="str">
        <f t="shared" si="5"/>
        <v>PASS</v>
      </c>
    </row>
    <row r="87" spans="1:22" x14ac:dyDescent="0.25">
      <c r="A87" t="str">
        <f>IF('Equipment Information'!A87="","", 'Equipment Information'!A87)</f>
        <v>20260733</v>
      </c>
      <c r="B87" t="str">
        <f>IF('Equipment Information'!B87="","", 'Equipment Information'!B87)</f>
        <v>Pool Pump #6/7 Disconnect</v>
      </c>
      <c r="C87" t="str">
        <f>IF('Equipment Information'!C87="","", 'Equipment Information'!C87)</f>
        <v>Receiving Station</v>
      </c>
      <c r="E87" t="str">
        <f>IF(D87="","", IFERROR(VLOOKUP(D87, Hidden_Data!M:N, 2, FALSE), "0"))</f>
        <v/>
      </c>
      <c r="H87" t="str">
        <f>IF(G87="","", IFERROR(VLOOKUP(G87, Hidden_Data!M:N, 2, FALSE), "0"))</f>
        <v/>
      </c>
      <c r="K87" t="str">
        <f>IF(J87="","", IFERROR(VLOOKUP(J87, Hidden_Data!M:N, 2, FALSE), "0"))</f>
        <v/>
      </c>
      <c r="N87" t="str">
        <f>IF(M87="","", IFERROR(VLOOKUP(M87, Hidden_Data!M:N, 2, FALSE), "0"))</f>
        <v/>
      </c>
      <c r="Q87" t="str">
        <f>IF(P87="","", IFERROR(VLOOKUP(P87, Hidden_Data!M:N, 2, FALSE), "0"))</f>
        <v/>
      </c>
      <c r="T87">
        <f t="shared" si="3"/>
        <v>0</v>
      </c>
      <c r="U87" t="str">
        <f t="shared" si="4"/>
        <v>Pass/Fixed</v>
      </c>
      <c r="V87" t="str">
        <f t="shared" si="5"/>
        <v>PASS</v>
      </c>
    </row>
    <row r="88" spans="1:22" x14ac:dyDescent="0.25">
      <c r="A88" t="str">
        <f>IF('Equipment Information'!A88="","", 'Equipment Information'!A88)</f>
        <v>20260734</v>
      </c>
      <c r="B88" t="str">
        <f>IF('Equipment Information'!B88="","", 'Equipment Information'!B88)</f>
        <v>Trash Conveyor Disconnect</v>
      </c>
      <c r="C88" t="str">
        <f>IF('Equipment Information'!C88="","", 'Equipment Information'!C88)</f>
        <v>Receiving Station</v>
      </c>
      <c r="E88" t="str">
        <f>IF(D88="","", IFERROR(VLOOKUP(D88, Hidden_Data!M:N, 2, FALSE), "0"))</f>
        <v/>
      </c>
      <c r="H88" t="str">
        <f>IF(G88="","", IFERROR(VLOOKUP(G88, Hidden_Data!M:N, 2, FALSE), "0"))</f>
        <v/>
      </c>
      <c r="K88" t="str">
        <f>IF(J88="","", IFERROR(VLOOKUP(J88, Hidden_Data!M:N, 2, FALSE), "0"))</f>
        <v/>
      </c>
      <c r="N88" t="str">
        <f>IF(M88="","", IFERROR(VLOOKUP(M88, Hidden_Data!M:N, 2, FALSE), "0"))</f>
        <v/>
      </c>
      <c r="Q88" t="str">
        <f>IF(P88="","", IFERROR(VLOOKUP(P88, Hidden_Data!M:N, 2, FALSE), "0"))</f>
        <v/>
      </c>
      <c r="T88">
        <f t="shared" si="3"/>
        <v>0</v>
      </c>
      <c r="U88" t="str">
        <f t="shared" si="4"/>
        <v>Pass/Fixed</v>
      </c>
      <c r="V88" t="str">
        <f t="shared" si="5"/>
        <v>PASS</v>
      </c>
    </row>
    <row r="89" spans="1:22" x14ac:dyDescent="0.25">
      <c r="A89" t="str">
        <f>IF('Equipment Information'!A89="","", 'Equipment Information'!A89)</f>
        <v>20260735</v>
      </c>
      <c r="B89" t="str">
        <f>IF('Equipment Information'!B89="","", 'Equipment Information'!B89)</f>
        <v>Dewatering Table Disconnect</v>
      </c>
      <c r="C89" t="str">
        <f>IF('Equipment Information'!C89="","", 'Equipment Information'!C89)</f>
        <v>Receiving Station</v>
      </c>
      <c r="D89" t="s">
        <v>49</v>
      </c>
      <c r="E89" t="str">
        <f>IF(D89="","", IFERROR(VLOOKUP(D89, Hidden_Data!M:N, 2, FALSE), "0"))</f>
        <v>Major (3pts)</v>
      </c>
      <c r="F89" t="s">
        <v>23</v>
      </c>
      <c r="G89" t="s">
        <v>50</v>
      </c>
      <c r="H89" t="str">
        <f>IF(G89="","", IFERROR(VLOOKUP(G89, Hidden_Data!M:N, 2, FALSE), "0"))</f>
        <v>Minor (1pt)</v>
      </c>
      <c r="K89" t="str">
        <f>IF(J89="","", IFERROR(VLOOKUP(J89, Hidden_Data!M:N, 2, FALSE), "0"))</f>
        <v/>
      </c>
      <c r="N89" t="str">
        <f>IF(M89="","", IFERROR(VLOOKUP(M89, Hidden_Data!M:N, 2, FALSE), "0"))</f>
        <v/>
      </c>
      <c r="Q89" t="str">
        <f>IF(P89="","", IFERROR(VLOOKUP(P89, Hidden_Data!M:N, 2, FALSE), "0"))</f>
        <v/>
      </c>
      <c r="S89" t="s">
        <v>51</v>
      </c>
      <c r="T89">
        <f t="shared" si="3"/>
        <v>4</v>
      </c>
      <c r="U89" t="str">
        <f t="shared" si="4"/>
        <v>Priority 2 (Major)</v>
      </c>
      <c r="V89" t="str">
        <f t="shared" si="5"/>
        <v>FAIL</v>
      </c>
    </row>
    <row r="90" spans="1:22" x14ac:dyDescent="0.25">
      <c r="A90" t="str">
        <f>IF('Equipment Information'!A90="","", 'Equipment Information'!A90)</f>
        <v>20260736</v>
      </c>
      <c r="B90" t="str">
        <f>IF('Equipment Information'!B90="","", 'Equipment Information'!B90)</f>
        <v>Recycling Pump Disconnect</v>
      </c>
      <c r="C90" t="str">
        <f>IF('Equipment Information'!C90="","", 'Equipment Information'!C90)</f>
        <v>Receiving Station</v>
      </c>
      <c r="E90" t="str">
        <f>IF(D90="","", IFERROR(VLOOKUP(D90, Hidden_Data!M:N, 2, FALSE), "0"))</f>
        <v/>
      </c>
      <c r="H90" t="str">
        <f>IF(G90="","", IFERROR(VLOOKUP(G90, Hidden_Data!M:N, 2, FALSE), "0"))</f>
        <v/>
      </c>
      <c r="K90" t="str">
        <f>IF(J90="","", IFERROR(VLOOKUP(J90, Hidden_Data!M:N, 2, FALSE), "0"))</f>
        <v/>
      </c>
      <c r="N90" t="str">
        <f>IF(M90="","", IFERROR(VLOOKUP(M90, Hidden_Data!M:N, 2, FALSE), "0"))</f>
        <v/>
      </c>
      <c r="Q90" t="str">
        <f>IF(P90="","", IFERROR(VLOOKUP(P90, Hidden_Data!M:N, 2, FALSE), "0"))</f>
        <v/>
      </c>
      <c r="T90">
        <f t="shared" si="3"/>
        <v>0</v>
      </c>
      <c r="U90" t="str">
        <f t="shared" si="4"/>
        <v>Pass/Fixed</v>
      </c>
      <c r="V90" t="str">
        <f t="shared" si="5"/>
        <v>PASS</v>
      </c>
    </row>
    <row r="91" spans="1:22" x14ac:dyDescent="0.25">
      <c r="A91" t="str">
        <f>IF('Equipment Information'!A91="","", 'Equipment Information'!A91)</f>
        <v>20260737</v>
      </c>
      <c r="B91" t="str">
        <f>IF('Equipment Information'!B91="","", 'Equipment Information'!B91)</f>
        <v>Trash Conveyor Starter</v>
      </c>
      <c r="C91" t="str">
        <f>IF('Equipment Information'!C91="","", 'Equipment Information'!C91)</f>
        <v>Receiving Station</v>
      </c>
      <c r="E91" t="str">
        <f>IF(D91="","", IFERROR(VLOOKUP(D91, Hidden_Data!M:N, 2, FALSE), "0"))</f>
        <v/>
      </c>
      <c r="H91" t="str">
        <f>IF(G91="","", IFERROR(VLOOKUP(G91, Hidden_Data!M:N, 2, FALSE), "0"))</f>
        <v/>
      </c>
      <c r="K91" t="str">
        <f>IF(J91="","", IFERROR(VLOOKUP(J91, Hidden_Data!M:N, 2, FALSE), "0"))</f>
        <v/>
      </c>
      <c r="N91" t="str">
        <f>IF(M91="","", IFERROR(VLOOKUP(M91, Hidden_Data!M:N, 2, FALSE), "0"))</f>
        <v/>
      </c>
      <c r="Q91" t="str">
        <f>IF(P91="","", IFERROR(VLOOKUP(P91, Hidden_Data!M:N, 2, FALSE), "0"))</f>
        <v/>
      </c>
      <c r="T91">
        <f t="shared" si="3"/>
        <v>0</v>
      </c>
      <c r="U91" t="str">
        <f t="shared" si="4"/>
        <v>Pass/Fixed</v>
      </c>
      <c r="V91" t="str">
        <f t="shared" si="5"/>
        <v>PASS</v>
      </c>
    </row>
    <row r="92" spans="1:22" x14ac:dyDescent="0.25">
      <c r="A92" t="str">
        <f>IF('Equipment Information'!A92="","", 'Equipment Information'!A92)</f>
        <v>20260738</v>
      </c>
      <c r="B92" t="str">
        <f>IF('Equipment Information'!B92="","", 'Equipment Information'!B92)</f>
        <v>Dewatering Table Starter</v>
      </c>
      <c r="C92" t="str">
        <f>IF('Equipment Information'!C92="","", 'Equipment Information'!C92)</f>
        <v>Receiving Station</v>
      </c>
      <c r="E92" t="str">
        <f>IF(D92="","", IFERROR(VLOOKUP(D92, Hidden_Data!M:N, 2, FALSE), "0"))</f>
        <v/>
      </c>
      <c r="H92" t="str">
        <f>IF(G92="","", IFERROR(VLOOKUP(G92, Hidden_Data!M:N, 2, FALSE), "0"))</f>
        <v/>
      </c>
      <c r="K92" t="str">
        <f>IF(J92="","", IFERROR(VLOOKUP(J92, Hidden_Data!M:N, 2, FALSE), "0"))</f>
        <v/>
      </c>
      <c r="N92" t="str">
        <f>IF(M92="","", IFERROR(VLOOKUP(M92, Hidden_Data!M:N, 2, FALSE), "0"))</f>
        <v/>
      </c>
      <c r="Q92" t="str">
        <f>IF(P92="","", IFERROR(VLOOKUP(P92, Hidden_Data!M:N, 2, FALSE), "0"))</f>
        <v/>
      </c>
      <c r="T92">
        <f t="shared" si="3"/>
        <v>0</v>
      </c>
      <c r="U92" t="str">
        <f t="shared" si="4"/>
        <v>Pass/Fixed</v>
      </c>
      <c r="V92" t="str">
        <f t="shared" si="5"/>
        <v>PASS</v>
      </c>
    </row>
    <row r="93" spans="1:22" x14ac:dyDescent="0.25">
      <c r="A93" t="str">
        <f>IF('Equipment Information'!A93="","", 'Equipment Information'!A93)</f>
        <v>20260739</v>
      </c>
      <c r="B93" t="str">
        <f>IF('Equipment Information'!B93="","", 'Equipment Information'!B93)</f>
        <v>CIP System #2</v>
      </c>
      <c r="C93" t="str">
        <f>IF('Equipment Information'!C93="","", 'Equipment Information'!C93)</f>
        <v>Production Area</v>
      </c>
      <c r="E93" t="str">
        <f>IF(D93="","", IFERROR(VLOOKUP(D93, Hidden_Data!M:N, 2, FALSE), "0"))</f>
        <v/>
      </c>
      <c r="H93" t="str">
        <f>IF(G93="","", IFERROR(VLOOKUP(G93, Hidden_Data!M:N, 2, FALSE), "0"))</f>
        <v/>
      </c>
      <c r="K93" t="str">
        <f>IF(J93="","", IFERROR(VLOOKUP(J93, Hidden_Data!M:N, 2, FALSE), "0"))</f>
        <v/>
      </c>
      <c r="N93" t="str">
        <f>IF(M93="","", IFERROR(VLOOKUP(M93, Hidden_Data!M:N, 2, FALSE), "0"))</f>
        <v/>
      </c>
      <c r="Q93" t="str">
        <f>IF(P93="","", IFERROR(VLOOKUP(P93, Hidden_Data!M:N, 2, FALSE), "0"))</f>
        <v/>
      </c>
      <c r="T93">
        <f t="shared" si="3"/>
        <v>0</v>
      </c>
      <c r="U93" t="str">
        <f t="shared" si="4"/>
        <v>Pass/Fixed</v>
      </c>
      <c r="V93" t="str">
        <f t="shared" si="5"/>
        <v>PASS</v>
      </c>
    </row>
    <row r="94" spans="1:22" x14ac:dyDescent="0.25">
      <c r="A94" t="str">
        <f>IF('Equipment Information'!A94="","", 'Equipment Information'!A94)</f>
        <v>20260740</v>
      </c>
      <c r="B94" t="str">
        <f>IF('Equipment Information'!B94="","", 'Equipment Information'!B94)</f>
        <v>BD1</v>
      </c>
      <c r="C94" t="str">
        <f>IF('Equipment Information'!C94="","", 'Equipment Information'!C94)</f>
        <v>Production Area</v>
      </c>
      <c r="E94" t="str">
        <f>IF(D94="","", IFERROR(VLOOKUP(D94, Hidden_Data!M:N, 2, FALSE), "0"))</f>
        <v/>
      </c>
      <c r="H94" t="str">
        <f>IF(G94="","", IFERROR(VLOOKUP(G94, Hidden_Data!M:N, 2, FALSE), "0"))</f>
        <v/>
      </c>
      <c r="K94" t="str">
        <f>IF(J94="","", IFERROR(VLOOKUP(J94, Hidden_Data!M:N, 2, FALSE), "0"))</f>
        <v/>
      </c>
      <c r="N94" t="str">
        <f>IF(M94="","", IFERROR(VLOOKUP(M94, Hidden_Data!M:N, 2, FALSE), "0"))</f>
        <v/>
      </c>
      <c r="Q94" t="str">
        <f>IF(P94="","", IFERROR(VLOOKUP(P94, Hidden_Data!M:N, 2, FALSE), "0"))</f>
        <v/>
      </c>
      <c r="T94">
        <f t="shared" si="3"/>
        <v>0</v>
      </c>
      <c r="U94" t="str">
        <f t="shared" si="4"/>
        <v>Pass/Fixed</v>
      </c>
      <c r="V94" t="str">
        <f t="shared" si="5"/>
        <v>PASS</v>
      </c>
    </row>
    <row r="95" spans="1:22" x14ac:dyDescent="0.25">
      <c r="A95" t="str">
        <f>IF('Equipment Information'!A95="","", 'Equipment Information'!A95)</f>
        <v>20260741</v>
      </c>
      <c r="B95" t="str">
        <f>IF('Equipment Information'!B95="","", 'Equipment Information'!B95)</f>
        <v>SLS-19</v>
      </c>
      <c r="C95" t="str">
        <f>IF('Equipment Information'!C95="","", 'Equipment Information'!C95)</f>
        <v>Production Area</v>
      </c>
      <c r="E95" t="str">
        <f>IF(D95="","", IFERROR(VLOOKUP(D95, Hidden_Data!M:N, 2, FALSE), "0"))</f>
        <v/>
      </c>
      <c r="H95" t="str">
        <f>IF(G95="","", IFERROR(VLOOKUP(G95, Hidden_Data!M:N, 2, FALSE), "0"))</f>
        <v/>
      </c>
      <c r="K95" t="str">
        <f>IF(J95="","", IFERROR(VLOOKUP(J95, Hidden_Data!M:N, 2, FALSE), "0"))</f>
        <v/>
      </c>
      <c r="N95" t="str">
        <f>IF(M95="","", IFERROR(VLOOKUP(M95, Hidden_Data!M:N, 2, FALSE), "0"))</f>
        <v/>
      </c>
      <c r="Q95" t="str">
        <f>IF(P95="","", IFERROR(VLOOKUP(P95, Hidden_Data!M:N, 2, FALSE), "0"))</f>
        <v/>
      </c>
      <c r="T95">
        <f t="shared" si="3"/>
        <v>0</v>
      </c>
      <c r="U95" t="str">
        <f t="shared" si="4"/>
        <v>Pass/Fixed</v>
      </c>
      <c r="V95" t="str">
        <f t="shared" si="5"/>
        <v>PASS</v>
      </c>
    </row>
    <row r="96" spans="1:22" x14ac:dyDescent="0.25">
      <c r="A96" t="str">
        <f>IF('Equipment Information'!A96="","", 'Equipment Information'!A96)</f>
        <v>20260742</v>
      </c>
      <c r="B96" t="str">
        <f>IF('Equipment Information'!B96="","", 'Equipment Information'!B96)</f>
        <v>SPX</v>
      </c>
      <c r="C96" t="str">
        <f>IF('Equipment Information'!C96="","", 'Equipment Information'!C96)</f>
        <v>Production Area</v>
      </c>
      <c r="E96" t="str">
        <f>IF(D96="","", IFERROR(VLOOKUP(D96, Hidden_Data!M:N, 2, FALSE), "0"))</f>
        <v/>
      </c>
      <c r="H96" t="str">
        <f>IF(G96="","", IFERROR(VLOOKUP(G96, Hidden_Data!M:N, 2, FALSE), "0"))</f>
        <v/>
      </c>
      <c r="K96" t="str">
        <f>IF(J96="","", IFERROR(VLOOKUP(J96, Hidden_Data!M:N, 2, FALSE), "0"))</f>
        <v/>
      </c>
      <c r="N96" t="str">
        <f>IF(M96="","", IFERROR(VLOOKUP(M96, Hidden_Data!M:N, 2, FALSE), "0"))</f>
        <v/>
      </c>
      <c r="Q96" t="str">
        <f>IF(P96="","", IFERROR(VLOOKUP(P96, Hidden_Data!M:N, 2, FALSE), "0"))</f>
        <v/>
      </c>
      <c r="T96">
        <f t="shared" si="3"/>
        <v>0</v>
      </c>
      <c r="U96" t="str">
        <f t="shared" si="4"/>
        <v>Pass/Fixed</v>
      </c>
      <c r="V96" t="str">
        <f t="shared" si="5"/>
        <v>PASS</v>
      </c>
    </row>
    <row r="97" spans="1:22" x14ac:dyDescent="0.25">
      <c r="A97" t="str">
        <f>IF('Equipment Information'!A97="","", 'Equipment Information'!A97)</f>
        <v>20260743</v>
      </c>
      <c r="B97" t="str">
        <f>IF('Equipment Information'!B97="","", 'Equipment Information'!B97)</f>
        <v>MCC #4 [Sec.1]</v>
      </c>
      <c r="C97" t="str">
        <f>IF('Equipment Information'!C97="","", 'Equipment Information'!C97)</f>
        <v>Production Area</v>
      </c>
      <c r="D97" t="s">
        <v>24</v>
      </c>
      <c r="E97" t="str">
        <f>IF(D97="","", IFERROR(VLOOKUP(D97, Hidden_Data!M:N, 2, FALSE), "0"))</f>
        <v>Critical (5pts)</v>
      </c>
      <c r="F97" t="s">
        <v>23</v>
      </c>
      <c r="H97" t="str">
        <f>IF(G97="","", IFERROR(VLOOKUP(G97, Hidden_Data!M:N, 2, FALSE), "0"))</f>
        <v/>
      </c>
      <c r="K97" t="str">
        <f>IF(J97="","", IFERROR(VLOOKUP(J97, Hidden_Data!M:N, 2, FALSE), "0"))</f>
        <v/>
      </c>
      <c r="N97" t="str">
        <f>IF(M97="","", IFERROR(VLOOKUP(M97, Hidden_Data!M:N, 2, FALSE), "0"))</f>
        <v/>
      </c>
      <c r="Q97" t="str">
        <f>IF(P97="","", IFERROR(VLOOKUP(P97, Hidden_Data!M:N, 2, FALSE), "0"))</f>
        <v/>
      </c>
      <c r="T97">
        <f t="shared" si="3"/>
        <v>5</v>
      </c>
      <c r="U97" t="str">
        <f t="shared" si="4"/>
        <v>Priority 1 (Critical)</v>
      </c>
      <c r="V97" t="str">
        <f t="shared" si="5"/>
        <v>FAIL</v>
      </c>
    </row>
    <row r="98" spans="1:22" x14ac:dyDescent="0.25">
      <c r="A98" t="str">
        <f>IF('Equipment Information'!A98="","", 'Equipment Information'!A98)</f>
        <v>20260744</v>
      </c>
      <c r="B98" t="str">
        <f>IF('Equipment Information'!B98="","", 'Equipment Information'!B98)</f>
        <v>MCC #4 [Sec.2]</v>
      </c>
      <c r="C98" t="str">
        <f>IF('Equipment Information'!C98="","", 'Equipment Information'!C98)</f>
        <v>Production Area</v>
      </c>
      <c r="E98" t="str">
        <f>IF(D98="","", IFERROR(VLOOKUP(D98, Hidden_Data!M:N, 2, FALSE), "0"))</f>
        <v/>
      </c>
      <c r="H98" t="str">
        <f>IF(G98="","", IFERROR(VLOOKUP(G98, Hidden_Data!M:N, 2, FALSE), "0"))</f>
        <v/>
      </c>
      <c r="K98" t="str">
        <f>IF(J98="","", IFERROR(VLOOKUP(J98, Hidden_Data!M:N, 2, FALSE), "0"))</f>
        <v/>
      </c>
      <c r="N98" t="str">
        <f>IF(M98="","", IFERROR(VLOOKUP(M98, Hidden_Data!M:N, 2, FALSE), "0"))</f>
        <v/>
      </c>
      <c r="Q98" t="str">
        <f>IF(P98="","", IFERROR(VLOOKUP(P98, Hidden_Data!M:N, 2, FALSE), "0"))</f>
        <v/>
      </c>
      <c r="T98">
        <f t="shared" si="3"/>
        <v>0</v>
      </c>
      <c r="U98" t="str">
        <f t="shared" si="4"/>
        <v>Pass/Fixed</v>
      </c>
      <c r="V98" t="str">
        <f t="shared" si="5"/>
        <v>PASS</v>
      </c>
    </row>
    <row r="99" spans="1:22" x14ac:dyDescent="0.25">
      <c r="A99" t="str">
        <f>IF('Equipment Information'!A99="","", 'Equipment Information'!A99)</f>
        <v>20260745</v>
      </c>
      <c r="B99" t="str">
        <f>IF('Equipment Information'!B99="","", 'Equipment Information'!B99)</f>
        <v>MCC #4 [Sec.3]</v>
      </c>
      <c r="C99" t="str">
        <f>IF('Equipment Information'!C99="","", 'Equipment Information'!C99)</f>
        <v>Production Area</v>
      </c>
      <c r="E99" t="str">
        <f>IF(D99="","", IFERROR(VLOOKUP(D99, Hidden_Data!M:N, 2, FALSE), "0"))</f>
        <v/>
      </c>
      <c r="H99" t="str">
        <f>IF(G99="","", IFERROR(VLOOKUP(G99, Hidden_Data!M:N, 2, FALSE), "0"))</f>
        <v/>
      </c>
      <c r="K99" t="str">
        <f>IF(J99="","", IFERROR(VLOOKUP(J99, Hidden_Data!M:N, 2, FALSE), "0"))</f>
        <v/>
      </c>
      <c r="N99" t="str">
        <f>IF(M99="","", IFERROR(VLOOKUP(M99, Hidden_Data!M:N, 2, FALSE), "0"))</f>
        <v/>
      </c>
      <c r="Q99" t="str">
        <f>IF(P99="","", IFERROR(VLOOKUP(P99, Hidden_Data!M:N, 2, FALSE), "0"))</f>
        <v/>
      </c>
      <c r="T99">
        <f t="shared" si="3"/>
        <v>0</v>
      </c>
      <c r="U99" t="str">
        <f t="shared" si="4"/>
        <v>Pass/Fixed</v>
      </c>
      <c r="V99" t="str">
        <f t="shared" si="5"/>
        <v>PASS</v>
      </c>
    </row>
    <row r="100" spans="1:22" x14ac:dyDescent="0.25">
      <c r="A100" t="str">
        <f>IF('Equipment Information'!A100="","", 'Equipment Information'!A100)</f>
        <v>20260746</v>
      </c>
      <c r="B100" t="str">
        <f>IF('Equipment Information'!B100="","", 'Equipment Information'!B100)</f>
        <v>CP-Evap. #1 Disconnect</v>
      </c>
      <c r="C100" t="str">
        <f>IF('Equipment Information'!C100="","", 'Equipment Information'!C100)</f>
        <v>Production Area</v>
      </c>
      <c r="E100" t="str">
        <f>IF(D100="","", IFERROR(VLOOKUP(D100, Hidden_Data!M:N, 2, FALSE), "0"))</f>
        <v/>
      </c>
      <c r="H100" t="str">
        <f>IF(G100="","", IFERROR(VLOOKUP(G100, Hidden_Data!M:N, 2, FALSE), "0"))</f>
        <v/>
      </c>
      <c r="K100" t="str">
        <f>IF(J100="","", IFERROR(VLOOKUP(J100, Hidden_Data!M:N, 2, FALSE), "0"))</f>
        <v/>
      </c>
      <c r="N100" t="str">
        <f>IF(M100="","", IFERROR(VLOOKUP(M100, Hidden_Data!M:N, 2, FALSE), "0"))</f>
        <v/>
      </c>
      <c r="Q100" t="str">
        <f>IF(P100="","", IFERROR(VLOOKUP(P100, Hidden_Data!M:N, 2, FALSE), "0"))</f>
        <v/>
      </c>
      <c r="T100">
        <f t="shared" si="3"/>
        <v>0</v>
      </c>
      <c r="U100" t="str">
        <f t="shared" si="4"/>
        <v>Pass/Fixed</v>
      </c>
      <c r="V100" t="str">
        <f t="shared" si="5"/>
        <v>PASS</v>
      </c>
    </row>
    <row r="101" spans="1:22" x14ac:dyDescent="0.25">
      <c r="A101" t="str">
        <f>IF('Equipment Information'!A101="","", 'Equipment Information'!A101)</f>
        <v>20260747</v>
      </c>
      <c r="B101" t="str">
        <f>IF('Equipment Information'!B101="","", 'Equipment Information'!B101)</f>
        <v>Evaporator #1 [Sec. 1]</v>
      </c>
      <c r="C101" t="str">
        <f>IF('Equipment Information'!C101="","", 'Equipment Information'!C101)</f>
        <v>Production Area</v>
      </c>
      <c r="E101" t="str">
        <f>IF(D101="","", IFERROR(VLOOKUP(D101, Hidden_Data!M:N, 2, FALSE), "0"))</f>
        <v/>
      </c>
      <c r="H101" t="str">
        <f>IF(G101="","", IFERROR(VLOOKUP(G101, Hidden_Data!M:N, 2, FALSE), "0"))</f>
        <v/>
      </c>
      <c r="K101" t="str">
        <f>IF(J101="","", IFERROR(VLOOKUP(J101, Hidden_Data!M:N, 2, FALSE), "0"))</f>
        <v/>
      </c>
      <c r="N101" t="str">
        <f>IF(M101="","", IFERROR(VLOOKUP(M101, Hidden_Data!M:N, 2, FALSE), "0"))</f>
        <v/>
      </c>
      <c r="Q101" t="str">
        <f>IF(P101="","", IFERROR(VLOOKUP(P101, Hidden_Data!M:N, 2, FALSE), "0"))</f>
        <v/>
      </c>
      <c r="T101">
        <f t="shared" si="3"/>
        <v>0</v>
      </c>
      <c r="U101" t="str">
        <f t="shared" si="4"/>
        <v>Pass/Fixed</v>
      </c>
      <c r="V101" t="str">
        <f t="shared" si="5"/>
        <v>PASS</v>
      </c>
    </row>
    <row r="102" spans="1:22" x14ac:dyDescent="0.25">
      <c r="A102" t="str">
        <f>IF('Equipment Information'!A102="","", 'Equipment Information'!A102)</f>
        <v>20260748</v>
      </c>
      <c r="B102" t="str">
        <f>IF('Equipment Information'!B102="","", 'Equipment Information'!B102)</f>
        <v>Evaporator #1 [Sec. 2]</v>
      </c>
      <c r="C102" t="str">
        <f>IF('Equipment Information'!C102="","", 'Equipment Information'!C102)</f>
        <v>Production Area</v>
      </c>
      <c r="E102" t="str">
        <f>IF(D102="","", IFERROR(VLOOKUP(D102, Hidden_Data!M:N, 2, FALSE), "0"))</f>
        <v/>
      </c>
      <c r="H102" t="str">
        <f>IF(G102="","", IFERROR(VLOOKUP(G102, Hidden_Data!M:N, 2, FALSE), "0"))</f>
        <v/>
      </c>
      <c r="K102" t="str">
        <f>IF(J102="","", IFERROR(VLOOKUP(J102, Hidden_Data!M:N, 2, FALSE), "0"))</f>
        <v/>
      </c>
      <c r="N102" t="str">
        <f>IF(M102="","", IFERROR(VLOOKUP(M102, Hidden_Data!M:N, 2, FALSE), "0"))</f>
        <v/>
      </c>
      <c r="Q102" t="str">
        <f>IF(P102="","", IFERROR(VLOOKUP(P102, Hidden_Data!M:N, 2, FALSE), "0"))</f>
        <v/>
      </c>
      <c r="T102">
        <f t="shared" si="3"/>
        <v>0</v>
      </c>
      <c r="U102" t="str">
        <f t="shared" si="4"/>
        <v>Pass/Fixed</v>
      </c>
      <c r="V102" t="str">
        <f t="shared" si="5"/>
        <v>PASS</v>
      </c>
    </row>
    <row r="103" spans="1:22" x14ac:dyDescent="0.25">
      <c r="A103" t="str">
        <f>IF('Equipment Information'!A103="","", 'Equipment Information'!A103)</f>
        <v>20260749</v>
      </c>
      <c r="B103" t="str">
        <f>IF('Equipment Information'!B103="","", 'Equipment Information'!B103)</f>
        <v xml:space="preserve">Pig Systems </v>
      </c>
      <c r="C103" t="str">
        <f>IF('Equipment Information'!C103="","", 'Equipment Information'!C103)</f>
        <v>Production Area</v>
      </c>
      <c r="D103" t="s">
        <v>654</v>
      </c>
      <c r="E103" t="s">
        <v>52</v>
      </c>
      <c r="F103" t="s">
        <v>23</v>
      </c>
      <c r="H103" t="str">
        <f>IF(G103="","", IFERROR(VLOOKUP(G103, Hidden_Data!M:N, 2, FALSE), "0"))</f>
        <v/>
      </c>
      <c r="K103" t="str">
        <f>IF(J103="","", IFERROR(VLOOKUP(J103, Hidden_Data!M:N, 2, FALSE), "0"))</f>
        <v/>
      </c>
      <c r="N103" t="str">
        <f>IF(M103="","", IFERROR(VLOOKUP(M103, Hidden_Data!M:N, 2, FALSE), "0"))</f>
        <v/>
      </c>
      <c r="Q103" t="str">
        <f>IF(P103="","", IFERROR(VLOOKUP(P103, Hidden_Data!M:N, 2, FALSE), "0"))</f>
        <v/>
      </c>
      <c r="S103" t="s">
        <v>53</v>
      </c>
      <c r="T103">
        <f t="shared" si="3"/>
        <v>3</v>
      </c>
      <c r="U103" t="str">
        <f t="shared" si="4"/>
        <v>Priority 2 (Major)</v>
      </c>
      <c r="V103" t="str">
        <f t="shared" si="5"/>
        <v>FAIL</v>
      </c>
    </row>
    <row r="104" spans="1:22" x14ac:dyDescent="0.25">
      <c r="A104" t="str">
        <f>IF('Equipment Information'!A104="","", 'Equipment Information'!A104)</f>
        <v>20260750</v>
      </c>
      <c r="B104" t="str">
        <f>IF('Equipment Information'!B104="","", 'Equipment Information'!B104)</f>
        <v>CP-Silo Alley</v>
      </c>
      <c r="C104" t="str">
        <f>IF('Equipment Information'!C104="","", 'Equipment Information'!C104)</f>
        <v>Production Area</v>
      </c>
      <c r="E104" t="str">
        <f>IF(D104="","", IFERROR(VLOOKUP(D104, Hidden_Data!M:N, 2, FALSE), "0"))</f>
        <v/>
      </c>
      <c r="H104" t="str">
        <f>IF(G104="","", IFERROR(VLOOKUP(G104, Hidden_Data!M:N, 2, FALSE), "0"))</f>
        <v/>
      </c>
      <c r="K104" t="str">
        <f>IF(J104="","", IFERROR(VLOOKUP(J104, Hidden_Data!M:N, 2, FALSE), "0"))</f>
        <v/>
      </c>
      <c r="N104" t="str">
        <f>IF(M104="","", IFERROR(VLOOKUP(M104, Hidden_Data!M:N, 2, FALSE), "0"))</f>
        <v/>
      </c>
      <c r="Q104" t="str">
        <f>IF(P104="","", IFERROR(VLOOKUP(P104, Hidden_Data!M:N, 2, FALSE), "0"))</f>
        <v/>
      </c>
      <c r="T104">
        <f t="shared" si="3"/>
        <v>0</v>
      </c>
      <c r="U104" t="str">
        <f t="shared" si="4"/>
        <v>Pass/Fixed</v>
      </c>
      <c r="V104" t="str">
        <f t="shared" si="5"/>
        <v>PASS</v>
      </c>
    </row>
    <row r="105" spans="1:22" x14ac:dyDescent="0.25">
      <c r="A105" t="str">
        <f>IF('Equipment Information'!A105="","", 'Equipment Information'!A105)</f>
        <v>20260751</v>
      </c>
      <c r="B105" t="str">
        <f>IF('Equipment Information'!B105="","", 'Equipment Information'!B105)</f>
        <v>RO-1</v>
      </c>
      <c r="C105" t="str">
        <f>IF('Equipment Information'!C105="","", 'Equipment Information'!C105)</f>
        <v>Production Area</v>
      </c>
      <c r="E105" t="str">
        <f>IF(D105="","", IFERROR(VLOOKUP(D105, Hidden_Data!M:N, 2, FALSE), "0"))</f>
        <v/>
      </c>
      <c r="H105" t="str">
        <f>IF(G105="","", IFERROR(VLOOKUP(G105, Hidden_Data!M:N, 2, FALSE), "0"))</f>
        <v/>
      </c>
      <c r="K105" t="str">
        <f>IF(J105="","", IFERROR(VLOOKUP(J105, Hidden_Data!M:N, 2, FALSE), "0"))</f>
        <v/>
      </c>
      <c r="N105" t="str">
        <f>IF(M105="","", IFERROR(VLOOKUP(M105, Hidden_Data!M:N, 2, FALSE), "0"))</f>
        <v/>
      </c>
      <c r="Q105" t="str">
        <f>IF(P105="","", IFERROR(VLOOKUP(P105, Hidden_Data!M:N, 2, FALSE), "0"))</f>
        <v/>
      </c>
      <c r="T105">
        <f t="shared" si="3"/>
        <v>0</v>
      </c>
      <c r="U105" t="str">
        <f t="shared" si="4"/>
        <v>Pass/Fixed</v>
      </c>
      <c r="V105" t="str">
        <f t="shared" si="5"/>
        <v>PASS</v>
      </c>
    </row>
    <row r="106" spans="1:22" x14ac:dyDescent="0.25">
      <c r="A106" t="str">
        <f>IF('Equipment Information'!A106="","", 'Equipment Information'!A106)</f>
        <v>20260752</v>
      </c>
      <c r="B106" t="str">
        <f>IF('Equipment Information'!B106="","", 'Equipment Information'!B106)</f>
        <v>KOCH Sytems Controller</v>
      </c>
      <c r="C106" t="str">
        <f>IF('Equipment Information'!C106="","", 'Equipment Information'!C106)</f>
        <v>Production Area</v>
      </c>
      <c r="E106" t="str">
        <f>IF(D106="","", IFERROR(VLOOKUP(D106, Hidden_Data!M:N, 2, FALSE), "0"))</f>
        <v/>
      </c>
      <c r="H106" t="str">
        <f>IF(G106="","", IFERROR(VLOOKUP(G106, Hidden_Data!M:N, 2, FALSE), "0"))</f>
        <v/>
      </c>
      <c r="K106" t="str">
        <f>IF(J106="","", IFERROR(VLOOKUP(J106, Hidden_Data!M:N, 2, FALSE), "0"))</f>
        <v/>
      </c>
      <c r="N106" t="str">
        <f>IF(M106="","", IFERROR(VLOOKUP(M106, Hidden_Data!M:N, 2, FALSE), "0"))</f>
        <v/>
      </c>
      <c r="Q106" t="str">
        <f>IF(P106="","", IFERROR(VLOOKUP(P106, Hidden_Data!M:N, 2, FALSE), "0"))</f>
        <v/>
      </c>
      <c r="T106">
        <f t="shared" si="3"/>
        <v>0</v>
      </c>
      <c r="U106" t="str">
        <f t="shared" si="4"/>
        <v>Pass/Fixed</v>
      </c>
      <c r="V106" t="str">
        <f t="shared" si="5"/>
        <v>PASS</v>
      </c>
    </row>
    <row r="107" spans="1:22" x14ac:dyDescent="0.25">
      <c r="A107" t="str">
        <f>IF('Equipment Information'!A107="","", 'Equipment Information'!A107)</f>
        <v>20260753</v>
      </c>
      <c r="B107" t="str">
        <f>IF('Equipment Information'!B107="","", 'Equipment Information'!B107)</f>
        <v>KOCH Sytems Controls</v>
      </c>
      <c r="C107" t="str">
        <f>IF('Equipment Information'!C107="","", 'Equipment Information'!C107)</f>
        <v>Production Area</v>
      </c>
      <c r="E107" t="str">
        <f>IF(D107="","", IFERROR(VLOOKUP(D107, Hidden_Data!M:N, 2, FALSE), "0"))</f>
        <v/>
      </c>
      <c r="H107" t="str">
        <f>IF(G107="","", IFERROR(VLOOKUP(G107, Hidden_Data!M:N, 2, FALSE), "0"))</f>
        <v/>
      </c>
      <c r="K107" t="str">
        <f>IF(J107="","", IFERROR(VLOOKUP(J107, Hidden_Data!M:N, 2, FALSE), "0"))</f>
        <v/>
      </c>
      <c r="N107" t="str">
        <f>IF(M107="","", IFERROR(VLOOKUP(M107, Hidden_Data!M:N, 2, FALSE), "0"))</f>
        <v/>
      </c>
      <c r="Q107" t="str">
        <f>IF(P107="","", IFERROR(VLOOKUP(P107, Hidden_Data!M:N, 2, FALSE), "0"))</f>
        <v/>
      </c>
      <c r="T107">
        <f t="shared" si="3"/>
        <v>0</v>
      </c>
      <c r="U107" t="str">
        <f t="shared" si="4"/>
        <v>Pass/Fixed</v>
      </c>
      <c r="V107" t="str">
        <f t="shared" si="5"/>
        <v>PASS</v>
      </c>
    </row>
    <row r="108" spans="1:22" x14ac:dyDescent="0.25">
      <c r="A108" t="str">
        <f>IF('Equipment Information'!A108="","", 'Equipment Information'!A108)</f>
        <v>20260754</v>
      </c>
      <c r="B108" t="str">
        <f>IF('Equipment Information'!B108="","", 'Equipment Information'!B108)</f>
        <v>Evaporator #3</v>
      </c>
      <c r="C108" t="str">
        <f>IF('Equipment Information'!C108="","", 'Equipment Information'!C108)</f>
        <v>Production Area</v>
      </c>
      <c r="E108" t="str">
        <f>IF(D108="","", IFERROR(VLOOKUP(D108, Hidden_Data!M:N, 2, FALSE), "0"))</f>
        <v/>
      </c>
      <c r="H108" t="str">
        <f>IF(G108="","", IFERROR(VLOOKUP(G108, Hidden_Data!M:N, 2, FALSE), "0"))</f>
        <v/>
      </c>
      <c r="K108" t="str">
        <f>IF(J108="","", IFERROR(VLOOKUP(J108, Hidden_Data!M:N, 2, FALSE), "0"))</f>
        <v/>
      </c>
      <c r="N108" t="str">
        <f>IF(M108="","", IFERROR(VLOOKUP(M108, Hidden_Data!M:N, 2, FALSE), "0"))</f>
        <v/>
      </c>
      <c r="Q108" t="str">
        <f>IF(P108="","", IFERROR(VLOOKUP(P108, Hidden_Data!M:N, 2, FALSE), "0"))</f>
        <v/>
      </c>
      <c r="T108">
        <f t="shared" si="3"/>
        <v>0</v>
      </c>
      <c r="U108" t="str">
        <f t="shared" si="4"/>
        <v>Pass/Fixed</v>
      </c>
      <c r="V108" t="str">
        <f t="shared" si="5"/>
        <v>PASS</v>
      </c>
    </row>
    <row r="109" spans="1:22" x14ac:dyDescent="0.25">
      <c r="A109" t="str">
        <f>IF('Equipment Information'!A109="","", 'Equipment Information'!A109)</f>
        <v>20260755</v>
      </c>
      <c r="B109" t="str">
        <f>IF('Equipment Information'!B109="","", 'Equipment Information'!B109)</f>
        <v>CP-Evap. #3 Disconnect</v>
      </c>
      <c r="C109" t="str">
        <f>IF('Equipment Information'!C109="","", 'Equipment Information'!C109)</f>
        <v>Production Area</v>
      </c>
      <c r="E109" t="str">
        <f>IF(D109="","", IFERROR(VLOOKUP(D109, Hidden_Data!M:N, 2, FALSE), "0"))</f>
        <v/>
      </c>
      <c r="H109" t="str">
        <f>IF(G109="","", IFERROR(VLOOKUP(G109, Hidden_Data!M:N, 2, FALSE), "0"))</f>
        <v/>
      </c>
      <c r="K109" t="str">
        <f>IF(J109="","", IFERROR(VLOOKUP(J109, Hidden_Data!M:N, 2, FALSE), "0"))</f>
        <v/>
      </c>
      <c r="N109" t="str">
        <f>IF(M109="","", IFERROR(VLOOKUP(M109, Hidden_Data!M:N, 2, FALSE), "0"))</f>
        <v/>
      </c>
      <c r="Q109" t="str">
        <f>IF(P109="","", IFERROR(VLOOKUP(P109, Hidden_Data!M:N, 2, FALSE), "0"))</f>
        <v/>
      </c>
      <c r="T109">
        <f t="shared" si="3"/>
        <v>0</v>
      </c>
      <c r="U109" t="str">
        <f t="shared" si="4"/>
        <v>Pass/Fixed</v>
      </c>
      <c r="V109" t="str">
        <f t="shared" si="5"/>
        <v>PASS</v>
      </c>
    </row>
    <row r="110" spans="1:22" x14ac:dyDescent="0.25">
      <c r="A110" t="str">
        <f>IF('Equipment Information'!A110="","", 'Equipment Information'!A110)</f>
        <v>20260756</v>
      </c>
      <c r="B110" t="str">
        <f>IF('Equipment Information'!B110="","", 'Equipment Information'!B110)</f>
        <v>CP-DTS Sub Line #1 [Sec. 1]</v>
      </c>
      <c r="C110" t="str">
        <f>IF('Equipment Information'!C110="","", 'Equipment Information'!C110)</f>
        <v>Production Area</v>
      </c>
      <c r="E110" t="str">
        <f>IF(D110="","", IFERROR(VLOOKUP(D110, Hidden_Data!M:N, 2, FALSE), "0"))</f>
        <v/>
      </c>
      <c r="H110" t="str">
        <f>IF(G110="","", IFERROR(VLOOKUP(G110, Hidden_Data!M:N, 2, FALSE), "0"))</f>
        <v/>
      </c>
      <c r="K110" t="str">
        <f>IF(J110="","", IFERROR(VLOOKUP(J110, Hidden_Data!M:N, 2, FALSE), "0"))</f>
        <v/>
      </c>
      <c r="N110" t="str">
        <f>IF(M110="","", IFERROR(VLOOKUP(M110, Hidden_Data!M:N, 2, FALSE), "0"))</f>
        <v/>
      </c>
      <c r="Q110" t="str">
        <f>IF(P110="","", IFERROR(VLOOKUP(P110, Hidden_Data!M:N, 2, FALSE), "0"))</f>
        <v/>
      </c>
      <c r="T110">
        <f t="shared" si="3"/>
        <v>0</v>
      </c>
      <c r="U110" t="str">
        <f t="shared" si="4"/>
        <v>Pass/Fixed</v>
      </c>
      <c r="V110" t="str">
        <f t="shared" si="5"/>
        <v>PASS</v>
      </c>
    </row>
    <row r="111" spans="1:22" x14ac:dyDescent="0.25">
      <c r="A111" t="str">
        <f>IF('Equipment Information'!A111="","", 'Equipment Information'!A111)</f>
        <v>20260757</v>
      </c>
      <c r="B111" t="str">
        <f>IF('Equipment Information'!B111="","", 'Equipment Information'!B111)</f>
        <v>CP-DTS Sub Line #1 [Sec. 2]</v>
      </c>
      <c r="C111" t="str">
        <f>IF('Equipment Information'!C111="","", 'Equipment Information'!C111)</f>
        <v>Production Area</v>
      </c>
      <c r="E111" t="str">
        <f>IF(D111="","", IFERROR(VLOOKUP(D111, Hidden_Data!M:N, 2, FALSE), "0"))</f>
        <v/>
      </c>
      <c r="H111" t="str">
        <f>IF(G111="","", IFERROR(VLOOKUP(G111, Hidden_Data!M:N, 2, FALSE), "0"))</f>
        <v/>
      </c>
      <c r="K111" t="str">
        <f>IF(J111="","", IFERROR(VLOOKUP(J111, Hidden_Data!M:N, 2, FALSE), "0"))</f>
        <v/>
      </c>
      <c r="N111" t="str">
        <f>IF(M111="","", IFERROR(VLOOKUP(M111, Hidden_Data!M:N, 2, FALSE), "0"))</f>
        <v/>
      </c>
      <c r="Q111" t="str">
        <f>IF(P111="","", IFERROR(VLOOKUP(P111, Hidden_Data!M:N, 2, FALSE), "0"))</f>
        <v/>
      </c>
      <c r="T111">
        <f t="shared" si="3"/>
        <v>0</v>
      </c>
      <c r="U111" t="str">
        <f t="shared" si="4"/>
        <v>Pass/Fixed</v>
      </c>
      <c r="V111" t="str">
        <f t="shared" si="5"/>
        <v>PASS</v>
      </c>
    </row>
    <row r="112" spans="1:22" x14ac:dyDescent="0.25">
      <c r="A112" t="str">
        <f>IF('Equipment Information'!A112="","", 'Equipment Information'!A112)</f>
        <v>20260758</v>
      </c>
      <c r="B112" t="str">
        <f>IF('Equipment Information'!B112="","", 'Equipment Information'!B112)</f>
        <v>CP-DTS Sub Line #1 [Sec. 3]</v>
      </c>
      <c r="C112" t="str">
        <f>IF('Equipment Information'!C112="","", 'Equipment Information'!C112)</f>
        <v>Production Area</v>
      </c>
      <c r="D112" t="s">
        <v>655</v>
      </c>
      <c r="E112" t="str">
        <f>IF(D112="","", IFERROR(VLOOKUP(D112, Hidden_Data!M:N, 2, FALSE), "0"))</f>
        <v>Major (3pts)</v>
      </c>
      <c r="F112" t="s">
        <v>23</v>
      </c>
      <c r="H112" t="str">
        <f>IF(G112="","", IFERROR(VLOOKUP(G112, Hidden_Data!M:N, 2, FALSE), "0"))</f>
        <v/>
      </c>
      <c r="K112" t="str">
        <f>IF(J112="","", IFERROR(VLOOKUP(J112, Hidden_Data!M:N, 2, FALSE), "0"))</f>
        <v/>
      </c>
      <c r="N112" t="str">
        <f>IF(M112="","", IFERROR(VLOOKUP(M112, Hidden_Data!M:N, 2, FALSE), "0"))</f>
        <v/>
      </c>
      <c r="Q112" t="str">
        <f>IF(P112="","", IFERROR(VLOOKUP(P112, Hidden_Data!M:N, 2, FALSE), "0"))</f>
        <v/>
      </c>
      <c r="S112" t="s">
        <v>55</v>
      </c>
      <c r="T112">
        <f t="shared" si="3"/>
        <v>3</v>
      </c>
      <c r="U112" t="str">
        <f t="shared" si="4"/>
        <v>Priority 2 (Major)</v>
      </c>
      <c r="V112" t="str">
        <f t="shared" si="5"/>
        <v>FAIL</v>
      </c>
    </row>
    <row r="113" spans="1:22" x14ac:dyDescent="0.25">
      <c r="A113" t="str">
        <f>IF('Equipment Information'!A113="","", 'Equipment Information'!A113)</f>
        <v>20260759</v>
      </c>
      <c r="B113" t="str">
        <f>IF('Equipment Information'!B113="","", 'Equipment Information'!B113)</f>
        <v>DP-1</v>
      </c>
      <c r="C113" t="str">
        <f>IF('Equipment Information'!C113="","", 'Equipment Information'!C113)</f>
        <v>Production Area</v>
      </c>
      <c r="E113" t="str">
        <f>IF(D113="","", IFERROR(VLOOKUP(D113, Hidden_Data!M:N, 2, FALSE), "0"))</f>
        <v/>
      </c>
      <c r="H113" t="str">
        <f>IF(G113="","", IFERROR(VLOOKUP(G113, Hidden_Data!M:N, 2, FALSE), "0"))</f>
        <v/>
      </c>
      <c r="K113" t="str">
        <f>IF(J113="","", IFERROR(VLOOKUP(J113, Hidden_Data!M:N, 2, FALSE), "0"))</f>
        <v/>
      </c>
      <c r="N113" t="str">
        <f>IF(M113="","", IFERROR(VLOOKUP(M113, Hidden_Data!M:N, 2, FALSE), "0"))</f>
        <v/>
      </c>
      <c r="Q113" t="str">
        <f>IF(P113="","", IFERROR(VLOOKUP(P113, Hidden_Data!M:N, 2, FALSE), "0"))</f>
        <v/>
      </c>
      <c r="T113">
        <f t="shared" si="3"/>
        <v>0</v>
      </c>
      <c r="U113" t="str">
        <f t="shared" si="4"/>
        <v>Pass/Fixed</v>
      </c>
      <c r="V113" t="str">
        <f t="shared" si="5"/>
        <v>PASS</v>
      </c>
    </row>
    <row r="114" spans="1:22" x14ac:dyDescent="0.25">
      <c r="A114" t="str">
        <f>IF('Equipment Information'!A114="","", 'Equipment Information'!A114)</f>
        <v>20260760</v>
      </c>
      <c r="B114" t="str">
        <f>IF('Equipment Information'!B114="","", 'Equipment Information'!B114)</f>
        <v>P-1</v>
      </c>
      <c r="C114" t="str">
        <f>IF('Equipment Information'!C114="","", 'Equipment Information'!C114)</f>
        <v>Production Area</v>
      </c>
      <c r="E114" t="str">
        <f>IF(D114="","", IFERROR(VLOOKUP(D114, Hidden_Data!M:N, 2, FALSE), "0"))</f>
        <v/>
      </c>
      <c r="H114" t="str">
        <f>IF(G114="","", IFERROR(VLOOKUP(G114, Hidden_Data!M:N, 2, FALSE), "0"))</f>
        <v/>
      </c>
      <c r="K114" t="str">
        <f>IF(J114="","", IFERROR(VLOOKUP(J114, Hidden_Data!M:N, 2, FALSE), "0"))</f>
        <v/>
      </c>
      <c r="N114" t="str">
        <f>IF(M114="","", IFERROR(VLOOKUP(M114, Hidden_Data!M:N, 2, FALSE), "0"))</f>
        <v/>
      </c>
      <c r="Q114" t="str">
        <f>IF(P114="","", IFERROR(VLOOKUP(P114, Hidden_Data!M:N, 2, FALSE), "0"))</f>
        <v/>
      </c>
      <c r="T114">
        <f t="shared" si="3"/>
        <v>0</v>
      </c>
      <c r="U114" t="str">
        <f t="shared" si="4"/>
        <v>Pass/Fixed</v>
      </c>
      <c r="V114" t="str">
        <f t="shared" si="5"/>
        <v>PASS</v>
      </c>
    </row>
    <row r="115" spans="1:22" x14ac:dyDescent="0.25">
      <c r="A115" t="str">
        <f>IF('Equipment Information'!A115="","", 'Equipment Information'!A115)</f>
        <v>20260761</v>
      </c>
      <c r="B115" t="str">
        <f>IF('Equipment Information'!B115="","", 'Equipment Information'!B115)</f>
        <v>FS-Slice Line</v>
      </c>
      <c r="C115" t="str">
        <f>IF('Equipment Information'!C115="","", 'Equipment Information'!C115)</f>
        <v>Production Area</v>
      </c>
      <c r="E115" t="str">
        <f>IF(D115="","", IFERROR(VLOOKUP(D115, Hidden_Data!M:N, 2, FALSE), "0"))</f>
        <v/>
      </c>
      <c r="H115" t="str">
        <f>IF(G115="","", IFERROR(VLOOKUP(G115, Hidden_Data!M:N, 2, FALSE), "0"))</f>
        <v/>
      </c>
      <c r="K115" t="str">
        <f>IF(J115="","", IFERROR(VLOOKUP(J115, Hidden_Data!M:N, 2, FALSE), "0"))</f>
        <v/>
      </c>
      <c r="N115" t="str">
        <f>IF(M115="","", IFERROR(VLOOKUP(M115, Hidden_Data!M:N, 2, FALSE), "0"))</f>
        <v/>
      </c>
      <c r="Q115" t="str">
        <f>IF(P115="","", IFERROR(VLOOKUP(P115, Hidden_Data!M:N, 2, FALSE), "0"))</f>
        <v/>
      </c>
      <c r="T115">
        <f t="shared" si="3"/>
        <v>0</v>
      </c>
      <c r="U115" t="str">
        <f t="shared" si="4"/>
        <v>Pass/Fixed</v>
      </c>
      <c r="V115" t="str">
        <f t="shared" si="5"/>
        <v>PASS</v>
      </c>
    </row>
    <row r="116" spans="1:22" x14ac:dyDescent="0.25">
      <c r="A116" t="str">
        <f>IF('Equipment Information'!A116="","", 'Equipment Information'!A116)</f>
        <v>20260762</v>
      </c>
      <c r="B116" t="str">
        <f>IF('Equipment Information'!B116="","", 'Equipment Information'!B116)</f>
        <v>OH XFMR</v>
      </c>
      <c r="C116" t="str">
        <f>IF('Equipment Information'!C116="","", 'Equipment Information'!C116)</f>
        <v>Production Area</v>
      </c>
      <c r="E116" t="str">
        <f>IF(D116="","", IFERROR(VLOOKUP(D116, Hidden_Data!M:N, 2, FALSE), "0"))</f>
        <v/>
      </c>
      <c r="H116" t="str">
        <f>IF(G116="","", IFERROR(VLOOKUP(G116, Hidden_Data!M:N, 2, FALSE), "0"))</f>
        <v/>
      </c>
      <c r="K116" t="str">
        <f>IF(J116="","", IFERROR(VLOOKUP(J116, Hidden_Data!M:N, 2, FALSE), "0"))</f>
        <v/>
      </c>
      <c r="N116" t="str">
        <f>IF(M116="","", IFERROR(VLOOKUP(M116, Hidden_Data!M:N, 2, FALSE), "0"))</f>
        <v/>
      </c>
      <c r="Q116" t="str">
        <f>IF(P116="","", IFERROR(VLOOKUP(P116, Hidden_Data!M:N, 2, FALSE), "0"))</f>
        <v/>
      </c>
      <c r="T116">
        <f t="shared" si="3"/>
        <v>0</v>
      </c>
      <c r="U116" t="str">
        <f t="shared" si="4"/>
        <v>Pass/Fixed</v>
      </c>
      <c r="V116" t="str">
        <f t="shared" si="5"/>
        <v>PASS</v>
      </c>
    </row>
    <row r="117" spans="1:22" x14ac:dyDescent="0.25">
      <c r="A117" t="str">
        <f>IF('Equipment Information'!A117="","", 'Equipment Information'!A117)</f>
        <v>20260763</v>
      </c>
      <c r="B117" t="str">
        <f>IF('Equipment Information'!B117="","", 'Equipment Information'!B117)</f>
        <v>CP-1 [Sec. 1]</v>
      </c>
      <c r="C117" t="str">
        <f>IF('Equipment Information'!C117="","", 'Equipment Information'!C117)</f>
        <v>Production Area</v>
      </c>
      <c r="E117" t="str">
        <f>IF(D117="","", IFERROR(VLOOKUP(D117, Hidden_Data!M:N, 2, FALSE), "0"))</f>
        <v/>
      </c>
      <c r="H117" t="str">
        <f>IF(G117="","", IFERROR(VLOOKUP(G117, Hidden_Data!M:N, 2, FALSE), "0"))</f>
        <v/>
      </c>
      <c r="K117" t="str">
        <f>IF(J117="","", IFERROR(VLOOKUP(J117, Hidden_Data!M:N, 2, FALSE), "0"))</f>
        <v/>
      </c>
      <c r="N117" t="str">
        <f>IF(M117="","", IFERROR(VLOOKUP(M117, Hidden_Data!M:N, 2, FALSE), "0"))</f>
        <v/>
      </c>
      <c r="Q117" t="str">
        <f>IF(P117="","", IFERROR(VLOOKUP(P117, Hidden_Data!M:N, 2, FALSE), "0"))</f>
        <v/>
      </c>
      <c r="T117">
        <f t="shared" si="3"/>
        <v>0</v>
      </c>
      <c r="U117" t="str">
        <f t="shared" si="4"/>
        <v>Pass/Fixed</v>
      </c>
      <c r="V117" t="str">
        <f t="shared" si="5"/>
        <v>PASS</v>
      </c>
    </row>
    <row r="118" spans="1:22" x14ac:dyDescent="0.25">
      <c r="A118" t="str">
        <f>IF('Equipment Information'!A118="","", 'Equipment Information'!A118)</f>
        <v>20260764</v>
      </c>
      <c r="B118" t="str">
        <f>IF('Equipment Information'!B118="","", 'Equipment Information'!B118)</f>
        <v>CP-1 [Sec. 2]</v>
      </c>
      <c r="C118" t="str">
        <f>IF('Equipment Information'!C118="","", 'Equipment Information'!C118)</f>
        <v>Production Area</v>
      </c>
      <c r="E118" t="str">
        <f>IF(D118="","", IFERROR(VLOOKUP(D118, Hidden_Data!M:N, 2, FALSE), "0"))</f>
        <v/>
      </c>
      <c r="H118" t="str">
        <f>IF(G118="","", IFERROR(VLOOKUP(G118, Hidden_Data!M:N, 2, FALSE), "0"))</f>
        <v/>
      </c>
      <c r="K118" t="str">
        <f>IF(J118="","", IFERROR(VLOOKUP(J118, Hidden_Data!M:N, 2, FALSE), "0"))</f>
        <v/>
      </c>
      <c r="N118" t="str">
        <f>IF(M118="","", IFERROR(VLOOKUP(M118, Hidden_Data!M:N, 2, FALSE), "0"))</f>
        <v/>
      </c>
      <c r="Q118" t="str">
        <f>IF(P118="","", IFERROR(VLOOKUP(P118, Hidden_Data!M:N, 2, FALSE), "0"))</f>
        <v/>
      </c>
      <c r="T118">
        <f t="shared" si="3"/>
        <v>0</v>
      </c>
      <c r="U118" t="str">
        <f t="shared" si="4"/>
        <v>Pass/Fixed</v>
      </c>
      <c r="V118" t="str">
        <f t="shared" si="5"/>
        <v>PASS</v>
      </c>
    </row>
    <row r="119" spans="1:22" x14ac:dyDescent="0.25">
      <c r="A119" t="str">
        <f>IF('Equipment Information'!A119="","", 'Equipment Information'!A119)</f>
        <v>20260765</v>
      </c>
      <c r="B119" t="str">
        <f>IF('Equipment Information'!B119="","", 'Equipment Information'!B119)</f>
        <v>CP-1 [Sec. 3]</v>
      </c>
      <c r="C119" t="str">
        <f>IF('Equipment Information'!C119="","", 'Equipment Information'!C119)</f>
        <v>Production Area</v>
      </c>
      <c r="E119" t="str">
        <f>IF(D119="","", IFERROR(VLOOKUP(D119, Hidden_Data!M:N, 2, FALSE), "0"))</f>
        <v/>
      </c>
      <c r="H119" t="str">
        <f>IF(G119="","", IFERROR(VLOOKUP(G119, Hidden_Data!M:N, 2, FALSE), "0"))</f>
        <v/>
      </c>
      <c r="K119" t="str">
        <f>IF(J119="","", IFERROR(VLOOKUP(J119, Hidden_Data!M:N, 2, FALSE), "0"))</f>
        <v/>
      </c>
      <c r="N119" t="str">
        <f>IF(M119="","", IFERROR(VLOOKUP(M119, Hidden_Data!M:N, 2, FALSE), "0"))</f>
        <v/>
      </c>
      <c r="Q119" t="str">
        <f>IF(P119="","", IFERROR(VLOOKUP(P119, Hidden_Data!M:N, 2, FALSE), "0"))</f>
        <v/>
      </c>
      <c r="T119">
        <f t="shared" si="3"/>
        <v>0</v>
      </c>
      <c r="U119" t="str">
        <f t="shared" si="4"/>
        <v>Pass/Fixed</v>
      </c>
      <c r="V119" t="str">
        <f t="shared" si="5"/>
        <v>PASS</v>
      </c>
    </row>
    <row r="120" spans="1:22" x14ac:dyDescent="0.25">
      <c r="A120" t="str">
        <f>IF('Equipment Information'!A120="","", 'Equipment Information'!A120)</f>
        <v>20260766</v>
      </c>
      <c r="B120" t="str">
        <f>IF('Equipment Information'!B120="","", 'Equipment Information'!B120)</f>
        <v>CP-DTS Sub Line #2 [Sec. 1]</v>
      </c>
      <c r="C120" t="str">
        <f>IF('Equipment Information'!C120="","", 'Equipment Information'!C120)</f>
        <v>Production Area</v>
      </c>
      <c r="D120" t="s">
        <v>655</v>
      </c>
      <c r="E120" t="str">
        <f>IF(D120="","", IFERROR(VLOOKUP(D120, Hidden_Data!M:N, 2, FALSE), "0"))</f>
        <v>Major (3pts)</v>
      </c>
      <c r="F120" t="s">
        <v>23</v>
      </c>
      <c r="H120" t="str">
        <f>IF(G120="","", IFERROR(VLOOKUP(G120, Hidden_Data!M:N, 2, FALSE), "0"))</f>
        <v/>
      </c>
      <c r="K120" t="str">
        <f>IF(J120="","", IFERROR(VLOOKUP(J120, Hidden_Data!M:N, 2, FALSE), "0"))</f>
        <v/>
      </c>
      <c r="N120" t="str">
        <f>IF(M120="","", IFERROR(VLOOKUP(M120, Hidden_Data!M:N, 2, FALSE), "0"))</f>
        <v/>
      </c>
      <c r="Q120" t="str">
        <f>IF(P120="","", IFERROR(VLOOKUP(P120, Hidden_Data!M:N, 2, FALSE), "0"))</f>
        <v/>
      </c>
      <c r="T120">
        <f t="shared" si="3"/>
        <v>3</v>
      </c>
      <c r="U120" t="str">
        <f t="shared" si="4"/>
        <v>Priority 2 (Major)</v>
      </c>
      <c r="V120" t="str">
        <f t="shared" si="5"/>
        <v>FAIL</v>
      </c>
    </row>
    <row r="121" spans="1:22" x14ac:dyDescent="0.25">
      <c r="A121" t="str">
        <f>IF('Equipment Information'!A121="","", 'Equipment Information'!A121)</f>
        <v>20260767</v>
      </c>
      <c r="B121" t="str">
        <f>IF('Equipment Information'!B121="","", 'Equipment Information'!B121)</f>
        <v>CP-DTS Sub Line #2 [Sec. 2]</v>
      </c>
      <c r="C121" t="str">
        <f>IF('Equipment Information'!C121="","", 'Equipment Information'!C121)</f>
        <v>Production Area</v>
      </c>
      <c r="E121" t="str">
        <f>IF(D121="","", IFERROR(VLOOKUP(D121, Hidden_Data!M:N, 2, FALSE), "0"))</f>
        <v/>
      </c>
      <c r="H121" t="str">
        <f>IF(G121="","", IFERROR(VLOOKUP(G121, Hidden_Data!M:N, 2, FALSE), "0"))</f>
        <v/>
      </c>
      <c r="K121" t="str">
        <f>IF(J121="","", IFERROR(VLOOKUP(J121, Hidden_Data!M:N, 2, FALSE), "0"))</f>
        <v/>
      </c>
      <c r="N121" t="str">
        <f>IF(M121="","", IFERROR(VLOOKUP(M121, Hidden_Data!M:N, 2, FALSE), "0"))</f>
        <v/>
      </c>
      <c r="Q121" t="str">
        <f>IF(P121="","", IFERROR(VLOOKUP(P121, Hidden_Data!M:N, 2, FALSE), "0"))</f>
        <v/>
      </c>
      <c r="T121">
        <f t="shared" si="3"/>
        <v>0</v>
      </c>
      <c r="U121" t="str">
        <f t="shared" si="4"/>
        <v>Pass/Fixed</v>
      </c>
      <c r="V121" t="str">
        <f t="shared" si="5"/>
        <v>PASS</v>
      </c>
    </row>
    <row r="122" spans="1:22" x14ac:dyDescent="0.25">
      <c r="A122" t="str">
        <f>IF('Equipment Information'!A122="","", 'Equipment Information'!A122)</f>
        <v>20260768</v>
      </c>
      <c r="B122" t="str">
        <f>IF('Equipment Information'!B122="","", 'Equipment Information'!B122)</f>
        <v>CP-DTS Sub Line #2 [Sec.3]</v>
      </c>
      <c r="C122" t="str">
        <f>IF('Equipment Information'!C122="","", 'Equipment Information'!C122)</f>
        <v>Production Area</v>
      </c>
      <c r="E122" t="str">
        <f>IF(D122="","", IFERROR(VLOOKUP(D122, Hidden_Data!M:N, 2, FALSE), "0"))</f>
        <v/>
      </c>
      <c r="H122" t="str">
        <f>IF(G122="","", IFERROR(VLOOKUP(G122, Hidden_Data!M:N, 2, FALSE), "0"))</f>
        <v/>
      </c>
      <c r="K122" t="str">
        <f>IF(J122="","", IFERROR(VLOOKUP(J122, Hidden_Data!M:N, 2, FALSE), "0"))</f>
        <v/>
      </c>
      <c r="N122" t="str">
        <f>IF(M122="","", IFERROR(VLOOKUP(M122, Hidden_Data!M:N, 2, FALSE), "0"))</f>
        <v/>
      </c>
      <c r="Q122" t="str">
        <f>IF(P122="","", IFERROR(VLOOKUP(P122, Hidden_Data!M:N, 2, FALSE), "0"))</f>
        <v/>
      </c>
      <c r="T122">
        <f t="shared" si="3"/>
        <v>0</v>
      </c>
      <c r="U122" t="str">
        <f t="shared" si="4"/>
        <v>Pass/Fixed</v>
      </c>
      <c r="V122" t="str">
        <f t="shared" si="5"/>
        <v>PASS</v>
      </c>
    </row>
    <row r="123" spans="1:22" x14ac:dyDescent="0.25">
      <c r="A123" t="str">
        <f>IF('Equipment Information'!A123="","", 'Equipment Information'!A123)</f>
        <v>20260769</v>
      </c>
      <c r="B123" t="str">
        <f>IF('Equipment Information'!B123="","", 'Equipment Information'!B123)</f>
        <v>DP-2</v>
      </c>
      <c r="C123" t="str">
        <f>IF('Equipment Information'!C123="","", 'Equipment Information'!C123)</f>
        <v>Production Area</v>
      </c>
      <c r="D123" t="s">
        <v>42</v>
      </c>
      <c r="E123" t="str">
        <f>IF(D123="","", IFERROR(VLOOKUP(D123, Hidden_Data!M:N, 2, FALSE), "0"))</f>
        <v>Critical (5pts)</v>
      </c>
      <c r="F123" t="s">
        <v>23</v>
      </c>
      <c r="G123" t="s">
        <v>24</v>
      </c>
      <c r="H123" t="str">
        <f>IF(G123="","", IFERROR(VLOOKUP(G123, Hidden_Data!M:N, 2, FALSE), "0"))</f>
        <v>Critical (5pts)</v>
      </c>
      <c r="I123" t="s">
        <v>23</v>
      </c>
      <c r="K123" t="str">
        <f>IF(J123="","", IFERROR(VLOOKUP(J123, Hidden_Data!M:N, 2, FALSE), "0"))</f>
        <v/>
      </c>
      <c r="N123" t="str">
        <f>IF(M123="","", IFERROR(VLOOKUP(M123, Hidden_Data!M:N, 2, FALSE), "0"))</f>
        <v/>
      </c>
      <c r="Q123" t="str">
        <f>IF(P123="","", IFERROR(VLOOKUP(P123, Hidden_Data!M:N, 2, FALSE), "0"))</f>
        <v/>
      </c>
      <c r="S123" t="s">
        <v>56</v>
      </c>
      <c r="T123">
        <f t="shared" si="3"/>
        <v>10</v>
      </c>
      <c r="U123" t="str">
        <f t="shared" si="4"/>
        <v>Priority 1 (Critical)</v>
      </c>
      <c r="V123" t="str">
        <f t="shared" si="5"/>
        <v>FAIL</v>
      </c>
    </row>
    <row r="124" spans="1:22" x14ac:dyDescent="0.25">
      <c r="A124" t="str">
        <f>IF('Equipment Information'!A124="","", 'Equipment Information'!A124)</f>
        <v>20260770</v>
      </c>
      <c r="B124" t="str">
        <f>IF('Equipment Information'!B124="","", 'Equipment Information'!B124)</f>
        <v>Exhasut Fan Cabinet</v>
      </c>
      <c r="C124" t="str">
        <f>IF('Equipment Information'!C124="","", 'Equipment Information'!C124)</f>
        <v>Production Area</v>
      </c>
      <c r="E124" t="str">
        <f>IF(D124="","", IFERROR(VLOOKUP(D124, Hidden_Data!M:N, 2, FALSE), "0"))</f>
        <v/>
      </c>
      <c r="H124" t="str">
        <f>IF(G124="","", IFERROR(VLOOKUP(G124, Hidden_Data!M:N, 2, FALSE), "0"))</f>
        <v/>
      </c>
      <c r="K124" t="str">
        <f>IF(J124="","", IFERROR(VLOOKUP(J124, Hidden_Data!M:N, 2, FALSE), "0"))</f>
        <v/>
      </c>
      <c r="N124" t="str">
        <f>IF(M124="","", IFERROR(VLOOKUP(M124, Hidden_Data!M:N, 2, FALSE), "0"))</f>
        <v/>
      </c>
      <c r="Q124" t="str">
        <f>IF(P124="","", IFERROR(VLOOKUP(P124, Hidden_Data!M:N, 2, FALSE), "0"))</f>
        <v/>
      </c>
      <c r="T124">
        <f t="shared" si="3"/>
        <v>0</v>
      </c>
      <c r="U124" t="str">
        <f t="shared" si="4"/>
        <v>Pass/Fixed</v>
      </c>
      <c r="V124" t="str">
        <f t="shared" si="5"/>
        <v>PASS</v>
      </c>
    </row>
    <row r="125" spans="1:22" x14ac:dyDescent="0.25">
      <c r="A125" t="str">
        <f>IF('Equipment Information'!A125="","", 'Equipment Information'!A125)</f>
        <v>20260771</v>
      </c>
      <c r="B125" t="str">
        <f>IF('Equipment Information'!B125="","", 'Equipment Information'!B125)</f>
        <v>Processing Controls</v>
      </c>
      <c r="C125" t="str">
        <f>IF('Equipment Information'!C125="","", 'Equipment Information'!C125)</f>
        <v>Production Area</v>
      </c>
      <c r="E125" t="str">
        <f>IF(D125="","", IFERROR(VLOOKUP(D125, Hidden_Data!M:N, 2, FALSE), "0"))</f>
        <v/>
      </c>
      <c r="H125" t="str">
        <f>IF(G125="","", IFERROR(VLOOKUP(G125, Hidden_Data!M:N, 2, FALSE), "0"))</f>
        <v/>
      </c>
      <c r="K125" t="str">
        <f>IF(J125="","", IFERROR(VLOOKUP(J125, Hidden_Data!M:N, 2, FALSE), "0"))</f>
        <v/>
      </c>
      <c r="N125" t="str">
        <f>IF(M125="","", IFERROR(VLOOKUP(M125, Hidden_Data!M:N, 2, FALSE), "0"))</f>
        <v/>
      </c>
      <c r="Q125" t="str">
        <f>IF(P125="","", IFERROR(VLOOKUP(P125, Hidden_Data!M:N, 2, FALSE), "0"))</f>
        <v/>
      </c>
      <c r="T125">
        <f t="shared" si="3"/>
        <v>0</v>
      </c>
      <c r="U125" t="str">
        <f t="shared" si="4"/>
        <v>Pass/Fixed</v>
      </c>
      <c r="V125" t="str">
        <f t="shared" si="5"/>
        <v>PASS</v>
      </c>
    </row>
    <row r="126" spans="1:22" x14ac:dyDescent="0.25">
      <c r="A126" t="str">
        <f>IF('Equipment Information'!A126="","", 'Equipment Information'!A126)</f>
        <v>20260772</v>
      </c>
      <c r="B126" t="str">
        <f>IF('Equipment Information'!B126="","", 'Equipment Information'!B126)</f>
        <v>Welding Receptacle</v>
      </c>
      <c r="C126" t="str">
        <f>IF('Equipment Information'!C126="","", 'Equipment Information'!C126)</f>
        <v>Production Area</v>
      </c>
      <c r="E126" t="str">
        <f>IF(D126="","", IFERROR(VLOOKUP(D126, Hidden_Data!M:N, 2, FALSE), "0"))</f>
        <v/>
      </c>
      <c r="H126" t="str">
        <f>IF(G126="","", IFERROR(VLOOKUP(G126, Hidden_Data!M:N, 2, FALSE), "0"))</f>
        <v/>
      </c>
      <c r="K126" t="str">
        <f>IF(J126="","", IFERROR(VLOOKUP(J126, Hidden_Data!M:N, 2, FALSE), "0"))</f>
        <v/>
      </c>
      <c r="N126" t="str">
        <f>IF(M126="","", IFERROR(VLOOKUP(M126, Hidden_Data!M:N, 2, FALSE), "0"))</f>
        <v/>
      </c>
      <c r="Q126" t="str">
        <f>IF(P126="","", IFERROR(VLOOKUP(P126, Hidden_Data!M:N, 2, FALSE), "0"))</f>
        <v/>
      </c>
      <c r="T126">
        <f t="shared" si="3"/>
        <v>0</v>
      </c>
      <c r="U126" t="str">
        <f t="shared" si="4"/>
        <v>Pass/Fixed</v>
      </c>
      <c r="V126" t="str">
        <f t="shared" si="5"/>
        <v>PASS</v>
      </c>
    </row>
    <row r="127" spans="1:22" x14ac:dyDescent="0.25">
      <c r="A127" t="str">
        <f>IF('Equipment Information'!A127="","", 'Equipment Information'!A127)</f>
        <v>20260773</v>
      </c>
      <c r="B127" t="str">
        <f>IF('Equipment Information'!B127="","", 'Equipment Information'!B127)</f>
        <v>Drum Oiler #2</v>
      </c>
      <c r="C127" t="str">
        <f>IF('Equipment Information'!C127="","", 'Equipment Information'!C127)</f>
        <v>Production Area</v>
      </c>
      <c r="E127" t="str">
        <f>IF(D127="","", IFERROR(VLOOKUP(D127, Hidden_Data!M:N, 2, FALSE), "0"))</f>
        <v/>
      </c>
      <c r="H127" t="str">
        <f>IF(G127="","", IFERROR(VLOOKUP(G127, Hidden_Data!M:N, 2, FALSE), "0"))</f>
        <v/>
      </c>
      <c r="K127" t="str">
        <f>IF(J127="","", IFERROR(VLOOKUP(J127, Hidden_Data!M:N, 2, FALSE), "0"))</f>
        <v/>
      </c>
      <c r="N127" t="str">
        <f>IF(M127="","", IFERROR(VLOOKUP(M127, Hidden_Data!M:N, 2, FALSE), "0"))</f>
        <v/>
      </c>
      <c r="Q127" t="str">
        <f>IF(P127="","", IFERROR(VLOOKUP(P127, Hidden_Data!M:N, 2, FALSE), "0"))</f>
        <v/>
      </c>
      <c r="T127">
        <f t="shared" si="3"/>
        <v>0</v>
      </c>
      <c r="U127" t="str">
        <f t="shared" si="4"/>
        <v>Pass/Fixed</v>
      </c>
      <c r="V127" t="str">
        <f t="shared" si="5"/>
        <v>PASS</v>
      </c>
    </row>
    <row r="128" spans="1:22" x14ac:dyDescent="0.25">
      <c r="A128" t="str">
        <f>IF('Equipment Information'!A128="","", 'Equipment Information'!A128)</f>
        <v>20260774</v>
      </c>
      <c r="B128" t="str">
        <f>IF('Equipment Information'!B128="","", 'Equipment Information'!B128)</f>
        <v>Zone A/B/C Controls</v>
      </c>
      <c r="C128" t="str">
        <f>IF('Equipment Information'!C128="","", 'Equipment Information'!C128)</f>
        <v>Processing Area</v>
      </c>
      <c r="E128" t="str">
        <f>IF(D128="","", IFERROR(VLOOKUP(D128, Hidden_Data!M:N, 2, FALSE), "0"))</f>
        <v/>
      </c>
      <c r="H128" t="str">
        <f>IF(G128="","", IFERROR(VLOOKUP(G128, Hidden_Data!M:N, 2, FALSE), "0"))</f>
        <v/>
      </c>
      <c r="K128" t="str">
        <f>IF(J128="","", IFERROR(VLOOKUP(J128, Hidden_Data!M:N, 2, FALSE), "0"))</f>
        <v/>
      </c>
      <c r="N128" t="str">
        <f>IF(M128="","", IFERROR(VLOOKUP(M128, Hidden_Data!M:N, 2, FALSE), "0"))</f>
        <v/>
      </c>
      <c r="Q128" t="str">
        <f>IF(P128="","", IFERROR(VLOOKUP(P128, Hidden_Data!M:N, 2, FALSE), "0"))</f>
        <v/>
      </c>
      <c r="T128">
        <f t="shared" si="3"/>
        <v>0</v>
      </c>
      <c r="U128" t="str">
        <f t="shared" si="4"/>
        <v>Pass/Fixed</v>
      </c>
      <c r="V128" t="str">
        <f t="shared" si="5"/>
        <v>PASS</v>
      </c>
    </row>
    <row r="129" spans="1:22" x14ac:dyDescent="0.25">
      <c r="A129" t="str">
        <f>IF('Equipment Information'!A129="","", 'Equipment Information'!A129)</f>
        <v>20260775</v>
      </c>
      <c r="B129" t="str">
        <f>IF('Equipment Information'!B129="","", 'Equipment Information'!B129)</f>
        <v>Baler Disconnect</v>
      </c>
      <c r="C129" t="str">
        <f>IF('Equipment Information'!C129="","", 'Equipment Information'!C129)</f>
        <v>Packaging</v>
      </c>
      <c r="E129" t="str">
        <f>IF(D129="","", IFERROR(VLOOKUP(D129, Hidden_Data!M:N, 2, FALSE), "0"))</f>
        <v/>
      </c>
      <c r="H129" t="str">
        <f>IF(G129="","", IFERROR(VLOOKUP(G129, Hidden_Data!M:N, 2, FALSE), "0"))</f>
        <v/>
      </c>
      <c r="K129" t="str">
        <f>IF(J129="","", IFERROR(VLOOKUP(J129, Hidden_Data!M:N, 2, FALSE), "0"))</f>
        <v/>
      </c>
      <c r="N129" t="str">
        <f>IF(M129="","", IFERROR(VLOOKUP(M129, Hidden_Data!M:N, 2, FALSE), "0"))</f>
        <v/>
      </c>
      <c r="Q129" t="str">
        <f>IF(P129="","", IFERROR(VLOOKUP(P129, Hidden_Data!M:N, 2, FALSE), "0"))</f>
        <v/>
      </c>
      <c r="T129">
        <f t="shared" si="3"/>
        <v>0</v>
      </c>
      <c r="U129" t="str">
        <f t="shared" si="4"/>
        <v>Pass/Fixed</v>
      </c>
      <c r="V129" t="str">
        <f t="shared" si="5"/>
        <v>PASS</v>
      </c>
    </row>
    <row r="130" spans="1:22" x14ac:dyDescent="0.25">
      <c r="A130" t="str">
        <f>IF('Equipment Information'!A130="","", 'Equipment Information'!A130)</f>
        <v>20260776</v>
      </c>
      <c r="B130" t="str">
        <f>IF('Equipment Information'!B130="","", 'Equipment Information'!B130)</f>
        <v>Baler Controller</v>
      </c>
      <c r="C130" t="str">
        <f>IF('Equipment Information'!C130="","", 'Equipment Information'!C130)</f>
        <v>Packaging</v>
      </c>
      <c r="E130" t="str">
        <f>IF(D130="","", IFERROR(VLOOKUP(D130, Hidden_Data!M:N, 2, FALSE), "0"))</f>
        <v/>
      </c>
      <c r="H130" t="str">
        <f>IF(G130="","", IFERROR(VLOOKUP(G130, Hidden_Data!M:N, 2, FALSE), "0"))</f>
        <v/>
      </c>
      <c r="K130" t="str">
        <f>IF(J130="","", IFERROR(VLOOKUP(J130, Hidden_Data!M:N, 2, FALSE), "0"))</f>
        <v/>
      </c>
      <c r="N130" t="str">
        <f>IF(M130="","", IFERROR(VLOOKUP(M130, Hidden_Data!M:N, 2, FALSE), "0"))</f>
        <v/>
      </c>
      <c r="Q130" t="str">
        <f>IF(P130="","", IFERROR(VLOOKUP(P130, Hidden_Data!M:N, 2, FALSE), "0"))</f>
        <v/>
      </c>
      <c r="T130">
        <f t="shared" ref="T130:T193" si="6">IF(A130="","", SUM(IF(F130="Yes", 0, IF(E130="", 0, IFERROR(VALUE(MID(E130, SEARCH("(",E130)+1, 1)), 0))), IF(I130="Yes", 0, IF(H130="", 0, IFERROR(VALUE(MID(H130, SEARCH("(",H130)+1, 1)), 0))), IF(L130="Yes", 0, IF(K130="", 0, IFERROR(VALUE(MID(K130, SEARCH("(",K130)+1, 1)), 0))), IF(O130="Yes", 0, IF(N130="", 0, IFERROR(VALUE(MID(N130, SEARCH("(",N130)+1, 1)), 0))), IF(R130="Yes", 0, IF(Q130="", 0, IFERROR(VALUE(MID(Q130, SEARCH("(",Q130)+1, 1)), 0)))))</f>
        <v>0</v>
      </c>
      <c r="U130" t="str">
        <f t="shared" ref="U130:U193" si="7">IF(A130="","", IF(T130&gt;=5, "Priority 1 (Critical)", IF(T130&gt;=3, "Priority 2 (Major)", IF(T130&gt;=1, "Priority 3 (Minor)", "Pass/Fixed"))))</f>
        <v>Pass/Fixed</v>
      </c>
      <c r="V130" t="str">
        <f t="shared" ref="V130:V193" si="8">IF(A130="","", IF(T130&gt;0, "FAIL", "PASS"))</f>
        <v>PASS</v>
      </c>
    </row>
    <row r="131" spans="1:22" x14ac:dyDescent="0.25">
      <c r="A131" t="str">
        <f>IF('Equipment Information'!A131="","", 'Equipment Information'!A131)</f>
        <v>20260777</v>
      </c>
      <c r="B131" t="str">
        <f>IF('Equipment Information'!B131="","", 'Equipment Information'!B131)</f>
        <v>Three-Phase Outlet Disconnect</v>
      </c>
      <c r="C131" t="str">
        <f>IF('Equipment Information'!C131="","", 'Equipment Information'!C131)</f>
        <v>Warehouse</v>
      </c>
      <c r="E131" t="str">
        <f>IF(D131="","", IFERROR(VLOOKUP(D131, Hidden_Data!M:N, 2, FALSE), "0"))</f>
        <v/>
      </c>
      <c r="H131" t="str">
        <f>IF(G131="","", IFERROR(VLOOKUP(G131, Hidden_Data!M:N, 2, FALSE), "0"))</f>
        <v/>
      </c>
      <c r="K131" t="str">
        <f>IF(J131="","", IFERROR(VLOOKUP(J131, Hidden_Data!M:N, 2, FALSE), "0"))</f>
        <v/>
      </c>
      <c r="N131" t="str">
        <f>IF(M131="","", IFERROR(VLOOKUP(M131, Hidden_Data!M:N, 2, FALSE), "0"))</f>
        <v/>
      </c>
      <c r="Q131" t="str">
        <f>IF(P131="","", IFERROR(VLOOKUP(P131, Hidden_Data!M:N, 2, FALSE), "0"))</f>
        <v/>
      </c>
      <c r="T131">
        <f t="shared" si="6"/>
        <v>0</v>
      </c>
      <c r="U131" t="str">
        <f t="shared" si="7"/>
        <v>Pass/Fixed</v>
      </c>
      <c r="V131" t="str">
        <f t="shared" si="8"/>
        <v>PASS</v>
      </c>
    </row>
    <row r="132" spans="1:22" x14ac:dyDescent="0.25">
      <c r="A132" t="str">
        <f>IF('Equipment Information'!A132="","", 'Equipment Information'!A132)</f>
        <v>20260778</v>
      </c>
      <c r="B132" t="str">
        <f>IF('Equipment Information'!B132="","", 'Equipment Information'!B132)</f>
        <v>New Addition Panel</v>
      </c>
      <c r="C132" t="str">
        <f>IF('Equipment Information'!C132="","", 'Equipment Information'!C132)</f>
        <v>Warehouse</v>
      </c>
      <c r="E132" t="str">
        <f>IF(D132="","", IFERROR(VLOOKUP(D132, Hidden_Data!M:N, 2, FALSE), "0"))</f>
        <v/>
      </c>
      <c r="H132" t="str">
        <f>IF(G132="","", IFERROR(VLOOKUP(G132, Hidden_Data!M:N, 2, FALSE), "0"))</f>
        <v/>
      </c>
      <c r="K132" t="str">
        <f>IF(J132="","", IFERROR(VLOOKUP(J132, Hidden_Data!M:N, 2, FALSE), "0"))</f>
        <v/>
      </c>
      <c r="N132" t="str">
        <f>IF(M132="","", IFERROR(VLOOKUP(M132, Hidden_Data!M:N, 2, FALSE), "0"))</f>
        <v/>
      </c>
      <c r="Q132" t="str">
        <f>IF(P132="","", IFERROR(VLOOKUP(P132, Hidden_Data!M:N, 2, FALSE), "0"))</f>
        <v/>
      </c>
      <c r="T132">
        <f t="shared" si="6"/>
        <v>0</v>
      </c>
      <c r="U132" t="str">
        <f t="shared" si="7"/>
        <v>Pass/Fixed</v>
      </c>
      <c r="V132" t="str">
        <f t="shared" si="8"/>
        <v>PASS</v>
      </c>
    </row>
    <row r="133" spans="1:22" x14ac:dyDescent="0.25">
      <c r="A133" t="str">
        <f>IF('Equipment Information'!A133="","", 'Equipment Information'!A133)</f>
        <v>20260779</v>
      </c>
      <c r="B133" t="str">
        <f>IF('Equipment Information'!B133="","", 'Equipment Information'!B133)</f>
        <v>AGT - R&amp;D</v>
      </c>
      <c r="C133" t="str">
        <f>IF('Equipment Information'!C133="","", 'Equipment Information'!C133)</f>
        <v>Boiler Room</v>
      </c>
      <c r="E133" t="str">
        <f>IF(D133="","", IFERROR(VLOOKUP(D133, Hidden_Data!M:N, 2, FALSE), "0"))</f>
        <v/>
      </c>
      <c r="H133" t="str">
        <f>IF(G133="","", IFERROR(VLOOKUP(G133, Hidden_Data!M:N, 2, FALSE), "0"))</f>
        <v/>
      </c>
      <c r="K133" t="str">
        <f>IF(J133="","", IFERROR(VLOOKUP(J133, Hidden_Data!M:N, 2, FALSE), "0"))</f>
        <v/>
      </c>
      <c r="N133" t="str">
        <f>IF(M133="","", IFERROR(VLOOKUP(M133, Hidden_Data!M:N, 2, FALSE), "0"))</f>
        <v/>
      </c>
      <c r="Q133" t="str">
        <f>IF(P133="","", IFERROR(VLOOKUP(P133, Hidden_Data!M:N, 2, FALSE), "0"))</f>
        <v/>
      </c>
      <c r="T133">
        <f t="shared" si="6"/>
        <v>0</v>
      </c>
      <c r="U133" t="str">
        <f t="shared" si="7"/>
        <v>Pass/Fixed</v>
      </c>
      <c r="V133" t="str">
        <f t="shared" si="8"/>
        <v>PASS</v>
      </c>
    </row>
    <row r="134" spans="1:22" x14ac:dyDescent="0.25">
      <c r="A134" t="str">
        <f>IF('Equipment Information'!A134="","", 'Equipment Information'!A134)</f>
        <v>20260780</v>
      </c>
      <c r="B134" t="str">
        <f>IF('Equipment Information'!B134="","", 'Equipment Information'!B134)</f>
        <v>VS - R&amp;D</v>
      </c>
      <c r="C134" t="str">
        <f>IF('Equipment Information'!C134="","", 'Equipment Information'!C134)</f>
        <v>Boiler Room</v>
      </c>
      <c r="E134" t="str">
        <f>IF(D134="","", IFERROR(VLOOKUP(D134, Hidden_Data!M:N, 2, FALSE), "0"))</f>
        <v/>
      </c>
      <c r="H134" t="str">
        <f>IF(G134="","", IFERROR(VLOOKUP(G134, Hidden_Data!M:N, 2, FALSE), "0"))</f>
        <v/>
      </c>
      <c r="K134" t="str">
        <f>IF(J134="","", IFERROR(VLOOKUP(J134, Hidden_Data!M:N, 2, FALSE), "0"))</f>
        <v/>
      </c>
      <c r="N134" t="str">
        <f>IF(M134="","", IFERROR(VLOOKUP(M134, Hidden_Data!M:N, 2, FALSE), "0"))</f>
        <v/>
      </c>
      <c r="Q134" t="str">
        <f>IF(P134="","", IFERROR(VLOOKUP(P134, Hidden_Data!M:N, 2, FALSE), "0"))</f>
        <v/>
      </c>
      <c r="T134">
        <f t="shared" si="6"/>
        <v>0</v>
      </c>
      <c r="U134" t="str">
        <f t="shared" si="7"/>
        <v>Pass/Fixed</v>
      </c>
      <c r="V134" t="str">
        <f t="shared" si="8"/>
        <v>PASS</v>
      </c>
    </row>
    <row r="135" spans="1:22" x14ac:dyDescent="0.25">
      <c r="A135" t="str">
        <f>IF('Equipment Information'!A135="","", 'Equipment Information'!A135)</f>
        <v>20260781</v>
      </c>
      <c r="B135" t="str">
        <f>IF('Equipment Information'!B135="","", 'Equipment Information'!B135)</f>
        <v>RED PP-1</v>
      </c>
      <c r="C135" t="str">
        <f>IF('Equipment Information'!C135="","", 'Equipment Information'!C135)</f>
        <v>Boiler Room</v>
      </c>
      <c r="E135" t="str">
        <f>IF(D135="","", IFERROR(VLOOKUP(D135, Hidden_Data!M:N, 2, FALSE), "0"))</f>
        <v/>
      </c>
      <c r="H135" t="str">
        <f>IF(G135="","", IFERROR(VLOOKUP(G135, Hidden_Data!M:N, 2, FALSE), "0"))</f>
        <v/>
      </c>
      <c r="K135" t="str">
        <f>IF(J135="","", IFERROR(VLOOKUP(J135, Hidden_Data!M:N, 2, FALSE), "0"))</f>
        <v/>
      </c>
      <c r="N135" t="str">
        <f>IF(M135="","", IFERROR(VLOOKUP(M135, Hidden_Data!M:N, 2, FALSE), "0"))</f>
        <v/>
      </c>
      <c r="Q135" t="str">
        <f>IF(P135="","", IFERROR(VLOOKUP(P135, Hidden_Data!M:N, 2, FALSE), "0"))</f>
        <v/>
      </c>
      <c r="T135">
        <f t="shared" si="6"/>
        <v>0</v>
      </c>
      <c r="U135" t="str">
        <f t="shared" si="7"/>
        <v>Pass/Fixed</v>
      </c>
      <c r="V135" t="str">
        <f t="shared" si="8"/>
        <v>PASS</v>
      </c>
    </row>
    <row r="136" spans="1:22" x14ac:dyDescent="0.25">
      <c r="A136" t="str">
        <f>IF('Equipment Information'!A136="","", 'Equipment Information'!A136)</f>
        <v>20260782</v>
      </c>
      <c r="B136" t="str">
        <f>IF('Equipment Information'!B136="","", 'Equipment Information'!B136)</f>
        <v>RED PP-2</v>
      </c>
      <c r="C136" t="str">
        <f>IF('Equipment Information'!C136="","", 'Equipment Information'!C136)</f>
        <v>Boiler Room</v>
      </c>
      <c r="E136" t="str">
        <f>IF(D136="","", IFERROR(VLOOKUP(D136, Hidden_Data!M:N, 2, FALSE), "0"))</f>
        <v/>
      </c>
      <c r="H136" t="str">
        <f>IF(G136="","", IFERROR(VLOOKUP(G136, Hidden_Data!M:N, 2, FALSE), "0"))</f>
        <v/>
      </c>
      <c r="K136" t="str">
        <f>IF(J136="","", IFERROR(VLOOKUP(J136, Hidden_Data!M:N, 2, FALSE), "0"))</f>
        <v/>
      </c>
      <c r="N136" t="str">
        <f>IF(M136="","", IFERROR(VLOOKUP(M136, Hidden_Data!M:N, 2, FALSE), "0"))</f>
        <v/>
      </c>
      <c r="Q136" t="str">
        <f>IF(P136="","", IFERROR(VLOOKUP(P136, Hidden_Data!M:N, 2, FALSE), "0"))</f>
        <v/>
      </c>
      <c r="T136">
        <f t="shared" si="6"/>
        <v>0</v>
      </c>
      <c r="U136" t="str">
        <f t="shared" si="7"/>
        <v>Pass/Fixed</v>
      </c>
      <c r="V136" t="str">
        <f t="shared" si="8"/>
        <v>PASS</v>
      </c>
    </row>
    <row r="137" spans="1:22" x14ac:dyDescent="0.25">
      <c r="A137" t="str">
        <f>IF('Equipment Information'!A137="","", 'Equipment Information'!A137)</f>
        <v>20260783</v>
      </c>
      <c r="B137" t="str">
        <f>IF('Equipment Information'!B137="","", 'Equipment Information'!B137)</f>
        <v>CP-Boiler #1 Disconnect</v>
      </c>
      <c r="C137" t="str">
        <f>IF('Equipment Information'!C137="","", 'Equipment Information'!C137)</f>
        <v>Boiler Room</v>
      </c>
      <c r="E137" t="str">
        <f>IF(D137="","", IFERROR(VLOOKUP(D137, Hidden_Data!M:N, 2, FALSE), "0"))</f>
        <v/>
      </c>
      <c r="H137" t="str">
        <f>IF(G137="","", IFERROR(VLOOKUP(G137, Hidden_Data!M:N, 2, FALSE), "0"))</f>
        <v/>
      </c>
      <c r="K137" t="str">
        <f>IF(J137="","", IFERROR(VLOOKUP(J137, Hidden_Data!M:N, 2, FALSE), "0"))</f>
        <v/>
      </c>
      <c r="N137" t="str">
        <f>IF(M137="","", IFERROR(VLOOKUP(M137, Hidden_Data!M:N, 2, FALSE), "0"))</f>
        <v/>
      </c>
      <c r="Q137" t="str">
        <f>IF(P137="","", IFERROR(VLOOKUP(P137, Hidden_Data!M:N, 2, FALSE), "0"))</f>
        <v/>
      </c>
      <c r="T137">
        <f t="shared" si="6"/>
        <v>0</v>
      </c>
      <c r="U137" t="str">
        <f t="shared" si="7"/>
        <v>Pass/Fixed</v>
      </c>
      <c r="V137" t="str">
        <f t="shared" si="8"/>
        <v>PASS</v>
      </c>
    </row>
    <row r="138" spans="1:22" x14ac:dyDescent="0.25">
      <c r="A138" t="str">
        <f>IF('Equipment Information'!A138="","", 'Equipment Information'!A138)</f>
        <v>20260784</v>
      </c>
      <c r="B138" t="str">
        <f>IF('Equipment Information'!B138="","", 'Equipment Information'!B138)</f>
        <v>CP-Boiler #1</v>
      </c>
      <c r="C138" t="str">
        <f>IF('Equipment Information'!C138="","", 'Equipment Information'!C138)</f>
        <v>Boiler Room</v>
      </c>
      <c r="E138" t="str">
        <f>IF(D138="","", IFERROR(VLOOKUP(D138, Hidden_Data!M:N, 2, FALSE), "0"))</f>
        <v/>
      </c>
      <c r="H138" t="str">
        <f>IF(G138="","", IFERROR(VLOOKUP(G138, Hidden_Data!M:N, 2, FALSE), "0"))</f>
        <v/>
      </c>
      <c r="K138" t="str">
        <f>IF(J138="","", IFERROR(VLOOKUP(J138, Hidden_Data!M:N, 2, FALSE), "0"))</f>
        <v/>
      </c>
      <c r="N138" t="str">
        <f>IF(M138="","", IFERROR(VLOOKUP(M138, Hidden_Data!M:N, 2, FALSE), "0"))</f>
        <v/>
      </c>
      <c r="Q138" t="str">
        <f>IF(P138="","", IFERROR(VLOOKUP(P138, Hidden_Data!M:N, 2, FALSE), "0"))</f>
        <v/>
      </c>
      <c r="T138">
        <f t="shared" si="6"/>
        <v>0</v>
      </c>
      <c r="U138" t="str">
        <f t="shared" si="7"/>
        <v>Pass/Fixed</v>
      </c>
      <c r="V138" t="str">
        <f t="shared" si="8"/>
        <v>PASS</v>
      </c>
    </row>
    <row r="139" spans="1:22" x14ac:dyDescent="0.25">
      <c r="A139" t="str">
        <f>IF('Equipment Information'!A139="","", 'Equipment Information'!A139)</f>
        <v>20260785</v>
      </c>
      <c r="B139" t="str">
        <f>IF('Equipment Information'!B139="","", 'Equipment Information'!B139)</f>
        <v>-</v>
      </c>
      <c r="C139" t="str">
        <f>IF('Equipment Information'!C139="","", 'Equipment Information'!C139)</f>
        <v>Boiler Room</v>
      </c>
      <c r="E139" t="str">
        <f>IF(D139="","", IFERROR(VLOOKUP(D139, Hidden_Data!M:N, 2, FALSE), "0"))</f>
        <v/>
      </c>
      <c r="H139" t="str">
        <f>IF(G139="","", IFERROR(VLOOKUP(G139, Hidden_Data!M:N, 2, FALSE), "0"))</f>
        <v/>
      </c>
      <c r="K139" t="str">
        <f>IF(J139="","", IFERROR(VLOOKUP(J139, Hidden_Data!M:N, 2, FALSE), "0"))</f>
        <v/>
      </c>
      <c r="N139" t="str">
        <f>IF(M139="","", IFERROR(VLOOKUP(M139, Hidden_Data!M:N, 2, FALSE), "0"))</f>
        <v/>
      </c>
      <c r="Q139" t="str">
        <f>IF(P139="","", IFERROR(VLOOKUP(P139, Hidden_Data!M:N, 2, FALSE), "0"))</f>
        <v/>
      </c>
      <c r="T139">
        <f t="shared" si="6"/>
        <v>0</v>
      </c>
      <c r="U139" t="str">
        <f t="shared" si="7"/>
        <v>Pass/Fixed</v>
      </c>
      <c r="V139" t="str">
        <f t="shared" si="8"/>
        <v>PASS</v>
      </c>
    </row>
    <row r="140" spans="1:22" x14ac:dyDescent="0.25">
      <c r="A140" t="str">
        <f>IF('Equipment Information'!A140="","", 'Equipment Information'!A140)</f>
        <v>20260786</v>
      </c>
      <c r="B140" t="str">
        <f>IF('Equipment Information'!B140="","", 'Equipment Information'!B140)</f>
        <v>-</v>
      </c>
      <c r="C140" t="str">
        <f>IF('Equipment Information'!C140="","", 'Equipment Information'!C140)</f>
        <v>Boiler Room</v>
      </c>
      <c r="E140" t="str">
        <f>IF(D140="","", IFERROR(VLOOKUP(D140, Hidden_Data!M:N, 2, FALSE), "0"))</f>
        <v/>
      </c>
      <c r="H140" t="str">
        <f>IF(G140="","", IFERROR(VLOOKUP(G140, Hidden_Data!M:N, 2, FALSE), "0"))</f>
        <v/>
      </c>
      <c r="K140" t="str">
        <f>IF(J140="","", IFERROR(VLOOKUP(J140, Hidden_Data!M:N, 2, FALSE), "0"))</f>
        <v/>
      </c>
      <c r="N140" t="str">
        <f>IF(M140="","", IFERROR(VLOOKUP(M140, Hidden_Data!M:N, 2, FALSE), "0"))</f>
        <v/>
      </c>
      <c r="Q140" t="str">
        <f>IF(P140="","", IFERROR(VLOOKUP(P140, Hidden_Data!M:N, 2, FALSE), "0"))</f>
        <v/>
      </c>
      <c r="T140">
        <f t="shared" si="6"/>
        <v>0</v>
      </c>
      <c r="U140" t="str">
        <f t="shared" si="7"/>
        <v>Pass/Fixed</v>
      </c>
      <c r="V140" t="str">
        <f t="shared" si="8"/>
        <v>PASS</v>
      </c>
    </row>
    <row r="141" spans="1:22" x14ac:dyDescent="0.25">
      <c r="A141" t="str">
        <f>IF('Equipment Information'!A141="","", 'Equipment Information'!A141)</f>
        <v>20260787</v>
      </c>
      <c r="B141" t="str">
        <f>IF('Equipment Information'!B141="","", 'Equipment Information'!B141)</f>
        <v>-</v>
      </c>
      <c r="C141" t="str">
        <f>IF('Equipment Information'!C141="","", 'Equipment Information'!C141)</f>
        <v>Boiler Mechanical Room</v>
      </c>
      <c r="E141" t="str">
        <f>IF(D141="","", IFERROR(VLOOKUP(D141, Hidden_Data!M:N, 2, FALSE), "0"))</f>
        <v/>
      </c>
      <c r="H141" t="str">
        <f>IF(G141="","", IFERROR(VLOOKUP(G141, Hidden_Data!M:N, 2, FALSE), "0"))</f>
        <v/>
      </c>
      <c r="K141" t="str">
        <f>IF(J141="","", IFERROR(VLOOKUP(J141, Hidden_Data!M:N, 2, FALSE), "0"))</f>
        <v/>
      </c>
      <c r="N141" t="str">
        <f>IF(M141="","", IFERROR(VLOOKUP(M141, Hidden_Data!M:N, 2, FALSE), "0"))</f>
        <v/>
      </c>
      <c r="Q141" t="str">
        <f>IF(P141="","", IFERROR(VLOOKUP(P141, Hidden_Data!M:N, 2, FALSE), "0"))</f>
        <v/>
      </c>
      <c r="T141">
        <f t="shared" si="6"/>
        <v>0</v>
      </c>
      <c r="U141" t="str">
        <f t="shared" si="7"/>
        <v>Pass/Fixed</v>
      </c>
      <c r="V141" t="str">
        <f t="shared" si="8"/>
        <v>PASS</v>
      </c>
    </row>
    <row r="142" spans="1:22" x14ac:dyDescent="0.25">
      <c r="A142" t="str">
        <f>IF('Equipment Information'!A142="","", 'Equipment Information'!A142)</f>
        <v>20260788</v>
      </c>
      <c r="B142" t="str">
        <f>IF('Equipment Information'!B142="","", 'Equipment Information'!B142)</f>
        <v>-</v>
      </c>
      <c r="C142" t="str">
        <f>IF('Equipment Information'!C142="","", 'Equipment Information'!C142)</f>
        <v>Boiler Mechanical Room</v>
      </c>
      <c r="E142" t="str">
        <f>IF(D142="","", IFERROR(VLOOKUP(D142, Hidden_Data!M:N, 2, FALSE), "0"))</f>
        <v/>
      </c>
      <c r="H142" t="str">
        <f>IF(G142="","", IFERROR(VLOOKUP(G142, Hidden_Data!M:N, 2, FALSE), "0"))</f>
        <v/>
      </c>
      <c r="K142" t="str">
        <f>IF(J142="","", IFERROR(VLOOKUP(J142, Hidden_Data!M:N, 2, FALSE), "0"))</f>
        <v/>
      </c>
      <c r="N142" t="str">
        <f>IF(M142="","", IFERROR(VLOOKUP(M142, Hidden_Data!M:N, 2, FALSE), "0"))</f>
        <v/>
      </c>
      <c r="Q142" t="str">
        <f>IF(P142="","", IFERROR(VLOOKUP(P142, Hidden_Data!M:N, 2, FALSE), "0"))</f>
        <v/>
      </c>
      <c r="T142">
        <f t="shared" si="6"/>
        <v>0</v>
      </c>
      <c r="U142" t="str">
        <f t="shared" si="7"/>
        <v>Pass/Fixed</v>
      </c>
      <c r="V142" t="str">
        <f t="shared" si="8"/>
        <v>PASS</v>
      </c>
    </row>
    <row r="143" spans="1:22" x14ac:dyDescent="0.25">
      <c r="A143" t="str">
        <f>IF('Equipment Information'!A143="","", 'Equipment Information'!A143)</f>
        <v>20260789</v>
      </c>
      <c r="B143" t="str">
        <f>IF('Equipment Information'!B143="","", 'Equipment Information'!B143)</f>
        <v/>
      </c>
      <c r="C143" t="str">
        <f>IF('Equipment Information'!C143="","", 'Equipment Information'!C143)</f>
        <v>Boiler Mechanical Room</v>
      </c>
      <c r="E143" t="str">
        <f>IF(D143="","", IFERROR(VLOOKUP(D143, Hidden_Data!M:N, 2, FALSE), "0"))</f>
        <v/>
      </c>
      <c r="H143" t="str">
        <f>IF(G143="","", IFERROR(VLOOKUP(G143, Hidden_Data!M:N, 2, FALSE), "0"))</f>
        <v/>
      </c>
      <c r="K143" t="str">
        <f>IF(J143="","", IFERROR(VLOOKUP(J143, Hidden_Data!M:N, 2, FALSE), "0"))</f>
        <v/>
      </c>
      <c r="N143" t="str">
        <f>IF(M143="","", IFERROR(VLOOKUP(M143, Hidden_Data!M:N, 2, FALSE), "0"))</f>
        <v/>
      </c>
      <c r="Q143" t="str">
        <f>IF(P143="","", IFERROR(VLOOKUP(P143, Hidden_Data!M:N, 2, FALSE), "0"))</f>
        <v/>
      </c>
      <c r="T143">
        <f t="shared" si="6"/>
        <v>0</v>
      </c>
      <c r="U143" t="str">
        <f t="shared" si="7"/>
        <v>Pass/Fixed</v>
      </c>
      <c r="V143" t="str">
        <f t="shared" si="8"/>
        <v>PASS</v>
      </c>
    </row>
    <row r="144" spans="1:22" x14ac:dyDescent="0.25">
      <c r="A144" t="str">
        <f>IF('Equipment Information'!A144="","", 'Equipment Information'!A144)</f>
        <v>20260790</v>
      </c>
      <c r="B144" t="str">
        <f>IF('Equipment Information'!B144="","", 'Equipment Information'!B144)</f>
        <v/>
      </c>
      <c r="C144" t="str">
        <f>IF('Equipment Information'!C144="","", 'Equipment Information'!C144)</f>
        <v>Boiler Mechanical Room</v>
      </c>
      <c r="E144" t="str">
        <f>IF(D144="","", IFERROR(VLOOKUP(D144, Hidden_Data!M:N, 2, FALSE), "0"))</f>
        <v/>
      </c>
      <c r="H144" t="str">
        <f>IF(G144="","", IFERROR(VLOOKUP(G144, Hidden_Data!M:N, 2, FALSE), "0"))</f>
        <v/>
      </c>
      <c r="K144" t="str">
        <f>IF(J144="","", IFERROR(VLOOKUP(J144, Hidden_Data!M:N, 2, FALSE), "0"))</f>
        <v/>
      </c>
      <c r="N144" t="str">
        <f>IF(M144="","", IFERROR(VLOOKUP(M144, Hidden_Data!M:N, 2, FALSE), "0"))</f>
        <v/>
      </c>
      <c r="Q144" t="str">
        <f>IF(P144="","", IFERROR(VLOOKUP(P144, Hidden_Data!M:N, 2, FALSE), "0"))</f>
        <v/>
      </c>
      <c r="T144">
        <f t="shared" si="6"/>
        <v>0</v>
      </c>
      <c r="U144" t="str">
        <f t="shared" si="7"/>
        <v>Pass/Fixed</v>
      </c>
      <c r="V144" t="str">
        <f t="shared" si="8"/>
        <v>PASS</v>
      </c>
    </row>
    <row r="145" spans="1:22" x14ac:dyDescent="0.25">
      <c r="A145" t="str">
        <f>IF('Equipment Information'!A145="","", 'Equipment Information'!A145)</f>
        <v>20260791</v>
      </c>
      <c r="B145" t="str">
        <f>IF('Equipment Information'!B145="","", 'Equipment Information'!B145)</f>
        <v>100 HP Compressor Disconnect</v>
      </c>
      <c r="C145" t="str">
        <f>IF('Equipment Information'!C145="","", 'Equipment Information'!C145)</f>
        <v>Compressor Room</v>
      </c>
      <c r="E145" t="str">
        <f>IF(D145="","", IFERROR(VLOOKUP(D145, Hidden_Data!M:N, 2, FALSE), "0"))</f>
        <v/>
      </c>
      <c r="H145" t="str">
        <f>IF(G145="","", IFERROR(VLOOKUP(G145, Hidden_Data!M:N, 2, FALSE), "0"))</f>
        <v/>
      </c>
      <c r="K145" t="str">
        <f>IF(J145="","", IFERROR(VLOOKUP(J145, Hidden_Data!M:N, 2, FALSE), "0"))</f>
        <v/>
      </c>
      <c r="N145" t="str">
        <f>IF(M145="","", IFERROR(VLOOKUP(M145, Hidden_Data!M:N, 2, FALSE), "0"))</f>
        <v/>
      </c>
      <c r="Q145" t="str">
        <f>IF(P145="","", IFERROR(VLOOKUP(P145, Hidden_Data!M:N, 2, FALSE), "0"))</f>
        <v/>
      </c>
      <c r="T145">
        <f t="shared" si="6"/>
        <v>0</v>
      </c>
      <c r="U145" t="str">
        <f t="shared" si="7"/>
        <v>Pass/Fixed</v>
      </c>
      <c r="V145" t="str">
        <f t="shared" si="8"/>
        <v>PASS</v>
      </c>
    </row>
    <row r="146" spans="1:22" x14ac:dyDescent="0.25">
      <c r="A146" t="str">
        <f>IF('Equipment Information'!A146="","", 'Equipment Information'!A146)</f>
        <v>20260792</v>
      </c>
      <c r="B146" t="str">
        <f>IF('Equipment Information'!B146="","", 'Equipment Information'!B146)</f>
        <v>100 HP Compressor</v>
      </c>
      <c r="C146" t="str">
        <f>IF('Equipment Information'!C146="","", 'Equipment Information'!C146)</f>
        <v>Compressor Room</v>
      </c>
      <c r="E146" t="str">
        <f>IF(D146="","", IFERROR(VLOOKUP(D146, Hidden_Data!M:N, 2, FALSE), "0"))</f>
        <v/>
      </c>
      <c r="H146" t="str">
        <f>IF(G146="","", IFERROR(VLOOKUP(G146, Hidden_Data!M:N, 2, FALSE), "0"))</f>
        <v/>
      </c>
      <c r="K146" t="str">
        <f>IF(J146="","", IFERROR(VLOOKUP(J146, Hidden_Data!M:N, 2, FALSE), "0"))</f>
        <v/>
      </c>
      <c r="N146" t="str">
        <f>IF(M146="","", IFERROR(VLOOKUP(M146, Hidden_Data!M:N, 2, FALSE), "0"))</f>
        <v/>
      </c>
      <c r="Q146" t="str">
        <f>IF(P146="","", IFERROR(VLOOKUP(P146, Hidden_Data!M:N, 2, FALSE), "0"))</f>
        <v/>
      </c>
      <c r="T146">
        <f t="shared" si="6"/>
        <v>0</v>
      </c>
      <c r="U146" t="str">
        <f t="shared" si="7"/>
        <v>Pass/Fixed</v>
      </c>
      <c r="V146" t="str">
        <f t="shared" si="8"/>
        <v>PASS</v>
      </c>
    </row>
    <row r="147" spans="1:22" x14ac:dyDescent="0.25">
      <c r="A147" t="str">
        <f>IF('Equipment Information'!A147="","", 'Equipment Information'!A147)</f>
        <v>20260793</v>
      </c>
      <c r="B147" t="str">
        <f>IF('Equipment Information'!B147="","", 'Equipment Information'!B147)</f>
        <v>150 HP Compressor</v>
      </c>
      <c r="C147" t="str">
        <f>IF('Equipment Information'!C147="","", 'Equipment Information'!C147)</f>
        <v>Compressor Room</v>
      </c>
      <c r="E147" t="str">
        <f>IF(D147="","", IFERROR(VLOOKUP(D147, Hidden_Data!M:N, 2, FALSE), "0"))</f>
        <v/>
      </c>
      <c r="H147" t="str">
        <f>IF(G147="","", IFERROR(VLOOKUP(G147, Hidden_Data!M:N, 2, FALSE), "0"))</f>
        <v/>
      </c>
      <c r="K147" t="str">
        <f>IF(J147="","", IFERROR(VLOOKUP(J147, Hidden_Data!M:N, 2, FALSE), "0"))</f>
        <v/>
      </c>
      <c r="N147" t="str">
        <f>IF(M147="","", IFERROR(VLOOKUP(M147, Hidden_Data!M:N, 2, FALSE), "0"))</f>
        <v/>
      </c>
      <c r="Q147" t="str">
        <f>IF(P147="","", IFERROR(VLOOKUP(P147, Hidden_Data!M:N, 2, FALSE), "0"))</f>
        <v/>
      </c>
      <c r="T147">
        <f t="shared" si="6"/>
        <v>0</v>
      </c>
      <c r="U147" t="str">
        <f t="shared" si="7"/>
        <v>Pass/Fixed</v>
      </c>
      <c r="V147" t="str">
        <f t="shared" si="8"/>
        <v>PASS</v>
      </c>
    </row>
    <row r="148" spans="1:22" x14ac:dyDescent="0.25">
      <c r="A148" t="str">
        <f>IF('Equipment Information'!A148="","", 'Equipment Information'!A148)</f>
        <v>20260794</v>
      </c>
      <c r="B148" t="str">
        <f>IF('Equipment Information'!B148="","", 'Equipment Information'!B148)</f>
        <v>Exhasut Fan Cabinet</v>
      </c>
      <c r="C148" t="str">
        <f>IF('Equipment Information'!C148="","", 'Equipment Information'!C148)</f>
        <v>Compressor Room</v>
      </c>
      <c r="E148" t="str">
        <f>IF(D148="","", IFERROR(VLOOKUP(D148, Hidden_Data!M:N, 2, FALSE), "0"))</f>
        <v/>
      </c>
      <c r="H148" t="str">
        <f>IF(G148="","", IFERROR(VLOOKUP(G148, Hidden_Data!M:N, 2, FALSE), "0"))</f>
        <v/>
      </c>
      <c r="K148" t="str">
        <f>IF(J148="","", IFERROR(VLOOKUP(J148, Hidden_Data!M:N, 2, FALSE), "0"))</f>
        <v/>
      </c>
      <c r="N148" t="str">
        <f>IF(M148="","", IFERROR(VLOOKUP(M148, Hidden_Data!M:N, 2, FALSE), "0"))</f>
        <v/>
      </c>
      <c r="Q148" t="str">
        <f>IF(P148="","", IFERROR(VLOOKUP(P148, Hidden_Data!M:N, 2, FALSE), "0"))</f>
        <v/>
      </c>
      <c r="T148">
        <f t="shared" si="6"/>
        <v>0</v>
      </c>
      <c r="U148" t="str">
        <f t="shared" si="7"/>
        <v>Pass/Fixed</v>
      </c>
      <c r="V148" t="str">
        <f t="shared" si="8"/>
        <v>PASS</v>
      </c>
    </row>
    <row r="149" spans="1:22" x14ac:dyDescent="0.25">
      <c r="A149" t="str">
        <f>IF('Equipment Information'!A149="","", 'Equipment Information'!A149)</f>
        <v>20260795</v>
      </c>
      <c r="B149" t="str">
        <f>IF('Equipment Information'!B149="","", 'Equipment Information'!B149)</f>
        <v>Air Dryer Disconnect</v>
      </c>
      <c r="C149" t="str">
        <f>IF('Equipment Information'!C149="","", 'Equipment Information'!C149)</f>
        <v>Compressor Room</v>
      </c>
      <c r="E149" t="str">
        <f>IF(D149="","", IFERROR(VLOOKUP(D149, Hidden_Data!M:N, 2, FALSE), "0"))</f>
        <v/>
      </c>
      <c r="H149" t="str">
        <f>IF(G149="","", IFERROR(VLOOKUP(G149, Hidden_Data!M:N, 2, FALSE), "0"))</f>
        <v/>
      </c>
      <c r="K149" t="str">
        <f>IF(J149="","", IFERROR(VLOOKUP(J149, Hidden_Data!M:N, 2, FALSE), "0"))</f>
        <v/>
      </c>
      <c r="N149" t="str">
        <f>IF(M149="","", IFERROR(VLOOKUP(M149, Hidden_Data!M:N, 2, FALSE), "0"))</f>
        <v/>
      </c>
      <c r="Q149" t="str">
        <f>IF(P149="","", IFERROR(VLOOKUP(P149, Hidden_Data!M:N, 2, FALSE), "0"))</f>
        <v/>
      </c>
      <c r="T149">
        <f t="shared" si="6"/>
        <v>0</v>
      </c>
      <c r="U149" t="str">
        <f t="shared" si="7"/>
        <v>Pass/Fixed</v>
      </c>
      <c r="V149" t="str">
        <f t="shared" si="8"/>
        <v>PASS</v>
      </c>
    </row>
    <row r="150" spans="1:22" x14ac:dyDescent="0.25">
      <c r="A150" t="str">
        <f>IF('Equipment Information'!A150="","", 'Equipment Information'!A150)</f>
        <v>20260796</v>
      </c>
      <c r="B150" t="str">
        <f>IF('Equipment Information'!B150="","", 'Equipment Information'!B150)</f>
        <v>Air Dryer</v>
      </c>
      <c r="C150" t="str">
        <f>IF('Equipment Information'!C150="","", 'Equipment Information'!C150)</f>
        <v>Compressor Room</v>
      </c>
      <c r="E150" t="str">
        <f>IF(D150="","", IFERROR(VLOOKUP(D150, Hidden_Data!M:N, 2, FALSE), "0"))</f>
        <v/>
      </c>
      <c r="H150" t="str">
        <f>IF(G150="","", IFERROR(VLOOKUP(G150, Hidden_Data!M:N, 2, FALSE), "0"))</f>
        <v/>
      </c>
      <c r="K150" t="str">
        <f>IF(J150="","", IFERROR(VLOOKUP(J150, Hidden_Data!M:N, 2, FALSE), "0"))</f>
        <v/>
      </c>
      <c r="N150" t="str">
        <f>IF(M150="","", IFERROR(VLOOKUP(M150, Hidden_Data!M:N, 2, FALSE), "0"))</f>
        <v/>
      </c>
      <c r="Q150" t="str">
        <f>IF(P150="","", IFERROR(VLOOKUP(P150, Hidden_Data!M:N, 2, FALSE), "0"))</f>
        <v/>
      </c>
      <c r="T150">
        <f t="shared" si="6"/>
        <v>0</v>
      </c>
      <c r="U150" t="str">
        <f t="shared" si="7"/>
        <v>Pass/Fixed</v>
      </c>
      <c r="V150" t="str">
        <f t="shared" si="8"/>
        <v>PASS</v>
      </c>
    </row>
    <row r="151" spans="1:22" x14ac:dyDescent="0.25">
      <c r="A151" t="str">
        <f>IF('Equipment Information'!A151="","", 'Equipment Information'!A151)</f>
        <v>20260797</v>
      </c>
      <c r="B151" t="str">
        <f>IF('Equipment Information'!B151="","", 'Equipment Information'!B151)</f>
        <v>150 HP Compressor Disconnect</v>
      </c>
      <c r="C151" t="str">
        <f>IF('Equipment Information'!C151="","", 'Equipment Information'!C151)</f>
        <v>Maintenance Area</v>
      </c>
      <c r="E151" t="str">
        <f>IF(D151="","", IFERROR(VLOOKUP(D151, Hidden_Data!M:N, 2, FALSE), "0"))</f>
        <v/>
      </c>
      <c r="H151" t="str">
        <f>IF(G151="","", IFERROR(VLOOKUP(G151, Hidden_Data!M:N, 2, FALSE), "0"))</f>
        <v/>
      </c>
      <c r="K151" t="str">
        <f>IF(J151="","", IFERROR(VLOOKUP(J151, Hidden_Data!M:N, 2, FALSE), "0"))</f>
        <v/>
      </c>
      <c r="N151" t="str">
        <f>IF(M151="","", IFERROR(VLOOKUP(M151, Hidden_Data!M:N, 2, FALSE), "0"))</f>
        <v/>
      </c>
      <c r="Q151" t="str">
        <f>IF(P151="","", IFERROR(VLOOKUP(P151, Hidden_Data!M:N, 2, FALSE), "0"))</f>
        <v/>
      </c>
      <c r="T151">
        <f t="shared" si="6"/>
        <v>0</v>
      </c>
      <c r="U151" t="str">
        <f t="shared" si="7"/>
        <v>Pass/Fixed</v>
      </c>
      <c r="V151" t="str">
        <f t="shared" si="8"/>
        <v>PASS</v>
      </c>
    </row>
    <row r="152" spans="1:22" x14ac:dyDescent="0.25">
      <c r="A152" t="str">
        <f>IF('Equipment Information'!A152="","", 'Equipment Information'!A152)</f>
        <v>20260798</v>
      </c>
      <c r="B152" t="str">
        <f>IF('Equipment Information'!B152="","", 'Equipment Information'!B152)</f>
        <v>Maintenance PP-1</v>
      </c>
      <c r="C152" t="str">
        <f>IF('Equipment Information'!C152="","", 'Equipment Information'!C152)</f>
        <v>Maintenance Area</v>
      </c>
      <c r="E152" t="str">
        <f>IF(D152="","", IFERROR(VLOOKUP(D152, Hidden_Data!M:N, 2, FALSE), "0"))</f>
        <v/>
      </c>
      <c r="H152" t="str">
        <f>IF(G152="","", IFERROR(VLOOKUP(G152, Hidden_Data!M:N, 2, FALSE), "0"))</f>
        <v/>
      </c>
      <c r="K152" t="str">
        <f>IF(J152="","", IFERROR(VLOOKUP(J152, Hidden_Data!M:N, 2, FALSE), "0"))</f>
        <v/>
      </c>
      <c r="N152" t="str">
        <f>IF(M152="","", IFERROR(VLOOKUP(M152, Hidden_Data!M:N, 2, FALSE), "0"))</f>
        <v/>
      </c>
      <c r="Q152" t="str">
        <f>IF(P152="","", IFERROR(VLOOKUP(P152, Hidden_Data!M:N, 2, FALSE), "0"))</f>
        <v/>
      </c>
      <c r="T152">
        <f t="shared" si="6"/>
        <v>0</v>
      </c>
      <c r="U152" t="str">
        <f t="shared" si="7"/>
        <v>Pass/Fixed</v>
      </c>
      <c r="V152" t="str">
        <f t="shared" si="8"/>
        <v>PASS</v>
      </c>
    </row>
    <row r="153" spans="1:22" x14ac:dyDescent="0.25">
      <c r="A153" t="str">
        <f>IF('Equipment Information'!A153="","", 'Equipment Information'!A153)</f>
        <v>20260799</v>
      </c>
      <c r="B153" t="str">
        <f>IF('Equipment Information'!B153="","", 'Equipment Information'!B153)</f>
        <v/>
      </c>
      <c r="C153" t="str">
        <f>IF('Equipment Information'!C153="","", 'Equipment Information'!C153)</f>
        <v>Maintenance Area</v>
      </c>
      <c r="E153" t="str">
        <f>IF(D153="","", IFERROR(VLOOKUP(D153, Hidden_Data!M:N, 2, FALSE), "0"))</f>
        <v/>
      </c>
      <c r="H153" t="str">
        <f>IF(G153="","", IFERROR(VLOOKUP(G153, Hidden_Data!M:N, 2, FALSE), "0"))</f>
        <v/>
      </c>
      <c r="K153" t="str">
        <f>IF(J153="","", IFERROR(VLOOKUP(J153, Hidden_Data!M:N, 2, FALSE), "0"))</f>
        <v/>
      </c>
      <c r="N153" t="str">
        <f>IF(M153="","", IFERROR(VLOOKUP(M153, Hidden_Data!M:N, 2, FALSE), "0"))</f>
        <v/>
      </c>
      <c r="Q153" t="str">
        <f>IF(P153="","", IFERROR(VLOOKUP(P153, Hidden_Data!M:N, 2, FALSE), "0"))</f>
        <v/>
      </c>
      <c r="T153">
        <f t="shared" si="6"/>
        <v>0</v>
      </c>
      <c r="U153" t="str">
        <f t="shared" si="7"/>
        <v>Pass/Fixed</v>
      </c>
      <c r="V153" t="str">
        <f t="shared" si="8"/>
        <v>PASS</v>
      </c>
    </row>
    <row r="154" spans="1:22" x14ac:dyDescent="0.25">
      <c r="A154" t="str">
        <f>IF('Equipment Information'!A154="","", 'Equipment Information'!A154)</f>
        <v>20260800</v>
      </c>
      <c r="B154" t="str">
        <f>IF('Equipment Information'!B154="","", 'Equipment Information'!B154)</f>
        <v/>
      </c>
      <c r="C154" t="str">
        <f>IF('Equipment Information'!C154="","", 'Equipment Information'!C154)</f>
        <v>Maintenance Area</v>
      </c>
      <c r="E154" t="str">
        <f>IF(D154="","", IFERROR(VLOOKUP(D154, Hidden_Data!M:N, 2, FALSE), "0"))</f>
        <v/>
      </c>
      <c r="H154" t="str">
        <f>IF(G154="","", IFERROR(VLOOKUP(G154, Hidden_Data!M:N, 2, FALSE), "0"))</f>
        <v/>
      </c>
      <c r="K154" t="str">
        <f>IF(J154="","", IFERROR(VLOOKUP(J154, Hidden_Data!M:N, 2, FALSE), "0"))</f>
        <v/>
      </c>
      <c r="N154" t="str">
        <f>IF(M154="","", IFERROR(VLOOKUP(M154, Hidden_Data!M:N, 2, FALSE), "0"))</f>
        <v/>
      </c>
      <c r="Q154" t="str">
        <f>IF(P154="","", IFERROR(VLOOKUP(P154, Hidden_Data!M:N, 2, FALSE), "0"))</f>
        <v/>
      </c>
      <c r="T154">
        <f t="shared" si="6"/>
        <v>0</v>
      </c>
      <c r="U154" t="str">
        <f t="shared" si="7"/>
        <v>Pass/Fixed</v>
      </c>
      <c r="V154" t="str">
        <f t="shared" si="8"/>
        <v>PASS</v>
      </c>
    </row>
    <row r="155" spans="1:22" x14ac:dyDescent="0.25">
      <c r="A155" t="str">
        <f>IF('Equipment Information'!A155="","", 'Equipment Information'!A155)</f>
        <v>20260801</v>
      </c>
      <c r="B155" t="str">
        <f>IF('Equipment Information'!B155="","", 'Equipment Information'!B155)</f>
        <v/>
      </c>
      <c r="C155" t="str">
        <f>IF('Equipment Information'!C155="","", 'Equipment Information'!C155)</f>
        <v>Maintenance Area</v>
      </c>
      <c r="E155" t="str">
        <f>IF(D155="","", IFERROR(VLOOKUP(D155, Hidden_Data!M:N, 2, FALSE), "0"))</f>
        <v/>
      </c>
      <c r="H155" t="str">
        <f>IF(G155="","", IFERROR(VLOOKUP(G155, Hidden_Data!M:N, 2, FALSE), "0"))</f>
        <v/>
      </c>
      <c r="K155" t="str">
        <f>IF(J155="","", IFERROR(VLOOKUP(J155, Hidden_Data!M:N, 2, FALSE), "0"))</f>
        <v/>
      </c>
      <c r="N155" t="str">
        <f>IF(M155="","", IFERROR(VLOOKUP(M155, Hidden_Data!M:N, 2, FALSE), "0"))</f>
        <v/>
      </c>
      <c r="Q155" t="str">
        <f>IF(P155="","", IFERROR(VLOOKUP(P155, Hidden_Data!M:N, 2, FALSE), "0"))</f>
        <v/>
      </c>
      <c r="T155">
        <f t="shared" si="6"/>
        <v>0</v>
      </c>
      <c r="U155" t="str">
        <f t="shared" si="7"/>
        <v>Pass/Fixed</v>
      </c>
      <c r="V155" t="str">
        <f t="shared" si="8"/>
        <v>PASS</v>
      </c>
    </row>
    <row r="156" spans="1:22" x14ac:dyDescent="0.25">
      <c r="A156" t="str">
        <f>IF('Equipment Information'!A156="","", 'Equipment Information'!A156)</f>
        <v>20260802</v>
      </c>
      <c r="B156" t="str">
        <f>IF('Equipment Information'!B156="","", 'Equipment Information'!B156)</f>
        <v/>
      </c>
      <c r="C156" t="str">
        <f>IF('Equipment Information'!C156="","", 'Equipment Information'!C156)</f>
        <v>Outside of Maintenance Area</v>
      </c>
      <c r="E156" t="str">
        <f>IF(D156="","", IFERROR(VLOOKUP(D156, Hidden_Data!M:N, 2, FALSE), "0"))</f>
        <v/>
      </c>
      <c r="H156" t="str">
        <f>IF(G156="","", IFERROR(VLOOKUP(G156, Hidden_Data!M:N, 2, FALSE), "0"))</f>
        <v/>
      </c>
      <c r="K156" t="str">
        <f>IF(J156="","", IFERROR(VLOOKUP(J156, Hidden_Data!M:N, 2, FALSE), "0"))</f>
        <v/>
      </c>
      <c r="N156" t="str">
        <f>IF(M156="","", IFERROR(VLOOKUP(M156, Hidden_Data!M:N, 2, FALSE), "0"))</f>
        <v/>
      </c>
      <c r="Q156" t="str">
        <f>IF(P156="","", IFERROR(VLOOKUP(P156, Hidden_Data!M:N, 2, FALSE), "0"))</f>
        <v/>
      </c>
      <c r="T156">
        <f t="shared" si="6"/>
        <v>0</v>
      </c>
      <c r="U156" t="str">
        <f t="shared" si="7"/>
        <v>Pass/Fixed</v>
      </c>
      <c r="V156" t="str">
        <f t="shared" si="8"/>
        <v>PASS</v>
      </c>
    </row>
    <row r="157" spans="1:22" x14ac:dyDescent="0.25">
      <c r="A157" t="str">
        <f>IF('Equipment Information'!A157="","", 'Equipment Information'!A157)</f>
        <v>20260803</v>
      </c>
      <c r="B157" t="str">
        <f>IF('Equipment Information'!B157="","", 'Equipment Information'!B157)</f>
        <v/>
      </c>
      <c r="C157" t="str">
        <f>IF('Equipment Information'!C157="","", 'Equipment Information'!C157)</f>
        <v>Outside of Maintenance Area</v>
      </c>
      <c r="E157" t="str">
        <f>IF(D157="","", IFERROR(VLOOKUP(D157, Hidden_Data!M:N, 2, FALSE), "0"))</f>
        <v/>
      </c>
      <c r="H157" t="str">
        <f>IF(G157="","", IFERROR(VLOOKUP(G157, Hidden_Data!M:N, 2, FALSE), "0"))</f>
        <v/>
      </c>
      <c r="K157" t="str">
        <f>IF(J157="","", IFERROR(VLOOKUP(J157, Hidden_Data!M:N, 2, FALSE), "0"))</f>
        <v/>
      </c>
      <c r="N157" t="str">
        <f>IF(M157="","", IFERROR(VLOOKUP(M157, Hidden_Data!M:N, 2, FALSE), "0"))</f>
        <v/>
      </c>
      <c r="Q157" t="str">
        <f>IF(P157="","", IFERROR(VLOOKUP(P157, Hidden_Data!M:N, 2, FALSE), "0"))</f>
        <v/>
      </c>
      <c r="T157">
        <f t="shared" si="6"/>
        <v>0</v>
      </c>
      <c r="U157" t="str">
        <f t="shared" si="7"/>
        <v>Pass/Fixed</v>
      </c>
      <c r="V157" t="str">
        <f t="shared" si="8"/>
        <v>PASS</v>
      </c>
    </row>
    <row r="158" spans="1:22" x14ac:dyDescent="0.25">
      <c r="A158" t="str">
        <f>IF('Equipment Information'!A158="","", 'Equipment Information'!A158)</f>
        <v>20260804</v>
      </c>
      <c r="B158" t="str">
        <f>IF('Equipment Information'!B158="","", 'Equipment Information'!B158)</f>
        <v>ATS #1</v>
      </c>
      <c r="C158" t="str">
        <f>IF('Equipment Information'!C158="","", 'Equipment Information'!C158)</f>
        <v>Basement</v>
      </c>
      <c r="E158" t="str">
        <f>IF(D158="","", IFERROR(VLOOKUP(D158, Hidden_Data!M:N, 2, FALSE), "0"))</f>
        <v/>
      </c>
      <c r="H158" t="str">
        <f>IF(G158="","", IFERROR(VLOOKUP(G158, Hidden_Data!M:N, 2, FALSE), "0"))</f>
        <v/>
      </c>
      <c r="K158" t="str">
        <f>IF(J158="","", IFERROR(VLOOKUP(J158, Hidden_Data!M:N, 2, FALSE), "0"))</f>
        <v/>
      </c>
      <c r="N158" t="str">
        <f>IF(M158="","", IFERROR(VLOOKUP(M158, Hidden_Data!M:N, 2, FALSE), "0"))</f>
        <v/>
      </c>
      <c r="Q158" t="str">
        <f>IF(P158="","", IFERROR(VLOOKUP(P158, Hidden_Data!M:N, 2, FALSE), "0"))</f>
        <v/>
      </c>
      <c r="T158">
        <f t="shared" si="6"/>
        <v>0</v>
      </c>
      <c r="U158" t="str">
        <f t="shared" si="7"/>
        <v>Pass/Fixed</v>
      </c>
      <c r="V158" t="str">
        <f t="shared" si="8"/>
        <v>PASS</v>
      </c>
    </row>
    <row r="159" spans="1:22" x14ac:dyDescent="0.25">
      <c r="A159" t="str">
        <f>IF('Equipment Information'!A159="","", 'Equipment Information'!A159)</f>
        <v>20260805</v>
      </c>
      <c r="B159" t="str">
        <f>IF('Equipment Information'!B159="","", 'Equipment Information'!B159)</f>
        <v>Panel #3 Main Disconnect</v>
      </c>
      <c r="C159" t="str">
        <f>IF('Equipment Information'!C159="","", 'Equipment Information'!C159)</f>
        <v>Basement</v>
      </c>
      <c r="E159" t="str">
        <f>IF(D159="","", IFERROR(VLOOKUP(D159, Hidden_Data!M:N, 2, FALSE), "0"))</f>
        <v/>
      </c>
      <c r="H159" t="str">
        <f>IF(G159="","", IFERROR(VLOOKUP(G159, Hidden_Data!M:N, 2, FALSE), "0"))</f>
        <v/>
      </c>
      <c r="K159" t="str">
        <f>IF(J159="","", IFERROR(VLOOKUP(J159, Hidden_Data!M:N, 2, FALSE), "0"))</f>
        <v/>
      </c>
      <c r="N159" t="str">
        <f>IF(M159="","", IFERROR(VLOOKUP(M159, Hidden_Data!M:N, 2, FALSE), "0"))</f>
        <v/>
      </c>
      <c r="Q159" t="str">
        <f>IF(P159="","", IFERROR(VLOOKUP(P159, Hidden_Data!M:N, 2, FALSE), "0"))</f>
        <v/>
      </c>
      <c r="T159">
        <f t="shared" si="6"/>
        <v>0</v>
      </c>
      <c r="U159" t="str">
        <f t="shared" si="7"/>
        <v>Pass/Fixed</v>
      </c>
      <c r="V159" t="str">
        <f t="shared" si="8"/>
        <v>PASS</v>
      </c>
    </row>
    <row r="160" spans="1:22" x14ac:dyDescent="0.25">
      <c r="A160" t="str">
        <f>IF('Equipment Information'!A160="","", 'Equipment Information'!A160)</f>
        <v>20260806</v>
      </c>
      <c r="B160" t="str">
        <f>IF('Equipment Information'!B160="","", 'Equipment Information'!B160)</f>
        <v>Transformer #2 Disconnect</v>
      </c>
      <c r="C160" t="str">
        <f>IF('Equipment Information'!C160="","", 'Equipment Information'!C160)</f>
        <v>Basement</v>
      </c>
      <c r="E160" t="str">
        <f>IF(D160="","", IFERROR(VLOOKUP(D160, Hidden_Data!M:N, 2, FALSE), "0"))</f>
        <v/>
      </c>
      <c r="H160" t="str">
        <f>IF(G160="","", IFERROR(VLOOKUP(G160, Hidden_Data!M:N, 2, FALSE), "0"))</f>
        <v/>
      </c>
      <c r="K160" t="str">
        <f>IF(J160="","", IFERROR(VLOOKUP(J160, Hidden_Data!M:N, 2, FALSE), "0"))</f>
        <v/>
      </c>
      <c r="N160" t="str">
        <f>IF(M160="","", IFERROR(VLOOKUP(M160, Hidden_Data!M:N, 2, FALSE), "0"))</f>
        <v/>
      </c>
      <c r="Q160" t="str">
        <f>IF(P160="","", IFERROR(VLOOKUP(P160, Hidden_Data!M:N, 2, FALSE), "0"))</f>
        <v/>
      </c>
      <c r="T160">
        <f t="shared" si="6"/>
        <v>0</v>
      </c>
      <c r="U160" t="str">
        <f t="shared" si="7"/>
        <v>Pass/Fixed</v>
      </c>
      <c r="V160" t="str">
        <f t="shared" si="8"/>
        <v>PASS</v>
      </c>
    </row>
    <row r="161" spans="1:22" x14ac:dyDescent="0.25">
      <c r="A161" t="str">
        <f>IF('Equipment Information'!A161="","", 'Equipment Information'!A161)</f>
        <v>20260807</v>
      </c>
      <c r="B161" t="str">
        <f>IF('Equipment Information'!B161="","", 'Equipment Information'!B161)</f>
        <v>LP-1 Main Disconnect</v>
      </c>
      <c r="C161" t="str">
        <f>IF('Equipment Information'!C161="","", 'Equipment Information'!C161)</f>
        <v>Basement</v>
      </c>
      <c r="E161" t="str">
        <f>IF(D161="","", IFERROR(VLOOKUP(D161, Hidden_Data!M:N, 2, FALSE), "0"))</f>
        <v/>
      </c>
      <c r="H161" t="str">
        <f>IF(G161="","", IFERROR(VLOOKUP(G161, Hidden_Data!M:N, 2, FALSE), "0"))</f>
        <v/>
      </c>
      <c r="K161" t="str">
        <f>IF(J161="","", IFERROR(VLOOKUP(J161, Hidden_Data!M:N, 2, FALSE), "0"))</f>
        <v/>
      </c>
      <c r="N161" t="str">
        <f>IF(M161="","", IFERROR(VLOOKUP(M161, Hidden_Data!M:N, 2, FALSE), "0"))</f>
        <v/>
      </c>
      <c r="Q161" t="str">
        <f>IF(P161="","", IFERROR(VLOOKUP(P161, Hidden_Data!M:N, 2, FALSE), "0"))</f>
        <v/>
      </c>
      <c r="T161">
        <f t="shared" si="6"/>
        <v>0</v>
      </c>
      <c r="U161" t="str">
        <f t="shared" si="7"/>
        <v>Pass/Fixed</v>
      </c>
      <c r="V161" t="str">
        <f t="shared" si="8"/>
        <v>PASS</v>
      </c>
    </row>
    <row r="162" spans="1:22" x14ac:dyDescent="0.25">
      <c r="A162" t="str">
        <f>IF('Equipment Information'!A162="","", 'Equipment Information'!A162)</f>
        <v>20260808</v>
      </c>
      <c r="B162" t="str">
        <f>IF('Equipment Information'!B162="","", 'Equipment Information'!B162)</f>
        <v>Panel #1</v>
      </c>
      <c r="C162" t="str">
        <f>IF('Equipment Information'!C162="","", 'Equipment Information'!C162)</f>
        <v>Basement</v>
      </c>
      <c r="D162" t="s">
        <v>30</v>
      </c>
      <c r="E162" t="str">
        <f>IF(D162="","", IFERROR(VLOOKUP(D162, Hidden_Data!M:N, 2, FALSE), "0"))</f>
        <v>Minor (1pt)</v>
      </c>
      <c r="F162" t="s">
        <v>23</v>
      </c>
      <c r="H162" t="str">
        <f>IF(G162="","", IFERROR(VLOOKUP(G162, Hidden_Data!M:N, 2, FALSE), "0"))</f>
        <v/>
      </c>
      <c r="K162" t="str">
        <f>IF(J162="","", IFERROR(VLOOKUP(J162, Hidden_Data!M:N, 2, FALSE), "0"))</f>
        <v/>
      </c>
      <c r="N162" t="str">
        <f>IF(M162="","", IFERROR(VLOOKUP(M162, Hidden_Data!M:N, 2, FALSE), "0"))</f>
        <v/>
      </c>
      <c r="Q162" t="str">
        <f>IF(P162="","", IFERROR(VLOOKUP(P162, Hidden_Data!M:N, 2, FALSE), "0"))</f>
        <v/>
      </c>
      <c r="T162">
        <f t="shared" si="6"/>
        <v>1</v>
      </c>
      <c r="U162" t="str">
        <f t="shared" si="7"/>
        <v>Priority 3 (Minor)</v>
      </c>
      <c r="V162" t="str">
        <f t="shared" si="8"/>
        <v>FAIL</v>
      </c>
    </row>
    <row r="163" spans="1:22" x14ac:dyDescent="0.25">
      <c r="A163" t="str">
        <f>IF('Equipment Information'!A163="","", 'Equipment Information'!A163)</f>
        <v>20260809</v>
      </c>
      <c r="B163" t="str">
        <f>IF('Equipment Information'!B163="","", 'Equipment Information'!B163)</f>
        <v>Panel #4</v>
      </c>
      <c r="C163" t="str">
        <f>IF('Equipment Information'!C163="","", 'Equipment Information'!C163)</f>
        <v>Basement</v>
      </c>
      <c r="E163" t="str">
        <f>IF(D163="","", IFERROR(VLOOKUP(D163, Hidden_Data!M:N, 2, FALSE), "0"))</f>
        <v/>
      </c>
      <c r="H163" t="str">
        <f>IF(G163="","", IFERROR(VLOOKUP(G163, Hidden_Data!M:N, 2, FALSE), "0"))</f>
        <v/>
      </c>
      <c r="K163" t="str">
        <f>IF(J163="","", IFERROR(VLOOKUP(J163, Hidden_Data!M:N, 2, FALSE), "0"))</f>
        <v/>
      </c>
      <c r="N163" t="str">
        <f>IF(M163="","", IFERROR(VLOOKUP(M163, Hidden_Data!M:N, 2, FALSE), "0"))</f>
        <v/>
      </c>
      <c r="Q163" t="str">
        <f>IF(P163="","", IFERROR(VLOOKUP(P163, Hidden_Data!M:N, 2, FALSE), "0"))</f>
        <v/>
      </c>
      <c r="T163">
        <f t="shared" si="6"/>
        <v>0</v>
      </c>
      <c r="U163" t="str">
        <f t="shared" si="7"/>
        <v>Pass/Fixed</v>
      </c>
      <c r="V163" t="str">
        <f t="shared" si="8"/>
        <v>PASS</v>
      </c>
    </row>
    <row r="164" spans="1:22" x14ac:dyDescent="0.25">
      <c r="A164" t="str">
        <f>IF('Equipment Information'!A164="","", 'Equipment Information'!A164)</f>
        <v>20260810</v>
      </c>
      <c r="B164" t="str">
        <f>IF('Equipment Information'!B164="","", 'Equipment Information'!B164)</f>
        <v>Panel #2</v>
      </c>
      <c r="C164" t="str">
        <f>IF('Equipment Information'!C164="","", 'Equipment Information'!C164)</f>
        <v>Basement</v>
      </c>
      <c r="E164" t="str">
        <f>IF(D164="","", IFERROR(VLOOKUP(D164, Hidden_Data!M:N, 2, FALSE), "0"))</f>
        <v/>
      </c>
      <c r="H164" t="str">
        <f>IF(G164="","", IFERROR(VLOOKUP(G164, Hidden_Data!M:N, 2, FALSE), "0"))</f>
        <v/>
      </c>
      <c r="K164" t="str">
        <f>IF(J164="","", IFERROR(VLOOKUP(J164, Hidden_Data!M:N, 2, FALSE), "0"))</f>
        <v/>
      </c>
      <c r="N164" t="str">
        <f>IF(M164="","", IFERROR(VLOOKUP(M164, Hidden_Data!M:N, 2, FALSE), "0"))</f>
        <v/>
      </c>
      <c r="Q164" t="str">
        <f>IF(P164="","", IFERROR(VLOOKUP(P164, Hidden_Data!M:N, 2, FALSE), "0"))</f>
        <v/>
      </c>
      <c r="T164">
        <f t="shared" si="6"/>
        <v>0</v>
      </c>
      <c r="U164" t="str">
        <f t="shared" si="7"/>
        <v>Pass/Fixed</v>
      </c>
      <c r="V164" t="str">
        <f t="shared" si="8"/>
        <v>PASS</v>
      </c>
    </row>
    <row r="165" spans="1:22" x14ac:dyDescent="0.25">
      <c r="A165" t="str">
        <f>IF('Equipment Information'!A165="","", 'Equipment Information'!A165)</f>
        <v>20260811</v>
      </c>
      <c r="B165" t="str">
        <f>IF('Equipment Information'!B165="","", 'Equipment Information'!B165)</f>
        <v>Transformer #1</v>
      </c>
      <c r="C165" t="str">
        <f>IF('Equipment Information'!C165="","", 'Equipment Information'!C165)</f>
        <v>Basement</v>
      </c>
      <c r="E165" t="str">
        <f>IF(D165="","", IFERROR(VLOOKUP(D165, Hidden_Data!M:N, 2, FALSE), "0"))</f>
        <v/>
      </c>
      <c r="H165" t="str">
        <f>IF(G165="","", IFERROR(VLOOKUP(G165, Hidden_Data!M:N, 2, FALSE), "0"))</f>
        <v/>
      </c>
      <c r="K165" t="str">
        <f>IF(J165="","", IFERROR(VLOOKUP(J165, Hidden_Data!M:N, 2, FALSE), "0"))</f>
        <v/>
      </c>
      <c r="N165" t="str">
        <f>IF(M165="","", IFERROR(VLOOKUP(M165, Hidden_Data!M:N, 2, FALSE), "0"))</f>
        <v/>
      </c>
      <c r="Q165" t="str">
        <f>IF(P165="","", IFERROR(VLOOKUP(P165, Hidden_Data!M:N, 2, FALSE), "0"))</f>
        <v/>
      </c>
      <c r="T165">
        <f t="shared" si="6"/>
        <v>0</v>
      </c>
      <c r="U165" t="str">
        <f t="shared" si="7"/>
        <v>Pass/Fixed</v>
      </c>
      <c r="V165" t="str">
        <f t="shared" si="8"/>
        <v>PASS</v>
      </c>
    </row>
    <row r="166" spans="1:22" x14ac:dyDescent="0.25">
      <c r="A166" t="str">
        <f>IF('Equipment Information'!A166="","", 'Equipment Information'!A166)</f>
        <v>20260812</v>
      </c>
      <c r="B166" t="str">
        <f>IF('Equipment Information'!B166="","", 'Equipment Information'!B166)</f>
        <v>Transformer #2</v>
      </c>
      <c r="C166" t="str">
        <f>IF('Equipment Information'!C166="","", 'Equipment Information'!C166)</f>
        <v>Basement</v>
      </c>
      <c r="E166" t="str">
        <f>IF(D166="","", IFERROR(VLOOKUP(D166, Hidden_Data!M:N, 2, FALSE), "0"))</f>
        <v/>
      </c>
      <c r="H166" t="str">
        <f>IF(G166="","", IFERROR(VLOOKUP(G166, Hidden_Data!M:N, 2, FALSE), "0"))</f>
        <v/>
      </c>
      <c r="K166" t="str">
        <f>IF(J166="","", IFERROR(VLOOKUP(J166, Hidden_Data!M:N, 2, FALSE), "0"))</f>
        <v/>
      </c>
      <c r="N166" t="str">
        <f>IF(M166="","", IFERROR(VLOOKUP(M166, Hidden_Data!M:N, 2, FALSE), "0"))</f>
        <v/>
      </c>
      <c r="Q166" t="str">
        <f>IF(P166="","", IFERROR(VLOOKUP(P166, Hidden_Data!M:N, 2, FALSE), "0"))</f>
        <v/>
      </c>
      <c r="T166">
        <f t="shared" si="6"/>
        <v>0</v>
      </c>
      <c r="U166" t="str">
        <f t="shared" si="7"/>
        <v>Pass/Fixed</v>
      </c>
      <c r="V166" t="str">
        <f t="shared" si="8"/>
        <v>PASS</v>
      </c>
    </row>
    <row r="167" spans="1:22" x14ac:dyDescent="0.25">
      <c r="A167" t="str">
        <f>IF('Equipment Information'!A167="","", 'Equipment Information'!A167)</f>
        <v>20260813</v>
      </c>
      <c r="B167" t="str">
        <f>IF('Equipment Information'!B167="","", 'Equipment Information'!B167)</f>
        <v>Panel #3</v>
      </c>
      <c r="C167" t="str">
        <f>IF('Equipment Information'!C167="","", 'Equipment Information'!C167)</f>
        <v>Basement</v>
      </c>
      <c r="E167" t="str">
        <f>IF(D167="","", IFERROR(VLOOKUP(D167, Hidden_Data!M:N, 2, FALSE), "0"))</f>
        <v/>
      </c>
      <c r="H167" t="str">
        <f>IF(G167="","", IFERROR(VLOOKUP(G167, Hidden_Data!M:N, 2, FALSE), "0"))</f>
        <v/>
      </c>
      <c r="K167" t="str">
        <f>IF(J167="","", IFERROR(VLOOKUP(J167, Hidden_Data!M:N, 2, FALSE), "0"))</f>
        <v/>
      </c>
      <c r="N167" t="str">
        <f>IF(M167="","", IFERROR(VLOOKUP(M167, Hidden_Data!M:N, 2, FALSE), "0"))</f>
        <v/>
      </c>
      <c r="Q167" t="str">
        <f>IF(P167="","", IFERROR(VLOOKUP(P167, Hidden_Data!M:N, 2, FALSE), "0"))</f>
        <v/>
      </c>
      <c r="T167">
        <f t="shared" si="6"/>
        <v>0</v>
      </c>
      <c r="U167" t="str">
        <f t="shared" si="7"/>
        <v>Pass/Fixed</v>
      </c>
      <c r="V167" t="str">
        <f t="shared" si="8"/>
        <v>PASS</v>
      </c>
    </row>
    <row r="168" spans="1:22" x14ac:dyDescent="0.25">
      <c r="A168" t="str">
        <f>IF('Equipment Information'!A168="","", 'Equipment Information'!A168)</f>
        <v>20260814</v>
      </c>
      <c r="B168" t="str">
        <f>IF('Equipment Information'!B168="","", 'Equipment Information'!B168)</f>
        <v/>
      </c>
      <c r="C168" t="str">
        <f>IF('Equipment Information'!C168="","", 'Equipment Information'!C168)</f>
        <v>Hallway</v>
      </c>
      <c r="E168" t="str">
        <f>IF(D168="","", IFERROR(VLOOKUP(D168, Hidden_Data!M:N, 2, FALSE), "0"))</f>
        <v/>
      </c>
      <c r="H168" t="str">
        <f>IF(G168="","", IFERROR(VLOOKUP(G168, Hidden_Data!M:N, 2, FALSE), "0"))</f>
        <v/>
      </c>
      <c r="K168" t="str">
        <f>IF(J168="","", IFERROR(VLOOKUP(J168, Hidden_Data!M:N, 2, FALSE), "0"))</f>
        <v/>
      </c>
      <c r="N168" t="str">
        <f>IF(M168="","", IFERROR(VLOOKUP(M168, Hidden_Data!M:N, 2, FALSE), "0"))</f>
        <v/>
      </c>
      <c r="Q168" t="str">
        <f>IF(P168="","", IFERROR(VLOOKUP(P168, Hidden_Data!M:N, 2, FALSE), "0"))</f>
        <v/>
      </c>
      <c r="T168">
        <f t="shared" si="6"/>
        <v>0</v>
      </c>
      <c r="U168" t="str">
        <f t="shared" si="7"/>
        <v>Pass/Fixed</v>
      </c>
      <c r="V168" t="str">
        <f t="shared" si="8"/>
        <v>PASS</v>
      </c>
    </row>
    <row r="169" spans="1:22" x14ac:dyDescent="0.25">
      <c r="A169" t="str">
        <f>IF('Equipment Information'!A169="","", 'Equipment Information'!A169)</f>
        <v/>
      </c>
      <c r="B169" t="str">
        <f>IF('Equipment Information'!B169="","", 'Equipment Information'!B169)</f>
        <v/>
      </c>
      <c r="C169" t="str">
        <f>IF('Equipment Information'!C169="","", 'Equipment Information'!C169)</f>
        <v/>
      </c>
      <c r="E169" t="str">
        <f>IF(D169="","", IFERROR(VLOOKUP(D169, Hidden_Data!M:N, 2, FALSE), "0"))</f>
        <v/>
      </c>
      <c r="H169" t="str">
        <f>IF(G169="","", IFERROR(VLOOKUP(G169, Hidden_Data!M:N, 2, FALSE), "0"))</f>
        <v/>
      </c>
      <c r="K169" t="str">
        <f>IF(J169="","", IFERROR(VLOOKUP(J169, Hidden_Data!M:N, 2, FALSE), "0"))</f>
        <v/>
      </c>
      <c r="N169" t="str">
        <f>IF(M169="","", IFERROR(VLOOKUP(M169, Hidden_Data!M:N, 2, FALSE), "0"))</f>
        <v/>
      </c>
      <c r="Q169" t="str">
        <f>IF(P169="","", IFERROR(VLOOKUP(P169, Hidden_Data!M:N, 2, FALSE), "0"))</f>
        <v/>
      </c>
      <c r="T169" t="str">
        <f t="shared" si="6"/>
        <v/>
      </c>
      <c r="U169" t="str">
        <f t="shared" si="7"/>
        <v/>
      </c>
      <c r="V169" t="str">
        <f t="shared" si="8"/>
        <v/>
      </c>
    </row>
    <row r="170" spans="1:22" x14ac:dyDescent="0.25">
      <c r="A170" t="str">
        <f>IF('Equipment Information'!A170="","", 'Equipment Information'!A170)</f>
        <v/>
      </c>
      <c r="B170" t="str">
        <f>IF('Equipment Information'!B170="","", 'Equipment Information'!B170)</f>
        <v/>
      </c>
      <c r="C170" t="str">
        <f>IF('Equipment Information'!C170="","", 'Equipment Information'!C170)</f>
        <v/>
      </c>
      <c r="E170" t="str">
        <f>IF(D170="","", IFERROR(VLOOKUP(D170, Hidden_Data!M:N, 2, FALSE), "0"))</f>
        <v/>
      </c>
      <c r="H170" t="str">
        <f>IF(G170="","", IFERROR(VLOOKUP(G170, Hidden_Data!M:N, 2, FALSE), "0"))</f>
        <v/>
      </c>
      <c r="K170" t="str">
        <f>IF(J170="","", IFERROR(VLOOKUP(J170, Hidden_Data!M:N, 2, FALSE), "0"))</f>
        <v/>
      </c>
      <c r="N170" t="str">
        <f>IF(M170="","", IFERROR(VLOOKUP(M170, Hidden_Data!M:N, 2, FALSE), "0"))</f>
        <v/>
      </c>
      <c r="Q170" t="str">
        <f>IF(P170="","", IFERROR(VLOOKUP(P170, Hidden_Data!M:N, 2, FALSE), "0"))</f>
        <v/>
      </c>
      <c r="T170" t="str">
        <f t="shared" si="6"/>
        <v/>
      </c>
      <c r="U170" t="str">
        <f t="shared" si="7"/>
        <v/>
      </c>
      <c r="V170" t="str">
        <f t="shared" si="8"/>
        <v/>
      </c>
    </row>
    <row r="171" spans="1:22" x14ac:dyDescent="0.25">
      <c r="A171" t="str">
        <f>IF('Equipment Information'!A171="","", 'Equipment Information'!A171)</f>
        <v/>
      </c>
      <c r="B171" t="str">
        <f>IF('Equipment Information'!B171="","", 'Equipment Information'!B171)</f>
        <v/>
      </c>
      <c r="C171" t="str">
        <f>IF('Equipment Information'!C171="","", 'Equipment Information'!C171)</f>
        <v/>
      </c>
      <c r="E171" t="str">
        <f>IF(D171="","", IFERROR(VLOOKUP(D171, Hidden_Data!M:N, 2, FALSE), "0"))</f>
        <v/>
      </c>
      <c r="H171" t="str">
        <f>IF(G171="","", IFERROR(VLOOKUP(G171, Hidden_Data!M:N, 2, FALSE), "0"))</f>
        <v/>
      </c>
      <c r="K171" t="str">
        <f>IF(J171="","", IFERROR(VLOOKUP(J171, Hidden_Data!M:N, 2, FALSE), "0"))</f>
        <v/>
      </c>
      <c r="N171" t="str">
        <f>IF(M171="","", IFERROR(VLOOKUP(M171, Hidden_Data!M:N, 2, FALSE), "0"))</f>
        <v/>
      </c>
      <c r="Q171" t="str">
        <f>IF(P171="","", IFERROR(VLOOKUP(P171, Hidden_Data!M:N, 2, FALSE), "0"))</f>
        <v/>
      </c>
      <c r="T171" t="str">
        <f t="shared" si="6"/>
        <v/>
      </c>
      <c r="U171" t="str">
        <f t="shared" si="7"/>
        <v/>
      </c>
      <c r="V171" t="str">
        <f t="shared" si="8"/>
        <v/>
      </c>
    </row>
    <row r="172" spans="1:22" x14ac:dyDescent="0.25">
      <c r="A172" t="str">
        <f>IF('Equipment Information'!A172="","", 'Equipment Information'!A172)</f>
        <v/>
      </c>
      <c r="B172" t="str">
        <f>IF('Equipment Information'!B172="","", 'Equipment Information'!B172)</f>
        <v/>
      </c>
      <c r="C172" t="str">
        <f>IF('Equipment Information'!C172="","", 'Equipment Information'!C172)</f>
        <v/>
      </c>
      <c r="E172" t="str">
        <f>IF(D172="","", IFERROR(VLOOKUP(D172, Hidden_Data!M:N, 2, FALSE), "0"))</f>
        <v/>
      </c>
      <c r="H172" t="str">
        <f>IF(G172="","", IFERROR(VLOOKUP(G172, Hidden_Data!M:N, 2, FALSE), "0"))</f>
        <v/>
      </c>
      <c r="K172" t="str">
        <f>IF(J172="","", IFERROR(VLOOKUP(J172, Hidden_Data!M:N, 2, FALSE), "0"))</f>
        <v/>
      </c>
      <c r="N172" t="str">
        <f>IF(M172="","", IFERROR(VLOOKUP(M172, Hidden_Data!M:N, 2, FALSE), "0"))</f>
        <v/>
      </c>
      <c r="Q172" t="str">
        <f>IF(P172="","", IFERROR(VLOOKUP(P172, Hidden_Data!M:N, 2, FALSE), "0"))</f>
        <v/>
      </c>
      <c r="T172" t="str">
        <f t="shared" si="6"/>
        <v/>
      </c>
      <c r="U172" t="str">
        <f t="shared" si="7"/>
        <v/>
      </c>
      <c r="V172" t="str">
        <f t="shared" si="8"/>
        <v/>
      </c>
    </row>
    <row r="173" spans="1:22" x14ac:dyDescent="0.25">
      <c r="A173" t="str">
        <f>IF('Equipment Information'!A173="","", 'Equipment Information'!A173)</f>
        <v/>
      </c>
      <c r="B173" t="str">
        <f>IF('Equipment Information'!B173="","", 'Equipment Information'!B173)</f>
        <v/>
      </c>
      <c r="C173" t="str">
        <f>IF('Equipment Information'!C173="","", 'Equipment Information'!C173)</f>
        <v/>
      </c>
      <c r="E173" t="str">
        <f>IF(D173="","", IFERROR(VLOOKUP(D173, Hidden_Data!M:N, 2, FALSE), "0"))</f>
        <v/>
      </c>
      <c r="H173" t="str">
        <f>IF(G173="","", IFERROR(VLOOKUP(G173, Hidden_Data!M:N, 2, FALSE), "0"))</f>
        <v/>
      </c>
      <c r="K173" t="str">
        <f>IF(J173="","", IFERROR(VLOOKUP(J173, Hidden_Data!M:N, 2, FALSE), "0"))</f>
        <v/>
      </c>
      <c r="N173" t="str">
        <f>IF(M173="","", IFERROR(VLOOKUP(M173, Hidden_Data!M:N, 2, FALSE), "0"))</f>
        <v/>
      </c>
      <c r="Q173" t="str">
        <f>IF(P173="","", IFERROR(VLOOKUP(P173, Hidden_Data!M:N, 2, FALSE), "0"))</f>
        <v/>
      </c>
      <c r="T173" t="str">
        <f t="shared" si="6"/>
        <v/>
      </c>
      <c r="U173" t="str">
        <f t="shared" si="7"/>
        <v/>
      </c>
      <c r="V173" t="str">
        <f t="shared" si="8"/>
        <v/>
      </c>
    </row>
    <row r="174" spans="1:22" x14ac:dyDescent="0.25">
      <c r="A174" t="str">
        <f>IF('Equipment Information'!A174="","", 'Equipment Information'!A174)</f>
        <v/>
      </c>
      <c r="B174" t="str">
        <f>IF('Equipment Information'!B174="","", 'Equipment Information'!B174)</f>
        <v/>
      </c>
      <c r="C174" t="str">
        <f>IF('Equipment Information'!C174="","", 'Equipment Information'!C174)</f>
        <v/>
      </c>
      <c r="E174" t="str">
        <f>IF(D174="","", IFERROR(VLOOKUP(D174, Hidden_Data!M:N, 2, FALSE), "0"))</f>
        <v/>
      </c>
      <c r="H174" t="str">
        <f>IF(G174="","", IFERROR(VLOOKUP(G174, Hidden_Data!M:N, 2, FALSE), "0"))</f>
        <v/>
      </c>
      <c r="K174" t="str">
        <f>IF(J174="","", IFERROR(VLOOKUP(J174, Hidden_Data!M:N, 2, FALSE), "0"))</f>
        <v/>
      </c>
      <c r="N174" t="str">
        <f>IF(M174="","", IFERROR(VLOOKUP(M174, Hidden_Data!M:N, 2, FALSE), "0"))</f>
        <v/>
      </c>
      <c r="Q174" t="str">
        <f>IF(P174="","", IFERROR(VLOOKUP(P174, Hidden_Data!M:N, 2, FALSE), "0"))</f>
        <v/>
      </c>
      <c r="T174" t="str">
        <f t="shared" si="6"/>
        <v/>
      </c>
      <c r="U174" t="str">
        <f t="shared" si="7"/>
        <v/>
      </c>
      <c r="V174" t="str">
        <f t="shared" si="8"/>
        <v/>
      </c>
    </row>
    <row r="175" spans="1:22" x14ac:dyDescent="0.25">
      <c r="A175" t="str">
        <f>IF('Equipment Information'!A175="","", 'Equipment Information'!A175)</f>
        <v/>
      </c>
      <c r="B175" t="str">
        <f>IF('Equipment Information'!B175="","", 'Equipment Information'!B175)</f>
        <v/>
      </c>
      <c r="C175" t="str">
        <f>IF('Equipment Information'!C175="","", 'Equipment Information'!C175)</f>
        <v/>
      </c>
      <c r="E175" t="str">
        <f>IF(D175="","", IFERROR(VLOOKUP(D175, Hidden_Data!M:N, 2, FALSE), "0"))</f>
        <v/>
      </c>
      <c r="H175" t="str">
        <f>IF(G175="","", IFERROR(VLOOKUP(G175, Hidden_Data!M:N, 2, FALSE), "0"))</f>
        <v/>
      </c>
      <c r="K175" t="str">
        <f>IF(J175="","", IFERROR(VLOOKUP(J175, Hidden_Data!M:N, 2, FALSE), "0"))</f>
        <v/>
      </c>
      <c r="N175" t="str">
        <f>IF(M175="","", IFERROR(VLOOKUP(M175, Hidden_Data!M:N, 2, FALSE), "0"))</f>
        <v/>
      </c>
      <c r="Q175" t="str">
        <f>IF(P175="","", IFERROR(VLOOKUP(P175, Hidden_Data!M:N, 2, FALSE), "0"))</f>
        <v/>
      </c>
      <c r="T175" t="str">
        <f t="shared" si="6"/>
        <v/>
      </c>
      <c r="U175" t="str">
        <f t="shared" si="7"/>
        <v/>
      </c>
      <c r="V175" t="str">
        <f t="shared" si="8"/>
        <v/>
      </c>
    </row>
    <row r="176" spans="1:22" x14ac:dyDescent="0.25">
      <c r="A176" t="str">
        <f>IF('Equipment Information'!A176="","", 'Equipment Information'!A176)</f>
        <v/>
      </c>
      <c r="B176" t="str">
        <f>IF('Equipment Information'!B176="","", 'Equipment Information'!B176)</f>
        <v/>
      </c>
      <c r="C176" t="str">
        <f>IF('Equipment Information'!C176="","", 'Equipment Information'!C176)</f>
        <v/>
      </c>
      <c r="E176" t="str">
        <f>IF(D176="","", IFERROR(VLOOKUP(D176, Hidden_Data!M:N, 2, FALSE), "0"))</f>
        <v/>
      </c>
      <c r="H176" t="str">
        <f>IF(G176="","", IFERROR(VLOOKUP(G176, Hidden_Data!M:N, 2, FALSE), "0"))</f>
        <v/>
      </c>
      <c r="K176" t="str">
        <f>IF(J176="","", IFERROR(VLOOKUP(J176, Hidden_Data!M:N, 2, FALSE), "0"))</f>
        <v/>
      </c>
      <c r="N176" t="str">
        <f>IF(M176="","", IFERROR(VLOOKUP(M176, Hidden_Data!M:N, 2, FALSE), "0"))</f>
        <v/>
      </c>
      <c r="Q176" t="str">
        <f>IF(P176="","", IFERROR(VLOOKUP(P176, Hidden_Data!M:N, 2, FALSE), "0"))</f>
        <v/>
      </c>
      <c r="T176" t="str">
        <f t="shared" si="6"/>
        <v/>
      </c>
      <c r="U176" t="str">
        <f t="shared" si="7"/>
        <v/>
      </c>
      <c r="V176" t="str">
        <f t="shared" si="8"/>
        <v/>
      </c>
    </row>
    <row r="177" spans="1:22" x14ac:dyDescent="0.25">
      <c r="A177" t="str">
        <f>IF('Equipment Information'!A177="","", 'Equipment Information'!A177)</f>
        <v/>
      </c>
      <c r="B177" t="str">
        <f>IF('Equipment Information'!B177="","", 'Equipment Information'!B177)</f>
        <v/>
      </c>
      <c r="C177" t="str">
        <f>IF('Equipment Information'!C177="","", 'Equipment Information'!C177)</f>
        <v/>
      </c>
      <c r="E177" t="str">
        <f>IF(D177="","", IFERROR(VLOOKUP(D177, Hidden_Data!M:N, 2, FALSE), "0"))</f>
        <v/>
      </c>
      <c r="H177" t="str">
        <f>IF(G177="","", IFERROR(VLOOKUP(G177, Hidden_Data!M:N, 2, FALSE), "0"))</f>
        <v/>
      </c>
      <c r="K177" t="str">
        <f>IF(J177="","", IFERROR(VLOOKUP(J177, Hidden_Data!M:N, 2, FALSE), "0"))</f>
        <v/>
      </c>
      <c r="N177" t="str">
        <f>IF(M177="","", IFERROR(VLOOKUP(M177, Hidden_Data!M:N, 2, FALSE), "0"))</f>
        <v/>
      </c>
      <c r="Q177" t="str">
        <f>IF(P177="","", IFERROR(VLOOKUP(P177, Hidden_Data!M:N, 2, FALSE), "0"))</f>
        <v/>
      </c>
      <c r="T177" t="str">
        <f t="shared" si="6"/>
        <v/>
      </c>
      <c r="U177" t="str">
        <f t="shared" si="7"/>
        <v/>
      </c>
      <c r="V177" t="str">
        <f t="shared" si="8"/>
        <v/>
      </c>
    </row>
    <row r="178" spans="1:22" x14ac:dyDescent="0.25">
      <c r="A178" t="str">
        <f>IF('Equipment Information'!A178="","", 'Equipment Information'!A178)</f>
        <v/>
      </c>
      <c r="B178" t="str">
        <f>IF('Equipment Information'!B178="","", 'Equipment Information'!B178)</f>
        <v/>
      </c>
      <c r="C178" t="str">
        <f>IF('Equipment Information'!C178="","", 'Equipment Information'!C178)</f>
        <v/>
      </c>
      <c r="E178" t="str">
        <f>IF(D178="","", IFERROR(VLOOKUP(D178, Hidden_Data!M:N, 2, FALSE), "0"))</f>
        <v/>
      </c>
      <c r="H178" t="str">
        <f>IF(G178="","", IFERROR(VLOOKUP(G178, Hidden_Data!M:N, 2, FALSE), "0"))</f>
        <v/>
      </c>
      <c r="K178" t="str">
        <f>IF(J178="","", IFERROR(VLOOKUP(J178, Hidden_Data!M:N, 2, FALSE), "0"))</f>
        <v/>
      </c>
      <c r="N178" t="str">
        <f>IF(M178="","", IFERROR(VLOOKUP(M178, Hidden_Data!M:N, 2, FALSE), "0"))</f>
        <v/>
      </c>
      <c r="Q178" t="str">
        <f>IF(P178="","", IFERROR(VLOOKUP(P178, Hidden_Data!M:N, 2, FALSE), "0"))</f>
        <v/>
      </c>
      <c r="T178" t="str">
        <f t="shared" si="6"/>
        <v/>
      </c>
      <c r="U178" t="str">
        <f t="shared" si="7"/>
        <v/>
      </c>
      <c r="V178" t="str">
        <f t="shared" si="8"/>
        <v/>
      </c>
    </row>
    <row r="179" spans="1:22" x14ac:dyDescent="0.25">
      <c r="A179" t="str">
        <f>IF('Equipment Information'!A179="","", 'Equipment Information'!A179)</f>
        <v/>
      </c>
      <c r="B179" t="str">
        <f>IF('Equipment Information'!B179="","", 'Equipment Information'!B179)</f>
        <v/>
      </c>
      <c r="C179" t="str">
        <f>IF('Equipment Information'!C179="","", 'Equipment Information'!C179)</f>
        <v/>
      </c>
      <c r="E179" t="str">
        <f>IF(D179="","", IFERROR(VLOOKUP(D179, Hidden_Data!M:N, 2, FALSE), "0"))</f>
        <v/>
      </c>
      <c r="H179" t="str">
        <f>IF(G179="","", IFERROR(VLOOKUP(G179, Hidden_Data!M:N, 2, FALSE), "0"))</f>
        <v/>
      </c>
      <c r="K179" t="str">
        <f>IF(J179="","", IFERROR(VLOOKUP(J179, Hidden_Data!M:N, 2, FALSE), "0"))</f>
        <v/>
      </c>
      <c r="N179" t="str">
        <f>IF(M179="","", IFERROR(VLOOKUP(M179, Hidden_Data!M:N, 2, FALSE), "0"))</f>
        <v/>
      </c>
      <c r="Q179" t="str">
        <f>IF(P179="","", IFERROR(VLOOKUP(P179, Hidden_Data!M:N, 2, FALSE), "0"))</f>
        <v/>
      </c>
      <c r="T179" t="str">
        <f t="shared" si="6"/>
        <v/>
      </c>
      <c r="U179" t="str">
        <f t="shared" si="7"/>
        <v/>
      </c>
      <c r="V179" t="str">
        <f t="shared" si="8"/>
        <v/>
      </c>
    </row>
    <row r="180" spans="1:22" x14ac:dyDescent="0.25">
      <c r="A180" t="str">
        <f>IF('Equipment Information'!A180="","", 'Equipment Information'!A180)</f>
        <v/>
      </c>
      <c r="B180" t="str">
        <f>IF('Equipment Information'!B180="","", 'Equipment Information'!B180)</f>
        <v/>
      </c>
      <c r="C180" t="str">
        <f>IF('Equipment Information'!C180="","", 'Equipment Information'!C180)</f>
        <v/>
      </c>
      <c r="E180" t="str">
        <f>IF(D180="","", IFERROR(VLOOKUP(D180, Hidden_Data!M:N, 2, FALSE), "0"))</f>
        <v/>
      </c>
      <c r="H180" t="str">
        <f>IF(G180="","", IFERROR(VLOOKUP(G180, Hidden_Data!M:N, 2, FALSE), "0"))</f>
        <v/>
      </c>
      <c r="K180" t="str">
        <f>IF(J180="","", IFERROR(VLOOKUP(J180, Hidden_Data!M:N, 2, FALSE), "0"))</f>
        <v/>
      </c>
      <c r="N180" t="str">
        <f>IF(M180="","", IFERROR(VLOOKUP(M180, Hidden_Data!M:N, 2, FALSE), "0"))</f>
        <v/>
      </c>
      <c r="Q180" t="str">
        <f>IF(P180="","", IFERROR(VLOOKUP(P180, Hidden_Data!M:N, 2, FALSE), "0"))</f>
        <v/>
      </c>
      <c r="T180" t="str">
        <f t="shared" si="6"/>
        <v/>
      </c>
      <c r="U180" t="str">
        <f t="shared" si="7"/>
        <v/>
      </c>
      <c r="V180" t="str">
        <f t="shared" si="8"/>
        <v/>
      </c>
    </row>
    <row r="181" spans="1:22" x14ac:dyDescent="0.25">
      <c r="A181" t="str">
        <f>IF('Equipment Information'!A181="","", 'Equipment Information'!A181)</f>
        <v/>
      </c>
      <c r="B181" t="str">
        <f>IF('Equipment Information'!B181="","", 'Equipment Information'!B181)</f>
        <v/>
      </c>
      <c r="C181" t="str">
        <f>IF('Equipment Information'!C181="","", 'Equipment Information'!C181)</f>
        <v/>
      </c>
      <c r="E181" t="str">
        <f>IF(D181="","", IFERROR(VLOOKUP(D181, Hidden_Data!M:N, 2, FALSE), "0"))</f>
        <v/>
      </c>
      <c r="H181" t="str">
        <f>IF(G181="","", IFERROR(VLOOKUP(G181, Hidden_Data!M:N, 2, FALSE), "0"))</f>
        <v/>
      </c>
      <c r="K181" t="str">
        <f>IF(J181="","", IFERROR(VLOOKUP(J181, Hidden_Data!M:N, 2, FALSE), "0"))</f>
        <v/>
      </c>
      <c r="N181" t="str">
        <f>IF(M181="","", IFERROR(VLOOKUP(M181, Hidden_Data!M:N, 2, FALSE), "0"))</f>
        <v/>
      </c>
      <c r="Q181" t="str">
        <f>IF(P181="","", IFERROR(VLOOKUP(P181, Hidden_Data!M:N, 2, FALSE), "0"))</f>
        <v/>
      </c>
      <c r="T181" t="str">
        <f t="shared" si="6"/>
        <v/>
      </c>
      <c r="U181" t="str">
        <f t="shared" si="7"/>
        <v/>
      </c>
      <c r="V181" t="str">
        <f t="shared" si="8"/>
        <v/>
      </c>
    </row>
    <row r="182" spans="1:22" x14ac:dyDescent="0.25">
      <c r="A182" t="str">
        <f>IF('Equipment Information'!A182="","", 'Equipment Information'!A182)</f>
        <v/>
      </c>
      <c r="B182" t="str">
        <f>IF('Equipment Information'!B182="","", 'Equipment Information'!B182)</f>
        <v/>
      </c>
      <c r="C182" t="str">
        <f>IF('Equipment Information'!C182="","", 'Equipment Information'!C182)</f>
        <v/>
      </c>
      <c r="E182" t="str">
        <f>IF(D182="","", IFERROR(VLOOKUP(D182, Hidden_Data!M:N, 2, FALSE), "0"))</f>
        <v/>
      </c>
      <c r="H182" t="str">
        <f>IF(G182="","", IFERROR(VLOOKUP(G182, Hidden_Data!M:N, 2, FALSE), "0"))</f>
        <v/>
      </c>
      <c r="K182" t="str">
        <f>IF(J182="","", IFERROR(VLOOKUP(J182, Hidden_Data!M:N, 2, FALSE), "0"))</f>
        <v/>
      </c>
      <c r="N182" t="str">
        <f>IF(M182="","", IFERROR(VLOOKUP(M182, Hidden_Data!M:N, 2, FALSE), "0"))</f>
        <v/>
      </c>
      <c r="Q182" t="str">
        <f>IF(P182="","", IFERROR(VLOOKUP(P182, Hidden_Data!M:N, 2, FALSE), "0"))</f>
        <v/>
      </c>
      <c r="T182" t="str">
        <f t="shared" si="6"/>
        <v/>
      </c>
      <c r="U182" t="str">
        <f t="shared" si="7"/>
        <v/>
      </c>
      <c r="V182" t="str">
        <f t="shared" si="8"/>
        <v/>
      </c>
    </row>
    <row r="183" spans="1:22" x14ac:dyDescent="0.25">
      <c r="A183" t="str">
        <f>IF('Equipment Information'!A183="","", 'Equipment Information'!A183)</f>
        <v/>
      </c>
      <c r="B183" t="str">
        <f>IF('Equipment Information'!B183="","", 'Equipment Information'!B183)</f>
        <v/>
      </c>
      <c r="C183" t="str">
        <f>IF('Equipment Information'!C183="","", 'Equipment Information'!C183)</f>
        <v/>
      </c>
      <c r="E183" t="str">
        <f>IF(D183="","", IFERROR(VLOOKUP(D183, Hidden_Data!M:N, 2, FALSE), "0"))</f>
        <v/>
      </c>
      <c r="H183" t="str">
        <f>IF(G183="","", IFERROR(VLOOKUP(G183, Hidden_Data!M:N, 2, FALSE), "0"))</f>
        <v/>
      </c>
      <c r="K183" t="str">
        <f>IF(J183="","", IFERROR(VLOOKUP(J183, Hidden_Data!M:N, 2, FALSE), "0"))</f>
        <v/>
      </c>
      <c r="N183" t="str">
        <f>IF(M183="","", IFERROR(VLOOKUP(M183, Hidden_Data!M:N, 2, FALSE), "0"))</f>
        <v/>
      </c>
      <c r="Q183" t="str">
        <f>IF(P183="","", IFERROR(VLOOKUP(P183, Hidden_Data!M:N, 2, FALSE), "0"))</f>
        <v/>
      </c>
      <c r="T183" t="str">
        <f t="shared" si="6"/>
        <v/>
      </c>
      <c r="U183" t="str">
        <f t="shared" si="7"/>
        <v/>
      </c>
      <c r="V183" t="str">
        <f t="shared" si="8"/>
        <v/>
      </c>
    </row>
    <row r="184" spans="1:22" x14ac:dyDescent="0.25">
      <c r="A184" t="str">
        <f>IF('Equipment Information'!A184="","", 'Equipment Information'!A184)</f>
        <v/>
      </c>
      <c r="B184" t="str">
        <f>IF('Equipment Information'!B184="","", 'Equipment Information'!B184)</f>
        <v/>
      </c>
      <c r="C184" t="str">
        <f>IF('Equipment Information'!C184="","", 'Equipment Information'!C184)</f>
        <v/>
      </c>
      <c r="E184" t="str">
        <f>IF(D184="","", IFERROR(VLOOKUP(D184, Hidden_Data!M:N, 2, FALSE), "0"))</f>
        <v/>
      </c>
      <c r="H184" t="str">
        <f>IF(G184="","", IFERROR(VLOOKUP(G184, Hidden_Data!M:N, 2, FALSE), "0"))</f>
        <v/>
      </c>
      <c r="K184" t="str">
        <f>IF(J184="","", IFERROR(VLOOKUP(J184, Hidden_Data!M:N, 2, FALSE), "0"))</f>
        <v/>
      </c>
      <c r="N184" t="str">
        <f>IF(M184="","", IFERROR(VLOOKUP(M184, Hidden_Data!M:N, 2, FALSE), "0"))</f>
        <v/>
      </c>
      <c r="Q184" t="str">
        <f>IF(P184="","", IFERROR(VLOOKUP(P184, Hidden_Data!M:N, 2, FALSE), "0"))</f>
        <v/>
      </c>
      <c r="T184" t="str">
        <f t="shared" si="6"/>
        <v/>
      </c>
      <c r="U184" t="str">
        <f t="shared" si="7"/>
        <v/>
      </c>
      <c r="V184" t="str">
        <f t="shared" si="8"/>
        <v/>
      </c>
    </row>
    <row r="185" spans="1:22" x14ac:dyDescent="0.25">
      <c r="A185" t="str">
        <f>IF('Equipment Information'!A185="","", 'Equipment Information'!A185)</f>
        <v/>
      </c>
      <c r="B185" t="str">
        <f>IF('Equipment Information'!B185="","", 'Equipment Information'!B185)</f>
        <v/>
      </c>
      <c r="C185" t="str">
        <f>IF('Equipment Information'!C185="","", 'Equipment Information'!C185)</f>
        <v/>
      </c>
      <c r="E185" t="str">
        <f>IF(D185="","", IFERROR(VLOOKUP(D185, Hidden_Data!M:N, 2, FALSE), "0"))</f>
        <v/>
      </c>
      <c r="H185" t="str">
        <f>IF(G185="","", IFERROR(VLOOKUP(G185, Hidden_Data!M:N, 2, FALSE), "0"))</f>
        <v/>
      </c>
      <c r="K185" t="str">
        <f>IF(J185="","", IFERROR(VLOOKUP(J185, Hidden_Data!M:N, 2, FALSE), "0"))</f>
        <v/>
      </c>
      <c r="N185" t="str">
        <f>IF(M185="","", IFERROR(VLOOKUP(M185, Hidden_Data!M:N, 2, FALSE), "0"))</f>
        <v/>
      </c>
      <c r="Q185" t="str">
        <f>IF(P185="","", IFERROR(VLOOKUP(P185, Hidden_Data!M:N, 2, FALSE), "0"))</f>
        <v/>
      </c>
      <c r="T185" t="str">
        <f t="shared" si="6"/>
        <v/>
      </c>
      <c r="U185" t="str">
        <f t="shared" si="7"/>
        <v/>
      </c>
      <c r="V185" t="str">
        <f t="shared" si="8"/>
        <v/>
      </c>
    </row>
    <row r="186" spans="1:22" x14ac:dyDescent="0.25">
      <c r="A186" t="str">
        <f>IF('Equipment Information'!A186="","", 'Equipment Information'!A186)</f>
        <v/>
      </c>
      <c r="B186" t="str">
        <f>IF('Equipment Information'!B186="","", 'Equipment Information'!B186)</f>
        <v/>
      </c>
      <c r="C186" t="str">
        <f>IF('Equipment Information'!C186="","", 'Equipment Information'!C186)</f>
        <v/>
      </c>
      <c r="E186" t="str">
        <f>IF(D186="","", IFERROR(VLOOKUP(D186, Hidden_Data!M:N, 2, FALSE), "0"))</f>
        <v/>
      </c>
      <c r="H186" t="str">
        <f>IF(G186="","", IFERROR(VLOOKUP(G186, Hidden_Data!M:N, 2, FALSE), "0"))</f>
        <v/>
      </c>
      <c r="K186" t="str">
        <f>IF(J186="","", IFERROR(VLOOKUP(J186, Hidden_Data!M:N, 2, FALSE), "0"))</f>
        <v/>
      </c>
      <c r="N186" t="str">
        <f>IF(M186="","", IFERROR(VLOOKUP(M186, Hidden_Data!M:N, 2, FALSE), "0"))</f>
        <v/>
      </c>
      <c r="Q186" t="str">
        <f>IF(P186="","", IFERROR(VLOOKUP(P186, Hidden_Data!M:N, 2, FALSE), "0"))</f>
        <v/>
      </c>
      <c r="T186" t="str">
        <f t="shared" si="6"/>
        <v/>
      </c>
      <c r="U186" t="str">
        <f t="shared" si="7"/>
        <v/>
      </c>
      <c r="V186" t="str">
        <f t="shared" si="8"/>
        <v/>
      </c>
    </row>
    <row r="187" spans="1:22" x14ac:dyDescent="0.25">
      <c r="A187" t="str">
        <f>IF('Equipment Information'!A187="","", 'Equipment Information'!A187)</f>
        <v/>
      </c>
      <c r="B187" t="str">
        <f>IF('Equipment Information'!B187="","", 'Equipment Information'!B187)</f>
        <v/>
      </c>
      <c r="C187" t="str">
        <f>IF('Equipment Information'!C187="","", 'Equipment Information'!C187)</f>
        <v/>
      </c>
      <c r="E187" t="str">
        <f>IF(D187="","", IFERROR(VLOOKUP(D187, Hidden_Data!M:N, 2, FALSE), "0"))</f>
        <v/>
      </c>
      <c r="H187" t="str">
        <f>IF(G187="","", IFERROR(VLOOKUP(G187, Hidden_Data!M:N, 2, FALSE), "0"))</f>
        <v/>
      </c>
      <c r="K187" t="str">
        <f>IF(J187="","", IFERROR(VLOOKUP(J187, Hidden_Data!M:N, 2, FALSE), "0"))</f>
        <v/>
      </c>
      <c r="N187" t="str">
        <f>IF(M187="","", IFERROR(VLOOKUP(M187, Hidden_Data!M:N, 2, FALSE), "0"))</f>
        <v/>
      </c>
      <c r="Q187" t="str">
        <f>IF(P187="","", IFERROR(VLOOKUP(P187, Hidden_Data!M:N, 2, FALSE), "0"))</f>
        <v/>
      </c>
      <c r="T187" t="str">
        <f t="shared" si="6"/>
        <v/>
      </c>
      <c r="U187" t="str">
        <f t="shared" si="7"/>
        <v/>
      </c>
      <c r="V187" t="str">
        <f t="shared" si="8"/>
        <v/>
      </c>
    </row>
    <row r="188" spans="1:22" x14ac:dyDescent="0.25">
      <c r="A188" t="str">
        <f>IF('Equipment Information'!A188="","", 'Equipment Information'!A188)</f>
        <v/>
      </c>
      <c r="B188" t="str">
        <f>IF('Equipment Information'!B188="","", 'Equipment Information'!B188)</f>
        <v/>
      </c>
      <c r="C188" t="str">
        <f>IF('Equipment Information'!C188="","", 'Equipment Information'!C188)</f>
        <v/>
      </c>
      <c r="E188" t="str">
        <f>IF(D188="","", IFERROR(VLOOKUP(D188, Hidden_Data!M:N, 2, FALSE), "0"))</f>
        <v/>
      </c>
      <c r="H188" t="str">
        <f>IF(G188="","", IFERROR(VLOOKUP(G188, Hidden_Data!M:N, 2, FALSE), "0"))</f>
        <v/>
      </c>
      <c r="K188" t="str">
        <f>IF(J188="","", IFERROR(VLOOKUP(J188, Hidden_Data!M:N, 2, FALSE), "0"))</f>
        <v/>
      </c>
      <c r="N188" t="str">
        <f>IF(M188="","", IFERROR(VLOOKUP(M188, Hidden_Data!M:N, 2, FALSE), "0"))</f>
        <v/>
      </c>
      <c r="Q188" t="str">
        <f>IF(P188="","", IFERROR(VLOOKUP(P188, Hidden_Data!M:N, 2, FALSE), "0"))</f>
        <v/>
      </c>
      <c r="T188" t="str">
        <f t="shared" si="6"/>
        <v/>
      </c>
      <c r="U188" t="str">
        <f t="shared" si="7"/>
        <v/>
      </c>
      <c r="V188" t="str">
        <f t="shared" si="8"/>
        <v/>
      </c>
    </row>
    <row r="189" spans="1:22" x14ac:dyDescent="0.25">
      <c r="A189" t="str">
        <f>IF('Equipment Information'!A189="","", 'Equipment Information'!A189)</f>
        <v/>
      </c>
      <c r="B189" t="str">
        <f>IF('Equipment Information'!B189="","", 'Equipment Information'!B189)</f>
        <v/>
      </c>
      <c r="C189" t="str">
        <f>IF('Equipment Information'!C189="","", 'Equipment Information'!C189)</f>
        <v/>
      </c>
      <c r="E189" t="str">
        <f>IF(D189="","", IFERROR(VLOOKUP(D189, Hidden_Data!M:N, 2, FALSE), "0"))</f>
        <v/>
      </c>
      <c r="H189" t="str">
        <f>IF(G189="","", IFERROR(VLOOKUP(G189, Hidden_Data!M:N, 2, FALSE), "0"))</f>
        <v/>
      </c>
      <c r="K189" t="str">
        <f>IF(J189="","", IFERROR(VLOOKUP(J189, Hidden_Data!M:N, 2, FALSE), "0"))</f>
        <v/>
      </c>
      <c r="N189" t="str">
        <f>IF(M189="","", IFERROR(VLOOKUP(M189, Hidden_Data!M:N, 2, FALSE), "0"))</f>
        <v/>
      </c>
      <c r="Q189" t="str">
        <f>IF(P189="","", IFERROR(VLOOKUP(P189, Hidden_Data!M:N, 2, FALSE), "0"))</f>
        <v/>
      </c>
      <c r="T189" t="str">
        <f t="shared" si="6"/>
        <v/>
      </c>
      <c r="U189" t="str">
        <f t="shared" si="7"/>
        <v/>
      </c>
      <c r="V189" t="str">
        <f t="shared" si="8"/>
        <v/>
      </c>
    </row>
    <row r="190" spans="1:22" x14ac:dyDescent="0.25">
      <c r="A190" t="str">
        <f>IF('Equipment Information'!A190="","", 'Equipment Information'!A190)</f>
        <v/>
      </c>
      <c r="B190" t="str">
        <f>IF('Equipment Information'!B190="","", 'Equipment Information'!B190)</f>
        <v/>
      </c>
      <c r="C190" t="str">
        <f>IF('Equipment Information'!C190="","", 'Equipment Information'!C190)</f>
        <v/>
      </c>
      <c r="E190" t="str">
        <f>IF(D190="","", IFERROR(VLOOKUP(D190, Hidden_Data!M:N, 2, FALSE), "0"))</f>
        <v/>
      </c>
      <c r="H190" t="str">
        <f>IF(G190="","", IFERROR(VLOOKUP(G190, Hidden_Data!M:N, 2, FALSE), "0"))</f>
        <v/>
      </c>
      <c r="K190" t="str">
        <f>IF(J190="","", IFERROR(VLOOKUP(J190, Hidden_Data!M:N, 2, FALSE), "0"))</f>
        <v/>
      </c>
      <c r="N190" t="str">
        <f>IF(M190="","", IFERROR(VLOOKUP(M190, Hidden_Data!M:N, 2, FALSE), "0"))</f>
        <v/>
      </c>
      <c r="Q190" t="str">
        <f>IF(P190="","", IFERROR(VLOOKUP(P190, Hidden_Data!M:N, 2, FALSE), "0"))</f>
        <v/>
      </c>
      <c r="T190" t="str">
        <f t="shared" si="6"/>
        <v/>
      </c>
      <c r="U190" t="str">
        <f t="shared" si="7"/>
        <v/>
      </c>
      <c r="V190" t="str">
        <f t="shared" si="8"/>
        <v/>
      </c>
    </row>
    <row r="191" spans="1:22" x14ac:dyDescent="0.25">
      <c r="A191" t="str">
        <f>IF('Equipment Information'!A191="","", 'Equipment Information'!A191)</f>
        <v/>
      </c>
      <c r="B191" t="str">
        <f>IF('Equipment Information'!B191="","", 'Equipment Information'!B191)</f>
        <v/>
      </c>
      <c r="C191" t="str">
        <f>IF('Equipment Information'!C191="","", 'Equipment Information'!C191)</f>
        <v/>
      </c>
      <c r="E191" t="str">
        <f>IF(D191="","", IFERROR(VLOOKUP(D191, Hidden_Data!M:N, 2, FALSE), "0"))</f>
        <v/>
      </c>
      <c r="H191" t="str">
        <f>IF(G191="","", IFERROR(VLOOKUP(G191, Hidden_Data!M:N, 2, FALSE), "0"))</f>
        <v/>
      </c>
      <c r="K191" t="str">
        <f>IF(J191="","", IFERROR(VLOOKUP(J191, Hidden_Data!M:N, 2, FALSE), "0"))</f>
        <v/>
      </c>
      <c r="N191" t="str">
        <f>IF(M191="","", IFERROR(VLOOKUP(M191, Hidden_Data!M:N, 2, FALSE), "0"))</f>
        <v/>
      </c>
      <c r="Q191" t="str">
        <f>IF(P191="","", IFERROR(VLOOKUP(P191, Hidden_Data!M:N, 2, FALSE), "0"))</f>
        <v/>
      </c>
      <c r="T191" t="str">
        <f t="shared" si="6"/>
        <v/>
      </c>
      <c r="U191" t="str">
        <f t="shared" si="7"/>
        <v/>
      </c>
      <c r="V191" t="str">
        <f t="shared" si="8"/>
        <v/>
      </c>
    </row>
    <row r="192" spans="1:22" x14ac:dyDescent="0.25">
      <c r="A192" t="str">
        <f>IF('Equipment Information'!A192="","", 'Equipment Information'!A192)</f>
        <v/>
      </c>
      <c r="B192" t="str">
        <f>IF('Equipment Information'!B192="","", 'Equipment Information'!B192)</f>
        <v/>
      </c>
      <c r="C192" t="str">
        <f>IF('Equipment Information'!C192="","", 'Equipment Information'!C192)</f>
        <v/>
      </c>
      <c r="E192" t="str">
        <f>IF(D192="","", IFERROR(VLOOKUP(D192, Hidden_Data!M:N, 2, FALSE), "0"))</f>
        <v/>
      </c>
      <c r="H192" t="str">
        <f>IF(G192="","", IFERROR(VLOOKUP(G192, Hidden_Data!M:N, 2, FALSE), "0"))</f>
        <v/>
      </c>
      <c r="K192" t="str">
        <f>IF(J192="","", IFERROR(VLOOKUP(J192, Hidden_Data!M:N, 2, FALSE), "0"))</f>
        <v/>
      </c>
      <c r="N192" t="str">
        <f>IF(M192="","", IFERROR(VLOOKUP(M192, Hidden_Data!M:N, 2, FALSE), "0"))</f>
        <v/>
      </c>
      <c r="Q192" t="str">
        <f>IF(P192="","", IFERROR(VLOOKUP(P192, Hidden_Data!M:N, 2, FALSE), "0"))</f>
        <v/>
      </c>
      <c r="T192" t="str">
        <f t="shared" si="6"/>
        <v/>
      </c>
      <c r="U192" t="str">
        <f t="shared" si="7"/>
        <v/>
      </c>
      <c r="V192" t="str">
        <f t="shared" si="8"/>
        <v/>
      </c>
    </row>
    <row r="193" spans="1:22" x14ac:dyDescent="0.25">
      <c r="A193" t="str">
        <f>IF('Equipment Information'!A193="","", 'Equipment Information'!A193)</f>
        <v/>
      </c>
      <c r="B193" t="str">
        <f>IF('Equipment Information'!B193="","", 'Equipment Information'!B193)</f>
        <v/>
      </c>
      <c r="C193" t="str">
        <f>IF('Equipment Information'!C193="","", 'Equipment Information'!C193)</f>
        <v/>
      </c>
      <c r="E193" t="str">
        <f>IF(D193="","", IFERROR(VLOOKUP(D193, Hidden_Data!M:N, 2, FALSE), "0"))</f>
        <v/>
      </c>
      <c r="H193" t="str">
        <f>IF(G193="","", IFERROR(VLOOKUP(G193, Hidden_Data!M:N, 2, FALSE), "0"))</f>
        <v/>
      </c>
      <c r="K193" t="str">
        <f>IF(J193="","", IFERROR(VLOOKUP(J193, Hidden_Data!M:N, 2, FALSE), "0"))</f>
        <v/>
      </c>
      <c r="N193" t="str">
        <f>IF(M193="","", IFERROR(VLOOKUP(M193, Hidden_Data!M:N, 2, FALSE), "0"))</f>
        <v/>
      </c>
      <c r="Q193" t="str">
        <f>IF(P193="","", IFERROR(VLOOKUP(P193, Hidden_Data!M:N, 2, FALSE), "0"))</f>
        <v/>
      </c>
      <c r="T193" t="str">
        <f t="shared" si="6"/>
        <v/>
      </c>
      <c r="U193" t="str">
        <f t="shared" si="7"/>
        <v/>
      </c>
      <c r="V193" t="str">
        <f t="shared" si="8"/>
        <v/>
      </c>
    </row>
    <row r="194" spans="1:22" x14ac:dyDescent="0.25">
      <c r="A194" t="str">
        <f>IF('Equipment Information'!A194="","", 'Equipment Information'!A194)</f>
        <v/>
      </c>
      <c r="B194" t="str">
        <f>IF('Equipment Information'!B194="","", 'Equipment Information'!B194)</f>
        <v/>
      </c>
      <c r="C194" t="str">
        <f>IF('Equipment Information'!C194="","", 'Equipment Information'!C194)</f>
        <v/>
      </c>
      <c r="E194" t="str">
        <f>IF(D194="","", IFERROR(VLOOKUP(D194, Hidden_Data!M:N, 2, FALSE), "0"))</f>
        <v/>
      </c>
      <c r="H194" t="str">
        <f>IF(G194="","", IFERROR(VLOOKUP(G194, Hidden_Data!M:N, 2, FALSE), "0"))</f>
        <v/>
      </c>
      <c r="K194" t="str">
        <f>IF(J194="","", IFERROR(VLOOKUP(J194, Hidden_Data!M:N, 2, FALSE), "0"))</f>
        <v/>
      </c>
      <c r="N194" t="str">
        <f>IF(M194="","", IFERROR(VLOOKUP(M194, Hidden_Data!M:N, 2, FALSE), "0"))</f>
        <v/>
      </c>
      <c r="Q194" t="str">
        <f>IF(P194="","", IFERROR(VLOOKUP(P194, Hidden_Data!M:N, 2, FALSE), "0"))</f>
        <v/>
      </c>
      <c r="T194" t="str">
        <f t="shared" ref="T194:T257" si="9">IF(A194="","", SUM(IF(F194="Yes", 0, IF(E194="", 0, IFERROR(VALUE(MID(E194, SEARCH("(",E194)+1, 1)), 0))), IF(I194="Yes", 0, IF(H194="", 0, IFERROR(VALUE(MID(H194, SEARCH("(",H194)+1, 1)), 0))), IF(L194="Yes", 0, IF(K194="", 0, IFERROR(VALUE(MID(K194, SEARCH("(",K194)+1, 1)), 0))), IF(O194="Yes", 0, IF(N194="", 0, IFERROR(VALUE(MID(N194, SEARCH("(",N194)+1, 1)), 0))), IF(R194="Yes", 0, IF(Q194="", 0, IFERROR(VALUE(MID(Q194, SEARCH("(",Q194)+1, 1)), 0)))))</f>
        <v/>
      </c>
      <c r="U194" t="str">
        <f t="shared" ref="U194:U257" si="10">IF(A194="","", IF(T194&gt;=5, "Priority 1 (Critical)", IF(T194&gt;=3, "Priority 2 (Major)", IF(T194&gt;=1, "Priority 3 (Minor)", "Pass/Fixed"))))</f>
        <v/>
      </c>
      <c r="V194" t="str">
        <f t="shared" ref="V194:V257" si="11">IF(A194="","", IF(T194&gt;0, "FAIL", "PASS"))</f>
        <v/>
      </c>
    </row>
    <row r="195" spans="1:22" x14ac:dyDescent="0.25">
      <c r="A195" t="str">
        <f>IF('Equipment Information'!A195="","", 'Equipment Information'!A195)</f>
        <v/>
      </c>
      <c r="B195" t="str">
        <f>IF('Equipment Information'!B195="","", 'Equipment Information'!B195)</f>
        <v/>
      </c>
      <c r="C195" t="str">
        <f>IF('Equipment Information'!C195="","", 'Equipment Information'!C195)</f>
        <v/>
      </c>
      <c r="E195" t="str">
        <f>IF(D195="","", IFERROR(VLOOKUP(D195, Hidden_Data!M:N, 2, FALSE), "0"))</f>
        <v/>
      </c>
      <c r="H195" t="str">
        <f>IF(G195="","", IFERROR(VLOOKUP(G195, Hidden_Data!M:N, 2, FALSE), "0"))</f>
        <v/>
      </c>
      <c r="K195" t="str">
        <f>IF(J195="","", IFERROR(VLOOKUP(J195, Hidden_Data!M:N, 2, FALSE), "0"))</f>
        <v/>
      </c>
      <c r="N195" t="str">
        <f>IF(M195="","", IFERROR(VLOOKUP(M195, Hidden_Data!M:N, 2, FALSE), "0"))</f>
        <v/>
      </c>
      <c r="Q195" t="str">
        <f>IF(P195="","", IFERROR(VLOOKUP(P195, Hidden_Data!M:N, 2, FALSE), "0"))</f>
        <v/>
      </c>
      <c r="T195" t="str">
        <f t="shared" si="9"/>
        <v/>
      </c>
      <c r="U195" t="str">
        <f t="shared" si="10"/>
        <v/>
      </c>
      <c r="V195" t="str">
        <f t="shared" si="11"/>
        <v/>
      </c>
    </row>
    <row r="196" spans="1:22" x14ac:dyDescent="0.25">
      <c r="A196" t="str">
        <f>IF('Equipment Information'!A196="","", 'Equipment Information'!A196)</f>
        <v/>
      </c>
      <c r="B196" t="str">
        <f>IF('Equipment Information'!B196="","", 'Equipment Information'!B196)</f>
        <v/>
      </c>
      <c r="C196" t="str">
        <f>IF('Equipment Information'!C196="","", 'Equipment Information'!C196)</f>
        <v/>
      </c>
      <c r="E196" t="str">
        <f>IF(D196="","", IFERROR(VLOOKUP(D196, Hidden_Data!M:N, 2, FALSE), "0"))</f>
        <v/>
      </c>
      <c r="H196" t="str">
        <f>IF(G196="","", IFERROR(VLOOKUP(G196, Hidden_Data!M:N, 2, FALSE), "0"))</f>
        <v/>
      </c>
      <c r="K196" t="str">
        <f>IF(J196="","", IFERROR(VLOOKUP(J196, Hidden_Data!M:N, 2, FALSE), "0"))</f>
        <v/>
      </c>
      <c r="N196" t="str">
        <f>IF(M196="","", IFERROR(VLOOKUP(M196, Hidden_Data!M:N, 2, FALSE), "0"))</f>
        <v/>
      </c>
      <c r="Q196" t="str">
        <f>IF(P196="","", IFERROR(VLOOKUP(P196, Hidden_Data!M:N, 2, FALSE), "0"))</f>
        <v/>
      </c>
      <c r="T196" t="str">
        <f t="shared" si="9"/>
        <v/>
      </c>
      <c r="U196" t="str">
        <f t="shared" si="10"/>
        <v/>
      </c>
      <c r="V196" t="str">
        <f t="shared" si="11"/>
        <v/>
      </c>
    </row>
    <row r="197" spans="1:22" x14ac:dyDescent="0.25">
      <c r="A197" t="str">
        <f>IF('Equipment Information'!A197="","", 'Equipment Information'!A197)</f>
        <v/>
      </c>
      <c r="B197" t="str">
        <f>IF('Equipment Information'!B197="","", 'Equipment Information'!B197)</f>
        <v/>
      </c>
      <c r="C197" t="str">
        <f>IF('Equipment Information'!C197="","", 'Equipment Information'!C197)</f>
        <v/>
      </c>
      <c r="E197" t="str">
        <f>IF(D197="","", IFERROR(VLOOKUP(D197, Hidden_Data!M:N, 2, FALSE), "0"))</f>
        <v/>
      </c>
      <c r="H197" t="str">
        <f>IF(G197="","", IFERROR(VLOOKUP(G197, Hidden_Data!M:N, 2, FALSE), "0"))</f>
        <v/>
      </c>
      <c r="K197" t="str">
        <f>IF(J197="","", IFERROR(VLOOKUP(J197, Hidden_Data!M:N, 2, FALSE), "0"))</f>
        <v/>
      </c>
      <c r="N197" t="str">
        <f>IF(M197="","", IFERROR(VLOOKUP(M197, Hidden_Data!M:N, 2, FALSE), "0"))</f>
        <v/>
      </c>
      <c r="Q197" t="str">
        <f>IF(P197="","", IFERROR(VLOOKUP(P197, Hidden_Data!M:N, 2, FALSE), "0"))</f>
        <v/>
      </c>
      <c r="T197" t="str">
        <f t="shared" si="9"/>
        <v/>
      </c>
      <c r="U197" t="str">
        <f t="shared" si="10"/>
        <v/>
      </c>
      <c r="V197" t="str">
        <f t="shared" si="11"/>
        <v/>
      </c>
    </row>
    <row r="198" spans="1:22" x14ac:dyDescent="0.25">
      <c r="A198" t="str">
        <f>IF('Equipment Information'!A198="","", 'Equipment Information'!A198)</f>
        <v/>
      </c>
      <c r="B198" t="str">
        <f>IF('Equipment Information'!B198="","", 'Equipment Information'!B198)</f>
        <v/>
      </c>
      <c r="C198" t="str">
        <f>IF('Equipment Information'!C198="","", 'Equipment Information'!C198)</f>
        <v/>
      </c>
      <c r="E198" t="str">
        <f>IF(D198="","", IFERROR(VLOOKUP(D198, Hidden_Data!M:N, 2, FALSE), "0"))</f>
        <v/>
      </c>
      <c r="H198" t="str">
        <f>IF(G198="","", IFERROR(VLOOKUP(G198, Hidden_Data!M:N, 2, FALSE), "0"))</f>
        <v/>
      </c>
      <c r="K198" t="str">
        <f>IF(J198="","", IFERROR(VLOOKUP(J198, Hidden_Data!M:N, 2, FALSE), "0"))</f>
        <v/>
      </c>
      <c r="N198" t="str">
        <f>IF(M198="","", IFERROR(VLOOKUP(M198, Hidden_Data!M:N, 2, FALSE), "0"))</f>
        <v/>
      </c>
      <c r="Q198" t="str">
        <f>IF(P198="","", IFERROR(VLOOKUP(P198, Hidden_Data!M:N, 2, FALSE), "0"))</f>
        <v/>
      </c>
      <c r="T198" t="str">
        <f t="shared" si="9"/>
        <v/>
      </c>
      <c r="U198" t="str">
        <f t="shared" si="10"/>
        <v/>
      </c>
      <c r="V198" t="str">
        <f t="shared" si="11"/>
        <v/>
      </c>
    </row>
    <row r="199" spans="1:22" x14ac:dyDescent="0.25">
      <c r="A199" t="str">
        <f>IF('Equipment Information'!A199="","", 'Equipment Information'!A199)</f>
        <v/>
      </c>
      <c r="B199" t="str">
        <f>IF('Equipment Information'!B199="","", 'Equipment Information'!B199)</f>
        <v/>
      </c>
      <c r="C199" t="str">
        <f>IF('Equipment Information'!C199="","", 'Equipment Information'!C199)</f>
        <v/>
      </c>
      <c r="E199" t="str">
        <f>IF(D199="","", IFERROR(VLOOKUP(D199, Hidden_Data!M:N, 2, FALSE), "0"))</f>
        <v/>
      </c>
      <c r="H199" t="str">
        <f>IF(G199="","", IFERROR(VLOOKUP(G199, Hidden_Data!M:N, 2, FALSE), "0"))</f>
        <v/>
      </c>
      <c r="K199" t="str">
        <f>IF(J199="","", IFERROR(VLOOKUP(J199, Hidden_Data!M:N, 2, FALSE), "0"))</f>
        <v/>
      </c>
      <c r="N199" t="str">
        <f>IF(M199="","", IFERROR(VLOOKUP(M199, Hidden_Data!M:N, 2, FALSE), "0"))</f>
        <v/>
      </c>
      <c r="Q199" t="str">
        <f>IF(P199="","", IFERROR(VLOOKUP(P199, Hidden_Data!M:N, 2, FALSE), "0"))</f>
        <v/>
      </c>
      <c r="T199" t="str">
        <f t="shared" si="9"/>
        <v/>
      </c>
      <c r="U199" t="str">
        <f t="shared" si="10"/>
        <v/>
      </c>
      <c r="V199" t="str">
        <f t="shared" si="11"/>
        <v/>
      </c>
    </row>
    <row r="200" spans="1:22" x14ac:dyDescent="0.25">
      <c r="A200" t="str">
        <f>IF('Equipment Information'!A200="","", 'Equipment Information'!A200)</f>
        <v/>
      </c>
      <c r="B200" t="str">
        <f>IF('Equipment Information'!B200="","", 'Equipment Information'!B200)</f>
        <v/>
      </c>
      <c r="C200" t="str">
        <f>IF('Equipment Information'!C200="","", 'Equipment Information'!C200)</f>
        <v/>
      </c>
      <c r="E200" t="str">
        <f>IF(D200="","", IFERROR(VLOOKUP(D200, Hidden_Data!M:N, 2, FALSE), "0"))</f>
        <v/>
      </c>
      <c r="H200" t="str">
        <f>IF(G200="","", IFERROR(VLOOKUP(G200, Hidden_Data!M:N, 2, FALSE), "0"))</f>
        <v/>
      </c>
      <c r="K200" t="str">
        <f>IF(J200="","", IFERROR(VLOOKUP(J200, Hidden_Data!M:N, 2, FALSE), "0"))</f>
        <v/>
      </c>
      <c r="N200" t="str">
        <f>IF(M200="","", IFERROR(VLOOKUP(M200, Hidden_Data!M:N, 2, FALSE), "0"))</f>
        <v/>
      </c>
      <c r="Q200" t="str">
        <f>IF(P200="","", IFERROR(VLOOKUP(P200, Hidden_Data!M:N, 2, FALSE), "0"))</f>
        <v/>
      </c>
      <c r="T200" t="str">
        <f t="shared" si="9"/>
        <v/>
      </c>
      <c r="U200" t="str">
        <f t="shared" si="10"/>
        <v/>
      </c>
      <c r="V200" t="str">
        <f t="shared" si="11"/>
        <v/>
      </c>
    </row>
    <row r="201" spans="1:22" x14ac:dyDescent="0.25">
      <c r="A201" t="str">
        <f>IF('Equipment Information'!A201="","", 'Equipment Information'!A201)</f>
        <v/>
      </c>
      <c r="B201" t="str">
        <f>IF('Equipment Information'!B201="","", 'Equipment Information'!B201)</f>
        <v/>
      </c>
      <c r="C201" t="str">
        <f>IF('Equipment Information'!C201="","", 'Equipment Information'!C201)</f>
        <v/>
      </c>
      <c r="E201" t="str">
        <f>IF(D201="","", IFERROR(VLOOKUP(D201, Hidden_Data!M:N, 2, FALSE), "0"))</f>
        <v/>
      </c>
      <c r="H201" t="str">
        <f>IF(G201="","", IFERROR(VLOOKUP(G201, Hidden_Data!M:N, 2, FALSE), "0"))</f>
        <v/>
      </c>
      <c r="K201" t="str">
        <f>IF(J201="","", IFERROR(VLOOKUP(J201, Hidden_Data!M:N, 2, FALSE), "0"))</f>
        <v/>
      </c>
      <c r="N201" t="str">
        <f>IF(M201="","", IFERROR(VLOOKUP(M201, Hidden_Data!M:N, 2, FALSE), "0"))</f>
        <v/>
      </c>
      <c r="Q201" t="str">
        <f>IF(P201="","", IFERROR(VLOOKUP(P201, Hidden_Data!M:N, 2, FALSE), "0"))</f>
        <v/>
      </c>
      <c r="T201" t="str">
        <f t="shared" si="9"/>
        <v/>
      </c>
      <c r="U201" t="str">
        <f t="shared" si="10"/>
        <v/>
      </c>
      <c r="V201" t="str">
        <f t="shared" si="11"/>
        <v/>
      </c>
    </row>
    <row r="202" spans="1:22" x14ac:dyDescent="0.25">
      <c r="A202" t="str">
        <f>IF('Equipment Information'!A202="","", 'Equipment Information'!A202)</f>
        <v/>
      </c>
      <c r="B202" t="str">
        <f>IF('Equipment Information'!B202="","", 'Equipment Information'!B202)</f>
        <v/>
      </c>
      <c r="C202" t="str">
        <f>IF('Equipment Information'!C202="","", 'Equipment Information'!C202)</f>
        <v/>
      </c>
      <c r="E202" t="str">
        <f>IF(D202="","", IFERROR(VLOOKUP(D202, Hidden_Data!M:N, 2, FALSE), "0"))</f>
        <v/>
      </c>
      <c r="H202" t="str">
        <f>IF(G202="","", IFERROR(VLOOKUP(G202, Hidden_Data!M:N, 2, FALSE), "0"))</f>
        <v/>
      </c>
      <c r="K202" t="str">
        <f>IF(J202="","", IFERROR(VLOOKUP(J202, Hidden_Data!M:N, 2, FALSE), "0"))</f>
        <v/>
      </c>
      <c r="N202" t="str">
        <f>IF(M202="","", IFERROR(VLOOKUP(M202, Hidden_Data!M:N, 2, FALSE), "0"))</f>
        <v/>
      </c>
      <c r="Q202" t="str">
        <f>IF(P202="","", IFERROR(VLOOKUP(P202, Hidden_Data!M:N, 2, FALSE), "0"))</f>
        <v/>
      </c>
      <c r="T202" t="str">
        <f t="shared" si="9"/>
        <v/>
      </c>
      <c r="U202" t="str">
        <f t="shared" si="10"/>
        <v/>
      </c>
      <c r="V202" t="str">
        <f t="shared" si="11"/>
        <v/>
      </c>
    </row>
    <row r="203" spans="1:22" x14ac:dyDescent="0.25">
      <c r="A203" t="str">
        <f>IF('Equipment Information'!A203="","", 'Equipment Information'!A203)</f>
        <v/>
      </c>
      <c r="B203" t="str">
        <f>IF('Equipment Information'!B203="","", 'Equipment Information'!B203)</f>
        <v/>
      </c>
      <c r="C203" t="str">
        <f>IF('Equipment Information'!C203="","", 'Equipment Information'!C203)</f>
        <v/>
      </c>
      <c r="E203" t="str">
        <f>IF(D203="","", IFERROR(VLOOKUP(D203, Hidden_Data!M:N, 2, FALSE), "0"))</f>
        <v/>
      </c>
      <c r="H203" t="str">
        <f>IF(G203="","", IFERROR(VLOOKUP(G203, Hidden_Data!M:N, 2, FALSE), "0"))</f>
        <v/>
      </c>
      <c r="K203" t="str">
        <f>IF(J203="","", IFERROR(VLOOKUP(J203, Hidden_Data!M:N, 2, FALSE), "0"))</f>
        <v/>
      </c>
      <c r="N203" t="str">
        <f>IF(M203="","", IFERROR(VLOOKUP(M203, Hidden_Data!M:N, 2, FALSE), "0"))</f>
        <v/>
      </c>
      <c r="Q203" t="str">
        <f>IF(P203="","", IFERROR(VLOOKUP(P203, Hidden_Data!M:N, 2, FALSE), "0"))</f>
        <v/>
      </c>
      <c r="T203" t="str">
        <f t="shared" si="9"/>
        <v/>
      </c>
      <c r="U203" t="str">
        <f t="shared" si="10"/>
        <v/>
      </c>
      <c r="V203" t="str">
        <f t="shared" si="11"/>
        <v/>
      </c>
    </row>
    <row r="204" spans="1:22" x14ac:dyDescent="0.25">
      <c r="A204" t="str">
        <f>IF('Equipment Information'!A204="","", 'Equipment Information'!A204)</f>
        <v/>
      </c>
      <c r="B204" t="str">
        <f>IF('Equipment Information'!B204="","", 'Equipment Information'!B204)</f>
        <v/>
      </c>
      <c r="C204" t="str">
        <f>IF('Equipment Information'!C204="","", 'Equipment Information'!C204)</f>
        <v/>
      </c>
      <c r="E204" t="str">
        <f>IF(D204="","", IFERROR(VLOOKUP(D204, Hidden_Data!M:N, 2, FALSE), "0"))</f>
        <v/>
      </c>
      <c r="H204" t="str">
        <f>IF(G204="","", IFERROR(VLOOKUP(G204, Hidden_Data!M:N, 2, FALSE), "0"))</f>
        <v/>
      </c>
      <c r="K204" t="str">
        <f>IF(J204="","", IFERROR(VLOOKUP(J204, Hidden_Data!M:N, 2, FALSE), "0"))</f>
        <v/>
      </c>
      <c r="N204" t="str">
        <f>IF(M204="","", IFERROR(VLOOKUP(M204, Hidden_Data!M:N, 2, FALSE), "0"))</f>
        <v/>
      </c>
      <c r="Q204" t="str">
        <f>IF(P204="","", IFERROR(VLOOKUP(P204, Hidden_Data!M:N, 2, FALSE), "0"))</f>
        <v/>
      </c>
      <c r="T204" t="str">
        <f t="shared" si="9"/>
        <v/>
      </c>
      <c r="U204" t="str">
        <f t="shared" si="10"/>
        <v/>
      </c>
      <c r="V204" t="str">
        <f t="shared" si="11"/>
        <v/>
      </c>
    </row>
    <row r="205" spans="1:22" x14ac:dyDescent="0.25">
      <c r="A205" t="str">
        <f>IF('Equipment Information'!A205="","", 'Equipment Information'!A205)</f>
        <v/>
      </c>
      <c r="B205" t="str">
        <f>IF('Equipment Information'!B205="","", 'Equipment Information'!B205)</f>
        <v/>
      </c>
      <c r="C205" t="str">
        <f>IF('Equipment Information'!C205="","", 'Equipment Information'!C205)</f>
        <v/>
      </c>
      <c r="E205" t="str">
        <f>IF(D205="","", IFERROR(VLOOKUP(D205, Hidden_Data!M:N, 2, FALSE), "0"))</f>
        <v/>
      </c>
      <c r="H205" t="str">
        <f>IF(G205="","", IFERROR(VLOOKUP(G205, Hidden_Data!M:N, 2, FALSE), "0"))</f>
        <v/>
      </c>
      <c r="K205" t="str">
        <f>IF(J205="","", IFERROR(VLOOKUP(J205, Hidden_Data!M:N, 2, FALSE), "0"))</f>
        <v/>
      </c>
      <c r="N205" t="str">
        <f>IF(M205="","", IFERROR(VLOOKUP(M205, Hidden_Data!M:N, 2, FALSE), "0"))</f>
        <v/>
      </c>
      <c r="Q205" t="str">
        <f>IF(P205="","", IFERROR(VLOOKUP(P205, Hidden_Data!M:N, 2, FALSE), "0"))</f>
        <v/>
      </c>
      <c r="T205" t="str">
        <f t="shared" si="9"/>
        <v/>
      </c>
      <c r="U205" t="str">
        <f t="shared" si="10"/>
        <v/>
      </c>
      <c r="V205" t="str">
        <f t="shared" si="11"/>
        <v/>
      </c>
    </row>
    <row r="206" spans="1:22" x14ac:dyDescent="0.25">
      <c r="A206" t="str">
        <f>IF('Equipment Information'!A206="","", 'Equipment Information'!A206)</f>
        <v/>
      </c>
      <c r="B206" t="str">
        <f>IF('Equipment Information'!B206="","", 'Equipment Information'!B206)</f>
        <v/>
      </c>
      <c r="C206" t="str">
        <f>IF('Equipment Information'!C206="","", 'Equipment Information'!C206)</f>
        <v/>
      </c>
      <c r="E206" t="str">
        <f>IF(D206="","", IFERROR(VLOOKUP(D206, Hidden_Data!M:N, 2, FALSE), "0"))</f>
        <v/>
      </c>
      <c r="H206" t="str">
        <f>IF(G206="","", IFERROR(VLOOKUP(G206, Hidden_Data!M:N, 2, FALSE), "0"))</f>
        <v/>
      </c>
      <c r="K206" t="str">
        <f>IF(J206="","", IFERROR(VLOOKUP(J206, Hidden_Data!M:N, 2, FALSE), "0"))</f>
        <v/>
      </c>
      <c r="N206" t="str">
        <f>IF(M206="","", IFERROR(VLOOKUP(M206, Hidden_Data!M:N, 2, FALSE), "0"))</f>
        <v/>
      </c>
      <c r="Q206" t="str">
        <f>IF(P206="","", IFERROR(VLOOKUP(P206, Hidden_Data!M:N, 2, FALSE), "0"))</f>
        <v/>
      </c>
      <c r="T206" t="str">
        <f t="shared" si="9"/>
        <v/>
      </c>
      <c r="U206" t="str">
        <f t="shared" si="10"/>
        <v/>
      </c>
      <c r="V206" t="str">
        <f t="shared" si="11"/>
        <v/>
      </c>
    </row>
    <row r="207" spans="1:22" x14ac:dyDescent="0.25">
      <c r="A207" t="str">
        <f>IF('Equipment Information'!A207="","", 'Equipment Information'!A207)</f>
        <v/>
      </c>
      <c r="B207" t="str">
        <f>IF('Equipment Information'!B207="","", 'Equipment Information'!B207)</f>
        <v/>
      </c>
      <c r="C207" t="str">
        <f>IF('Equipment Information'!C207="","", 'Equipment Information'!C207)</f>
        <v/>
      </c>
      <c r="E207" t="str">
        <f>IF(D207="","", IFERROR(VLOOKUP(D207, Hidden_Data!M:N, 2, FALSE), "0"))</f>
        <v/>
      </c>
      <c r="H207" t="str">
        <f>IF(G207="","", IFERROR(VLOOKUP(G207, Hidden_Data!M:N, 2, FALSE), "0"))</f>
        <v/>
      </c>
      <c r="K207" t="str">
        <f>IF(J207="","", IFERROR(VLOOKUP(J207, Hidden_Data!M:N, 2, FALSE), "0"))</f>
        <v/>
      </c>
      <c r="N207" t="str">
        <f>IF(M207="","", IFERROR(VLOOKUP(M207, Hidden_Data!M:N, 2, FALSE), "0"))</f>
        <v/>
      </c>
      <c r="Q207" t="str">
        <f>IF(P207="","", IFERROR(VLOOKUP(P207, Hidden_Data!M:N, 2, FALSE), "0"))</f>
        <v/>
      </c>
      <c r="T207" t="str">
        <f t="shared" si="9"/>
        <v/>
      </c>
      <c r="U207" t="str">
        <f t="shared" si="10"/>
        <v/>
      </c>
      <c r="V207" t="str">
        <f t="shared" si="11"/>
        <v/>
      </c>
    </row>
    <row r="208" spans="1:22" x14ac:dyDescent="0.25">
      <c r="A208" t="str">
        <f>IF('Equipment Information'!A208="","", 'Equipment Information'!A208)</f>
        <v/>
      </c>
      <c r="B208" t="str">
        <f>IF('Equipment Information'!B208="","", 'Equipment Information'!B208)</f>
        <v/>
      </c>
      <c r="C208" t="str">
        <f>IF('Equipment Information'!C208="","", 'Equipment Information'!C208)</f>
        <v/>
      </c>
      <c r="E208" t="str">
        <f>IF(D208="","", IFERROR(VLOOKUP(D208, Hidden_Data!M:N, 2, FALSE), "0"))</f>
        <v/>
      </c>
      <c r="H208" t="str">
        <f>IF(G208="","", IFERROR(VLOOKUP(G208, Hidden_Data!M:N, 2, FALSE), "0"))</f>
        <v/>
      </c>
      <c r="K208" t="str">
        <f>IF(J208="","", IFERROR(VLOOKUP(J208, Hidden_Data!M:N, 2, FALSE), "0"))</f>
        <v/>
      </c>
      <c r="N208" t="str">
        <f>IF(M208="","", IFERROR(VLOOKUP(M208, Hidden_Data!M:N, 2, FALSE), "0"))</f>
        <v/>
      </c>
      <c r="Q208" t="str">
        <f>IF(P208="","", IFERROR(VLOOKUP(P208, Hidden_Data!M:N, 2, FALSE), "0"))</f>
        <v/>
      </c>
      <c r="T208" t="str">
        <f t="shared" si="9"/>
        <v/>
      </c>
      <c r="U208" t="str">
        <f t="shared" si="10"/>
        <v/>
      </c>
      <c r="V208" t="str">
        <f t="shared" si="11"/>
        <v/>
      </c>
    </row>
    <row r="209" spans="1:22" x14ac:dyDescent="0.25">
      <c r="A209" t="str">
        <f>IF('Equipment Information'!A209="","", 'Equipment Information'!A209)</f>
        <v/>
      </c>
      <c r="B209" t="str">
        <f>IF('Equipment Information'!B209="","", 'Equipment Information'!B209)</f>
        <v/>
      </c>
      <c r="C209" t="str">
        <f>IF('Equipment Information'!C209="","", 'Equipment Information'!C209)</f>
        <v/>
      </c>
      <c r="E209" t="str">
        <f>IF(D209="","", IFERROR(VLOOKUP(D209, Hidden_Data!M:N, 2, FALSE), "0"))</f>
        <v/>
      </c>
      <c r="H209" t="str">
        <f>IF(G209="","", IFERROR(VLOOKUP(G209, Hidden_Data!M:N, 2, FALSE), "0"))</f>
        <v/>
      </c>
      <c r="K209" t="str">
        <f>IF(J209="","", IFERROR(VLOOKUP(J209, Hidden_Data!M:N, 2, FALSE), "0"))</f>
        <v/>
      </c>
      <c r="N209" t="str">
        <f>IF(M209="","", IFERROR(VLOOKUP(M209, Hidden_Data!M:N, 2, FALSE), "0"))</f>
        <v/>
      </c>
      <c r="Q209" t="str">
        <f>IF(P209="","", IFERROR(VLOOKUP(P209, Hidden_Data!M:N, 2, FALSE), "0"))</f>
        <v/>
      </c>
      <c r="T209" t="str">
        <f t="shared" si="9"/>
        <v/>
      </c>
      <c r="U209" t="str">
        <f t="shared" si="10"/>
        <v/>
      </c>
      <c r="V209" t="str">
        <f t="shared" si="11"/>
        <v/>
      </c>
    </row>
    <row r="210" spans="1:22" x14ac:dyDescent="0.25">
      <c r="A210" t="str">
        <f>IF('Equipment Information'!A210="","", 'Equipment Information'!A210)</f>
        <v/>
      </c>
      <c r="B210" t="str">
        <f>IF('Equipment Information'!B210="","", 'Equipment Information'!B210)</f>
        <v/>
      </c>
      <c r="C210" t="str">
        <f>IF('Equipment Information'!C210="","", 'Equipment Information'!C210)</f>
        <v/>
      </c>
      <c r="E210" t="str">
        <f>IF(D210="","", IFERROR(VLOOKUP(D210, Hidden_Data!M:N, 2, FALSE), "0"))</f>
        <v/>
      </c>
      <c r="H210" t="str">
        <f>IF(G210="","", IFERROR(VLOOKUP(G210, Hidden_Data!M:N, 2, FALSE), "0"))</f>
        <v/>
      </c>
      <c r="K210" t="str">
        <f>IF(J210="","", IFERROR(VLOOKUP(J210, Hidden_Data!M:N, 2, FALSE), "0"))</f>
        <v/>
      </c>
      <c r="N210" t="str">
        <f>IF(M210="","", IFERROR(VLOOKUP(M210, Hidden_Data!M:N, 2, FALSE), "0"))</f>
        <v/>
      </c>
      <c r="Q210" t="str">
        <f>IF(P210="","", IFERROR(VLOOKUP(P210, Hidden_Data!M:N, 2, FALSE), "0"))</f>
        <v/>
      </c>
      <c r="T210" t="str">
        <f t="shared" si="9"/>
        <v/>
      </c>
      <c r="U210" t="str">
        <f t="shared" si="10"/>
        <v/>
      </c>
      <c r="V210" t="str">
        <f t="shared" si="11"/>
        <v/>
      </c>
    </row>
    <row r="211" spans="1:22" x14ac:dyDescent="0.25">
      <c r="A211" t="str">
        <f>IF('Equipment Information'!A211="","", 'Equipment Information'!A211)</f>
        <v/>
      </c>
      <c r="B211" t="str">
        <f>IF('Equipment Information'!B211="","", 'Equipment Information'!B211)</f>
        <v/>
      </c>
      <c r="C211" t="str">
        <f>IF('Equipment Information'!C211="","", 'Equipment Information'!C211)</f>
        <v/>
      </c>
      <c r="E211" t="str">
        <f>IF(D211="","", IFERROR(VLOOKUP(D211, Hidden_Data!M:N, 2, FALSE), "0"))</f>
        <v/>
      </c>
      <c r="H211" t="str">
        <f>IF(G211="","", IFERROR(VLOOKUP(G211, Hidden_Data!M:N, 2, FALSE), "0"))</f>
        <v/>
      </c>
      <c r="K211" t="str">
        <f>IF(J211="","", IFERROR(VLOOKUP(J211, Hidden_Data!M:N, 2, FALSE), "0"))</f>
        <v/>
      </c>
      <c r="N211" t="str">
        <f>IF(M211="","", IFERROR(VLOOKUP(M211, Hidden_Data!M:N, 2, FALSE), "0"))</f>
        <v/>
      </c>
      <c r="Q211" t="str">
        <f>IF(P211="","", IFERROR(VLOOKUP(P211, Hidden_Data!M:N, 2, FALSE), "0"))</f>
        <v/>
      </c>
      <c r="T211" t="str">
        <f t="shared" si="9"/>
        <v/>
      </c>
      <c r="U211" t="str">
        <f t="shared" si="10"/>
        <v/>
      </c>
      <c r="V211" t="str">
        <f t="shared" si="11"/>
        <v/>
      </c>
    </row>
    <row r="212" spans="1:22" x14ac:dyDescent="0.25">
      <c r="A212" t="str">
        <f>IF('Equipment Information'!A212="","", 'Equipment Information'!A212)</f>
        <v/>
      </c>
      <c r="B212" t="str">
        <f>IF('Equipment Information'!B212="","", 'Equipment Information'!B212)</f>
        <v/>
      </c>
      <c r="C212" t="str">
        <f>IF('Equipment Information'!C212="","", 'Equipment Information'!C212)</f>
        <v/>
      </c>
      <c r="E212" t="str">
        <f>IF(D212="","", IFERROR(VLOOKUP(D212, Hidden_Data!M:N, 2, FALSE), "0"))</f>
        <v/>
      </c>
      <c r="H212" t="str">
        <f>IF(G212="","", IFERROR(VLOOKUP(G212, Hidden_Data!M:N, 2, FALSE), "0"))</f>
        <v/>
      </c>
      <c r="K212" t="str">
        <f>IF(J212="","", IFERROR(VLOOKUP(J212, Hidden_Data!M:N, 2, FALSE), "0"))</f>
        <v/>
      </c>
      <c r="N212" t="str">
        <f>IF(M212="","", IFERROR(VLOOKUP(M212, Hidden_Data!M:N, 2, FALSE), "0"))</f>
        <v/>
      </c>
      <c r="Q212" t="str">
        <f>IF(P212="","", IFERROR(VLOOKUP(P212, Hidden_Data!M:N, 2, FALSE), "0"))</f>
        <v/>
      </c>
      <c r="T212" t="str">
        <f t="shared" si="9"/>
        <v/>
      </c>
      <c r="U212" t="str">
        <f t="shared" si="10"/>
        <v/>
      </c>
      <c r="V212" t="str">
        <f t="shared" si="11"/>
        <v/>
      </c>
    </row>
    <row r="213" spans="1:22" x14ac:dyDescent="0.25">
      <c r="A213" t="str">
        <f>IF('Equipment Information'!A213="","", 'Equipment Information'!A213)</f>
        <v/>
      </c>
      <c r="B213" t="str">
        <f>IF('Equipment Information'!B213="","", 'Equipment Information'!B213)</f>
        <v/>
      </c>
      <c r="C213" t="str">
        <f>IF('Equipment Information'!C213="","", 'Equipment Information'!C213)</f>
        <v/>
      </c>
      <c r="E213" t="str">
        <f>IF(D213="","", IFERROR(VLOOKUP(D213, Hidden_Data!M:N, 2, FALSE), "0"))</f>
        <v/>
      </c>
      <c r="H213" t="str">
        <f>IF(G213="","", IFERROR(VLOOKUP(G213, Hidden_Data!M:N, 2, FALSE), "0"))</f>
        <v/>
      </c>
      <c r="K213" t="str">
        <f>IF(J213="","", IFERROR(VLOOKUP(J213, Hidden_Data!M:N, 2, FALSE), "0"))</f>
        <v/>
      </c>
      <c r="N213" t="str">
        <f>IF(M213="","", IFERROR(VLOOKUP(M213, Hidden_Data!M:N, 2, FALSE), "0"))</f>
        <v/>
      </c>
      <c r="Q213" t="str">
        <f>IF(P213="","", IFERROR(VLOOKUP(P213, Hidden_Data!M:N, 2, FALSE), "0"))</f>
        <v/>
      </c>
      <c r="T213" t="str">
        <f t="shared" si="9"/>
        <v/>
      </c>
      <c r="U213" t="str">
        <f t="shared" si="10"/>
        <v/>
      </c>
      <c r="V213" t="str">
        <f t="shared" si="11"/>
        <v/>
      </c>
    </row>
    <row r="214" spans="1:22" x14ac:dyDescent="0.25">
      <c r="A214" t="str">
        <f>IF('Equipment Information'!A214="","", 'Equipment Information'!A214)</f>
        <v/>
      </c>
      <c r="B214" t="str">
        <f>IF('Equipment Information'!B214="","", 'Equipment Information'!B214)</f>
        <v/>
      </c>
      <c r="C214" t="str">
        <f>IF('Equipment Information'!C214="","", 'Equipment Information'!C214)</f>
        <v/>
      </c>
      <c r="E214" t="str">
        <f>IF(D214="","", IFERROR(VLOOKUP(D214, Hidden_Data!M:N, 2, FALSE), "0"))</f>
        <v/>
      </c>
      <c r="H214" t="str">
        <f>IF(G214="","", IFERROR(VLOOKUP(G214, Hidden_Data!M:N, 2, FALSE), "0"))</f>
        <v/>
      </c>
      <c r="K214" t="str">
        <f>IF(J214="","", IFERROR(VLOOKUP(J214, Hidden_Data!M:N, 2, FALSE), "0"))</f>
        <v/>
      </c>
      <c r="N214" t="str">
        <f>IF(M214="","", IFERROR(VLOOKUP(M214, Hidden_Data!M:N, 2, FALSE), "0"))</f>
        <v/>
      </c>
      <c r="Q214" t="str">
        <f>IF(P214="","", IFERROR(VLOOKUP(P214, Hidden_Data!M:N, 2, FALSE), "0"))</f>
        <v/>
      </c>
      <c r="T214" t="str">
        <f t="shared" si="9"/>
        <v/>
      </c>
      <c r="U214" t="str">
        <f t="shared" si="10"/>
        <v/>
      </c>
      <c r="V214" t="str">
        <f t="shared" si="11"/>
        <v/>
      </c>
    </row>
    <row r="215" spans="1:22" x14ac:dyDescent="0.25">
      <c r="A215" t="str">
        <f>IF('Equipment Information'!A215="","", 'Equipment Information'!A215)</f>
        <v/>
      </c>
      <c r="B215" t="str">
        <f>IF('Equipment Information'!B215="","", 'Equipment Information'!B215)</f>
        <v/>
      </c>
      <c r="C215" t="str">
        <f>IF('Equipment Information'!C215="","", 'Equipment Information'!C215)</f>
        <v/>
      </c>
      <c r="E215" t="str">
        <f>IF(D215="","", IFERROR(VLOOKUP(D215, Hidden_Data!M:N, 2, FALSE), "0"))</f>
        <v/>
      </c>
      <c r="H215" t="str">
        <f>IF(G215="","", IFERROR(VLOOKUP(G215, Hidden_Data!M:N, 2, FALSE), "0"))</f>
        <v/>
      </c>
      <c r="K215" t="str">
        <f>IF(J215="","", IFERROR(VLOOKUP(J215, Hidden_Data!M:N, 2, FALSE), "0"))</f>
        <v/>
      </c>
      <c r="N215" t="str">
        <f>IF(M215="","", IFERROR(VLOOKUP(M215, Hidden_Data!M:N, 2, FALSE), "0"))</f>
        <v/>
      </c>
      <c r="Q215" t="str">
        <f>IF(P215="","", IFERROR(VLOOKUP(P215, Hidden_Data!M:N, 2, FALSE), "0"))</f>
        <v/>
      </c>
      <c r="T215" t="str">
        <f t="shared" si="9"/>
        <v/>
      </c>
      <c r="U215" t="str">
        <f t="shared" si="10"/>
        <v/>
      </c>
      <c r="V215" t="str">
        <f t="shared" si="11"/>
        <v/>
      </c>
    </row>
    <row r="216" spans="1:22" x14ac:dyDescent="0.25">
      <c r="A216" t="str">
        <f>IF('Equipment Information'!A216="","", 'Equipment Information'!A216)</f>
        <v/>
      </c>
      <c r="B216" t="str">
        <f>IF('Equipment Information'!B216="","", 'Equipment Information'!B216)</f>
        <v/>
      </c>
      <c r="C216" t="str">
        <f>IF('Equipment Information'!C216="","", 'Equipment Information'!C216)</f>
        <v/>
      </c>
      <c r="E216" t="str">
        <f>IF(D216="","", IFERROR(VLOOKUP(D216, Hidden_Data!M:N, 2, FALSE), "0"))</f>
        <v/>
      </c>
      <c r="H216" t="str">
        <f>IF(G216="","", IFERROR(VLOOKUP(G216, Hidden_Data!M:N, 2, FALSE), "0"))</f>
        <v/>
      </c>
      <c r="K216" t="str">
        <f>IF(J216="","", IFERROR(VLOOKUP(J216, Hidden_Data!M:N, 2, FALSE), "0"))</f>
        <v/>
      </c>
      <c r="N216" t="str">
        <f>IF(M216="","", IFERROR(VLOOKUP(M216, Hidden_Data!M:N, 2, FALSE), "0"))</f>
        <v/>
      </c>
      <c r="Q216" t="str">
        <f>IF(P216="","", IFERROR(VLOOKUP(P216, Hidden_Data!M:N, 2, FALSE), "0"))</f>
        <v/>
      </c>
      <c r="T216" t="str">
        <f t="shared" si="9"/>
        <v/>
      </c>
      <c r="U216" t="str">
        <f t="shared" si="10"/>
        <v/>
      </c>
      <c r="V216" t="str">
        <f t="shared" si="11"/>
        <v/>
      </c>
    </row>
    <row r="217" spans="1:22" x14ac:dyDescent="0.25">
      <c r="A217" t="str">
        <f>IF('Equipment Information'!A217="","", 'Equipment Information'!A217)</f>
        <v/>
      </c>
      <c r="B217" t="str">
        <f>IF('Equipment Information'!B217="","", 'Equipment Information'!B217)</f>
        <v/>
      </c>
      <c r="C217" t="str">
        <f>IF('Equipment Information'!C217="","", 'Equipment Information'!C217)</f>
        <v/>
      </c>
      <c r="E217" t="str">
        <f>IF(D217="","", IFERROR(VLOOKUP(D217, Hidden_Data!M:N, 2, FALSE), "0"))</f>
        <v/>
      </c>
      <c r="H217" t="str">
        <f>IF(G217="","", IFERROR(VLOOKUP(G217, Hidden_Data!M:N, 2, FALSE), "0"))</f>
        <v/>
      </c>
      <c r="K217" t="str">
        <f>IF(J217="","", IFERROR(VLOOKUP(J217, Hidden_Data!M:N, 2, FALSE), "0"))</f>
        <v/>
      </c>
      <c r="N217" t="str">
        <f>IF(M217="","", IFERROR(VLOOKUP(M217, Hidden_Data!M:N, 2, FALSE), "0"))</f>
        <v/>
      </c>
      <c r="Q217" t="str">
        <f>IF(P217="","", IFERROR(VLOOKUP(P217, Hidden_Data!M:N, 2, FALSE), "0"))</f>
        <v/>
      </c>
      <c r="T217" t="str">
        <f t="shared" si="9"/>
        <v/>
      </c>
      <c r="U217" t="str">
        <f t="shared" si="10"/>
        <v/>
      </c>
      <c r="V217" t="str">
        <f t="shared" si="11"/>
        <v/>
      </c>
    </row>
    <row r="218" spans="1:22" x14ac:dyDescent="0.25">
      <c r="A218" t="str">
        <f>IF('Equipment Information'!A218="","", 'Equipment Information'!A218)</f>
        <v/>
      </c>
      <c r="B218" t="str">
        <f>IF('Equipment Information'!B218="","", 'Equipment Information'!B218)</f>
        <v/>
      </c>
      <c r="C218" t="str">
        <f>IF('Equipment Information'!C218="","", 'Equipment Information'!C218)</f>
        <v/>
      </c>
      <c r="E218" t="str">
        <f>IF(D218="","", IFERROR(VLOOKUP(D218, Hidden_Data!M:N, 2, FALSE), "0"))</f>
        <v/>
      </c>
      <c r="H218" t="str">
        <f>IF(G218="","", IFERROR(VLOOKUP(G218, Hidden_Data!M:N, 2, FALSE), "0"))</f>
        <v/>
      </c>
      <c r="K218" t="str">
        <f>IF(J218="","", IFERROR(VLOOKUP(J218, Hidden_Data!M:N, 2, FALSE), "0"))</f>
        <v/>
      </c>
      <c r="N218" t="str">
        <f>IF(M218="","", IFERROR(VLOOKUP(M218, Hidden_Data!M:N, 2, FALSE), "0"))</f>
        <v/>
      </c>
      <c r="Q218" t="str">
        <f>IF(P218="","", IFERROR(VLOOKUP(P218, Hidden_Data!M:N, 2, FALSE), "0"))</f>
        <v/>
      </c>
      <c r="T218" t="str">
        <f t="shared" si="9"/>
        <v/>
      </c>
      <c r="U218" t="str">
        <f t="shared" si="10"/>
        <v/>
      </c>
      <c r="V218" t="str">
        <f t="shared" si="11"/>
        <v/>
      </c>
    </row>
    <row r="219" spans="1:22" x14ac:dyDescent="0.25">
      <c r="A219" t="str">
        <f>IF('Equipment Information'!A219="","", 'Equipment Information'!A219)</f>
        <v/>
      </c>
      <c r="B219" t="str">
        <f>IF('Equipment Information'!B219="","", 'Equipment Information'!B219)</f>
        <v/>
      </c>
      <c r="C219" t="str">
        <f>IF('Equipment Information'!C219="","", 'Equipment Information'!C219)</f>
        <v/>
      </c>
      <c r="E219" t="str">
        <f>IF(D219="","", IFERROR(VLOOKUP(D219, Hidden_Data!M:N, 2, FALSE), "0"))</f>
        <v/>
      </c>
      <c r="H219" t="str">
        <f>IF(G219="","", IFERROR(VLOOKUP(G219, Hidden_Data!M:N, 2, FALSE), "0"))</f>
        <v/>
      </c>
      <c r="K219" t="str">
        <f>IF(J219="","", IFERROR(VLOOKUP(J219, Hidden_Data!M:N, 2, FALSE), "0"))</f>
        <v/>
      </c>
      <c r="N219" t="str">
        <f>IF(M219="","", IFERROR(VLOOKUP(M219, Hidden_Data!M:N, 2, FALSE), "0"))</f>
        <v/>
      </c>
      <c r="Q219" t="str">
        <f>IF(P219="","", IFERROR(VLOOKUP(P219, Hidden_Data!M:N, 2, FALSE), "0"))</f>
        <v/>
      </c>
      <c r="T219" t="str">
        <f t="shared" si="9"/>
        <v/>
      </c>
      <c r="U219" t="str">
        <f t="shared" si="10"/>
        <v/>
      </c>
      <c r="V219" t="str">
        <f t="shared" si="11"/>
        <v/>
      </c>
    </row>
    <row r="220" spans="1:22" x14ac:dyDescent="0.25">
      <c r="A220" t="str">
        <f>IF('Equipment Information'!A220="","", 'Equipment Information'!A220)</f>
        <v/>
      </c>
      <c r="B220" t="str">
        <f>IF('Equipment Information'!B220="","", 'Equipment Information'!B220)</f>
        <v/>
      </c>
      <c r="C220" t="str">
        <f>IF('Equipment Information'!C220="","", 'Equipment Information'!C220)</f>
        <v/>
      </c>
      <c r="E220" t="str">
        <f>IF(D220="","", IFERROR(VLOOKUP(D220, Hidden_Data!M:N, 2, FALSE), "0"))</f>
        <v/>
      </c>
      <c r="H220" t="str">
        <f>IF(G220="","", IFERROR(VLOOKUP(G220, Hidden_Data!M:N, 2, FALSE), "0"))</f>
        <v/>
      </c>
      <c r="K220" t="str">
        <f>IF(J220="","", IFERROR(VLOOKUP(J220, Hidden_Data!M:N, 2, FALSE), "0"))</f>
        <v/>
      </c>
      <c r="N220" t="str">
        <f>IF(M220="","", IFERROR(VLOOKUP(M220, Hidden_Data!M:N, 2, FALSE), "0"))</f>
        <v/>
      </c>
      <c r="Q220" t="str">
        <f>IF(P220="","", IFERROR(VLOOKUP(P220, Hidden_Data!M:N, 2, FALSE), "0"))</f>
        <v/>
      </c>
      <c r="T220" t="str">
        <f t="shared" si="9"/>
        <v/>
      </c>
      <c r="U220" t="str">
        <f t="shared" si="10"/>
        <v/>
      </c>
      <c r="V220" t="str">
        <f t="shared" si="11"/>
        <v/>
      </c>
    </row>
    <row r="221" spans="1:22" x14ac:dyDescent="0.25">
      <c r="A221" t="str">
        <f>IF('Equipment Information'!A221="","", 'Equipment Information'!A221)</f>
        <v/>
      </c>
      <c r="B221" t="str">
        <f>IF('Equipment Information'!B221="","", 'Equipment Information'!B221)</f>
        <v/>
      </c>
      <c r="C221" t="str">
        <f>IF('Equipment Information'!C221="","", 'Equipment Information'!C221)</f>
        <v/>
      </c>
      <c r="E221" t="str">
        <f>IF(D221="","", IFERROR(VLOOKUP(D221, Hidden_Data!M:N, 2, FALSE), "0"))</f>
        <v/>
      </c>
      <c r="H221" t="str">
        <f>IF(G221="","", IFERROR(VLOOKUP(G221, Hidden_Data!M:N, 2, FALSE), "0"))</f>
        <v/>
      </c>
      <c r="K221" t="str">
        <f>IF(J221="","", IFERROR(VLOOKUP(J221, Hidden_Data!M:N, 2, FALSE), "0"))</f>
        <v/>
      </c>
      <c r="N221" t="str">
        <f>IF(M221="","", IFERROR(VLOOKUP(M221, Hidden_Data!M:N, 2, FALSE), "0"))</f>
        <v/>
      </c>
      <c r="Q221" t="str">
        <f>IF(P221="","", IFERROR(VLOOKUP(P221, Hidden_Data!M:N, 2, FALSE), "0"))</f>
        <v/>
      </c>
      <c r="T221" t="str">
        <f t="shared" si="9"/>
        <v/>
      </c>
      <c r="U221" t="str">
        <f t="shared" si="10"/>
        <v/>
      </c>
      <c r="V221" t="str">
        <f t="shared" si="11"/>
        <v/>
      </c>
    </row>
    <row r="222" spans="1:22" x14ac:dyDescent="0.25">
      <c r="A222" t="str">
        <f>IF('Equipment Information'!A222="","", 'Equipment Information'!A222)</f>
        <v/>
      </c>
      <c r="B222" t="str">
        <f>IF('Equipment Information'!B222="","", 'Equipment Information'!B222)</f>
        <v/>
      </c>
      <c r="C222" t="str">
        <f>IF('Equipment Information'!C222="","", 'Equipment Information'!C222)</f>
        <v/>
      </c>
      <c r="E222" t="str">
        <f>IF(D222="","", IFERROR(VLOOKUP(D222, Hidden_Data!M:N, 2, FALSE), "0"))</f>
        <v/>
      </c>
      <c r="H222" t="str">
        <f>IF(G222="","", IFERROR(VLOOKUP(G222, Hidden_Data!M:N, 2, FALSE), "0"))</f>
        <v/>
      </c>
      <c r="K222" t="str">
        <f>IF(J222="","", IFERROR(VLOOKUP(J222, Hidden_Data!M:N, 2, FALSE), "0"))</f>
        <v/>
      </c>
      <c r="N222" t="str">
        <f>IF(M222="","", IFERROR(VLOOKUP(M222, Hidden_Data!M:N, 2, FALSE), "0"))</f>
        <v/>
      </c>
      <c r="Q222" t="str">
        <f>IF(P222="","", IFERROR(VLOOKUP(P222, Hidden_Data!M:N, 2, FALSE), "0"))</f>
        <v/>
      </c>
      <c r="T222" t="str">
        <f t="shared" si="9"/>
        <v/>
      </c>
      <c r="U222" t="str">
        <f t="shared" si="10"/>
        <v/>
      </c>
      <c r="V222" t="str">
        <f t="shared" si="11"/>
        <v/>
      </c>
    </row>
    <row r="223" spans="1:22" x14ac:dyDescent="0.25">
      <c r="A223" t="str">
        <f>IF('Equipment Information'!A223="","", 'Equipment Information'!A223)</f>
        <v/>
      </c>
      <c r="B223" t="str">
        <f>IF('Equipment Information'!B223="","", 'Equipment Information'!B223)</f>
        <v/>
      </c>
      <c r="C223" t="str">
        <f>IF('Equipment Information'!C223="","", 'Equipment Information'!C223)</f>
        <v/>
      </c>
      <c r="E223" t="str">
        <f>IF(D223="","", IFERROR(VLOOKUP(D223, Hidden_Data!M:N, 2, FALSE), "0"))</f>
        <v/>
      </c>
      <c r="H223" t="str">
        <f>IF(G223="","", IFERROR(VLOOKUP(G223, Hidden_Data!M:N, 2, FALSE), "0"))</f>
        <v/>
      </c>
      <c r="K223" t="str">
        <f>IF(J223="","", IFERROR(VLOOKUP(J223, Hidden_Data!M:N, 2, FALSE), "0"))</f>
        <v/>
      </c>
      <c r="N223" t="str">
        <f>IF(M223="","", IFERROR(VLOOKUP(M223, Hidden_Data!M:N, 2, FALSE), "0"))</f>
        <v/>
      </c>
      <c r="Q223" t="str">
        <f>IF(P223="","", IFERROR(VLOOKUP(P223, Hidden_Data!M:N, 2, FALSE), "0"))</f>
        <v/>
      </c>
      <c r="T223" t="str">
        <f t="shared" si="9"/>
        <v/>
      </c>
      <c r="U223" t="str">
        <f t="shared" si="10"/>
        <v/>
      </c>
      <c r="V223" t="str">
        <f t="shared" si="11"/>
        <v/>
      </c>
    </row>
    <row r="224" spans="1:22" x14ac:dyDescent="0.25">
      <c r="A224" t="str">
        <f>IF('Equipment Information'!A224="","", 'Equipment Information'!A224)</f>
        <v/>
      </c>
      <c r="B224" t="str">
        <f>IF('Equipment Information'!B224="","", 'Equipment Information'!B224)</f>
        <v/>
      </c>
      <c r="C224" t="str">
        <f>IF('Equipment Information'!C224="","", 'Equipment Information'!C224)</f>
        <v/>
      </c>
      <c r="E224" t="str">
        <f>IF(D224="","", IFERROR(VLOOKUP(D224, Hidden_Data!M:N, 2, FALSE), "0"))</f>
        <v/>
      </c>
      <c r="H224" t="str">
        <f>IF(G224="","", IFERROR(VLOOKUP(G224, Hidden_Data!M:N, 2, FALSE), "0"))</f>
        <v/>
      </c>
      <c r="K224" t="str">
        <f>IF(J224="","", IFERROR(VLOOKUP(J224, Hidden_Data!M:N, 2, FALSE), "0"))</f>
        <v/>
      </c>
      <c r="N224" t="str">
        <f>IF(M224="","", IFERROR(VLOOKUP(M224, Hidden_Data!M:N, 2, FALSE), "0"))</f>
        <v/>
      </c>
      <c r="Q224" t="str">
        <f>IF(P224="","", IFERROR(VLOOKUP(P224, Hidden_Data!M:N, 2, FALSE), "0"))</f>
        <v/>
      </c>
      <c r="T224" t="str">
        <f t="shared" si="9"/>
        <v/>
      </c>
      <c r="U224" t="str">
        <f t="shared" si="10"/>
        <v/>
      </c>
      <c r="V224" t="str">
        <f t="shared" si="11"/>
        <v/>
      </c>
    </row>
    <row r="225" spans="1:22" x14ac:dyDescent="0.25">
      <c r="A225" t="str">
        <f>IF('Equipment Information'!A225="","", 'Equipment Information'!A225)</f>
        <v/>
      </c>
      <c r="B225" t="str">
        <f>IF('Equipment Information'!B225="","", 'Equipment Information'!B225)</f>
        <v/>
      </c>
      <c r="C225" t="str">
        <f>IF('Equipment Information'!C225="","", 'Equipment Information'!C225)</f>
        <v/>
      </c>
      <c r="E225" t="str">
        <f>IF(D225="","", IFERROR(VLOOKUP(D225, Hidden_Data!M:N, 2, FALSE), "0"))</f>
        <v/>
      </c>
      <c r="H225" t="str">
        <f>IF(G225="","", IFERROR(VLOOKUP(G225, Hidden_Data!M:N, 2, FALSE), "0"))</f>
        <v/>
      </c>
      <c r="K225" t="str">
        <f>IF(J225="","", IFERROR(VLOOKUP(J225, Hidden_Data!M:N, 2, FALSE), "0"))</f>
        <v/>
      </c>
      <c r="N225" t="str">
        <f>IF(M225="","", IFERROR(VLOOKUP(M225, Hidden_Data!M:N, 2, FALSE), "0"))</f>
        <v/>
      </c>
      <c r="Q225" t="str">
        <f>IF(P225="","", IFERROR(VLOOKUP(P225, Hidden_Data!M:N, 2, FALSE), "0"))</f>
        <v/>
      </c>
      <c r="T225" t="str">
        <f t="shared" si="9"/>
        <v/>
      </c>
      <c r="U225" t="str">
        <f t="shared" si="10"/>
        <v/>
      </c>
      <c r="V225" t="str">
        <f t="shared" si="11"/>
        <v/>
      </c>
    </row>
    <row r="226" spans="1:22" x14ac:dyDescent="0.25">
      <c r="A226" t="str">
        <f>IF('Equipment Information'!A226="","", 'Equipment Information'!A226)</f>
        <v/>
      </c>
      <c r="B226" t="str">
        <f>IF('Equipment Information'!B226="","", 'Equipment Information'!B226)</f>
        <v/>
      </c>
      <c r="C226" t="str">
        <f>IF('Equipment Information'!C226="","", 'Equipment Information'!C226)</f>
        <v/>
      </c>
      <c r="E226" t="str">
        <f>IF(D226="","", IFERROR(VLOOKUP(D226, Hidden_Data!M:N, 2, FALSE), "0"))</f>
        <v/>
      </c>
      <c r="H226" t="str">
        <f>IF(G226="","", IFERROR(VLOOKUP(G226, Hidden_Data!M:N, 2, FALSE), "0"))</f>
        <v/>
      </c>
      <c r="K226" t="str">
        <f>IF(J226="","", IFERROR(VLOOKUP(J226, Hidden_Data!M:N, 2, FALSE), "0"))</f>
        <v/>
      </c>
      <c r="N226" t="str">
        <f>IF(M226="","", IFERROR(VLOOKUP(M226, Hidden_Data!M:N, 2, FALSE), "0"))</f>
        <v/>
      </c>
      <c r="Q226" t="str">
        <f>IF(P226="","", IFERROR(VLOOKUP(P226, Hidden_Data!M:N, 2, FALSE), "0"))</f>
        <v/>
      </c>
      <c r="T226" t="str">
        <f t="shared" si="9"/>
        <v/>
      </c>
      <c r="U226" t="str">
        <f t="shared" si="10"/>
        <v/>
      </c>
      <c r="V226" t="str">
        <f t="shared" si="11"/>
        <v/>
      </c>
    </row>
    <row r="227" spans="1:22" x14ac:dyDescent="0.25">
      <c r="A227" t="str">
        <f>IF('Equipment Information'!A227="","", 'Equipment Information'!A227)</f>
        <v/>
      </c>
      <c r="B227" t="str">
        <f>IF('Equipment Information'!B227="","", 'Equipment Information'!B227)</f>
        <v/>
      </c>
      <c r="C227" t="str">
        <f>IF('Equipment Information'!C227="","", 'Equipment Information'!C227)</f>
        <v/>
      </c>
      <c r="E227" t="str">
        <f>IF(D227="","", IFERROR(VLOOKUP(D227, Hidden_Data!M:N, 2, FALSE), "0"))</f>
        <v/>
      </c>
      <c r="H227" t="str">
        <f>IF(G227="","", IFERROR(VLOOKUP(G227, Hidden_Data!M:N, 2, FALSE), "0"))</f>
        <v/>
      </c>
      <c r="K227" t="str">
        <f>IF(J227="","", IFERROR(VLOOKUP(J227, Hidden_Data!M:N, 2, FALSE), "0"))</f>
        <v/>
      </c>
      <c r="N227" t="str">
        <f>IF(M227="","", IFERROR(VLOOKUP(M227, Hidden_Data!M:N, 2, FALSE), "0"))</f>
        <v/>
      </c>
      <c r="Q227" t="str">
        <f>IF(P227="","", IFERROR(VLOOKUP(P227, Hidden_Data!M:N, 2, FALSE), "0"))</f>
        <v/>
      </c>
      <c r="T227" t="str">
        <f t="shared" si="9"/>
        <v/>
      </c>
      <c r="U227" t="str">
        <f t="shared" si="10"/>
        <v/>
      </c>
      <c r="V227" t="str">
        <f t="shared" si="11"/>
        <v/>
      </c>
    </row>
    <row r="228" spans="1:22" x14ac:dyDescent="0.25">
      <c r="A228" t="str">
        <f>IF('Equipment Information'!A228="","", 'Equipment Information'!A228)</f>
        <v/>
      </c>
      <c r="B228" t="str">
        <f>IF('Equipment Information'!B228="","", 'Equipment Information'!B228)</f>
        <v/>
      </c>
      <c r="C228" t="str">
        <f>IF('Equipment Information'!C228="","", 'Equipment Information'!C228)</f>
        <v/>
      </c>
      <c r="E228" t="str">
        <f>IF(D228="","", IFERROR(VLOOKUP(D228, Hidden_Data!M:N, 2, FALSE), "0"))</f>
        <v/>
      </c>
      <c r="H228" t="str">
        <f>IF(G228="","", IFERROR(VLOOKUP(G228, Hidden_Data!M:N, 2, FALSE), "0"))</f>
        <v/>
      </c>
      <c r="K228" t="str">
        <f>IF(J228="","", IFERROR(VLOOKUP(J228, Hidden_Data!M:N, 2, FALSE), "0"))</f>
        <v/>
      </c>
      <c r="N228" t="str">
        <f>IF(M228="","", IFERROR(VLOOKUP(M228, Hidden_Data!M:N, 2, FALSE), "0"))</f>
        <v/>
      </c>
      <c r="Q228" t="str">
        <f>IF(P228="","", IFERROR(VLOOKUP(P228, Hidden_Data!M:N, 2, FALSE), "0"))</f>
        <v/>
      </c>
      <c r="T228" t="str">
        <f t="shared" si="9"/>
        <v/>
      </c>
      <c r="U228" t="str">
        <f t="shared" si="10"/>
        <v/>
      </c>
      <c r="V228" t="str">
        <f t="shared" si="11"/>
        <v/>
      </c>
    </row>
    <row r="229" spans="1:22" x14ac:dyDescent="0.25">
      <c r="A229" t="str">
        <f>IF('Equipment Information'!A229="","", 'Equipment Information'!A229)</f>
        <v/>
      </c>
      <c r="B229" t="str">
        <f>IF('Equipment Information'!B229="","", 'Equipment Information'!B229)</f>
        <v/>
      </c>
      <c r="C229" t="str">
        <f>IF('Equipment Information'!C229="","", 'Equipment Information'!C229)</f>
        <v/>
      </c>
      <c r="E229" t="str">
        <f>IF(D229="","", IFERROR(VLOOKUP(D229, Hidden_Data!M:N, 2, FALSE), "0"))</f>
        <v/>
      </c>
      <c r="H229" t="str">
        <f>IF(G229="","", IFERROR(VLOOKUP(G229, Hidden_Data!M:N, 2, FALSE), "0"))</f>
        <v/>
      </c>
      <c r="K229" t="str">
        <f>IF(J229="","", IFERROR(VLOOKUP(J229, Hidden_Data!M:N, 2, FALSE), "0"))</f>
        <v/>
      </c>
      <c r="N229" t="str">
        <f>IF(M229="","", IFERROR(VLOOKUP(M229, Hidden_Data!M:N, 2, FALSE), "0"))</f>
        <v/>
      </c>
      <c r="Q229" t="str">
        <f>IF(P229="","", IFERROR(VLOOKUP(P229, Hidden_Data!M:N, 2, FALSE), "0"))</f>
        <v/>
      </c>
      <c r="T229" t="str">
        <f t="shared" si="9"/>
        <v/>
      </c>
      <c r="U229" t="str">
        <f t="shared" si="10"/>
        <v/>
      </c>
      <c r="V229" t="str">
        <f t="shared" si="11"/>
        <v/>
      </c>
    </row>
    <row r="230" spans="1:22" x14ac:dyDescent="0.25">
      <c r="A230" t="str">
        <f>IF('Equipment Information'!A230="","", 'Equipment Information'!A230)</f>
        <v/>
      </c>
      <c r="B230" t="str">
        <f>IF('Equipment Information'!B230="","", 'Equipment Information'!B230)</f>
        <v/>
      </c>
      <c r="C230" t="str">
        <f>IF('Equipment Information'!C230="","", 'Equipment Information'!C230)</f>
        <v/>
      </c>
      <c r="E230" t="str">
        <f>IF(D230="","", IFERROR(VLOOKUP(D230, Hidden_Data!M:N, 2, FALSE), "0"))</f>
        <v/>
      </c>
      <c r="H230" t="str">
        <f>IF(G230="","", IFERROR(VLOOKUP(G230, Hidden_Data!M:N, 2, FALSE), "0"))</f>
        <v/>
      </c>
      <c r="K230" t="str">
        <f>IF(J230="","", IFERROR(VLOOKUP(J230, Hidden_Data!M:N, 2, FALSE), "0"))</f>
        <v/>
      </c>
      <c r="N230" t="str">
        <f>IF(M230="","", IFERROR(VLOOKUP(M230, Hidden_Data!M:N, 2, FALSE), "0"))</f>
        <v/>
      </c>
      <c r="Q230" t="str">
        <f>IF(P230="","", IFERROR(VLOOKUP(P230, Hidden_Data!M:N, 2, FALSE), "0"))</f>
        <v/>
      </c>
      <c r="T230" t="str">
        <f t="shared" si="9"/>
        <v/>
      </c>
      <c r="U230" t="str">
        <f t="shared" si="10"/>
        <v/>
      </c>
      <c r="V230" t="str">
        <f t="shared" si="11"/>
        <v/>
      </c>
    </row>
    <row r="231" spans="1:22" x14ac:dyDescent="0.25">
      <c r="A231" t="str">
        <f>IF('Equipment Information'!A231="","", 'Equipment Information'!A231)</f>
        <v/>
      </c>
      <c r="B231" t="str">
        <f>IF('Equipment Information'!B231="","", 'Equipment Information'!B231)</f>
        <v/>
      </c>
      <c r="C231" t="str">
        <f>IF('Equipment Information'!C231="","", 'Equipment Information'!C231)</f>
        <v/>
      </c>
      <c r="E231" t="str">
        <f>IF(D231="","", IFERROR(VLOOKUP(D231, Hidden_Data!M:N, 2, FALSE), "0"))</f>
        <v/>
      </c>
      <c r="H231" t="str">
        <f>IF(G231="","", IFERROR(VLOOKUP(G231, Hidden_Data!M:N, 2, FALSE), "0"))</f>
        <v/>
      </c>
      <c r="K231" t="str">
        <f>IF(J231="","", IFERROR(VLOOKUP(J231, Hidden_Data!M:N, 2, FALSE), "0"))</f>
        <v/>
      </c>
      <c r="N231" t="str">
        <f>IF(M231="","", IFERROR(VLOOKUP(M231, Hidden_Data!M:N, 2, FALSE), "0"))</f>
        <v/>
      </c>
      <c r="Q231" t="str">
        <f>IF(P231="","", IFERROR(VLOOKUP(P231, Hidden_Data!M:N, 2, FALSE), "0"))</f>
        <v/>
      </c>
      <c r="T231" t="str">
        <f t="shared" si="9"/>
        <v/>
      </c>
      <c r="U231" t="str">
        <f t="shared" si="10"/>
        <v/>
      </c>
      <c r="V231" t="str">
        <f t="shared" si="11"/>
        <v/>
      </c>
    </row>
    <row r="232" spans="1:22" x14ac:dyDescent="0.25">
      <c r="A232" t="str">
        <f>IF('Equipment Information'!A232="","", 'Equipment Information'!A232)</f>
        <v/>
      </c>
      <c r="B232" t="str">
        <f>IF('Equipment Information'!B232="","", 'Equipment Information'!B232)</f>
        <v/>
      </c>
      <c r="C232" t="str">
        <f>IF('Equipment Information'!C232="","", 'Equipment Information'!C232)</f>
        <v/>
      </c>
      <c r="E232" t="str">
        <f>IF(D232="","", IFERROR(VLOOKUP(D232, Hidden_Data!M:N, 2, FALSE), "0"))</f>
        <v/>
      </c>
      <c r="H232" t="str">
        <f>IF(G232="","", IFERROR(VLOOKUP(G232, Hidden_Data!M:N, 2, FALSE), "0"))</f>
        <v/>
      </c>
      <c r="K232" t="str">
        <f>IF(J232="","", IFERROR(VLOOKUP(J232, Hidden_Data!M:N, 2, FALSE), "0"))</f>
        <v/>
      </c>
      <c r="N232" t="str">
        <f>IF(M232="","", IFERROR(VLOOKUP(M232, Hidden_Data!M:N, 2, FALSE), "0"))</f>
        <v/>
      </c>
      <c r="Q232" t="str">
        <f>IF(P232="","", IFERROR(VLOOKUP(P232, Hidden_Data!M:N, 2, FALSE), "0"))</f>
        <v/>
      </c>
      <c r="T232" t="str">
        <f t="shared" si="9"/>
        <v/>
      </c>
      <c r="U232" t="str">
        <f t="shared" si="10"/>
        <v/>
      </c>
      <c r="V232" t="str">
        <f t="shared" si="11"/>
        <v/>
      </c>
    </row>
    <row r="233" spans="1:22" x14ac:dyDescent="0.25">
      <c r="A233" t="str">
        <f>IF('Equipment Information'!A233="","", 'Equipment Information'!A233)</f>
        <v/>
      </c>
      <c r="B233" t="str">
        <f>IF('Equipment Information'!B233="","", 'Equipment Information'!B233)</f>
        <v/>
      </c>
      <c r="C233" t="str">
        <f>IF('Equipment Information'!C233="","", 'Equipment Information'!C233)</f>
        <v/>
      </c>
      <c r="E233" t="str">
        <f>IF(D233="","", IFERROR(VLOOKUP(D233, Hidden_Data!M:N, 2, FALSE), "0"))</f>
        <v/>
      </c>
      <c r="H233" t="str">
        <f>IF(G233="","", IFERROR(VLOOKUP(G233, Hidden_Data!M:N, 2, FALSE), "0"))</f>
        <v/>
      </c>
      <c r="K233" t="str">
        <f>IF(J233="","", IFERROR(VLOOKUP(J233, Hidden_Data!M:N, 2, FALSE), "0"))</f>
        <v/>
      </c>
      <c r="N233" t="str">
        <f>IF(M233="","", IFERROR(VLOOKUP(M233, Hidden_Data!M:N, 2, FALSE), "0"))</f>
        <v/>
      </c>
      <c r="Q233" t="str">
        <f>IF(P233="","", IFERROR(VLOOKUP(P233, Hidden_Data!M:N, 2, FALSE), "0"))</f>
        <v/>
      </c>
      <c r="T233" t="str">
        <f t="shared" si="9"/>
        <v/>
      </c>
      <c r="U233" t="str">
        <f t="shared" si="10"/>
        <v/>
      </c>
      <c r="V233" t="str">
        <f t="shared" si="11"/>
        <v/>
      </c>
    </row>
    <row r="234" spans="1:22" x14ac:dyDescent="0.25">
      <c r="A234" t="str">
        <f>IF('Equipment Information'!A234="","", 'Equipment Information'!A234)</f>
        <v/>
      </c>
      <c r="B234" t="str">
        <f>IF('Equipment Information'!B234="","", 'Equipment Information'!B234)</f>
        <v/>
      </c>
      <c r="C234" t="str">
        <f>IF('Equipment Information'!C234="","", 'Equipment Information'!C234)</f>
        <v/>
      </c>
      <c r="E234" t="str">
        <f>IF(D234="","", IFERROR(VLOOKUP(D234, Hidden_Data!M:N, 2, FALSE), "0"))</f>
        <v/>
      </c>
      <c r="H234" t="str">
        <f>IF(G234="","", IFERROR(VLOOKUP(G234, Hidden_Data!M:N, 2, FALSE), "0"))</f>
        <v/>
      </c>
      <c r="K234" t="str">
        <f>IF(J234="","", IFERROR(VLOOKUP(J234, Hidden_Data!M:N, 2, FALSE), "0"))</f>
        <v/>
      </c>
      <c r="N234" t="str">
        <f>IF(M234="","", IFERROR(VLOOKUP(M234, Hidden_Data!M:N, 2, FALSE), "0"))</f>
        <v/>
      </c>
      <c r="Q234" t="str">
        <f>IF(P234="","", IFERROR(VLOOKUP(P234, Hidden_Data!M:N, 2, FALSE), "0"))</f>
        <v/>
      </c>
      <c r="T234" t="str">
        <f t="shared" si="9"/>
        <v/>
      </c>
      <c r="U234" t="str">
        <f t="shared" si="10"/>
        <v/>
      </c>
      <c r="V234" t="str">
        <f t="shared" si="11"/>
        <v/>
      </c>
    </row>
    <row r="235" spans="1:22" x14ac:dyDescent="0.25">
      <c r="A235" t="str">
        <f>IF('Equipment Information'!A235="","", 'Equipment Information'!A235)</f>
        <v/>
      </c>
      <c r="B235" t="str">
        <f>IF('Equipment Information'!B235="","", 'Equipment Information'!B235)</f>
        <v/>
      </c>
      <c r="C235" t="str">
        <f>IF('Equipment Information'!C235="","", 'Equipment Information'!C235)</f>
        <v/>
      </c>
      <c r="E235" t="str">
        <f>IF(D235="","", IFERROR(VLOOKUP(D235, Hidden_Data!M:N, 2, FALSE), "0"))</f>
        <v/>
      </c>
      <c r="H235" t="str">
        <f>IF(G235="","", IFERROR(VLOOKUP(G235, Hidden_Data!M:N, 2, FALSE), "0"))</f>
        <v/>
      </c>
      <c r="K235" t="str">
        <f>IF(J235="","", IFERROR(VLOOKUP(J235, Hidden_Data!M:N, 2, FALSE), "0"))</f>
        <v/>
      </c>
      <c r="N235" t="str">
        <f>IF(M235="","", IFERROR(VLOOKUP(M235, Hidden_Data!M:N, 2, FALSE), "0"))</f>
        <v/>
      </c>
      <c r="Q235" t="str">
        <f>IF(P235="","", IFERROR(VLOOKUP(P235, Hidden_Data!M:N, 2, FALSE), "0"))</f>
        <v/>
      </c>
      <c r="T235" t="str">
        <f t="shared" si="9"/>
        <v/>
      </c>
      <c r="U235" t="str">
        <f t="shared" si="10"/>
        <v/>
      </c>
      <c r="V235" t="str">
        <f t="shared" si="11"/>
        <v/>
      </c>
    </row>
    <row r="236" spans="1:22" x14ac:dyDescent="0.25">
      <c r="A236" t="str">
        <f>IF('Equipment Information'!A236="","", 'Equipment Information'!A236)</f>
        <v/>
      </c>
      <c r="B236" t="str">
        <f>IF('Equipment Information'!B236="","", 'Equipment Information'!B236)</f>
        <v/>
      </c>
      <c r="C236" t="str">
        <f>IF('Equipment Information'!C236="","", 'Equipment Information'!C236)</f>
        <v/>
      </c>
      <c r="E236" t="str">
        <f>IF(D236="","", IFERROR(VLOOKUP(D236, Hidden_Data!M:N, 2, FALSE), "0"))</f>
        <v/>
      </c>
      <c r="H236" t="str">
        <f>IF(G236="","", IFERROR(VLOOKUP(G236, Hidden_Data!M:N, 2, FALSE), "0"))</f>
        <v/>
      </c>
      <c r="K236" t="str">
        <f>IF(J236="","", IFERROR(VLOOKUP(J236, Hidden_Data!M:N, 2, FALSE), "0"))</f>
        <v/>
      </c>
      <c r="N236" t="str">
        <f>IF(M236="","", IFERROR(VLOOKUP(M236, Hidden_Data!M:N, 2, FALSE), "0"))</f>
        <v/>
      </c>
      <c r="Q236" t="str">
        <f>IF(P236="","", IFERROR(VLOOKUP(P236, Hidden_Data!M:N, 2, FALSE), "0"))</f>
        <v/>
      </c>
      <c r="T236" t="str">
        <f t="shared" si="9"/>
        <v/>
      </c>
      <c r="U236" t="str">
        <f t="shared" si="10"/>
        <v/>
      </c>
      <c r="V236" t="str">
        <f t="shared" si="11"/>
        <v/>
      </c>
    </row>
    <row r="237" spans="1:22" x14ac:dyDescent="0.25">
      <c r="A237" t="str">
        <f>IF('Equipment Information'!A237="","", 'Equipment Information'!A237)</f>
        <v/>
      </c>
      <c r="B237" t="str">
        <f>IF('Equipment Information'!B237="","", 'Equipment Information'!B237)</f>
        <v/>
      </c>
      <c r="C237" t="str">
        <f>IF('Equipment Information'!C237="","", 'Equipment Information'!C237)</f>
        <v/>
      </c>
      <c r="E237" t="str">
        <f>IF(D237="","", IFERROR(VLOOKUP(D237, Hidden_Data!M:N, 2, FALSE), "0"))</f>
        <v/>
      </c>
      <c r="H237" t="str">
        <f>IF(G237="","", IFERROR(VLOOKUP(G237, Hidden_Data!M:N, 2, FALSE), "0"))</f>
        <v/>
      </c>
      <c r="K237" t="str">
        <f>IF(J237="","", IFERROR(VLOOKUP(J237, Hidden_Data!M:N, 2, FALSE), "0"))</f>
        <v/>
      </c>
      <c r="N237" t="str">
        <f>IF(M237="","", IFERROR(VLOOKUP(M237, Hidden_Data!M:N, 2, FALSE), "0"))</f>
        <v/>
      </c>
      <c r="Q237" t="str">
        <f>IF(P237="","", IFERROR(VLOOKUP(P237, Hidden_Data!M:N, 2, FALSE), "0"))</f>
        <v/>
      </c>
      <c r="T237" t="str">
        <f t="shared" si="9"/>
        <v/>
      </c>
      <c r="U237" t="str">
        <f t="shared" si="10"/>
        <v/>
      </c>
      <c r="V237" t="str">
        <f t="shared" si="11"/>
        <v/>
      </c>
    </row>
    <row r="238" spans="1:22" x14ac:dyDescent="0.25">
      <c r="A238" t="str">
        <f>IF('Equipment Information'!A238="","", 'Equipment Information'!A238)</f>
        <v/>
      </c>
      <c r="B238" t="str">
        <f>IF('Equipment Information'!B238="","", 'Equipment Information'!B238)</f>
        <v/>
      </c>
      <c r="C238" t="str">
        <f>IF('Equipment Information'!C238="","", 'Equipment Information'!C238)</f>
        <v/>
      </c>
      <c r="E238" t="str">
        <f>IF(D238="","", IFERROR(VLOOKUP(D238, Hidden_Data!M:N, 2, FALSE), "0"))</f>
        <v/>
      </c>
      <c r="H238" t="str">
        <f>IF(G238="","", IFERROR(VLOOKUP(G238, Hidden_Data!M:N, 2, FALSE), "0"))</f>
        <v/>
      </c>
      <c r="K238" t="str">
        <f>IF(J238="","", IFERROR(VLOOKUP(J238, Hidden_Data!M:N, 2, FALSE), "0"))</f>
        <v/>
      </c>
      <c r="N238" t="str">
        <f>IF(M238="","", IFERROR(VLOOKUP(M238, Hidden_Data!M:N, 2, FALSE), "0"))</f>
        <v/>
      </c>
      <c r="Q238" t="str">
        <f>IF(P238="","", IFERROR(VLOOKUP(P238, Hidden_Data!M:N, 2, FALSE), "0"))</f>
        <v/>
      </c>
      <c r="T238" t="str">
        <f t="shared" si="9"/>
        <v/>
      </c>
      <c r="U238" t="str">
        <f t="shared" si="10"/>
        <v/>
      </c>
      <c r="V238" t="str">
        <f t="shared" si="11"/>
        <v/>
      </c>
    </row>
    <row r="239" spans="1:22" x14ac:dyDescent="0.25">
      <c r="A239" t="str">
        <f>IF('Equipment Information'!A239="","", 'Equipment Information'!A239)</f>
        <v/>
      </c>
      <c r="B239" t="str">
        <f>IF('Equipment Information'!B239="","", 'Equipment Information'!B239)</f>
        <v/>
      </c>
      <c r="C239" t="str">
        <f>IF('Equipment Information'!C239="","", 'Equipment Information'!C239)</f>
        <v/>
      </c>
      <c r="E239" t="str">
        <f>IF(D239="","", IFERROR(VLOOKUP(D239, Hidden_Data!M:N, 2, FALSE), "0"))</f>
        <v/>
      </c>
      <c r="H239" t="str">
        <f>IF(G239="","", IFERROR(VLOOKUP(G239, Hidden_Data!M:N, 2, FALSE), "0"))</f>
        <v/>
      </c>
      <c r="K239" t="str">
        <f>IF(J239="","", IFERROR(VLOOKUP(J239, Hidden_Data!M:N, 2, FALSE), "0"))</f>
        <v/>
      </c>
      <c r="N239" t="str">
        <f>IF(M239="","", IFERROR(VLOOKUP(M239, Hidden_Data!M:N, 2, FALSE), "0"))</f>
        <v/>
      </c>
      <c r="Q239" t="str">
        <f>IF(P239="","", IFERROR(VLOOKUP(P239, Hidden_Data!M:N, 2, FALSE), "0"))</f>
        <v/>
      </c>
      <c r="T239" t="str">
        <f t="shared" si="9"/>
        <v/>
      </c>
      <c r="U239" t="str">
        <f t="shared" si="10"/>
        <v/>
      </c>
      <c r="V239" t="str">
        <f t="shared" si="11"/>
        <v/>
      </c>
    </row>
    <row r="240" spans="1:22" x14ac:dyDescent="0.25">
      <c r="A240" t="str">
        <f>IF('Equipment Information'!A240="","", 'Equipment Information'!A240)</f>
        <v/>
      </c>
      <c r="B240" t="str">
        <f>IF('Equipment Information'!B240="","", 'Equipment Information'!B240)</f>
        <v/>
      </c>
      <c r="C240" t="str">
        <f>IF('Equipment Information'!C240="","", 'Equipment Information'!C240)</f>
        <v/>
      </c>
      <c r="E240" t="str">
        <f>IF(D240="","", IFERROR(VLOOKUP(D240, Hidden_Data!M:N, 2, FALSE), "0"))</f>
        <v/>
      </c>
      <c r="H240" t="str">
        <f>IF(G240="","", IFERROR(VLOOKUP(G240, Hidden_Data!M:N, 2, FALSE), "0"))</f>
        <v/>
      </c>
      <c r="K240" t="str">
        <f>IF(J240="","", IFERROR(VLOOKUP(J240, Hidden_Data!M:N, 2, FALSE), "0"))</f>
        <v/>
      </c>
      <c r="N240" t="str">
        <f>IF(M240="","", IFERROR(VLOOKUP(M240, Hidden_Data!M:N, 2, FALSE), "0"))</f>
        <v/>
      </c>
      <c r="Q240" t="str">
        <f>IF(P240="","", IFERROR(VLOOKUP(P240, Hidden_Data!M:N, 2, FALSE), "0"))</f>
        <v/>
      </c>
      <c r="T240" t="str">
        <f t="shared" si="9"/>
        <v/>
      </c>
      <c r="U240" t="str">
        <f t="shared" si="10"/>
        <v/>
      </c>
      <c r="V240" t="str">
        <f t="shared" si="11"/>
        <v/>
      </c>
    </row>
    <row r="241" spans="1:22" x14ac:dyDescent="0.25">
      <c r="A241" t="str">
        <f>IF('Equipment Information'!A241="","", 'Equipment Information'!A241)</f>
        <v/>
      </c>
      <c r="B241" t="str">
        <f>IF('Equipment Information'!B241="","", 'Equipment Information'!B241)</f>
        <v/>
      </c>
      <c r="C241" t="str">
        <f>IF('Equipment Information'!C241="","", 'Equipment Information'!C241)</f>
        <v/>
      </c>
      <c r="E241" t="str">
        <f>IF(D241="","", IFERROR(VLOOKUP(D241, Hidden_Data!M:N, 2, FALSE), "0"))</f>
        <v/>
      </c>
      <c r="H241" t="str">
        <f>IF(G241="","", IFERROR(VLOOKUP(G241, Hidden_Data!M:N, 2, FALSE), "0"))</f>
        <v/>
      </c>
      <c r="K241" t="str">
        <f>IF(J241="","", IFERROR(VLOOKUP(J241, Hidden_Data!M:N, 2, FALSE), "0"))</f>
        <v/>
      </c>
      <c r="N241" t="str">
        <f>IF(M241="","", IFERROR(VLOOKUP(M241, Hidden_Data!M:N, 2, FALSE), "0"))</f>
        <v/>
      </c>
      <c r="Q241" t="str">
        <f>IF(P241="","", IFERROR(VLOOKUP(P241, Hidden_Data!M:N, 2, FALSE), "0"))</f>
        <v/>
      </c>
      <c r="T241" t="str">
        <f t="shared" si="9"/>
        <v/>
      </c>
      <c r="U241" t="str">
        <f t="shared" si="10"/>
        <v/>
      </c>
      <c r="V241" t="str">
        <f t="shared" si="11"/>
        <v/>
      </c>
    </row>
    <row r="242" spans="1:22" x14ac:dyDescent="0.25">
      <c r="A242" t="str">
        <f>IF('Equipment Information'!A242="","", 'Equipment Information'!A242)</f>
        <v/>
      </c>
      <c r="B242" t="str">
        <f>IF('Equipment Information'!B242="","", 'Equipment Information'!B242)</f>
        <v/>
      </c>
      <c r="C242" t="str">
        <f>IF('Equipment Information'!C242="","", 'Equipment Information'!C242)</f>
        <v/>
      </c>
      <c r="E242" t="str">
        <f>IF(D242="","", IFERROR(VLOOKUP(D242, Hidden_Data!M:N, 2, FALSE), "0"))</f>
        <v/>
      </c>
      <c r="H242" t="str">
        <f>IF(G242="","", IFERROR(VLOOKUP(G242, Hidden_Data!M:N, 2, FALSE), "0"))</f>
        <v/>
      </c>
      <c r="K242" t="str">
        <f>IF(J242="","", IFERROR(VLOOKUP(J242, Hidden_Data!M:N, 2, FALSE), "0"))</f>
        <v/>
      </c>
      <c r="N242" t="str">
        <f>IF(M242="","", IFERROR(VLOOKUP(M242, Hidden_Data!M:N, 2, FALSE), "0"))</f>
        <v/>
      </c>
      <c r="Q242" t="str">
        <f>IF(P242="","", IFERROR(VLOOKUP(P242, Hidden_Data!M:N, 2, FALSE), "0"))</f>
        <v/>
      </c>
      <c r="T242" t="str">
        <f t="shared" si="9"/>
        <v/>
      </c>
      <c r="U242" t="str">
        <f t="shared" si="10"/>
        <v/>
      </c>
      <c r="V242" t="str">
        <f t="shared" si="11"/>
        <v/>
      </c>
    </row>
    <row r="243" spans="1:22" x14ac:dyDescent="0.25">
      <c r="A243" t="str">
        <f>IF('Equipment Information'!A243="","", 'Equipment Information'!A243)</f>
        <v/>
      </c>
      <c r="B243" t="str">
        <f>IF('Equipment Information'!B243="","", 'Equipment Information'!B243)</f>
        <v/>
      </c>
      <c r="C243" t="str">
        <f>IF('Equipment Information'!C243="","", 'Equipment Information'!C243)</f>
        <v/>
      </c>
      <c r="E243" t="str">
        <f>IF(D243="","", IFERROR(VLOOKUP(D243, Hidden_Data!M:N, 2, FALSE), "0"))</f>
        <v/>
      </c>
      <c r="H243" t="str">
        <f>IF(G243="","", IFERROR(VLOOKUP(G243, Hidden_Data!M:N, 2, FALSE), "0"))</f>
        <v/>
      </c>
      <c r="K243" t="str">
        <f>IF(J243="","", IFERROR(VLOOKUP(J243, Hidden_Data!M:N, 2, FALSE), "0"))</f>
        <v/>
      </c>
      <c r="N243" t="str">
        <f>IF(M243="","", IFERROR(VLOOKUP(M243, Hidden_Data!M:N, 2, FALSE), "0"))</f>
        <v/>
      </c>
      <c r="Q243" t="str">
        <f>IF(P243="","", IFERROR(VLOOKUP(P243, Hidden_Data!M:N, 2, FALSE), "0"))</f>
        <v/>
      </c>
      <c r="T243" t="str">
        <f t="shared" si="9"/>
        <v/>
      </c>
      <c r="U243" t="str">
        <f t="shared" si="10"/>
        <v/>
      </c>
      <c r="V243" t="str">
        <f t="shared" si="11"/>
        <v/>
      </c>
    </row>
    <row r="244" spans="1:22" x14ac:dyDescent="0.25">
      <c r="A244" t="str">
        <f>IF('Equipment Information'!A244="","", 'Equipment Information'!A244)</f>
        <v/>
      </c>
      <c r="B244" t="str">
        <f>IF('Equipment Information'!B244="","", 'Equipment Information'!B244)</f>
        <v/>
      </c>
      <c r="C244" t="str">
        <f>IF('Equipment Information'!C244="","", 'Equipment Information'!C244)</f>
        <v/>
      </c>
      <c r="E244" t="str">
        <f>IF(D244="","", IFERROR(VLOOKUP(D244, Hidden_Data!M:N, 2, FALSE), "0"))</f>
        <v/>
      </c>
      <c r="H244" t="str">
        <f>IF(G244="","", IFERROR(VLOOKUP(G244, Hidden_Data!M:N, 2, FALSE), "0"))</f>
        <v/>
      </c>
      <c r="K244" t="str">
        <f>IF(J244="","", IFERROR(VLOOKUP(J244, Hidden_Data!M:N, 2, FALSE), "0"))</f>
        <v/>
      </c>
      <c r="N244" t="str">
        <f>IF(M244="","", IFERROR(VLOOKUP(M244, Hidden_Data!M:N, 2, FALSE), "0"))</f>
        <v/>
      </c>
      <c r="Q244" t="str">
        <f>IF(P244="","", IFERROR(VLOOKUP(P244, Hidden_Data!M:N, 2, FALSE), "0"))</f>
        <v/>
      </c>
      <c r="T244" t="str">
        <f t="shared" si="9"/>
        <v/>
      </c>
      <c r="U244" t="str">
        <f t="shared" si="10"/>
        <v/>
      </c>
      <c r="V244" t="str">
        <f t="shared" si="11"/>
        <v/>
      </c>
    </row>
    <row r="245" spans="1:22" x14ac:dyDescent="0.25">
      <c r="A245" t="str">
        <f>IF('Equipment Information'!A245="","", 'Equipment Information'!A245)</f>
        <v/>
      </c>
      <c r="B245" t="str">
        <f>IF('Equipment Information'!B245="","", 'Equipment Information'!B245)</f>
        <v/>
      </c>
      <c r="C245" t="str">
        <f>IF('Equipment Information'!C245="","", 'Equipment Information'!C245)</f>
        <v/>
      </c>
      <c r="E245" t="str">
        <f>IF(D245="","", IFERROR(VLOOKUP(D245, Hidden_Data!M:N, 2, FALSE), "0"))</f>
        <v/>
      </c>
      <c r="H245" t="str">
        <f>IF(G245="","", IFERROR(VLOOKUP(G245, Hidden_Data!M:N, 2, FALSE), "0"))</f>
        <v/>
      </c>
      <c r="K245" t="str">
        <f>IF(J245="","", IFERROR(VLOOKUP(J245, Hidden_Data!M:N, 2, FALSE), "0"))</f>
        <v/>
      </c>
      <c r="N245" t="str">
        <f>IF(M245="","", IFERROR(VLOOKUP(M245, Hidden_Data!M:N, 2, FALSE), "0"))</f>
        <v/>
      </c>
      <c r="Q245" t="str">
        <f>IF(P245="","", IFERROR(VLOOKUP(P245, Hidden_Data!M:N, 2, FALSE), "0"))</f>
        <v/>
      </c>
      <c r="T245" t="str">
        <f t="shared" si="9"/>
        <v/>
      </c>
      <c r="U245" t="str">
        <f t="shared" si="10"/>
        <v/>
      </c>
      <c r="V245" t="str">
        <f t="shared" si="11"/>
        <v/>
      </c>
    </row>
    <row r="246" spans="1:22" x14ac:dyDescent="0.25">
      <c r="A246" t="str">
        <f>IF('Equipment Information'!A246="","", 'Equipment Information'!A246)</f>
        <v/>
      </c>
      <c r="B246" t="str">
        <f>IF('Equipment Information'!B246="","", 'Equipment Information'!B246)</f>
        <v/>
      </c>
      <c r="C246" t="str">
        <f>IF('Equipment Information'!C246="","", 'Equipment Information'!C246)</f>
        <v/>
      </c>
      <c r="E246" t="str">
        <f>IF(D246="","", IFERROR(VLOOKUP(D246, Hidden_Data!M:N, 2, FALSE), "0"))</f>
        <v/>
      </c>
      <c r="H246" t="str">
        <f>IF(G246="","", IFERROR(VLOOKUP(G246, Hidden_Data!M:N, 2, FALSE), "0"))</f>
        <v/>
      </c>
      <c r="K246" t="str">
        <f>IF(J246="","", IFERROR(VLOOKUP(J246, Hidden_Data!M:N, 2, FALSE), "0"))</f>
        <v/>
      </c>
      <c r="N246" t="str">
        <f>IF(M246="","", IFERROR(VLOOKUP(M246, Hidden_Data!M:N, 2, FALSE), "0"))</f>
        <v/>
      </c>
      <c r="Q246" t="str">
        <f>IF(P246="","", IFERROR(VLOOKUP(P246, Hidden_Data!M:N, 2, FALSE), "0"))</f>
        <v/>
      </c>
      <c r="T246" t="str">
        <f t="shared" si="9"/>
        <v/>
      </c>
      <c r="U246" t="str">
        <f t="shared" si="10"/>
        <v/>
      </c>
      <c r="V246" t="str">
        <f t="shared" si="11"/>
        <v/>
      </c>
    </row>
    <row r="247" spans="1:22" x14ac:dyDescent="0.25">
      <c r="A247" t="str">
        <f>IF('Equipment Information'!A247="","", 'Equipment Information'!A247)</f>
        <v/>
      </c>
      <c r="B247" t="str">
        <f>IF('Equipment Information'!B247="","", 'Equipment Information'!B247)</f>
        <v/>
      </c>
      <c r="C247" t="str">
        <f>IF('Equipment Information'!C247="","", 'Equipment Information'!C247)</f>
        <v/>
      </c>
      <c r="E247" t="str">
        <f>IF(D247="","", IFERROR(VLOOKUP(D247, Hidden_Data!M:N, 2, FALSE), "0"))</f>
        <v/>
      </c>
      <c r="H247" t="str">
        <f>IF(G247="","", IFERROR(VLOOKUP(G247, Hidden_Data!M:N, 2, FALSE), "0"))</f>
        <v/>
      </c>
      <c r="K247" t="str">
        <f>IF(J247="","", IFERROR(VLOOKUP(J247, Hidden_Data!M:N, 2, FALSE), "0"))</f>
        <v/>
      </c>
      <c r="N247" t="str">
        <f>IF(M247="","", IFERROR(VLOOKUP(M247, Hidden_Data!M:N, 2, FALSE), "0"))</f>
        <v/>
      </c>
      <c r="Q247" t="str">
        <f>IF(P247="","", IFERROR(VLOOKUP(P247, Hidden_Data!M:N, 2, FALSE), "0"))</f>
        <v/>
      </c>
      <c r="T247" t="str">
        <f t="shared" si="9"/>
        <v/>
      </c>
      <c r="U247" t="str">
        <f t="shared" si="10"/>
        <v/>
      </c>
      <c r="V247" t="str">
        <f t="shared" si="11"/>
        <v/>
      </c>
    </row>
    <row r="248" spans="1:22" x14ac:dyDescent="0.25">
      <c r="A248" t="str">
        <f>IF('Equipment Information'!A248="","", 'Equipment Information'!A248)</f>
        <v/>
      </c>
      <c r="B248" t="str">
        <f>IF('Equipment Information'!B248="","", 'Equipment Information'!B248)</f>
        <v/>
      </c>
      <c r="C248" t="str">
        <f>IF('Equipment Information'!C248="","", 'Equipment Information'!C248)</f>
        <v/>
      </c>
      <c r="E248" t="str">
        <f>IF(D248="","", IFERROR(VLOOKUP(D248, Hidden_Data!M:N, 2, FALSE), "0"))</f>
        <v/>
      </c>
      <c r="H248" t="str">
        <f>IF(G248="","", IFERROR(VLOOKUP(G248, Hidden_Data!M:N, 2, FALSE), "0"))</f>
        <v/>
      </c>
      <c r="K248" t="str">
        <f>IF(J248="","", IFERROR(VLOOKUP(J248, Hidden_Data!M:N, 2, FALSE), "0"))</f>
        <v/>
      </c>
      <c r="N248" t="str">
        <f>IF(M248="","", IFERROR(VLOOKUP(M248, Hidden_Data!M:N, 2, FALSE), "0"))</f>
        <v/>
      </c>
      <c r="Q248" t="str">
        <f>IF(P248="","", IFERROR(VLOOKUP(P248, Hidden_Data!M:N, 2, FALSE), "0"))</f>
        <v/>
      </c>
      <c r="T248" t="str">
        <f t="shared" si="9"/>
        <v/>
      </c>
      <c r="U248" t="str">
        <f t="shared" si="10"/>
        <v/>
      </c>
      <c r="V248" t="str">
        <f t="shared" si="11"/>
        <v/>
      </c>
    </row>
    <row r="249" spans="1:22" x14ac:dyDescent="0.25">
      <c r="A249" t="str">
        <f>IF('Equipment Information'!A249="","", 'Equipment Information'!A249)</f>
        <v/>
      </c>
      <c r="B249" t="str">
        <f>IF('Equipment Information'!B249="","", 'Equipment Information'!B249)</f>
        <v/>
      </c>
      <c r="C249" t="str">
        <f>IF('Equipment Information'!C249="","", 'Equipment Information'!C249)</f>
        <v/>
      </c>
      <c r="E249" t="str">
        <f>IF(D249="","", IFERROR(VLOOKUP(D249, Hidden_Data!M:N, 2, FALSE), "0"))</f>
        <v/>
      </c>
      <c r="H249" t="str">
        <f>IF(G249="","", IFERROR(VLOOKUP(G249, Hidden_Data!M:N, 2, FALSE), "0"))</f>
        <v/>
      </c>
      <c r="K249" t="str">
        <f>IF(J249="","", IFERROR(VLOOKUP(J249, Hidden_Data!M:N, 2, FALSE), "0"))</f>
        <v/>
      </c>
      <c r="N249" t="str">
        <f>IF(M249="","", IFERROR(VLOOKUP(M249, Hidden_Data!M:N, 2, FALSE), "0"))</f>
        <v/>
      </c>
      <c r="Q249" t="str">
        <f>IF(P249="","", IFERROR(VLOOKUP(P249, Hidden_Data!M:N, 2, FALSE), "0"))</f>
        <v/>
      </c>
      <c r="T249" t="str">
        <f t="shared" si="9"/>
        <v/>
      </c>
      <c r="U249" t="str">
        <f t="shared" si="10"/>
        <v/>
      </c>
      <c r="V249" t="str">
        <f t="shared" si="11"/>
        <v/>
      </c>
    </row>
    <row r="250" spans="1:22" x14ac:dyDescent="0.25">
      <c r="A250" t="str">
        <f>IF('Equipment Information'!A250="","", 'Equipment Information'!A250)</f>
        <v/>
      </c>
      <c r="B250" t="str">
        <f>IF('Equipment Information'!B250="","", 'Equipment Information'!B250)</f>
        <v/>
      </c>
      <c r="C250" t="str">
        <f>IF('Equipment Information'!C250="","", 'Equipment Information'!C250)</f>
        <v/>
      </c>
      <c r="E250" t="str">
        <f>IF(D250="","", IFERROR(VLOOKUP(D250, Hidden_Data!M:N, 2, FALSE), "0"))</f>
        <v/>
      </c>
      <c r="H250" t="str">
        <f>IF(G250="","", IFERROR(VLOOKUP(G250, Hidden_Data!M:N, 2, FALSE), "0"))</f>
        <v/>
      </c>
      <c r="K250" t="str">
        <f>IF(J250="","", IFERROR(VLOOKUP(J250, Hidden_Data!M:N, 2, FALSE), "0"))</f>
        <v/>
      </c>
      <c r="N250" t="str">
        <f>IF(M250="","", IFERROR(VLOOKUP(M250, Hidden_Data!M:N, 2, FALSE), "0"))</f>
        <v/>
      </c>
      <c r="Q250" t="str">
        <f>IF(P250="","", IFERROR(VLOOKUP(P250, Hidden_Data!M:N, 2, FALSE), "0"))</f>
        <v/>
      </c>
      <c r="T250" t="str">
        <f t="shared" si="9"/>
        <v/>
      </c>
      <c r="U250" t="str">
        <f t="shared" si="10"/>
        <v/>
      </c>
      <c r="V250" t="str">
        <f t="shared" si="11"/>
        <v/>
      </c>
    </row>
    <row r="251" spans="1:22" x14ac:dyDescent="0.25">
      <c r="A251" t="str">
        <f>IF('Equipment Information'!A251="","", 'Equipment Information'!A251)</f>
        <v/>
      </c>
      <c r="B251" t="str">
        <f>IF('Equipment Information'!B251="","", 'Equipment Information'!B251)</f>
        <v/>
      </c>
      <c r="C251" t="str">
        <f>IF('Equipment Information'!C251="","", 'Equipment Information'!C251)</f>
        <v/>
      </c>
      <c r="E251" t="str">
        <f>IF(D251="","", IFERROR(VLOOKUP(D251, Hidden_Data!M:N, 2, FALSE), "0"))</f>
        <v/>
      </c>
      <c r="H251" t="str">
        <f>IF(G251="","", IFERROR(VLOOKUP(G251, Hidden_Data!M:N, 2, FALSE), "0"))</f>
        <v/>
      </c>
      <c r="K251" t="str">
        <f>IF(J251="","", IFERROR(VLOOKUP(J251, Hidden_Data!M:N, 2, FALSE), "0"))</f>
        <v/>
      </c>
      <c r="N251" t="str">
        <f>IF(M251="","", IFERROR(VLOOKUP(M251, Hidden_Data!M:N, 2, FALSE), "0"))</f>
        <v/>
      </c>
      <c r="Q251" t="str">
        <f>IF(P251="","", IFERROR(VLOOKUP(P251, Hidden_Data!M:N, 2, FALSE), "0"))</f>
        <v/>
      </c>
      <c r="T251" t="str">
        <f t="shared" si="9"/>
        <v/>
      </c>
      <c r="U251" t="str">
        <f t="shared" si="10"/>
        <v/>
      </c>
      <c r="V251" t="str">
        <f t="shared" si="11"/>
        <v/>
      </c>
    </row>
    <row r="252" spans="1:22" x14ac:dyDescent="0.25">
      <c r="A252" t="str">
        <f>IF('Equipment Information'!A252="","", 'Equipment Information'!A252)</f>
        <v/>
      </c>
      <c r="B252" t="str">
        <f>IF('Equipment Information'!B252="","", 'Equipment Information'!B252)</f>
        <v/>
      </c>
      <c r="C252" t="str">
        <f>IF('Equipment Information'!C252="","", 'Equipment Information'!C252)</f>
        <v/>
      </c>
      <c r="E252" t="str">
        <f>IF(D252="","", IFERROR(VLOOKUP(D252, Hidden_Data!M:N, 2, FALSE), "0"))</f>
        <v/>
      </c>
      <c r="H252" t="str">
        <f>IF(G252="","", IFERROR(VLOOKUP(G252, Hidden_Data!M:N, 2, FALSE), "0"))</f>
        <v/>
      </c>
      <c r="K252" t="str">
        <f>IF(J252="","", IFERROR(VLOOKUP(J252, Hidden_Data!M:N, 2, FALSE), "0"))</f>
        <v/>
      </c>
      <c r="N252" t="str">
        <f>IF(M252="","", IFERROR(VLOOKUP(M252, Hidden_Data!M:N, 2, FALSE), "0"))</f>
        <v/>
      </c>
      <c r="Q252" t="str">
        <f>IF(P252="","", IFERROR(VLOOKUP(P252, Hidden_Data!M:N, 2, FALSE), "0"))</f>
        <v/>
      </c>
      <c r="T252" t="str">
        <f t="shared" si="9"/>
        <v/>
      </c>
      <c r="U252" t="str">
        <f t="shared" si="10"/>
        <v/>
      </c>
      <c r="V252" t="str">
        <f t="shared" si="11"/>
        <v/>
      </c>
    </row>
    <row r="253" spans="1:22" x14ac:dyDescent="0.25">
      <c r="A253" t="str">
        <f>IF('Equipment Information'!A253="","", 'Equipment Information'!A253)</f>
        <v/>
      </c>
      <c r="B253" t="str">
        <f>IF('Equipment Information'!B253="","", 'Equipment Information'!B253)</f>
        <v/>
      </c>
      <c r="C253" t="str">
        <f>IF('Equipment Information'!C253="","", 'Equipment Information'!C253)</f>
        <v/>
      </c>
      <c r="E253" t="str">
        <f>IF(D253="","", IFERROR(VLOOKUP(D253, Hidden_Data!M:N, 2, FALSE), "0"))</f>
        <v/>
      </c>
      <c r="H253" t="str">
        <f>IF(G253="","", IFERROR(VLOOKUP(G253, Hidden_Data!M:N, 2, FALSE), "0"))</f>
        <v/>
      </c>
      <c r="K253" t="str">
        <f>IF(J253="","", IFERROR(VLOOKUP(J253, Hidden_Data!M:N, 2, FALSE), "0"))</f>
        <v/>
      </c>
      <c r="N253" t="str">
        <f>IF(M253="","", IFERROR(VLOOKUP(M253, Hidden_Data!M:N, 2, FALSE), "0"))</f>
        <v/>
      </c>
      <c r="Q253" t="str">
        <f>IF(P253="","", IFERROR(VLOOKUP(P253, Hidden_Data!M:N, 2, FALSE), "0"))</f>
        <v/>
      </c>
      <c r="T253" t="str">
        <f t="shared" si="9"/>
        <v/>
      </c>
      <c r="U253" t="str">
        <f t="shared" si="10"/>
        <v/>
      </c>
      <c r="V253" t="str">
        <f t="shared" si="11"/>
        <v/>
      </c>
    </row>
    <row r="254" spans="1:22" x14ac:dyDescent="0.25">
      <c r="A254" t="str">
        <f>IF('Equipment Information'!A254="","", 'Equipment Information'!A254)</f>
        <v/>
      </c>
      <c r="B254" t="str">
        <f>IF('Equipment Information'!B254="","", 'Equipment Information'!B254)</f>
        <v/>
      </c>
      <c r="C254" t="str">
        <f>IF('Equipment Information'!C254="","", 'Equipment Information'!C254)</f>
        <v/>
      </c>
      <c r="E254" t="str">
        <f>IF(D254="","", IFERROR(VLOOKUP(D254, Hidden_Data!M:N, 2, FALSE), "0"))</f>
        <v/>
      </c>
      <c r="H254" t="str">
        <f>IF(G254="","", IFERROR(VLOOKUP(G254, Hidden_Data!M:N, 2, FALSE), "0"))</f>
        <v/>
      </c>
      <c r="K254" t="str">
        <f>IF(J254="","", IFERROR(VLOOKUP(J254, Hidden_Data!M:N, 2, FALSE), "0"))</f>
        <v/>
      </c>
      <c r="N254" t="str">
        <f>IF(M254="","", IFERROR(VLOOKUP(M254, Hidden_Data!M:N, 2, FALSE), "0"))</f>
        <v/>
      </c>
      <c r="Q254" t="str">
        <f>IF(P254="","", IFERROR(VLOOKUP(P254, Hidden_Data!M:N, 2, FALSE), "0"))</f>
        <v/>
      </c>
      <c r="T254" t="str">
        <f t="shared" si="9"/>
        <v/>
      </c>
      <c r="U254" t="str">
        <f t="shared" si="10"/>
        <v/>
      </c>
      <c r="V254" t="str">
        <f t="shared" si="11"/>
        <v/>
      </c>
    </row>
    <row r="255" spans="1:22" x14ac:dyDescent="0.25">
      <c r="A255" t="str">
        <f>IF('Equipment Information'!A255="","", 'Equipment Information'!A255)</f>
        <v/>
      </c>
      <c r="B255" t="str">
        <f>IF('Equipment Information'!B255="","", 'Equipment Information'!B255)</f>
        <v/>
      </c>
      <c r="C255" t="str">
        <f>IF('Equipment Information'!C255="","", 'Equipment Information'!C255)</f>
        <v/>
      </c>
      <c r="E255" t="str">
        <f>IF(D255="","", IFERROR(VLOOKUP(D255, Hidden_Data!M:N, 2, FALSE), "0"))</f>
        <v/>
      </c>
      <c r="H255" t="str">
        <f>IF(G255="","", IFERROR(VLOOKUP(G255, Hidden_Data!M:N, 2, FALSE), "0"))</f>
        <v/>
      </c>
      <c r="K255" t="str">
        <f>IF(J255="","", IFERROR(VLOOKUP(J255, Hidden_Data!M:N, 2, FALSE), "0"))</f>
        <v/>
      </c>
      <c r="N255" t="str">
        <f>IF(M255="","", IFERROR(VLOOKUP(M255, Hidden_Data!M:N, 2, FALSE), "0"))</f>
        <v/>
      </c>
      <c r="Q255" t="str">
        <f>IF(P255="","", IFERROR(VLOOKUP(P255, Hidden_Data!M:N, 2, FALSE), "0"))</f>
        <v/>
      </c>
      <c r="T255" t="str">
        <f t="shared" si="9"/>
        <v/>
      </c>
      <c r="U255" t="str">
        <f t="shared" si="10"/>
        <v/>
      </c>
      <c r="V255" t="str">
        <f t="shared" si="11"/>
        <v/>
      </c>
    </row>
    <row r="256" spans="1:22" x14ac:dyDescent="0.25">
      <c r="A256" t="str">
        <f>IF('Equipment Information'!A256="","", 'Equipment Information'!A256)</f>
        <v/>
      </c>
      <c r="B256" t="str">
        <f>IF('Equipment Information'!B256="","", 'Equipment Information'!B256)</f>
        <v/>
      </c>
      <c r="C256" t="str">
        <f>IF('Equipment Information'!C256="","", 'Equipment Information'!C256)</f>
        <v/>
      </c>
      <c r="E256" t="str">
        <f>IF(D256="","", IFERROR(VLOOKUP(D256, Hidden_Data!M:N, 2, FALSE), "0"))</f>
        <v/>
      </c>
      <c r="H256" t="str">
        <f>IF(G256="","", IFERROR(VLOOKUP(G256, Hidden_Data!M:N, 2, FALSE), "0"))</f>
        <v/>
      </c>
      <c r="K256" t="str">
        <f>IF(J256="","", IFERROR(VLOOKUP(J256, Hidden_Data!M:N, 2, FALSE), "0"))</f>
        <v/>
      </c>
      <c r="N256" t="str">
        <f>IF(M256="","", IFERROR(VLOOKUP(M256, Hidden_Data!M:N, 2, FALSE), "0"))</f>
        <v/>
      </c>
      <c r="Q256" t="str">
        <f>IF(P256="","", IFERROR(VLOOKUP(P256, Hidden_Data!M:N, 2, FALSE), "0"))</f>
        <v/>
      </c>
      <c r="T256" t="str">
        <f t="shared" si="9"/>
        <v/>
      </c>
      <c r="U256" t="str">
        <f t="shared" si="10"/>
        <v/>
      </c>
      <c r="V256" t="str">
        <f t="shared" si="11"/>
        <v/>
      </c>
    </row>
    <row r="257" spans="1:22" x14ac:dyDescent="0.25">
      <c r="A257" t="str">
        <f>IF('Equipment Information'!A257="","", 'Equipment Information'!A257)</f>
        <v/>
      </c>
      <c r="B257" t="str">
        <f>IF('Equipment Information'!B257="","", 'Equipment Information'!B257)</f>
        <v/>
      </c>
      <c r="C257" t="str">
        <f>IF('Equipment Information'!C257="","", 'Equipment Information'!C257)</f>
        <v/>
      </c>
      <c r="E257" t="str">
        <f>IF(D257="","", IFERROR(VLOOKUP(D257, Hidden_Data!M:N, 2, FALSE), "0"))</f>
        <v/>
      </c>
      <c r="H257" t="str">
        <f>IF(G257="","", IFERROR(VLOOKUP(G257, Hidden_Data!M:N, 2, FALSE), "0"))</f>
        <v/>
      </c>
      <c r="K257" t="str">
        <f>IF(J257="","", IFERROR(VLOOKUP(J257, Hidden_Data!M:N, 2, FALSE), "0"))</f>
        <v/>
      </c>
      <c r="N257" t="str">
        <f>IF(M257="","", IFERROR(VLOOKUP(M257, Hidden_Data!M:N, 2, FALSE), "0"))</f>
        <v/>
      </c>
      <c r="Q257" t="str">
        <f>IF(P257="","", IFERROR(VLOOKUP(P257, Hidden_Data!M:N, 2, FALSE), "0"))</f>
        <v/>
      </c>
      <c r="T257" t="str">
        <f t="shared" si="9"/>
        <v/>
      </c>
      <c r="U257" t="str">
        <f t="shared" si="10"/>
        <v/>
      </c>
      <c r="V257" t="str">
        <f t="shared" si="11"/>
        <v/>
      </c>
    </row>
    <row r="258" spans="1:22" x14ac:dyDescent="0.25">
      <c r="A258" t="str">
        <f>IF('Equipment Information'!A258="","", 'Equipment Information'!A258)</f>
        <v/>
      </c>
      <c r="B258" t="str">
        <f>IF('Equipment Information'!B258="","", 'Equipment Information'!B258)</f>
        <v/>
      </c>
      <c r="C258" t="str">
        <f>IF('Equipment Information'!C258="","", 'Equipment Information'!C258)</f>
        <v/>
      </c>
      <c r="E258" t="str">
        <f>IF(D258="","", IFERROR(VLOOKUP(D258, Hidden_Data!M:N, 2, FALSE), "0"))</f>
        <v/>
      </c>
      <c r="H258" t="str">
        <f>IF(G258="","", IFERROR(VLOOKUP(G258, Hidden_Data!M:N, 2, FALSE), "0"))</f>
        <v/>
      </c>
      <c r="K258" t="str">
        <f>IF(J258="","", IFERROR(VLOOKUP(J258, Hidden_Data!M:N, 2, FALSE), "0"))</f>
        <v/>
      </c>
      <c r="N258" t="str">
        <f>IF(M258="","", IFERROR(VLOOKUP(M258, Hidden_Data!M:N, 2, FALSE), "0"))</f>
        <v/>
      </c>
      <c r="Q258" t="str">
        <f>IF(P258="","", IFERROR(VLOOKUP(P258, Hidden_Data!M:N, 2, FALSE), "0"))</f>
        <v/>
      </c>
      <c r="T258" t="str">
        <f t="shared" ref="T258:T321" si="12">IF(A258="","", SUM(IF(F258="Yes", 0, IF(E258="", 0, IFERROR(VALUE(MID(E258, SEARCH("(",E258)+1, 1)), 0))), IF(I258="Yes", 0, IF(H258="", 0, IFERROR(VALUE(MID(H258, SEARCH("(",H258)+1, 1)), 0))), IF(L258="Yes", 0, IF(K258="", 0, IFERROR(VALUE(MID(K258, SEARCH("(",K258)+1, 1)), 0))), IF(O258="Yes", 0, IF(N258="", 0, IFERROR(VALUE(MID(N258, SEARCH("(",N258)+1, 1)), 0))), IF(R258="Yes", 0, IF(Q258="", 0, IFERROR(VALUE(MID(Q258, SEARCH("(",Q258)+1, 1)), 0)))))</f>
        <v/>
      </c>
      <c r="U258" t="str">
        <f t="shared" ref="U258:U321" si="13">IF(A258="","", IF(T258&gt;=5, "Priority 1 (Critical)", IF(T258&gt;=3, "Priority 2 (Major)", IF(T258&gt;=1, "Priority 3 (Minor)", "Pass/Fixed"))))</f>
        <v/>
      </c>
      <c r="V258" t="str">
        <f t="shared" ref="V258:V321" si="14">IF(A258="","", IF(T258&gt;0, "FAIL", "PASS"))</f>
        <v/>
      </c>
    </row>
    <row r="259" spans="1:22" x14ac:dyDescent="0.25">
      <c r="A259" t="str">
        <f>IF('Equipment Information'!A259="","", 'Equipment Information'!A259)</f>
        <v/>
      </c>
      <c r="B259" t="str">
        <f>IF('Equipment Information'!B259="","", 'Equipment Information'!B259)</f>
        <v/>
      </c>
      <c r="C259" t="str">
        <f>IF('Equipment Information'!C259="","", 'Equipment Information'!C259)</f>
        <v/>
      </c>
      <c r="E259" t="str">
        <f>IF(D259="","", IFERROR(VLOOKUP(D259, Hidden_Data!M:N, 2, FALSE), "0"))</f>
        <v/>
      </c>
      <c r="H259" t="str">
        <f>IF(G259="","", IFERROR(VLOOKUP(G259, Hidden_Data!M:N, 2, FALSE), "0"))</f>
        <v/>
      </c>
      <c r="K259" t="str">
        <f>IF(J259="","", IFERROR(VLOOKUP(J259, Hidden_Data!M:N, 2, FALSE), "0"))</f>
        <v/>
      </c>
      <c r="N259" t="str">
        <f>IF(M259="","", IFERROR(VLOOKUP(M259, Hidden_Data!M:N, 2, FALSE), "0"))</f>
        <v/>
      </c>
      <c r="Q259" t="str">
        <f>IF(P259="","", IFERROR(VLOOKUP(P259, Hidden_Data!M:N, 2, FALSE), "0"))</f>
        <v/>
      </c>
      <c r="T259" t="str">
        <f t="shared" si="12"/>
        <v/>
      </c>
      <c r="U259" t="str">
        <f t="shared" si="13"/>
        <v/>
      </c>
      <c r="V259" t="str">
        <f t="shared" si="14"/>
        <v/>
      </c>
    </row>
    <row r="260" spans="1:22" x14ac:dyDescent="0.25">
      <c r="A260" t="str">
        <f>IF('Equipment Information'!A260="","", 'Equipment Information'!A260)</f>
        <v/>
      </c>
      <c r="B260" t="str">
        <f>IF('Equipment Information'!B260="","", 'Equipment Information'!B260)</f>
        <v/>
      </c>
      <c r="C260" t="str">
        <f>IF('Equipment Information'!C260="","", 'Equipment Information'!C260)</f>
        <v/>
      </c>
      <c r="E260" t="str">
        <f>IF(D260="","", IFERROR(VLOOKUP(D260, Hidden_Data!M:N, 2, FALSE), "0"))</f>
        <v/>
      </c>
      <c r="H260" t="str">
        <f>IF(G260="","", IFERROR(VLOOKUP(G260, Hidden_Data!M:N, 2, FALSE), "0"))</f>
        <v/>
      </c>
      <c r="K260" t="str">
        <f>IF(J260="","", IFERROR(VLOOKUP(J260, Hidden_Data!M:N, 2, FALSE), "0"))</f>
        <v/>
      </c>
      <c r="N260" t="str">
        <f>IF(M260="","", IFERROR(VLOOKUP(M260, Hidden_Data!M:N, 2, FALSE), "0"))</f>
        <v/>
      </c>
      <c r="Q260" t="str">
        <f>IF(P260="","", IFERROR(VLOOKUP(P260, Hidden_Data!M:N, 2, FALSE), "0"))</f>
        <v/>
      </c>
      <c r="T260" t="str">
        <f t="shared" si="12"/>
        <v/>
      </c>
      <c r="U260" t="str">
        <f t="shared" si="13"/>
        <v/>
      </c>
      <c r="V260" t="str">
        <f t="shared" si="14"/>
        <v/>
      </c>
    </row>
    <row r="261" spans="1:22" x14ac:dyDescent="0.25">
      <c r="A261" t="str">
        <f>IF('Equipment Information'!A261="","", 'Equipment Information'!A261)</f>
        <v/>
      </c>
      <c r="B261" t="str">
        <f>IF('Equipment Information'!B261="","", 'Equipment Information'!B261)</f>
        <v/>
      </c>
      <c r="C261" t="str">
        <f>IF('Equipment Information'!C261="","", 'Equipment Information'!C261)</f>
        <v/>
      </c>
      <c r="E261" t="str">
        <f>IF(D261="","", IFERROR(VLOOKUP(D261, Hidden_Data!M:N, 2, FALSE), "0"))</f>
        <v/>
      </c>
      <c r="H261" t="str">
        <f>IF(G261="","", IFERROR(VLOOKUP(G261, Hidden_Data!M:N, 2, FALSE), "0"))</f>
        <v/>
      </c>
      <c r="K261" t="str">
        <f>IF(J261="","", IFERROR(VLOOKUP(J261, Hidden_Data!M:N, 2, FALSE), "0"))</f>
        <v/>
      </c>
      <c r="N261" t="str">
        <f>IF(M261="","", IFERROR(VLOOKUP(M261, Hidden_Data!M:N, 2, FALSE), "0"))</f>
        <v/>
      </c>
      <c r="Q261" t="str">
        <f>IF(P261="","", IFERROR(VLOOKUP(P261, Hidden_Data!M:N, 2, FALSE), "0"))</f>
        <v/>
      </c>
      <c r="T261" t="str">
        <f t="shared" si="12"/>
        <v/>
      </c>
      <c r="U261" t="str">
        <f t="shared" si="13"/>
        <v/>
      </c>
      <c r="V261" t="str">
        <f t="shared" si="14"/>
        <v/>
      </c>
    </row>
    <row r="262" spans="1:22" x14ac:dyDescent="0.25">
      <c r="A262" t="str">
        <f>IF('Equipment Information'!A262="","", 'Equipment Information'!A262)</f>
        <v/>
      </c>
      <c r="B262" t="str">
        <f>IF('Equipment Information'!B262="","", 'Equipment Information'!B262)</f>
        <v/>
      </c>
      <c r="C262" t="str">
        <f>IF('Equipment Information'!C262="","", 'Equipment Information'!C262)</f>
        <v/>
      </c>
      <c r="E262" t="str">
        <f>IF(D262="","", IFERROR(VLOOKUP(D262, Hidden_Data!M:N, 2, FALSE), "0"))</f>
        <v/>
      </c>
      <c r="H262" t="str">
        <f>IF(G262="","", IFERROR(VLOOKUP(G262, Hidden_Data!M:N, 2, FALSE), "0"))</f>
        <v/>
      </c>
      <c r="K262" t="str">
        <f>IF(J262="","", IFERROR(VLOOKUP(J262, Hidden_Data!M:N, 2, FALSE), "0"))</f>
        <v/>
      </c>
      <c r="N262" t="str">
        <f>IF(M262="","", IFERROR(VLOOKUP(M262, Hidden_Data!M:N, 2, FALSE), "0"))</f>
        <v/>
      </c>
      <c r="Q262" t="str">
        <f>IF(P262="","", IFERROR(VLOOKUP(P262, Hidden_Data!M:N, 2, FALSE), "0"))</f>
        <v/>
      </c>
      <c r="T262" t="str">
        <f t="shared" si="12"/>
        <v/>
      </c>
      <c r="U262" t="str">
        <f t="shared" si="13"/>
        <v/>
      </c>
      <c r="V262" t="str">
        <f t="shared" si="14"/>
        <v/>
      </c>
    </row>
    <row r="263" spans="1:22" x14ac:dyDescent="0.25">
      <c r="A263" t="str">
        <f>IF('Equipment Information'!A263="","", 'Equipment Information'!A263)</f>
        <v/>
      </c>
      <c r="B263" t="str">
        <f>IF('Equipment Information'!B263="","", 'Equipment Information'!B263)</f>
        <v/>
      </c>
      <c r="C263" t="str">
        <f>IF('Equipment Information'!C263="","", 'Equipment Information'!C263)</f>
        <v/>
      </c>
      <c r="E263" t="str">
        <f>IF(D263="","", IFERROR(VLOOKUP(D263, Hidden_Data!M:N, 2, FALSE), "0"))</f>
        <v/>
      </c>
      <c r="H263" t="str">
        <f>IF(G263="","", IFERROR(VLOOKUP(G263, Hidden_Data!M:N, 2, FALSE), "0"))</f>
        <v/>
      </c>
      <c r="K263" t="str">
        <f>IF(J263="","", IFERROR(VLOOKUP(J263, Hidden_Data!M:N, 2, FALSE), "0"))</f>
        <v/>
      </c>
      <c r="N263" t="str">
        <f>IF(M263="","", IFERROR(VLOOKUP(M263, Hidden_Data!M:N, 2, FALSE), "0"))</f>
        <v/>
      </c>
      <c r="Q263" t="str">
        <f>IF(P263="","", IFERROR(VLOOKUP(P263, Hidden_Data!M:N, 2, FALSE), "0"))</f>
        <v/>
      </c>
      <c r="T263" t="str">
        <f t="shared" si="12"/>
        <v/>
      </c>
      <c r="U263" t="str">
        <f t="shared" si="13"/>
        <v/>
      </c>
      <c r="V263" t="str">
        <f t="shared" si="14"/>
        <v/>
      </c>
    </row>
    <row r="264" spans="1:22" x14ac:dyDescent="0.25">
      <c r="A264" t="str">
        <f>IF('Equipment Information'!A264="","", 'Equipment Information'!A264)</f>
        <v/>
      </c>
      <c r="B264" t="str">
        <f>IF('Equipment Information'!B264="","", 'Equipment Information'!B264)</f>
        <v/>
      </c>
      <c r="C264" t="str">
        <f>IF('Equipment Information'!C264="","", 'Equipment Information'!C264)</f>
        <v/>
      </c>
      <c r="E264" t="str">
        <f>IF(D264="","", IFERROR(VLOOKUP(D264, Hidden_Data!M:N, 2, FALSE), "0"))</f>
        <v/>
      </c>
      <c r="H264" t="str">
        <f>IF(G264="","", IFERROR(VLOOKUP(G264, Hidden_Data!M:N, 2, FALSE), "0"))</f>
        <v/>
      </c>
      <c r="K264" t="str">
        <f>IF(J264="","", IFERROR(VLOOKUP(J264, Hidden_Data!M:N, 2, FALSE), "0"))</f>
        <v/>
      </c>
      <c r="N264" t="str">
        <f>IF(M264="","", IFERROR(VLOOKUP(M264, Hidden_Data!M:N, 2, FALSE), "0"))</f>
        <v/>
      </c>
      <c r="Q264" t="str">
        <f>IF(P264="","", IFERROR(VLOOKUP(P264, Hidden_Data!M:N, 2, FALSE), "0"))</f>
        <v/>
      </c>
      <c r="T264" t="str">
        <f t="shared" si="12"/>
        <v/>
      </c>
      <c r="U264" t="str">
        <f t="shared" si="13"/>
        <v/>
      </c>
      <c r="V264" t="str">
        <f t="shared" si="14"/>
        <v/>
      </c>
    </row>
    <row r="265" spans="1:22" x14ac:dyDescent="0.25">
      <c r="A265" t="str">
        <f>IF('Equipment Information'!A265="","", 'Equipment Information'!A265)</f>
        <v/>
      </c>
      <c r="B265" t="str">
        <f>IF('Equipment Information'!B265="","", 'Equipment Information'!B265)</f>
        <v/>
      </c>
      <c r="C265" t="str">
        <f>IF('Equipment Information'!C265="","", 'Equipment Information'!C265)</f>
        <v/>
      </c>
      <c r="E265" t="str">
        <f>IF(D265="","", IFERROR(VLOOKUP(D265, Hidden_Data!M:N, 2, FALSE), "0"))</f>
        <v/>
      </c>
      <c r="H265" t="str">
        <f>IF(G265="","", IFERROR(VLOOKUP(G265, Hidden_Data!M:N, 2, FALSE), "0"))</f>
        <v/>
      </c>
      <c r="K265" t="str">
        <f>IF(J265="","", IFERROR(VLOOKUP(J265, Hidden_Data!M:N, 2, FALSE), "0"))</f>
        <v/>
      </c>
      <c r="N265" t="str">
        <f>IF(M265="","", IFERROR(VLOOKUP(M265, Hidden_Data!M:N, 2, FALSE), "0"))</f>
        <v/>
      </c>
      <c r="Q265" t="str">
        <f>IF(P265="","", IFERROR(VLOOKUP(P265, Hidden_Data!M:N, 2, FALSE), "0"))</f>
        <v/>
      </c>
      <c r="T265" t="str">
        <f t="shared" si="12"/>
        <v/>
      </c>
      <c r="U265" t="str">
        <f t="shared" si="13"/>
        <v/>
      </c>
      <c r="V265" t="str">
        <f t="shared" si="14"/>
        <v/>
      </c>
    </row>
    <row r="266" spans="1:22" x14ac:dyDescent="0.25">
      <c r="A266" t="str">
        <f>IF('Equipment Information'!A266="","", 'Equipment Information'!A266)</f>
        <v/>
      </c>
      <c r="B266" t="str">
        <f>IF('Equipment Information'!B266="","", 'Equipment Information'!B266)</f>
        <v/>
      </c>
      <c r="C266" t="str">
        <f>IF('Equipment Information'!C266="","", 'Equipment Information'!C266)</f>
        <v/>
      </c>
      <c r="E266" t="str">
        <f>IF(D266="","", IFERROR(VLOOKUP(D266, Hidden_Data!M:N, 2, FALSE), "0"))</f>
        <v/>
      </c>
      <c r="H266" t="str">
        <f>IF(G266="","", IFERROR(VLOOKUP(G266, Hidden_Data!M:N, 2, FALSE), "0"))</f>
        <v/>
      </c>
      <c r="K266" t="str">
        <f>IF(J266="","", IFERROR(VLOOKUP(J266, Hidden_Data!M:N, 2, FALSE), "0"))</f>
        <v/>
      </c>
      <c r="N266" t="str">
        <f>IF(M266="","", IFERROR(VLOOKUP(M266, Hidden_Data!M:N, 2, FALSE), "0"))</f>
        <v/>
      </c>
      <c r="Q266" t="str">
        <f>IF(P266="","", IFERROR(VLOOKUP(P266, Hidden_Data!M:N, 2, FALSE), "0"))</f>
        <v/>
      </c>
      <c r="T266" t="str">
        <f t="shared" si="12"/>
        <v/>
      </c>
      <c r="U266" t="str">
        <f t="shared" si="13"/>
        <v/>
      </c>
      <c r="V266" t="str">
        <f t="shared" si="14"/>
        <v/>
      </c>
    </row>
    <row r="267" spans="1:22" x14ac:dyDescent="0.25">
      <c r="A267" t="str">
        <f>IF('Equipment Information'!A267="","", 'Equipment Information'!A267)</f>
        <v/>
      </c>
      <c r="B267" t="str">
        <f>IF('Equipment Information'!B267="","", 'Equipment Information'!B267)</f>
        <v/>
      </c>
      <c r="C267" t="str">
        <f>IF('Equipment Information'!C267="","", 'Equipment Information'!C267)</f>
        <v/>
      </c>
      <c r="E267" t="str">
        <f>IF(D267="","", IFERROR(VLOOKUP(D267, Hidden_Data!M:N, 2, FALSE), "0"))</f>
        <v/>
      </c>
      <c r="H267" t="str">
        <f>IF(G267="","", IFERROR(VLOOKUP(G267, Hidden_Data!M:N, 2, FALSE), "0"))</f>
        <v/>
      </c>
      <c r="K267" t="str">
        <f>IF(J267="","", IFERROR(VLOOKUP(J267, Hidden_Data!M:N, 2, FALSE), "0"))</f>
        <v/>
      </c>
      <c r="N267" t="str">
        <f>IF(M267="","", IFERROR(VLOOKUP(M267, Hidden_Data!M:N, 2, FALSE), "0"))</f>
        <v/>
      </c>
      <c r="Q267" t="str">
        <f>IF(P267="","", IFERROR(VLOOKUP(P267, Hidden_Data!M:N, 2, FALSE), "0"))</f>
        <v/>
      </c>
      <c r="T267" t="str">
        <f t="shared" si="12"/>
        <v/>
      </c>
      <c r="U267" t="str">
        <f t="shared" si="13"/>
        <v/>
      </c>
      <c r="V267" t="str">
        <f t="shared" si="14"/>
        <v/>
      </c>
    </row>
    <row r="268" spans="1:22" x14ac:dyDescent="0.25">
      <c r="A268" t="str">
        <f>IF('Equipment Information'!A268="","", 'Equipment Information'!A268)</f>
        <v/>
      </c>
      <c r="B268" t="str">
        <f>IF('Equipment Information'!B268="","", 'Equipment Information'!B268)</f>
        <v/>
      </c>
      <c r="C268" t="str">
        <f>IF('Equipment Information'!C268="","", 'Equipment Information'!C268)</f>
        <v/>
      </c>
      <c r="E268" t="str">
        <f>IF(D268="","", IFERROR(VLOOKUP(D268, Hidden_Data!M:N, 2, FALSE), "0"))</f>
        <v/>
      </c>
      <c r="H268" t="str">
        <f>IF(G268="","", IFERROR(VLOOKUP(G268, Hidden_Data!M:N, 2, FALSE), "0"))</f>
        <v/>
      </c>
      <c r="K268" t="str">
        <f>IF(J268="","", IFERROR(VLOOKUP(J268, Hidden_Data!M:N, 2, FALSE), "0"))</f>
        <v/>
      </c>
      <c r="N268" t="str">
        <f>IF(M268="","", IFERROR(VLOOKUP(M268, Hidden_Data!M:N, 2, FALSE), "0"))</f>
        <v/>
      </c>
      <c r="Q268" t="str">
        <f>IF(P268="","", IFERROR(VLOOKUP(P268, Hidden_Data!M:N, 2, FALSE), "0"))</f>
        <v/>
      </c>
      <c r="T268" t="str">
        <f t="shared" si="12"/>
        <v/>
      </c>
      <c r="U268" t="str">
        <f t="shared" si="13"/>
        <v/>
      </c>
      <c r="V268" t="str">
        <f t="shared" si="14"/>
        <v/>
      </c>
    </row>
    <row r="269" spans="1:22" x14ac:dyDescent="0.25">
      <c r="A269" t="str">
        <f>IF('Equipment Information'!A269="","", 'Equipment Information'!A269)</f>
        <v/>
      </c>
      <c r="B269" t="str">
        <f>IF('Equipment Information'!B269="","", 'Equipment Information'!B269)</f>
        <v/>
      </c>
      <c r="C269" t="str">
        <f>IF('Equipment Information'!C269="","", 'Equipment Information'!C269)</f>
        <v/>
      </c>
      <c r="E269" t="str">
        <f>IF(D269="","", IFERROR(VLOOKUP(D269, Hidden_Data!M:N, 2, FALSE), "0"))</f>
        <v/>
      </c>
      <c r="H269" t="str">
        <f>IF(G269="","", IFERROR(VLOOKUP(G269, Hidden_Data!M:N, 2, FALSE), "0"))</f>
        <v/>
      </c>
      <c r="K269" t="str">
        <f>IF(J269="","", IFERROR(VLOOKUP(J269, Hidden_Data!M:N, 2, FALSE), "0"))</f>
        <v/>
      </c>
      <c r="N269" t="str">
        <f>IF(M269="","", IFERROR(VLOOKUP(M269, Hidden_Data!M:N, 2, FALSE), "0"))</f>
        <v/>
      </c>
      <c r="Q269" t="str">
        <f>IF(P269="","", IFERROR(VLOOKUP(P269, Hidden_Data!M:N, 2, FALSE), "0"))</f>
        <v/>
      </c>
      <c r="T269" t="str">
        <f t="shared" si="12"/>
        <v/>
      </c>
      <c r="U269" t="str">
        <f t="shared" si="13"/>
        <v/>
      </c>
      <c r="V269" t="str">
        <f t="shared" si="14"/>
        <v/>
      </c>
    </row>
    <row r="270" spans="1:22" x14ac:dyDescent="0.25">
      <c r="A270" t="str">
        <f>IF('Equipment Information'!A270="","", 'Equipment Information'!A270)</f>
        <v/>
      </c>
      <c r="B270" t="str">
        <f>IF('Equipment Information'!B270="","", 'Equipment Information'!B270)</f>
        <v/>
      </c>
      <c r="C270" t="str">
        <f>IF('Equipment Information'!C270="","", 'Equipment Information'!C270)</f>
        <v/>
      </c>
      <c r="E270" t="str">
        <f>IF(D270="","", IFERROR(VLOOKUP(D270, Hidden_Data!M:N, 2, FALSE), "0"))</f>
        <v/>
      </c>
      <c r="H270" t="str">
        <f>IF(G270="","", IFERROR(VLOOKUP(G270, Hidden_Data!M:N, 2, FALSE), "0"))</f>
        <v/>
      </c>
      <c r="K270" t="str">
        <f>IF(J270="","", IFERROR(VLOOKUP(J270, Hidden_Data!M:N, 2, FALSE), "0"))</f>
        <v/>
      </c>
      <c r="N270" t="str">
        <f>IF(M270="","", IFERROR(VLOOKUP(M270, Hidden_Data!M:N, 2, FALSE), "0"))</f>
        <v/>
      </c>
      <c r="Q270" t="str">
        <f>IF(P270="","", IFERROR(VLOOKUP(P270, Hidden_Data!M:N, 2, FALSE), "0"))</f>
        <v/>
      </c>
      <c r="T270" t="str">
        <f t="shared" si="12"/>
        <v/>
      </c>
      <c r="U270" t="str">
        <f t="shared" si="13"/>
        <v/>
      </c>
      <c r="V270" t="str">
        <f t="shared" si="14"/>
        <v/>
      </c>
    </row>
    <row r="271" spans="1:22" x14ac:dyDescent="0.25">
      <c r="A271" t="str">
        <f>IF('Equipment Information'!A271="","", 'Equipment Information'!A271)</f>
        <v/>
      </c>
      <c r="B271" t="str">
        <f>IF('Equipment Information'!B271="","", 'Equipment Information'!B271)</f>
        <v/>
      </c>
      <c r="C271" t="str">
        <f>IF('Equipment Information'!C271="","", 'Equipment Information'!C271)</f>
        <v/>
      </c>
      <c r="E271" t="str">
        <f>IF(D271="","", IFERROR(VLOOKUP(D271, Hidden_Data!M:N, 2, FALSE), "0"))</f>
        <v/>
      </c>
      <c r="H271" t="str">
        <f>IF(G271="","", IFERROR(VLOOKUP(G271, Hidden_Data!M:N, 2, FALSE), "0"))</f>
        <v/>
      </c>
      <c r="K271" t="str">
        <f>IF(J271="","", IFERROR(VLOOKUP(J271, Hidden_Data!M:N, 2, FALSE), "0"))</f>
        <v/>
      </c>
      <c r="N271" t="str">
        <f>IF(M271="","", IFERROR(VLOOKUP(M271, Hidden_Data!M:N, 2, FALSE), "0"))</f>
        <v/>
      </c>
      <c r="Q271" t="str">
        <f>IF(P271="","", IFERROR(VLOOKUP(P271, Hidden_Data!M:N, 2, FALSE), "0"))</f>
        <v/>
      </c>
      <c r="T271" t="str">
        <f t="shared" si="12"/>
        <v/>
      </c>
      <c r="U271" t="str">
        <f t="shared" si="13"/>
        <v/>
      </c>
      <c r="V271" t="str">
        <f t="shared" si="14"/>
        <v/>
      </c>
    </row>
    <row r="272" spans="1:22" x14ac:dyDescent="0.25">
      <c r="A272" t="str">
        <f>IF('Equipment Information'!A272="","", 'Equipment Information'!A272)</f>
        <v/>
      </c>
      <c r="B272" t="str">
        <f>IF('Equipment Information'!B272="","", 'Equipment Information'!B272)</f>
        <v/>
      </c>
      <c r="C272" t="str">
        <f>IF('Equipment Information'!C272="","", 'Equipment Information'!C272)</f>
        <v/>
      </c>
      <c r="E272" t="str">
        <f>IF(D272="","", IFERROR(VLOOKUP(D272, Hidden_Data!M:N, 2, FALSE), "0"))</f>
        <v/>
      </c>
      <c r="H272" t="str">
        <f>IF(G272="","", IFERROR(VLOOKUP(G272, Hidden_Data!M:N, 2, FALSE), "0"))</f>
        <v/>
      </c>
      <c r="K272" t="str">
        <f>IF(J272="","", IFERROR(VLOOKUP(J272, Hidden_Data!M:N, 2, FALSE), "0"))</f>
        <v/>
      </c>
      <c r="N272" t="str">
        <f>IF(M272="","", IFERROR(VLOOKUP(M272, Hidden_Data!M:N, 2, FALSE), "0"))</f>
        <v/>
      </c>
      <c r="Q272" t="str">
        <f>IF(P272="","", IFERROR(VLOOKUP(P272, Hidden_Data!M:N, 2, FALSE), "0"))</f>
        <v/>
      </c>
      <c r="T272" t="str">
        <f t="shared" si="12"/>
        <v/>
      </c>
      <c r="U272" t="str">
        <f t="shared" si="13"/>
        <v/>
      </c>
      <c r="V272" t="str">
        <f t="shared" si="14"/>
        <v/>
      </c>
    </row>
    <row r="273" spans="1:22" x14ac:dyDescent="0.25">
      <c r="A273" t="str">
        <f>IF('Equipment Information'!A273="","", 'Equipment Information'!A273)</f>
        <v/>
      </c>
      <c r="B273" t="str">
        <f>IF('Equipment Information'!B273="","", 'Equipment Information'!B273)</f>
        <v/>
      </c>
      <c r="C273" t="str">
        <f>IF('Equipment Information'!C273="","", 'Equipment Information'!C273)</f>
        <v/>
      </c>
      <c r="E273" t="str">
        <f>IF(D273="","", IFERROR(VLOOKUP(D273, Hidden_Data!M:N, 2, FALSE), "0"))</f>
        <v/>
      </c>
      <c r="H273" t="str">
        <f>IF(G273="","", IFERROR(VLOOKUP(G273, Hidden_Data!M:N, 2, FALSE), "0"))</f>
        <v/>
      </c>
      <c r="K273" t="str">
        <f>IF(J273="","", IFERROR(VLOOKUP(J273, Hidden_Data!M:N, 2, FALSE), "0"))</f>
        <v/>
      </c>
      <c r="N273" t="str">
        <f>IF(M273="","", IFERROR(VLOOKUP(M273, Hidden_Data!M:N, 2, FALSE), "0"))</f>
        <v/>
      </c>
      <c r="Q273" t="str">
        <f>IF(P273="","", IFERROR(VLOOKUP(P273, Hidden_Data!M:N, 2, FALSE), "0"))</f>
        <v/>
      </c>
      <c r="T273" t="str">
        <f t="shared" si="12"/>
        <v/>
      </c>
      <c r="U273" t="str">
        <f t="shared" si="13"/>
        <v/>
      </c>
      <c r="V273" t="str">
        <f t="shared" si="14"/>
        <v/>
      </c>
    </row>
    <row r="274" spans="1:22" x14ac:dyDescent="0.25">
      <c r="A274" t="str">
        <f>IF('Equipment Information'!A274="","", 'Equipment Information'!A274)</f>
        <v/>
      </c>
      <c r="B274" t="str">
        <f>IF('Equipment Information'!B274="","", 'Equipment Information'!B274)</f>
        <v/>
      </c>
      <c r="C274" t="str">
        <f>IF('Equipment Information'!C274="","", 'Equipment Information'!C274)</f>
        <v/>
      </c>
      <c r="E274" t="str">
        <f>IF(D274="","", IFERROR(VLOOKUP(D274, Hidden_Data!M:N, 2, FALSE), "0"))</f>
        <v/>
      </c>
      <c r="H274" t="str">
        <f>IF(G274="","", IFERROR(VLOOKUP(G274, Hidden_Data!M:N, 2, FALSE), "0"))</f>
        <v/>
      </c>
      <c r="K274" t="str">
        <f>IF(J274="","", IFERROR(VLOOKUP(J274, Hidden_Data!M:N, 2, FALSE), "0"))</f>
        <v/>
      </c>
      <c r="N274" t="str">
        <f>IF(M274="","", IFERROR(VLOOKUP(M274, Hidden_Data!M:N, 2, FALSE), "0"))</f>
        <v/>
      </c>
      <c r="Q274" t="str">
        <f>IF(P274="","", IFERROR(VLOOKUP(P274, Hidden_Data!M:N, 2, FALSE), "0"))</f>
        <v/>
      </c>
      <c r="T274" t="str">
        <f t="shared" si="12"/>
        <v/>
      </c>
      <c r="U274" t="str">
        <f t="shared" si="13"/>
        <v/>
      </c>
      <c r="V274" t="str">
        <f t="shared" si="14"/>
        <v/>
      </c>
    </row>
    <row r="275" spans="1:22" x14ac:dyDescent="0.25">
      <c r="A275" t="str">
        <f>IF('Equipment Information'!A275="","", 'Equipment Information'!A275)</f>
        <v/>
      </c>
      <c r="B275" t="str">
        <f>IF('Equipment Information'!B275="","", 'Equipment Information'!B275)</f>
        <v/>
      </c>
      <c r="C275" t="str">
        <f>IF('Equipment Information'!C275="","", 'Equipment Information'!C275)</f>
        <v/>
      </c>
      <c r="E275" t="str">
        <f>IF(D275="","", IFERROR(VLOOKUP(D275, Hidden_Data!M:N, 2, FALSE), "0"))</f>
        <v/>
      </c>
      <c r="H275" t="str">
        <f>IF(G275="","", IFERROR(VLOOKUP(G275, Hidden_Data!M:N, 2, FALSE), "0"))</f>
        <v/>
      </c>
      <c r="K275" t="str">
        <f>IF(J275="","", IFERROR(VLOOKUP(J275, Hidden_Data!M:N, 2, FALSE), "0"))</f>
        <v/>
      </c>
      <c r="N275" t="str">
        <f>IF(M275="","", IFERROR(VLOOKUP(M275, Hidden_Data!M:N, 2, FALSE), "0"))</f>
        <v/>
      </c>
      <c r="Q275" t="str">
        <f>IF(P275="","", IFERROR(VLOOKUP(P275, Hidden_Data!M:N, 2, FALSE), "0"))</f>
        <v/>
      </c>
      <c r="T275" t="str">
        <f t="shared" si="12"/>
        <v/>
      </c>
      <c r="U275" t="str">
        <f t="shared" si="13"/>
        <v/>
      </c>
      <c r="V275" t="str">
        <f t="shared" si="14"/>
        <v/>
      </c>
    </row>
    <row r="276" spans="1:22" x14ac:dyDescent="0.25">
      <c r="A276" t="str">
        <f>IF('Equipment Information'!A276="","", 'Equipment Information'!A276)</f>
        <v/>
      </c>
      <c r="B276" t="str">
        <f>IF('Equipment Information'!B276="","", 'Equipment Information'!B276)</f>
        <v/>
      </c>
      <c r="C276" t="str">
        <f>IF('Equipment Information'!C276="","", 'Equipment Information'!C276)</f>
        <v/>
      </c>
      <c r="E276" t="str">
        <f>IF(D276="","", IFERROR(VLOOKUP(D276, Hidden_Data!M:N, 2, FALSE), "0"))</f>
        <v/>
      </c>
      <c r="H276" t="str">
        <f>IF(G276="","", IFERROR(VLOOKUP(G276, Hidden_Data!M:N, 2, FALSE), "0"))</f>
        <v/>
      </c>
      <c r="K276" t="str">
        <f>IF(J276="","", IFERROR(VLOOKUP(J276, Hidden_Data!M:N, 2, FALSE), "0"))</f>
        <v/>
      </c>
      <c r="N276" t="str">
        <f>IF(M276="","", IFERROR(VLOOKUP(M276, Hidden_Data!M:N, 2, FALSE), "0"))</f>
        <v/>
      </c>
      <c r="Q276" t="str">
        <f>IF(P276="","", IFERROR(VLOOKUP(P276, Hidden_Data!M:N, 2, FALSE), "0"))</f>
        <v/>
      </c>
      <c r="T276" t="str">
        <f t="shared" si="12"/>
        <v/>
      </c>
      <c r="U276" t="str">
        <f t="shared" si="13"/>
        <v/>
      </c>
      <c r="V276" t="str">
        <f t="shared" si="14"/>
        <v/>
      </c>
    </row>
    <row r="277" spans="1:22" x14ac:dyDescent="0.25">
      <c r="A277" t="str">
        <f>IF('Equipment Information'!A277="","", 'Equipment Information'!A277)</f>
        <v/>
      </c>
      <c r="B277" t="str">
        <f>IF('Equipment Information'!B277="","", 'Equipment Information'!B277)</f>
        <v/>
      </c>
      <c r="C277" t="str">
        <f>IF('Equipment Information'!C277="","", 'Equipment Information'!C277)</f>
        <v/>
      </c>
      <c r="E277" t="str">
        <f>IF(D277="","", IFERROR(VLOOKUP(D277, Hidden_Data!M:N, 2, FALSE), "0"))</f>
        <v/>
      </c>
      <c r="H277" t="str">
        <f>IF(G277="","", IFERROR(VLOOKUP(G277, Hidden_Data!M:N, 2, FALSE), "0"))</f>
        <v/>
      </c>
      <c r="K277" t="str">
        <f>IF(J277="","", IFERROR(VLOOKUP(J277, Hidden_Data!M:N, 2, FALSE), "0"))</f>
        <v/>
      </c>
      <c r="N277" t="str">
        <f>IF(M277="","", IFERROR(VLOOKUP(M277, Hidden_Data!M:N, 2, FALSE), "0"))</f>
        <v/>
      </c>
      <c r="Q277" t="str">
        <f>IF(P277="","", IFERROR(VLOOKUP(P277, Hidden_Data!M:N, 2, FALSE), "0"))</f>
        <v/>
      </c>
      <c r="T277" t="str">
        <f t="shared" si="12"/>
        <v/>
      </c>
      <c r="U277" t="str">
        <f t="shared" si="13"/>
        <v/>
      </c>
      <c r="V277" t="str">
        <f t="shared" si="14"/>
        <v/>
      </c>
    </row>
    <row r="278" spans="1:22" x14ac:dyDescent="0.25">
      <c r="A278" t="str">
        <f>IF('Equipment Information'!A278="","", 'Equipment Information'!A278)</f>
        <v/>
      </c>
      <c r="B278" t="str">
        <f>IF('Equipment Information'!B278="","", 'Equipment Information'!B278)</f>
        <v/>
      </c>
      <c r="C278" t="str">
        <f>IF('Equipment Information'!C278="","", 'Equipment Information'!C278)</f>
        <v/>
      </c>
      <c r="E278" t="str">
        <f>IF(D278="","", IFERROR(VLOOKUP(D278, Hidden_Data!M:N, 2, FALSE), "0"))</f>
        <v/>
      </c>
      <c r="H278" t="str">
        <f>IF(G278="","", IFERROR(VLOOKUP(G278, Hidden_Data!M:N, 2, FALSE), "0"))</f>
        <v/>
      </c>
      <c r="K278" t="str">
        <f>IF(J278="","", IFERROR(VLOOKUP(J278, Hidden_Data!M:N, 2, FALSE), "0"))</f>
        <v/>
      </c>
      <c r="N278" t="str">
        <f>IF(M278="","", IFERROR(VLOOKUP(M278, Hidden_Data!M:N, 2, FALSE), "0"))</f>
        <v/>
      </c>
      <c r="Q278" t="str">
        <f>IF(P278="","", IFERROR(VLOOKUP(P278, Hidden_Data!M:N, 2, FALSE), "0"))</f>
        <v/>
      </c>
      <c r="T278" t="str">
        <f t="shared" si="12"/>
        <v/>
      </c>
      <c r="U278" t="str">
        <f t="shared" si="13"/>
        <v/>
      </c>
      <c r="V278" t="str">
        <f t="shared" si="14"/>
        <v/>
      </c>
    </row>
    <row r="279" spans="1:22" x14ac:dyDescent="0.25">
      <c r="A279" t="str">
        <f>IF('Equipment Information'!A279="","", 'Equipment Information'!A279)</f>
        <v/>
      </c>
      <c r="B279" t="str">
        <f>IF('Equipment Information'!B279="","", 'Equipment Information'!B279)</f>
        <v/>
      </c>
      <c r="C279" t="str">
        <f>IF('Equipment Information'!C279="","", 'Equipment Information'!C279)</f>
        <v/>
      </c>
      <c r="E279" t="str">
        <f>IF(D279="","", IFERROR(VLOOKUP(D279, Hidden_Data!M:N, 2, FALSE), "0"))</f>
        <v/>
      </c>
      <c r="H279" t="str">
        <f>IF(G279="","", IFERROR(VLOOKUP(G279, Hidden_Data!M:N, 2, FALSE), "0"))</f>
        <v/>
      </c>
      <c r="K279" t="str">
        <f>IF(J279="","", IFERROR(VLOOKUP(J279, Hidden_Data!M:N, 2, FALSE), "0"))</f>
        <v/>
      </c>
      <c r="N279" t="str">
        <f>IF(M279="","", IFERROR(VLOOKUP(M279, Hidden_Data!M:N, 2, FALSE), "0"))</f>
        <v/>
      </c>
      <c r="Q279" t="str">
        <f>IF(P279="","", IFERROR(VLOOKUP(P279, Hidden_Data!M:N, 2, FALSE), "0"))</f>
        <v/>
      </c>
      <c r="T279" t="str">
        <f t="shared" si="12"/>
        <v/>
      </c>
      <c r="U279" t="str">
        <f t="shared" si="13"/>
        <v/>
      </c>
      <c r="V279" t="str">
        <f t="shared" si="14"/>
        <v/>
      </c>
    </row>
    <row r="280" spans="1:22" x14ac:dyDescent="0.25">
      <c r="A280" t="str">
        <f>IF('Equipment Information'!A280="","", 'Equipment Information'!A280)</f>
        <v/>
      </c>
      <c r="B280" t="str">
        <f>IF('Equipment Information'!B280="","", 'Equipment Information'!B280)</f>
        <v/>
      </c>
      <c r="C280" t="str">
        <f>IF('Equipment Information'!C280="","", 'Equipment Information'!C280)</f>
        <v/>
      </c>
      <c r="E280" t="str">
        <f>IF(D280="","", IFERROR(VLOOKUP(D280, Hidden_Data!M:N, 2, FALSE), "0"))</f>
        <v/>
      </c>
      <c r="H280" t="str">
        <f>IF(G280="","", IFERROR(VLOOKUP(G280, Hidden_Data!M:N, 2, FALSE), "0"))</f>
        <v/>
      </c>
      <c r="K280" t="str">
        <f>IF(J280="","", IFERROR(VLOOKUP(J280, Hidden_Data!M:N, 2, FALSE), "0"))</f>
        <v/>
      </c>
      <c r="N280" t="str">
        <f>IF(M280="","", IFERROR(VLOOKUP(M280, Hidden_Data!M:N, 2, FALSE), "0"))</f>
        <v/>
      </c>
      <c r="Q280" t="str">
        <f>IF(P280="","", IFERROR(VLOOKUP(P280, Hidden_Data!M:N, 2, FALSE), "0"))</f>
        <v/>
      </c>
      <c r="T280" t="str">
        <f t="shared" si="12"/>
        <v/>
      </c>
      <c r="U280" t="str">
        <f t="shared" si="13"/>
        <v/>
      </c>
      <c r="V280" t="str">
        <f t="shared" si="14"/>
        <v/>
      </c>
    </row>
    <row r="281" spans="1:22" x14ac:dyDescent="0.25">
      <c r="A281" t="str">
        <f>IF('Equipment Information'!A281="","", 'Equipment Information'!A281)</f>
        <v/>
      </c>
      <c r="B281" t="str">
        <f>IF('Equipment Information'!B281="","", 'Equipment Information'!B281)</f>
        <v/>
      </c>
      <c r="C281" t="str">
        <f>IF('Equipment Information'!C281="","", 'Equipment Information'!C281)</f>
        <v/>
      </c>
      <c r="E281" t="str">
        <f>IF(D281="","", IFERROR(VLOOKUP(D281, Hidden_Data!M:N, 2, FALSE), "0"))</f>
        <v/>
      </c>
      <c r="H281" t="str">
        <f>IF(G281="","", IFERROR(VLOOKUP(G281, Hidden_Data!M:N, 2, FALSE), "0"))</f>
        <v/>
      </c>
      <c r="K281" t="str">
        <f>IF(J281="","", IFERROR(VLOOKUP(J281, Hidden_Data!M:N, 2, FALSE), "0"))</f>
        <v/>
      </c>
      <c r="N281" t="str">
        <f>IF(M281="","", IFERROR(VLOOKUP(M281, Hidden_Data!M:N, 2, FALSE), "0"))</f>
        <v/>
      </c>
      <c r="Q281" t="str">
        <f>IF(P281="","", IFERROR(VLOOKUP(P281, Hidden_Data!M:N, 2, FALSE), "0"))</f>
        <v/>
      </c>
      <c r="T281" t="str">
        <f t="shared" si="12"/>
        <v/>
      </c>
      <c r="U281" t="str">
        <f t="shared" si="13"/>
        <v/>
      </c>
      <c r="V281" t="str">
        <f t="shared" si="14"/>
        <v/>
      </c>
    </row>
    <row r="282" spans="1:22" x14ac:dyDescent="0.25">
      <c r="A282" t="str">
        <f>IF('Equipment Information'!A282="","", 'Equipment Information'!A282)</f>
        <v/>
      </c>
      <c r="B282" t="str">
        <f>IF('Equipment Information'!B282="","", 'Equipment Information'!B282)</f>
        <v/>
      </c>
      <c r="C282" t="str">
        <f>IF('Equipment Information'!C282="","", 'Equipment Information'!C282)</f>
        <v/>
      </c>
      <c r="E282" t="str">
        <f>IF(D282="","", IFERROR(VLOOKUP(D282, Hidden_Data!M:N, 2, FALSE), "0"))</f>
        <v/>
      </c>
      <c r="H282" t="str">
        <f>IF(G282="","", IFERROR(VLOOKUP(G282, Hidden_Data!M:N, 2, FALSE), "0"))</f>
        <v/>
      </c>
      <c r="K282" t="str">
        <f>IF(J282="","", IFERROR(VLOOKUP(J282, Hidden_Data!M:N, 2, FALSE), "0"))</f>
        <v/>
      </c>
      <c r="N282" t="str">
        <f>IF(M282="","", IFERROR(VLOOKUP(M282, Hidden_Data!M:N, 2, FALSE), "0"))</f>
        <v/>
      </c>
      <c r="Q282" t="str">
        <f>IF(P282="","", IFERROR(VLOOKUP(P282, Hidden_Data!M:N, 2, FALSE), "0"))</f>
        <v/>
      </c>
      <c r="T282" t="str">
        <f t="shared" si="12"/>
        <v/>
      </c>
      <c r="U282" t="str">
        <f t="shared" si="13"/>
        <v/>
      </c>
      <c r="V282" t="str">
        <f t="shared" si="14"/>
        <v/>
      </c>
    </row>
    <row r="283" spans="1:22" x14ac:dyDescent="0.25">
      <c r="A283" t="str">
        <f>IF('Equipment Information'!A283="","", 'Equipment Information'!A283)</f>
        <v/>
      </c>
      <c r="B283" t="str">
        <f>IF('Equipment Information'!B283="","", 'Equipment Information'!B283)</f>
        <v/>
      </c>
      <c r="C283" t="str">
        <f>IF('Equipment Information'!C283="","", 'Equipment Information'!C283)</f>
        <v/>
      </c>
      <c r="E283" t="str">
        <f>IF(D283="","", IFERROR(VLOOKUP(D283, Hidden_Data!M:N, 2, FALSE), "0"))</f>
        <v/>
      </c>
      <c r="H283" t="str">
        <f>IF(G283="","", IFERROR(VLOOKUP(G283, Hidden_Data!M:N, 2, FALSE), "0"))</f>
        <v/>
      </c>
      <c r="K283" t="str">
        <f>IF(J283="","", IFERROR(VLOOKUP(J283, Hidden_Data!M:N, 2, FALSE), "0"))</f>
        <v/>
      </c>
      <c r="N283" t="str">
        <f>IF(M283="","", IFERROR(VLOOKUP(M283, Hidden_Data!M:N, 2, FALSE), "0"))</f>
        <v/>
      </c>
      <c r="Q283" t="str">
        <f>IF(P283="","", IFERROR(VLOOKUP(P283, Hidden_Data!M:N, 2, FALSE), "0"))</f>
        <v/>
      </c>
      <c r="T283" t="str">
        <f t="shared" si="12"/>
        <v/>
      </c>
      <c r="U283" t="str">
        <f t="shared" si="13"/>
        <v/>
      </c>
      <c r="V283" t="str">
        <f t="shared" si="14"/>
        <v/>
      </c>
    </row>
    <row r="284" spans="1:22" x14ac:dyDescent="0.25">
      <c r="A284" t="str">
        <f>IF('Equipment Information'!A284="","", 'Equipment Information'!A284)</f>
        <v/>
      </c>
      <c r="B284" t="str">
        <f>IF('Equipment Information'!B284="","", 'Equipment Information'!B284)</f>
        <v/>
      </c>
      <c r="C284" t="str">
        <f>IF('Equipment Information'!C284="","", 'Equipment Information'!C284)</f>
        <v/>
      </c>
      <c r="E284" t="str">
        <f>IF(D284="","", IFERROR(VLOOKUP(D284, Hidden_Data!M:N, 2, FALSE), "0"))</f>
        <v/>
      </c>
      <c r="H284" t="str">
        <f>IF(G284="","", IFERROR(VLOOKUP(G284, Hidden_Data!M:N, 2, FALSE), "0"))</f>
        <v/>
      </c>
      <c r="K284" t="str">
        <f>IF(J284="","", IFERROR(VLOOKUP(J284, Hidden_Data!M:N, 2, FALSE), "0"))</f>
        <v/>
      </c>
      <c r="N284" t="str">
        <f>IF(M284="","", IFERROR(VLOOKUP(M284, Hidden_Data!M:N, 2, FALSE), "0"))</f>
        <v/>
      </c>
      <c r="Q284" t="str">
        <f>IF(P284="","", IFERROR(VLOOKUP(P284, Hidden_Data!M:N, 2, FALSE), "0"))</f>
        <v/>
      </c>
      <c r="T284" t="str">
        <f t="shared" si="12"/>
        <v/>
      </c>
      <c r="U284" t="str">
        <f t="shared" si="13"/>
        <v/>
      </c>
      <c r="V284" t="str">
        <f t="shared" si="14"/>
        <v/>
      </c>
    </row>
    <row r="285" spans="1:22" x14ac:dyDescent="0.25">
      <c r="A285" t="str">
        <f>IF('Equipment Information'!A285="","", 'Equipment Information'!A285)</f>
        <v/>
      </c>
      <c r="B285" t="str">
        <f>IF('Equipment Information'!B285="","", 'Equipment Information'!B285)</f>
        <v/>
      </c>
      <c r="C285" t="str">
        <f>IF('Equipment Information'!C285="","", 'Equipment Information'!C285)</f>
        <v/>
      </c>
      <c r="E285" t="str">
        <f>IF(D285="","", IFERROR(VLOOKUP(D285, Hidden_Data!M:N, 2, FALSE), "0"))</f>
        <v/>
      </c>
      <c r="H285" t="str">
        <f>IF(G285="","", IFERROR(VLOOKUP(G285, Hidden_Data!M:N, 2, FALSE), "0"))</f>
        <v/>
      </c>
      <c r="K285" t="str">
        <f>IF(J285="","", IFERROR(VLOOKUP(J285, Hidden_Data!M:N, 2, FALSE), "0"))</f>
        <v/>
      </c>
      <c r="N285" t="str">
        <f>IF(M285="","", IFERROR(VLOOKUP(M285, Hidden_Data!M:N, 2, FALSE), "0"))</f>
        <v/>
      </c>
      <c r="Q285" t="str">
        <f>IF(P285="","", IFERROR(VLOOKUP(P285, Hidden_Data!M:N, 2, FALSE), "0"))</f>
        <v/>
      </c>
      <c r="T285" t="str">
        <f t="shared" si="12"/>
        <v/>
      </c>
      <c r="U285" t="str">
        <f t="shared" si="13"/>
        <v/>
      </c>
      <c r="V285" t="str">
        <f t="shared" si="14"/>
        <v/>
      </c>
    </row>
    <row r="286" spans="1:22" x14ac:dyDescent="0.25">
      <c r="A286" t="str">
        <f>IF('Equipment Information'!A286="","", 'Equipment Information'!A286)</f>
        <v/>
      </c>
      <c r="B286" t="str">
        <f>IF('Equipment Information'!B286="","", 'Equipment Information'!B286)</f>
        <v/>
      </c>
      <c r="C286" t="str">
        <f>IF('Equipment Information'!C286="","", 'Equipment Information'!C286)</f>
        <v/>
      </c>
      <c r="E286" t="str">
        <f>IF(D286="","", IFERROR(VLOOKUP(D286, Hidden_Data!M:N, 2, FALSE), "0"))</f>
        <v/>
      </c>
      <c r="H286" t="str">
        <f>IF(G286="","", IFERROR(VLOOKUP(G286, Hidden_Data!M:N, 2, FALSE), "0"))</f>
        <v/>
      </c>
      <c r="K286" t="str">
        <f>IF(J286="","", IFERROR(VLOOKUP(J286, Hidden_Data!M:N, 2, FALSE), "0"))</f>
        <v/>
      </c>
      <c r="N286" t="str">
        <f>IF(M286="","", IFERROR(VLOOKUP(M286, Hidden_Data!M:N, 2, FALSE), "0"))</f>
        <v/>
      </c>
      <c r="Q286" t="str">
        <f>IF(P286="","", IFERROR(VLOOKUP(P286, Hidden_Data!M:N, 2, FALSE), "0"))</f>
        <v/>
      </c>
      <c r="T286" t="str">
        <f t="shared" si="12"/>
        <v/>
      </c>
      <c r="U286" t="str">
        <f t="shared" si="13"/>
        <v/>
      </c>
      <c r="V286" t="str">
        <f t="shared" si="14"/>
        <v/>
      </c>
    </row>
    <row r="287" spans="1:22" x14ac:dyDescent="0.25">
      <c r="A287" t="str">
        <f>IF('Equipment Information'!A287="","", 'Equipment Information'!A287)</f>
        <v/>
      </c>
      <c r="B287" t="str">
        <f>IF('Equipment Information'!B287="","", 'Equipment Information'!B287)</f>
        <v/>
      </c>
      <c r="C287" t="str">
        <f>IF('Equipment Information'!C287="","", 'Equipment Information'!C287)</f>
        <v/>
      </c>
      <c r="E287" t="str">
        <f>IF(D287="","", IFERROR(VLOOKUP(D287, Hidden_Data!M:N, 2, FALSE), "0"))</f>
        <v/>
      </c>
      <c r="H287" t="str">
        <f>IF(G287="","", IFERROR(VLOOKUP(G287, Hidden_Data!M:N, 2, FALSE), "0"))</f>
        <v/>
      </c>
      <c r="K287" t="str">
        <f>IF(J287="","", IFERROR(VLOOKUP(J287, Hidden_Data!M:N, 2, FALSE), "0"))</f>
        <v/>
      </c>
      <c r="N287" t="str">
        <f>IF(M287="","", IFERROR(VLOOKUP(M287, Hidden_Data!M:N, 2, FALSE), "0"))</f>
        <v/>
      </c>
      <c r="Q287" t="str">
        <f>IF(P287="","", IFERROR(VLOOKUP(P287, Hidden_Data!M:N, 2, FALSE), "0"))</f>
        <v/>
      </c>
      <c r="T287" t="str">
        <f t="shared" si="12"/>
        <v/>
      </c>
      <c r="U287" t="str">
        <f t="shared" si="13"/>
        <v/>
      </c>
      <c r="V287" t="str">
        <f t="shared" si="14"/>
        <v/>
      </c>
    </row>
    <row r="288" spans="1:22" x14ac:dyDescent="0.25">
      <c r="A288" t="str">
        <f>IF('Equipment Information'!A288="","", 'Equipment Information'!A288)</f>
        <v/>
      </c>
      <c r="B288" t="str">
        <f>IF('Equipment Information'!B288="","", 'Equipment Information'!B288)</f>
        <v/>
      </c>
      <c r="C288" t="str">
        <f>IF('Equipment Information'!C288="","", 'Equipment Information'!C288)</f>
        <v/>
      </c>
      <c r="E288" t="str">
        <f>IF(D288="","", IFERROR(VLOOKUP(D288, Hidden_Data!M:N, 2, FALSE), "0"))</f>
        <v/>
      </c>
      <c r="H288" t="str">
        <f>IF(G288="","", IFERROR(VLOOKUP(G288, Hidden_Data!M:N, 2, FALSE), "0"))</f>
        <v/>
      </c>
      <c r="K288" t="str">
        <f>IF(J288="","", IFERROR(VLOOKUP(J288, Hidden_Data!M:N, 2, FALSE), "0"))</f>
        <v/>
      </c>
      <c r="N288" t="str">
        <f>IF(M288="","", IFERROR(VLOOKUP(M288, Hidden_Data!M:N, 2, FALSE), "0"))</f>
        <v/>
      </c>
      <c r="Q288" t="str">
        <f>IF(P288="","", IFERROR(VLOOKUP(P288, Hidden_Data!M:N, 2, FALSE), "0"))</f>
        <v/>
      </c>
      <c r="T288" t="str">
        <f t="shared" si="12"/>
        <v/>
      </c>
      <c r="U288" t="str">
        <f t="shared" si="13"/>
        <v/>
      </c>
      <c r="V288" t="str">
        <f t="shared" si="14"/>
        <v/>
      </c>
    </row>
    <row r="289" spans="1:22" x14ac:dyDescent="0.25">
      <c r="A289" t="str">
        <f>IF('Equipment Information'!A289="","", 'Equipment Information'!A289)</f>
        <v/>
      </c>
      <c r="B289" t="str">
        <f>IF('Equipment Information'!B289="","", 'Equipment Information'!B289)</f>
        <v/>
      </c>
      <c r="C289" t="str">
        <f>IF('Equipment Information'!C289="","", 'Equipment Information'!C289)</f>
        <v/>
      </c>
      <c r="E289" t="str">
        <f>IF(D289="","", IFERROR(VLOOKUP(D289, Hidden_Data!M:N, 2, FALSE), "0"))</f>
        <v/>
      </c>
      <c r="H289" t="str">
        <f>IF(G289="","", IFERROR(VLOOKUP(G289, Hidden_Data!M:N, 2, FALSE), "0"))</f>
        <v/>
      </c>
      <c r="K289" t="str">
        <f>IF(J289="","", IFERROR(VLOOKUP(J289, Hidden_Data!M:N, 2, FALSE), "0"))</f>
        <v/>
      </c>
      <c r="N289" t="str">
        <f>IF(M289="","", IFERROR(VLOOKUP(M289, Hidden_Data!M:N, 2, FALSE), "0"))</f>
        <v/>
      </c>
      <c r="Q289" t="str">
        <f>IF(P289="","", IFERROR(VLOOKUP(P289, Hidden_Data!M:N, 2, FALSE), "0"))</f>
        <v/>
      </c>
      <c r="T289" t="str">
        <f t="shared" si="12"/>
        <v/>
      </c>
      <c r="U289" t="str">
        <f t="shared" si="13"/>
        <v/>
      </c>
      <c r="V289" t="str">
        <f t="shared" si="14"/>
        <v/>
      </c>
    </row>
    <row r="290" spans="1:22" x14ac:dyDescent="0.25">
      <c r="A290" t="str">
        <f>IF('Equipment Information'!A290="","", 'Equipment Information'!A290)</f>
        <v/>
      </c>
      <c r="B290" t="str">
        <f>IF('Equipment Information'!B290="","", 'Equipment Information'!B290)</f>
        <v/>
      </c>
      <c r="C290" t="str">
        <f>IF('Equipment Information'!C290="","", 'Equipment Information'!C290)</f>
        <v/>
      </c>
      <c r="E290" t="str">
        <f>IF(D290="","", IFERROR(VLOOKUP(D290, Hidden_Data!M:N, 2, FALSE), "0"))</f>
        <v/>
      </c>
      <c r="H290" t="str">
        <f>IF(G290="","", IFERROR(VLOOKUP(G290, Hidden_Data!M:N, 2, FALSE), "0"))</f>
        <v/>
      </c>
      <c r="K290" t="str">
        <f>IF(J290="","", IFERROR(VLOOKUP(J290, Hidden_Data!M:N, 2, FALSE), "0"))</f>
        <v/>
      </c>
      <c r="N290" t="str">
        <f>IF(M290="","", IFERROR(VLOOKUP(M290, Hidden_Data!M:N, 2, FALSE), "0"))</f>
        <v/>
      </c>
      <c r="Q290" t="str">
        <f>IF(P290="","", IFERROR(VLOOKUP(P290, Hidden_Data!M:N, 2, FALSE), "0"))</f>
        <v/>
      </c>
      <c r="T290" t="str">
        <f t="shared" si="12"/>
        <v/>
      </c>
      <c r="U290" t="str">
        <f t="shared" si="13"/>
        <v/>
      </c>
      <c r="V290" t="str">
        <f t="shared" si="14"/>
        <v/>
      </c>
    </row>
    <row r="291" spans="1:22" x14ac:dyDescent="0.25">
      <c r="A291" t="str">
        <f>IF('Equipment Information'!A291="","", 'Equipment Information'!A291)</f>
        <v/>
      </c>
      <c r="B291" t="str">
        <f>IF('Equipment Information'!B291="","", 'Equipment Information'!B291)</f>
        <v/>
      </c>
      <c r="C291" t="str">
        <f>IF('Equipment Information'!C291="","", 'Equipment Information'!C291)</f>
        <v/>
      </c>
      <c r="E291" t="str">
        <f>IF(D291="","", IFERROR(VLOOKUP(D291, Hidden_Data!M:N, 2, FALSE), "0"))</f>
        <v/>
      </c>
      <c r="H291" t="str">
        <f>IF(G291="","", IFERROR(VLOOKUP(G291, Hidden_Data!M:N, 2, FALSE), "0"))</f>
        <v/>
      </c>
      <c r="K291" t="str">
        <f>IF(J291="","", IFERROR(VLOOKUP(J291, Hidden_Data!M:N, 2, FALSE), "0"))</f>
        <v/>
      </c>
      <c r="N291" t="str">
        <f>IF(M291="","", IFERROR(VLOOKUP(M291, Hidden_Data!M:N, 2, FALSE), "0"))</f>
        <v/>
      </c>
      <c r="Q291" t="str">
        <f>IF(P291="","", IFERROR(VLOOKUP(P291, Hidden_Data!M:N, 2, FALSE), "0"))</f>
        <v/>
      </c>
      <c r="T291" t="str">
        <f t="shared" si="12"/>
        <v/>
      </c>
      <c r="U291" t="str">
        <f t="shared" si="13"/>
        <v/>
      </c>
      <c r="V291" t="str">
        <f t="shared" si="14"/>
        <v/>
      </c>
    </row>
    <row r="292" spans="1:22" x14ac:dyDescent="0.25">
      <c r="A292" t="str">
        <f>IF('Equipment Information'!A292="","", 'Equipment Information'!A292)</f>
        <v/>
      </c>
      <c r="B292" t="str">
        <f>IF('Equipment Information'!B292="","", 'Equipment Information'!B292)</f>
        <v/>
      </c>
      <c r="C292" t="str">
        <f>IF('Equipment Information'!C292="","", 'Equipment Information'!C292)</f>
        <v/>
      </c>
      <c r="E292" t="str">
        <f>IF(D292="","", IFERROR(VLOOKUP(D292, Hidden_Data!M:N, 2, FALSE), "0"))</f>
        <v/>
      </c>
      <c r="H292" t="str">
        <f>IF(G292="","", IFERROR(VLOOKUP(G292, Hidden_Data!M:N, 2, FALSE), "0"))</f>
        <v/>
      </c>
      <c r="K292" t="str">
        <f>IF(J292="","", IFERROR(VLOOKUP(J292, Hidden_Data!M:N, 2, FALSE), "0"))</f>
        <v/>
      </c>
      <c r="N292" t="str">
        <f>IF(M292="","", IFERROR(VLOOKUP(M292, Hidden_Data!M:N, 2, FALSE), "0"))</f>
        <v/>
      </c>
      <c r="Q292" t="str">
        <f>IF(P292="","", IFERROR(VLOOKUP(P292, Hidden_Data!M:N, 2, FALSE), "0"))</f>
        <v/>
      </c>
      <c r="T292" t="str">
        <f t="shared" si="12"/>
        <v/>
      </c>
      <c r="U292" t="str">
        <f t="shared" si="13"/>
        <v/>
      </c>
      <c r="V292" t="str">
        <f t="shared" si="14"/>
        <v/>
      </c>
    </row>
    <row r="293" spans="1:22" x14ac:dyDescent="0.25">
      <c r="A293" t="str">
        <f>IF('Equipment Information'!A293="","", 'Equipment Information'!A293)</f>
        <v/>
      </c>
      <c r="B293" t="str">
        <f>IF('Equipment Information'!B293="","", 'Equipment Information'!B293)</f>
        <v/>
      </c>
      <c r="C293" t="str">
        <f>IF('Equipment Information'!C293="","", 'Equipment Information'!C293)</f>
        <v/>
      </c>
      <c r="E293" t="str">
        <f>IF(D293="","", IFERROR(VLOOKUP(D293, Hidden_Data!M:N, 2, FALSE), "0"))</f>
        <v/>
      </c>
      <c r="H293" t="str">
        <f>IF(G293="","", IFERROR(VLOOKUP(G293, Hidden_Data!M:N, 2, FALSE), "0"))</f>
        <v/>
      </c>
      <c r="K293" t="str">
        <f>IF(J293="","", IFERROR(VLOOKUP(J293, Hidden_Data!M:N, 2, FALSE), "0"))</f>
        <v/>
      </c>
      <c r="N293" t="str">
        <f>IF(M293="","", IFERROR(VLOOKUP(M293, Hidden_Data!M:N, 2, FALSE), "0"))</f>
        <v/>
      </c>
      <c r="Q293" t="str">
        <f>IF(P293="","", IFERROR(VLOOKUP(P293, Hidden_Data!M:N, 2, FALSE), "0"))</f>
        <v/>
      </c>
      <c r="T293" t="str">
        <f t="shared" si="12"/>
        <v/>
      </c>
      <c r="U293" t="str">
        <f t="shared" si="13"/>
        <v/>
      </c>
      <c r="V293" t="str">
        <f t="shared" si="14"/>
        <v/>
      </c>
    </row>
    <row r="294" spans="1:22" x14ac:dyDescent="0.25">
      <c r="A294" t="str">
        <f>IF('Equipment Information'!A294="","", 'Equipment Information'!A294)</f>
        <v/>
      </c>
      <c r="B294" t="str">
        <f>IF('Equipment Information'!B294="","", 'Equipment Information'!B294)</f>
        <v/>
      </c>
      <c r="C294" t="str">
        <f>IF('Equipment Information'!C294="","", 'Equipment Information'!C294)</f>
        <v/>
      </c>
      <c r="E294" t="str">
        <f>IF(D294="","", IFERROR(VLOOKUP(D294, Hidden_Data!M:N, 2, FALSE), "0"))</f>
        <v/>
      </c>
      <c r="H294" t="str">
        <f>IF(G294="","", IFERROR(VLOOKUP(G294, Hidden_Data!M:N, 2, FALSE), "0"))</f>
        <v/>
      </c>
      <c r="K294" t="str">
        <f>IF(J294="","", IFERROR(VLOOKUP(J294, Hidden_Data!M:N, 2, FALSE), "0"))</f>
        <v/>
      </c>
      <c r="N294" t="str">
        <f>IF(M294="","", IFERROR(VLOOKUP(M294, Hidden_Data!M:N, 2, FALSE), "0"))</f>
        <v/>
      </c>
      <c r="Q294" t="str">
        <f>IF(P294="","", IFERROR(VLOOKUP(P294, Hidden_Data!M:N, 2, FALSE), "0"))</f>
        <v/>
      </c>
      <c r="T294" t="str">
        <f t="shared" si="12"/>
        <v/>
      </c>
      <c r="U294" t="str">
        <f t="shared" si="13"/>
        <v/>
      </c>
      <c r="V294" t="str">
        <f t="shared" si="14"/>
        <v/>
      </c>
    </row>
    <row r="295" spans="1:22" x14ac:dyDescent="0.25">
      <c r="A295" t="str">
        <f>IF('Equipment Information'!A295="","", 'Equipment Information'!A295)</f>
        <v/>
      </c>
      <c r="B295" t="str">
        <f>IF('Equipment Information'!B295="","", 'Equipment Information'!B295)</f>
        <v/>
      </c>
      <c r="C295" t="str">
        <f>IF('Equipment Information'!C295="","", 'Equipment Information'!C295)</f>
        <v/>
      </c>
      <c r="E295" t="str">
        <f>IF(D295="","", IFERROR(VLOOKUP(D295, Hidden_Data!M:N, 2, FALSE), "0"))</f>
        <v/>
      </c>
      <c r="H295" t="str">
        <f>IF(G295="","", IFERROR(VLOOKUP(G295, Hidden_Data!M:N, 2, FALSE), "0"))</f>
        <v/>
      </c>
      <c r="K295" t="str">
        <f>IF(J295="","", IFERROR(VLOOKUP(J295, Hidden_Data!M:N, 2, FALSE), "0"))</f>
        <v/>
      </c>
      <c r="N295" t="str">
        <f>IF(M295="","", IFERROR(VLOOKUP(M295, Hidden_Data!M:N, 2, FALSE), "0"))</f>
        <v/>
      </c>
      <c r="Q295" t="str">
        <f>IF(P295="","", IFERROR(VLOOKUP(P295, Hidden_Data!M:N, 2, FALSE), "0"))</f>
        <v/>
      </c>
      <c r="T295" t="str">
        <f t="shared" si="12"/>
        <v/>
      </c>
      <c r="U295" t="str">
        <f t="shared" si="13"/>
        <v/>
      </c>
      <c r="V295" t="str">
        <f t="shared" si="14"/>
        <v/>
      </c>
    </row>
    <row r="296" spans="1:22" x14ac:dyDescent="0.25">
      <c r="A296" t="str">
        <f>IF('Equipment Information'!A296="","", 'Equipment Information'!A296)</f>
        <v/>
      </c>
      <c r="B296" t="str">
        <f>IF('Equipment Information'!B296="","", 'Equipment Information'!B296)</f>
        <v/>
      </c>
      <c r="C296" t="str">
        <f>IF('Equipment Information'!C296="","", 'Equipment Information'!C296)</f>
        <v/>
      </c>
      <c r="E296" t="str">
        <f>IF(D296="","", IFERROR(VLOOKUP(D296, Hidden_Data!M:N, 2, FALSE), "0"))</f>
        <v/>
      </c>
      <c r="H296" t="str">
        <f>IF(G296="","", IFERROR(VLOOKUP(G296, Hidden_Data!M:N, 2, FALSE), "0"))</f>
        <v/>
      </c>
      <c r="K296" t="str">
        <f>IF(J296="","", IFERROR(VLOOKUP(J296, Hidden_Data!M:N, 2, FALSE), "0"))</f>
        <v/>
      </c>
      <c r="N296" t="str">
        <f>IF(M296="","", IFERROR(VLOOKUP(M296, Hidden_Data!M:N, 2, FALSE), "0"))</f>
        <v/>
      </c>
      <c r="Q296" t="str">
        <f>IF(P296="","", IFERROR(VLOOKUP(P296, Hidden_Data!M:N, 2, FALSE), "0"))</f>
        <v/>
      </c>
      <c r="T296" t="str">
        <f t="shared" si="12"/>
        <v/>
      </c>
      <c r="U296" t="str">
        <f t="shared" si="13"/>
        <v/>
      </c>
      <c r="V296" t="str">
        <f t="shared" si="14"/>
        <v/>
      </c>
    </row>
    <row r="297" spans="1:22" x14ac:dyDescent="0.25">
      <c r="A297" t="str">
        <f>IF('Equipment Information'!A297="","", 'Equipment Information'!A297)</f>
        <v/>
      </c>
      <c r="B297" t="str">
        <f>IF('Equipment Information'!B297="","", 'Equipment Information'!B297)</f>
        <v/>
      </c>
      <c r="C297" t="str">
        <f>IF('Equipment Information'!C297="","", 'Equipment Information'!C297)</f>
        <v/>
      </c>
      <c r="E297" t="str">
        <f>IF(D297="","", IFERROR(VLOOKUP(D297, Hidden_Data!M:N, 2, FALSE), "0"))</f>
        <v/>
      </c>
      <c r="H297" t="str">
        <f>IF(G297="","", IFERROR(VLOOKUP(G297, Hidden_Data!M:N, 2, FALSE), "0"))</f>
        <v/>
      </c>
      <c r="K297" t="str">
        <f>IF(J297="","", IFERROR(VLOOKUP(J297, Hidden_Data!M:N, 2, FALSE), "0"))</f>
        <v/>
      </c>
      <c r="N297" t="str">
        <f>IF(M297="","", IFERROR(VLOOKUP(M297, Hidden_Data!M:N, 2, FALSE), "0"))</f>
        <v/>
      </c>
      <c r="Q297" t="str">
        <f>IF(P297="","", IFERROR(VLOOKUP(P297, Hidden_Data!M:N, 2, FALSE), "0"))</f>
        <v/>
      </c>
      <c r="T297" t="str">
        <f t="shared" si="12"/>
        <v/>
      </c>
      <c r="U297" t="str">
        <f t="shared" si="13"/>
        <v/>
      </c>
      <c r="V297" t="str">
        <f t="shared" si="14"/>
        <v/>
      </c>
    </row>
    <row r="298" spans="1:22" x14ac:dyDescent="0.25">
      <c r="A298" t="str">
        <f>IF('Equipment Information'!A298="","", 'Equipment Information'!A298)</f>
        <v/>
      </c>
      <c r="B298" t="str">
        <f>IF('Equipment Information'!B298="","", 'Equipment Information'!B298)</f>
        <v/>
      </c>
      <c r="C298" t="str">
        <f>IF('Equipment Information'!C298="","", 'Equipment Information'!C298)</f>
        <v/>
      </c>
      <c r="E298" t="str">
        <f>IF(D298="","", IFERROR(VLOOKUP(D298, Hidden_Data!M:N, 2, FALSE), "0"))</f>
        <v/>
      </c>
      <c r="H298" t="str">
        <f>IF(G298="","", IFERROR(VLOOKUP(G298, Hidden_Data!M:N, 2, FALSE), "0"))</f>
        <v/>
      </c>
      <c r="K298" t="str">
        <f>IF(J298="","", IFERROR(VLOOKUP(J298, Hidden_Data!M:N, 2, FALSE), "0"))</f>
        <v/>
      </c>
      <c r="N298" t="str">
        <f>IF(M298="","", IFERROR(VLOOKUP(M298, Hidden_Data!M:N, 2, FALSE), "0"))</f>
        <v/>
      </c>
      <c r="Q298" t="str">
        <f>IF(P298="","", IFERROR(VLOOKUP(P298, Hidden_Data!M:N, 2, FALSE), "0"))</f>
        <v/>
      </c>
      <c r="T298" t="str">
        <f t="shared" si="12"/>
        <v/>
      </c>
      <c r="U298" t="str">
        <f t="shared" si="13"/>
        <v/>
      </c>
      <c r="V298" t="str">
        <f t="shared" si="14"/>
        <v/>
      </c>
    </row>
    <row r="299" spans="1:22" x14ac:dyDescent="0.25">
      <c r="A299" t="str">
        <f>IF('Equipment Information'!A299="","", 'Equipment Information'!A299)</f>
        <v/>
      </c>
      <c r="B299" t="str">
        <f>IF('Equipment Information'!B299="","", 'Equipment Information'!B299)</f>
        <v/>
      </c>
      <c r="C299" t="str">
        <f>IF('Equipment Information'!C299="","", 'Equipment Information'!C299)</f>
        <v/>
      </c>
      <c r="E299" t="str">
        <f>IF(D299="","", IFERROR(VLOOKUP(D299, Hidden_Data!M:N, 2, FALSE), "0"))</f>
        <v/>
      </c>
      <c r="H299" t="str">
        <f>IF(G299="","", IFERROR(VLOOKUP(G299, Hidden_Data!M:N, 2, FALSE), "0"))</f>
        <v/>
      </c>
      <c r="K299" t="str">
        <f>IF(J299="","", IFERROR(VLOOKUP(J299, Hidden_Data!M:N, 2, FALSE), "0"))</f>
        <v/>
      </c>
      <c r="N299" t="str">
        <f>IF(M299="","", IFERROR(VLOOKUP(M299, Hidden_Data!M:N, 2, FALSE), "0"))</f>
        <v/>
      </c>
      <c r="Q299" t="str">
        <f>IF(P299="","", IFERROR(VLOOKUP(P299, Hidden_Data!M:N, 2, FALSE), "0"))</f>
        <v/>
      </c>
      <c r="T299" t="str">
        <f t="shared" si="12"/>
        <v/>
      </c>
      <c r="U299" t="str">
        <f t="shared" si="13"/>
        <v/>
      </c>
      <c r="V299" t="str">
        <f t="shared" si="14"/>
        <v/>
      </c>
    </row>
    <row r="300" spans="1:22" x14ac:dyDescent="0.25">
      <c r="A300" t="str">
        <f>IF('Equipment Information'!A300="","", 'Equipment Information'!A300)</f>
        <v/>
      </c>
      <c r="B300" t="str">
        <f>IF('Equipment Information'!B300="","", 'Equipment Information'!B300)</f>
        <v/>
      </c>
      <c r="C300" t="str">
        <f>IF('Equipment Information'!C300="","", 'Equipment Information'!C300)</f>
        <v/>
      </c>
      <c r="E300" t="str">
        <f>IF(D300="","", IFERROR(VLOOKUP(D300, Hidden_Data!M:N, 2, FALSE), "0"))</f>
        <v/>
      </c>
      <c r="H300" t="str">
        <f>IF(G300="","", IFERROR(VLOOKUP(G300, Hidden_Data!M:N, 2, FALSE), "0"))</f>
        <v/>
      </c>
      <c r="K300" t="str">
        <f>IF(J300="","", IFERROR(VLOOKUP(J300, Hidden_Data!M:N, 2, FALSE), "0"))</f>
        <v/>
      </c>
      <c r="N300" t="str">
        <f>IF(M300="","", IFERROR(VLOOKUP(M300, Hidden_Data!M:N, 2, FALSE), "0"))</f>
        <v/>
      </c>
      <c r="Q300" t="str">
        <f>IF(P300="","", IFERROR(VLOOKUP(P300, Hidden_Data!M:N, 2, FALSE), "0"))</f>
        <v/>
      </c>
      <c r="T300" t="str">
        <f t="shared" si="12"/>
        <v/>
      </c>
      <c r="U300" t="str">
        <f t="shared" si="13"/>
        <v/>
      </c>
      <c r="V300" t="str">
        <f t="shared" si="14"/>
        <v/>
      </c>
    </row>
    <row r="301" spans="1:22" x14ac:dyDescent="0.25">
      <c r="A301" t="str">
        <f>IF('Equipment Information'!A301="","", 'Equipment Information'!A301)</f>
        <v/>
      </c>
      <c r="B301" t="str">
        <f>IF('Equipment Information'!B301="","", 'Equipment Information'!B301)</f>
        <v/>
      </c>
      <c r="C301" t="str">
        <f>IF('Equipment Information'!C301="","", 'Equipment Information'!C301)</f>
        <v/>
      </c>
      <c r="E301" t="str">
        <f>IF(D301="","", IFERROR(VLOOKUP(D301, Hidden_Data!M:N, 2, FALSE), "0"))</f>
        <v/>
      </c>
      <c r="H301" t="str">
        <f>IF(G301="","", IFERROR(VLOOKUP(G301, Hidden_Data!M:N, 2, FALSE), "0"))</f>
        <v/>
      </c>
      <c r="K301" t="str">
        <f>IF(J301="","", IFERROR(VLOOKUP(J301, Hidden_Data!M:N, 2, FALSE), "0"))</f>
        <v/>
      </c>
      <c r="N301" t="str">
        <f>IF(M301="","", IFERROR(VLOOKUP(M301, Hidden_Data!M:N, 2, FALSE), "0"))</f>
        <v/>
      </c>
      <c r="Q301" t="str">
        <f>IF(P301="","", IFERROR(VLOOKUP(P301, Hidden_Data!M:N, 2, FALSE), "0"))</f>
        <v/>
      </c>
      <c r="T301" t="str">
        <f t="shared" si="12"/>
        <v/>
      </c>
      <c r="U301" t="str">
        <f t="shared" si="13"/>
        <v/>
      </c>
      <c r="V301" t="str">
        <f t="shared" si="14"/>
        <v/>
      </c>
    </row>
    <row r="302" spans="1:22" x14ac:dyDescent="0.25">
      <c r="A302" t="str">
        <f>IF('Equipment Information'!A302="","", 'Equipment Information'!A302)</f>
        <v/>
      </c>
      <c r="B302" t="str">
        <f>IF('Equipment Information'!B302="","", 'Equipment Information'!B302)</f>
        <v/>
      </c>
      <c r="C302" t="str">
        <f>IF('Equipment Information'!C302="","", 'Equipment Information'!C302)</f>
        <v/>
      </c>
      <c r="E302" t="str">
        <f>IF(D302="","", IFERROR(VLOOKUP(D302, Hidden_Data!M:N, 2, FALSE), "0"))</f>
        <v/>
      </c>
      <c r="H302" t="str">
        <f>IF(G302="","", IFERROR(VLOOKUP(G302, Hidden_Data!M:N, 2, FALSE), "0"))</f>
        <v/>
      </c>
      <c r="K302" t="str">
        <f>IF(J302="","", IFERROR(VLOOKUP(J302, Hidden_Data!M:N, 2, FALSE), "0"))</f>
        <v/>
      </c>
      <c r="N302" t="str">
        <f>IF(M302="","", IFERROR(VLOOKUP(M302, Hidden_Data!M:N, 2, FALSE), "0"))</f>
        <v/>
      </c>
      <c r="Q302" t="str">
        <f>IF(P302="","", IFERROR(VLOOKUP(P302, Hidden_Data!M:N, 2, FALSE), "0"))</f>
        <v/>
      </c>
      <c r="T302" t="str">
        <f t="shared" si="12"/>
        <v/>
      </c>
      <c r="U302" t="str">
        <f t="shared" si="13"/>
        <v/>
      </c>
      <c r="V302" t="str">
        <f t="shared" si="14"/>
        <v/>
      </c>
    </row>
    <row r="303" spans="1:22" x14ac:dyDescent="0.25">
      <c r="A303" t="str">
        <f>IF('Equipment Information'!A303="","", 'Equipment Information'!A303)</f>
        <v/>
      </c>
      <c r="B303" t="str">
        <f>IF('Equipment Information'!B303="","", 'Equipment Information'!B303)</f>
        <v/>
      </c>
      <c r="C303" t="str">
        <f>IF('Equipment Information'!C303="","", 'Equipment Information'!C303)</f>
        <v/>
      </c>
      <c r="E303" t="str">
        <f>IF(D303="","", IFERROR(VLOOKUP(D303, Hidden_Data!M:N, 2, FALSE), "0"))</f>
        <v/>
      </c>
      <c r="H303" t="str">
        <f>IF(G303="","", IFERROR(VLOOKUP(G303, Hidden_Data!M:N, 2, FALSE), "0"))</f>
        <v/>
      </c>
      <c r="K303" t="str">
        <f>IF(J303="","", IFERROR(VLOOKUP(J303, Hidden_Data!M:N, 2, FALSE), "0"))</f>
        <v/>
      </c>
      <c r="N303" t="str">
        <f>IF(M303="","", IFERROR(VLOOKUP(M303, Hidden_Data!M:N, 2, FALSE), "0"))</f>
        <v/>
      </c>
      <c r="Q303" t="str">
        <f>IF(P303="","", IFERROR(VLOOKUP(P303, Hidden_Data!M:N, 2, FALSE), "0"))</f>
        <v/>
      </c>
      <c r="T303" t="str">
        <f t="shared" si="12"/>
        <v/>
      </c>
      <c r="U303" t="str">
        <f t="shared" si="13"/>
        <v/>
      </c>
      <c r="V303" t="str">
        <f t="shared" si="14"/>
        <v/>
      </c>
    </row>
    <row r="304" spans="1:22" x14ac:dyDescent="0.25">
      <c r="A304" t="str">
        <f>IF('Equipment Information'!A304="","", 'Equipment Information'!A304)</f>
        <v/>
      </c>
      <c r="B304" t="str">
        <f>IF('Equipment Information'!B304="","", 'Equipment Information'!B304)</f>
        <v/>
      </c>
      <c r="C304" t="str">
        <f>IF('Equipment Information'!C304="","", 'Equipment Information'!C304)</f>
        <v/>
      </c>
      <c r="E304" t="str">
        <f>IF(D304="","", IFERROR(VLOOKUP(D304, Hidden_Data!M:N, 2, FALSE), "0"))</f>
        <v/>
      </c>
      <c r="H304" t="str">
        <f>IF(G304="","", IFERROR(VLOOKUP(G304, Hidden_Data!M:N, 2, FALSE), "0"))</f>
        <v/>
      </c>
      <c r="K304" t="str">
        <f>IF(J304="","", IFERROR(VLOOKUP(J304, Hidden_Data!M:N, 2, FALSE), "0"))</f>
        <v/>
      </c>
      <c r="N304" t="str">
        <f>IF(M304="","", IFERROR(VLOOKUP(M304, Hidden_Data!M:N, 2, FALSE), "0"))</f>
        <v/>
      </c>
      <c r="Q304" t="str">
        <f>IF(P304="","", IFERROR(VLOOKUP(P304, Hidden_Data!M:N, 2, FALSE), "0"))</f>
        <v/>
      </c>
      <c r="T304" t="str">
        <f t="shared" si="12"/>
        <v/>
      </c>
      <c r="U304" t="str">
        <f t="shared" si="13"/>
        <v/>
      </c>
      <c r="V304" t="str">
        <f t="shared" si="14"/>
        <v/>
      </c>
    </row>
    <row r="305" spans="1:22" x14ac:dyDescent="0.25">
      <c r="A305" t="str">
        <f>IF('Equipment Information'!A305="","", 'Equipment Information'!A305)</f>
        <v/>
      </c>
      <c r="B305" t="str">
        <f>IF('Equipment Information'!B305="","", 'Equipment Information'!B305)</f>
        <v/>
      </c>
      <c r="C305" t="str">
        <f>IF('Equipment Information'!C305="","", 'Equipment Information'!C305)</f>
        <v/>
      </c>
      <c r="E305" t="str">
        <f>IF(D305="","", IFERROR(VLOOKUP(D305, Hidden_Data!M:N, 2, FALSE), "0"))</f>
        <v/>
      </c>
      <c r="H305" t="str">
        <f>IF(G305="","", IFERROR(VLOOKUP(G305, Hidden_Data!M:N, 2, FALSE), "0"))</f>
        <v/>
      </c>
      <c r="K305" t="str">
        <f>IF(J305="","", IFERROR(VLOOKUP(J305, Hidden_Data!M:N, 2, FALSE), "0"))</f>
        <v/>
      </c>
      <c r="N305" t="str">
        <f>IF(M305="","", IFERROR(VLOOKUP(M305, Hidden_Data!M:N, 2, FALSE), "0"))</f>
        <v/>
      </c>
      <c r="Q305" t="str">
        <f>IF(P305="","", IFERROR(VLOOKUP(P305, Hidden_Data!M:N, 2, FALSE), "0"))</f>
        <v/>
      </c>
      <c r="T305" t="str">
        <f t="shared" si="12"/>
        <v/>
      </c>
      <c r="U305" t="str">
        <f t="shared" si="13"/>
        <v/>
      </c>
      <c r="V305" t="str">
        <f t="shared" si="14"/>
        <v/>
      </c>
    </row>
    <row r="306" spans="1:22" x14ac:dyDescent="0.25">
      <c r="A306" t="str">
        <f>IF('Equipment Information'!A306="","", 'Equipment Information'!A306)</f>
        <v/>
      </c>
      <c r="B306" t="str">
        <f>IF('Equipment Information'!B306="","", 'Equipment Information'!B306)</f>
        <v/>
      </c>
      <c r="C306" t="str">
        <f>IF('Equipment Information'!C306="","", 'Equipment Information'!C306)</f>
        <v/>
      </c>
      <c r="E306" t="str">
        <f>IF(D306="","", IFERROR(VLOOKUP(D306, Hidden_Data!M:N, 2, FALSE), "0"))</f>
        <v/>
      </c>
      <c r="H306" t="str">
        <f>IF(G306="","", IFERROR(VLOOKUP(G306, Hidden_Data!M:N, 2, FALSE), "0"))</f>
        <v/>
      </c>
      <c r="K306" t="str">
        <f>IF(J306="","", IFERROR(VLOOKUP(J306, Hidden_Data!M:N, 2, FALSE), "0"))</f>
        <v/>
      </c>
      <c r="N306" t="str">
        <f>IF(M306="","", IFERROR(VLOOKUP(M306, Hidden_Data!M:N, 2, FALSE), "0"))</f>
        <v/>
      </c>
      <c r="Q306" t="str">
        <f>IF(P306="","", IFERROR(VLOOKUP(P306, Hidden_Data!M:N, 2, FALSE), "0"))</f>
        <v/>
      </c>
      <c r="T306" t="str">
        <f t="shared" si="12"/>
        <v/>
      </c>
      <c r="U306" t="str">
        <f t="shared" si="13"/>
        <v/>
      </c>
      <c r="V306" t="str">
        <f t="shared" si="14"/>
        <v/>
      </c>
    </row>
    <row r="307" spans="1:22" x14ac:dyDescent="0.25">
      <c r="A307" t="str">
        <f>IF('Equipment Information'!A307="","", 'Equipment Information'!A307)</f>
        <v/>
      </c>
      <c r="B307" t="str">
        <f>IF('Equipment Information'!B307="","", 'Equipment Information'!B307)</f>
        <v/>
      </c>
      <c r="C307" t="str">
        <f>IF('Equipment Information'!C307="","", 'Equipment Information'!C307)</f>
        <v/>
      </c>
      <c r="E307" t="str">
        <f>IF(D307="","", IFERROR(VLOOKUP(D307, Hidden_Data!M:N, 2, FALSE), "0"))</f>
        <v/>
      </c>
      <c r="H307" t="str">
        <f>IF(G307="","", IFERROR(VLOOKUP(G307, Hidden_Data!M:N, 2, FALSE), "0"))</f>
        <v/>
      </c>
      <c r="K307" t="str">
        <f>IF(J307="","", IFERROR(VLOOKUP(J307, Hidden_Data!M:N, 2, FALSE), "0"))</f>
        <v/>
      </c>
      <c r="N307" t="str">
        <f>IF(M307="","", IFERROR(VLOOKUP(M307, Hidden_Data!M:N, 2, FALSE), "0"))</f>
        <v/>
      </c>
      <c r="Q307" t="str">
        <f>IF(P307="","", IFERROR(VLOOKUP(P307, Hidden_Data!M:N, 2, FALSE), "0"))</f>
        <v/>
      </c>
      <c r="T307" t="str">
        <f t="shared" si="12"/>
        <v/>
      </c>
      <c r="U307" t="str">
        <f t="shared" si="13"/>
        <v/>
      </c>
      <c r="V307" t="str">
        <f t="shared" si="14"/>
        <v/>
      </c>
    </row>
    <row r="308" spans="1:22" x14ac:dyDescent="0.25">
      <c r="A308" t="str">
        <f>IF('Equipment Information'!A308="","", 'Equipment Information'!A308)</f>
        <v/>
      </c>
      <c r="B308" t="str">
        <f>IF('Equipment Information'!B308="","", 'Equipment Information'!B308)</f>
        <v/>
      </c>
      <c r="C308" t="str">
        <f>IF('Equipment Information'!C308="","", 'Equipment Information'!C308)</f>
        <v/>
      </c>
      <c r="E308" t="str">
        <f>IF(D308="","", IFERROR(VLOOKUP(D308, Hidden_Data!M:N, 2, FALSE), "0"))</f>
        <v/>
      </c>
      <c r="H308" t="str">
        <f>IF(G308="","", IFERROR(VLOOKUP(G308, Hidden_Data!M:N, 2, FALSE), "0"))</f>
        <v/>
      </c>
      <c r="K308" t="str">
        <f>IF(J308="","", IFERROR(VLOOKUP(J308, Hidden_Data!M:N, 2, FALSE), "0"))</f>
        <v/>
      </c>
      <c r="N308" t="str">
        <f>IF(M308="","", IFERROR(VLOOKUP(M308, Hidden_Data!M:N, 2, FALSE), "0"))</f>
        <v/>
      </c>
      <c r="Q308" t="str">
        <f>IF(P308="","", IFERROR(VLOOKUP(P308, Hidden_Data!M:N, 2, FALSE), "0"))</f>
        <v/>
      </c>
      <c r="T308" t="str">
        <f t="shared" si="12"/>
        <v/>
      </c>
      <c r="U308" t="str">
        <f t="shared" si="13"/>
        <v/>
      </c>
      <c r="V308" t="str">
        <f t="shared" si="14"/>
        <v/>
      </c>
    </row>
    <row r="309" spans="1:22" x14ac:dyDescent="0.25">
      <c r="A309" t="str">
        <f>IF('Equipment Information'!A309="","", 'Equipment Information'!A309)</f>
        <v/>
      </c>
      <c r="B309" t="str">
        <f>IF('Equipment Information'!B309="","", 'Equipment Information'!B309)</f>
        <v/>
      </c>
      <c r="C309" t="str">
        <f>IF('Equipment Information'!C309="","", 'Equipment Information'!C309)</f>
        <v/>
      </c>
      <c r="E309" t="str">
        <f>IF(D309="","", IFERROR(VLOOKUP(D309, Hidden_Data!M:N, 2, FALSE), "0"))</f>
        <v/>
      </c>
      <c r="H309" t="str">
        <f>IF(G309="","", IFERROR(VLOOKUP(G309, Hidden_Data!M:N, 2, FALSE), "0"))</f>
        <v/>
      </c>
      <c r="K309" t="str">
        <f>IF(J309="","", IFERROR(VLOOKUP(J309, Hidden_Data!M:N, 2, FALSE), "0"))</f>
        <v/>
      </c>
      <c r="N309" t="str">
        <f>IF(M309="","", IFERROR(VLOOKUP(M309, Hidden_Data!M:N, 2, FALSE), "0"))</f>
        <v/>
      </c>
      <c r="Q309" t="str">
        <f>IF(P309="","", IFERROR(VLOOKUP(P309, Hidden_Data!M:N, 2, FALSE), "0"))</f>
        <v/>
      </c>
      <c r="T309" t="str">
        <f t="shared" si="12"/>
        <v/>
      </c>
      <c r="U309" t="str">
        <f t="shared" si="13"/>
        <v/>
      </c>
      <c r="V309" t="str">
        <f t="shared" si="14"/>
        <v/>
      </c>
    </row>
    <row r="310" spans="1:22" x14ac:dyDescent="0.25">
      <c r="A310" t="str">
        <f>IF('Equipment Information'!A310="","", 'Equipment Information'!A310)</f>
        <v/>
      </c>
      <c r="B310" t="str">
        <f>IF('Equipment Information'!B310="","", 'Equipment Information'!B310)</f>
        <v/>
      </c>
      <c r="C310" t="str">
        <f>IF('Equipment Information'!C310="","", 'Equipment Information'!C310)</f>
        <v/>
      </c>
      <c r="E310" t="str">
        <f>IF(D310="","", IFERROR(VLOOKUP(D310, Hidden_Data!M:N, 2, FALSE), "0"))</f>
        <v/>
      </c>
      <c r="H310" t="str">
        <f>IF(G310="","", IFERROR(VLOOKUP(G310, Hidden_Data!M:N, 2, FALSE), "0"))</f>
        <v/>
      </c>
      <c r="K310" t="str">
        <f>IF(J310="","", IFERROR(VLOOKUP(J310, Hidden_Data!M:N, 2, FALSE), "0"))</f>
        <v/>
      </c>
      <c r="N310" t="str">
        <f>IF(M310="","", IFERROR(VLOOKUP(M310, Hidden_Data!M:N, 2, FALSE), "0"))</f>
        <v/>
      </c>
      <c r="Q310" t="str">
        <f>IF(P310="","", IFERROR(VLOOKUP(P310, Hidden_Data!M:N, 2, FALSE), "0"))</f>
        <v/>
      </c>
      <c r="T310" t="str">
        <f t="shared" si="12"/>
        <v/>
      </c>
      <c r="U310" t="str">
        <f t="shared" si="13"/>
        <v/>
      </c>
      <c r="V310" t="str">
        <f t="shared" si="14"/>
        <v/>
      </c>
    </row>
    <row r="311" spans="1:22" x14ac:dyDescent="0.25">
      <c r="A311" t="str">
        <f>IF('Equipment Information'!A311="","", 'Equipment Information'!A311)</f>
        <v/>
      </c>
      <c r="B311" t="str">
        <f>IF('Equipment Information'!B311="","", 'Equipment Information'!B311)</f>
        <v/>
      </c>
      <c r="C311" t="str">
        <f>IF('Equipment Information'!C311="","", 'Equipment Information'!C311)</f>
        <v/>
      </c>
      <c r="E311" t="str">
        <f>IF(D311="","", IFERROR(VLOOKUP(D311, Hidden_Data!M:N, 2, FALSE), "0"))</f>
        <v/>
      </c>
      <c r="H311" t="str">
        <f>IF(G311="","", IFERROR(VLOOKUP(G311, Hidden_Data!M:N, 2, FALSE), "0"))</f>
        <v/>
      </c>
      <c r="K311" t="str">
        <f>IF(J311="","", IFERROR(VLOOKUP(J311, Hidden_Data!M:N, 2, FALSE), "0"))</f>
        <v/>
      </c>
      <c r="N311" t="str">
        <f>IF(M311="","", IFERROR(VLOOKUP(M311, Hidden_Data!M:N, 2, FALSE), "0"))</f>
        <v/>
      </c>
      <c r="Q311" t="str">
        <f>IF(P311="","", IFERROR(VLOOKUP(P311, Hidden_Data!M:N, 2, FALSE), "0"))</f>
        <v/>
      </c>
      <c r="T311" t="str">
        <f t="shared" si="12"/>
        <v/>
      </c>
      <c r="U311" t="str">
        <f t="shared" si="13"/>
        <v/>
      </c>
      <c r="V311" t="str">
        <f t="shared" si="14"/>
        <v/>
      </c>
    </row>
    <row r="312" spans="1:22" x14ac:dyDescent="0.25">
      <c r="A312" t="str">
        <f>IF('Equipment Information'!A312="","", 'Equipment Information'!A312)</f>
        <v/>
      </c>
      <c r="B312" t="str">
        <f>IF('Equipment Information'!B312="","", 'Equipment Information'!B312)</f>
        <v/>
      </c>
      <c r="C312" t="str">
        <f>IF('Equipment Information'!C312="","", 'Equipment Information'!C312)</f>
        <v/>
      </c>
      <c r="E312" t="str">
        <f>IF(D312="","", IFERROR(VLOOKUP(D312, Hidden_Data!M:N, 2, FALSE), "0"))</f>
        <v/>
      </c>
      <c r="H312" t="str">
        <f>IF(G312="","", IFERROR(VLOOKUP(G312, Hidden_Data!M:N, 2, FALSE), "0"))</f>
        <v/>
      </c>
      <c r="K312" t="str">
        <f>IF(J312="","", IFERROR(VLOOKUP(J312, Hidden_Data!M:N, 2, FALSE), "0"))</f>
        <v/>
      </c>
      <c r="N312" t="str">
        <f>IF(M312="","", IFERROR(VLOOKUP(M312, Hidden_Data!M:N, 2, FALSE), "0"))</f>
        <v/>
      </c>
      <c r="Q312" t="str">
        <f>IF(P312="","", IFERROR(VLOOKUP(P312, Hidden_Data!M:N, 2, FALSE), "0"))</f>
        <v/>
      </c>
      <c r="T312" t="str">
        <f t="shared" si="12"/>
        <v/>
      </c>
      <c r="U312" t="str">
        <f t="shared" si="13"/>
        <v/>
      </c>
      <c r="V312" t="str">
        <f t="shared" si="14"/>
        <v/>
      </c>
    </row>
    <row r="313" spans="1:22" x14ac:dyDescent="0.25">
      <c r="A313" t="str">
        <f>IF('Equipment Information'!A313="","", 'Equipment Information'!A313)</f>
        <v/>
      </c>
      <c r="B313" t="str">
        <f>IF('Equipment Information'!B313="","", 'Equipment Information'!B313)</f>
        <v/>
      </c>
      <c r="C313" t="str">
        <f>IF('Equipment Information'!C313="","", 'Equipment Information'!C313)</f>
        <v/>
      </c>
      <c r="E313" t="str">
        <f>IF(D313="","", IFERROR(VLOOKUP(D313, Hidden_Data!M:N, 2, FALSE), "0"))</f>
        <v/>
      </c>
      <c r="H313" t="str">
        <f>IF(G313="","", IFERROR(VLOOKUP(G313, Hidden_Data!M:N, 2, FALSE), "0"))</f>
        <v/>
      </c>
      <c r="K313" t="str">
        <f>IF(J313="","", IFERROR(VLOOKUP(J313, Hidden_Data!M:N, 2, FALSE), "0"))</f>
        <v/>
      </c>
      <c r="N313" t="str">
        <f>IF(M313="","", IFERROR(VLOOKUP(M313, Hidden_Data!M:N, 2, FALSE), "0"))</f>
        <v/>
      </c>
      <c r="Q313" t="str">
        <f>IF(P313="","", IFERROR(VLOOKUP(P313, Hidden_Data!M:N, 2, FALSE), "0"))</f>
        <v/>
      </c>
      <c r="T313" t="str">
        <f t="shared" si="12"/>
        <v/>
      </c>
      <c r="U313" t="str">
        <f t="shared" si="13"/>
        <v/>
      </c>
      <c r="V313" t="str">
        <f t="shared" si="14"/>
        <v/>
      </c>
    </row>
    <row r="314" spans="1:22" x14ac:dyDescent="0.25">
      <c r="A314" t="str">
        <f>IF('Equipment Information'!A314="","", 'Equipment Information'!A314)</f>
        <v/>
      </c>
      <c r="B314" t="str">
        <f>IF('Equipment Information'!B314="","", 'Equipment Information'!B314)</f>
        <v/>
      </c>
      <c r="C314" t="str">
        <f>IF('Equipment Information'!C314="","", 'Equipment Information'!C314)</f>
        <v/>
      </c>
      <c r="E314" t="str">
        <f>IF(D314="","", IFERROR(VLOOKUP(D314, Hidden_Data!M:N, 2, FALSE), "0"))</f>
        <v/>
      </c>
      <c r="H314" t="str">
        <f>IF(G314="","", IFERROR(VLOOKUP(G314, Hidden_Data!M:N, 2, FALSE), "0"))</f>
        <v/>
      </c>
      <c r="K314" t="str">
        <f>IF(J314="","", IFERROR(VLOOKUP(J314, Hidden_Data!M:N, 2, FALSE), "0"))</f>
        <v/>
      </c>
      <c r="N314" t="str">
        <f>IF(M314="","", IFERROR(VLOOKUP(M314, Hidden_Data!M:N, 2, FALSE), "0"))</f>
        <v/>
      </c>
      <c r="Q314" t="str">
        <f>IF(P314="","", IFERROR(VLOOKUP(P314, Hidden_Data!M:N, 2, FALSE), "0"))</f>
        <v/>
      </c>
      <c r="T314" t="str">
        <f t="shared" si="12"/>
        <v/>
      </c>
      <c r="U314" t="str">
        <f t="shared" si="13"/>
        <v/>
      </c>
      <c r="V314" t="str">
        <f t="shared" si="14"/>
        <v/>
      </c>
    </row>
    <row r="315" spans="1:22" x14ac:dyDescent="0.25">
      <c r="A315" t="str">
        <f>IF('Equipment Information'!A315="","", 'Equipment Information'!A315)</f>
        <v/>
      </c>
      <c r="B315" t="str">
        <f>IF('Equipment Information'!B315="","", 'Equipment Information'!B315)</f>
        <v/>
      </c>
      <c r="C315" t="str">
        <f>IF('Equipment Information'!C315="","", 'Equipment Information'!C315)</f>
        <v/>
      </c>
      <c r="E315" t="str">
        <f>IF(D315="","", IFERROR(VLOOKUP(D315, Hidden_Data!M:N, 2, FALSE), "0"))</f>
        <v/>
      </c>
      <c r="H315" t="str">
        <f>IF(G315="","", IFERROR(VLOOKUP(G315, Hidden_Data!M:N, 2, FALSE), "0"))</f>
        <v/>
      </c>
      <c r="K315" t="str">
        <f>IF(J315="","", IFERROR(VLOOKUP(J315, Hidden_Data!M:N, 2, FALSE), "0"))</f>
        <v/>
      </c>
      <c r="N315" t="str">
        <f>IF(M315="","", IFERROR(VLOOKUP(M315, Hidden_Data!M:N, 2, FALSE), "0"))</f>
        <v/>
      </c>
      <c r="Q315" t="str">
        <f>IF(P315="","", IFERROR(VLOOKUP(P315, Hidden_Data!M:N, 2, FALSE), "0"))</f>
        <v/>
      </c>
      <c r="T315" t="str">
        <f t="shared" si="12"/>
        <v/>
      </c>
      <c r="U315" t="str">
        <f t="shared" si="13"/>
        <v/>
      </c>
      <c r="V315" t="str">
        <f t="shared" si="14"/>
        <v/>
      </c>
    </row>
    <row r="316" spans="1:22" x14ac:dyDescent="0.25">
      <c r="A316" t="str">
        <f>IF('Equipment Information'!A316="","", 'Equipment Information'!A316)</f>
        <v/>
      </c>
      <c r="B316" t="str">
        <f>IF('Equipment Information'!B316="","", 'Equipment Information'!B316)</f>
        <v/>
      </c>
      <c r="C316" t="str">
        <f>IF('Equipment Information'!C316="","", 'Equipment Information'!C316)</f>
        <v/>
      </c>
      <c r="E316" t="str">
        <f>IF(D316="","", IFERROR(VLOOKUP(D316, Hidden_Data!M:N, 2, FALSE), "0"))</f>
        <v/>
      </c>
      <c r="H316" t="str">
        <f>IF(G316="","", IFERROR(VLOOKUP(G316, Hidden_Data!M:N, 2, FALSE), "0"))</f>
        <v/>
      </c>
      <c r="K316" t="str">
        <f>IF(J316="","", IFERROR(VLOOKUP(J316, Hidden_Data!M:N, 2, FALSE), "0"))</f>
        <v/>
      </c>
      <c r="N316" t="str">
        <f>IF(M316="","", IFERROR(VLOOKUP(M316, Hidden_Data!M:N, 2, FALSE), "0"))</f>
        <v/>
      </c>
      <c r="Q316" t="str">
        <f>IF(P316="","", IFERROR(VLOOKUP(P316, Hidden_Data!M:N, 2, FALSE), "0"))</f>
        <v/>
      </c>
      <c r="T316" t="str">
        <f t="shared" si="12"/>
        <v/>
      </c>
      <c r="U316" t="str">
        <f t="shared" si="13"/>
        <v/>
      </c>
      <c r="V316" t="str">
        <f t="shared" si="14"/>
        <v/>
      </c>
    </row>
    <row r="317" spans="1:22" x14ac:dyDescent="0.25">
      <c r="A317" t="str">
        <f>IF('Equipment Information'!A317="","", 'Equipment Information'!A317)</f>
        <v/>
      </c>
      <c r="B317" t="str">
        <f>IF('Equipment Information'!B317="","", 'Equipment Information'!B317)</f>
        <v/>
      </c>
      <c r="C317" t="str">
        <f>IF('Equipment Information'!C317="","", 'Equipment Information'!C317)</f>
        <v/>
      </c>
      <c r="E317" t="str">
        <f>IF(D317="","", IFERROR(VLOOKUP(D317, Hidden_Data!M:N, 2, FALSE), "0"))</f>
        <v/>
      </c>
      <c r="H317" t="str">
        <f>IF(G317="","", IFERROR(VLOOKUP(G317, Hidden_Data!M:N, 2, FALSE), "0"))</f>
        <v/>
      </c>
      <c r="K317" t="str">
        <f>IF(J317="","", IFERROR(VLOOKUP(J317, Hidden_Data!M:N, 2, FALSE), "0"))</f>
        <v/>
      </c>
      <c r="N317" t="str">
        <f>IF(M317="","", IFERROR(VLOOKUP(M317, Hidden_Data!M:N, 2, FALSE), "0"))</f>
        <v/>
      </c>
      <c r="Q317" t="str">
        <f>IF(P317="","", IFERROR(VLOOKUP(P317, Hidden_Data!M:N, 2, FALSE), "0"))</f>
        <v/>
      </c>
      <c r="T317" t="str">
        <f t="shared" si="12"/>
        <v/>
      </c>
      <c r="U317" t="str">
        <f t="shared" si="13"/>
        <v/>
      </c>
      <c r="V317" t="str">
        <f t="shared" si="14"/>
        <v/>
      </c>
    </row>
    <row r="318" spans="1:22" x14ac:dyDescent="0.25">
      <c r="A318" t="str">
        <f>IF('Equipment Information'!A318="","", 'Equipment Information'!A318)</f>
        <v/>
      </c>
      <c r="B318" t="str">
        <f>IF('Equipment Information'!B318="","", 'Equipment Information'!B318)</f>
        <v/>
      </c>
      <c r="C318" t="str">
        <f>IF('Equipment Information'!C318="","", 'Equipment Information'!C318)</f>
        <v/>
      </c>
      <c r="E318" t="str">
        <f>IF(D318="","", IFERROR(VLOOKUP(D318, Hidden_Data!M:N, 2, FALSE), "0"))</f>
        <v/>
      </c>
      <c r="H318" t="str">
        <f>IF(G318="","", IFERROR(VLOOKUP(G318, Hidden_Data!M:N, 2, FALSE), "0"))</f>
        <v/>
      </c>
      <c r="K318" t="str">
        <f>IF(J318="","", IFERROR(VLOOKUP(J318, Hidden_Data!M:N, 2, FALSE), "0"))</f>
        <v/>
      </c>
      <c r="N318" t="str">
        <f>IF(M318="","", IFERROR(VLOOKUP(M318, Hidden_Data!M:N, 2, FALSE), "0"))</f>
        <v/>
      </c>
      <c r="Q318" t="str">
        <f>IF(P318="","", IFERROR(VLOOKUP(P318, Hidden_Data!M:N, 2, FALSE), "0"))</f>
        <v/>
      </c>
      <c r="T318" t="str">
        <f t="shared" si="12"/>
        <v/>
      </c>
      <c r="U318" t="str">
        <f t="shared" si="13"/>
        <v/>
      </c>
      <c r="V318" t="str">
        <f t="shared" si="14"/>
        <v/>
      </c>
    </row>
    <row r="319" spans="1:22" x14ac:dyDescent="0.25">
      <c r="A319" t="str">
        <f>IF('Equipment Information'!A319="","", 'Equipment Information'!A319)</f>
        <v/>
      </c>
      <c r="B319" t="str">
        <f>IF('Equipment Information'!B319="","", 'Equipment Information'!B319)</f>
        <v/>
      </c>
      <c r="C319" t="str">
        <f>IF('Equipment Information'!C319="","", 'Equipment Information'!C319)</f>
        <v/>
      </c>
      <c r="E319" t="str">
        <f>IF(D319="","", IFERROR(VLOOKUP(D319, Hidden_Data!M:N, 2, FALSE), "0"))</f>
        <v/>
      </c>
      <c r="H319" t="str">
        <f>IF(G319="","", IFERROR(VLOOKUP(G319, Hidden_Data!M:N, 2, FALSE), "0"))</f>
        <v/>
      </c>
      <c r="K319" t="str">
        <f>IF(J319="","", IFERROR(VLOOKUP(J319, Hidden_Data!M:N, 2, FALSE), "0"))</f>
        <v/>
      </c>
      <c r="N319" t="str">
        <f>IF(M319="","", IFERROR(VLOOKUP(M319, Hidden_Data!M:N, 2, FALSE), "0"))</f>
        <v/>
      </c>
      <c r="Q319" t="str">
        <f>IF(P319="","", IFERROR(VLOOKUP(P319, Hidden_Data!M:N, 2, FALSE), "0"))</f>
        <v/>
      </c>
      <c r="T319" t="str">
        <f t="shared" si="12"/>
        <v/>
      </c>
      <c r="U319" t="str">
        <f t="shared" si="13"/>
        <v/>
      </c>
      <c r="V319" t="str">
        <f t="shared" si="14"/>
        <v/>
      </c>
    </row>
    <row r="320" spans="1:22" x14ac:dyDescent="0.25">
      <c r="A320" t="str">
        <f>IF('Equipment Information'!A320="","", 'Equipment Information'!A320)</f>
        <v/>
      </c>
      <c r="B320" t="str">
        <f>IF('Equipment Information'!B320="","", 'Equipment Information'!B320)</f>
        <v/>
      </c>
      <c r="C320" t="str">
        <f>IF('Equipment Information'!C320="","", 'Equipment Information'!C320)</f>
        <v/>
      </c>
      <c r="E320" t="str">
        <f>IF(D320="","", IFERROR(VLOOKUP(D320, Hidden_Data!M:N, 2, FALSE), "0"))</f>
        <v/>
      </c>
      <c r="H320" t="str">
        <f>IF(G320="","", IFERROR(VLOOKUP(G320, Hidden_Data!M:N, 2, FALSE), "0"))</f>
        <v/>
      </c>
      <c r="K320" t="str">
        <f>IF(J320="","", IFERROR(VLOOKUP(J320, Hidden_Data!M:N, 2, FALSE), "0"))</f>
        <v/>
      </c>
      <c r="N320" t="str">
        <f>IF(M320="","", IFERROR(VLOOKUP(M320, Hidden_Data!M:N, 2, FALSE), "0"))</f>
        <v/>
      </c>
      <c r="Q320" t="str">
        <f>IF(P320="","", IFERROR(VLOOKUP(P320, Hidden_Data!M:N, 2, FALSE), "0"))</f>
        <v/>
      </c>
      <c r="T320" t="str">
        <f t="shared" si="12"/>
        <v/>
      </c>
      <c r="U320" t="str">
        <f t="shared" si="13"/>
        <v/>
      </c>
      <c r="V320" t="str">
        <f t="shared" si="14"/>
        <v/>
      </c>
    </row>
    <row r="321" spans="1:22" x14ac:dyDescent="0.25">
      <c r="A321" t="str">
        <f>IF('Equipment Information'!A321="","", 'Equipment Information'!A321)</f>
        <v/>
      </c>
      <c r="B321" t="str">
        <f>IF('Equipment Information'!B321="","", 'Equipment Information'!B321)</f>
        <v/>
      </c>
      <c r="C321" t="str">
        <f>IF('Equipment Information'!C321="","", 'Equipment Information'!C321)</f>
        <v/>
      </c>
      <c r="E321" t="str">
        <f>IF(D321="","", IFERROR(VLOOKUP(D321, Hidden_Data!M:N, 2, FALSE), "0"))</f>
        <v/>
      </c>
      <c r="H321" t="str">
        <f>IF(G321="","", IFERROR(VLOOKUP(G321, Hidden_Data!M:N, 2, FALSE), "0"))</f>
        <v/>
      </c>
      <c r="K321" t="str">
        <f>IF(J321="","", IFERROR(VLOOKUP(J321, Hidden_Data!M:N, 2, FALSE), "0"))</f>
        <v/>
      </c>
      <c r="N321" t="str">
        <f>IF(M321="","", IFERROR(VLOOKUP(M321, Hidden_Data!M:N, 2, FALSE), "0"))</f>
        <v/>
      </c>
      <c r="Q321" t="str">
        <f>IF(P321="","", IFERROR(VLOOKUP(P321, Hidden_Data!M:N, 2, FALSE), "0"))</f>
        <v/>
      </c>
      <c r="T321" t="str">
        <f t="shared" si="12"/>
        <v/>
      </c>
      <c r="U321" t="str">
        <f t="shared" si="13"/>
        <v/>
      </c>
      <c r="V321" t="str">
        <f t="shared" si="14"/>
        <v/>
      </c>
    </row>
    <row r="322" spans="1:22" x14ac:dyDescent="0.25">
      <c r="A322" t="str">
        <f>IF('Equipment Information'!A322="","", 'Equipment Information'!A322)</f>
        <v/>
      </c>
      <c r="B322" t="str">
        <f>IF('Equipment Information'!B322="","", 'Equipment Information'!B322)</f>
        <v/>
      </c>
      <c r="C322" t="str">
        <f>IF('Equipment Information'!C322="","", 'Equipment Information'!C322)</f>
        <v/>
      </c>
      <c r="E322" t="str">
        <f>IF(D322="","", IFERROR(VLOOKUP(D322, Hidden_Data!M:N, 2, FALSE), "0"))</f>
        <v/>
      </c>
      <c r="H322" t="str">
        <f>IF(G322="","", IFERROR(VLOOKUP(G322, Hidden_Data!M:N, 2, FALSE), "0"))</f>
        <v/>
      </c>
      <c r="K322" t="str">
        <f>IF(J322="","", IFERROR(VLOOKUP(J322, Hidden_Data!M:N, 2, FALSE), "0"))</f>
        <v/>
      </c>
      <c r="N322" t="str">
        <f>IF(M322="","", IFERROR(VLOOKUP(M322, Hidden_Data!M:N, 2, FALSE), "0"))</f>
        <v/>
      </c>
      <c r="Q322" t="str">
        <f>IF(P322="","", IFERROR(VLOOKUP(P322, Hidden_Data!M:N, 2, FALSE), "0"))</f>
        <v/>
      </c>
      <c r="T322" t="str">
        <f t="shared" ref="T322:T385" si="15">IF(A322="","", SUM(IF(F322="Yes", 0, IF(E322="", 0, IFERROR(VALUE(MID(E322, SEARCH("(",E322)+1, 1)), 0))), IF(I322="Yes", 0, IF(H322="", 0, IFERROR(VALUE(MID(H322, SEARCH("(",H322)+1, 1)), 0))), IF(L322="Yes", 0, IF(K322="", 0, IFERROR(VALUE(MID(K322, SEARCH("(",K322)+1, 1)), 0))), IF(O322="Yes", 0, IF(N322="", 0, IFERROR(VALUE(MID(N322, SEARCH("(",N322)+1, 1)), 0))), IF(R322="Yes", 0, IF(Q322="", 0, IFERROR(VALUE(MID(Q322, SEARCH("(",Q322)+1, 1)), 0)))))</f>
        <v/>
      </c>
      <c r="U322" t="str">
        <f t="shared" ref="U322:U385" si="16">IF(A322="","", IF(T322&gt;=5, "Priority 1 (Critical)", IF(T322&gt;=3, "Priority 2 (Major)", IF(T322&gt;=1, "Priority 3 (Minor)", "Pass/Fixed"))))</f>
        <v/>
      </c>
      <c r="V322" t="str">
        <f t="shared" ref="V322:V385" si="17">IF(A322="","", IF(T322&gt;0, "FAIL", "PASS"))</f>
        <v/>
      </c>
    </row>
    <row r="323" spans="1:22" x14ac:dyDescent="0.25">
      <c r="A323" t="str">
        <f>IF('Equipment Information'!A323="","", 'Equipment Information'!A323)</f>
        <v/>
      </c>
      <c r="B323" t="str">
        <f>IF('Equipment Information'!B323="","", 'Equipment Information'!B323)</f>
        <v/>
      </c>
      <c r="C323" t="str">
        <f>IF('Equipment Information'!C323="","", 'Equipment Information'!C323)</f>
        <v/>
      </c>
      <c r="E323" t="str">
        <f>IF(D323="","", IFERROR(VLOOKUP(D323, Hidden_Data!M:N, 2, FALSE), "0"))</f>
        <v/>
      </c>
      <c r="H323" t="str">
        <f>IF(G323="","", IFERROR(VLOOKUP(G323, Hidden_Data!M:N, 2, FALSE), "0"))</f>
        <v/>
      </c>
      <c r="K323" t="str">
        <f>IF(J323="","", IFERROR(VLOOKUP(J323, Hidden_Data!M:N, 2, FALSE), "0"))</f>
        <v/>
      </c>
      <c r="N323" t="str">
        <f>IF(M323="","", IFERROR(VLOOKUP(M323, Hidden_Data!M:N, 2, FALSE), "0"))</f>
        <v/>
      </c>
      <c r="Q323" t="str">
        <f>IF(P323="","", IFERROR(VLOOKUP(P323, Hidden_Data!M:N, 2, FALSE), "0"))</f>
        <v/>
      </c>
      <c r="T323" t="str">
        <f t="shared" si="15"/>
        <v/>
      </c>
      <c r="U323" t="str">
        <f t="shared" si="16"/>
        <v/>
      </c>
      <c r="V323" t="str">
        <f t="shared" si="17"/>
        <v/>
      </c>
    </row>
    <row r="324" spans="1:22" x14ac:dyDescent="0.25">
      <c r="A324" t="str">
        <f>IF('Equipment Information'!A324="","", 'Equipment Information'!A324)</f>
        <v/>
      </c>
      <c r="B324" t="str">
        <f>IF('Equipment Information'!B324="","", 'Equipment Information'!B324)</f>
        <v/>
      </c>
      <c r="C324" t="str">
        <f>IF('Equipment Information'!C324="","", 'Equipment Information'!C324)</f>
        <v/>
      </c>
      <c r="E324" t="str">
        <f>IF(D324="","", IFERROR(VLOOKUP(D324, Hidden_Data!M:N, 2, FALSE), "0"))</f>
        <v/>
      </c>
      <c r="H324" t="str">
        <f>IF(G324="","", IFERROR(VLOOKUP(G324, Hidden_Data!M:N, 2, FALSE), "0"))</f>
        <v/>
      </c>
      <c r="K324" t="str">
        <f>IF(J324="","", IFERROR(VLOOKUP(J324, Hidden_Data!M:N, 2, FALSE), "0"))</f>
        <v/>
      </c>
      <c r="N324" t="str">
        <f>IF(M324="","", IFERROR(VLOOKUP(M324, Hidden_Data!M:N, 2, FALSE), "0"))</f>
        <v/>
      </c>
      <c r="Q324" t="str">
        <f>IF(P324="","", IFERROR(VLOOKUP(P324, Hidden_Data!M:N, 2, FALSE), "0"))</f>
        <v/>
      </c>
      <c r="T324" t="str">
        <f t="shared" si="15"/>
        <v/>
      </c>
      <c r="U324" t="str">
        <f t="shared" si="16"/>
        <v/>
      </c>
      <c r="V324" t="str">
        <f t="shared" si="17"/>
        <v/>
      </c>
    </row>
    <row r="325" spans="1:22" x14ac:dyDescent="0.25">
      <c r="A325" t="str">
        <f>IF('Equipment Information'!A325="","", 'Equipment Information'!A325)</f>
        <v/>
      </c>
      <c r="B325" t="str">
        <f>IF('Equipment Information'!B325="","", 'Equipment Information'!B325)</f>
        <v/>
      </c>
      <c r="C325" t="str">
        <f>IF('Equipment Information'!C325="","", 'Equipment Information'!C325)</f>
        <v/>
      </c>
      <c r="E325" t="str">
        <f>IF(D325="","", IFERROR(VLOOKUP(D325, Hidden_Data!M:N, 2, FALSE), "0"))</f>
        <v/>
      </c>
      <c r="H325" t="str">
        <f>IF(G325="","", IFERROR(VLOOKUP(G325, Hidden_Data!M:N, 2, FALSE), "0"))</f>
        <v/>
      </c>
      <c r="K325" t="str">
        <f>IF(J325="","", IFERROR(VLOOKUP(J325, Hidden_Data!M:N, 2, FALSE), "0"))</f>
        <v/>
      </c>
      <c r="N325" t="str">
        <f>IF(M325="","", IFERROR(VLOOKUP(M325, Hidden_Data!M:N, 2, FALSE), "0"))</f>
        <v/>
      </c>
      <c r="Q325" t="str">
        <f>IF(P325="","", IFERROR(VLOOKUP(P325, Hidden_Data!M:N, 2, FALSE), "0"))</f>
        <v/>
      </c>
      <c r="T325" t="str">
        <f t="shared" si="15"/>
        <v/>
      </c>
      <c r="U325" t="str">
        <f t="shared" si="16"/>
        <v/>
      </c>
      <c r="V325" t="str">
        <f t="shared" si="17"/>
        <v/>
      </c>
    </row>
    <row r="326" spans="1:22" x14ac:dyDescent="0.25">
      <c r="A326" t="str">
        <f>IF('Equipment Information'!A326="","", 'Equipment Information'!A326)</f>
        <v/>
      </c>
      <c r="B326" t="str">
        <f>IF('Equipment Information'!B326="","", 'Equipment Information'!B326)</f>
        <v/>
      </c>
      <c r="C326" t="str">
        <f>IF('Equipment Information'!C326="","", 'Equipment Information'!C326)</f>
        <v/>
      </c>
      <c r="E326" t="str">
        <f>IF(D326="","", IFERROR(VLOOKUP(D326, Hidden_Data!M:N, 2, FALSE), "0"))</f>
        <v/>
      </c>
      <c r="H326" t="str">
        <f>IF(G326="","", IFERROR(VLOOKUP(G326, Hidden_Data!M:N, 2, FALSE), "0"))</f>
        <v/>
      </c>
      <c r="K326" t="str">
        <f>IF(J326="","", IFERROR(VLOOKUP(J326, Hidden_Data!M:N, 2, FALSE), "0"))</f>
        <v/>
      </c>
      <c r="N326" t="str">
        <f>IF(M326="","", IFERROR(VLOOKUP(M326, Hidden_Data!M:N, 2, FALSE), "0"))</f>
        <v/>
      </c>
      <c r="Q326" t="str">
        <f>IF(P326="","", IFERROR(VLOOKUP(P326, Hidden_Data!M:N, 2, FALSE), "0"))</f>
        <v/>
      </c>
      <c r="T326" t="str">
        <f t="shared" si="15"/>
        <v/>
      </c>
      <c r="U326" t="str">
        <f t="shared" si="16"/>
        <v/>
      </c>
      <c r="V326" t="str">
        <f t="shared" si="17"/>
        <v/>
      </c>
    </row>
    <row r="327" spans="1:22" x14ac:dyDescent="0.25">
      <c r="A327" t="str">
        <f>IF('Equipment Information'!A327="","", 'Equipment Information'!A327)</f>
        <v/>
      </c>
      <c r="B327" t="str">
        <f>IF('Equipment Information'!B327="","", 'Equipment Information'!B327)</f>
        <v/>
      </c>
      <c r="C327" t="str">
        <f>IF('Equipment Information'!C327="","", 'Equipment Information'!C327)</f>
        <v/>
      </c>
      <c r="E327" t="str">
        <f>IF(D327="","", IFERROR(VLOOKUP(D327, Hidden_Data!M:N, 2, FALSE), "0"))</f>
        <v/>
      </c>
      <c r="H327" t="str">
        <f>IF(G327="","", IFERROR(VLOOKUP(G327, Hidden_Data!M:N, 2, FALSE), "0"))</f>
        <v/>
      </c>
      <c r="K327" t="str">
        <f>IF(J327="","", IFERROR(VLOOKUP(J327, Hidden_Data!M:N, 2, FALSE), "0"))</f>
        <v/>
      </c>
      <c r="N327" t="str">
        <f>IF(M327="","", IFERROR(VLOOKUP(M327, Hidden_Data!M:N, 2, FALSE), "0"))</f>
        <v/>
      </c>
      <c r="Q327" t="str">
        <f>IF(P327="","", IFERROR(VLOOKUP(P327, Hidden_Data!M:N, 2, FALSE), "0"))</f>
        <v/>
      </c>
      <c r="T327" t="str">
        <f t="shared" si="15"/>
        <v/>
      </c>
      <c r="U327" t="str">
        <f t="shared" si="16"/>
        <v/>
      </c>
      <c r="V327" t="str">
        <f t="shared" si="17"/>
        <v/>
      </c>
    </row>
    <row r="328" spans="1:22" x14ac:dyDescent="0.25">
      <c r="A328" t="str">
        <f>IF('Equipment Information'!A328="","", 'Equipment Information'!A328)</f>
        <v/>
      </c>
      <c r="B328" t="str">
        <f>IF('Equipment Information'!B328="","", 'Equipment Information'!B328)</f>
        <v/>
      </c>
      <c r="C328" t="str">
        <f>IF('Equipment Information'!C328="","", 'Equipment Information'!C328)</f>
        <v/>
      </c>
      <c r="E328" t="str">
        <f>IF(D328="","", IFERROR(VLOOKUP(D328, Hidden_Data!M:N, 2, FALSE), "0"))</f>
        <v/>
      </c>
      <c r="H328" t="str">
        <f>IF(G328="","", IFERROR(VLOOKUP(G328, Hidden_Data!M:N, 2, FALSE), "0"))</f>
        <v/>
      </c>
      <c r="K328" t="str">
        <f>IF(J328="","", IFERROR(VLOOKUP(J328, Hidden_Data!M:N, 2, FALSE), "0"))</f>
        <v/>
      </c>
      <c r="N328" t="str">
        <f>IF(M328="","", IFERROR(VLOOKUP(M328, Hidden_Data!M:N, 2, FALSE), "0"))</f>
        <v/>
      </c>
      <c r="Q328" t="str">
        <f>IF(P328="","", IFERROR(VLOOKUP(P328, Hidden_Data!M:N, 2, FALSE), "0"))</f>
        <v/>
      </c>
      <c r="T328" t="str">
        <f t="shared" si="15"/>
        <v/>
      </c>
      <c r="U328" t="str">
        <f t="shared" si="16"/>
        <v/>
      </c>
      <c r="V328" t="str">
        <f t="shared" si="17"/>
        <v/>
      </c>
    </row>
    <row r="329" spans="1:22" x14ac:dyDescent="0.25">
      <c r="A329" t="str">
        <f>IF('Equipment Information'!A329="","", 'Equipment Information'!A329)</f>
        <v/>
      </c>
      <c r="B329" t="str">
        <f>IF('Equipment Information'!B329="","", 'Equipment Information'!B329)</f>
        <v/>
      </c>
      <c r="C329" t="str">
        <f>IF('Equipment Information'!C329="","", 'Equipment Information'!C329)</f>
        <v/>
      </c>
      <c r="E329" t="str">
        <f>IF(D329="","", IFERROR(VLOOKUP(D329, Hidden_Data!M:N, 2, FALSE), "0"))</f>
        <v/>
      </c>
      <c r="H329" t="str">
        <f>IF(G329="","", IFERROR(VLOOKUP(G329, Hidden_Data!M:N, 2, FALSE), "0"))</f>
        <v/>
      </c>
      <c r="K329" t="str">
        <f>IF(J329="","", IFERROR(VLOOKUP(J329, Hidden_Data!M:N, 2, FALSE), "0"))</f>
        <v/>
      </c>
      <c r="N329" t="str">
        <f>IF(M329="","", IFERROR(VLOOKUP(M329, Hidden_Data!M:N, 2, FALSE), "0"))</f>
        <v/>
      </c>
      <c r="Q329" t="str">
        <f>IF(P329="","", IFERROR(VLOOKUP(P329, Hidden_Data!M:N, 2, FALSE), "0"))</f>
        <v/>
      </c>
      <c r="T329" t="str">
        <f t="shared" si="15"/>
        <v/>
      </c>
      <c r="U329" t="str">
        <f t="shared" si="16"/>
        <v/>
      </c>
      <c r="V329" t="str">
        <f t="shared" si="17"/>
        <v/>
      </c>
    </row>
    <row r="330" spans="1:22" x14ac:dyDescent="0.25">
      <c r="A330" t="str">
        <f>IF('Equipment Information'!A330="","", 'Equipment Information'!A330)</f>
        <v/>
      </c>
      <c r="B330" t="str">
        <f>IF('Equipment Information'!B330="","", 'Equipment Information'!B330)</f>
        <v/>
      </c>
      <c r="C330" t="str">
        <f>IF('Equipment Information'!C330="","", 'Equipment Information'!C330)</f>
        <v/>
      </c>
      <c r="E330" t="str">
        <f>IF(D330="","", IFERROR(VLOOKUP(D330, Hidden_Data!M:N, 2, FALSE), "0"))</f>
        <v/>
      </c>
      <c r="H330" t="str">
        <f>IF(G330="","", IFERROR(VLOOKUP(G330, Hidden_Data!M:N, 2, FALSE), "0"))</f>
        <v/>
      </c>
      <c r="K330" t="str">
        <f>IF(J330="","", IFERROR(VLOOKUP(J330, Hidden_Data!M:N, 2, FALSE), "0"))</f>
        <v/>
      </c>
      <c r="N330" t="str">
        <f>IF(M330="","", IFERROR(VLOOKUP(M330, Hidden_Data!M:N, 2, FALSE), "0"))</f>
        <v/>
      </c>
      <c r="Q330" t="str">
        <f>IF(P330="","", IFERROR(VLOOKUP(P330, Hidden_Data!M:N, 2, FALSE), "0"))</f>
        <v/>
      </c>
      <c r="T330" t="str">
        <f t="shared" si="15"/>
        <v/>
      </c>
      <c r="U330" t="str">
        <f t="shared" si="16"/>
        <v/>
      </c>
      <c r="V330" t="str">
        <f t="shared" si="17"/>
        <v/>
      </c>
    </row>
    <row r="331" spans="1:22" x14ac:dyDescent="0.25">
      <c r="A331" t="str">
        <f>IF('Equipment Information'!A331="","", 'Equipment Information'!A331)</f>
        <v/>
      </c>
      <c r="B331" t="str">
        <f>IF('Equipment Information'!B331="","", 'Equipment Information'!B331)</f>
        <v/>
      </c>
      <c r="C331" t="str">
        <f>IF('Equipment Information'!C331="","", 'Equipment Information'!C331)</f>
        <v/>
      </c>
      <c r="E331" t="str">
        <f>IF(D331="","", IFERROR(VLOOKUP(D331, Hidden_Data!M:N, 2, FALSE), "0"))</f>
        <v/>
      </c>
      <c r="H331" t="str">
        <f>IF(G331="","", IFERROR(VLOOKUP(G331, Hidden_Data!M:N, 2, FALSE), "0"))</f>
        <v/>
      </c>
      <c r="K331" t="str">
        <f>IF(J331="","", IFERROR(VLOOKUP(J331, Hidden_Data!M:N, 2, FALSE), "0"))</f>
        <v/>
      </c>
      <c r="N331" t="str">
        <f>IF(M331="","", IFERROR(VLOOKUP(M331, Hidden_Data!M:N, 2, FALSE), "0"))</f>
        <v/>
      </c>
      <c r="Q331" t="str">
        <f>IF(P331="","", IFERROR(VLOOKUP(P331, Hidden_Data!M:N, 2, FALSE), "0"))</f>
        <v/>
      </c>
      <c r="T331" t="str">
        <f t="shared" si="15"/>
        <v/>
      </c>
      <c r="U331" t="str">
        <f t="shared" si="16"/>
        <v/>
      </c>
      <c r="V331" t="str">
        <f t="shared" si="17"/>
        <v/>
      </c>
    </row>
    <row r="332" spans="1:22" x14ac:dyDescent="0.25">
      <c r="A332" t="str">
        <f>IF('Equipment Information'!A332="","", 'Equipment Information'!A332)</f>
        <v/>
      </c>
      <c r="B332" t="str">
        <f>IF('Equipment Information'!B332="","", 'Equipment Information'!B332)</f>
        <v/>
      </c>
      <c r="C332" t="str">
        <f>IF('Equipment Information'!C332="","", 'Equipment Information'!C332)</f>
        <v/>
      </c>
      <c r="E332" t="str">
        <f>IF(D332="","", IFERROR(VLOOKUP(D332, Hidden_Data!M:N, 2, FALSE), "0"))</f>
        <v/>
      </c>
      <c r="H332" t="str">
        <f>IF(G332="","", IFERROR(VLOOKUP(G332, Hidden_Data!M:N, 2, FALSE), "0"))</f>
        <v/>
      </c>
      <c r="K332" t="str">
        <f>IF(J332="","", IFERROR(VLOOKUP(J332, Hidden_Data!M:N, 2, FALSE), "0"))</f>
        <v/>
      </c>
      <c r="N332" t="str">
        <f>IF(M332="","", IFERROR(VLOOKUP(M332, Hidden_Data!M:N, 2, FALSE), "0"))</f>
        <v/>
      </c>
      <c r="Q332" t="str">
        <f>IF(P332="","", IFERROR(VLOOKUP(P332, Hidden_Data!M:N, 2, FALSE), "0"))</f>
        <v/>
      </c>
      <c r="T332" t="str">
        <f t="shared" si="15"/>
        <v/>
      </c>
      <c r="U332" t="str">
        <f t="shared" si="16"/>
        <v/>
      </c>
      <c r="V332" t="str">
        <f t="shared" si="17"/>
        <v/>
      </c>
    </row>
    <row r="333" spans="1:22" x14ac:dyDescent="0.25">
      <c r="A333" t="str">
        <f>IF('Equipment Information'!A333="","", 'Equipment Information'!A333)</f>
        <v/>
      </c>
      <c r="B333" t="str">
        <f>IF('Equipment Information'!B333="","", 'Equipment Information'!B333)</f>
        <v/>
      </c>
      <c r="C333" t="str">
        <f>IF('Equipment Information'!C333="","", 'Equipment Information'!C333)</f>
        <v/>
      </c>
      <c r="E333" t="str">
        <f>IF(D333="","", IFERROR(VLOOKUP(D333, Hidden_Data!M:N, 2, FALSE), "0"))</f>
        <v/>
      </c>
      <c r="H333" t="str">
        <f>IF(G333="","", IFERROR(VLOOKUP(G333, Hidden_Data!M:N, 2, FALSE), "0"))</f>
        <v/>
      </c>
      <c r="K333" t="str">
        <f>IF(J333="","", IFERROR(VLOOKUP(J333, Hidden_Data!M:N, 2, FALSE), "0"))</f>
        <v/>
      </c>
      <c r="N333" t="str">
        <f>IF(M333="","", IFERROR(VLOOKUP(M333, Hidden_Data!M:N, 2, FALSE), "0"))</f>
        <v/>
      </c>
      <c r="Q333" t="str">
        <f>IF(P333="","", IFERROR(VLOOKUP(P333, Hidden_Data!M:N, 2, FALSE), "0"))</f>
        <v/>
      </c>
      <c r="T333" t="str">
        <f t="shared" si="15"/>
        <v/>
      </c>
      <c r="U333" t="str">
        <f t="shared" si="16"/>
        <v/>
      </c>
      <c r="V333" t="str">
        <f t="shared" si="17"/>
        <v/>
      </c>
    </row>
    <row r="334" spans="1:22" x14ac:dyDescent="0.25">
      <c r="A334" t="str">
        <f>IF('Equipment Information'!A334="","", 'Equipment Information'!A334)</f>
        <v/>
      </c>
      <c r="B334" t="str">
        <f>IF('Equipment Information'!B334="","", 'Equipment Information'!B334)</f>
        <v/>
      </c>
      <c r="C334" t="str">
        <f>IF('Equipment Information'!C334="","", 'Equipment Information'!C334)</f>
        <v/>
      </c>
      <c r="E334" t="str">
        <f>IF(D334="","", IFERROR(VLOOKUP(D334, Hidden_Data!M:N, 2, FALSE), "0"))</f>
        <v/>
      </c>
      <c r="H334" t="str">
        <f>IF(G334="","", IFERROR(VLOOKUP(G334, Hidden_Data!M:N, 2, FALSE), "0"))</f>
        <v/>
      </c>
      <c r="K334" t="str">
        <f>IF(J334="","", IFERROR(VLOOKUP(J334, Hidden_Data!M:N, 2, FALSE), "0"))</f>
        <v/>
      </c>
      <c r="N334" t="str">
        <f>IF(M334="","", IFERROR(VLOOKUP(M334, Hidden_Data!M:N, 2, FALSE), "0"))</f>
        <v/>
      </c>
      <c r="Q334" t="str">
        <f>IF(P334="","", IFERROR(VLOOKUP(P334, Hidden_Data!M:N, 2, FALSE), "0"))</f>
        <v/>
      </c>
      <c r="T334" t="str">
        <f t="shared" si="15"/>
        <v/>
      </c>
      <c r="U334" t="str">
        <f t="shared" si="16"/>
        <v/>
      </c>
      <c r="V334" t="str">
        <f t="shared" si="17"/>
        <v/>
      </c>
    </row>
    <row r="335" spans="1:22" x14ac:dyDescent="0.25">
      <c r="A335" t="str">
        <f>IF('Equipment Information'!A335="","", 'Equipment Information'!A335)</f>
        <v/>
      </c>
      <c r="B335" t="str">
        <f>IF('Equipment Information'!B335="","", 'Equipment Information'!B335)</f>
        <v/>
      </c>
      <c r="C335" t="str">
        <f>IF('Equipment Information'!C335="","", 'Equipment Information'!C335)</f>
        <v/>
      </c>
      <c r="E335" t="str">
        <f>IF(D335="","", IFERROR(VLOOKUP(D335, Hidden_Data!M:N, 2, FALSE), "0"))</f>
        <v/>
      </c>
      <c r="H335" t="str">
        <f>IF(G335="","", IFERROR(VLOOKUP(G335, Hidden_Data!M:N, 2, FALSE), "0"))</f>
        <v/>
      </c>
      <c r="K335" t="str">
        <f>IF(J335="","", IFERROR(VLOOKUP(J335, Hidden_Data!M:N, 2, FALSE), "0"))</f>
        <v/>
      </c>
      <c r="N335" t="str">
        <f>IF(M335="","", IFERROR(VLOOKUP(M335, Hidden_Data!M:N, 2, FALSE), "0"))</f>
        <v/>
      </c>
      <c r="Q335" t="str">
        <f>IF(P335="","", IFERROR(VLOOKUP(P335, Hidden_Data!M:N, 2, FALSE), "0"))</f>
        <v/>
      </c>
      <c r="T335" t="str">
        <f t="shared" si="15"/>
        <v/>
      </c>
      <c r="U335" t="str">
        <f t="shared" si="16"/>
        <v/>
      </c>
      <c r="V335" t="str">
        <f t="shared" si="17"/>
        <v/>
      </c>
    </row>
    <row r="336" spans="1:22" x14ac:dyDescent="0.25">
      <c r="A336" t="str">
        <f>IF('Equipment Information'!A336="","", 'Equipment Information'!A336)</f>
        <v/>
      </c>
      <c r="B336" t="str">
        <f>IF('Equipment Information'!B336="","", 'Equipment Information'!B336)</f>
        <v/>
      </c>
      <c r="C336" t="str">
        <f>IF('Equipment Information'!C336="","", 'Equipment Information'!C336)</f>
        <v/>
      </c>
      <c r="E336" t="str">
        <f>IF(D336="","", IFERROR(VLOOKUP(D336, Hidden_Data!M:N, 2, FALSE), "0"))</f>
        <v/>
      </c>
      <c r="H336" t="str">
        <f>IF(G336="","", IFERROR(VLOOKUP(G336, Hidden_Data!M:N, 2, FALSE), "0"))</f>
        <v/>
      </c>
      <c r="K336" t="str">
        <f>IF(J336="","", IFERROR(VLOOKUP(J336, Hidden_Data!M:N, 2, FALSE), "0"))</f>
        <v/>
      </c>
      <c r="N336" t="str">
        <f>IF(M336="","", IFERROR(VLOOKUP(M336, Hidden_Data!M:N, 2, FALSE), "0"))</f>
        <v/>
      </c>
      <c r="Q336" t="str">
        <f>IF(P336="","", IFERROR(VLOOKUP(P336, Hidden_Data!M:N, 2, FALSE), "0"))</f>
        <v/>
      </c>
      <c r="T336" t="str">
        <f t="shared" si="15"/>
        <v/>
      </c>
      <c r="U336" t="str">
        <f t="shared" si="16"/>
        <v/>
      </c>
      <c r="V336" t="str">
        <f t="shared" si="17"/>
        <v/>
      </c>
    </row>
    <row r="337" spans="1:22" x14ac:dyDescent="0.25">
      <c r="A337" t="str">
        <f>IF('Equipment Information'!A337="","", 'Equipment Information'!A337)</f>
        <v/>
      </c>
      <c r="B337" t="str">
        <f>IF('Equipment Information'!B337="","", 'Equipment Information'!B337)</f>
        <v/>
      </c>
      <c r="C337" t="str">
        <f>IF('Equipment Information'!C337="","", 'Equipment Information'!C337)</f>
        <v/>
      </c>
      <c r="E337" t="str">
        <f>IF(D337="","", IFERROR(VLOOKUP(D337, Hidden_Data!M:N, 2, FALSE), "0"))</f>
        <v/>
      </c>
      <c r="H337" t="str">
        <f>IF(G337="","", IFERROR(VLOOKUP(G337, Hidden_Data!M:N, 2, FALSE), "0"))</f>
        <v/>
      </c>
      <c r="K337" t="str">
        <f>IF(J337="","", IFERROR(VLOOKUP(J337, Hidden_Data!M:N, 2, FALSE), "0"))</f>
        <v/>
      </c>
      <c r="N337" t="str">
        <f>IF(M337="","", IFERROR(VLOOKUP(M337, Hidden_Data!M:N, 2, FALSE), "0"))</f>
        <v/>
      </c>
      <c r="Q337" t="str">
        <f>IF(P337="","", IFERROR(VLOOKUP(P337, Hidden_Data!M:N, 2, FALSE), "0"))</f>
        <v/>
      </c>
      <c r="T337" t="str">
        <f t="shared" si="15"/>
        <v/>
      </c>
      <c r="U337" t="str">
        <f t="shared" si="16"/>
        <v/>
      </c>
      <c r="V337" t="str">
        <f t="shared" si="17"/>
        <v/>
      </c>
    </row>
    <row r="338" spans="1:22" x14ac:dyDescent="0.25">
      <c r="A338" t="str">
        <f>IF('Equipment Information'!A338="","", 'Equipment Information'!A338)</f>
        <v/>
      </c>
      <c r="B338" t="str">
        <f>IF('Equipment Information'!B338="","", 'Equipment Information'!B338)</f>
        <v/>
      </c>
      <c r="C338" t="str">
        <f>IF('Equipment Information'!C338="","", 'Equipment Information'!C338)</f>
        <v/>
      </c>
      <c r="E338" t="str">
        <f>IF(D338="","", IFERROR(VLOOKUP(D338, Hidden_Data!M:N, 2, FALSE), "0"))</f>
        <v/>
      </c>
      <c r="H338" t="str">
        <f>IF(G338="","", IFERROR(VLOOKUP(G338, Hidden_Data!M:N, 2, FALSE), "0"))</f>
        <v/>
      </c>
      <c r="K338" t="str">
        <f>IF(J338="","", IFERROR(VLOOKUP(J338, Hidden_Data!M:N, 2, FALSE), "0"))</f>
        <v/>
      </c>
      <c r="N338" t="str">
        <f>IF(M338="","", IFERROR(VLOOKUP(M338, Hidden_Data!M:N, 2, FALSE), "0"))</f>
        <v/>
      </c>
      <c r="Q338" t="str">
        <f>IF(P338="","", IFERROR(VLOOKUP(P338, Hidden_Data!M:N, 2, FALSE), "0"))</f>
        <v/>
      </c>
      <c r="T338" t="str">
        <f t="shared" si="15"/>
        <v/>
      </c>
      <c r="U338" t="str">
        <f t="shared" si="16"/>
        <v/>
      </c>
      <c r="V338" t="str">
        <f t="shared" si="17"/>
        <v/>
      </c>
    </row>
    <row r="339" spans="1:22" x14ac:dyDescent="0.25">
      <c r="A339" t="str">
        <f>IF('Equipment Information'!A339="","", 'Equipment Information'!A339)</f>
        <v/>
      </c>
      <c r="B339" t="str">
        <f>IF('Equipment Information'!B339="","", 'Equipment Information'!B339)</f>
        <v/>
      </c>
      <c r="C339" t="str">
        <f>IF('Equipment Information'!C339="","", 'Equipment Information'!C339)</f>
        <v/>
      </c>
      <c r="E339" t="str">
        <f>IF(D339="","", IFERROR(VLOOKUP(D339, Hidden_Data!M:N, 2, FALSE), "0"))</f>
        <v/>
      </c>
      <c r="H339" t="str">
        <f>IF(G339="","", IFERROR(VLOOKUP(G339, Hidden_Data!M:N, 2, FALSE), "0"))</f>
        <v/>
      </c>
      <c r="K339" t="str">
        <f>IF(J339="","", IFERROR(VLOOKUP(J339, Hidden_Data!M:N, 2, FALSE), "0"))</f>
        <v/>
      </c>
      <c r="N339" t="str">
        <f>IF(M339="","", IFERROR(VLOOKUP(M339, Hidden_Data!M:N, 2, FALSE), "0"))</f>
        <v/>
      </c>
      <c r="Q339" t="str">
        <f>IF(P339="","", IFERROR(VLOOKUP(P339, Hidden_Data!M:N, 2, FALSE), "0"))</f>
        <v/>
      </c>
      <c r="T339" t="str">
        <f t="shared" si="15"/>
        <v/>
      </c>
      <c r="U339" t="str">
        <f t="shared" si="16"/>
        <v/>
      </c>
      <c r="V339" t="str">
        <f t="shared" si="17"/>
        <v/>
      </c>
    </row>
    <row r="340" spans="1:22" x14ac:dyDescent="0.25">
      <c r="A340" t="str">
        <f>IF('Equipment Information'!A340="","", 'Equipment Information'!A340)</f>
        <v/>
      </c>
      <c r="B340" t="str">
        <f>IF('Equipment Information'!B340="","", 'Equipment Information'!B340)</f>
        <v/>
      </c>
      <c r="C340" t="str">
        <f>IF('Equipment Information'!C340="","", 'Equipment Information'!C340)</f>
        <v/>
      </c>
      <c r="E340" t="str">
        <f>IF(D340="","", IFERROR(VLOOKUP(D340, Hidden_Data!M:N, 2, FALSE), "0"))</f>
        <v/>
      </c>
      <c r="H340" t="str">
        <f>IF(G340="","", IFERROR(VLOOKUP(G340, Hidden_Data!M:N, 2, FALSE), "0"))</f>
        <v/>
      </c>
      <c r="K340" t="str">
        <f>IF(J340="","", IFERROR(VLOOKUP(J340, Hidden_Data!M:N, 2, FALSE), "0"))</f>
        <v/>
      </c>
      <c r="N340" t="str">
        <f>IF(M340="","", IFERROR(VLOOKUP(M340, Hidden_Data!M:N, 2, FALSE), "0"))</f>
        <v/>
      </c>
      <c r="Q340" t="str">
        <f>IF(P340="","", IFERROR(VLOOKUP(P340, Hidden_Data!M:N, 2, FALSE), "0"))</f>
        <v/>
      </c>
      <c r="T340" t="str">
        <f t="shared" si="15"/>
        <v/>
      </c>
      <c r="U340" t="str">
        <f t="shared" si="16"/>
        <v/>
      </c>
      <c r="V340" t="str">
        <f t="shared" si="17"/>
        <v/>
      </c>
    </row>
    <row r="341" spans="1:22" x14ac:dyDescent="0.25">
      <c r="A341" t="str">
        <f>IF('Equipment Information'!A341="","", 'Equipment Information'!A341)</f>
        <v/>
      </c>
      <c r="B341" t="str">
        <f>IF('Equipment Information'!B341="","", 'Equipment Information'!B341)</f>
        <v/>
      </c>
      <c r="C341" t="str">
        <f>IF('Equipment Information'!C341="","", 'Equipment Information'!C341)</f>
        <v/>
      </c>
      <c r="E341" t="str">
        <f>IF(D341="","", IFERROR(VLOOKUP(D341, Hidden_Data!M:N, 2, FALSE), "0"))</f>
        <v/>
      </c>
      <c r="H341" t="str">
        <f>IF(G341="","", IFERROR(VLOOKUP(G341, Hidden_Data!M:N, 2, FALSE), "0"))</f>
        <v/>
      </c>
      <c r="K341" t="str">
        <f>IF(J341="","", IFERROR(VLOOKUP(J341, Hidden_Data!M:N, 2, FALSE), "0"))</f>
        <v/>
      </c>
      <c r="N341" t="str">
        <f>IF(M341="","", IFERROR(VLOOKUP(M341, Hidden_Data!M:N, 2, FALSE), "0"))</f>
        <v/>
      </c>
      <c r="Q341" t="str">
        <f>IF(P341="","", IFERROR(VLOOKUP(P341, Hidden_Data!M:N, 2, FALSE), "0"))</f>
        <v/>
      </c>
      <c r="T341" t="str">
        <f t="shared" si="15"/>
        <v/>
      </c>
      <c r="U341" t="str">
        <f t="shared" si="16"/>
        <v/>
      </c>
      <c r="V341" t="str">
        <f t="shared" si="17"/>
        <v/>
      </c>
    </row>
    <row r="342" spans="1:22" x14ac:dyDescent="0.25">
      <c r="A342" t="str">
        <f>IF('Equipment Information'!A342="","", 'Equipment Information'!A342)</f>
        <v/>
      </c>
      <c r="B342" t="str">
        <f>IF('Equipment Information'!B342="","", 'Equipment Information'!B342)</f>
        <v/>
      </c>
      <c r="C342" t="str">
        <f>IF('Equipment Information'!C342="","", 'Equipment Information'!C342)</f>
        <v/>
      </c>
      <c r="E342" t="str">
        <f>IF(D342="","", IFERROR(VLOOKUP(D342, Hidden_Data!M:N, 2, FALSE), "0"))</f>
        <v/>
      </c>
      <c r="H342" t="str">
        <f>IF(G342="","", IFERROR(VLOOKUP(G342, Hidden_Data!M:N, 2, FALSE), "0"))</f>
        <v/>
      </c>
      <c r="K342" t="str">
        <f>IF(J342="","", IFERROR(VLOOKUP(J342, Hidden_Data!M:N, 2, FALSE), "0"))</f>
        <v/>
      </c>
      <c r="N342" t="str">
        <f>IF(M342="","", IFERROR(VLOOKUP(M342, Hidden_Data!M:N, 2, FALSE), "0"))</f>
        <v/>
      </c>
      <c r="Q342" t="str">
        <f>IF(P342="","", IFERROR(VLOOKUP(P342, Hidden_Data!M:N, 2, FALSE), "0"))</f>
        <v/>
      </c>
      <c r="T342" t="str">
        <f t="shared" si="15"/>
        <v/>
      </c>
      <c r="U342" t="str">
        <f t="shared" si="16"/>
        <v/>
      </c>
      <c r="V342" t="str">
        <f t="shared" si="17"/>
        <v/>
      </c>
    </row>
    <row r="343" spans="1:22" x14ac:dyDescent="0.25">
      <c r="A343" t="str">
        <f>IF('Equipment Information'!A343="","", 'Equipment Information'!A343)</f>
        <v/>
      </c>
      <c r="B343" t="str">
        <f>IF('Equipment Information'!B343="","", 'Equipment Information'!B343)</f>
        <v/>
      </c>
      <c r="C343" t="str">
        <f>IF('Equipment Information'!C343="","", 'Equipment Information'!C343)</f>
        <v/>
      </c>
      <c r="E343" t="str">
        <f>IF(D343="","", IFERROR(VLOOKUP(D343, Hidden_Data!M:N, 2, FALSE), "0"))</f>
        <v/>
      </c>
      <c r="H343" t="str">
        <f>IF(G343="","", IFERROR(VLOOKUP(G343, Hidden_Data!M:N, 2, FALSE), "0"))</f>
        <v/>
      </c>
      <c r="K343" t="str">
        <f>IF(J343="","", IFERROR(VLOOKUP(J343, Hidden_Data!M:N, 2, FALSE), "0"))</f>
        <v/>
      </c>
      <c r="N343" t="str">
        <f>IF(M343="","", IFERROR(VLOOKUP(M343, Hidden_Data!M:N, 2, FALSE), "0"))</f>
        <v/>
      </c>
      <c r="Q343" t="str">
        <f>IF(P343="","", IFERROR(VLOOKUP(P343, Hidden_Data!M:N, 2, FALSE), "0"))</f>
        <v/>
      </c>
      <c r="T343" t="str">
        <f t="shared" si="15"/>
        <v/>
      </c>
      <c r="U343" t="str">
        <f t="shared" si="16"/>
        <v/>
      </c>
      <c r="V343" t="str">
        <f t="shared" si="17"/>
        <v/>
      </c>
    </row>
    <row r="344" spans="1:22" x14ac:dyDescent="0.25">
      <c r="A344" t="str">
        <f>IF('Equipment Information'!A344="","", 'Equipment Information'!A344)</f>
        <v/>
      </c>
      <c r="B344" t="str">
        <f>IF('Equipment Information'!B344="","", 'Equipment Information'!B344)</f>
        <v/>
      </c>
      <c r="C344" t="str">
        <f>IF('Equipment Information'!C344="","", 'Equipment Information'!C344)</f>
        <v/>
      </c>
      <c r="E344" t="str">
        <f>IF(D344="","", IFERROR(VLOOKUP(D344, Hidden_Data!M:N, 2, FALSE), "0"))</f>
        <v/>
      </c>
      <c r="H344" t="str">
        <f>IF(G344="","", IFERROR(VLOOKUP(G344, Hidden_Data!M:N, 2, FALSE), "0"))</f>
        <v/>
      </c>
      <c r="K344" t="str">
        <f>IF(J344="","", IFERROR(VLOOKUP(J344, Hidden_Data!M:N, 2, FALSE), "0"))</f>
        <v/>
      </c>
      <c r="N344" t="str">
        <f>IF(M344="","", IFERROR(VLOOKUP(M344, Hidden_Data!M:N, 2, FALSE), "0"))</f>
        <v/>
      </c>
      <c r="Q344" t="str">
        <f>IF(P344="","", IFERROR(VLOOKUP(P344, Hidden_Data!M:N, 2, FALSE), "0"))</f>
        <v/>
      </c>
      <c r="T344" t="str">
        <f t="shared" si="15"/>
        <v/>
      </c>
      <c r="U344" t="str">
        <f t="shared" si="16"/>
        <v/>
      </c>
      <c r="V344" t="str">
        <f t="shared" si="17"/>
        <v/>
      </c>
    </row>
    <row r="345" spans="1:22" x14ac:dyDescent="0.25">
      <c r="A345" t="str">
        <f>IF('Equipment Information'!A345="","", 'Equipment Information'!A345)</f>
        <v/>
      </c>
      <c r="B345" t="str">
        <f>IF('Equipment Information'!B345="","", 'Equipment Information'!B345)</f>
        <v/>
      </c>
      <c r="C345" t="str">
        <f>IF('Equipment Information'!C345="","", 'Equipment Information'!C345)</f>
        <v/>
      </c>
      <c r="E345" t="str">
        <f>IF(D345="","", IFERROR(VLOOKUP(D345, Hidden_Data!M:N, 2, FALSE), "0"))</f>
        <v/>
      </c>
      <c r="H345" t="str">
        <f>IF(G345="","", IFERROR(VLOOKUP(G345, Hidden_Data!M:N, 2, FALSE), "0"))</f>
        <v/>
      </c>
      <c r="K345" t="str">
        <f>IF(J345="","", IFERROR(VLOOKUP(J345, Hidden_Data!M:N, 2, FALSE), "0"))</f>
        <v/>
      </c>
      <c r="N345" t="str">
        <f>IF(M345="","", IFERROR(VLOOKUP(M345, Hidden_Data!M:N, 2, FALSE), "0"))</f>
        <v/>
      </c>
      <c r="Q345" t="str">
        <f>IF(P345="","", IFERROR(VLOOKUP(P345, Hidden_Data!M:N, 2, FALSE), "0"))</f>
        <v/>
      </c>
      <c r="T345" t="str">
        <f t="shared" si="15"/>
        <v/>
      </c>
      <c r="U345" t="str">
        <f t="shared" si="16"/>
        <v/>
      </c>
      <c r="V345" t="str">
        <f t="shared" si="17"/>
        <v/>
      </c>
    </row>
    <row r="346" spans="1:22" x14ac:dyDescent="0.25">
      <c r="A346" t="str">
        <f>IF('Equipment Information'!A346="","", 'Equipment Information'!A346)</f>
        <v/>
      </c>
      <c r="B346" t="str">
        <f>IF('Equipment Information'!B346="","", 'Equipment Information'!B346)</f>
        <v/>
      </c>
      <c r="C346" t="str">
        <f>IF('Equipment Information'!C346="","", 'Equipment Information'!C346)</f>
        <v/>
      </c>
      <c r="E346" t="str">
        <f>IF(D346="","", IFERROR(VLOOKUP(D346, Hidden_Data!M:N, 2, FALSE), "0"))</f>
        <v/>
      </c>
      <c r="H346" t="str">
        <f>IF(G346="","", IFERROR(VLOOKUP(G346, Hidden_Data!M:N, 2, FALSE), "0"))</f>
        <v/>
      </c>
      <c r="K346" t="str">
        <f>IF(J346="","", IFERROR(VLOOKUP(J346, Hidden_Data!M:N, 2, FALSE), "0"))</f>
        <v/>
      </c>
      <c r="N346" t="str">
        <f>IF(M346="","", IFERROR(VLOOKUP(M346, Hidden_Data!M:N, 2, FALSE), "0"))</f>
        <v/>
      </c>
      <c r="Q346" t="str">
        <f>IF(P346="","", IFERROR(VLOOKUP(P346, Hidden_Data!M:N, 2, FALSE), "0"))</f>
        <v/>
      </c>
      <c r="T346" t="str">
        <f t="shared" si="15"/>
        <v/>
      </c>
      <c r="U346" t="str">
        <f t="shared" si="16"/>
        <v/>
      </c>
      <c r="V346" t="str">
        <f t="shared" si="17"/>
        <v/>
      </c>
    </row>
    <row r="347" spans="1:22" x14ac:dyDescent="0.25">
      <c r="A347" t="str">
        <f>IF('Equipment Information'!A347="","", 'Equipment Information'!A347)</f>
        <v/>
      </c>
      <c r="B347" t="str">
        <f>IF('Equipment Information'!B347="","", 'Equipment Information'!B347)</f>
        <v/>
      </c>
      <c r="C347" t="str">
        <f>IF('Equipment Information'!C347="","", 'Equipment Information'!C347)</f>
        <v/>
      </c>
      <c r="E347" t="str">
        <f>IF(D347="","", IFERROR(VLOOKUP(D347, Hidden_Data!M:N, 2, FALSE), "0"))</f>
        <v/>
      </c>
      <c r="H347" t="str">
        <f>IF(G347="","", IFERROR(VLOOKUP(G347, Hidden_Data!M:N, 2, FALSE), "0"))</f>
        <v/>
      </c>
      <c r="K347" t="str">
        <f>IF(J347="","", IFERROR(VLOOKUP(J347, Hidden_Data!M:N, 2, FALSE), "0"))</f>
        <v/>
      </c>
      <c r="N347" t="str">
        <f>IF(M347="","", IFERROR(VLOOKUP(M347, Hidden_Data!M:N, 2, FALSE), "0"))</f>
        <v/>
      </c>
      <c r="Q347" t="str">
        <f>IF(P347="","", IFERROR(VLOOKUP(P347, Hidden_Data!M:N, 2, FALSE), "0"))</f>
        <v/>
      </c>
      <c r="T347" t="str">
        <f t="shared" si="15"/>
        <v/>
      </c>
      <c r="U347" t="str">
        <f t="shared" si="16"/>
        <v/>
      </c>
      <c r="V347" t="str">
        <f t="shared" si="17"/>
        <v/>
      </c>
    </row>
    <row r="348" spans="1:22" x14ac:dyDescent="0.25">
      <c r="A348" t="str">
        <f>IF('Equipment Information'!A348="","", 'Equipment Information'!A348)</f>
        <v/>
      </c>
      <c r="B348" t="str">
        <f>IF('Equipment Information'!B348="","", 'Equipment Information'!B348)</f>
        <v/>
      </c>
      <c r="C348" t="str">
        <f>IF('Equipment Information'!C348="","", 'Equipment Information'!C348)</f>
        <v/>
      </c>
      <c r="E348" t="str">
        <f>IF(D348="","", IFERROR(VLOOKUP(D348, Hidden_Data!M:N, 2, FALSE), "0"))</f>
        <v/>
      </c>
      <c r="H348" t="str">
        <f>IF(G348="","", IFERROR(VLOOKUP(G348, Hidden_Data!M:N, 2, FALSE), "0"))</f>
        <v/>
      </c>
      <c r="K348" t="str">
        <f>IF(J348="","", IFERROR(VLOOKUP(J348, Hidden_Data!M:N, 2, FALSE), "0"))</f>
        <v/>
      </c>
      <c r="N348" t="str">
        <f>IF(M348="","", IFERROR(VLOOKUP(M348, Hidden_Data!M:N, 2, FALSE), "0"))</f>
        <v/>
      </c>
      <c r="Q348" t="str">
        <f>IF(P348="","", IFERROR(VLOOKUP(P348, Hidden_Data!M:N, 2, FALSE), "0"))</f>
        <v/>
      </c>
      <c r="T348" t="str">
        <f t="shared" si="15"/>
        <v/>
      </c>
      <c r="U348" t="str">
        <f t="shared" si="16"/>
        <v/>
      </c>
      <c r="V348" t="str">
        <f t="shared" si="17"/>
        <v/>
      </c>
    </row>
    <row r="349" spans="1:22" x14ac:dyDescent="0.25">
      <c r="A349" t="str">
        <f>IF('Equipment Information'!A349="","", 'Equipment Information'!A349)</f>
        <v/>
      </c>
      <c r="B349" t="str">
        <f>IF('Equipment Information'!B349="","", 'Equipment Information'!B349)</f>
        <v/>
      </c>
      <c r="C349" t="str">
        <f>IF('Equipment Information'!C349="","", 'Equipment Information'!C349)</f>
        <v/>
      </c>
      <c r="E349" t="str">
        <f>IF(D349="","", IFERROR(VLOOKUP(D349, Hidden_Data!M:N, 2, FALSE), "0"))</f>
        <v/>
      </c>
      <c r="H349" t="str">
        <f>IF(G349="","", IFERROR(VLOOKUP(G349, Hidden_Data!M:N, 2, FALSE), "0"))</f>
        <v/>
      </c>
      <c r="K349" t="str">
        <f>IF(J349="","", IFERROR(VLOOKUP(J349, Hidden_Data!M:N, 2, FALSE), "0"))</f>
        <v/>
      </c>
      <c r="N349" t="str">
        <f>IF(M349="","", IFERROR(VLOOKUP(M349, Hidden_Data!M:N, 2, FALSE), "0"))</f>
        <v/>
      </c>
      <c r="Q349" t="str">
        <f>IF(P349="","", IFERROR(VLOOKUP(P349, Hidden_Data!M:N, 2, FALSE), "0"))</f>
        <v/>
      </c>
      <c r="T349" t="str">
        <f t="shared" si="15"/>
        <v/>
      </c>
      <c r="U349" t="str">
        <f t="shared" si="16"/>
        <v/>
      </c>
      <c r="V349" t="str">
        <f t="shared" si="17"/>
        <v/>
      </c>
    </row>
    <row r="350" spans="1:22" x14ac:dyDescent="0.25">
      <c r="A350" t="str">
        <f>IF('Equipment Information'!A350="","", 'Equipment Information'!A350)</f>
        <v/>
      </c>
      <c r="B350" t="str">
        <f>IF('Equipment Information'!B350="","", 'Equipment Information'!B350)</f>
        <v/>
      </c>
      <c r="C350" t="str">
        <f>IF('Equipment Information'!C350="","", 'Equipment Information'!C350)</f>
        <v/>
      </c>
      <c r="E350" t="str">
        <f>IF(D350="","", IFERROR(VLOOKUP(D350, Hidden_Data!M:N, 2, FALSE), "0"))</f>
        <v/>
      </c>
      <c r="H350" t="str">
        <f>IF(G350="","", IFERROR(VLOOKUP(G350, Hidden_Data!M:N, 2, FALSE), "0"))</f>
        <v/>
      </c>
      <c r="K350" t="str">
        <f>IF(J350="","", IFERROR(VLOOKUP(J350, Hidden_Data!M:N, 2, FALSE), "0"))</f>
        <v/>
      </c>
      <c r="N350" t="str">
        <f>IF(M350="","", IFERROR(VLOOKUP(M350, Hidden_Data!M:N, 2, FALSE), "0"))</f>
        <v/>
      </c>
      <c r="Q350" t="str">
        <f>IF(P350="","", IFERROR(VLOOKUP(P350, Hidden_Data!M:N, 2, FALSE), "0"))</f>
        <v/>
      </c>
      <c r="T350" t="str">
        <f t="shared" si="15"/>
        <v/>
      </c>
      <c r="U350" t="str">
        <f t="shared" si="16"/>
        <v/>
      </c>
      <c r="V350" t="str">
        <f t="shared" si="17"/>
        <v/>
      </c>
    </row>
    <row r="351" spans="1:22" x14ac:dyDescent="0.25">
      <c r="A351" t="str">
        <f>IF('Equipment Information'!A351="","", 'Equipment Information'!A351)</f>
        <v/>
      </c>
      <c r="B351" t="str">
        <f>IF('Equipment Information'!B351="","", 'Equipment Information'!B351)</f>
        <v/>
      </c>
      <c r="C351" t="str">
        <f>IF('Equipment Information'!C351="","", 'Equipment Information'!C351)</f>
        <v/>
      </c>
      <c r="E351" t="str">
        <f>IF(D351="","", IFERROR(VLOOKUP(D351, Hidden_Data!M:N, 2, FALSE), "0"))</f>
        <v/>
      </c>
      <c r="H351" t="str">
        <f>IF(G351="","", IFERROR(VLOOKUP(G351, Hidden_Data!M:N, 2, FALSE), "0"))</f>
        <v/>
      </c>
      <c r="K351" t="str">
        <f>IF(J351="","", IFERROR(VLOOKUP(J351, Hidden_Data!M:N, 2, FALSE), "0"))</f>
        <v/>
      </c>
      <c r="N351" t="str">
        <f>IF(M351="","", IFERROR(VLOOKUP(M351, Hidden_Data!M:N, 2, FALSE), "0"))</f>
        <v/>
      </c>
      <c r="Q351" t="str">
        <f>IF(P351="","", IFERROR(VLOOKUP(P351, Hidden_Data!M:N, 2, FALSE), "0"))</f>
        <v/>
      </c>
      <c r="T351" t="str">
        <f t="shared" si="15"/>
        <v/>
      </c>
      <c r="U351" t="str">
        <f t="shared" si="16"/>
        <v/>
      </c>
      <c r="V351" t="str">
        <f t="shared" si="17"/>
        <v/>
      </c>
    </row>
    <row r="352" spans="1:22" x14ac:dyDescent="0.25">
      <c r="A352" t="str">
        <f>IF('Equipment Information'!A352="","", 'Equipment Information'!A352)</f>
        <v/>
      </c>
      <c r="B352" t="str">
        <f>IF('Equipment Information'!B352="","", 'Equipment Information'!B352)</f>
        <v/>
      </c>
      <c r="C352" t="str">
        <f>IF('Equipment Information'!C352="","", 'Equipment Information'!C352)</f>
        <v/>
      </c>
      <c r="E352" t="str">
        <f>IF(D352="","", IFERROR(VLOOKUP(D352, Hidden_Data!M:N, 2, FALSE), "0"))</f>
        <v/>
      </c>
      <c r="H352" t="str">
        <f>IF(G352="","", IFERROR(VLOOKUP(G352, Hidden_Data!M:N, 2, FALSE), "0"))</f>
        <v/>
      </c>
      <c r="K352" t="str">
        <f>IF(J352="","", IFERROR(VLOOKUP(J352, Hidden_Data!M:N, 2, FALSE), "0"))</f>
        <v/>
      </c>
      <c r="N352" t="str">
        <f>IF(M352="","", IFERROR(VLOOKUP(M352, Hidden_Data!M:N, 2, FALSE), "0"))</f>
        <v/>
      </c>
      <c r="Q352" t="str">
        <f>IF(P352="","", IFERROR(VLOOKUP(P352, Hidden_Data!M:N, 2, FALSE), "0"))</f>
        <v/>
      </c>
      <c r="T352" t="str">
        <f t="shared" si="15"/>
        <v/>
      </c>
      <c r="U352" t="str">
        <f t="shared" si="16"/>
        <v/>
      </c>
      <c r="V352" t="str">
        <f t="shared" si="17"/>
        <v/>
      </c>
    </row>
    <row r="353" spans="1:22" x14ac:dyDescent="0.25">
      <c r="A353" t="str">
        <f>IF('Equipment Information'!A353="","", 'Equipment Information'!A353)</f>
        <v/>
      </c>
      <c r="B353" t="str">
        <f>IF('Equipment Information'!B353="","", 'Equipment Information'!B353)</f>
        <v/>
      </c>
      <c r="C353" t="str">
        <f>IF('Equipment Information'!C353="","", 'Equipment Information'!C353)</f>
        <v/>
      </c>
      <c r="E353" t="str">
        <f>IF(D353="","", IFERROR(VLOOKUP(D353, Hidden_Data!M:N, 2, FALSE), "0"))</f>
        <v/>
      </c>
      <c r="H353" t="str">
        <f>IF(G353="","", IFERROR(VLOOKUP(G353, Hidden_Data!M:N, 2, FALSE), "0"))</f>
        <v/>
      </c>
      <c r="K353" t="str">
        <f>IF(J353="","", IFERROR(VLOOKUP(J353, Hidden_Data!M:N, 2, FALSE), "0"))</f>
        <v/>
      </c>
      <c r="N353" t="str">
        <f>IF(M353="","", IFERROR(VLOOKUP(M353, Hidden_Data!M:N, 2, FALSE), "0"))</f>
        <v/>
      </c>
      <c r="Q353" t="str">
        <f>IF(P353="","", IFERROR(VLOOKUP(P353, Hidden_Data!M:N, 2, FALSE), "0"))</f>
        <v/>
      </c>
      <c r="T353" t="str">
        <f t="shared" si="15"/>
        <v/>
      </c>
      <c r="U353" t="str">
        <f t="shared" si="16"/>
        <v/>
      </c>
      <c r="V353" t="str">
        <f t="shared" si="17"/>
        <v/>
      </c>
    </row>
    <row r="354" spans="1:22" x14ac:dyDescent="0.25">
      <c r="A354" t="str">
        <f>IF('Equipment Information'!A354="","", 'Equipment Information'!A354)</f>
        <v/>
      </c>
      <c r="B354" t="str">
        <f>IF('Equipment Information'!B354="","", 'Equipment Information'!B354)</f>
        <v/>
      </c>
      <c r="C354" t="str">
        <f>IF('Equipment Information'!C354="","", 'Equipment Information'!C354)</f>
        <v/>
      </c>
      <c r="E354" t="str">
        <f>IF(D354="","", IFERROR(VLOOKUP(D354, Hidden_Data!M:N, 2, FALSE), "0"))</f>
        <v/>
      </c>
      <c r="H354" t="str">
        <f>IF(G354="","", IFERROR(VLOOKUP(G354, Hidden_Data!M:N, 2, FALSE), "0"))</f>
        <v/>
      </c>
      <c r="K354" t="str">
        <f>IF(J354="","", IFERROR(VLOOKUP(J354, Hidden_Data!M:N, 2, FALSE), "0"))</f>
        <v/>
      </c>
      <c r="N354" t="str">
        <f>IF(M354="","", IFERROR(VLOOKUP(M354, Hidden_Data!M:N, 2, FALSE), "0"))</f>
        <v/>
      </c>
      <c r="Q354" t="str">
        <f>IF(P354="","", IFERROR(VLOOKUP(P354, Hidden_Data!M:N, 2, FALSE), "0"))</f>
        <v/>
      </c>
      <c r="T354" t="str">
        <f t="shared" si="15"/>
        <v/>
      </c>
      <c r="U354" t="str">
        <f t="shared" si="16"/>
        <v/>
      </c>
      <c r="V354" t="str">
        <f t="shared" si="17"/>
        <v/>
      </c>
    </row>
    <row r="355" spans="1:22" x14ac:dyDescent="0.25">
      <c r="A355" t="str">
        <f>IF('Equipment Information'!A355="","", 'Equipment Information'!A355)</f>
        <v/>
      </c>
      <c r="B355" t="str">
        <f>IF('Equipment Information'!B355="","", 'Equipment Information'!B355)</f>
        <v/>
      </c>
      <c r="C355" t="str">
        <f>IF('Equipment Information'!C355="","", 'Equipment Information'!C355)</f>
        <v/>
      </c>
      <c r="E355" t="str">
        <f>IF(D355="","", IFERROR(VLOOKUP(D355, Hidden_Data!M:N, 2, FALSE), "0"))</f>
        <v/>
      </c>
      <c r="H355" t="str">
        <f>IF(G355="","", IFERROR(VLOOKUP(G355, Hidden_Data!M:N, 2, FALSE), "0"))</f>
        <v/>
      </c>
      <c r="K355" t="str">
        <f>IF(J355="","", IFERROR(VLOOKUP(J355, Hidden_Data!M:N, 2, FALSE), "0"))</f>
        <v/>
      </c>
      <c r="N355" t="str">
        <f>IF(M355="","", IFERROR(VLOOKUP(M355, Hidden_Data!M:N, 2, FALSE), "0"))</f>
        <v/>
      </c>
      <c r="Q355" t="str">
        <f>IF(P355="","", IFERROR(VLOOKUP(P355, Hidden_Data!M:N, 2, FALSE), "0"))</f>
        <v/>
      </c>
      <c r="T355" t="str">
        <f t="shared" si="15"/>
        <v/>
      </c>
      <c r="U355" t="str">
        <f t="shared" si="16"/>
        <v/>
      </c>
      <c r="V355" t="str">
        <f t="shared" si="17"/>
        <v/>
      </c>
    </row>
    <row r="356" spans="1:22" x14ac:dyDescent="0.25">
      <c r="A356" t="str">
        <f>IF('Equipment Information'!A356="","", 'Equipment Information'!A356)</f>
        <v/>
      </c>
      <c r="B356" t="str">
        <f>IF('Equipment Information'!B356="","", 'Equipment Information'!B356)</f>
        <v/>
      </c>
      <c r="C356" t="str">
        <f>IF('Equipment Information'!C356="","", 'Equipment Information'!C356)</f>
        <v/>
      </c>
      <c r="E356" t="str">
        <f>IF(D356="","", IFERROR(VLOOKUP(D356, Hidden_Data!M:N, 2, FALSE), "0"))</f>
        <v/>
      </c>
      <c r="H356" t="str">
        <f>IF(G356="","", IFERROR(VLOOKUP(G356, Hidden_Data!M:N, 2, FALSE), "0"))</f>
        <v/>
      </c>
      <c r="K356" t="str">
        <f>IF(J356="","", IFERROR(VLOOKUP(J356, Hidden_Data!M:N, 2, FALSE), "0"))</f>
        <v/>
      </c>
      <c r="N356" t="str">
        <f>IF(M356="","", IFERROR(VLOOKUP(M356, Hidden_Data!M:N, 2, FALSE), "0"))</f>
        <v/>
      </c>
      <c r="Q356" t="str">
        <f>IF(P356="","", IFERROR(VLOOKUP(P356, Hidden_Data!M:N, 2, FALSE), "0"))</f>
        <v/>
      </c>
      <c r="T356" t="str">
        <f t="shared" si="15"/>
        <v/>
      </c>
      <c r="U356" t="str">
        <f t="shared" si="16"/>
        <v/>
      </c>
      <c r="V356" t="str">
        <f t="shared" si="17"/>
        <v/>
      </c>
    </row>
    <row r="357" spans="1:22" x14ac:dyDescent="0.25">
      <c r="A357" t="str">
        <f>IF('Equipment Information'!A357="","", 'Equipment Information'!A357)</f>
        <v/>
      </c>
      <c r="B357" t="str">
        <f>IF('Equipment Information'!B357="","", 'Equipment Information'!B357)</f>
        <v/>
      </c>
      <c r="C357" t="str">
        <f>IF('Equipment Information'!C357="","", 'Equipment Information'!C357)</f>
        <v/>
      </c>
      <c r="E357" t="str">
        <f>IF(D357="","", IFERROR(VLOOKUP(D357, Hidden_Data!M:N, 2, FALSE), "0"))</f>
        <v/>
      </c>
      <c r="H357" t="str">
        <f>IF(G357="","", IFERROR(VLOOKUP(G357, Hidden_Data!M:N, 2, FALSE), "0"))</f>
        <v/>
      </c>
      <c r="K357" t="str">
        <f>IF(J357="","", IFERROR(VLOOKUP(J357, Hidden_Data!M:N, 2, FALSE), "0"))</f>
        <v/>
      </c>
      <c r="N357" t="str">
        <f>IF(M357="","", IFERROR(VLOOKUP(M357, Hidden_Data!M:N, 2, FALSE), "0"))</f>
        <v/>
      </c>
      <c r="Q357" t="str">
        <f>IF(P357="","", IFERROR(VLOOKUP(P357, Hidden_Data!M:N, 2, FALSE), "0"))</f>
        <v/>
      </c>
      <c r="T357" t="str">
        <f t="shared" si="15"/>
        <v/>
      </c>
      <c r="U357" t="str">
        <f t="shared" si="16"/>
        <v/>
      </c>
      <c r="V357" t="str">
        <f t="shared" si="17"/>
        <v/>
      </c>
    </row>
    <row r="358" spans="1:22" x14ac:dyDescent="0.25">
      <c r="A358" t="str">
        <f>IF('Equipment Information'!A358="","", 'Equipment Information'!A358)</f>
        <v/>
      </c>
      <c r="B358" t="str">
        <f>IF('Equipment Information'!B358="","", 'Equipment Information'!B358)</f>
        <v/>
      </c>
      <c r="C358" t="str">
        <f>IF('Equipment Information'!C358="","", 'Equipment Information'!C358)</f>
        <v/>
      </c>
      <c r="E358" t="str">
        <f>IF(D358="","", IFERROR(VLOOKUP(D358, Hidden_Data!M:N, 2, FALSE), "0"))</f>
        <v/>
      </c>
      <c r="H358" t="str">
        <f>IF(G358="","", IFERROR(VLOOKUP(G358, Hidden_Data!M:N, 2, FALSE), "0"))</f>
        <v/>
      </c>
      <c r="K358" t="str">
        <f>IF(J358="","", IFERROR(VLOOKUP(J358, Hidden_Data!M:N, 2, FALSE), "0"))</f>
        <v/>
      </c>
      <c r="N358" t="str">
        <f>IF(M358="","", IFERROR(VLOOKUP(M358, Hidden_Data!M:N, 2, FALSE), "0"))</f>
        <v/>
      </c>
      <c r="Q358" t="str">
        <f>IF(P358="","", IFERROR(VLOOKUP(P358, Hidden_Data!M:N, 2, FALSE), "0"))</f>
        <v/>
      </c>
      <c r="T358" t="str">
        <f t="shared" si="15"/>
        <v/>
      </c>
      <c r="U358" t="str">
        <f t="shared" si="16"/>
        <v/>
      </c>
      <c r="V358" t="str">
        <f t="shared" si="17"/>
        <v/>
      </c>
    </row>
    <row r="359" spans="1:22" x14ac:dyDescent="0.25">
      <c r="A359" t="str">
        <f>IF('Equipment Information'!A359="","", 'Equipment Information'!A359)</f>
        <v/>
      </c>
      <c r="B359" t="str">
        <f>IF('Equipment Information'!B359="","", 'Equipment Information'!B359)</f>
        <v/>
      </c>
      <c r="C359" t="str">
        <f>IF('Equipment Information'!C359="","", 'Equipment Information'!C359)</f>
        <v/>
      </c>
      <c r="E359" t="str">
        <f>IF(D359="","", IFERROR(VLOOKUP(D359, Hidden_Data!M:N, 2, FALSE), "0"))</f>
        <v/>
      </c>
      <c r="H359" t="str">
        <f>IF(G359="","", IFERROR(VLOOKUP(G359, Hidden_Data!M:N, 2, FALSE), "0"))</f>
        <v/>
      </c>
      <c r="K359" t="str">
        <f>IF(J359="","", IFERROR(VLOOKUP(J359, Hidden_Data!M:N, 2, FALSE), "0"))</f>
        <v/>
      </c>
      <c r="N359" t="str">
        <f>IF(M359="","", IFERROR(VLOOKUP(M359, Hidden_Data!M:N, 2, FALSE), "0"))</f>
        <v/>
      </c>
      <c r="Q359" t="str">
        <f>IF(P359="","", IFERROR(VLOOKUP(P359, Hidden_Data!M:N, 2, FALSE), "0"))</f>
        <v/>
      </c>
      <c r="T359" t="str">
        <f t="shared" si="15"/>
        <v/>
      </c>
      <c r="U359" t="str">
        <f t="shared" si="16"/>
        <v/>
      </c>
      <c r="V359" t="str">
        <f t="shared" si="17"/>
        <v/>
      </c>
    </row>
    <row r="360" spans="1:22" x14ac:dyDescent="0.25">
      <c r="A360" t="str">
        <f>IF('Equipment Information'!A360="","", 'Equipment Information'!A360)</f>
        <v/>
      </c>
      <c r="B360" t="str">
        <f>IF('Equipment Information'!B360="","", 'Equipment Information'!B360)</f>
        <v/>
      </c>
      <c r="C360" t="str">
        <f>IF('Equipment Information'!C360="","", 'Equipment Information'!C360)</f>
        <v/>
      </c>
      <c r="E360" t="str">
        <f>IF(D360="","", IFERROR(VLOOKUP(D360, Hidden_Data!M:N, 2, FALSE), "0"))</f>
        <v/>
      </c>
      <c r="H360" t="str">
        <f>IF(G360="","", IFERROR(VLOOKUP(G360, Hidden_Data!M:N, 2, FALSE), "0"))</f>
        <v/>
      </c>
      <c r="K360" t="str">
        <f>IF(J360="","", IFERROR(VLOOKUP(J360, Hidden_Data!M:N, 2, FALSE), "0"))</f>
        <v/>
      </c>
      <c r="N360" t="str">
        <f>IF(M360="","", IFERROR(VLOOKUP(M360, Hidden_Data!M:N, 2, FALSE), "0"))</f>
        <v/>
      </c>
      <c r="Q360" t="str">
        <f>IF(P360="","", IFERROR(VLOOKUP(P360, Hidden_Data!M:N, 2, FALSE), "0"))</f>
        <v/>
      </c>
      <c r="T360" t="str">
        <f t="shared" si="15"/>
        <v/>
      </c>
      <c r="U360" t="str">
        <f t="shared" si="16"/>
        <v/>
      </c>
      <c r="V360" t="str">
        <f t="shared" si="17"/>
        <v/>
      </c>
    </row>
    <row r="361" spans="1:22" x14ac:dyDescent="0.25">
      <c r="A361" t="str">
        <f>IF('Equipment Information'!A361="","", 'Equipment Information'!A361)</f>
        <v/>
      </c>
      <c r="B361" t="str">
        <f>IF('Equipment Information'!B361="","", 'Equipment Information'!B361)</f>
        <v/>
      </c>
      <c r="C361" t="str">
        <f>IF('Equipment Information'!C361="","", 'Equipment Information'!C361)</f>
        <v/>
      </c>
      <c r="E361" t="str">
        <f>IF(D361="","", IFERROR(VLOOKUP(D361, Hidden_Data!M:N, 2, FALSE), "0"))</f>
        <v/>
      </c>
      <c r="H361" t="str">
        <f>IF(G361="","", IFERROR(VLOOKUP(G361, Hidden_Data!M:N, 2, FALSE), "0"))</f>
        <v/>
      </c>
      <c r="K361" t="str">
        <f>IF(J361="","", IFERROR(VLOOKUP(J361, Hidden_Data!M:N, 2, FALSE), "0"))</f>
        <v/>
      </c>
      <c r="N361" t="str">
        <f>IF(M361="","", IFERROR(VLOOKUP(M361, Hidden_Data!M:N, 2, FALSE), "0"))</f>
        <v/>
      </c>
      <c r="Q361" t="str">
        <f>IF(P361="","", IFERROR(VLOOKUP(P361, Hidden_Data!M:N, 2, FALSE), "0"))</f>
        <v/>
      </c>
      <c r="T361" t="str">
        <f t="shared" si="15"/>
        <v/>
      </c>
      <c r="U361" t="str">
        <f t="shared" si="16"/>
        <v/>
      </c>
      <c r="V361" t="str">
        <f t="shared" si="17"/>
        <v/>
      </c>
    </row>
    <row r="362" spans="1:22" x14ac:dyDescent="0.25">
      <c r="A362" t="str">
        <f>IF('Equipment Information'!A362="","", 'Equipment Information'!A362)</f>
        <v/>
      </c>
      <c r="B362" t="str">
        <f>IF('Equipment Information'!B362="","", 'Equipment Information'!B362)</f>
        <v/>
      </c>
      <c r="C362" t="str">
        <f>IF('Equipment Information'!C362="","", 'Equipment Information'!C362)</f>
        <v/>
      </c>
      <c r="E362" t="str">
        <f>IF(D362="","", IFERROR(VLOOKUP(D362, Hidden_Data!M:N, 2, FALSE), "0"))</f>
        <v/>
      </c>
      <c r="H362" t="str">
        <f>IF(G362="","", IFERROR(VLOOKUP(G362, Hidden_Data!M:N, 2, FALSE), "0"))</f>
        <v/>
      </c>
      <c r="K362" t="str">
        <f>IF(J362="","", IFERROR(VLOOKUP(J362, Hidden_Data!M:N, 2, FALSE), "0"))</f>
        <v/>
      </c>
      <c r="N362" t="str">
        <f>IF(M362="","", IFERROR(VLOOKUP(M362, Hidden_Data!M:N, 2, FALSE), "0"))</f>
        <v/>
      </c>
      <c r="Q362" t="str">
        <f>IF(P362="","", IFERROR(VLOOKUP(P362, Hidden_Data!M:N, 2, FALSE), "0"))</f>
        <v/>
      </c>
      <c r="T362" t="str">
        <f t="shared" si="15"/>
        <v/>
      </c>
      <c r="U362" t="str">
        <f t="shared" si="16"/>
        <v/>
      </c>
      <c r="V362" t="str">
        <f t="shared" si="17"/>
        <v/>
      </c>
    </row>
    <row r="363" spans="1:22" x14ac:dyDescent="0.25">
      <c r="A363" t="str">
        <f>IF('Equipment Information'!A363="","", 'Equipment Information'!A363)</f>
        <v/>
      </c>
      <c r="B363" t="str">
        <f>IF('Equipment Information'!B363="","", 'Equipment Information'!B363)</f>
        <v/>
      </c>
      <c r="C363" t="str">
        <f>IF('Equipment Information'!C363="","", 'Equipment Information'!C363)</f>
        <v/>
      </c>
      <c r="E363" t="str">
        <f>IF(D363="","", IFERROR(VLOOKUP(D363, Hidden_Data!M:N, 2, FALSE), "0"))</f>
        <v/>
      </c>
      <c r="H363" t="str">
        <f>IF(G363="","", IFERROR(VLOOKUP(G363, Hidden_Data!M:N, 2, FALSE), "0"))</f>
        <v/>
      </c>
      <c r="K363" t="str">
        <f>IF(J363="","", IFERROR(VLOOKUP(J363, Hidden_Data!M:N, 2, FALSE), "0"))</f>
        <v/>
      </c>
      <c r="N363" t="str">
        <f>IF(M363="","", IFERROR(VLOOKUP(M363, Hidden_Data!M:N, 2, FALSE), "0"))</f>
        <v/>
      </c>
      <c r="Q363" t="str">
        <f>IF(P363="","", IFERROR(VLOOKUP(P363, Hidden_Data!M:N, 2, FALSE), "0"))</f>
        <v/>
      </c>
      <c r="T363" t="str">
        <f t="shared" si="15"/>
        <v/>
      </c>
      <c r="U363" t="str">
        <f t="shared" si="16"/>
        <v/>
      </c>
      <c r="V363" t="str">
        <f t="shared" si="17"/>
        <v/>
      </c>
    </row>
    <row r="364" spans="1:22" x14ac:dyDescent="0.25">
      <c r="A364" t="str">
        <f>IF('Equipment Information'!A364="","", 'Equipment Information'!A364)</f>
        <v/>
      </c>
      <c r="B364" t="str">
        <f>IF('Equipment Information'!B364="","", 'Equipment Information'!B364)</f>
        <v/>
      </c>
      <c r="C364" t="str">
        <f>IF('Equipment Information'!C364="","", 'Equipment Information'!C364)</f>
        <v/>
      </c>
      <c r="E364" t="str">
        <f>IF(D364="","", IFERROR(VLOOKUP(D364, Hidden_Data!M:N, 2, FALSE), "0"))</f>
        <v/>
      </c>
      <c r="H364" t="str">
        <f>IF(G364="","", IFERROR(VLOOKUP(G364, Hidden_Data!M:N, 2, FALSE), "0"))</f>
        <v/>
      </c>
      <c r="K364" t="str">
        <f>IF(J364="","", IFERROR(VLOOKUP(J364, Hidden_Data!M:N, 2, FALSE), "0"))</f>
        <v/>
      </c>
      <c r="N364" t="str">
        <f>IF(M364="","", IFERROR(VLOOKUP(M364, Hidden_Data!M:N, 2, FALSE), "0"))</f>
        <v/>
      </c>
      <c r="Q364" t="str">
        <f>IF(P364="","", IFERROR(VLOOKUP(P364, Hidden_Data!M:N, 2, FALSE), "0"))</f>
        <v/>
      </c>
      <c r="T364" t="str">
        <f t="shared" si="15"/>
        <v/>
      </c>
      <c r="U364" t="str">
        <f t="shared" si="16"/>
        <v/>
      </c>
      <c r="V364" t="str">
        <f t="shared" si="17"/>
        <v/>
      </c>
    </row>
    <row r="365" spans="1:22" x14ac:dyDescent="0.25">
      <c r="A365" t="str">
        <f>IF('Equipment Information'!A365="","", 'Equipment Information'!A365)</f>
        <v/>
      </c>
      <c r="B365" t="str">
        <f>IF('Equipment Information'!B365="","", 'Equipment Information'!B365)</f>
        <v/>
      </c>
      <c r="C365" t="str">
        <f>IF('Equipment Information'!C365="","", 'Equipment Information'!C365)</f>
        <v/>
      </c>
      <c r="E365" t="str">
        <f>IF(D365="","", IFERROR(VLOOKUP(D365, Hidden_Data!M:N, 2, FALSE), "0"))</f>
        <v/>
      </c>
      <c r="H365" t="str">
        <f>IF(G365="","", IFERROR(VLOOKUP(G365, Hidden_Data!M:N, 2, FALSE), "0"))</f>
        <v/>
      </c>
      <c r="K365" t="str">
        <f>IF(J365="","", IFERROR(VLOOKUP(J365, Hidden_Data!M:N, 2, FALSE), "0"))</f>
        <v/>
      </c>
      <c r="N365" t="str">
        <f>IF(M365="","", IFERROR(VLOOKUP(M365, Hidden_Data!M:N, 2, FALSE), "0"))</f>
        <v/>
      </c>
      <c r="Q365" t="str">
        <f>IF(P365="","", IFERROR(VLOOKUP(P365, Hidden_Data!M:N, 2, FALSE), "0"))</f>
        <v/>
      </c>
      <c r="T365" t="str">
        <f t="shared" si="15"/>
        <v/>
      </c>
      <c r="U365" t="str">
        <f t="shared" si="16"/>
        <v/>
      </c>
      <c r="V365" t="str">
        <f t="shared" si="17"/>
        <v/>
      </c>
    </row>
    <row r="366" spans="1:22" x14ac:dyDescent="0.25">
      <c r="A366" t="str">
        <f>IF('Equipment Information'!A366="","", 'Equipment Information'!A366)</f>
        <v/>
      </c>
      <c r="B366" t="str">
        <f>IF('Equipment Information'!B366="","", 'Equipment Information'!B366)</f>
        <v/>
      </c>
      <c r="C366" t="str">
        <f>IF('Equipment Information'!C366="","", 'Equipment Information'!C366)</f>
        <v/>
      </c>
      <c r="E366" t="str">
        <f>IF(D366="","", IFERROR(VLOOKUP(D366, Hidden_Data!M:N, 2, FALSE), "0"))</f>
        <v/>
      </c>
      <c r="H366" t="str">
        <f>IF(G366="","", IFERROR(VLOOKUP(G366, Hidden_Data!M:N, 2, FALSE), "0"))</f>
        <v/>
      </c>
      <c r="K366" t="str">
        <f>IF(J366="","", IFERROR(VLOOKUP(J366, Hidden_Data!M:N, 2, FALSE), "0"))</f>
        <v/>
      </c>
      <c r="N366" t="str">
        <f>IF(M366="","", IFERROR(VLOOKUP(M366, Hidden_Data!M:N, 2, FALSE), "0"))</f>
        <v/>
      </c>
      <c r="Q366" t="str">
        <f>IF(P366="","", IFERROR(VLOOKUP(P366, Hidden_Data!M:N, 2, FALSE), "0"))</f>
        <v/>
      </c>
      <c r="T366" t="str">
        <f t="shared" si="15"/>
        <v/>
      </c>
      <c r="U366" t="str">
        <f t="shared" si="16"/>
        <v/>
      </c>
      <c r="V366" t="str">
        <f t="shared" si="17"/>
        <v/>
      </c>
    </row>
    <row r="367" spans="1:22" x14ac:dyDescent="0.25">
      <c r="A367" t="str">
        <f>IF('Equipment Information'!A367="","", 'Equipment Information'!A367)</f>
        <v/>
      </c>
      <c r="B367" t="str">
        <f>IF('Equipment Information'!B367="","", 'Equipment Information'!B367)</f>
        <v/>
      </c>
      <c r="C367" t="str">
        <f>IF('Equipment Information'!C367="","", 'Equipment Information'!C367)</f>
        <v/>
      </c>
      <c r="E367" t="str">
        <f>IF(D367="","", IFERROR(VLOOKUP(D367, Hidden_Data!M:N, 2, FALSE), "0"))</f>
        <v/>
      </c>
      <c r="H367" t="str">
        <f>IF(G367="","", IFERROR(VLOOKUP(G367, Hidden_Data!M:N, 2, FALSE), "0"))</f>
        <v/>
      </c>
      <c r="K367" t="str">
        <f>IF(J367="","", IFERROR(VLOOKUP(J367, Hidden_Data!M:N, 2, FALSE), "0"))</f>
        <v/>
      </c>
      <c r="N367" t="str">
        <f>IF(M367="","", IFERROR(VLOOKUP(M367, Hidden_Data!M:N, 2, FALSE), "0"))</f>
        <v/>
      </c>
      <c r="Q367" t="str">
        <f>IF(P367="","", IFERROR(VLOOKUP(P367, Hidden_Data!M:N, 2, FALSE), "0"))</f>
        <v/>
      </c>
      <c r="T367" t="str">
        <f t="shared" si="15"/>
        <v/>
      </c>
      <c r="U367" t="str">
        <f t="shared" si="16"/>
        <v/>
      </c>
      <c r="V367" t="str">
        <f t="shared" si="17"/>
        <v/>
      </c>
    </row>
    <row r="368" spans="1:22" x14ac:dyDescent="0.25">
      <c r="A368" t="str">
        <f>IF('Equipment Information'!A368="","", 'Equipment Information'!A368)</f>
        <v/>
      </c>
      <c r="B368" t="str">
        <f>IF('Equipment Information'!B368="","", 'Equipment Information'!B368)</f>
        <v/>
      </c>
      <c r="C368" t="str">
        <f>IF('Equipment Information'!C368="","", 'Equipment Information'!C368)</f>
        <v/>
      </c>
      <c r="E368" t="str">
        <f>IF(D368="","", IFERROR(VLOOKUP(D368, Hidden_Data!M:N, 2, FALSE), "0"))</f>
        <v/>
      </c>
      <c r="H368" t="str">
        <f>IF(G368="","", IFERROR(VLOOKUP(G368, Hidden_Data!M:N, 2, FALSE), "0"))</f>
        <v/>
      </c>
      <c r="K368" t="str">
        <f>IF(J368="","", IFERROR(VLOOKUP(J368, Hidden_Data!M:N, 2, FALSE), "0"))</f>
        <v/>
      </c>
      <c r="N368" t="str">
        <f>IF(M368="","", IFERROR(VLOOKUP(M368, Hidden_Data!M:N, 2, FALSE), "0"))</f>
        <v/>
      </c>
      <c r="Q368" t="str">
        <f>IF(P368="","", IFERROR(VLOOKUP(P368, Hidden_Data!M:N, 2, FALSE), "0"))</f>
        <v/>
      </c>
      <c r="T368" t="str">
        <f t="shared" si="15"/>
        <v/>
      </c>
      <c r="U368" t="str">
        <f t="shared" si="16"/>
        <v/>
      </c>
      <c r="V368" t="str">
        <f t="shared" si="17"/>
        <v/>
      </c>
    </row>
    <row r="369" spans="1:22" x14ac:dyDescent="0.25">
      <c r="A369" t="str">
        <f>IF('Equipment Information'!A369="","", 'Equipment Information'!A369)</f>
        <v/>
      </c>
      <c r="B369" t="str">
        <f>IF('Equipment Information'!B369="","", 'Equipment Information'!B369)</f>
        <v/>
      </c>
      <c r="C369" t="str">
        <f>IF('Equipment Information'!C369="","", 'Equipment Information'!C369)</f>
        <v/>
      </c>
      <c r="E369" t="str">
        <f>IF(D369="","", IFERROR(VLOOKUP(D369, Hidden_Data!M:N, 2, FALSE), "0"))</f>
        <v/>
      </c>
      <c r="H369" t="str">
        <f>IF(G369="","", IFERROR(VLOOKUP(G369, Hidden_Data!M:N, 2, FALSE), "0"))</f>
        <v/>
      </c>
      <c r="K369" t="str">
        <f>IF(J369="","", IFERROR(VLOOKUP(J369, Hidden_Data!M:N, 2, FALSE), "0"))</f>
        <v/>
      </c>
      <c r="N369" t="str">
        <f>IF(M369="","", IFERROR(VLOOKUP(M369, Hidden_Data!M:N, 2, FALSE), "0"))</f>
        <v/>
      </c>
      <c r="Q369" t="str">
        <f>IF(P369="","", IFERROR(VLOOKUP(P369, Hidden_Data!M:N, 2, FALSE), "0"))</f>
        <v/>
      </c>
      <c r="T369" t="str">
        <f t="shared" si="15"/>
        <v/>
      </c>
      <c r="U369" t="str">
        <f t="shared" si="16"/>
        <v/>
      </c>
      <c r="V369" t="str">
        <f t="shared" si="17"/>
        <v/>
      </c>
    </row>
    <row r="370" spans="1:22" x14ac:dyDescent="0.25">
      <c r="A370" t="str">
        <f>IF('Equipment Information'!A370="","", 'Equipment Information'!A370)</f>
        <v/>
      </c>
      <c r="B370" t="str">
        <f>IF('Equipment Information'!B370="","", 'Equipment Information'!B370)</f>
        <v/>
      </c>
      <c r="C370" t="str">
        <f>IF('Equipment Information'!C370="","", 'Equipment Information'!C370)</f>
        <v/>
      </c>
      <c r="E370" t="str">
        <f>IF(D370="","", IFERROR(VLOOKUP(D370, Hidden_Data!M:N, 2, FALSE), "0"))</f>
        <v/>
      </c>
      <c r="H370" t="str">
        <f>IF(G370="","", IFERROR(VLOOKUP(G370, Hidden_Data!M:N, 2, FALSE), "0"))</f>
        <v/>
      </c>
      <c r="K370" t="str">
        <f>IF(J370="","", IFERROR(VLOOKUP(J370, Hidden_Data!M:N, 2, FALSE), "0"))</f>
        <v/>
      </c>
      <c r="N370" t="str">
        <f>IF(M370="","", IFERROR(VLOOKUP(M370, Hidden_Data!M:N, 2, FALSE), "0"))</f>
        <v/>
      </c>
      <c r="Q370" t="str">
        <f>IF(P370="","", IFERROR(VLOOKUP(P370, Hidden_Data!M:N, 2, FALSE), "0"))</f>
        <v/>
      </c>
      <c r="T370" t="str">
        <f t="shared" si="15"/>
        <v/>
      </c>
      <c r="U370" t="str">
        <f t="shared" si="16"/>
        <v/>
      </c>
      <c r="V370" t="str">
        <f t="shared" si="17"/>
        <v/>
      </c>
    </row>
    <row r="371" spans="1:22" x14ac:dyDescent="0.25">
      <c r="A371" t="str">
        <f>IF('Equipment Information'!A371="","", 'Equipment Information'!A371)</f>
        <v/>
      </c>
      <c r="B371" t="str">
        <f>IF('Equipment Information'!B371="","", 'Equipment Information'!B371)</f>
        <v/>
      </c>
      <c r="C371" t="str">
        <f>IF('Equipment Information'!C371="","", 'Equipment Information'!C371)</f>
        <v/>
      </c>
      <c r="E371" t="str">
        <f>IF(D371="","", IFERROR(VLOOKUP(D371, Hidden_Data!M:N, 2, FALSE), "0"))</f>
        <v/>
      </c>
      <c r="H371" t="str">
        <f>IF(G371="","", IFERROR(VLOOKUP(G371, Hidden_Data!M:N, 2, FALSE), "0"))</f>
        <v/>
      </c>
      <c r="K371" t="str">
        <f>IF(J371="","", IFERROR(VLOOKUP(J371, Hidden_Data!M:N, 2, FALSE), "0"))</f>
        <v/>
      </c>
      <c r="N371" t="str">
        <f>IF(M371="","", IFERROR(VLOOKUP(M371, Hidden_Data!M:N, 2, FALSE), "0"))</f>
        <v/>
      </c>
      <c r="Q371" t="str">
        <f>IF(P371="","", IFERROR(VLOOKUP(P371, Hidden_Data!M:N, 2, FALSE), "0"))</f>
        <v/>
      </c>
      <c r="T371" t="str">
        <f t="shared" si="15"/>
        <v/>
      </c>
      <c r="U371" t="str">
        <f t="shared" si="16"/>
        <v/>
      </c>
      <c r="V371" t="str">
        <f t="shared" si="17"/>
        <v/>
      </c>
    </row>
    <row r="372" spans="1:22" x14ac:dyDescent="0.25">
      <c r="A372" t="str">
        <f>IF('Equipment Information'!A372="","", 'Equipment Information'!A372)</f>
        <v/>
      </c>
      <c r="B372" t="str">
        <f>IF('Equipment Information'!B372="","", 'Equipment Information'!B372)</f>
        <v/>
      </c>
      <c r="C372" t="str">
        <f>IF('Equipment Information'!C372="","", 'Equipment Information'!C372)</f>
        <v/>
      </c>
      <c r="E372" t="str">
        <f>IF(D372="","", IFERROR(VLOOKUP(D372, Hidden_Data!M:N, 2, FALSE), "0"))</f>
        <v/>
      </c>
      <c r="H372" t="str">
        <f>IF(G372="","", IFERROR(VLOOKUP(G372, Hidden_Data!M:N, 2, FALSE), "0"))</f>
        <v/>
      </c>
      <c r="K372" t="str">
        <f>IF(J372="","", IFERROR(VLOOKUP(J372, Hidden_Data!M:N, 2, FALSE), "0"))</f>
        <v/>
      </c>
      <c r="N372" t="str">
        <f>IF(M372="","", IFERROR(VLOOKUP(M372, Hidden_Data!M:N, 2, FALSE), "0"))</f>
        <v/>
      </c>
      <c r="Q372" t="str">
        <f>IF(P372="","", IFERROR(VLOOKUP(P372, Hidden_Data!M:N, 2, FALSE), "0"))</f>
        <v/>
      </c>
      <c r="T372" t="str">
        <f t="shared" si="15"/>
        <v/>
      </c>
      <c r="U372" t="str">
        <f t="shared" si="16"/>
        <v/>
      </c>
      <c r="V372" t="str">
        <f t="shared" si="17"/>
        <v/>
      </c>
    </row>
    <row r="373" spans="1:22" x14ac:dyDescent="0.25">
      <c r="A373" t="str">
        <f>IF('Equipment Information'!A373="","", 'Equipment Information'!A373)</f>
        <v/>
      </c>
      <c r="B373" t="str">
        <f>IF('Equipment Information'!B373="","", 'Equipment Information'!B373)</f>
        <v/>
      </c>
      <c r="C373" t="str">
        <f>IF('Equipment Information'!C373="","", 'Equipment Information'!C373)</f>
        <v/>
      </c>
      <c r="E373" t="str">
        <f>IF(D373="","", IFERROR(VLOOKUP(D373, Hidden_Data!M:N, 2, FALSE), "0"))</f>
        <v/>
      </c>
      <c r="H373" t="str">
        <f>IF(G373="","", IFERROR(VLOOKUP(G373, Hidden_Data!M:N, 2, FALSE), "0"))</f>
        <v/>
      </c>
      <c r="K373" t="str">
        <f>IF(J373="","", IFERROR(VLOOKUP(J373, Hidden_Data!M:N, 2, FALSE), "0"))</f>
        <v/>
      </c>
      <c r="N373" t="str">
        <f>IF(M373="","", IFERROR(VLOOKUP(M373, Hidden_Data!M:N, 2, FALSE), "0"))</f>
        <v/>
      </c>
      <c r="Q373" t="str">
        <f>IF(P373="","", IFERROR(VLOOKUP(P373, Hidden_Data!M:N, 2, FALSE), "0"))</f>
        <v/>
      </c>
      <c r="T373" t="str">
        <f t="shared" si="15"/>
        <v/>
      </c>
      <c r="U373" t="str">
        <f t="shared" si="16"/>
        <v/>
      </c>
      <c r="V373" t="str">
        <f t="shared" si="17"/>
        <v/>
      </c>
    </row>
    <row r="374" spans="1:22" x14ac:dyDescent="0.25">
      <c r="A374" t="str">
        <f>IF('Equipment Information'!A374="","", 'Equipment Information'!A374)</f>
        <v/>
      </c>
      <c r="B374" t="str">
        <f>IF('Equipment Information'!B374="","", 'Equipment Information'!B374)</f>
        <v/>
      </c>
      <c r="C374" t="str">
        <f>IF('Equipment Information'!C374="","", 'Equipment Information'!C374)</f>
        <v/>
      </c>
      <c r="E374" t="str">
        <f>IF(D374="","", IFERROR(VLOOKUP(D374, Hidden_Data!M:N, 2, FALSE), "0"))</f>
        <v/>
      </c>
      <c r="H374" t="str">
        <f>IF(G374="","", IFERROR(VLOOKUP(G374, Hidden_Data!M:N, 2, FALSE), "0"))</f>
        <v/>
      </c>
      <c r="K374" t="str">
        <f>IF(J374="","", IFERROR(VLOOKUP(J374, Hidden_Data!M:N, 2, FALSE), "0"))</f>
        <v/>
      </c>
      <c r="N374" t="str">
        <f>IF(M374="","", IFERROR(VLOOKUP(M374, Hidden_Data!M:N, 2, FALSE), "0"))</f>
        <v/>
      </c>
      <c r="Q374" t="str">
        <f>IF(P374="","", IFERROR(VLOOKUP(P374, Hidden_Data!M:N, 2, FALSE), "0"))</f>
        <v/>
      </c>
      <c r="T374" t="str">
        <f t="shared" si="15"/>
        <v/>
      </c>
      <c r="U374" t="str">
        <f t="shared" si="16"/>
        <v/>
      </c>
      <c r="V374" t="str">
        <f t="shared" si="17"/>
        <v/>
      </c>
    </row>
    <row r="375" spans="1:22" x14ac:dyDescent="0.25">
      <c r="A375" t="str">
        <f>IF('Equipment Information'!A375="","", 'Equipment Information'!A375)</f>
        <v/>
      </c>
      <c r="B375" t="str">
        <f>IF('Equipment Information'!B375="","", 'Equipment Information'!B375)</f>
        <v/>
      </c>
      <c r="C375" t="str">
        <f>IF('Equipment Information'!C375="","", 'Equipment Information'!C375)</f>
        <v/>
      </c>
      <c r="E375" t="str">
        <f>IF(D375="","", IFERROR(VLOOKUP(D375, Hidden_Data!M:N, 2, FALSE), "0"))</f>
        <v/>
      </c>
      <c r="H375" t="str">
        <f>IF(G375="","", IFERROR(VLOOKUP(G375, Hidden_Data!M:N, 2, FALSE), "0"))</f>
        <v/>
      </c>
      <c r="K375" t="str">
        <f>IF(J375="","", IFERROR(VLOOKUP(J375, Hidden_Data!M:N, 2, FALSE), "0"))</f>
        <v/>
      </c>
      <c r="N375" t="str">
        <f>IF(M375="","", IFERROR(VLOOKUP(M375, Hidden_Data!M:N, 2, FALSE), "0"))</f>
        <v/>
      </c>
      <c r="Q375" t="str">
        <f>IF(P375="","", IFERROR(VLOOKUP(P375, Hidden_Data!M:N, 2, FALSE), "0"))</f>
        <v/>
      </c>
      <c r="T375" t="str">
        <f t="shared" si="15"/>
        <v/>
      </c>
      <c r="U375" t="str">
        <f t="shared" si="16"/>
        <v/>
      </c>
      <c r="V375" t="str">
        <f t="shared" si="17"/>
        <v/>
      </c>
    </row>
    <row r="376" spans="1:22" x14ac:dyDescent="0.25">
      <c r="A376" t="str">
        <f>IF('Equipment Information'!A376="","", 'Equipment Information'!A376)</f>
        <v/>
      </c>
      <c r="B376" t="str">
        <f>IF('Equipment Information'!B376="","", 'Equipment Information'!B376)</f>
        <v/>
      </c>
      <c r="C376" t="str">
        <f>IF('Equipment Information'!C376="","", 'Equipment Information'!C376)</f>
        <v/>
      </c>
      <c r="E376" t="str">
        <f>IF(D376="","", IFERROR(VLOOKUP(D376, Hidden_Data!M:N, 2, FALSE), "0"))</f>
        <v/>
      </c>
      <c r="H376" t="str">
        <f>IF(G376="","", IFERROR(VLOOKUP(G376, Hidden_Data!M:N, 2, FALSE), "0"))</f>
        <v/>
      </c>
      <c r="K376" t="str">
        <f>IF(J376="","", IFERROR(VLOOKUP(J376, Hidden_Data!M:N, 2, FALSE), "0"))</f>
        <v/>
      </c>
      <c r="N376" t="str">
        <f>IF(M376="","", IFERROR(VLOOKUP(M376, Hidden_Data!M:N, 2, FALSE), "0"))</f>
        <v/>
      </c>
      <c r="Q376" t="str">
        <f>IF(P376="","", IFERROR(VLOOKUP(P376, Hidden_Data!M:N, 2, FALSE), "0"))</f>
        <v/>
      </c>
      <c r="T376" t="str">
        <f t="shared" si="15"/>
        <v/>
      </c>
      <c r="U376" t="str">
        <f t="shared" si="16"/>
        <v/>
      </c>
      <c r="V376" t="str">
        <f t="shared" si="17"/>
        <v/>
      </c>
    </row>
    <row r="377" spans="1:22" x14ac:dyDescent="0.25">
      <c r="A377" t="str">
        <f>IF('Equipment Information'!A377="","", 'Equipment Information'!A377)</f>
        <v/>
      </c>
      <c r="B377" t="str">
        <f>IF('Equipment Information'!B377="","", 'Equipment Information'!B377)</f>
        <v/>
      </c>
      <c r="C377" t="str">
        <f>IF('Equipment Information'!C377="","", 'Equipment Information'!C377)</f>
        <v/>
      </c>
      <c r="E377" t="str">
        <f>IF(D377="","", IFERROR(VLOOKUP(D377, Hidden_Data!M:N, 2, FALSE), "0"))</f>
        <v/>
      </c>
      <c r="H377" t="str">
        <f>IF(G377="","", IFERROR(VLOOKUP(G377, Hidden_Data!M:N, 2, FALSE), "0"))</f>
        <v/>
      </c>
      <c r="K377" t="str">
        <f>IF(J377="","", IFERROR(VLOOKUP(J377, Hidden_Data!M:N, 2, FALSE), "0"))</f>
        <v/>
      </c>
      <c r="N377" t="str">
        <f>IF(M377="","", IFERROR(VLOOKUP(M377, Hidden_Data!M:N, 2, FALSE), "0"))</f>
        <v/>
      </c>
      <c r="Q377" t="str">
        <f>IF(P377="","", IFERROR(VLOOKUP(P377, Hidden_Data!M:N, 2, FALSE), "0"))</f>
        <v/>
      </c>
      <c r="T377" t="str">
        <f t="shared" si="15"/>
        <v/>
      </c>
      <c r="U377" t="str">
        <f t="shared" si="16"/>
        <v/>
      </c>
      <c r="V377" t="str">
        <f t="shared" si="17"/>
        <v/>
      </c>
    </row>
    <row r="378" spans="1:22" x14ac:dyDescent="0.25">
      <c r="A378" t="str">
        <f>IF('Equipment Information'!A378="","", 'Equipment Information'!A378)</f>
        <v/>
      </c>
      <c r="B378" t="str">
        <f>IF('Equipment Information'!B378="","", 'Equipment Information'!B378)</f>
        <v/>
      </c>
      <c r="C378" t="str">
        <f>IF('Equipment Information'!C378="","", 'Equipment Information'!C378)</f>
        <v/>
      </c>
      <c r="E378" t="str">
        <f>IF(D378="","", IFERROR(VLOOKUP(D378, Hidden_Data!M:N, 2, FALSE), "0"))</f>
        <v/>
      </c>
      <c r="H378" t="str">
        <f>IF(G378="","", IFERROR(VLOOKUP(G378, Hidden_Data!M:N, 2, FALSE), "0"))</f>
        <v/>
      </c>
      <c r="K378" t="str">
        <f>IF(J378="","", IFERROR(VLOOKUP(J378, Hidden_Data!M:N, 2, FALSE), "0"))</f>
        <v/>
      </c>
      <c r="N378" t="str">
        <f>IF(M378="","", IFERROR(VLOOKUP(M378, Hidden_Data!M:N, 2, FALSE), "0"))</f>
        <v/>
      </c>
      <c r="Q378" t="str">
        <f>IF(P378="","", IFERROR(VLOOKUP(P378, Hidden_Data!M:N, 2, FALSE), "0"))</f>
        <v/>
      </c>
      <c r="T378" t="str">
        <f t="shared" si="15"/>
        <v/>
      </c>
      <c r="U378" t="str">
        <f t="shared" si="16"/>
        <v/>
      </c>
      <c r="V378" t="str">
        <f t="shared" si="17"/>
        <v/>
      </c>
    </row>
    <row r="379" spans="1:22" x14ac:dyDescent="0.25">
      <c r="A379" t="str">
        <f>IF('Equipment Information'!A379="","", 'Equipment Information'!A379)</f>
        <v/>
      </c>
      <c r="B379" t="str">
        <f>IF('Equipment Information'!B379="","", 'Equipment Information'!B379)</f>
        <v/>
      </c>
      <c r="C379" t="str">
        <f>IF('Equipment Information'!C379="","", 'Equipment Information'!C379)</f>
        <v/>
      </c>
      <c r="E379" t="str">
        <f>IF(D379="","", IFERROR(VLOOKUP(D379, Hidden_Data!M:N, 2, FALSE), "0"))</f>
        <v/>
      </c>
      <c r="H379" t="str">
        <f>IF(G379="","", IFERROR(VLOOKUP(G379, Hidden_Data!M:N, 2, FALSE), "0"))</f>
        <v/>
      </c>
      <c r="K379" t="str">
        <f>IF(J379="","", IFERROR(VLOOKUP(J379, Hidden_Data!M:N, 2, FALSE), "0"))</f>
        <v/>
      </c>
      <c r="N379" t="str">
        <f>IF(M379="","", IFERROR(VLOOKUP(M379, Hidden_Data!M:N, 2, FALSE), "0"))</f>
        <v/>
      </c>
      <c r="Q379" t="str">
        <f>IF(P379="","", IFERROR(VLOOKUP(P379, Hidden_Data!M:N, 2, FALSE), "0"))</f>
        <v/>
      </c>
      <c r="T379" t="str">
        <f t="shared" si="15"/>
        <v/>
      </c>
      <c r="U379" t="str">
        <f t="shared" si="16"/>
        <v/>
      </c>
      <c r="V379" t="str">
        <f t="shared" si="17"/>
        <v/>
      </c>
    </row>
    <row r="380" spans="1:22" x14ac:dyDescent="0.25">
      <c r="A380" t="str">
        <f>IF('Equipment Information'!A380="","", 'Equipment Information'!A380)</f>
        <v/>
      </c>
      <c r="B380" t="str">
        <f>IF('Equipment Information'!B380="","", 'Equipment Information'!B380)</f>
        <v/>
      </c>
      <c r="C380" t="str">
        <f>IF('Equipment Information'!C380="","", 'Equipment Information'!C380)</f>
        <v/>
      </c>
      <c r="E380" t="str">
        <f>IF(D380="","", IFERROR(VLOOKUP(D380, Hidden_Data!M:N, 2, FALSE), "0"))</f>
        <v/>
      </c>
      <c r="H380" t="str">
        <f>IF(G380="","", IFERROR(VLOOKUP(G380, Hidden_Data!M:N, 2, FALSE), "0"))</f>
        <v/>
      </c>
      <c r="K380" t="str">
        <f>IF(J380="","", IFERROR(VLOOKUP(J380, Hidden_Data!M:N, 2, FALSE), "0"))</f>
        <v/>
      </c>
      <c r="N380" t="str">
        <f>IF(M380="","", IFERROR(VLOOKUP(M380, Hidden_Data!M:N, 2, FALSE), "0"))</f>
        <v/>
      </c>
      <c r="Q380" t="str">
        <f>IF(P380="","", IFERROR(VLOOKUP(P380, Hidden_Data!M:N, 2, FALSE), "0"))</f>
        <v/>
      </c>
      <c r="T380" t="str">
        <f t="shared" si="15"/>
        <v/>
      </c>
      <c r="U380" t="str">
        <f t="shared" si="16"/>
        <v/>
      </c>
      <c r="V380" t="str">
        <f t="shared" si="17"/>
        <v/>
      </c>
    </row>
    <row r="381" spans="1:22" x14ac:dyDescent="0.25">
      <c r="A381" t="str">
        <f>IF('Equipment Information'!A381="","", 'Equipment Information'!A381)</f>
        <v/>
      </c>
      <c r="B381" t="str">
        <f>IF('Equipment Information'!B381="","", 'Equipment Information'!B381)</f>
        <v/>
      </c>
      <c r="C381" t="str">
        <f>IF('Equipment Information'!C381="","", 'Equipment Information'!C381)</f>
        <v/>
      </c>
      <c r="E381" t="str">
        <f>IF(D381="","", IFERROR(VLOOKUP(D381, Hidden_Data!M:N, 2, FALSE), "0"))</f>
        <v/>
      </c>
      <c r="H381" t="str">
        <f>IF(G381="","", IFERROR(VLOOKUP(G381, Hidden_Data!M:N, 2, FALSE), "0"))</f>
        <v/>
      </c>
      <c r="K381" t="str">
        <f>IF(J381="","", IFERROR(VLOOKUP(J381, Hidden_Data!M:N, 2, FALSE), "0"))</f>
        <v/>
      </c>
      <c r="N381" t="str">
        <f>IF(M381="","", IFERROR(VLOOKUP(M381, Hidden_Data!M:N, 2, FALSE), "0"))</f>
        <v/>
      </c>
      <c r="Q381" t="str">
        <f>IF(P381="","", IFERROR(VLOOKUP(P381, Hidden_Data!M:N, 2, FALSE), "0"))</f>
        <v/>
      </c>
      <c r="T381" t="str">
        <f t="shared" si="15"/>
        <v/>
      </c>
      <c r="U381" t="str">
        <f t="shared" si="16"/>
        <v/>
      </c>
      <c r="V381" t="str">
        <f t="shared" si="17"/>
        <v/>
      </c>
    </row>
    <row r="382" spans="1:22" x14ac:dyDescent="0.25">
      <c r="A382" t="str">
        <f>IF('Equipment Information'!A382="","", 'Equipment Information'!A382)</f>
        <v/>
      </c>
      <c r="B382" t="str">
        <f>IF('Equipment Information'!B382="","", 'Equipment Information'!B382)</f>
        <v/>
      </c>
      <c r="C382" t="str">
        <f>IF('Equipment Information'!C382="","", 'Equipment Information'!C382)</f>
        <v/>
      </c>
      <c r="E382" t="str">
        <f>IF(D382="","", IFERROR(VLOOKUP(D382, Hidden_Data!M:N, 2, FALSE), "0"))</f>
        <v/>
      </c>
      <c r="H382" t="str">
        <f>IF(G382="","", IFERROR(VLOOKUP(G382, Hidden_Data!M:N, 2, FALSE), "0"))</f>
        <v/>
      </c>
      <c r="K382" t="str">
        <f>IF(J382="","", IFERROR(VLOOKUP(J382, Hidden_Data!M:N, 2, FALSE), "0"))</f>
        <v/>
      </c>
      <c r="N382" t="str">
        <f>IF(M382="","", IFERROR(VLOOKUP(M382, Hidden_Data!M:N, 2, FALSE), "0"))</f>
        <v/>
      </c>
      <c r="Q382" t="str">
        <f>IF(P382="","", IFERROR(VLOOKUP(P382, Hidden_Data!M:N, 2, FALSE), "0"))</f>
        <v/>
      </c>
      <c r="T382" t="str">
        <f t="shared" si="15"/>
        <v/>
      </c>
      <c r="U382" t="str">
        <f t="shared" si="16"/>
        <v/>
      </c>
      <c r="V382" t="str">
        <f t="shared" si="17"/>
        <v/>
      </c>
    </row>
    <row r="383" spans="1:22" x14ac:dyDescent="0.25">
      <c r="A383" t="str">
        <f>IF('Equipment Information'!A383="","", 'Equipment Information'!A383)</f>
        <v/>
      </c>
      <c r="B383" t="str">
        <f>IF('Equipment Information'!B383="","", 'Equipment Information'!B383)</f>
        <v/>
      </c>
      <c r="C383" t="str">
        <f>IF('Equipment Information'!C383="","", 'Equipment Information'!C383)</f>
        <v/>
      </c>
      <c r="E383" t="str">
        <f>IF(D383="","", IFERROR(VLOOKUP(D383, Hidden_Data!M:N, 2, FALSE), "0"))</f>
        <v/>
      </c>
      <c r="H383" t="str">
        <f>IF(G383="","", IFERROR(VLOOKUP(G383, Hidden_Data!M:N, 2, FALSE), "0"))</f>
        <v/>
      </c>
      <c r="K383" t="str">
        <f>IF(J383="","", IFERROR(VLOOKUP(J383, Hidden_Data!M:N, 2, FALSE), "0"))</f>
        <v/>
      </c>
      <c r="N383" t="str">
        <f>IF(M383="","", IFERROR(VLOOKUP(M383, Hidden_Data!M:N, 2, FALSE), "0"))</f>
        <v/>
      </c>
      <c r="Q383" t="str">
        <f>IF(P383="","", IFERROR(VLOOKUP(P383, Hidden_Data!M:N, 2, FALSE), "0"))</f>
        <v/>
      </c>
      <c r="T383" t="str">
        <f t="shared" si="15"/>
        <v/>
      </c>
      <c r="U383" t="str">
        <f t="shared" si="16"/>
        <v/>
      </c>
      <c r="V383" t="str">
        <f t="shared" si="17"/>
        <v/>
      </c>
    </row>
    <row r="384" spans="1:22" x14ac:dyDescent="0.25">
      <c r="A384" t="str">
        <f>IF('Equipment Information'!A384="","", 'Equipment Information'!A384)</f>
        <v/>
      </c>
      <c r="B384" t="str">
        <f>IF('Equipment Information'!B384="","", 'Equipment Information'!B384)</f>
        <v/>
      </c>
      <c r="C384" t="str">
        <f>IF('Equipment Information'!C384="","", 'Equipment Information'!C384)</f>
        <v/>
      </c>
      <c r="E384" t="str">
        <f>IF(D384="","", IFERROR(VLOOKUP(D384, Hidden_Data!M:N, 2, FALSE), "0"))</f>
        <v/>
      </c>
      <c r="H384" t="str">
        <f>IF(G384="","", IFERROR(VLOOKUP(G384, Hidden_Data!M:N, 2, FALSE), "0"))</f>
        <v/>
      </c>
      <c r="K384" t="str">
        <f>IF(J384="","", IFERROR(VLOOKUP(J384, Hidden_Data!M:N, 2, FALSE), "0"))</f>
        <v/>
      </c>
      <c r="N384" t="str">
        <f>IF(M384="","", IFERROR(VLOOKUP(M384, Hidden_Data!M:N, 2, FALSE), "0"))</f>
        <v/>
      </c>
      <c r="Q384" t="str">
        <f>IF(P384="","", IFERROR(VLOOKUP(P384, Hidden_Data!M:N, 2, FALSE), "0"))</f>
        <v/>
      </c>
      <c r="T384" t="str">
        <f t="shared" si="15"/>
        <v/>
      </c>
      <c r="U384" t="str">
        <f t="shared" si="16"/>
        <v/>
      </c>
      <c r="V384" t="str">
        <f t="shared" si="17"/>
        <v/>
      </c>
    </row>
    <row r="385" spans="1:22" x14ac:dyDescent="0.25">
      <c r="A385" t="str">
        <f>IF('Equipment Information'!A385="","", 'Equipment Information'!A385)</f>
        <v/>
      </c>
      <c r="B385" t="str">
        <f>IF('Equipment Information'!B385="","", 'Equipment Information'!B385)</f>
        <v/>
      </c>
      <c r="C385" t="str">
        <f>IF('Equipment Information'!C385="","", 'Equipment Information'!C385)</f>
        <v/>
      </c>
      <c r="E385" t="str">
        <f>IF(D385="","", IFERROR(VLOOKUP(D385, Hidden_Data!M:N, 2, FALSE), "0"))</f>
        <v/>
      </c>
      <c r="H385" t="str">
        <f>IF(G385="","", IFERROR(VLOOKUP(G385, Hidden_Data!M:N, 2, FALSE), "0"))</f>
        <v/>
      </c>
      <c r="K385" t="str">
        <f>IF(J385="","", IFERROR(VLOOKUP(J385, Hidden_Data!M:N, 2, FALSE), "0"))</f>
        <v/>
      </c>
      <c r="N385" t="str">
        <f>IF(M385="","", IFERROR(VLOOKUP(M385, Hidden_Data!M:N, 2, FALSE), "0"))</f>
        <v/>
      </c>
      <c r="Q385" t="str">
        <f>IF(P385="","", IFERROR(VLOOKUP(P385, Hidden_Data!M:N, 2, FALSE), "0"))</f>
        <v/>
      </c>
      <c r="T385" t="str">
        <f t="shared" si="15"/>
        <v/>
      </c>
      <c r="U385" t="str">
        <f t="shared" si="16"/>
        <v/>
      </c>
      <c r="V385" t="str">
        <f t="shared" si="17"/>
        <v/>
      </c>
    </row>
    <row r="386" spans="1:22" x14ac:dyDescent="0.25">
      <c r="A386" t="str">
        <f>IF('Equipment Information'!A386="","", 'Equipment Information'!A386)</f>
        <v/>
      </c>
      <c r="B386" t="str">
        <f>IF('Equipment Information'!B386="","", 'Equipment Information'!B386)</f>
        <v/>
      </c>
      <c r="C386" t="str">
        <f>IF('Equipment Information'!C386="","", 'Equipment Information'!C386)</f>
        <v/>
      </c>
      <c r="E386" t="str">
        <f>IF(D386="","", IFERROR(VLOOKUP(D386, Hidden_Data!M:N, 2, FALSE), "0"))</f>
        <v/>
      </c>
      <c r="H386" t="str">
        <f>IF(G386="","", IFERROR(VLOOKUP(G386, Hidden_Data!M:N, 2, FALSE), "0"))</f>
        <v/>
      </c>
      <c r="K386" t="str">
        <f>IF(J386="","", IFERROR(VLOOKUP(J386, Hidden_Data!M:N, 2, FALSE), "0"))</f>
        <v/>
      </c>
      <c r="N386" t="str">
        <f>IF(M386="","", IFERROR(VLOOKUP(M386, Hidden_Data!M:N, 2, FALSE), "0"))</f>
        <v/>
      </c>
      <c r="Q386" t="str">
        <f>IF(P386="","", IFERROR(VLOOKUP(P386, Hidden_Data!M:N, 2, FALSE), "0"))</f>
        <v/>
      </c>
      <c r="T386" t="str">
        <f t="shared" ref="T386:T449" si="18">IF(A386="","", SUM(IF(F386="Yes", 0, IF(E386="", 0, IFERROR(VALUE(MID(E386, SEARCH("(",E386)+1, 1)), 0))), IF(I386="Yes", 0, IF(H386="", 0, IFERROR(VALUE(MID(H386, SEARCH("(",H386)+1, 1)), 0))), IF(L386="Yes", 0, IF(K386="", 0, IFERROR(VALUE(MID(K386, SEARCH("(",K386)+1, 1)), 0))), IF(O386="Yes", 0, IF(N386="", 0, IFERROR(VALUE(MID(N386, SEARCH("(",N386)+1, 1)), 0))), IF(R386="Yes", 0, IF(Q386="", 0, IFERROR(VALUE(MID(Q386, SEARCH("(",Q386)+1, 1)), 0)))))</f>
        <v/>
      </c>
      <c r="U386" t="str">
        <f t="shared" ref="U386:U449" si="19">IF(A386="","", IF(T386&gt;=5, "Priority 1 (Critical)", IF(T386&gt;=3, "Priority 2 (Major)", IF(T386&gt;=1, "Priority 3 (Minor)", "Pass/Fixed"))))</f>
        <v/>
      </c>
      <c r="V386" t="str">
        <f t="shared" ref="V386:V449" si="20">IF(A386="","", IF(T386&gt;0, "FAIL", "PASS"))</f>
        <v/>
      </c>
    </row>
    <row r="387" spans="1:22" x14ac:dyDescent="0.25">
      <c r="A387" t="str">
        <f>IF('Equipment Information'!A387="","", 'Equipment Information'!A387)</f>
        <v/>
      </c>
      <c r="B387" t="str">
        <f>IF('Equipment Information'!B387="","", 'Equipment Information'!B387)</f>
        <v/>
      </c>
      <c r="C387" t="str">
        <f>IF('Equipment Information'!C387="","", 'Equipment Information'!C387)</f>
        <v/>
      </c>
      <c r="E387" t="str">
        <f>IF(D387="","", IFERROR(VLOOKUP(D387, Hidden_Data!M:N, 2, FALSE), "0"))</f>
        <v/>
      </c>
      <c r="H387" t="str">
        <f>IF(G387="","", IFERROR(VLOOKUP(G387, Hidden_Data!M:N, 2, FALSE), "0"))</f>
        <v/>
      </c>
      <c r="K387" t="str">
        <f>IF(J387="","", IFERROR(VLOOKUP(J387, Hidden_Data!M:N, 2, FALSE), "0"))</f>
        <v/>
      </c>
      <c r="N387" t="str">
        <f>IF(M387="","", IFERROR(VLOOKUP(M387, Hidden_Data!M:N, 2, FALSE), "0"))</f>
        <v/>
      </c>
      <c r="Q387" t="str">
        <f>IF(P387="","", IFERROR(VLOOKUP(P387, Hidden_Data!M:N, 2, FALSE), "0"))</f>
        <v/>
      </c>
      <c r="T387" t="str">
        <f t="shared" si="18"/>
        <v/>
      </c>
      <c r="U387" t="str">
        <f t="shared" si="19"/>
        <v/>
      </c>
      <c r="V387" t="str">
        <f t="shared" si="20"/>
        <v/>
      </c>
    </row>
    <row r="388" spans="1:22" x14ac:dyDescent="0.25">
      <c r="A388" t="str">
        <f>IF('Equipment Information'!A388="","", 'Equipment Information'!A388)</f>
        <v/>
      </c>
      <c r="B388" t="str">
        <f>IF('Equipment Information'!B388="","", 'Equipment Information'!B388)</f>
        <v/>
      </c>
      <c r="C388" t="str">
        <f>IF('Equipment Information'!C388="","", 'Equipment Information'!C388)</f>
        <v/>
      </c>
      <c r="E388" t="str">
        <f>IF(D388="","", IFERROR(VLOOKUP(D388, Hidden_Data!M:N, 2, FALSE), "0"))</f>
        <v/>
      </c>
      <c r="H388" t="str">
        <f>IF(G388="","", IFERROR(VLOOKUP(G388, Hidden_Data!M:N, 2, FALSE), "0"))</f>
        <v/>
      </c>
      <c r="K388" t="str">
        <f>IF(J388="","", IFERROR(VLOOKUP(J388, Hidden_Data!M:N, 2, FALSE), "0"))</f>
        <v/>
      </c>
      <c r="N388" t="str">
        <f>IF(M388="","", IFERROR(VLOOKUP(M388, Hidden_Data!M:N, 2, FALSE), "0"))</f>
        <v/>
      </c>
      <c r="Q388" t="str">
        <f>IF(P388="","", IFERROR(VLOOKUP(P388, Hidden_Data!M:N, 2, FALSE), "0"))</f>
        <v/>
      </c>
      <c r="T388" t="str">
        <f t="shared" si="18"/>
        <v/>
      </c>
      <c r="U388" t="str">
        <f t="shared" si="19"/>
        <v/>
      </c>
      <c r="V388" t="str">
        <f t="shared" si="20"/>
        <v/>
      </c>
    </row>
    <row r="389" spans="1:22" x14ac:dyDescent="0.25">
      <c r="A389" t="str">
        <f>IF('Equipment Information'!A389="","", 'Equipment Information'!A389)</f>
        <v/>
      </c>
      <c r="B389" t="str">
        <f>IF('Equipment Information'!B389="","", 'Equipment Information'!B389)</f>
        <v/>
      </c>
      <c r="C389" t="str">
        <f>IF('Equipment Information'!C389="","", 'Equipment Information'!C389)</f>
        <v/>
      </c>
      <c r="E389" t="str">
        <f>IF(D389="","", IFERROR(VLOOKUP(D389, Hidden_Data!M:N, 2, FALSE), "0"))</f>
        <v/>
      </c>
      <c r="H389" t="str">
        <f>IF(G389="","", IFERROR(VLOOKUP(G389, Hidden_Data!M:N, 2, FALSE), "0"))</f>
        <v/>
      </c>
      <c r="K389" t="str">
        <f>IF(J389="","", IFERROR(VLOOKUP(J389, Hidden_Data!M:N, 2, FALSE), "0"))</f>
        <v/>
      </c>
      <c r="N389" t="str">
        <f>IF(M389="","", IFERROR(VLOOKUP(M389, Hidden_Data!M:N, 2, FALSE), "0"))</f>
        <v/>
      </c>
      <c r="Q389" t="str">
        <f>IF(P389="","", IFERROR(VLOOKUP(P389, Hidden_Data!M:N, 2, FALSE), "0"))</f>
        <v/>
      </c>
      <c r="T389" t="str">
        <f t="shared" si="18"/>
        <v/>
      </c>
      <c r="U389" t="str">
        <f t="shared" si="19"/>
        <v/>
      </c>
      <c r="V389" t="str">
        <f t="shared" si="20"/>
        <v/>
      </c>
    </row>
    <row r="390" spans="1:22" x14ac:dyDescent="0.25">
      <c r="A390" t="str">
        <f>IF('Equipment Information'!A390="","", 'Equipment Information'!A390)</f>
        <v/>
      </c>
      <c r="B390" t="str">
        <f>IF('Equipment Information'!B390="","", 'Equipment Information'!B390)</f>
        <v/>
      </c>
      <c r="C390" t="str">
        <f>IF('Equipment Information'!C390="","", 'Equipment Information'!C390)</f>
        <v/>
      </c>
      <c r="E390" t="str">
        <f>IF(D390="","", IFERROR(VLOOKUP(D390, Hidden_Data!M:N, 2, FALSE), "0"))</f>
        <v/>
      </c>
      <c r="H390" t="str">
        <f>IF(G390="","", IFERROR(VLOOKUP(G390, Hidden_Data!M:N, 2, FALSE), "0"))</f>
        <v/>
      </c>
      <c r="K390" t="str">
        <f>IF(J390="","", IFERROR(VLOOKUP(J390, Hidden_Data!M:N, 2, FALSE), "0"))</f>
        <v/>
      </c>
      <c r="N390" t="str">
        <f>IF(M390="","", IFERROR(VLOOKUP(M390, Hidden_Data!M:N, 2, FALSE), "0"))</f>
        <v/>
      </c>
      <c r="Q390" t="str">
        <f>IF(P390="","", IFERROR(VLOOKUP(P390, Hidden_Data!M:N, 2, FALSE), "0"))</f>
        <v/>
      </c>
      <c r="T390" t="str">
        <f t="shared" si="18"/>
        <v/>
      </c>
      <c r="U390" t="str">
        <f t="shared" si="19"/>
        <v/>
      </c>
      <c r="V390" t="str">
        <f t="shared" si="20"/>
        <v/>
      </c>
    </row>
    <row r="391" spans="1:22" x14ac:dyDescent="0.25">
      <c r="A391" t="str">
        <f>IF('Equipment Information'!A391="","", 'Equipment Information'!A391)</f>
        <v/>
      </c>
      <c r="B391" t="str">
        <f>IF('Equipment Information'!B391="","", 'Equipment Information'!B391)</f>
        <v/>
      </c>
      <c r="C391" t="str">
        <f>IF('Equipment Information'!C391="","", 'Equipment Information'!C391)</f>
        <v/>
      </c>
      <c r="E391" t="str">
        <f>IF(D391="","", IFERROR(VLOOKUP(D391, Hidden_Data!M:N, 2, FALSE), "0"))</f>
        <v/>
      </c>
      <c r="H391" t="str">
        <f>IF(G391="","", IFERROR(VLOOKUP(G391, Hidden_Data!M:N, 2, FALSE), "0"))</f>
        <v/>
      </c>
      <c r="K391" t="str">
        <f>IF(J391="","", IFERROR(VLOOKUP(J391, Hidden_Data!M:N, 2, FALSE), "0"))</f>
        <v/>
      </c>
      <c r="N391" t="str">
        <f>IF(M391="","", IFERROR(VLOOKUP(M391, Hidden_Data!M:N, 2, FALSE), "0"))</f>
        <v/>
      </c>
      <c r="Q391" t="str">
        <f>IF(P391="","", IFERROR(VLOOKUP(P391, Hidden_Data!M:N, 2, FALSE), "0"))</f>
        <v/>
      </c>
      <c r="T391" t="str">
        <f t="shared" si="18"/>
        <v/>
      </c>
      <c r="U391" t="str">
        <f t="shared" si="19"/>
        <v/>
      </c>
      <c r="V391" t="str">
        <f t="shared" si="20"/>
        <v/>
      </c>
    </row>
    <row r="392" spans="1:22" x14ac:dyDescent="0.25">
      <c r="A392" t="str">
        <f>IF('Equipment Information'!A392="","", 'Equipment Information'!A392)</f>
        <v/>
      </c>
      <c r="B392" t="str">
        <f>IF('Equipment Information'!B392="","", 'Equipment Information'!B392)</f>
        <v/>
      </c>
      <c r="C392" t="str">
        <f>IF('Equipment Information'!C392="","", 'Equipment Information'!C392)</f>
        <v/>
      </c>
      <c r="E392" t="str">
        <f>IF(D392="","", IFERROR(VLOOKUP(D392, Hidden_Data!M:N, 2, FALSE), "0"))</f>
        <v/>
      </c>
      <c r="H392" t="str">
        <f>IF(G392="","", IFERROR(VLOOKUP(G392, Hidden_Data!M:N, 2, FALSE), "0"))</f>
        <v/>
      </c>
      <c r="K392" t="str">
        <f>IF(J392="","", IFERROR(VLOOKUP(J392, Hidden_Data!M:N, 2, FALSE), "0"))</f>
        <v/>
      </c>
      <c r="N392" t="str">
        <f>IF(M392="","", IFERROR(VLOOKUP(M392, Hidden_Data!M:N, 2, FALSE), "0"))</f>
        <v/>
      </c>
      <c r="Q392" t="str">
        <f>IF(P392="","", IFERROR(VLOOKUP(P392, Hidden_Data!M:N, 2, FALSE), "0"))</f>
        <v/>
      </c>
      <c r="T392" t="str">
        <f t="shared" si="18"/>
        <v/>
      </c>
      <c r="U392" t="str">
        <f t="shared" si="19"/>
        <v/>
      </c>
      <c r="V392" t="str">
        <f t="shared" si="20"/>
        <v/>
      </c>
    </row>
    <row r="393" spans="1:22" x14ac:dyDescent="0.25">
      <c r="A393" t="str">
        <f>IF('Equipment Information'!A393="","", 'Equipment Information'!A393)</f>
        <v/>
      </c>
      <c r="B393" t="str">
        <f>IF('Equipment Information'!B393="","", 'Equipment Information'!B393)</f>
        <v/>
      </c>
      <c r="C393" t="str">
        <f>IF('Equipment Information'!C393="","", 'Equipment Information'!C393)</f>
        <v/>
      </c>
      <c r="E393" t="str">
        <f>IF(D393="","", IFERROR(VLOOKUP(D393, Hidden_Data!M:N, 2, FALSE), "0"))</f>
        <v/>
      </c>
      <c r="H393" t="str">
        <f>IF(G393="","", IFERROR(VLOOKUP(G393, Hidden_Data!M:N, 2, FALSE), "0"))</f>
        <v/>
      </c>
      <c r="K393" t="str">
        <f>IF(J393="","", IFERROR(VLOOKUP(J393, Hidden_Data!M:N, 2, FALSE), "0"))</f>
        <v/>
      </c>
      <c r="N393" t="str">
        <f>IF(M393="","", IFERROR(VLOOKUP(M393, Hidden_Data!M:N, 2, FALSE), "0"))</f>
        <v/>
      </c>
      <c r="Q393" t="str">
        <f>IF(P393="","", IFERROR(VLOOKUP(P393, Hidden_Data!M:N, 2, FALSE), "0"))</f>
        <v/>
      </c>
      <c r="T393" t="str">
        <f t="shared" si="18"/>
        <v/>
      </c>
      <c r="U393" t="str">
        <f t="shared" si="19"/>
        <v/>
      </c>
      <c r="V393" t="str">
        <f t="shared" si="20"/>
        <v/>
      </c>
    </row>
    <row r="394" spans="1:22" x14ac:dyDescent="0.25">
      <c r="A394" t="str">
        <f>IF('Equipment Information'!A394="","", 'Equipment Information'!A394)</f>
        <v/>
      </c>
      <c r="B394" t="str">
        <f>IF('Equipment Information'!B394="","", 'Equipment Information'!B394)</f>
        <v/>
      </c>
      <c r="C394" t="str">
        <f>IF('Equipment Information'!C394="","", 'Equipment Information'!C394)</f>
        <v/>
      </c>
      <c r="E394" t="str">
        <f>IF(D394="","", IFERROR(VLOOKUP(D394, Hidden_Data!M:N, 2, FALSE), "0"))</f>
        <v/>
      </c>
      <c r="H394" t="str">
        <f>IF(G394="","", IFERROR(VLOOKUP(G394, Hidden_Data!M:N, 2, FALSE), "0"))</f>
        <v/>
      </c>
      <c r="K394" t="str">
        <f>IF(J394="","", IFERROR(VLOOKUP(J394, Hidden_Data!M:N, 2, FALSE), "0"))</f>
        <v/>
      </c>
      <c r="N394" t="str">
        <f>IF(M394="","", IFERROR(VLOOKUP(M394, Hidden_Data!M:N, 2, FALSE), "0"))</f>
        <v/>
      </c>
      <c r="Q394" t="str">
        <f>IF(P394="","", IFERROR(VLOOKUP(P394, Hidden_Data!M:N, 2, FALSE), "0"))</f>
        <v/>
      </c>
      <c r="T394" t="str">
        <f t="shared" si="18"/>
        <v/>
      </c>
      <c r="U394" t="str">
        <f t="shared" si="19"/>
        <v/>
      </c>
      <c r="V394" t="str">
        <f t="shared" si="20"/>
        <v/>
      </c>
    </row>
    <row r="395" spans="1:22" x14ac:dyDescent="0.25">
      <c r="A395" t="str">
        <f>IF('Equipment Information'!A395="","", 'Equipment Information'!A395)</f>
        <v/>
      </c>
      <c r="B395" t="str">
        <f>IF('Equipment Information'!B395="","", 'Equipment Information'!B395)</f>
        <v/>
      </c>
      <c r="C395" t="str">
        <f>IF('Equipment Information'!C395="","", 'Equipment Information'!C395)</f>
        <v/>
      </c>
      <c r="E395" t="str">
        <f>IF(D395="","", IFERROR(VLOOKUP(D395, Hidden_Data!M:N, 2, FALSE), "0"))</f>
        <v/>
      </c>
      <c r="H395" t="str">
        <f>IF(G395="","", IFERROR(VLOOKUP(G395, Hidden_Data!M:N, 2, FALSE), "0"))</f>
        <v/>
      </c>
      <c r="K395" t="str">
        <f>IF(J395="","", IFERROR(VLOOKUP(J395, Hidden_Data!M:N, 2, FALSE), "0"))</f>
        <v/>
      </c>
      <c r="N395" t="str">
        <f>IF(M395="","", IFERROR(VLOOKUP(M395, Hidden_Data!M:N, 2, FALSE), "0"))</f>
        <v/>
      </c>
      <c r="Q395" t="str">
        <f>IF(P395="","", IFERROR(VLOOKUP(P395, Hidden_Data!M:N, 2, FALSE), "0"))</f>
        <v/>
      </c>
      <c r="T395" t="str">
        <f t="shared" si="18"/>
        <v/>
      </c>
      <c r="U395" t="str">
        <f t="shared" si="19"/>
        <v/>
      </c>
      <c r="V395" t="str">
        <f t="shared" si="20"/>
        <v/>
      </c>
    </row>
    <row r="396" spans="1:22" x14ac:dyDescent="0.25">
      <c r="A396" t="str">
        <f>IF('Equipment Information'!A396="","", 'Equipment Information'!A396)</f>
        <v/>
      </c>
      <c r="B396" t="str">
        <f>IF('Equipment Information'!B396="","", 'Equipment Information'!B396)</f>
        <v/>
      </c>
      <c r="C396" t="str">
        <f>IF('Equipment Information'!C396="","", 'Equipment Information'!C396)</f>
        <v/>
      </c>
      <c r="E396" t="str">
        <f>IF(D396="","", IFERROR(VLOOKUP(D396, Hidden_Data!M:N, 2, FALSE), "0"))</f>
        <v/>
      </c>
      <c r="H396" t="str">
        <f>IF(G396="","", IFERROR(VLOOKUP(G396, Hidden_Data!M:N, 2, FALSE), "0"))</f>
        <v/>
      </c>
      <c r="K396" t="str">
        <f>IF(J396="","", IFERROR(VLOOKUP(J396, Hidden_Data!M:N, 2, FALSE), "0"))</f>
        <v/>
      </c>
      <c r="N396" t="str">
        <f>IF(M396="","", IFERROR(VLOOKUP(M396, Hidden_Data!M:N, 2, FALSE), "0"))</f>
        <v/>
      </c>
      <c r="Q396" t="str">
        <f>IF(P396="","", IFERROR(VLOOKUP(P396, Hidden_Data!M:N, 2, FALSE), "0"))</f>
        <v/>
      </c>
      <c r="T396" t="str">
        <f t="shared" si="18"/>
        <v/>
      </c>
      <c r="U396" t="str">
        <f t="shared" si="19"/>
        <v/>
      </c>
      <c r="V396" t="str">
        <f t="shared" si="20"/>
        <v/>
      </c>
    </row>
    <row r="397" spans="1:22" x14ac:dyDescent="0.25">
      <c r="A397" t="str">
        <f>IF('Equipment Information'!A397="","", 'Equipment Information'!A397)</f>
        <v/>
      </c>
      <c r="B397" t="str">
        <f>IF('Equipment Information'!B397="","", 'Equipment Information'!B397)</f>
        <v/>
      </c>
      <c r="C397" t="str">
        <f>IF('Equipment Information'!C397="","", 'Equipment Information'!C397)</f>
        <v/>
      </c>
      <c r="E397" t="str">
        <f>IF(D397="","", IFERROR(VLOOKUP(D397, Hidden_Data!M:N, 2, FALSE), "0"))</f>
        <v/>
      </c>
      <c r="H397" t="str">
        <f>IF(G397="","", IFERROR(VLOOKUP(G397, Hidden_Data!M:N, 2, FALSE), "0"))</f>
        <v/>
      </c>
      <c r="K397" t="str">
        <f>IF(J397="","", IFERROR(VLOOKUP(J397, Hidden_Data!M:N, 2, FALSE), "0"))</f>
        <v/>
      </c>
      <c r="N397" t="str">
        <f>IF(M397="","", IFERROR(VLOOKUP(M397, Hidden_Data!M:N, 2, FALSE), "0"))</f>
        <v/>
      </c>
      <c r="Q397" t="str">
        <f>IF(P397="","", IFERROR(VLOOKUP(P397, Hidden_Data!M:N, 2, FALSE), "0"))</f>
        <v/>
      </c>
      <c r="T397" t="str">
        <f t="shared" si="18"/>
        <v/>
      </c>
      <c r="U397" t="str">
        <f t="shared" si="19"/>
        <v/>
      </c>
      <c r="V397" t="str">
        <f t="shared" si="20"/>
        <v/>
      </c>
    </row>
    <row r="398" spans="1:22" x14ac:dyDescent="0.25">
      <c r="A398" t="str">
        <f>IF('Equipment Information'!A398="","", 'Equipment Information'!A398)</f>
        <v/>
      </c>
      <c r="B398" t="str">
        <f>IF('Equipment Information'!B398="","", 'Equipment Information'!B398)</f>
        <v/>
      </c>
      <c r="C398" t="str">
        <f>IF('Equipment Information'!C398="","", 'Equipment Information'!C398)</f>
        <v/>
      </c>
      <c r="E398" t="str">
        <f>IF(D398="","", IFERROR(VLOOKUP(D398, Hidden_Data!M:N, 2, FALSE), "0"))</f>
        <v/>
      </c>
      <c r="H398" t="str">
        <f>IF(G398="","", IFERROR(VLOOKUP(G398, Hidden_Data!M:N, 2, FALSE), "0"))</f>
        <v/>
      </c>
      <c r="K398" t="str">
        <f>IF(J398="","", IFERROR(VLOOKUP(J398, Hidden_Data!M:N, 2, FALSE), "0"))</f>
        <v/>
      </c>
      <c r="N398" t="str">
        <f>IF(M398="","", IFERROR(VLOOKUP(M398, Hidden_Data!M:N, 2, FALSE), "0"))</f>
        <v/>
      </c>
      <c r="Q398" t="str">
        <f>IF(P398="","", IFERROR(VLOOKUP(P398, Hidden_Data!M:N, 2, FALSE), "0"))</f>
        <v/>
      </c>
      <c r="T398" t="str">
        <f t="shared" si="18"/>
        <v/>
      </c>
      <c r="U398" t="str">
        <f t="shared" si="19"/>
        <v/>
      </c>
      <c r="V398" t="str">
        <f t="shared" si="20"/>
        <v/>
      </c>
    </row>
    <row r="399" spans="1:22" x14ac:dyDescent="0.25">
      <c r="A399" t="str">
        <f>IF('Equipment Information'!A399="","", 'Equipment Information'!A399)</f>
        <v/>
      </c>
      <c r="B399" t="str">
        <f>IF('Equipment Information'!B399="","", 'Equipment Information'!B399)</f>
        <v/>
      </c>
      <c r="C399" t="str">
        <f>IF('Equipment Information'!C399="","", 'Equipment Information'!C399)</f>
        <v/>
      </c>
      <c r="E399" t="str">
        <f>IF(D399="","", IFERROR(VLOOKUP(D399, Hidden_Data!M:N, 2, FALSE), "0"))</f>
        <v/>
      </c>
      <c r="H399" t="str">
        <f>IF(G399="","", IFERROR(VLOOKUP(G399, Hidden_Data!M:N, 2, FALSE), "0"))</f>
        <v/>
      </c>
      <c r="K399" t="str">
        <f>IF(J399="","", IFERROR(VLOOKUP(J399, Hidden_Data!M:N, 2, FALSE), "0"))</f>
        <v/>
      </c>
      <c r="N399" t="str">
        <f>IF(M399="","", IFERROR(VLOOKUP(M399, Hidden_Data!M:N, 2, FALSE), "0"))</f>
        <v/>
      </c>
      <c r="Q399" t="str">
        <f>IF(P399="","", IFERROR(VLOOKUP(P399, Hidden_Data!M:N, 2, FALSE), "0"))</f>
        <v/>
      </c>
      <c r="T399" t="str">
        <f t="shared" si="18"/>
        <v/>
      </c>
      <c r="U399" t="str">
        <f t="shared" si="19"/>
        <v/>
      </c>
      <c r="V399" t="str">
        <f t="shared" si="20"/>
        <v/>
      </c>
    </row>
    <row r="400" spans="1:22" x14ac:dyDescent="0.25">
      <c r="A400" t="str">
        <f>IF('Equipment Information'!A400="","", 'Equipment Information'!A400)</f>
        <v/>
      </c>
      <c r="B400" t="str">
        <f>IF('Equipment Information'!B400="","", 'Equipment Information'!B400)</f>
        <v/>
      </c>
      <c r="C400" t="str">
        <f>IF('Equipment Information'!C400="","", 'Equipment Information'!C400)</f>
        <v/>
      </c>
      <c r="E400" t="str">
        <f>IF(D400="","", IFERROR(VLOOKUP(D400, Hidden_Data!M:N, 2, FALSE), "0"))</f>
        <v/>
      </c>
      <c r="H400" t="str">
        <f>IF(G400="","", IFERROR(VLOOKUP(G400, Hidden_Data!M:N, 2, FALSE), "0"))</f>
        <v/>
      </c>
      <c r="K400" t="str">
        <f>IF(J400="","", IFERROR(VLOOKUP(J400, Hidden_Data!M:N, 2, FALSE), "0"))</f>
        <v/>
      </c>
      <c r="N400" t="str">
        <f>IF(M400="","", IFERROR(VLOOKUP(M400, Hidden_Data!M:N, 2, FALSE), "0"))</f>
        <v/>
      </c>
      <c r="Q400" t="str">
        <f>IF(P400="","", IFERROR(VLOOKUP(P400, Hidden_Data!M:N, 2, FALSE), "0"))</f>
        <v/>
      </c>
      <c r="T400" t="str">
        <f t="shared" si="18"/>
        <v/>
      </c>
      <c r="U400" t="str">
        <f t="shared" si="19"/>
        <v/>
      </c>
      <c r="V400" t="str">
        <f t="shared" si="20"/>
        <v/>
      </c>
    </row>
    <row r="401" spans="1:22" x14ac:dyDescent="0.25">
      <c r="A401" t="str">
        <f>IF('Equipment Information'!A401="","", 'Equipment Information'!A401)</f>
        <v/>
      </c>
      <c r="B401" t="str">
        <f>IF('Equipment Information'!B401="","", 'Equipment Information'!B401)</f>
        <v/>
      </c>
      <c r="C401" t="str">
        <f>IF('Equipment Information'!C401="","", 'Equipment Information'!C401)</f>
        <v/>
      </c>
      <c r="E401" t="str">
        <f>IF(D401="","", IFERROR(VLOOKUP(D401, Hidden_Data!M:N, 2, FALSE), "0"))</f>
        <v/>
      </c>
      <c r="H401" t="str">
        <f>IF(G401="","", IFERROR(VLOOKUP(G401, Hidden_Data!M:N, 2, FALSE), "0"))</f>
        <v/>
      </c>
      <c r="K401" t="str">
        <f>IF(J401="","", IFERROR(VLOOKUP(J401, Hidden_Data!M:N, 2, FALSE), "0"))</f>
        <v/>
      </c>
      <c r="N401" t="str">
        <f>IF(M401="","", IFERROR(VLOOKUP(M401, Hidden_Data!M:N, 2, FALSE), "0"))</f>
        <v/>
      </c>
      <c r="Q401" t="str">
        <f>IF(P401="","", IFERROR(VLOOKUP(P401, Hidden_Data!M:N, 2, FALSE), "0"))</f>
        <v/>
      </c>
      <c r="T401" t="str">
        <f t="shared" si="18"/>
        <v/>
      </c>
      <c r="U401" t="str">
        <f t="shared" si="19"/>
        <v/>
      </c>
      <c r="V401" t="str">
        <f t="shared" si="20"/>
        <v/>
      </c>
    </row>
    <row r="402" spans="1:22" x14ac:dyDescent="0.25">
      <c r="A402" t="str">
        <f>IF('Equipment Information'!A402="","", 'Equipment Information'!A402)</f>
        <v/>
      </c>
      <c r="B402" t="str">
        <f>IF('Equipment Information'!B402="","", 'Equipment Information'!B402)</f>
        <v/>
      </c>
      <c r="C402" t="str">
        <f>IF('Equipment Information'!C402="","", 'Equipment Information'!C402)</f>
        <v/>
      </c>
      <c r="E402" t="str">
        <f>IF(D402="","", IFERROR(VLOOKUP(D402, Hidden_Data!M:N, 2, FALSE), "0"))</f>
        <v/>
      </c>
      <c r="H402" t="str">
        <f>IF(G402="","", IFERROR(VLOOKUP(G402, Hidden_Data!M:N, 2, FALSE), "0"))</f>
        <v/>
      </c>
      <c r="K402" t="str">
        <f>IF(J402="","", IFERROR(VLOOKUP(J402, Hidden_Data!M:N, 2, FALSE), "0"))</f>
        <v/>
      </c>
      <c r="N402" t="str">
        <f>IF(M402="","", IFERROR(VLOOKUP(M402, Hidden_Data!M:N, 2, FALSE), "0"))</f>
        <v/>
      </c>
      <c r="Q402" t="str">
        <f>IF(P402="","", IFERROR(VLOOKUP(P402, Hidden_Data!M:N, 2, FALSE), "0"))</f>
        <v/>
      </c>
      <c r="T402" t="str">
        <f t="shared" si="18"/>
        <v/>
      </c>
      <c r="U402" t="str">
        <f t="shared" si="19"/>
        <v/>
      </c>
      <c r="V402" t="str">
        <f t="shared" si="20"/>
        <v/>
      </c>
    </row>
    <row r="403" spans="1:22" x14ac:dyDescent="0.25">
      <c r="A403" t="str">
        <f>IF('Equipment Information'!A403="","", 'Equipment Information'!A403)</f>
        <v/>
      </c>
      <c r="B403" t="str">
        <f>IF('Equipment Information'!B403="","", 'Equipment Information'!B403)</f>
        <v/>
      </c>
      <c r="C403" t="str">
        <f>IF('Equipment Information'!C403="","", 'Equipment Information'!C403)</f>
        <v/>
      </c>
      <c r="E403" t="str">
        <f>IF(D403="","", IFERROR(VLOOKUP(D403, Hidden_Data!M:N, 2, FALSE), "0"))</f>
        <v/>
      </c>
      <c r="H403" t="str">
        <f>IF(G403="","", IFERROR(VLOOKUP(G403, Hidden_Data!M:N, 2, FALSE), "0"))</f>
        <v/>
      </c>
      <c r="K403" t="str">
        <f>IF(J403="","", IFERROR(VLOOKUP(J403, Hidden_Data!M:N, 2, FALSE), "0"))</f>
        <v/>
      </c>
      <c r="N403" t="str">
        <f>IF(M403="","", IFERROR(VLOOKUP(M403, Hidden_Data!M:N, 2, FALSE), "0"))</f>
        <v/>
      </c>
      <c r="Q403" t="str">
        <f>IF(P403="","", IFERROR(VLOOKUP(P403, Hidden_Data!M:N, 2, FALSE), "0"))</f>
        <v/>
      </c>
      <c r="T403" t="str">
        <f t="shared" si="18"/>
        <v/>
      </c>
      <c r="U403" t="str">
        <f t="shared" si="19"/>
        <v/>
      </c>
      <c r="V403" t="str">
        <f t="shared" si="20"/>
        <v/>
      </c>
    </row>
    <row r="404" spans="1:22" x14ac:dyDescent="0.25">
      <c r="A404" t="str">
        <f>IF('Equipment Information'!A404="","", 'Equipment Information'!A404)</f>
        <v/>
      </c>
      <c r="B404" t="str">
        <f>IF('Equipment Information'!B404="","", 'Equipment Information'!B404)</f>
        <v/>
      </c>
      <c r="C404" t="str">
        <f>IF('Equipment Information'!C404="","", 'Equipment Information'!C404)</f>
        <v/>
      </c>
      <c r="E404" t="str">
        <f>IF(D404="","", IFERROR(VLOOKUP(D404, Hidden_Data!M:N, 2, FALSE), "0"))</f>
        <v/>
      </c>
      <c r="H404" t="str">
        <f>IF(G404="","", IFERROR(VLOOKUP(G404, Hidden_Data!M:N, 2, FALSE), "0"))</f>
        <v/>
      </c>
      <c r="K404" t="str">
        <f>IF(J404="","", IFERROR(VLOOKUP(J404, Hidden_Data!M:N, 2, FALSE), "0"))</f>
        <v/>
      </c>
      <c r="N404" t="str">
        <f>IF(M404="","", IFERROR(VLOOKUP(M404, Hidden_Data!M:N, 2, FALSE), "0"))</f>
        <v/>
      </c>
      <c r="Q404" t="str">
        <f>IF(P404="","", IFERROR(VLOOKUP(P404, Hidden_Data!M:N, 2, FALSE), "0"))</f>
        <v/>
      </c>
      <c r="T404" t="str">
        <f t="shared" si="18"/>
        <v/>
      </c>
      <c r="U404" t="str">
        <f t="shared" si="19"/>
        <v/>
      </c>
      <c r="V404" t="str">
        <f t="shared" si="20"/>
        <v/>
      </c>
    </row>
    <row r="405" spans="1:22" x14ac:dyDescent="0.25">
      <c r="A405" t="str">
        <f>IF('Equipment Information'!A405="","", 'Equipment Information'!A405)</f>
        <v/>
      </c>
      <c r="B405" t="str">
        <f>IF('Equipment Information'!B405="","", 'Equipment Information'!B405)</f>
        <v/>
      </c>
      <c r="C405" t="str">
        <f>IF('Equipment Information'!C405="","", 'Equipment Information'!C405)</f>
        <v/>
      </c>
      <c r="E405" t="str">
        <f>IF(D405="","", IFERROR(VLOOKUP(D405, Hidden_Data!M:N, 2, FALSE), "0"))</f>
        <v/>
      </c>
      <c r="H405" t="str">
        <f>IF(G405="","", IFERROR(VLOOKUP(G405, Hidden_Data!M:N, 2, FALSE), "0"))</f>
        <v/>
      </c>
      <c r="K405" t="str">
        <f>IF(J405="","", IFERROR(VLOOKUP(J405, Hidden_Data!M:N, 2, FALSE), "0"))</f>
        <v/>
      </c>
      <c r="N405" t="str">
        <f>IF(M405="","", IFERROR(VLOOKUP(M405, Hidden_Data!M:N, 2, FALSE), "0"))</f>
        <v/>
      </c>
      <c r="Q405" t="str">
        <f>IF(P405="","", IFERROR(VLOOKUP(P405, Hidden_Data!M:N, 2, FALSE), "0"))</f>
        <v/>
      </c>
      <c r="T405" t="str">
        <f t="shared" si="18"/>
        <v/>
      </c>
      <c r="U405" t="str">
        <f t="shared" si="19"/>
        <v/>
      </c>
      <c r="V405" t="str">
        <f t="shared" si="20"/>
        <v/>
      </c>
    </row>
    <row r="406" spans="1:22" x14ac:dyDescent="0.25">
      <c r="A406" t="str">
        <f>IF('Equipment Information'!A406="","", 'Equipment Information'!A406)</f>
        <v/>
      </c>
      <c r="B406" t="str">
        <f>IF('Equipment Information'!B406="","", 'Equipment Information'!B406)</f>
        <v/>
      </c>
      <c r="C406" t="str">
        <f>IF('Equipment Information'!C406="","", 'Equipment Information'!C406)</f>
        <v/>
      </c>
      <c r="E406" t="str">
        <f>IF(D406="","", IFERROR(VLOOKUP(D406, Hidden_Data!M:N, 2, FALSE), "0"))</f>
        <v/>
      </c>
      <c r="H406" t="str">
        <f>IF(G406="","", IFERROR(VLOOKUP(G406, Hidden_Data!M:N, 2, FALSE), "0"))</f>
        <v/>
      </c>
      <c r="K406" t="str">
        <f>IF(J406="","", IFERROR(VLOOKUP(J406, Hidden_Data!M:N, 2, FALSE), "0"))</f>
        <v/>
      </c>
      <c r="N406" t="str">
        <f>IF(M406="","", IFERROR(VLOOKUP(M406, Hidden_Data!M:N, 2, FALSE), "0"))</f>
        <v/>
      </c>
      <c r="Q406" t="str">
        <f>IF(P406="","", IFERROR(VLOOKUP(P406, Hidden_Data!M:N, 2, FALSE), "0"))</f>
        <v/>
      </c>
      <c r="T406" t="str">
        <f t="shared" si="18"/>
        <v/>
      </c>
      <c r="U406" t="str">
        <f t="shared" si="19"/>
        <v/>
      </c>
      <c r="V406" t="str">
        <f t="shared" si="20"/>
        <v/>
      </c>
    </row>
    <row r="407" spans="1:22" x14ac:dyDescent="0.25">
      <c r="A407" t="str">
        <f>IF('Equipment Information'!A407="","", 'Equipment Information'!A407)</f>
        <v/>
      </c>
      <c r="B407" t="str">
        <f>IF('Equipment Information'!B407="","", 'Equipment Information'!B407)</f>
        <v/>
      </c>
      <c r="C407" t="str">
        <f>IF('Equipment Information'!C407="","", 'Equipment Information'!C407)</f>
        <v/>
      </c>
      <c r="E407" t="str">
        <f>IF(D407="","", IFERROR(VLOOKUP(D407, Hidden_Data!M:N, 2, FALSE), "0"))</f>
        <v/>
      </c>
      <c r="H407" t="str">
        <f>IF(G407="","", IFERROR(VLOOKUP(G407, Hidden_Data!M:N, 2, FALSE), "0"))</f>
        <v/>
      </c>
      <c r="K407" t="str">
        <f>IF(J407="","", IFERROR(VLOOKUP(J407, Hidden_Data!M:N, 2, FALSE), "0"))</f>
        <v/>
      </c>
      <c r="N407" t="str">
        <f>IF(M407="","", IFERROR(VLOOKUP(M407, Hidden_Data!M:N, 2, FALSE), "0"))</f>
        <v/>
      </c>
      <c r="Q407" t="str">
        <f>IF(P407="","", IFERROR(VLOOKUP(P407, Hidden_Data!M:N, 2, FALSE), "0"))</f>
        <v/>
      </c>
      <c r="T407" t="str">
        <f t="shared" si="18"/>
        <v/>
      </c>
      <c r="U407" t="str">
        <f t="shared" si="19"/>
        <v/>
      </c>
      <c r="V407" t="str">
        <f t="shared" si="20"/>
        <v/>
      </c>
    </row>
    <row r="408" spans="1:22" x14ac:dyDescent="0.25">
      <c r="A408" t="str">
        <f>IF('Equipment Information'!A408="","", 'Equipment Information'!A408)</f>
        <v/>
      </c>
      <c r="B408" t="str">
        <f>IF('Equipment Information'!B408="","", 'Equipment Information'!B408)</f>
        <v/>
      </c>
      <c r="C408" t="str">
        <f>IF('Equipment Information'!C408="","", 'Equipment Information'!C408)</f>
        <v/>
      </c>
      <c r="E408" t="str">
        <f>IF(D408="","", IFERROR(VLOOKUP(D408, Hidden_Data!M:N, 2, FALSE), "0"))</f>
        <v/>
      </c>
      <c r="H408" t="str">
        <f>IF(G408="","", IFERROR(VLOOKUP(G408, Hidden_Data!M:N, 2, FALSE), "0"))</f>
        <v/>
      </c>
      <c r="K408" t="str">
        <f>IF(J408="","", IFERROR(VLOOKUP(J408, Hidden_Data!M:N, 2, FALSE), "0"))</f>
        <v/>
      </c>
      <c r="N408" t="str">
        <f>IF(M408="","", IFERROR(VLOOKUP(M408, Hidden_Data!M:N, 2, FALSE), "0"))</f>
        <v/>
      </c>
      <c r="Q408" t="str">
        <f>IF(P408="","", IFERROR(VLOOKUP(P408, Hidden_Data!M:N, 2, FALSE), "0"))</f>
        <v/>
      </c>
      <c r="T408" t="str">
        <f t="shared" si="18"/>
        <v/>
      </c>
      <c r="U408" t="str">
        <f t="shared" si="19"/>
        <v/>
      </c>
      <c r="V408" t="str">
        <f t="shared" si="20"/>
        <v/>
      </c>
    </row>
    <row r="409" spans="1:22" x14ac:dyDescent="0.25">
      <c r="A409" t="str">
        <f>IF('Equipment Information'!A409="","", 'Equipment Information'!A409)</f>
        <v/>
      </c>
      <c r="B409" t="str">
        <f>IF('Equipment Information'!B409="","", 'Equipment Information'!B409)</f>
        <v/>
      </c>
      <c r="C409" t="str">
        <f>IF('Equipment Information'!C409="","", 'Equipment Information'!C409)</f>
        <v/>
      </c>
      <c r="E409" t="str">
        <f>IF(D409="","", IFERROR(VLOOKUP(D409, Hidden_Data!M:N, 2, FALSE), "0"))</f>
        <v/>
      </c>
      <c r="H409" t="str">
        <f>IF(G409="","", IFERROR(VLOOKUP(G409, Hidden_Data!M:N, 2, FALSE), "0"))</f>
        <v/>
      </c>
      <c r="K409" t="str">
        <f>IF(J409="","", IFERROR(VLOOKUP(J409, Hidden_Data!M:N, 2, FALSE), "0"))</f>
        <v/>
      </c>
      <c r="N409" t="str">
        <f>IF(M409="","", IFERROR(VLOOKUP(M409, Hidden_Data!M:N, 2, FALSE), "0"))</f>
        <v/>
      </c>
      <c r="Q409" t="str">
        <f>IF(P409="","", IFERROR(VLOOKUP(P409, Hidden_Data!M:N, 2, FALSE), "0"))</f>
        <v/>
      </c>
      <c r="T409" t="str">
        <f t="shared" si="18"/>
        <v/>
      </c>
      <c r="U409" t="str">
        <f t="shared" si="19"/>
        <v/>
      </c>
      <c r="V409" t="str">
        <f t="shared" si="20"/>
        <v/>
      </c>
    </row>
    <row r="410" spans="1:22" x14ac:dyDescent="0.25">
      <c r="A410" t="str">
        <f>IF('Equipment Information'!A410="","", 'Equipment Information'!A410)</f>
        <v/>
      </c>
      <c r="B410" t="str">
        <f>IF('Equipment Information'!B410="","", 'Equipment Information'!B410)</f>
        <v/>
      </c>
      <c r="C410" t="str">
        <f>IF('Equipment Information'!C410="","", 'Equipment Information'!C410)</f>
        <v/>
      </c>
      <c r="E410" t="str">
        <f>IF(D410="","", IFERROR(VLOOKUP(D410, Hidden_Data!M:N, 2, FALSE), "0"))</f>
        <v/>
      </c>
      <c r="H410" t="str">
        <f>IF(G410="","", IFERROR(VLOOKUP(G410, Hidden_Data!M:N, 2, FALSE), "0"))</f>
        <v/>
      </c>
      <c r="K410" t="str">
        <f>IF(J410="","", IFERROR(VLOOKUP(J410, Hidden_Data!M:N, 2, FALSE), "0"))</f>
        <v/>
      </c>
      <c r="N410" t="str">
        <f>IF(M410="","", IFERROR(VLOOKUP(M410, Hidden_Data!M:N, 2, FALSE), "0"))</f>
        <v/>
      </c>
      <c r="Q410" t="str">
        <f>IF(P410="","", IFERROR(VLOOKUP(P410, Hidden_Data!M:N, 2, FALSE), "0"))</f>
        <v/>
      </c>
      <c r="T410" t="str">
        <f t="shared" si="18"/>
        <v/>
      </c>
      <c r="U410" t="str">
        <f t="shared" si="19"/>
        <v/>
      </c>
      <c r="V410" t="str">
        <f t="shared" si="20"/>
        <v/>
      </c>
    </row>
    <row r="411" spans="1:22" x14ac:dyDescent="0.25">
      <c r="A411" t="str">
        <f>IF('Equipment Information'!A411="","", 'Equipment Information'!A411)</f>
        <v/>
      </c>
      <c r="B411" t="str">
        <f>IF('Equipment Information'!B411="","", 'Equipment Information'!B411)</f>
        <v/>
      </c>
      <c r="C411" t="str">
        <f>IF('Equipment Information'!C411="","", 'Equipment Information'!C411)</f>
        <v/>
      </c>
      <c r="E411" t="str">
        <f>IF(D411="","", IFERROR(VLOOKUP(D411, Hidden_Data!M:N, 2, FALSE), "0"))</f>
        <v/>
      </c>
      <c r="H411" t="str">
        <f>IF(G411="","", IFERROR(VLOOKUP(G411, Hidden_Data!M:N, 2, FALSE), "0"))</f>
        <v/>
      </c>
      <c r="K411" t="str">
        <f>IF(J411="","", IFERROR(VLOOKUP(J411, Hidden_Data!M:N, 2, FALSE), "0"))</f>
        <v/>
      </c>
      <c r="N411" t="str">
        <f>IF(M411="","", IFERROR(VLOOKUP(M411, Hidden_Data!M:N, 2, FALSE), "0"))</f>
        <v/>
      </c>
      <c r="Q411" t="str">
        <f>IF(P411="","", IFERROR(VLOOKUP(P411, Hidden_Data!M:N, 2, FALSE), "0"))</f>
        <v/>
      </c>
      <c r="T411" t="str">
        <f t="shared" si="18"/>
        <v/>
      </c>
      <c r="U411" t="str">
        <f t="shared" si="19"/>
        <v/>
      </c>
      <c r="V411" t="str">
        <f t="shared" si="20"/>
        <v/>
      </c>
    </row>
    <row r="412" spans="1:22" x14ac:dyDescent="0.25">
      <c r="A412" t="str">
        <f>IF('Equipment Information'!A412="","", 'Equipment Information'!A412)</f>
        <v/>
      </c>
      <c r="B412" t="str">
        <f>IF('Equipment Information'!B412="","", 'Equipment Information'!B412)</f>
        <v/>
      </c>
      <c r="C412" t="str">
        <f>IF('Equipment Information'!C412="","", 'Equipment Information'!C412)</f>
        <v/>
      </c>
      <c r="E412" t="str">
        <f>IF(D412="","", IFERROR(VLOOKUP(D412, Hidden_Data!M:N, 2, FALSE), "0"))</f>
        <v/>
      </c>
      <c r="H412" t="str">
        <f>IF(G412="","", IFERROR(VLOOKUP(G412, Hidden_Data!M:N, 2, FALSE), "0"))</f>
        <v/>
      </c>
      <c r="K412" t="str">
        <f>IF(J412="","", IFERROR(VLOOKUP(J412, Hidden_Data!M:N, 2, FALSE), "0"))</f>
        <v/>
      </c>
      <c r="N412" t="str">
        <f>IF(M412="","", IFERROR(VLOOKUP(M412, Hidden_Data!M:N, 2, FALSE), "0"))</f>
        <v/>
      </c>
      <c r="Q412" t="str">
        <f>IF(P412="","", IFERROR(VLOOKUP(P412, Hidden_Data!M:N, 2, FALSE), "0"))</f>
        <v/>
      </c>
      <c r="T412" t="str">
        <f t="shared" si="18"/>
        <v/>
      </c>
      <c r="U412" t="str">
        <f t="shared" si="19"/>
        <v/>
      </c>
      <c r="V412" t="str">
        <f t="shared" si="20"/>
        <v/>
      </c>
    </row>
    <row r="413" spans="1:22" x14ac:dyDescent="0.25">
      <c r="A413" t="str">
        <f>IF('Equipment Information'!A413="","", 'Equipment Information'!A413)</f>
        <v/>
      </c>
      <c r="B413" t="str">
        <f>IF('Equipment Information'!B413="","", 'Equipment Information'!B413)</f>
        <v/>
      </c>
      <c r="C413" t="str">
        <f>IF('Equipment Information'!C413="","", 'Equipment Information'!C413)</f>
        <v/>
      </c>
      <c r="E413" t="str">
        <f>IF(D413="","", IFERROR(VLOOKUP(D413, Hidden_Data!M:N, 2, FALSE), "0"))</f>
        <v/>
      </c>
      <c r="H413" t="str">
        <f>IF(G413="","", IFERROR(VLOOKUP(G413, Hidden_Data!M:N, 2, FALSE), "0"))</f>
        <v/>
      </c>
      <c r="K413" t="str">
        <f>IF(J413="","", IFERROR(VLOOKUP(J413, Hidden_Data!M:N, 2, FALSE), "0"))</f>
        <v/>
      </c>
      <c r="N413" t="str">
        <f>IF(M413="","", IFERROR(VLOOKUP(M413, Hidden_Data!M:N, 2, FALSE), "0"))</f>
        <v/>
      </c>
      <c r="Q413" t="str">
        <f>IF(P413="","", IFERROR(VLOOKUP(P413, Hidden_Data!M:N, 2, FALSE), "0"))</f>
        <v/>
      </c>
      <c r="T413" t="str">
        <f t="shared" si="18"/>
        <v/>
      </c>
      <c r="U413" t="str">
        <f t="shared" si="19"/>
        <v/>
      </c>
      <c r="V413" t="str">
        <f t="shared" si="20"/>
        <v/>
      </c>
    </row>
    <row r="414" spans="1:22" x14ac:dyDescent="0.25">
      <c r="A414" t="str">
        <f>IF('Equipment Information'!A414="","", 'Equipment Information'!A414)</f>
        <v/>
      </c>
      <c r="B414" t="str">
        <f>IF('Equipment Information'!B414="","", 'Equipment Information'!B414)</f>
        <v/>
      </c>
      <c r="C414" t="str">
        <f>IF('Equipment Information'!C414="","", 'Equipment Information'!C414)</f>
        <v/>
      </c>
      <c r="E414" t="str">
        <f>IF(D414="","", IFERROR(VLOOKUP(D414, Hidden_Data!M:N, 2, FALSE), "0"))</f>
        <v/>
      </c>
      <c r="H414" t="str">
        <f>IF(G414="","", IFERROR(VLOOKUP(G414, Hidden_Data!M:N, 2, FALSE), "0"))</f>
        <v/>
      </c>
      <c r="K414" t="str">
        <f>IF(J414="","", IFERROR(VLOOKUP(J414, Hidden_Data!M:N, 2, FALSE), "0"))</f>
        <v/>
      </c>
      <c r="N414" t="str">
        <f>IF(M414="","", IFERROR(VLOOKUP(M414, Hidden_Data!M:N, 2, FALSE), "0"))</f>
        <v/>
      </c>
      <c r="Q414" t="str">
        <f>IF(P414="","", IFERROR(VLOOKUP(P414, Hidden_Data!M:N, 2, FALSE), "0"))</f>
        <v/>
      </c>
      <c r="T414" t="str">
        <f t="shared" si="18"/>
        <v/>
      </c>
      <c r="U414" t="str">
        <f t="shared" si="19"/>
        <v/>
      </c>
      <c r="V414" t="str">
        <f t="shared" si="20"/>
        <v/>
      </c>
    </row>
    <row r="415" spans="1:22" x14ac:dyDescent="0.25">
      <c r="A415" t="str">
        <f>IF('Equipment Information'!A415="","", 'Equipment Information'!A415)</f>
        <v/>
      </c>
      <c r="B415" t="str">
        <f>IF('Equipment Information'!B415="","", 'Equipment Information'!B415)</f>
        <v/>
      </c>
      <c r="C415" t="str">
        <f>IF('Equipment Information'!C415="","", 'Equipment Information'!C415)</f>
        <v/>
      </c>
      <c r="E415" t="str">
        <f>IF(D415="","", IFERROR(VLOOKUP(D415, Hidden_Data!M:N, 2, FALSE), "0"))</f>
        <v/>
      </c>
      <c r="H415" t="str">
        <f>IF(G415="","", IFERROR(VLOOKUP(G415, Hidden_Data!M:N, 2, FALSE), "0"))</f>
        <v/>
      </c>
      <c r="K415" t="str">
        <f>IF(J415="","", IFERROR(VLOOKUP(J415, Hidden_Data!M:N, 2, FALSE), "0"))</f>
        <v/>
      </c>
      <c r="N415" t="str">
        <f>IF(M415="","", IFERROR(VLOOKUP(M415, Hidden_Data!M:N, 2, FALSE), "0"))</f>
        <v/>
      </c>
      <c r="Q415" t="str">
        <f>IF(P415="","", IFERROR(VLOOKUP(P415, Hidden_Data!M:N, 2, FALSE), "0"))</f>
        <v/>
      </c>
      <c r="T415" t="str">
        <f t="shared" si="18"/>
        <v/>
      </c>
      <c r="U415" t="str">
        <f t="shared" si="19"/>
        <v/>
      </c>
      <c r="V415" t="str">
        <f t="shared" si="20"/>
        <v/>
      </c>
    </row>
    <row r="416" spans="1:22" x14ac:dyDescent="0.25">
      <c r="A416" t="str">
        <f>IF('Equipment Information'!A416="","", 'Equipment Information'!A416)</f>
        <v/>
      </c>
      <c r="B416" t="str">
        <f>IF('Equipment Information'!B416="","", 'Equipment Information'!B416)</f>
        <v/>
      </c>
      <c r="C416" t="str">
        <f>IF('Equipment Information'!C416="","", 'Equipment Information'!C416)</f>
        <v/>
      </c>
      <c r="E416" t="str">
        <f>IF(D416="","", IFERROR(VLOOKUP(D416, Hidden_Data!M:N, 2, FALSE), "0"))</f>
        <v/>
      </c>
      <c r="H416" t="str">
        <f>IF(G416="","", IFERROR(VLOOKUP(G416, Hidden_Data!M:N, 2, FALSE), "0"))</f>
        <v/>
      </c>
      <c r="K416" t="str">
        <f>IF(J416="","", IFERROR(VLOOKUP(J416, Hidden_Data!M:N, 2, FALSE), "0"))</f>
        <v/>
      </c>
      <c r="N416" t="str">
        <f>IF(M416="","", IFERROR(VLOOKUP(M416, Hidden_Data!M:N, 2, FALSE), "0"))</f>
        <v/>
      </c>
      <c r="Q416" t="str">
        <f>IF(P416="","", IFERROR(VLOOKUP(P416, Hidden_Data!M:N, 2, FALSE), "0"))</f>
        <v/>
      </c>
      <c r="T416" t="str">
        <f t="shared" si="18"/>
        <v/>
      </c>
      <c r="U416" t="str">
        <f t="shared" si="19"/>
        <v/>
      </c>
      <c r="V416" t="str">
        <f t="shared" si="20"/>
        <v/>
      </c>
    </row>
    <row r="417" spans="1:22" x14ac:dyDescent="0.25">
      <c r="A417" t="str">
        <f>IF('Equipment Information'!A417="","", 'Equipment Information'!A417)</f>
        <v/>
      </c>
      <c r="B417" t="str">
        <f>IF('Equipment Information'!B417="","", 'Equipment Information'!B417)</f>
        <v/>
      </c>
      <c r="C417" t="str">
        <f>IF('Equipment Information'!C417="","", 'Equipment Information'!C417)</f>
        <v/>
      </c>
      <c r="E417" t="str">
        <f>IF(D417="","", IFERROR(VLOOKUP(D417, Hidden_Data!M:N, 2, FALSE), "0"))</f>
        <v/>
      </c>
      <c r="H417" t="str">
        <f>IF(G417="","", IFERROR(VLOOKUP(G417, Hidden_Data!M:N, 2, FALSE), "0"))</f>
        <v/>
      </c>
      <c r="K417" t="str">
        <f>IF(J417="","", IFERROR(VLOOKUP(J417, Hidden_Data!M:N, 2, FALSE), "0"))</f>
        <v/>
      </c>
      <c r="N417" t="str">
        <f>IF(M417="","", IFERROR(VLOOKUP(M417, Hidden_Data!M:N, 2, FALSE), "0"))</f>
        <v/>
      </c>
      <c r="Q417" t="str">
        <f>IF(P417="","", IFERROR(VLOOKUP(P417, Hidden_Data!M:N, 2, FALSE), "0"))</f>
        <v/>
      </c>
      <c r="T417" t="str">
        <f t="shared" si="18"/>
        <v/>
      </c>
      <c r="U417" t="str">
        <f t="shared" si="19"/>
        <v/>
      </c>
      <c r="V417" t="str">
        <f t="shared" si="20"/>
        <v/>
      </c>
    </row>
    <row r="418" spans="1:22" x14ac:dyDescent="0.25">
      <c r="A418" t="str">
        <f>IF('Equipment Information'!A418="","", 'Equipment Information'!A418)</f>
        <v/>
      </c>
      <c r="B418" t="str">
        <f>IF('Equipment Information'!B418="","", 'Equipment Information'!B418)</f>
        <v/>
      </c>
      <c r="C418" t="str">
        <f>IF('Equipment Information'!C418="","", 'Equipment Information'!C418)</f>
        <v/>
      </c>
      <c r="E418" t="str">
        <f>IF(D418="","", IFERROR(VLOOKUP(D418, Hidden_Data!M:N, 2, FALSE), "0"))</f>
        <v/>
      </c>
      <c r="H418" t="str">
        <f>IF(G418="","", IFERROR(VLOOKUP(G418, Hidden_Data!M:N, 2, FALSE), "0"))</f>
        <v/>
      </c>
      <c r="K418" t="str">
        <f>IF(J418="","", IFERROR(VLOOKUP(J418, Hidden_Data!M:N, 2, FALSE), "0"))</f>
        <v/>
      </c>
      <c r="N418" t="str">
        <f>IF(M418="","", IFERROR(VLOOKUP(M418, Hidden_Data!M:N, 2, FALSE), "0"))</f>
        <v/>
      </c>
      <c r="Q418" t="str">
        <f>IF(P418="","", IFERROR(VLOOKUP(P418, Hidden_Data!M:N, 2, FALSE), "0"))</f>
        <v/>
      </c>
      <c r="T418" t="str">
        <f t="shared" si="18"/>
        <v/>
      </c>
      <c r="U418" t="str">
        <f t="shared" si="19"/>
        <v/>
      </c>
      <c r="V418" t="str">
        <f t="shared" si="20"/>
        <v/>
      </c>
    </row>
    <row r="419" spans="1:22" x14ac:dyDescent="0.25">
      <c r="A419" t="str">
        <f>IF('Equipment Information'!A419="","", 'Equipment Information'!A419)</f>
        <v/>
      </c>
      <c r="B419" t="str">
        <f>IF('Equipment Information'!B419="","", 'Equipment Information'!B419)</f>
        <v/>
      </c>
      <c r="C419" t="str">
        <f>IF('Equipment Information'!C419="","", 'Equipment Information'!C419)</f>
        <v/>
      </c>
      <c r="E419" t="str">
        <f>IF(D419="","", IFERROR(VLOOKUP(D419, Hidden_Data!M:N, 2, FALSE), "0"))</f>
        <v/>
      </c>
      <c r="H419" t="str">
        <f>IF(G419="","", IFERROR(VLOOKUP(G419, Hidden_Data!M:N, 2, FALSE), "0"))</f>
        <v/>
      </c>
      <c r="K419" t="str">
        <f>IF(J419="","", IFERROR(VLOOKUP(J419, Hidden_Data!M:N, 2, FALSE), "0"))</f>
        <v/>
      </c>
      <c r="N419" t="str">
        <f>IF(M419="","", IFERROR(VLOOKUP(M419, Hidden_Data!M:N, 2, FALSE), "0"))</f>
        <v/>
      </c>
      <c r="Q419" t="str">
        <f>IF(P419="","", IFERROR(VLOOKUP(P419, Hidden_Data!M:N, 2, FALSE), "0"))</f>
        <v/>
      </c>
      <c r="T419" t="str">
        <f t="shared" si="18"/>
        <v/>
      </c>
      <c r="U419" t="str">
        <f t="shared" si="19"/>
        <v/>
      </c>
      <c r="V419" t="str">
        <f t="shared" si="20"/>
        <v/>
      </c>
    </row>
    <row r="420" spans="1:22" x14ac:dyDescent="0.25">
      <c r="A420" t="str">
        <f>IF('Equipment Information'!A420="","", 'Equipment Information'!A420)</f>
        <v/>
      </c>
      <c r="B420" t="str">
        <f>IF('Equipment Information'!B420="","", 'Equipment Information'!B420)</f>
        <v/>
      </c>
      <c r="C420" t="str">
        <f>IF('Equipment Information'!C420="","", 'Equipment Information'!C420)</f>
        <v/>
      </c>
      <c r="E420" t="str">
        <f>IF(D420="","", IFERROR(VLOOKUP(D420, Hidden_Data!M:N, 2, FALSE), "0"))</f>
        <v/>
      </c>
      <c r="H420" t="str">
        <f>IF(G420="","", IFERROR(VLOOKUP(G420, Hidden_Data!M:N, 2, FALSE), "0"))</f>
        <v/>
      </c>
      <c r="K420" t="str">
        <f>IF(J420="","", IFERROR(VLOOKUP(J420, Hidden_Data!M:N, 2, FALSE), "0"))</f>
        <v/>
      </c>
      <c r="N420" t="str">
        <f>IF(M420="","", IFERROR(VLOOKUP(M420, Hidden_Data!M:N, 2, FALSE), "0"))</f>
        <v/>
      </c>
      <c r="Q420" t="str">
        <f>IF(P420="","", IFERROR(VLOOKUP(P420, Hidden_Data!M:N, 2, FALSE), "0"))</f>
        <v/>
      </c>
      <c r="T420" t="str">
        <f t="shared" si="18"/>
        <v/>
      </c>
      <c r="U420" t="str">
        <f t="shared" si="19"/>
        <v/>
      </c>
      <c r="V420" t="str">
        <f t="shared" si="20"/>
        <v/>
      </c>
    </row>
    <row r="421" spans="1:22" x14ac:dyDescent="0.25">
      <c r="A421" t="str">
        <f>IF('Equipment Information'!A421="","", 'Equipment Information'!A421)</f>
        <v/>
      </c>
      <c r="B421" t="str">
        <f>IF('Equipment Information'!B421="","", 'Equipment Information'!B421)</f>
        <v/>
      </c>
      <c r="C421" t="str">
        <f>IF('Equipment Information'!C421="","", 'Equipment Information'!C421)</f>
        <v/>
      </c>
      <c r="E421" t="str">
        <f>IF(D421="","", IFERROR(VLOOKUP(D421, Hidden_Data!M:N, 2, FALSE), "0"))</f>
        <v/>
      </c>
      <c r="H421" t="str">
        <f>IF(G421="","", IFERROR(VLOOKUP(G421, Hidden_Data!M:N, 2, FALSE), "0"))</f>
        <v/>
      </c>
      <c r="K421" t="str">
        <f>IF(J421="","", IFERROR(VLOOKUP(J421, Hidden_Data!M:N, 2, FALSE), "0"))</f>
        <v/>
      </c>
      <c r="N421" t="str">
        <f>IF(M421="","", IFERROR(VLOOKUP(M421, Hidden_Data!M:N, 2, FALSE), "0"))</f>
        <v/>
      </c>
      <c r="Q421" t="str">
        <f>IF(P421="","", IFERROR(VLOOKUP(P421, Hidden_Data!M:N, 2, FALSE), "0"))</f>
        <v/>
      </c>
      <c r="T421" t="str">
        <f t="shared" si="18"/>
        <v/>
      </c>
      <c r="U421" t="str">
        <f t="shared" si="19"/>
        <v/>
      </c>
      <c r="V421" t="str">
        <f t="shared" si="20"/>
        <v/>
      </c>
    </row>
    <row r="422" spans="1:22" x14ac:dyDescent="0.25">
      <c r="A422" t="str">
        <f>IF('Equipment Information'!A422="","", 'Equipment Information'!A422)</f>
        <v/>
      </c>
      <c r="B422" t="str">
        <f>IF('Equipment Information'!B422="","", 'Equipment Information'!B422)</f>
        <v/>
      </c>
      <c r="C422" t="str">
        <f>IF('Equipment Information'!C422="","", 'Equipment Information'!C422)</f>
        <v/>
      </c>
      <c r="E422" t="str">
        <f>IF(D422="","", IFERROR(VLOOKUP(D422, Hidden_Data!M:N, 2, FALSE), "0"))</f>
        <v/>
      </c>
      <c r="H422" t="str">
        <f>IF(G422="","", IFERROR(VLOOKUP(G422, Hidden_Data!M:N, 2, FALSE), "0"))</f>
        <v/>
      </c>
      <c r="K422" t="str">
        <f>IF(J422="","", IFERROR(VLOOKUP(J422, Hidden_Data!M:N, 2, FALSE), "0"))</f>
        <v/>
      </c>
      <c r="N422" t="str">
        <f>IF(M422="","", IFERROR(VLOOKUP(M422, Hidden_Data!M:N, 2, FALSE), "0"))</f>
        <v/>
      </c>
      <c r="Q422" t="str">
        <f>IF(P422="","", IFERROR(VLOOKUP(P422, Hidden_Data!M:N, 2, FALSE), "0"))</f>
        <v/>
      </c>
      <c r="T422" t="str">
        <f t="shared" si="18"/>
        <v/>
      </c>
      <c r="U422" t="str">
        <f t="shared" si="19"/>
        <v/>
      </c>
      <c r="V422" t="str">
        <f t="shared" si="20"/>
        <v/>
      </c>
    </row>
    <row r="423" spans="1:22" x14ac:dyDescent="0.25">
      <c r="A423" t="str">
        <f>IF('Equipment Information'!A423="","", 'Equipment Information'!A423)</f>
        <v/>
      </c>
      <c r="B423" t="str">
        <f>IF('Equipment Information'!B423="","", 'Equipment Information'!B423)</f>
        <v/>
      </c>
      <c r="C423" t="str">
        <f>IF('Equipment Information'!C423="","", 'Equipment Information'!C423)</f>
        <v/>
      </c>
      <c r="E423" t="str">
        <f>IF(D423="","", IFERROR(VLOOKUP(D423, Hidden_Data!M:N, 2, FALSE), "0"))</f>
        <v/>
      </c>
      <c r="H423" t="str">
        <f>IF(G423="","", IFERROR(VLOOKUP(G423, Hidden_Data!M:N, 2, FALSE), "0"))</f>
        <v/>
      </c>
      <c r="K423" t="str">
        <f>IF(J423="","", IFERROR(VLOOKUP(J423, Hidden_Data!M:N, 2, FALSE), "0"))</f>
        <v/>
      </c>
      <c r="N423" t="str">
        <f>IF(M423="","", IFERROR(VLOOKUP(M423, Hidden_Data!M:N, 2, FALSE), "0"))</f>
        <v/>
      </c>
      <c r="Q423" t="str">
        <f>IF(P423="","", IFERROR(VLOOKUP(P423, Hidden_Data!M:N, 2, FALSE), "0"))</f>
        <v/>
      </c>
      <c r="T423" t="str">
        <f t="shared" si="18"/>
        <v/>
      </c>
      <c r="U423" t="str">
        <f t="shared" si="19"/>
        <v/>
      </c>
      <c r="V423" t="str">
        <f t="shared" si="20"/>
        <v/>
      </c>
    </row>
    <row r="424" spans="1:22" x14ac:dyDescent="0.25">
      <c r="A424" t="str">
        <f>IF('Equipment Information'!A424="","", 'Equipment Information'!A424)</f>
        <v/>
      </c>
      <c r="B424" t="str">
        <f>IF('Equipment Information'!B424="","", 'Equipment Information'!B424)</f>
        <v/>
      </c>
      <c r="C424" t="str">
        <f>IF('Equipment Information'!C424="","", 'Equipment Information'!C424)</f>
        <v/>
      </c>
      <c r="E424" t="str">
        <f>IF(D424="","", IFERROR(VLOOKUP(D424, Hidden_Data!M:N, 2, FALSE), "0"))</f>
        <v/>
      </c>
      <c r="H424" t="str">
        <f>IF(G424="","", IFERROR(VLOOKUP(G424, Hidden_Data!M:N, 2, FALSE), "0"))</f>
        <v/>
      </c>
      <c r="K424" t="str">
        <f>IF(J424="","", IFERROR(VLOOKUP(J424, Hidden_Data!M:N, 2, FALSE), "0"))</f>
        <v/>
      </c>
      <c r="N424" t="str">
        <f>IF(M424="","", IFERROR(VLOOKUP(M424, Hidden_Data!M:N, 2, FALSE), "0"))</f>
        <v/>
      </c>
      <c r="Q424" t="str">
        <f>IF(P424="","", IFERROR(VLOOKUP(P424, Hidden_Data!M:N, 2, FALSE), "0"))</f>
        <v/>
      </c>
      <c r="T424" t="str">
        <f t="shared" si="18"/>
        <v/>
      </c>
      <c r="U424" t="str">
        <f t="shared" si="19"/>
        <v/>
      </c>
      <c r="V424" t="str">
        <f t="shared" si="20"/>
        <v/>
      </c>
    </row>
    <row r="425" spans="1:22" x14ac:dyDescent="0.25">
      <c r="A425" t="str">
        <f>IF('Equipment Information'!A425="","", 'Equipment Information'!A425)</f>
        <v/>
      </c>
      <c r="B425" t="str">
        <f>IF('Equipment Information'!B425="","", 'Equipment Information'!B425)</f>
        <v/>
      </c>
      <c r="C425" t="str">
        <f>IF('Equipment Information'!C425="","", 'Equipment Information'!C425)</f>
        <v/>
      </c>
      <c r="E425" t="str">
        <f>IF(D425="","", IFERROR(VLOOKUP(D425, Hidden_Data!M:N, 2, FALSE), "0"))</f>
        <v/>
      </c>
      <c r="H425" t="str">
        <f>IF(G425="","", IFERROR(VLOOKUP(G425, Hidden_Data!M:N, 2, FALSE), "0"))</f>
        <v/>
      </c>
      <c r="K425" t="str">
        <f>IF(J425="","", IFERROR(VLOOKUP(J425, Hidden_Data!M:N, 2, FALSE), "0"))</f>
        <v/>
      </c>
      <c r="N425" t="str">
        <f>IF(M425="","", IFERROR(VLOOKUP(M425, Hidden_Data!M:N, 2, FALSE), "0"))</f>
        <v/>
      </c>
      <c r="Q425" t="str">
        <f>IF(P425="","", IFERROR(VLOOKUP(P425, Hidden_Data!M:N, 2, FALSE), "0"))</f>
        <v/>
      </c>
      <c r="T425" t="str">
        <f t="shared" si="18"/>
        <v/>
      </c>
      <c r="U425" t="str">
        <f t="shared" si="19"/>
        <v/>
      </c>
      <c r="V425" t="str">
        <f t="shared" si="20"/>
        <v/>
      </c>
    </row>
    <row r="426" spans="1:22" x14ac:dyDescent="0.25">
      <c r="A426" t="str">
        <f>IF('Equipment Information'!A426="","", 'Equipment Information'!A426)</f>
        <v/>
      </c>
      <c r="B426" t="str">
        <f>IF('Equipment Information'!B426="","", 'Equipment Information'!B426)</f>
        <v/>
      </c>
      <c r="C426" t="str">
        <f>IF('Equipment Information'!C426="","", 'Equipment Information'!C426)</f>
        <v/>
      </c>
      <c r="E426" t="str">
        <f>IF(D426="","", IFERROR(VLOOKUP(D426, Hidden_Data!M:N, 2, FALSE), "0"))</f>
        <v/>
      </c>
      <c r="H426" t="str">
        <f>IF(G426="","", IFERROR(VLOOKUP(G426, Hidden_Data!M:N, 2, FALSE), "0"))</f>
        <v/>
      </c>
      <c r="K426" t="str">
        <f>IF(J426="","", IFERROR(VLOOKUP(J426, Hidden_Data!M:N, 2, FALSE), "0"))</f>
        <v/>
      </c>
      <c r="N426" t="str">
        <f>IF(M426="","", IFERROR(VLOOKUP(M426, Hidden_Data!M:N, 2, FALSE), "0"))</f>
        <v/>
      </c>
      <c r="Q426" t="str">
        <f>IF(P426="","", IFERROR(VLOOKUP(P426, Hidden_Data!M:N, 2, FALSE), "0"))</f>
        <v/>
      </c>
      <c r="T426" t="str">
        <f t="shared" si="18"/>
        <v/>
      </c>
      <c r="U426" t="str">
        <f t="shared" si="19"/>
        <v/>
      </c>
      <c r="V426" t="str">
        <f t="shared" si="20"/>
        <v/>
      </c>
    </row>
    <row r="427" spans="1:22" x14ac:dyDescent="0.25">
      <c r="A427" t="str">
        <f>IF('Equipment Information'!A427="","", 'Equipment Information'!A427)</f>
        <v/>
      </c>
      <c r="B427" t="str">
        <f>IF('Equipment Information'!B427="","", 'Equipment Information'!B427)</f>
        <v/>
      </c>
      <c r="C427" t="str">
        <f>IF('Equipment Information'!C427="","", 'Equipment Information'!C427)</f>
        <v/>
      </c>
      <c r="E427" t="str">
        <f>IF(D427="","", IFERROR(VLOOKUP(D427, Hidden_Data!M:N, 2, FALSE), "0"))</f>
        <v/>
      </c>
      <c r="H427" t="str">
        <f>IF(G427="","", IFERROR(VLOOKUP(G427, Hidden_Data!M:N, 2, FALSE), "0"))</f>
        <v/>
      </c>
      <c r="K427" t="str">
        <f>IF(J427="","", IFERROR(VLOOKUP(J427, Hidden_Data!M:N, 2, FALSE), "0"))</f>
        <v/>
      </c>
      <c r="N427" t="str">
        <f>IF(M427="","", IFERROR(VLOOKUP(M427, Hidden_Data!M:N, 2, FALSE), "0"))</f>
        <v/>
      </c>
      <c r="Q427" t="str">
        <f>IF(P427="","", IFERROR(VLOOKUP(P427, Hidden_Data!M:N, 2, FALSE), "0"))</f>
        <v/>
      </c>
      <c r="T427" t="str">
        <f t="shared" si="18"/>
        <v/>
      </c>
      <c r="U427" t="str">
        <f t="shared" si="19"/>
        <v/>
      </c>
      <c r="V427" t="str">
        <f t="shared" si="20"/>
        <v/>
      </c>
    </row>
    <row r="428" spans="1:22" x14ac:dyDescent="0.25">
      <c r="A428" t="str">
        <f>IF('Equipment Information'!A428="","", 'Equipment Information'!A428)</f>
        <v/>
      </c>
      <c r="B428" t="str">
        <f>IF('Equipment Information'!B428="","", 'Equipment Information'!B428)</f>
        <v/>
      </c>
      <c r="C428" t="str">
        <f>IF('Equipment Information'!C428="","", 'Equipment Information'!C428)</f>
        <v/>
      </c>
      <c r="E428" t="str">
        <f>IF(D428="","", IFERROR(VLOOKUP(D428, Hidden_Data!M:N, 2, FALSE), "0"))</f>
        <v/>
      </c>
      <c r="H428" t="str">
        <f>IF(G428="","", IFERROR(VLOOKUP(G428, Hidden_Data!M:N, 2, FALSE), "0"))</f>
        <v/>
      </c>
      <c r="K428" t="str">
        <f>IF(J428="","", IFERROR(VLOOKUP(J428, Hidden_Data!M:N, 2, FALSE), "0"))</f>
        <v/>
      </c>
      <c r="N428" t="str">
        <f>IF(M428="","", IFERROR(VLOOKUP(M428, Hidden_Data!M:N, 2, FALSE), "0"))</f>
        <v/>
      </c>
      <c r="Q428" t="str">
        <f>IF(P428="","", IFERROR(VLOOKUP(P428, Hidden_Data!M:N, 2, FALSE), "0"))</f>
        <v/>
      </c>
      <c r="T428" t="str">
        <f t="shared" si="18"/>
        <v/>
      </c>
      <c r="U428" t="str">
        <f t="shared" si="19"/>
        <v/>
      </c>
      <c r="V428" t="str">
        <f t="shared" si="20"/>
        <v/>
      </c>
    </row>
    <row r="429" spans="1:22" x14ac:dyDescent="0.25">
      <c r="A429" t="str">
        <f>IF('Equipment Information'!A429="","", 'Equipment Information'!A429)</f>
        <v/>
      </c>
      <c r="B429" t="str">
        <f>IF('Equipment Information'!B429="","", 'Equipment Information'!B429)</f>
        <v/>
      </c>
      <c r="C429" t="str">
        <f>IF('Equipment Information'!C429="","", 'Equipment Information'!C429)</f>
        <v/>
      </c>
      <c r="E429" t="str">
        <f>IF(D429="","", IFERROR(VLOOKUP(D429, Hidden_Data!M:N, 2, FALSE), "0"))</f>
        <v/>
      </c>
      <c r="H429" t="str">
        <f>IF(G429="","", IFERROR(VLOOKUP(G429, Hidden_Data!M:N, 2, FALSE), "0"))</f>
        <v/>
      </c>
      <c r="K429" t="str">
        <f>IF(J429="","", IFERROR(VLOOKUP(J429, Hidden_Data!M:N, 2, FALSE), "0"))</f>
        <v/>
      </c>
      <c r="N429" t="str">
        <f>IF(M429="","", IFERROR(VLOOKUP(M429, Hidden_Data!M:N, 2, FALSE), "0"))</f>
        <v/>
      </c>
      <c r="Q429" t="str">
        <f>IF(P429="","", IFERROR(VLOOKUP(P429, Hidden_Data!M:N, 2, FALSE), "0"))</f>
        <v/>
      </c>
      <c r="T429" t="str">
        <f t="shared" si="18"/>
        <v/>
      </c>
      <c r="U429" t="str">
        <f t="shared" si="19"/>
        <v/>
      </c>
      <c r="V429" t="str">
        <f t="shared" si="20"/>
        <v/>
      </c>
    </row>
    <row r="430" spans="1:22" x14ac:dyDescent="0.25">
      <c r="A430" t="str">
        <f>IF('Equipment Information'!A430="","", 'Equipment Information'!A430)</f>
        <v/>
      </c>
      <c r="B430" t="str">
        <f>IF('Equipment Information'!B430="","", 'Equipment Information'!B430)</f>
        <v/>
      </c>
      <c r="C430" t="str">
        <f>IF('Equipment Information'!C430="","", 'Equipment Information'!C430)</f>
        <v/>
      </c>
      <c r="E430" t="str">
        <f>IF(D430="","", IFERROR(VLOOKUP(D430, Hidden_Data!M:N, 2, FALSE), "0"))</f>
        <v/>
      </c>
      <c r="H430" t="str">
        <f>IF(G430="","", IFERROR(VLOOKUP(G430, Hidden_Data!M:N, 2, FALSE), "0"))</f>
        <v/>
      </c>
      <c r="K430" t="str">
        <f>IF(J430="","", IFERROR(VLOOKUP(J430, Hidden_Data!M:N, 2, FALSE), "0"))</f>
        <v/>
      </c>
      <c r="N430" t="str">
        <f>IF(M430="","", IFERROR(VLOOKUP(M430, Hidden_Data!M:N, 2, FALSE), "0"))</f>
        <v/>
      </c>
      <c r="Q430" t="str">
        <f>IF(P430="","", IFERROR(VLOOKUP(P430, Hidden_Data!M:N, 2, FALSE), "0"))</f>
        <v/>
      </c>
      <c r="T430" t="str">
        <f t="shared" si="18"/>
        <v/>
      </c>
      <c r="U430" t="str">
        <f t="shared" si="19"/>
        <v/>
      </c>
      <c r="V430" t="str">
        <f t="shared" si="20"/>
        <v/>
      </c>
    </row>
    <row r="431" spans="1:22" x14ac:dyDescent="0.25">
      <c r="A431" t="str">
        <f>IF('Equipment Information'!A431="","", 'Equipment Information'!A431)</f>
        <v/>
      </c>
      <c r="B431" t="str">
        <f>IF('Equipment Information'!B431="","", 'Equipment Information'!B431)</f>
        <v/>
      </c>
      <c r="C431" t="str">
        <f>IF('Equipment Information'!C431="","", 'Equipment Information'!C431)</f>
        <v/>
      </c>
      <c r="E431" t="str">
        <f>IF(D431="","", IFERROR(VLOOKUP(D431, Hidden_Data!M:N, 2, FALSE), "0"))</f>
        <v/>
      </c>
      <c r="H431" t="str">
        <f>IF(G431="","", IFERROR(VLOOKUP(G431, Hidden_Data!M:N, 2, FALSE), "0"))</f>
        <v/>
      </c>
      <c r="K431" t="str">
        <f>IF(J431="","", IFERROR(VLOOKUP(J431, Hidden_Data!M:N, 2, FALSE), "0"))</f>
        <v/>
      </c>
      <c r="N431" t="str">
        <f>IF(M431="","", IFERROR(VLOOKUP(M431, Hidden_Data!M:N, 2, FALSE), "0"))</f>
        <v/>
      </c>
      <c r="Q431" t="str">
        <f>IF(P431="","", IFERROR(VLOOKUP(P431, Hidden_Data!M:N, 2, FALSE), "0"))</f>
        <v/>
      </c>
      <c r="T431" t="str">
        <f t="shared" si="18"/>
        <v/>
      </c>
      <c r="U431" t="str">
        <f t="shared" si="19"/>
        <v/>
      </c>
      <c r="V431" t="str">
        <f t="shared" si="20"/>
        <v/>
      </c>
    </row>
    <row r="432" spans="1:22" x14ac:dyDescent="0.25">
      <c r="A432" t="str">
        <f>IF('Equipment Information'!A432="","", 'Equipment Information'!A432)</f>
        <v/>
      </c>
      <c r="B432" t="str">
        <f>IF('Equipment Information'!B432="","", 'Equipment Information'!B432)</f>
        <v/>
      </c>
      <c r="C432" t="str">
        <f>IF('Equipment Information'!C432="","", 'Equipment Information'!C432)</f>
        <v/>
      </c>
      <c r="E432" t="str">
        <f>IF(D432="","", IFERROR(VLOOKUP(D432, Hidden_Data!M:N, 2, FALSE), "0"))</f>
        <v/>
      </c>
      <c r="H432" t="str">
        <f>IF(G432="","", IFERROR(VLOOKUP(G432, Hidden_Data!M:N, 2, FALSE), "0"))</f>
        <v/>
      </c>
      <c r="K432" t="str">
        <f>IF(J432="","", IFERROR(VLOOKUP(J432, Hidden_Data!M:N, 2, FALSE), "0"))</f>
        <v/>
      </c>
      <c r="N432" t="str">
        <f>IF(M432="","", IFERROR(VLOOKUP(M432, Hidden_Data!M:N, 2, FALSE), "0"))</f>
        <v/>
      </c>
      <c r="Q432" t="str">
        <f>IF(P432="","", IFERROR(VLOOKUP(P432, Hidden_Data!M:N, 2, FALSE), "0"))</f>
        <v/>
      </c>
      <c r="T432" t="str">
        <f t="shared" si="18"/>
        <v/>
      </c>
      <c r="U432" t="str">
        <f t="shared" si="19"/>
        <v/>
      </c>
      <c r="V432" t="str">
        <f t="shared" si="20"/>
        <v/>
      </c>
    </row>
    <row r="433" spans="1:22" x14ac:dyDescent="0.25">
      <c r="A433" t="str">
        <f>IF('Equipment Information'!A433="","", 'Equipment Information'!A433)</f>
        <v/>
      </c>
      <c r="B433" t="str">
        <f>IF('Equipment Information'!B433="","", 'Equipment Information'!B433)</f>
        <v/>
      </c>
      <c r="C433" t="str">
        <f>IF('Equipment Information'!C433="","", 'Equipment Information'!C433)</f>
        <v/>
      </c>
      <c r="E433" t="str">
        <f>IF(D433="","", IFERROR(VLOOKUP(D433, Hidden_Data!M:N, 2, FALSE), "0"))</f>
        <v/>
      </c>
      <c r="H433" t="str">
        <f>IF(G433="","", IFERROR(VLOOKUP(G433, Hidden_Data!M:N, 2, FALSE), "0"))</f>
        <v/>
      </c>
      <c r="K433" t="str">
        <f>IF(J433="","", IFERROR(VLOOKUP(J433, Hidden_Data!M:N, 2, FALSE), "0"))</f>
        <v/>
      </c>
      <c r="N433" t="str">
        <f>IF(M433="","", IFERROR(VLOOKUP(M433, Hidden_Data!M:N, 2, FALSE), "0"))</f>
        <v/>
      </c>
      <c r="Q433" t="str">
        <f>IF(P433="","", IFERROR(VLOOKUP(P433, Hidden_Data!M:N, 2, FALSE), "0"))</f>
        <v/>
      </c>
      <c r="T433" t="str">
        <f t="shared" si="18"/>
        <v/>
      </c>
      <c r="U433" t="str">
        <f t="shared" si="19"/>
        <v/>
      </c>
      <c r="V433" t="str">
        <f t="shared" si="20"/>
        <v/>
      </c>
    </row>
    <row r="434" spans="1:22" x14ac:dyDescent="0.25">
      <c r="A434" t="str">
        <f>IF('Equipment Information'!A434="","", 'Equipment Information'!A434)</f>
        <v/>
      </c>
      <c r="B434" t="str">
        <f>IF('Equipment Information'!B434="","", 'Equipment Information'!B434)</f>
        <v/>
      </c>
      <c r="C434" t="str">
        <f>IF('Equipment Information'!C434="","", 'Equipment Information'!C434)</f>
        <v/>
      </c>
      <c r="E434" t="str">
        <f>IF(D434="","", IFERROR(VLOOKUP(D434, Hidden_Data!M:N, 2, FALSE), "0"))</f>
        <v/>
      </c>
      <c r="H434" t="str">
        <f>IF(G434="","", IFERROR(VLOOKUP(G434, Hidden_Data!M:N, 2, FALSE), "0"))</f>
        <v/>
      </c>
      <c r="K434" t="str">
        <f>IF(J434="","", IFERROR(VLOOKUP(J434, Hidden_Data!M:N, 2, FALSE), "0"))</f>
        <v/>
      </c>
      <c r="N434" t="str">
        <f>IF(M434="","", IFERROR(VLOOKUP(M434, Hidden_Data!M:N, 2, FALSE), "0"))</f>
        <v/>
      </c>
      <c r="Q434" t="str">
        <f>IF(P434="","", IFERROR(VLOOKUP(P434, Hidden_Data!M:N, 2, FALSE), "0"))</f>
        <v/>
      </c>
      <c r="T434" t="str">
        <f t="shared" si="18"/>
        <v/>
      </c>
      <c r="U434" t="str">
        <f t="shared" si="19"/>
        <v/>
      </c>
      <c r="V434" t="str">
        <f t="shared" si="20"/>
        <v/>
      </c>
    </row>
    <row r="435" spans="1:22" x14ac:dyDescent="0.25">
      <c r="A435" t="str">
        <f>IF('Equipment Information'!A435="","", 'Equipment Information'!A435)</f>
        <v/>
      </c>
      <c r="B435" t="str">
        <f>IF('Equipment Information'!B435="","", 'Equipment Information'!B435)</f>
        <v/>
      </c>
      <c r="C435" t="str">
        <f>IF('Equipment Information'!C435="","", 'Equipment Information'!C435)</f>
        <v/>
      </c>
      <c r="E435" t="str">
        <f>IF(D435="","", IFERROR(VLOOKUP(D435, Hidden_Data!M:N, 2, FALSE), "0"))</f>
        <v/>
      </c>
      <c r="H435" t="str">
        <f>IF(G435="","", IFERROR(VLOOKUP(G435, Hidden_Data!M:N, 2, FALSE), "0"))</f>
        <v/>
      </c>
      <c r="K435" t="str">
        <f>IF(J435="","", IFERROR(VLOOKUP(J435, Hidden_Data!M:N, 2, FALSE), "0"))</f>
        <v/>
      </c>
      <c r="N435" t="str">
        <f>IF(M435="","", IFERROR(VLOOKUP(M435, Hidden_Data!M:N, 2, FALSE), "0"))</f>
        <v/>
      </c>
      <c r="Q435" t="str">
        <f>IF(P435="","", IFERROR(VLOOKUP(P435, Hidden_Data!M:N, 2, FALSE), "0"))</f>
        <v/>
      </c>
      <c r="T435" t="str">
        <f t="shared" si="18"/>
        <v/>
      </c>
      <c r="U435" t="str">
        <f t="shared" si="19"/>
        <v/>
      </c>
      <c r="V435" t="str">
        <f t="shared" si="20"/>
        <v/>
      </c>
    </row>
    <row r="436" spans="1:22" x14ac:dyDescent="0.25">
      <c r="A436" t="str">
        <f>IF('Equipment Information'!A436="","", 'Equipment Information'!A436)</f>
        <v/>
      </c>
      <c r="B436" t="str">
        <f>IF('Equipment Information'!B436="","", 'Equipment Information'!B436)</f>
        <v/>
      </c>
      <c r="C436" t="str">
        <f>IF('Equipment Information'!C436="","", 'Equipment Information'!C436)</f>
        <v/>
      </c>
      <c r="E436" t="str">
        <f>IF(D436="","", IFERROR(VLOOKUP(D436, Hidden_Data!M:N, 2, FALSE), "0"))</f>
        <v/>
      </c>
      <c r="H436" t="str">
        <f>IF(G436="","", IFERROR(VLOOKUP(G436, Hidden_Data!M:N, 2, FALSE), "0"))</f>
        <v/>
      </c>
      <c r="K436" t="str">
        <f>IF(J436="","", IFERROR(VLOOKUP(J436, Hidden_Data!M:N, 2, FALSE), "0"))</f>
        <v/>
      </c>
      <c r="N436" t="str">
        <f>IF(M436="","", IFERROR(VLOOKUP(M436, Hidden_Data!M:N, 2, FALSE), "0"))</f>
        <v/>
      </c>
      <c r="Q436" t="str">
        <f>IF(P436="","", IFERROR(VLOOKUP(P436, Hidden_Data!M:N, 2, FALSE), "0"))</f>
        <v/>
      </c>
      <c r="T436" t="str">
        <f t="shared" si="18"/>
        <v/>
      </c>
      <c r="U436" t="str">
        <f t="shared" si="19"/>
        <v/>
      </c>
      <c r="V436" t="str">
        <f t="shared" si="20"/>
        <v/>
      </c>
    </row>
    <row r="437" spans="1:22" x14ac:dyDescent="0.25">
      <c r="A437" t="str">
        <f>IF('Equipment Information'!A437="","", 'Equipment Information'!A437)</f>
        <v/>
      </c>
      <c r="B437" t="str">
        <f>IF('Equipment Information'!B437="","", 'Equipment Information'!B437)</f>
        <v/>
      </c>
      <c r="C437" t="str">
        <f>IF('Equipment Information'!C437="","", 'Equipment Information'!C437)</f>
        <v/>
      </c>
      <c r="E437" t="str">
        <f>IF(D437="","", IFERROR(VLOOKUP(D437, Hidden_Data!M:N, 2, FALSE), "0"))</f>
        <v/>
      </c>
      <c r="H437" t="str">
        <f>IF(G437="","", IFERROR(VLOOKUP(G437, Hidden_Data!M:N, 2, FALSE), "0"))</f>
        <v/>
      </c>
      <c r="K437" t="str">
        <f>IF(J437="","", IFERROR(VLOOKUP(J437, Hidden_Data!M:N, 2, FALSE), "0"))</f>
        <v/>
      </c>
      <c r="N437" t="str">
        <f>IF(M437="","", IFERROR(VLOOKUP(M437, Hidden_Data!M:N, 2, FALSE), "0"))</f>
        <v/>
      </c>
      <c r="Q437" t="str">
        <f>IF(P437="","", IFERROR(VLOOKUP(P437, Hidden_Data!M:N, 2, FALSE), "0"))</f>
        <v/>
      </c>
      <c r="T437" t="str">
        <f t="shared" si="18"/>
        <v/>
      </c>
      <c r="U437" t="str">
        <f t="shared" si="19"/>
        <v/>
      </c>
      <c r="V437" t="str">
        <f t="shared" si="20"/>
        <v/>
      </c>
    </row>
    <row r="438" spans="1:22" x14ac:dyDescent="0.25">
      <c r="A438" t="str">
        <f>IF('Equipment Information'!A438="","", 'Equipment Information'!A438)</f>
        <v/>
      </c>
      <c r="B438" t="str">
        <f>IF('Equipment Information'!B438="","", 'Equipment Information'!B438)</f>
        <v/>
      </c>
      <c r="C438" t="str">
        <f>IF('Equipment Information'!C438="","", 'Equipment Information'!C438)</f>
        <v/>
      </c>
      <c r="E438" t="str">
        <f>IF(D438="","", IFERROR(VLOOKUP(D438, Hidden_Data!M:N, 2, FALSE), "0"))</f>
        <v/>
      </c>
      <c r="H438" t="str">
        <f>IF(G438="","", IFERROR(VLOOKUP(G438, Hidden_Data!M:N, 2, FALSE), "0"))</f>
        <v/>
      </c>
      <c r="K438" t="str">
        <f>IF(J438="","", IFERROR(VLOOKUP(J438, Hidden_Data!M:N, 2, FALSE), "0"))</f>
        <v/>
      </c>
      <c r="N438" t="str">
        <f>IF(M438="","", IFERROR(VLOOKUP(M438, Hidden_Data!M:N, 2, FALSE), "0"))</f>
        <v/>
      </c>
      <c r="Q438" t="str">
        <f>IF(P438="","", IFERROR(VLOOKUP(P438, Hidden_Data!M:N, 2, FALSE), "0"))</f>
        <v/>
      </c>
      <c r="T438" t="str">
        <f t="shared" si="18"/>
        <v/>
      </c>
      <c r="U438" t="str">
        <f t="shared" si="19"/>
        <v/>
      </c>
      <c r="V438" t="str">
        <f t="shared" si="20"/>
        <v/>
      </c>
    </row>
    <row r="439" spans="1:22" x14ac:dyDescent="0.25">
      <c r="A439" t="str">
        <f>IF('Equipment Information'!A439="","", 'Equipment Information'!A439)</f>
        <v/>
      </c>
      <c r="B439" t="str">
        <f>IF('Equipment Information'!B439="","", 'Equipment Information'!B439)</f>
        <v/>
      </c>
      <c r="C439" t="str">
        <f>IF('Equipment Information'!C439="","", 'Equipment Information'!C439)</f>
        <v/>
      </c>
      <c r="E439" t="str">
        <f>IF(D439="","", IFERROR(VLOOKUP(D439, Hidden_Data!M:N, 2, FALSE), "0"))</f>
        <v/>
      </c>
      <c r="H439" t="str">
        <f>IF(G439="","", IFERROR(VLOOKUP(G439, Hidden_Data!M:N, 2, FALSE), "0"))</f>
        <v/>
      </c>
      <c r="K439" t="str">
        <f>IF(J439="","", IFERROR(VLOOKUP(J439, Hidden_Data!M:N, 2, FALSE), "0"))</f>
        <v/>
      </c>
      <c r="N439" t="str">
        <f>IF(M439="","", IFERROR(VLOOKUP(M439, Hidden_Data!M:N, 2, FALSE), "0"))</f>
        <v/>
      </c>
      <c r="Q439" t="str">
        <f>IF(P439="","", IFERROR(VLOOKUP(P439, Hidden_Data!M:N, 2, FALSE), "0"))</f>
        <v/>
      </c>
      <c r="T439" t="str">
        <f t="shared" si="18"/>
        <v/>
      </c>
      <c r="U439" t="str">
        <f t="shared" si="19"/>
        <v/>
      </c>
      <c r="V439" t="str">
        <f t="shared" si="20"/>
        <v/>
      </c>
    </row>
    <row r="440" spans="1:22" x14ac:dyDescent="0.25">
      <c r="A440" t="str">
        <f>IF('Equipment Information'!A440="","", 'Equipment Information'!A440)</f>
        <v/>
      </c>
      <c r="B440" t="str">
        <f>IF('Equipment Information'!B440="","", 'Equipment Information'!B440)</f>
        <v/>
      </c>
      <c r="C440" t="str">
        <f>IF('Equipment Information'!C440="","", 'Equipment Information'!C440)</f>
        <v/>
      </c>
      <c r="E440" t="str">
        <f>IF(D440="","", IFERROR(VLOOKUP(D440, Hidden_Data!M:N, 2, FALSE), "0"))</f>
        <v/>
      </c>
      <c r="H440" t="str">
        <f>IF(G440="","", IFERROR(VLOOKUP(G440, Hidden_Data!M:N, 2, FALSE), "0"))</f>
        <v/>
      </c>
      <c r="K440" t="str">
        <f>IF(J440="","", IFERROR(VLOOKUP(J440, Hidden_Data!M:N, 2, FALSE), "0"))</f>
        <v/>
      </c>
      <c r="N440" t="str">
        <f>IF(M440="","", IFERROR(VLOOKUP(M440, Hidden_Data!M:N, 2, FALSE), "0"))</f>
        <v/>
      </c>
      <c r="Q440" t="str">
        <f>IF(P440="","", IFERROR(VLOOKUP(P440, Hidden_Data!M:N, 2, FALSE), "0"))</f>
        <v/>
      </c>
      <c r="T440" t="str">
        <f t="shared" si="18"/>
        <v/>
      </c>
      <c r="U440" t="str">
        <f t="shared" si="19"/>
        <v/>
      </c>
      <c r="V440" t="str">
        <f t="shared" si="20"/>
        <v/>
      </c>
    </row>
    <row r="441" spans="1:22" x14ac:dyDescent="0.25">
      <c r="A441" t="str">
        <f>IF('Equipment Information'!A441="","", 'Equipment Information'!A441)</f>
        <v/>
      </c>
      <c r="B441" t="str">
        <f>IF('Equipment Information'!B441="","", 'Equipment Information'!B441)</f>
        <v/>
      </c>
      <c r="C441" t="str">
        <f>IF('Equipment Information'!C441="","", 'Equipment Information'!C441)</f>
        <v/>
      </c>
      <c r="E441" t="str">
        <f>IF(D441="","", IFERROR(VLOOKUP(D441, Hidden_Data!M:N, 2, FALSE), "0"))</f>
        <v/>
      </c>
      <c r="H441" t="str">
        <f>IF(G441="","", IFERROR(VLOOKUP(G441, Hidden_Data!M:N, 2, FALSE), "0"))</f>
        <v/>
      </c>
      <c r="K441" t="str">
        <f>IF(J441="","", IFERROR(VLOOKUP(J441, Hidden_Data!M:N, 2, FALSE), "0"))</f>
        <v/>
      </c>
      <c r="N441" t="str">
        <f>IF(M441="","", IFERROR(VLOOKUP(M441, Hidden_Data!M:N, 2, FALSE), "0"))</f>
        <v/>
      </c>
      <c r="Q441" t="str">
        <f>IF(P441="","", IFERROR(VLOOKUP(P441, Hidden_Data!M:N, 2, FALSE), "0"))</f>
        <v/>
      </c>
      <c r="T441" t="str">
        <f t="shared" si="18"/>
        <v/>
      </c>
      <c r="U441" t="str">
        <f t="shared" si="19"/>
        <v/>
      </c>
      <c r="V441" t="str">
        <f t="shared" si="20"/>
        <v/>
      </c>
    </row>
    <row r="442" spans="1:22" x14ac:dyDescent="0.25">
      <c r="A442" t="str">
        <f>IF('Equipment Information'!A442="","", 'Equipment Information'!A442)</f>
        <v/>
      </c>
      <c r="B442" t="str">
        <f>IF('Equipment Information'!B442="","", 'Equipment Information'!B442)</f>
        <v/>
      </c>
      <c r="C442" t="str">
        <f>IF('Equipment Information'!C442="","", 'Equipment Information'!C442)</f>
        <v/>
      </c>
      <c r="E442" t="str">
        <f>IF(D442="","", IFERROR(VLOOKUP(D442, Hidden_Data!M:N, 2, FALSE), "0"))</f>
        <v/>
      </c>
      <c r="H442" t="str">
        <f>IF(G442="","", IFERROR(VLOOKUP(G442, Hidden_Data!M:N, 2, FALSE), "0"))</f>
        <v/>
      </c>
      <c r="K442" t="str">
        <f>IF(J442="","", IFERROR(VLOOKUP(J442, Hidden_Data!M:N, 2, FALSE), "0"))</f>
        <v/>
      </c>
      <c r="N442" t="str">
        <f>IF(M442="","", IFERROR(VLOOKUP(M442, Hidden_Data!M:N, 2, FALSE), "0"))</f>
        <v/>
      </c>
      <c r="Q442" t="str">
        <f>IF(P442="","", IFERROR(VLOOKUP(P442, Hidden_Data!M:N, 2, FALSE), "0"))</f>
        <v/>
      </c>
      <c r="T442" t="str">
        <f t="shared" si="18"/>
        <v/>
      </c>
      <c r="U442" t="str">
        <f t="shared" si="19"/>
        <v/>
      </c>
      <c r="V442" t="str">
        <f t="shared" si="20"/>
        <v/>
      </c>
    </row>
    <row r="443" spans="1:22" x14ac:dyDescent="0.25">
      <c r="A443" t="str">
        <f>IF('Equipment Information'!A443="","", 'Equipment Information'!A443)</f>
        <v/>
      </c>
      <c r="B443" t="str">
        <f>IF('Equipment Information'!B443="","", 'Equipment Information'!B443)</f>
        <v/>
      </c>
      <c r="C443" t="str">
        <f>IF('Equipment Information'!C443="","", 'Equipment Information'!C443)</f>
        <v/>
      </c>
      <c r="E443" t="str">
        <f>IF(D443="","", IFERROR(VLOOKUP(D443, Hidden_Data!M:N, 2, FALSE), "0"))</f>
        <v/>
      </c>
      <c r="H443" t="str">
        <f>IF(G443="","", IFERROR(VLOOKUP(G443, Hidden_Data!M:N, 2, FALSE), "0"))</f>
        <v/>
      </c>
      <c r="K443" t="str">
        <f>IF(J443="","", IFERROR(VLOOKUP(J443, Hidden_Data!M:N, 2, FALSE), "0"))</f>
        <v/>
      </c>
      <c r="N443" t="str">
        <f>IF(M443="","", IFERROR(VLOOKUP(M443, Hidden_Data!M:N, 2, FALSE), "0"))</f>
        <v/>
      </c>
      <c r="Q443" t="str">
        <f>IF(P443="","", IFERROR(VLOOKUP(P443, Hidden_Data!M:N, 2, FALSE), "0"))</f>
        <v/>
      </c>
      <c r="T443" t="str">
        <f t="shared" si="18"/>
        <v/>
      </c>
      <c r="U443" t="str">
        <f t="shared" si="19"/>
        <v/>
      </c>
      <c r="V443" t="str">
        <f t="shared" si="20"/>
        <v/>
      </c>
    </row>
    <row r="444" spans="1:22" x14ac:dyDescent="0.25">
      <c r="A444" t="str">
        <f>IF('Equipment Information'!A444="","", 'Equipment Information'!A444)</f>
        <v/>
      </c>
      <c r="B444" t="str">
        <f>IF('Equipment Information'!B444="","", 'Equipment Information'!B444)</f>
        <v/>
      </c>
      <c r="C444" t="str">
        <f>IF('Equipment Information'!C444="","", 'Equipment Information'!C444)</f>
        <v/>
      </c>
      <c r="E444" t="str">
        <f>IF(D444="","", IFERROR(VLOOKUP(D444, Hidden_Data!M:N, 2, FALSE), "0"))</f>
        <v/>
      </c>
      <c r="H444" t="str">
        <f>IF(G444="","", IFERROR(VLOOKUP(G444, Hidden_Data!M:N, 2, FALSE), "0"))</f>
        <v/>
      </c>
      <c r="K444" t="str">
        <f>IF(J444="","", IFERROR(VLOOKUP(J444, Hidden_Data!M:N, 2, FALSE), "0"))</f>
        <v/>
      </c>
      <c r="N444" t="str">
        <f>IF(M444="","", IFERROR(VLOOKUP(M444, Hidden_Data!M:N, 2, FALSE), "0"))</f>
        <v/>
      </c>
      <c r="Q444" t="str">
        <f>IF(P444="","", IFERROR(VLOOKUP(P444, Hidden_Data!M:N, 2, FALSE), "0"))</f>
        <v/>
      </c>
      <c r="T444" t="str">
        <f t="shared" si="18"/>
        <v/>
      </c>
      <c r="U444" t="str">
        <f t="shared" si="19"/>
        <v/>
      </c>
      <c r="V444" t="str">
        <f t="shared" si="20"/>
        <v/>
      </c>
    </row>
    <row r="445" spans="1:22" x14ac:dyDescent="0.25">
      <c r="A445" t="str">
        <f>IF('Equipment Information'!A445="","", 'Equipment Information'!A445)</f>
        <v/>
      </c>
      <c r="B445" t="str">
        <f>IF('Equipment Information'!B445="","", 'Equipment Information'!B445)</f>
        <v/>
      </c>
      <c r="C445" t="str">
        <f>IF('Equipment Information'!C445="","", 'Equipment Information'!C445)</f>
        <v/>
      </c>
      <c r="E445" t="str">
        <f>IF(D445="","", IFERROR(VLOOKUP(D445, Hidden_Data!M:N, 2, FALSE), "0"))</f>
        <v/>
      </c>
      <c r="H445" t="str">
        <f>IF(G445="","", IFERROR(VLOOKUP(G445, Hidden_Data!M:N, 2, FALSE), "0"))</f>
        <v/>
      </c>
      <c r="K445" t="str">
        <f>IF(J445="","", IFERROR(VLOOKUP(J445, Hidden_Data!M:N, 2, FALSE), "0"))</f>
        <v/>
      </c>
      <c r="N445" t="str">
        <f>IF(M445="","", IFERROR(VLOOKUP(M445, Hidden_Data!M:N, 2, FALSE), "0"))</f>
        <v/>
      </c>
      <c r="Q445" t="str">
        <f>IF(P445="","", IFERROR(VLOOKUP(P445, Hidden_Data!M:N, 2, FALSE), "0"))</f>
        <v/>
      </c>
      <c r="T445" t="str">
        <f t="shared" si="18"/>
        <v/>
      </c>
      <c r="U445" t="str">
        <f t="shared" si="19"/>
        <v/>
      </c>
      <c r="V445" t="str">
        <f t="shared" si="20"/>
        <v/>
      </c>
    </row>
    <row r="446" spans="1:22" x14ac:dyDescent="0.25">
      <c r="A446" t="str">
        <f>IF('Equipment Information'!A446="","", 'Equipment Information'!A446)</f>
        <v/>
      </c>
      <c r="B446" t="str">
        <f>IF('Equipment Information'!B446="","", 'Equipment Information'!B446)</f>
        <v/>
      </c>
      <c r="C446" t="str">
        <f>IF('Equipment Information'!C446="","", 'Equipment Information'!C446)</f>
        <v/>
      </c>
      <c r="E446" t="str">
        <f>IF(D446="","", IFERROR(VLOOKUP(D446, Hidden_Data!M:N, 2, FALSE), "0"))</f>
        <v/>
      </c>
      <c r="H446" t="str">
        <f>IF(G446="","", IFERROR(VLOOKUP(G446, Hidden_Data!M:N, 2, FALSE), "0"))</f>
        <v/>
      </c>
      <c r="K446" t="str">
        <f>IF(J446="","", IFERROR(VLOOKUP(J446, Hidden_Data!M:N, 2, FALSE), "0"))</f>
        <v/>
      </c>
      <c r="N446" t="str">
        <f>IF(M446="","", IFERROR(VLOOKUP(M446, Hidden_Data!M:N, 2, FALSE), "0"))</f>
        <v/>
      </c>
      <c r="Q446" t="str">
        <f>IF(P446="","", IFERROR(VLOOKUP(P446, Hidden_Data!M:N, 2, FALSE), "0"))</f>
        <v/>
      </c>
      <c r="T446" t="str">
        <f t="shared" si="18"/>
        <v/>
      </c>
      <c r="U446" t="str">
        <f t="shared" si="19"/>
        <v/>
      </c>
      <c r="V446" t="str">
        <f t="shared" si="20"/>
        <v/>
      </c>
    </row>
    <row r="447" spans="1:22" x14ac:dyDescent="0.25">
      <c r="A447" t="str">
        <f>IF('Equipment Information'!A447="","", 'Equipment Information'!A447)</f>
        <v/>
      </c>
      <c r="B447" t="str">
        <f>IF('Equipment Information'!B447="","", 'Equipment Information'!B447)</f>
        <v/>
      </c>
      <c r="C447" t="str">
        <f>IF('Equipment Information'!C447="","", 'Equipment Information'!C447)</f>
        <v/>
      </c>
      <c r="E447" t="str">
        <f>IF(D447="","", IFERROR(VLOOKUP(D447, Hidden_Data!M:N, 2, FALSE), "0"))</f>
        <v/>
      </c>
      <c r="H447" t="str">
        <f>IF(G447="","", IFERROR(VLOOKUP(G447, Hidden_Data!M:N, 2, FALSE), "0"))</f>
        <v/>
      </c>
      <c r="K447" t="str">
        <f>IF(J447="","", IFERROR(VLOOKUP(J447, Hidden_Data!M:N, 2, FALSE), "0"))</f>
        <v/>
      </c>
      <c r="N447" t="str">
        <f>IF(M447="","", IFERROR(VLOOKUP(M447, Hidden_Data!M:N, 2, FALSE), "0"))</f>
        <v/>
      </c>
      <c r="Q447" t="str">
        <f>IF(P447="","", IFERROR(VLOOKUP(P447, Hidden_Data!M:N, 2, FALSE), "0"))</f>
        <v/>
      </c>
      <c r="T447" t="str">
        <f t="shared" si="18"/>
        <v/>
      </c>
      <c r="U447" t="str">
        <f t="shared" si="19"/>
        <v/>
      </c>
      <c r="V447" t="str">
        <f t="shared" si="20"/>
        <v/>
      </c>
    </row>
    <row r="448" spans="1:22" x14ac:dyDescent="0.25">
      <c r="A448" t="str">
        <f>IF('Equipment Information'!A448="","", 'Equipment Information'!A448)</f>
        <v/>
      </c>
      <c r="B448" t="str">
        <f>IF('Equipment Information'!B448="","", 'Equipment Information'!B448)</f>
        <v/>
      </c>
      <c r="C448" t="str">
        <f>IF('Equipment Information'!C448="","", 'Equipment Information'!C448)</f>
        <v/>
      </c>
      <c r="E448" t="str">
        <f>IF(D448="","", IFERROR(VLOOKUP(D448, Hidden_Data!M:N, 2, FALSE), "0"))</f>
        <v/>
      </c>
      <c r="H448" t="str">
        <f>IF(G448="","", IFERROR(VLOOKUP(G448, Hidden_Data!M:N, 2, FALSE), "0"))</f>
        <v/>
      </c>
      <c r="K448" t="str">
        <f>IF(J448="","", IFERROR(VLOOKUP(J448, Hidden_Data!M:N, 2, FALSE), "0"))</f>
        <v/>
      </c>
      <c r="N448" t="str">
        <f>IF(M448="","", IFERROR(VLOOKUP(M448, Hidden_Data!M:N, 2, FALSE), "0"))</f>
        <v/>
      </c>
      <c r="Q448" t="str">
        <f>IF(P448="","", IFERROR(VLOOKUP(P448, Hidden_Data!M:N, 2, FALSE), "0"))</f>
        <v/>
      </c>
      <c r="T448" t="str">
        <f t="shared" si="18"/>
        <v/>
      </c>
      <c r="U448" t="str">
        <f t="shared" si="19"/>
        <v/>
      </c>
      <c r="V448" t="str">
        <f t="shared" si="20"/>
        <v/>
      </c>
    </row>
    <row r="449" spans="1:22" x14ac:dyDescent="0.25">
      <c r="A449" t="str">
        <f>IF('Equipment Information'!A449="","", 'Equipment Information'!A449)</f>
        <v/>
      </c>
      <c r="B449" t="str">
        <f>IF('Equipment Information'!B449="","", 'Equipment Information'!B449)</f>
        <v/>
      </c>
      <c r="C449" t="str">
        <f>IF('Equipment Information'!C449="","", 'Equipment Information'!C449)</f>
        <v/>
      </c>
      <c r="E449" t="str">
        <f>IF(D449="","", IFERROR(VLOOKUP(D449, Hidden_Data!M:N, 2, FALSE), "0"))</f>
        <v/>
      </c>
      <c r="H449" t="str">
        <f>IF(G449="","", IFERROR(VLOOKUP(G449, Hidden_Data!M:N, 2, FALSE), "0"))</f>
        <v/>
      </c>
      <c r="K449" t="str">
        <f>IF(J449="","", IFERROR(VLOOKUP(J449, Hidden_Data!M:N, 2, FALSE), "0"))</f>
        <v/>
      </c>
      <c r="N449" t="str">
        <f>IF(M449="","", IFERROR(VLOOKUP(M449, Hidden_Data!M:N, 2, FALSE), "0"))</f>
        <v/>
      </c>
      <c r="Q449" t="str">
        <f>IF(P449="","", IFERROR(VLOOKUP(P449, Hidden_Data!M:N, 2, FALSE), "0"))</f>
        <v/>
      </c>
      <c r="T449" t="str">
        <f t="shared" si="18"/>
        <v/>
      </c>
      <c r="U449" t="str">
        <f t="shared" si="19"/>
        <v/>
      </c>
      <c r="V449" t="str">
        <f t="shared" si="20"/>
        <v/>
      </c>
    </row>
    <row r="450" spans="1:22" x14ac:dyDescent="0.25">
      <c r="A450" t="str">
        <f>IF('Equipment Information'!A450="","", 'Equipment Information'!A450)</f>
        <v/>
      </c>
      <c r="B450" t="str">
        <f>IF('Equipment Information'!B450="","", 'Equipment Information'!B450)</f>
        <v/>
      </c>
      <c r="C450" t="str">
        <f>IF('Equipment Information'!C450="","", 'Equipment Information'!C450)</f>
        <v/>
      </c>
      <c r="E450" t="str">
        <f>IF(D450="","", IFERROR(VLOOKUP(D450, Hidden_Data!M:N, 2, FALSE), "0"))</f>
        <v/>
      </c>
      <c r="H450" t="str">
        <f>IF(G450="","", IFERROR(VLOOKUP(G450, Hidden_Data!M:N, 2, FALSE), "0"))</f>
        <v/>
      </c>
      <c r="K450" t="str">
        <f>IF(J450="","", IFERROR(VLOOKUP(J450, Hidden_Data!M:N, 2, FALSE), "0"))</f>
        <v/>
      </c>
      <c r="N450" t="str">
        <f>IF(M450="","", IFERROR(VLOOKUP(M450, Hidden_Data!M:N, 2, FALSE), "0"))</f>
        <v/>
      </c>
      <c r="Q450" t="str">
        <f>IF(P450="","", IFERROR(VLOOKUP(P450, Hidden_Data!M:N, 2, FALSE), "0"))</f>
        <v/>
      </c>
      <c r="T450" t="str">
        <f t="shared" ref="T450:T499" si="21">IF(A450="","", SUM(IF(F450="Yes", 0, IF(E450="", 0, IFERROR(VALUE(MID(E450, SEARCH("(",E450)+1, 1)), 0))), IF(I450="Yes", 0, IF(H450="", 0, IFERROR(VALUE(MID(H450, SEARCH("(",H450)+1, 1)), 0))), IF(L450="Yes", 0, IF(K450="", 0, IFERROR(VALUE(MID(K450, SEARCH("(",K450)+1, 1)), 0))), IF(O450="Yes", 0, IF(N450="", 0, IFERROR(VALUE(MID(N450, SEARCH("(",N450)+1, 1)), 0))), IF(R450="Yes", 0, IF(Q450="", 0, IFERROR(VALUE(MID(Q450, SEARCH("(",Q450)+1, 1)), 0)))))</f>
        <v/>
      </c>
      <c r="U450" t="str">
        <f t="shared" ref="U450:U513" si="22">IF(A450="","", IF(T450&gt;=5, "Priority 1 (Critical)", IF(T450&gt;=3, "Priority 2 (Major)", IF(T450&gt;=1, "Priority 3 (Minor)", "Pass/Fixed"))))</f>
        <v/>
      </c>
      <c r="V450" t="str">
        <f t="shared" ref="V450:V499" si="23">IF(A450="","", IF(T450&gt;0, "FAIL", "PASS"))</f>
        <v/>
      </c>
    </row>
    <row r="451" spans="1:22" x14ac:dyDescent="0.25">
      <c r="A451" t="str">
        <f>IF('Equipment Information'!A451="","", 'Equipment Information'!A451)</f>
        <v/>
      </c>
      <c r="B451" t="str">
        <f>IF('Equipment Information'!B451="","", 'Equipment Information'!B451)</f>
        <v/>
      </c>
      <c r="C451" t="str">
        <f>IF('Equipment Information'!C451="","", 'Equipment Information'!C451)</f>
        <v/>
      </c>
      <c r="E451" t="str">
        <f>IF(D451="","", IFERROR(VLOOKUP(D451, Hidden_Data!M:N, 2, FALSE), "0"))</f>
        <v/>
      </c>
      <c r="H451" t="str">
        <f>IF(G451="","", IFERROR(VLOOKUP(G451, Hidden_Data!M:N, 2, FALSE), "0"))</f>
        <v/>
      </c>
      <c r="K451" t="str">
        <f>IF(J451="","", IFERROR(VLOOKUP(J451, Hidden_Data!M:N, 2, FALSE), "0"))</f>
        <v/>
      </c>
      <c r="N451" t="str">
        <f>IF(M451="","", IFERROR(VLOOKUP(M451, Hidden_Data!M:N, 2, FALSE), "0"))</f>
        <v/>
      </c>
      <c r="Q451" t="str">
        <f>IF(P451="","", IFERROR(VLOOKUP(P451, Hidden_Data!M:N, 2, FALSE), "0"))</f>
        <v/>
      </c>
      <c r="T451" t="str">
        <f t="shared" si="21"/>
        <v/>
      </c>
      <c r="U451" t="str">
        <f t="shared" si="22"/>
        <v/>
      </c>
      <c r="V451" t="str">
        <f t="shared" si="23"/>
        <v/>
      </c>
    </row>
    <row r="452" spans="1:22" x14ac:dyDescent="0.25">
      <c r="A452" t="str">
        <f>IF('Equipment Information'!A452="","", 'Equipment Information'!A452)</f>
        <v/>
      </c>
      <c r="B452" t="str">
        <f>IF('Equipment Information'!B452="","", 'Equipment Information'!B452)</f>
        <v/>
      </c>
      <c r="C452" t="str">
        <f>IF('Equipment Information'!C452="","", 'Equipment Information'!C452)</f>
        <v/>
      </c>
      <c r="E452" t="str">
        <f>IF(D452="","", IFERROR(VLOOKUP(D452, Hidden_Data!M:N, 2, FALSE), "0"))</f>
        <v/>
      </c>
      <c r="H452" t="str">
        <f>IF(G452="","", IFERROR(VLOOKUP(G452, Hidden_Data!M:N, 2, FALSE), "0"))</f>
        <v/>
      </c>
      <c r="K452" t="str">
        <f>IF(J452="","", IFERROR(VLOOKUP(J452, Hidden_Data!M:N, 2, FALSE), "0"))</f>
        <v/>
      </c>
      <c r="N452" t="str">
        <f>IF(M452="","", IFERROR(VLOOKUP(M452, Hidden_Data!M:N, 2, FALSE), "0"))</f>
        <v/>
      </c>
      <c r="Q452" t="str">
        <f>IF(P452="","", IFERROR(VLOOKUP(P452, Hidden_Data!M:N, 2, FALSE), "0"))</f>
        <v/>
      </c>
      <c r="T452" t="str">
        <f t="shared" si="21"/>
        <v/>
      </c>
      <c r="U452" t="str">
        <f t="shared" si="22"/>
        <v/>
      </c>
      <c r="V452" t="str">
        <f t="shared" si="23"/>
        <v/>
      </c>
    </row>
    <row r="453" spans="1:22" x14ac:dyDescent="0.25">
      <c r="A453" t="str">
        <f>IF('Equipment Information'!A453="","", 'Equipment Information'!A453)</f>
        <v/>
      </c>
      <c r="B453" t="str">
        <f>IF('Equipment Information'!B453="","", 'Equipment Information'!B453)</f>
        <v/>
      </c>
      <c r="C453" t="str">
        <f>IF('Equipment Information'!C453="","", 'Equipment Information'!C453)</f>
        <v/>
      </c>
      <c r="E453" t="str">
        <f>IF(D453="","", IFERROR(VLOOKUP(D453, Hidden_Data!M:N, 2, FALSE), "0"))</f>
        <v/>
      </c>
      <c r="H453" t="str">
        <f>IF(G453="","", IFERROR(VLOOKUP(G453, Hidden_Data!M:N, 2, FALSE), "0"))</f>
        <v/>
      </c>
      <c r="K453" t="str">
        <f>IF(J453="","", IFERROR(VLOOKUP(J453, Hidden_Data!M:N, 2, FALSE), "0"))</f>
        <v/>
      </c>
      <c r="N453" t="str">
        <f>IF(M453="","", IFERROR(VLOOKUP(M453, Hidden_Data!M:N, 2, FALSE), "0"))</f>
        <v/>
      </c>
      <c r="Q453" t="str">
        <f>IF(P453="","", IFERROR(VLOOKUP(P453, Hidden_Data!M:N, 2, FALSE), "0"))</f>
        <v/>
      </c>
      <c r="T453" t="str">
        <f t="shared" si="21"/>
        <v/>
      </c>
      <c r="U453" t="str">
        <f t="shared" si="22"/>
        <v/>
      </c>
      <c r="V453" t="str">
        <f t="shared" si="23"/>
        <v/>
      </c>
    </row>
    <row r="454" spans="1:22" x14ac:dyDescent="0.25">
      <c r="A454" t="str">
        <f>IF('Equipment Information'!A454="","", 'Equipment Information'!A454)</f>
        <v/>
      </c>
      <c r="B454" t="str">
        <f>IF('Equipment Information'!B454="","", 'Equipment Information'!B454)</f>
        <v/>
      </c>
      <c r="C454" t="str">
        <f>IF('Equipment Information'!C454="","", 'Equipment Information'!C454)</f>
        <v/>
      </c>
      <c r="E454" t="str">
        <f>IF(D454="","", IFERROR(VLOOKUP(D454, Hidden_Data!M:N, 2, FALSE), "0"))</f>
        <v/>
      </c>
      <c r="H454" t="str">
        <f>IF(G454="","", IFERROR(VLOOKUP(G454, Hidden_Data!M:N, 2, FALSE), "0"))</f>
        <v/>
      </c>
      <c r="K454" t="str">
        <f>IF(J454="","", IFERROR(VLOOKUP(J454, Hidden_Data!M:N, 2, FALSE), "0"))</f>
        <v/>
      </c>
      <c r="N454" t="str">
        <f>IF(M454="","", IFERROR(VLOOKUP(M454, Hidden_Data!M:N, 2, FALSE), "0"))</f>
        <v/>
      </c>
      <c r="Q454" t="str">
        <f>IF(P454="","", IFERROR(VLOOKUP(P454, Hidden_Data!M:N, 2, FALSE), "0"))</f>
        <v/>
      </c>
      <c r="T454" t="str">
        <f t="shared" si="21"/>
        <v/>
      </c>
      <c r="U454" t="str">
        <f t="shared" si="22"/>
        <v/>
      </c>
      <c r="V454" t="str">
        <f t="shared" si="23"/>
        <v/>
      </c>
    </row>
    <row r="455" spans="1:22" x14ac:dyDescent="0.25">
      <c r="A455" t="str">
        <f>IF('Equipment Information'!A455="","", 'Equipment Information'!A455)</f>
        <v/>
      </c>
      <c r="B455" t="str">
        <f>IF('Equipment Information'!B455="","", 'Equipment Information'!B455)</f>
        <v/>
      </c>
      <c r="C455" t="str">
        <f>IF('Equipment Information'!C455="","", 'Equipment Information'!C455)</f>
        <v/>
      </c>
      <c r="E455" t="str">
        <f>IF(D455="","", IFERROR(VLOOKUP(D455, Hidden_Data!M:N, 2, FALSE), "0"))</f>
        <v/>
      </c>
      <c r="H455" t="str">
        <f>IF(G455="","", IFERROR(VLOOKUP(G455, Hidden_Data!M:N, 2, FALSE), "0"))</f>
        <v/>
      </c>
      <c r="K455" t="str">
        <f>IF(J455="","", IFERROR(VLOOKUP(J455, Hidden_Data!M:N, 2, FALSE), "0"))</f>
        <v/>
      </c>
      <c r="N455" t="str">
        <f>IF(M455="","", IFERROR(VLOOKUP(M455, Hidden_Data!M:N, 2, FALSE), "0"))</f>
        <v/>
      </c>
      <c r="Q455" t="str">
        <f>IF(P455="","", IFERROR(VLOOKUP(P455, Hidden_Data!M:N, 2, FALSE), "0"))</f>
        <v/>
      </c>
      <c r="T455" t="str">
        <f t="shared" si="21"/>
        <v/>
      </c>
      <c r="U455" t="str">
        <f t="shared" si="22"/>
        <v/>
      </c>
      <c r="V455" t="str">
        <f t="shared" si="23"/>
        <v/>
      </c>
    </row>
    <row r="456" spans="1:22" x14ac:dyDescent="0.25">
      <c r="A456" t="str">
        <f>IF('Equipment Information'!A456="","", 'Equipment Information'!A456)</f>
        <v/>
      </c>
      <c r="B456" t="str">
        <f>IF('Equipment Information'!B456="","", 'Equipment Information'!B456)</f>
        <v/>
      </c>
      <c r="C456" t="str">
        <f>IF('Equipment Information'!C456="","", 'Equipment Information'!C456)</f>
        <v/>
      </c>
      <c r="E456" t="str">
        <f>IF(D456="","", IFERROR(VLOOKUP(D456, Hidden_Data!M:N, 2, FALSE), "0"))</f>
        <v/>
      </c>
      <c r="H456" t="str">
        <f>IF(G456="","", IFERROR(VLOOKUP(G456, Hidden_Data!M:N, 2, FALSE), "0"))</f>
        <v/>
      </c>
      <c r="K456" t="str">
        <f>IF(J456="","", IFERROR(VLOOKUP(J456, Hidden_Data!M:N, 2, FALSE), "0"))</f>
        <v/>
      </c>
      <c r="N456" t="str">
        <f>IF(M456="","", IFERROR(VLOOKUP(M456, Hidden_Data!M:N, 2, FALSE), "0"))</f>
        <v/>
      </c>
      <c r="Q456" t="str">
        <f>IF(P456="","", IFERROR(VLOOKUP(P456, Hidden_Data!M:N, 2, FALSE), "0"))</f>
        <v/>
      </c>
      <c r="T456" t="str">
        <f t="shared" si="21"/>
        <v/>
      </c>
      <c r="U456" t="str">
        <f t="shared" si="22"/>
        <v/>
      </c>
      <c r="V456" t="str">
        <f t="shared" si="23"/>
        <v/>
      </c>
    </row>
    <row r="457" spans="1:22" x14ac:dyDescent="0.25">
      <c r="A457" t="str">
        <f>IF('Equipment Information'!A457="","", 'Equipment Information'!A457)</f>
        <v/>
      </c>
      <c r="B457" t="str">
        <f>IF('Equipment Information'!B457="","", 'Equipment Information'!B457)</f>
        <v/>
      </c>
      <c r="C457" t="str">
        <f>IF('Equipment Information'!C457="","", 'Equipment Information'!C457)</f>
        <v/>
      </c>
      <c r="E457" t="str">
        <f>IF(D457="","", IFERROR(VLOOKUP(D457, Hidden_Data!M:N, 2, FALSE), "0"))</f>
        <v/>
      </c>
      <c r="H457" t="str">
        <f>IF(G457="","", IFERROR(VLOOKUP(G457, Hidden_Data!M:N, 2, FALSE), "0"))</f>
        <v/>
      </c>
      <c r="K457" t="str">
        <f>IF(J457="","", IFERROR(VLOOKUP(J457, Hidden_Data!M:N, 2, FALSE), "0"))</f>
        <v/>
      </c>
      <c r="N457" t="str">
        <f>IF(M457="","", IFERROR(VLOOKUP(M457, Hidden_Data!M:N, 2, FALSE), "0"))</f>
        <v/>
      </c>
      <c r="Q457" t="str">
        <f>IF(P457="","", IFERROR(VLOOKUP(P457, Hidden_Data!M:N, 2, FALSE), "0"))</f>
        <v/>
      </c>
      <c r="T457" t="str">
        <f t="shared" si="21"/>
        <v/>
      </c>
      <c r="U457" t="str">
        <f t="shared" si="22"/>
        <v/>
      </c>
      <c r="V457" t="str">
        <f t="shared" si="23"/>
        <v/>
      </c>
    </row>
    <row r="458" spans="1:22" x14ac:dyDescent="0.25">
      <c r="A458" t="str">
        <f>IF('Equipment Information'!A458="","", 'Equipment Information'!A458)</f>
        <v/>
      </c>
      <c r="B458" t="str">
        <f>IF('Equipment Information'!B458="","", 'Equipment Information'!B458)</f>
        <v/>
      </c>
      <c r="C458" t="str">
        <f>IF('Equipment Information'!C458="","", 'Equipment Information'!C458)</f>
        <v/>
      </c>
      <c r="E458" t="str">
        <f>IF(D458="","", IFERROR(VLOOKUP(D458, Hidden_Data!M:N, 2, FALSE), "0"))</f>
        <v/>
      </c>
      <c r="H458" t="str">
        <f>IF(G458="","", IFERROR(VLOOKUP(G458, Hidden_Data!M:N, 2, FALSE), "0"))</f>
        <v/>
      </c>
      <c r="K458" t="str">
        <f>IF(J458="","", IFERROR(VLOOKUP(J458, Hidden_Data!M:N, 2, FALSE), "0"))</f>
        <v/>
      </c>
      <c r="N458" t="str">
        <f>IF(M458="","", IFERROR(VLOOKUP(M458, Hidden_Data!M:N, 2, FALSE), "0"))</f>
        <v/>
      </c>
      <c r="Q458" t="str">
        <f>IF(P458="","", IFERROR(VLOOKUP(P458, Hidden_Data!M:N, 2, FALSE), "0"))</f>
        <v/>
      </c>
      <c r="T458" t="str">
        <f t="shared" si="21"/>
        <v/>
      </c>
      <c r="U458" t="str">
        <f t="shared" si="22"/>
        <v/>
      </c>
      <c r="V458" t="str">
        <f t="shared" si="23"/>
        <v/>
      </c>
    </row>
    <row r="459" spans="1:22" x14ac:dyDescent="0.25">
      <c r="A459" t="str">
        <f>IF('Equipment Information'!A459="","", 'Equipment Information'!A459)</f>
        <v/>
      </c>
      <c r="B459" t="str">
        <f>IF('Equipment Information'!B459="","", 'Equipment Information'!B459)</f>
        <v/>
      </c>
      <c r="C459" t="str">
        <f>IF('Equipment Information'!C459="","", 'Equipment Information'!C459)</f>
        <v/>
      </c>
      <c r="E459" t="str">
        <f>IF(D459="","", IFERROR(VLOOKUP(D459, Hidden_Data!M:N, 2, FALSE), "0"))</f>
        <v/>
      </c>
      <c r="H459" t="str">
        <f>IF(G459="","", IFERROR(VLOOKUP(G459, Hidden_Data!M:N, 2, FALSE), "0"))</f>
        <v/>
      </c>
      <c r="K459" t="str">
        <f>IF(J459="","", IFERROR(VLOOKUP(J459, Hidden_Data!M:N, 2, FALSE), "0"))</f>
        <v/>
      </c>
      <c r="N459" t="str">
        <f>IF(M459="","", IFERROR(VLOOKUP(M459, Hidden_Data!M:N, 2, FALSE), "0"))</f>
        <v/>
      </c>
      <c r="Q459" t="str">
        <f>IF(P459="","", IFERROR(VLOOKUP(P459, Hidden_Data!M:N, 2, FALSE), "0"))</f>
        <v/>
      </c>
      <c r="T459" t="str">
        <f t="shared" si="21"/>
        <v/>
      </c>
      <c r="U459" t="str">
        <f t="shared" si="22"/>
        <v/>
      </c>
      <c r="V459" t="str">
        <f t="shared" si="23"/>
        <v/>
      </c>
    </row>
    <row r="460" spans="1:22" x14ac:dyDescent="0.25">
      <c r="A460" t="str">
        <f>IF('Equipment Information'!A460="","", 'Equipment Information'!A460)</f>
        <v/>
      </c>
      <c r="B460" t="str">
        <f>IF('Equipment Information'!B460="","", 'Equipment Information'!B460)</f>
        <v/>
      </c>
      <c r="C460" t="str">
        <f>IF('Equipment Information'!C460="","", 'Equipment Information'!C460)</f>
        <v/>
      </c>
      <c r="E460" t="str">
        <f>IF(D460="","", IFERROR(VLOOKUP(D460, Hidden_Data!M:N, 2, FALSE), "0"))</f>
        <v/>
      </c>
      <c r="H460" t="str">
        <f>IF(G460="","", IFERROR(VLOOKUP(G460, Hidden_Data!M:N, 2, FALSE), "0"))</f>
        <v/>
      </c>
      <c r="K460" t="str">
        <f>IF(J460="","", IFERROR(VLOOKUP(J460, Hidden_Data!M:N, 2, FALSE), "0"))</f>
        <v/>
      </c>
      <c r="N460" t="str">
        <f>IF(M460="","", IFERROR(VLOOKUP(M460, Hidden_Data!M:N, 2, FALSE), "0"))</f>
        <v/>
      </c>
      <c r="Q460" t="str">
        <f>IF(P460="","", IFERROR(VLOOKUP(P460, Hidden_Data!M:N, 2, FALSE), "0"))</f>
        <v/>
      </c>
      <c r="T460" t="str">
        <f t="shared" si="21"/>
        <v/>
      </c>
      <c r="U460" t="str">
        <f t="shared" si="22"/>
        <v/>
      </c>
      <c r="V460" t="str">
        <f t="shared" si="23"/>
        <v/>
      </c>
    </row>
    <row r="461" spans="1:22" x14ac:dyDescent="0.25">
      <c r="A461" t="str">
        <f>IF('Equipment Information'!A461="","", 'Equipment Information'!A461)</f>
        <v/>
      </c>
      <c r="B461" t="str">
        <f>IF('Equipment Information'!B461="","", 'Equipment Information'!B461)</f>
        <v/>
      </c>
      <c r="C461" t="str">
        <f>IF('Equipment Information'!C461="","", 'Equipment Information'!C461)</f>
        <v/>
      </c>
      <c r="E461" t="str">
        <f>IF(D461="","", IFERROR(VLOOKUP(D461, Hidden_Data!M:N, 2, FALSE), "0"))</f>
        <v/>
      </c>
      <c r="H461" t="str">
        <f>IF(G461="","", IFERROR(VLOOKUP(G461, Hidden_Data!M:N, 2, FALSE), "0"))</f>
        <v/>
      </c>
      <c r="K461" t="str">
        <f>IF(J461="","", IFERROR(VLOOKUP(J461, Hidden_Data!M:N, 2, FALSE), "0"))</f>
        <v/>
      </c>
      <c r="N461" t="str">
        <f>IF(M461="","", IFERROR(VLOOKUP(M461, Hidden_Data!M:N, 2, FALSE), "0"))</f>
        <v/>
      </c>
      <c r="Q461" t="str">
        <f>IF(P461="","", IFERROR(VLOOKUP(P461, Hidden_Data!M:N, 2, FALSE), "0"))</f>
        <v/>
      </c>
      <c r="T461" t="str">
        <f t="shared" si="21"/>
        <v/>
      </c>
      <c r="U461" t="str">
        <f t="shared" si="22"/>
        <v/>
      </c>
      <c r="V461" t="str">
        <f t="shared" si="23"/>
        <v/>
      </c>
    </row>
    <row r="462" spans="1:22" x14ac:dyDescent="0.25">
      <c r="A462" t="str">
        <f>IF('Equipment Information'!A462="","", 'Equipment Information'!A462)</f>
        <v/>
      </c>
      <c r="B462" t="str">
        <f>IF('Equipment Information'!B462="","", 'Equipment Information'!B462)</f>
        <v/>
      </c>
      <c r="C462" t="str">
        <f>IF('Equipment Information'!C462="","", 'Equipment Information'!C462)</f>
        <v/>
      </c>
      <c r="E462" t="str">
        <f>IF(D462="","", IFERROR(VLOOKUP(D462, Hidden_Data!M:N, 2, FALSE), "0"))</f>
        <v/>
      </c>
      <c r="H462" t="str">
        <f>IF(G462="","", IFERROR(VLOOKUP(G462, Hidden_Data!M:N, 2, FALSE), "0"))</f>
        <v/>
      </c>
      <c r="K462" t="str">
        <f>IF(J462="","", IFERROR(VLOOKUP(J462, Hidden_Data!M:N, 2, FALSE), "0"))</f>
        <v/>
      </c>
      <c r="N462" t="str">
        <f>IF(M462="","", IFERROR(VLOOKUP(M462, Hidden_Data!M:N, 2, FALSE), "0"))</f>
        <v/>
      </c>
      <c r="Q462" t="str">
        <f>IF(P462="","", IFERROR(VLOOKUP(P462, Hidden_Data!M:N, 2, FALSE), "0"))</f>
        <v/>
      </c>
      <c r="T462" t="str">
        <f t="shared" si="21"/>
        <v/>
      </c>
      <c r="U462" t="str">
        <f t="shared" si="22"/>
        <v/>
      </c>
      <c r="V462" t="str">
        <f t="shared" si="23"/>
        <v/>
      </c>
    </row>
    <row r="463" spans="1:22" x14ac:dyDescent="0.25">
      <c r="A463" t="str">
        <f>IF('Equipment Information'!A463="","", 'Equipment Information'!A463)</f>
        <v/>
      </c>
      <c r="B463" t="str">
        <f>IF('Equipment Information'!B463="","", 'Equipment Information'!B463)</f>
        <v/>
      </c>
      <c r="C463" t="str">
        <f>IF('Equipment Information'!C463="","", 'Equipment Information'!C463)</f>
        <v/>
      </c>
      <c r="E463" t="str">
        <f>IF(D463="","", IFERROR(VLOOKUP(D463, Hidden_Data!M:N, 2, FALSE), "0"))</f>
        <v/>
      </c>
      <c r="H463" t="str">
        <f>IF(G463="","", IFERROR(VLOOKUP(G463, Hidden_Data!M:N, 2, FALSE), "0"))</f>
        <v/>
      </c>
      <c r="K463" t="str">
        <f>IF(J463="","", IFERROR(VLOOKUP(J463, Hidden_Data!M:N, 2, FALSE), "0"))</f>
        <v/>
      </c>
      <c r="N463" t="str">
        <f>IF(M463="","", IFERROR(VLOOKUP(M463, Hidden_Data!M:N, 2, FALSE), "0"))</f>
        <v/>
      </c>
      <c r="Q463" t="str">
        <f>IF(P463="","", IFERROR(VLOOKUP(P463, Hidden_Data!M:N, 2, FALSE), "0"))</f>
        <v/>
      </c>
      <c r="T463" t="str">
        <f t="shared" si="21"/>
        <v/>
      </c>
      <c r="U463" t="str">
        <f t="shared" si="22"/>
        <v/>
      </c>
      <c r="V463" t="str">
        <f t="shared" si="23"/>
        <v/>
      </c>
    </row>
    <row r="464" spans="1:22" x14ac:dyDescent="0.25">
      <c r="A464" t="str">
        <f>IF('Equipment Information'!A464="","", 'Equipment Information'!A464)</f>
        <v/>
      </c>
      <c r="B464" t="str">
        <f>IF('Equipment Information'!B464="","", 'Equipment Information'!B464)</f>
        <v/>
      </c>
      <c r="C464" t="str">
        <f>IF('Equipment Information'!C464="","", 'Equipment Information'!C464)</f>
        <v/>
      </c>
      <c r="E464" t="str">
        <f>IF(D464="","", IFERROR(VLOOKUP(D464, Hidden_Data!M:N, 2, FALSE), "0"))</f>
        <v/>
      </c>
      <c r="H464" t="str">
        <f>IF(G464="","", IFERROR(VLOOKUP(G464, Hidden_Data!M:N, 2, FALSE), "0"))</f>
        <v/>
      </c>
      <c r="K464" t="str">
        <f>IF(J464="","", IFERROR(VLOOKUP(J464, Hidden_Data!M:N, 2, FALSE), "0"))</f>
        <v/>
      </c>
      <c r="N464" t="str">
        <f>IF(M464="","", IFERROR(VLOOKUP(M464, Hidden_Data!M:N, 2, FALSE), "0"))</f>
        <v/>
      </c>
      <c r="Q464" t="str">
        <f>IF(P464="","", IFERROR(VLOOKUP(P464, Hidden_Data!M:N, 2, FALSE), "0"))</f>
        <v/>
      </c>
      <c r="T464" t="str">
        <f t="shared" si="21"/>
        <v/>
      </c>
      <c r="U464" t="str">
        <f t="shared" si="22"/>
        <v/>
      </c>
      <c r="V464" t="str">
        <f t="shared" si="23"/>
        <v/>
      </c>
    </row>
    <row r="465" spans="1:22" x14ac:dyDescent="0.25">
      <c r="A465" t="str">
        <f>IF('Equipment Information'!A465="","", 'Equipment Information'!A465)</f>
        <v/>
      </c>
      <c r="B465" t="str">
        <f>IF('Equipment Information'!B465="","", 'Equipment Information'!B465)</f>
        <v/>
      </c>
      <c r="C465" t="str">
        <f>IF('Equipment Information'!C465="","", 'Equipment Information'!C465)</f>
        <v/>
      </c>
      <c r="E465" t="str">
        <f>IF(D465="","", IFERROR(VLOOKUP(D465, Hidden_Data!M:N, 2, FALSE), "0"))</f>
        <v/>
      </c>
      <c r="H465" t="str">
        <f>IF(G465="","", IFERROR(VLOOKUP(G465, Hidden_Data!M:N, 2, FALSE), "0"))</f>
        <v/>
      </c>
      <c r="K465" t="str">
        <f>IF(J465="","", IFERROR(VLOOKUP(J465, Hidden_Data!M:N, 2, FALSE), "0"))</f>
        <v/>
      </c>
      <c r="N465" t="str">
        <f>IF(M465="","", IFERROR(VLOOKUP(M465, Hidden_Data!M:N, 2, FALSE), "0"))</f>
        <v/>
      </c>
      <c r="Q465" t="str">
        <f>IF(P465="","", IFERROR(VLOOKUP(P465, Hidden_Data!M:N, 2, FALSE), "0"))</f>
        <v/>
      </c>
      <c r="T465" t="str">
        <f t="shared" si="21"/>
        <v/>
      </c>
      <c r="U465" t="str">
        <f t="shared" si="22"/>
        <v/>
      </c>
      <c r="V465" t="str">
        <f t="shared" si="23"/>
        <v/>
      </c>
    </row>
    <row r="466" spans="1:22" x14ac:dyDescent="0.25">
      <c r="A466" t="str">
        <f>IF('Equipment Information'!A466="","", 'Equipment Information'!A466)</f>
        <v/>
      </c>
      <c r="B466" t="str">
        <f>IF('Equipment Information'!B466="","", 'Equipment Information'!B466)</f>
        <v/>
      </c>
      <c r="C466" t="str">
        <f>IF('Equipment Information'!C466="","", 'Equipment Information'!C466)</f>
        <v/>
      </c>
      <c r="E466" t="str">
        <f>IF(D466="","", IFERROR(VLOOKUP(D466, Hidden_Data!M:N, 2, FALSE), "0"))</f>
        <v/>
      </c>
      <c r="H466" t="str">
        <f>IF(G466="","", IFERROR(VLOOKUP(G466, Hidden_Data!M:N, 2, FALSE), "0"))</f>
        <v/>
      </c>
      <c r="K466" t="str">
        <f>IF(J466="","", IFERROR(VLOOKUP(J466, Hidden_Data!M:N, 2, FALSE), "0"))</f>
        <v/>
      </c>
      <c r="N466" t="str">
        <f>IF(M466="","", IFERROR(VLOOKUP(M466, Hidden_Data!M:N, 2, FALSE), "0"))</f>
        <v/>
      </c>
      <c r="Q466" t="str">
        <f>IF(P466="","", IFERROR(VLOOKUP(P466, Hidden_Data!M:N, 2, FALSE), "0"))</f>
        <v/>
      </c>
      <c r="T466" t="str">
        <f t="shared" si="21"/>
        <v/>
      </c>
      <c r="U466" t="str">
        <f t="shared" si="22"/>
        <v/>
      </c>
      <c r="V466" t="str">
        <f t="shared" si="23"/>
        <v/>
      </c>
    </row>
    <row r="467" spans="1:22" x14ac:dyDescent="0.25">
      <c r="A467" t="str">
        <f>IF('Equipment Information'!A467="","", 'Equipment Information'!A467)</f>
        <v/>
      </c>
      <c r="B467" t="str">
        <f>IF('Equipment Information'!B467="","", 'Equipment Information'!B467)</f>
        <v/>
      </c>
      <c r="C467" t="str">
        <f>IF('Equipment Information'!C467="","", 'Equipment Information'!C467)</f>
        <v/>
      </c>
      <c r="E467" t="str">
        <f>IF(D467="","", IFERROR(VLOOKUP(D467, Hidden_Data!M:N, 2, FALSE), "0"))</f>
        <v/>
      </c>
      <c r="H467" t="str">
        <f>IF(G467="","", IFERROR(VLOOKUP(G467, Hidden_Data!M:N, 2, FALSE), "0"))</f>
        <v/>
      </c>
      <c r="K467" t="str">
        <f>IF(J467="","", IFERROR(VLOOKUP(J467, Hidden_Data!M:N, 2, FALSE), "0"))</f>
        <v/>
      </c>
      <c r="N467" t="str">
        <f>IF(M467="","", IFERROR(VLOOKUP(M467, Hidden_Data!M:N, 2, FALSE), "0"))</f>
        <v/>
      </c>
      <c r="Q467" t="str">
        <f>IF(P467="","", IFERROR(VLOOKUP(P467, Hidden_Data!M:N, 2, FALSE), "0"))</f>
        <v/>
      </c>
      <c r="T467" t="str">
        <f t="shared" si="21"/>
        <v/>
      </c>
      <c r="U467" t="str">
        <f t="shared" si="22"/>
        <v/>
      </c>
      <c r="V467" t="str">
        <f t="shared" si="23"/>
        <v/>
      </c>
    </row>
    <row r="468" spans="1:22" x14ac:dyDescent="0.25">
      <c r="A468" t="str">
        <f>IF('Equipment Information'!A468="","", 'Equipment Information'!A468)</f>
        <v/>
      </c>
      <c r="B468" t="str">
        <f>IF('Equipment Information'!B468="","", 'Equipment Information'!B468)</f>
        <v/>
      </c>
      <c r="C468" t="str">
        <f>IF('Equipment Information'!C468="","", 'Equipment Information'!C468)</f>
        <v/>
      </c>
      <c r="E468" t="str">
        <f>IF(D468="","", IFERROR(VLOOKUP(D468, Hidden_Data!M:N, 2, FALSE), "0"))</f>
        <v/>
      </c>
      <c r="H468" t="str">
        <f>IF(G468="","", IFERROR(VLOOKUP(G468, Hidden_Data!M:N, 2, FALSE), "0"))</f>
        <v/>
      </c>
      <c r="K468" t="str">
        <f>IF(J468="","", IFERROR(VLOOKUP(J468, Hidden_Data!M:N, 2, FALSE), "0"))</f>
        <v/>
      </c>
      <c r="N468" t="str">
        <f>IF(M468="","", IFERROR(VLOOKUP(M468, Hidden_Data!M:N, 2, FALSE), "0"))</f>
        <v/>
      </c>
      <c r="Q468" t="str">
        <f>IF(P468="","", IFERROR(VLOOKUP(P468, Hidden_Data!M:N, 2, FALSE), "0"))</f>
        <v/>
      </c>
      <c r="T468" t="str">
        <f t="shared" si="21"/>
        <v/>
      </c>
      <c r="U468" t="str">
        <f t="shared" si="22"/>
        <v/>
      </c>
      <c r="V468" t="str">
        <f t="shared" si="23"/>
        <v/>
      </c>
    </row>
    <row r="469" spans="1:22" x14ac:dyDescent="0.25">
      <c r="A469" t="str">
        <f>IF('Equipment Information'!A469="","", 'Equipment Information'!A469)</f>
        <v/>
      </c>
      <c r="B469" t="str">
        <f>IF('Equipment Information'!B469="","", 'Equipment Information'!B469)</f>
        <v/>
      </c>
      <c r="C469" t="str">
        <f>IF('Equipment Information'!C469="","", 'Equipment Information'!C469)</f>
        <v/>
      </c>
      <c r="E469" t="str">
        <f>IF(D469="","", IFERROR(VLOOKUP(D469, Hidden_Data!M:N, 2, FALSE), "0"))</f>
        <v/>
      </c>
      <c r="H469" t="str">
        <f>IF(G469="","", IFERROR(VLOOKUP(G469, Hidden_Data!M:N, 2, FALSE), "0"))</f>
        <v/>
      </c>
      <c r="K469" t="str">
        <f>IF(J469="","", IFERROR(VLOOKUP(J469, Hidden_Data!M:N, 2, FALSE), "0"))</f>
        <v/>
      </c>
      <c r="N469" t="str">
        <f>IF(M469="","", IFERROR(VLOOKUP(M469, Hidden_Data!M:N, 2, FALSE), "0"))</f>
        <v/>
      </c>
      <c r="Q469" t="str">
        <f>IF(P469="","", IFERROR(VLOOKUP(P469, Hidden_Data!M:N, 2, FALSE), "0"))</f>
        <v/>
      </c>
      <c r="T469" t="str">
        <f t="shared" si="21"/>
        <v/>
      </c>
      <c r="U469" t="str">
        <f t="shared" si="22"/>
        <v/>
      </c>
      <c r="V469" t="str">
        <f t="shared" si="23"/>
        <v/>
      </c>
    </row>
    <row r="470" spans="1:22" x14ac:dyDescent="0.25">
      <c r="A470" t="str">
        <f>IF('Equipment Information'!A470="","", 'Equipment Information'!A470)</f>
        <v/>
      </c>
      <c r="B470" t="str">
        <f>IF('Equipment Information'!B470="","", 'Equipment Information'!B470)</f>
        <v/>
      </c>
      <c r="C470" t="str">
        <f>IF('Equipment Information'!C470="","", 'Equipment Information'!C470)</f>
        <v/>
      </c>
      <c r="E470" t="str">
        <f>IF(D470="","", IFERROR(VLOOKUP(D470, Hidden_Data!M:N, 2, FALSE), "0"))</f>
        <v/>
      </c>
      <c r="H470" t="str">
        <f>IF(G470="","", IFERROR(VLOOKUP(G470, Hidden_Data!M:N, 2, FALSE), "0"))</f>
        <v/>
      </c>
      <c r="K470" t="str">
        <f>IF(J470="","", IFERROR(VLOOKUP(J470, Hidden_Data!M:N, 2, FALSE), "0"))</f>
        <v/>
      </c>
      <c r="N470" t="str">
        <f>IF(M470="","", IFERROR(VLOOKUP(M470, Hidden_Data!M:N, 2, FALSE), "0"))</f>
        <v/>
      </c>
      <c r="Q470" t="str">
        <f>IF(P470="","", IFERROR(VLOOKUP(P470, Hidden_Data!M:N, 2, FALSE), "0"))</f>
        <v/>
      </c>
      <c r="T470" t="str">
        <f t="shared" si="21"/>
        <v/>
      </c>
      <c r="U470" t="str">
        <f t="shared" si="22"/>
        <v/>
      </c>
      <c r="V470" t="str">
        <f t="shared" si="23"/>
        <v/>
      </c>
    </row>
    <row r="471" spans="1:22" x14ac:dyDescent="0.25">
      <c r="A471" t="str">
        <f>IF('Equipment Information'!A471="","", 'Equipment Information'!A471)</f>
        <v/>
      </c>
      <c r="B471" t="str">
        <f>IF('Equipment Information'!B471="","", 'Equipment Information'!B471)</f>
        <v/>
      </c>
      <c r="C471" t="str">
        <f>IF('Equipment Information'!C471="","", 'Equipment Information'!C471)</f>
        <v/>
      </c>
      <c r="E471" t="str">
        <f>IF(D471="","", IFERROR(VLOOKUP(D471, Hidden_Data!M:N, 2, FALSE), "0"))</f>
        <v/>
      </c>
      <c r="H471" t="str">
        <f>IF(G471="","", IFERROR(VLOOKUP(G471, Hidden_Data!M:N, 2, FALSE), "0"))</f>
        <v/>
      </c>
      <c r="K471" t="str">
        <f>IF(J471="","", IFERROR(VLOOKUP(J471, Hidden_Data!M:N, 2, FALSE), "0"))</f>
        <v/>
      </c>
      <c r="N471" t="str">
        <f>IF(M471="","", IFERROR(VLOOKUP(M471, Hidden_Data!M:N, 2, FALSE), "0"))</f>
        <v/>
      </c>
      <c r="Q471" t="str">
        <f>IF(P471="","", IFERROR(VLOOKUP(P471, Hidden_Data!M:N, 2, FALSE), "0"))</f>
        <v/>
      </c>
      <c r="T471" t="str">
        <f t="shared" si="21"/>
        <v/>
      </c>
      <c r="U471" t="str">
        <f t="shared" si="22"/>
        <v/>
      </c>
      <c r="V471" t="str">
        <f t="shared" si="23"/>
        <v/>
      </c>
    </row>
    <row r="472" spans="1:22" x14ac:dyDescent="0.25">
      <c r="A472" t="str">
        <f>IF('Equipment Information'!A472="","", 'Equipment Information'!A472)</f>
        <v/>
      </c>
      <c r="B472" t="str">
        <f>IF('Equipment Information'!B472="","", 'Equipment Information'!B472)</f>
        <v/>
      </c>
      <c r="C472" t="str">
        <f>IF('Equipment Information'!C472="","", 'Equipment Information'!C472)</f>
        <v/>
      </c>
      <c r="E472" t="str">
        <f>IF(D472="","", IFERROR(VLOOKUP(D472, Hidden_Data!M:N, 2, FALSE), "0"))</f>
        <v/>
      </c>
      <c r="H472" t="str">
        <f>IF(G472="","", IFERROR(VLOOKUP(G472, Hidden_Data!M:N, 2, FALSE), "0"))</f>
        <v/>
      </c>
      <c r="K472" t="str">
        <f>IF(J472="","", IFERROR(VLOOKUP(J472, Hidden_Data!M:N, 2, FALSE), "0"))</f>
        <v/>
      </c>
      <c r="N472" t="str">
        <f>IF(M472="","", IFERROR(VLOOKUP(M472, Hidden_Data!M:N, 2, FALSE), "0"))</f>
        <v/>
      </c>
      <c r="Q472" t="str">
        <f>IF(P472="","", IFERROR(VLOOKUP(P472, Hidden_Data!M:N, 2, FALSE), "0"))</f>
        <v/>
      </c>
      <c r="T472" t="str">
        <f t="shared" si="21"/>
        <v/>
      </c>
      <c r="U472" t="str">
        <f t="shared" si="22"/>
        <v/>
      </c>
      <c r="V472" t="str">
        <f t="shared" si="23"/>
        <v/>
      </c>
    </row>
    <row r="473" spans="1:22" x14ac:dyDescent="0.25">
      <c r="A473" t="str">
        <f>IF('Equipment Information'!A473="","", 'Equipment Information'!A473)</f>
        <v/>
      </c>
      <c r="B473" t="str">
        <f>IF('Equipment Information'!B473="","", 'Equipment Information'!B473)</f>
        <v/>
      </c>
      <c r="C473" t="str">
        <f>IF('Equipment Information'!C473="","", 'Equipment Information'!C473)</f>
        <v/>
      </c>
      <c r="E473" t="str">
        <f>IF(D473="","", IFERROR(VLOOKUP(D473, Hidden_Data!M:N, 2, FALSE), "0"))</f>
        <v/>
      </c>
      <c r="H473" t="str">
        <f>IF(G473="","", IFERROR(VLOOKUP(G473, Hidden_Data!M:N, 2, FALSE), "0"))</f>
        <v/>
      </c>
      <c r="K473" t="str">
        <f>IF(J473="","", IFERROR(VLOOKUP(J473, Hidden_Data!M:N, 2, FALSE), "0"))</f>
        <v/>
      </c>
      <c r="N473" t="str">
        <f>IF(M473="","", IFERROR(VLOOKUP(M473, Hidden_Data!M:N, 2, FALSE), "0"))</f>
        <v/>
      </c>
      <c r="Q473" t="str">
        <f>IF(P473="","", IFERROR(VLOOKUP(P473, Hidden_Data!M:N, 2, FALSE), "0"))</f>
        <v/>
      </c>
      <c r="T473" t="str">
        <f t="shared" si="21"/>
        <v/>
      </c>
      <c r="U473" t="str">
        <f t="shared" si="22"/>
        <v/>
      </c>
      <c r="V473" t="str">
        <f t="shared" si="23"/>
        <v/>
      </c>
    </row>
    <row r="474" spans="1:22" x14ac:dyDescent="0.25">
      <c r="A474" t="str">
        <f>IF('Equipment Information'!A474="","", 'Equipment Information'!A474)</f>
        <v/>
      </c>
      <c r="B474" t="str">
        <f>IF('Equipment Information'!B474="","", 'Equipment Information'!B474)</f>
        <v/>
      </c>
      <c r="C474" t="str">
        <f>IF('Equipment Information'!C474="","", 'Equipment Information'!C474)</f>
        <v/>
      </c>
      <c r="E474" t="str">
        <f>IF(D474="","", IFERROR(VLOOKUP(D474, Hidden_Data!M:N, 2, FALSE), "0"))</f>
        <v/>
      </c>
      <c r="H474" t="str">
        <f>IF(G474="","", IFERROR(VLOOKUP(G474, Hidden_Data!M:N, 2, FALSE), "0"))</f>
        <v/>
      </c>
      <c r="K474" t="str">
        <f>IF(J474="","", IFERROR(VLOOKUP(J474, Hidden_Data!M:N, 2, FALSE), "0"))</f>
        <v/>
      </c>
      <c r="N474" t="str">
        <f>IF(M474="","", IFERROR(VLOOKUP(M474, Hidden_Data!M:N, 2, FALSE), "0"))</f>
        <v/>
      </c>
      <c r="Q474" t="str">
        <f>IF(P474="","", IFERROR(VLOOKUP(P474, Hidden_Data!M:N, 2, FALSE), "0"))</f>
        <v/>
      </c>
      <c r="T474" t="str">
        <f t="shared" si="21"/>
        <v/>
      </c>
      <c r="U474" t="str">
        <f t="shared" si="22"/>
        <v/>
      </c>
      <c r="V474" t="str">
        <f t="shared" si="23"/>
        <v/>
      </c>
    </row>
    <row r="475" spans="1:22" x14ac:dyDescent="0.25">
      <c r="A475" t="str">
        <f>IF('Equipment Information'!A475="","", 'Equipment Information'!A475)</f>
        <v/>
      </c>
      <c r="B475" t="str">
        <f>IF('Equipment Information'!B475="","", 'Equipment Information'!B475)</f>
        <v/>
      </c>
      <c r="C475" t="str">
        <f>IF('Equipment Information'!C475="","", 'Equipment Information'!C475)</f>
        <v/>
      </c>
      <c r="E475" t="str">
        <f>IF(D475="","", IFERROR(VLOOKUP(D475, Hidden_Data!M:N, 2, FALSE), "0"))</f>
        <v/>
      </c>
      <c r="H475" t="str">
        <f>IF(G475="","", IFERROR(VLOOKUP(G475, Hidden_Data!M:N, 2, FALSE), "0"))</f>
        <v/>
      </c>
      <c r="K475" t="str">
        <f>IF(J475="","", IFERROR(VLOOKUP(J475, Hidden_Data!M:N, 2, FALSE), "0"))</f>
        <v/>
      </c>
      <c r="N475" t="str">
        <f>IF(M475="","", IFERROR(VLOOKUP(M475, Hidden_Data!M:N, 2, FALSE), "0"))</f>
        <v/>
      </c>
      <c r="Q475" t="str">
        <f>IF(P475="","", IFERROR(VLOOKUP(P475, Hidden_Data!M:N, 2, FALSE), "0"))</f>
        <v/>
      </c>
      <c r="T475" t="str">
        <f t="shared" si="21"/>
        <v/>
      </c>
      <c r="U475" t="str">
        <f t="shared" si="22"/>
        <v/>
      </c>
      <c r="V475" t="str">
        <f t="shared" si="23"/>
        <v/>
      </c>
    </row>
    <row r="476" spans="1:22" x14ac:dyDescent="0.25">
      <c r="A476" t="str">
        <f>IF('Equipment Information'!A476="","", 'Equipment Information'!A476)</f>
        <v/>
      </c>
      <c r="B476" t="str">
        <f>IF('Equipment Information'!B476="","", 'Equipment Information'!B476)</f>
        <v/>
      </c>
      <c r="C476" t="str">
        <f>IF('Equipment Information'!C476="","", 'Equipment Information'!C476)</f>
        <v/>
      </c>
      <c r="E476" t="str">
        <f>IF(D476="","", IFERROR(VLOOKUP(D476, Hidden_Data!M:N, 2, FALSE), "0"))</f>
        <v/>
      </c>
      <c r="H476" t="str">
        <f>IF(G476="","", IFERROR(VLOOKUP(G476, Hidden_Data!M:N, 2, FALSE), "0"))</f>
        <v/>
      </c>
      <c r="K476" t="str">
        <f>IF(J476="","", IFERROR(VLOOKUP(J476, Hidden_Data!M:N, 2, FALSE), "0"))</f>
        <v/>
      </c>
      <c r="N476" t="str">
        <f>IF(M476="","", IFERROR(VLOOKUP(M476, Hidden_Data!M:N, 2, FALSE), "0"))</f>
        <v/>
      </c>
      <c r="Q476" t="str">
        <f>IF(P476="","", IFERROR(VLOOKUP(P476, Hidden_Data!M:N, 2, FALSE), "0"))</f>
        <v/>
      </c>
      <c r="T476" t="str">
        <f t="shared" si="21"/>
        <v/>
      </c>
      <c r="U476" t="str">
        <f t="shared" si="22"/>
        <v/>
      </c>
      <c r="V476" t="str">
        <f t="shared" si="23"/>
        <v/>
      </c>
    </row>
    <row r="477" spans="1:22" x14ac:dyDescent="0.25">
      <c r="A477" t="str">
        <f>IF('Equipment Information'!A477="","", 'Equipment Information'!A477)</f>
        <v/>
      </c>
      <c r="B477" t="str">
        <f>IF('Equipment Information'!B477="","", 'Equipment Information'!B477)</f>
        <v/>
      </c>
      <c r="C477" t="str">
        <f>IF('Equipment Information'!C477="","", 'Equipment Information'!C477)</f>
        <v/>
      </c>
      <c r="E477" t="str">
        <f>IF(D477="","", IFERROR(VLOOKUP(D477, Hidden_Data!M:N, 2, FALSE), "0"))</f>
        <v/>
      </c>
      <c r="H477" t="str">
        <f>IF(G477="","", IFERROR(VLOOKUP(G477, Hidden_Data!M:N, 2, FALSE), "0"))</f>
        <v/>
      </c>
      <c r="K477" t="str">
        <f>IF(J477="","", IFERROR(VLOOKUP(J477, Hidden_Data!M:N, 2, FALSE), "0"))</f>
        <v/>
      </c>
      <c r="N477" t="str">
        <f>IF(M477="","", IFERROR(VLOOKUP(M477, Hidden_Data!M:N, 2, FALSE), "0"))</f>
        <v/>
      </c>
      <c r="Q477" t="str">
        <f>IF(P477="","", IFERROR(VLOOKUP(P477, Hidden_Data!M:N, 2, FALSE), "0"))</f>
        <v/>
      </c>
      <c r="T477" t="str">
        <f t="shared" si="21"/>
        <v/>
      </c>
      <c r="U477" t="str">
        <f t="shared" si="22"/>
        <v/>
      </c>
      <c r="V477" t="str">
        <f t="shared" si="23"/>
        <v/>
      </c>
    </row>
    <row r="478" spans="1:22" x14ac:dyDescent="0.25">
      <c r="A478" t="str">
        <f>IF('Equipment Information'!A478="","", 'Equipment Information'!A478)</f>
        <v/>
      </c>
      <c r="B478" t="str">
        <f>IF('Equipment Information'!B478="","", 'Equipment Information'!B478)</f>
        <v/>
      </c>
      <c r="C478" t="str">
        <f>IF('Equipment Information'!C478="","", 'Equipment Information'!C478)</f>
        <v/>
      </c>
      <c r="E478" t="str">
        <f>IF(D478="","", IFERROR(VLOOKUP(D478, Hidden_Data!M:N, 2, FALSE), "0"))</f>
        <v/>
      </c>
      <c r="H478" t="str">
        <f>IF(G478="","", IFERROR(VLOOKUP(G478, Hidden_Data!M:N, 2, FALSE), "0"))</f>
        <v/>
      </c>
      <c r="K478" t="str">
        <f>IF(J478="","", IFERROR(VLOOKUP(J478, Hidden_Data!M:N, 2, FALSE), "0"))</f>
        <v/>
      </c>
      <c r="N478" t="str">
        <f>IF(M478="","", IFERROR(VLOOKUP(M478, Hidden_Data!M:N, 2, FALSE), "0"))</f>
        <v/>
      </c>
      <c r="Q478" t="str">
        <f>IF(P478="","", IFERROR(VLOOKUP(P478, Hidden_Data!M:N, 2, FALSE), "0"))</f>
        <v/>
      </c>
      <c r="T478" t="str">
        <f t="shared" si="21"/>
        <v/>
      </c>
      <c r="U478" t="str">
        <f t="shared" si="22"/>
        <v/>
      </c>
      <c r="V478" t="str">
        <f t="shared" si="23"/>
        <v/>
      </c>
    </row>
    <row r="479" spans="1:22" x14ac:dyDescent="0.25">
      <c r="A479" t="str">
        <f>IF('Equipment Information'!A479="","", 'Equipment Information'!A479)</f>
        <v/>
      </c>
      <c r="B479" t="str">
        <f>IF('Equipment Information'!B479="","", 'Equipment Information'!B479)</f>
        <v/>
      </c>
      <c r="C479" t="str">
        <f>IF('Equipment Information'!C479="","", 'Equipment Information'!C479)</f>
        <v/>
      </c>
      <c r="E479" t="str">
        <f>IF(D479="","", IFERROR(VLOOKUP(D479, Hidden_Data!M:N, 2, FALSE), "0"))</f>
        <v/>
      </c>
      <c r="H479" t="str">
        <f>IF(G479="","", IFERROR(VLOOKUP(G479, Hidden_Data!M:N, 2, FALSE), "0"))</f>
        <v/>
      </c>
      <c r="K479" t="str">
        <f>IF(J479="","", IFERROR(VLOOKUP(J479, Hidden_Data!M:N, 2, FALSE), "0"))</f>
        <v/>
      </c>
      <c r="N479" t="str">
        <f>IF(M479="","", IFERROR(VLOOKUP(M479, Hidden_Data!M:N, 2, FALSE), "0"))</f>
        <v/>
      </c>
      <c r="Q479" t="str">
        <f>IF(P479="","", IFERROR(VLOOKUP(P479, Hidden_Data!M:N, 2, FALSE), "0"))</f>
        <v/>
      </c>
      <c r="T479" t="str">
        <f t="shared" si="21"/>
        <v/>
      </c>
      <c r="U479" t="str">
        <f t="shared" si="22"/>
        <v/>
      </c>
      <c r="V479" t="str">
        <f t="shared" si="23"/>
        <v/>
      </c>
    </row>
    <row r="480" spans="1:22" x14ac:dyDescent="0.25">
      <c r="A480" t="str">
        <f>IF('Equipment Information'!A480="","", 'Equipment Information'!A480)</f>
        <v/>
      </c>
      <c r="B480" t="str">
        <f>IF('Equipment Information'!B480="","", 'Equipment Information'!B480)</f>
        <v/>
      </c>
      <c r="C480" t="str">
        <f>IF('Equipment Information'!C480="","", 'Equipment Information'!C480)</f>
        <v/>
      </c>
      <c r="E480" t="str">
        <f>IF(D480="","", IFERROR(VLOOKUP(D480, Hidden_Data!M:N, 2, FALSE), "0"))</f>
        <v/>
      </c>
      <c r="H480" t="str">
        <f>IF(G480="","", IFERROR(VLOOKUP(G480, Hidden_Data!M:N, 2, FALSE), "0"))</f>
        <v/>
      </c>
      <c r="K480" t="str">
        <f>IF(J480="","", IFERROR(VLOOKUP(J480, Hidden_Data!M:N, 2, FALSE), "0"))</f>
        <v/>
      </c>
      <c r="N480" t="str">
        <f>IF(M480="","", IFERROR(VLOOKUP(M480, Hidden_Data!M:N, 2, FALSE), "0"))</f>
        <v/>
      </c>
      <c r="Q480" t="str">
        <f>IF(P480="","", IFERROR(VLOOKUP(P480, Hidden_Data!M:N, 2, FALSE), "0"))</f>
        <v/>
      </c>
      <c r="T480" t="str">
        <f t="shared" si="21"/>
        <v/>
      </c>
      <c r="U480" t="str">
        <f t="shared" si="22"/>
        <v/>
      </c>
      <c r="V480" t="str">
        <f t="shared" si="23"/>
        <v/>
      </c>
    </row>
    <row r="481" spans="1:22" x14ac:dyDescent="0.25">
      <c r="A481" t="str">
        <f>IF('Equipment Information'!A481="","", 'Equipment Information'!A481)</f>
        <v/>
      </c>
      <c r="B481" t="str">
        <f>IF('Equipment Information'!B481="","", 'Equipment Information'!B481)</f>
        <v/>
      </c>
      <c r="C481" t="str">
        <f>IF('Equipment Information'!C481="","", 'Equipment Information'!C481)</f>
        <v/>
      </c>
      <c r="E481" t="str">
        <f>IF(D481="","", IFERROR(VLOOKUP(D481, Hidden_Data!M:N, 2, FALSE), "0"))</f>
        <v/>
      </c>
      <c r="H481" t="str">
        <f>IF(G481="","", IFERROR(VLOOKUP(G481, Hidden_Data!M:N, 2, FALSE), "0"))</f>
        <v/>
      </c>
      <c r="K481" t="str">
        <f>IF(J481="","", IFERROR(VLOOKUP(J481, Hidden_Data!M:N, 2, FALSE), "0"))</f>
        <v/>
      </c>
      <c r="N481" t="str">
        <f>IF(M481="","", IFERROR(VLOOKUP(M481, Hidden_Data!M:N, 2, FALSE), "0"))</f>
        <v/>
      </c>
      <c r="Q481" t="str">
        <f>IF(P481="","", IFERROR(VLOOKUP(P481, Hidden_Data!M:N, 2, FALSE), "0"))</f>
        <v/>
      </c>
      <c r="T481" t="str">
        <f t="shared" si="21"/>
        <v/>
      </c>
      <c r="U481" t="str">
        <f t="shared" si="22"/>
        <v/>
      </c>
      <c r="V481" t="str">
        <f t="shared" si="23"/>
        <v/>
      </c>
    </row>
    <row r="482" spans="1:22" x14ac:dyDescent="0.25">
      <c r="A482" t="str">
        <f>IF('Equipment Information'!A482="","", 'Equipment Information'!A482)</f>
        <v/>
      </c>
      <c r="B482" t="str">
        <f>IF('Equipment Information'!B482="","", 'Equipment Information'!B482)</f>
        <v/>
      </c>
      <c r="C482" t="str">
        <f>IF('Equipment Information'!C482="","", 'Equipment Information'!C482)</f>
        <v/>
      </c>
      <c r="E482" t="str">
        <f>IF(D482="","", IFERROR(VLOOKUP(D482, Hidden_Data!M:N, 2, FALSE), "0"))</f>
        <v/>
      </c>
      <c r="H482" t="str">
        <f>IF(G482="","", IFERROR(VLOOKUP(G482, Hidden_Data!M:N, 2, FALSE), "0"))</f>
        <v/>
      </c>
      <c r="K482" t="str">
        <f>IF(J482="","", IFERROR(VLOOKUP(J482, Hidden_Data!M:N, 2, FALSE), "0"))</f>
        <v/>
      </c>
      <c r="N482" t="str">
        <f>IF(M482="","", IFERROR(VLOOKUP(M482, Hidden_Data!M:N, 2, FALSE), "0"))</f>
        <v/>
      </c>
      <c r="Q482" t="str">
        <f>IF(P482="","", IFERROR(VLOOKUP(P482, Hidden_Data!M:N, 2, FALSE), "0"))</f>
        <v/>
      </c>
      <c r="T482" t="str">
        <f t="shared" si="21"/>
        <v/>
      </c>
      <c r="U482" t="str">
        <f t="shared" si="22"/>
        <v/>
      </c>
      <c r="V482" t="str">
        <f t="shared" si="23"/>
        <v/>
      </c>
    </row>
    <row r="483" spans="1:22" x14ac:dyDescent="0.25">
      <c r="A483" t="str">
        <f>IF('Equipment Information'!A483="","", 'Equipment Information'!A483)</f>
        <v/>
      </c>
      <c r="B483" t="str">
        <f>IF('Equipment Information'!B483="","", 'Equipment Information'!B483)</f>
        <v/>
      </c>
      <c r="C483" t="str">
        <f>IF('Equipment Information'!C483="","", 'Equipment Information'!C483)</f>
        <v/>
      </c>
      <c r="E483" t="str">
        <f>IF(D483="","", IFERROR(VLOOKUP(D483, Hidden_Data!M:N, 2, FALSE), "0"))</f>
        <v/>
      </c>
      <c r="H483" t="str">
        <f>IF(G483="","", IFERROR(VLOOKUP(G483, Hidden_Data!M:N, 2, FALSE), "0"))</f>
        <v/>
      </c>
      <c r="K483" t="str">
        <f>IF(J483="","", IFERROR(VLOOKUP(J483, Hidden_Data!M:N, 2, FALSE), "0"))</f>
        <v/>
      </c>
      <c r="N483" t="str">
        <f>IF(M483="","", IFERROR(VLOOKUP(M483, Hidden_Data!M:N, 2, FALSE), "0"))</f>
        <v/>
      </c>
      <c r="Q483" t="str">
        <f>IF(P483="","", IFERROR(VLOOKUP(P483, Hidden_Data!M:N, 2, FALSE), "0"))</f>
        <v/>
      </c>
      <c r="T483" t="str">
        <f t="shared" si="21"/>
        <v/>
      </c>
      <c r="U483" t="str">
        <f t="shared" si="22"/>
        <v/>
      </c>
      <c r="V483" t="str">
        <f t="shared" si="23"/>
        <v/>
      </c>
    </row>
    <row r="484" spans="1:22" x14ac:dyDescent="0.25">
      <c r="A484" t="str">
        <f>IF('Equipment Information'!A484="","", 'Equipment Information'!A484)</f>
        <v/>
      </c>
      <c r="B484" t="str">
        <f>IF('Equipment Information'!B484="","", 'Equipment Information'!B484)</f>
        <v/>
      </c>
      <c r="C484" t="str">
        <f>IF('Equipment Information'!C484="","", 'Equipment Information'!C484)</f>
        <v/>
      </c>
      <c r="E484" t="str">
        <f>IF(D484="","", IFERROR(VLOOKUP(D484, Hidden_Data!M:N, 2, FALSE), "0"))</f>
        <v/>
      </c>
      <c r="H484" t="str">
        <f>IF(G484="","", IFERROR(VLOOKUP(G484, Hidden_Data!M:N, 2, FALSE), "0"))</f>
        <v/>
      </c>
      <c r="K484" t="str">
        <f>IF(J484="","", IFERROR(VLOOKUP(J484, Hidden_Data!M:N, 2, FALSE), "0"))</f>
        <v/>
      </c>
      <c r="N484" t="str">
        <f>IF(M484="","", IFERROR(VLOOKUP(M484, Hidden_Data!M:N, 2, FALSE), "0"))</f>
        <v/>
      </c>
      <c r="Q484" t="str">
        <f>IF(P484="","", IFERROR(VLOOKUP(P484, Hidden_Data!M:N, 2, FALSE), "0"))</f>
        <v/>
      </c>
      <c r="T484" t="str">
        <f t="shared" si="21"/>
        <v/>
      </c>
      <c r="U484" t="str">
        <f t="shared" si="22"/>
        <v/>
      </c>
      <c r="V484" t="str">
        <f t="shared" si="23"/>
        <v/>
      </c>
    </row>
    <row r="485" spans="1:22" x14ac:dyDescent="0.25">
      <c r="A485" t="str">
        <f>IF('Equipment Information'!A485="","", 'Equipment Information'!A485)</f>
        <v/>
      </c>
      <c r="B485" t="str">
        <f>IF('Equipment Information'!B485="","", 'Equipment Information'!B485)</f>
        <v/>
      </c>
      <c r="C485" t="str">
        <f>IF('Equipment Information'!C485="","", 'Equipment Information'!C485)</f>
        <v/>
      </c>
      <c r="E485" t="str">
        <f>IF(D485="","", IFERROR(VLOOKUP(D485, Hidden_Data!M:N, 2, FALSE), "0"))</f>
        <v/>
      </c>
      <c r="H485" t="str">
        <f>IF(G485="","", IFERROR(VLOOKUP(G485, Hidden_Data!M:N, 2, FALSE), "0"))</f>
        <v/>
      </c>
      <c r="K485" t="str">
        <f>IF(J485="","", IFERROR(VLOOKUP(J485, Hidden_Data!M:N, 2, FALSE), "0"))</f>
        <v/>
      </c>
      <c r="N485" t="str">
        <f>IF(M485="","", IFERROR(VLOOKUP(M485, Hidden_Data!M:N, 2, FALSE), "0"))</f>
        <v/>
      </c>
      <c r="Q485" t="str">
        <f>IF(P485="","", IFERROR(VLOOKUP(P485, Hidden_Data!M:N, 2, FALSE), "0"))</f>
        <v/>
      </c>
      <c r="T485" t="str">
        <f t="shared" si="21"/>
        <v/>
      </c>
      <c r="U485" t="str">
        <f t="shared" si="22"/>
        <v/>
      </c>
      <c r="V485" t="str">
        <f t="shared" si="23"/>
        <v/>
      </c>
    </row>
    <row r="486" spans="1:22" x14ac:dyDescent="0.25">
      <c r="A486" t="str">
        <f>IF('Equipment Information'!A486="","", 'Equipment Information'!A486)</f>
        <v/>
      </c>
      <c r="B486" t="str">
        <f>IF('Equipment Information'!B486="","", 'Equipment Information'!B486)</f>
        <v/>
      </c>
      <c r="C486" t="str">
        <f>IF('Equipment Information'!C486="","", 'Equipment Information'!C486)</f>
        <v/>
      </c>
      <c r="E486" t="str">
        <f>IF(D486="","", IFERROR(VLOOKUP(D486, Hidden_Data!M:N, 2, FALSE), "0"))</f>
        <v/>
      </c>
      <c r="H486" t="str">
        <f>IF(G486="","", IFERROR(VLOOKUP(G486, Hidden_Data!M:N, 2, FALSE), "0"))</f>
        <v/>
      </c>
      <c r="K486" t="str">
        <f>IF(J486="","", IFERROR(VLOOKUP(J486, Hidden_Data!M:N, 2, FALSE), "0"))</f>
        <v/>
      </c>
      <c r="N486" t="str">
        <f>IF(M486="","", IFERROR(VLOOKUP(M486, Hidden_Data!M:N, 2, FALSE), "0"))</f>
        <v/>
      </c>
      <c r="Q486" t="str">
        <f>IF(P486="","", IFERROR(VLOOKUP(P486, Hidden_Data!M:N, 2, FALSE), "0"))</f>
        <v/>
      </c>
      <c r="T486" t="str">
        <f t="shared" si="21"/>
        <v/>
      </c>
      <c r="U486" t="str">
        <f t="shared" si="22"/>
        <v/>
      </c>
      <c r="V486" t="str">
        <f t="shared" si="23"/>
        <v/>
      </c>
    </row>
    <row r="487" spans="1:22" x14ac:dyDescent="0.25">
      <c r="A487" t="str">
        <f>IF('Equipment Information'!A487="","", 'Equipment Information'!A487)</f>
        <v/>
      </c>
      <c r="B487" t="str">
        <f>IF('Equipment Information'!B487="","", 'Equipment Information'!B487)</f>
        <v/>
      </c>
      <c r="C487" t="str">
        <f>IF('Equipment Information'!C487="","", 'Equipment Information'!C487)</f>
        <v/>
      </c>
      <c r="E487" t="str">
        <f>IF(D487="","", IFERROR(VLOOKUP(D487, Hidden_Data!M:N, 2, FALSE), "0"))</f>
        <v/>
      </c>
      <c r="H487" t="str">
        <f>IF(G487="","", IFERROR(VLOOKUP(G487, Hidden_Data!M:N, 2, FALSE), "0"))</f>
        <v/>
      </c>
      <c r="K487" t="str">
        <f>IF(J487="","", IFERROR(VLOOKUP(J487, Hidden_Data!M:N, 2, FALSE), "0"))</f>
        <v/>
      </c>
      <c r="N487" t="str">
        <f>IF(M487="","", IFERROR(VLOOKUP(M487, Hidden_Data!M:N, 2, FALSE), "0"))</f>
        <v/>
      </c>
      <c r="Q487" t="str">
        <f>IF(P487="","", IFERROR(VLOOKUP(P487, Hidden_Data!M:N, 2, FALSE), "0"))</f>
        <v/>
      </c>
      <c r="T487" t="str">
        <f t="shared" si="21"/>
        <v/>
      </c>
      <c r="U487" t="str">
        <f t="shared" si="22"/>
        <v/>
      </c>
      <c r="V487" t="str">
        <f t="shared" si="23"/>
        <v/>
      </c>
    </row>
    <row r="488" spans="1:22" x14ac:dyDescent="0.25">
      <c r="A488" t="str">
        <f>IF('Equipment Information'!A488="","", 'Equipment Information'!A488)</f>
        <v/>
      </c>
      <c r="B488" t="str">
        <f>IF('Equipment Information'!B488="","", 'Equipment Information'!B488)</f>
        <v/>
      </c>
      <c r="C488" t="str">
        <f>IF('Equipment Information'!C488="","", 'Equipment Information'!C488)</f>
        <v/>
      </c>
      <c r="E488" t="str">
        <f>IF(D488="","", IFERROR(VLOOKUP(D488, Hidden_Data!M:N, 2, FALSE), "0"))</f>
        <v/>
      </c>
      <c r="H488" t="str">
        <f>IF(G488="","", IFERROR(VLOOKUP(G488, Hidden_Data!M:N, 2, FALSE), "0"))</f>
        <v/>
      </c>
      <c r="K488" t="str">
        <f>IF(J488="","", IFERROR(VLOOKUP(J488, Hidden_Data!M:N, 2, FALSE), "0"))</f>
        <v/>
      </c>
      <c r="N488" t="str">
        <f>IF(M488="","", IFERROR(VLOOKUP(M488, Hidden_Data!M:N, 2, FALSE), "0"))</f>
        <v/>
      </c>
      <c r="Q488" t="str">
        <f>IF(P488="","", IFERROR(VLOOKUP(P488, Hidden_Data!M:N, 2, FALSE), "0"))</f>
        <v/>
      </c>
      <c r="T488" t="str">
        <f t="shared" si="21"/>
        <v/>
      </c>
      <c r="U488" t="str">
        <f t="shared" si="22"/>
        <v/>
      </c>
      <c r="V488" t="str">
        <f t="shared" si="23"/>
        <v/>
      </c>
    </row>
    <row r="489" spans="1:22" x14ac:dyDescent="0.25">
      <c r="A489" t="str">
        <f>IF('Equipment Information'!A489="","", 'Equipment Information'!A489)</f>
        <v/>
      </c>
      <c r="B489" t="str">
        <f>IF('Equipment Information'!B489="","", 'Equipment Information'!B489)</f>
        <v/>
      </c>
      <c r="C489" t="str">
        <f>IF('Equipment Information'!C489="","", 'Equipment Information'!C489)</f>
        <v/>
      </c>
      <c r="E489" t="str">
        <f>IF(D489="","", IFERROR(VLOOKUP(D489, Hidden_Data!M:N, 2, FALSE), "0"))</f>
        <v/>
      </c>
      <c r="H489" t="str">
        <f>IF(G489="","", IFERROR(VLOOKUP(G489, Hidden_Data!M:N, 2, FALSE), "0"))</f>
        <v/>
      </c>
      <c r="K489" t="str">
        <f>IF(J489="","", IFERROR(VLOOKUP(J489, Hidden_Data!M:N, 2, FALSE), "0"))</f>
        <v/>
      </c>
      <c r="N489" t="str">
        <f>IF(M489="","", IFERROR(VLOOKUP(M489, Hidden_Data!M:N, 2, FALSE), "0"))</f>
        <v/>
      </c>
      <c r="Q489" t="str">
        <f>IF(P489="","", IFERROR(VLOOKUP(P489, Hidden_Data!M:N, 2, FALSE), "0"))</f>
        <v/>
      </c>
      <c r="T489" t="str">
        <f t="shared" si="21"/>
        <v/>
      </c>
      <c r="U489" t="str">
        <f t="shared" si="22"/>
        <v/>
      </c>
      <c r="V489" t="str">
        <f t="shared" si="23"/>
        <v/>
      </c>
    </row>
    <row r="490" spans="1:22" x14ac:dyDescent="0.25">
      <c r="A490" t="str">
        <f>IF('Equipment Information'!A490="","", 'Equipment Information'!A490)</f>
        <v/>
      </c>
      <c r="B490" t="str">
        <f>IF('Equipment Information'!B490="","", 'Equipment Information'!B490)</f>
        <v/>
      </c>
      <c r="C490" t="str">
        <f>IF('Equipment Information'!C490="","", 'Equipment Information'!C490)</f>
        <v/>
      </c>
      <c r="E490" t="str">
        <f>IF(D490="","", IFERROR(VLOOKUP(D490, Hidden_Data!M:N, 2, FALSE), "0"))</f>
        <v/>
      </c>
      <c r="H490" t="str">
        <f>IF(G490="","", IFERROR(VLOOKUP(G490, Hidden_Data!M:N, 2, FALSE), "0"))</f>
        <v/>
      </c>
      <c r="K490" t="str">
        <f>IF(J490="","", IFERROR(VLOOKUP(J490, Hidden_Data!M:N, 2, FALSE), "0"))</f>
        <v/>
      </c>
      <c r="N490" t="str">
        <f>IF(M490="","", IFERROR(VLOOKUP(M490, Hidden_Data!M:N, 2, FALSE), "0"))</f>
        <v/>
      </c>
      <c r="Q490" t="str">
        <f>IF(P490="","", IFERROR(VLOOKUP(P490, Hidden_Data!M:N, 2, FALSE), "0"))</f>
        <v/>
      </c>
      <c r="T490" t="str">
        <f t="shared" si="21"/>
        <v/>
      </c>
      <c r="U490" t="str">
        <f t="shared" si="22"/>
        <v/>
      </c>
      <c r="V490" t="str">
        <f t="shared" si="23"/>
        <v/>
      </c>
    </row>
    <row r="491" spans="1:22" x14ac:dyDescent="0.25">
      <c r="A491" t="str">
        <f>IF('Equipment Information'!A491="","", 'Equipment Information'!A491)</f>
        <v/>
      </c>
      <c r="B491" t="str">
        <f>IF('Equipment Information'!B491="","", 'Equipment Information'!B491)</f>
        <v/>
      </c>
      <c r="C491" t="str">
        <f>IF('Equipment Information'!C491="","", 'Equipment Information'!C491)</f>
        <v/>
      </c>
      <c r="E491" t="str">
        <f>IF(D491="","", IFERROR(VLOOKUP(D491, Hidden_Data!M:N, 2, FALSE), "0"))</f>
        <v/>
      </c>
      <c r="H491" t="str">
        <f>IF(G491="","", IFERROR(VLOOKUP(G491, Hidden_Data!M:N, 2, FALSE), "0"))</f>
        <v/>
      </c>
      <c r="K491" t="str">
        <f>IF(J491="","", IFERROR(VLOOKUP(J491, Hidden_Data!M:N, 2, FALSE), "0"))</f>
        <v/>
      </c>
      <c r="N491" t="str">
        <f>IF(M491="","", IFERROR(VLOOKUP(M491, Hidden_Data!M:N, 2, FALSE), "0"))</f>
        <v/>
      </c>
      <c r="Q491" t="str">
        <f>IF(P491="","", IFERROR(VLOOKUP(P491, Hidden_Data!M:N, 2, FALSE), "0"))</f>
        <v/>
      </c>
      <c r="T491" t="str">
        <f t="shared" si="21"/>
        <v/>
      </c>
      <c r="U491" t="str">
        <f t="shared" si="22"/>
        <v/>
      </c>
      <c r="V491" t="str">
        <f t="shared" si="23"/>
        <v/>
      </c>
    </row>
    <row r="492" spans="1:22" x14ac:dyDescent="0.25">
      <c r="A492" t="str">
        <f>IF('Equipment Information'!A492="","", 'Equipment Information'!A492)</f>
        <v/>
      </c>
      <c r="B492" t="str">
        <f>IF('Equipment Information'!B492="","", 'Equipment Information'!B492)</f>
        <v/>
      </c>
      <c r="C492" t="str">
        <f>IF('Equipment Information'!C492="","", 'Equipment Information'!C492)</f>
        <v/>
      </c>
      <c r="E492" t="str">
        <f>IF(D492="","", IFERROR(VLOOKUP(D492, Hidden_Data!M:N, 2, FALSE), "0"))</f>
        <v/>
      </c>
      <c r="H492" t="str">
        <f>IF(G492="","", IFERROR(VLOOKUP(G492, Hidden_Data!M:N, 2, FALSE), "0"))</f>
        <v/>
      </c>
      <c r="K492" t="str">
        <f>IF(J492="","", IFERROR(VLOOKUP(J492, Hidden_Data!M:N, 2, FALSE), "0"))</f>
        <v/>
      </c>
      <c r="N492" t="str">
        <f>IF(M492="","", IFERROR(VLOOKUP(M492, Hidden_Data!M:N, 2, FALSE), "0"))</f>
        <v/>
      </c>
      <c r="Q492" t="str">
        <f>IF(P492="","", IFERROR(VLOOKUP(P492, Hidden_Data!M:N, 2, FALSE), "0"))</f>
        <v/>
      </c>
      <c r="T492" t="str">
        <f t="shared" si="21"/>
        <v/>
      </c>
      <c r="U492" t="str">
        <f t="shared" si="22"/>
        <v/>
      </c>
      <c r="V492" t="str">
        <f t="shared" si="23"/>
        <v/>
      </c>
    </row>
    <row r="493" spans="1:22" x14ac:dyDescent="0.25">
      <c r="A493" t="str">
        <f>IF('Equipment Information'!A493="","", 'Equipment Information'!A493)</f>
        <v/>
      </c>
      <c r="B493" t="str">
        <f>IF('Equipment Information'!B493="","", 'Equipment Information'!B493)</f>
        <v/>
      </c>
      <c r="C493" t="str">
        <f>IF('Equipment Information'!C493="","", 'Equipment Information'!C493)</f>
        <v/>
      </c>
      <c r="E493" t="str">
        <f>IF(D493="","", IFERROR(VLOOKUP(D493, Hidden_Data!M:N, 2, FALSE), "0"))</f>
        <v/>
      </c>
      <c r="H493" t="str">
        <f>IF(G493="","", IFERROR(VLOOKUP(G493, Hidden_Data!M:N, 2, FALSE), "0"))</f>
        <v/>
      </c>
      <c r="K493" t="str">
        <f>IF(J493="","", IFERROR(VLOOKUP(J493, Hidden_Data!M:N, 2, FALSE), "0"))</f>
        <v/>
      </c>
      <c r="N493" t="str">
        <f>IF(M493="","", IFERROR(VLOOKUP(M493, Hidden_Data!M:N, 2, FALSE), "0"))</f>
        <v/>
      </c>
      <c r="Q493" t="str">
        <f>IF(P493="","", IFERROR(VLOOKUP(P493, Hidden_Data!M:N, 2, FALSE), "0"))</f>
        <v/>
      </c>
      <c r="T493" t="str">
        <f t="shared" si="21"/>
        <v/>
      </c>
      <c r="U493" t="str">
        <f t="shared" si="22"/>
        <v/>
      </c>
      <c r="V493" t="str">
        <f t="shared" si="23"/>
        <v/>
      </c>
    </row>
    <row r="494" spans="1:22" x14ac:dyDescent="0.25">
      <c r="A494" t="str">
        <f>IF('Equipment Information'!A494="","", 'Equipment Information'!A494)</f>
        <v/>
      </c>
      <c r="B494" t="str">
        <f>IF('Equipment Information'!B494="","", 'Equipment Information'!B494)</f>
        <v/>
      </c>
      <c r="C494" t="str">
        <f>IF('Equipment Information'!C494="","", 'Equipment Information'!C494)</f>
        <v/>
      </c>
      <c r="E494" t="str">
        <f>IF(D494="","", IFERROR(VLOOKUP(D494, Hidden_Data!M:N, 2, FALSE), "0"))</f>
        <v/>
      </c>
      <c r="H494" t="str">
        <f>IF(G494="","", IFERROR(VLOOKUP(G494, Hidden_Data!M:N, 2, FALSE), "0"))</f>
        <v/>
      </c>
      <c r="K494" t="str">
        <f>IF(J494="","", IFERROR(VLOOKUP(J494, Hidden_Data!M:N, 2, FALSE), "0"))</f>
        <v/>
      </c>
      <c r="N494" t="str">
        <f>IF(M494="","", IFERROR(VLOOKUP(M494, Hidden_Data!M:N, 2, FALSE), "0"))</f>
        <v/>
      </c>
      <c r="Q494" t="str">
        <f>IF(P494="","", IFERROR(VLOOKUP(P494, Hidden_Data!M:N, 2, FALSE), "0"))</f>
        <v/>
      </c>
      <c r="T494" t="str">
        <f t="shared" si="21"/>
        <v/>
      </c>
      <c r="U494" t="str">
        <f t="shared" si="22"/>
        <v/>
      </c>
      <c r="V494" t="str">
        <f t="shared" si="23"/>
        <v/>
      </c>
    </row>
    <row r="495" spans="1:22" x14ac:dyDescent="0.25">
      <c r="A495" t="str">
        <f>IF('Equipment Information'!A495="","", 'Equipment Information'!A495)</f>
        <v/>
      </c>
      <c r="B495" t="str">
        <f>IF('Equipment Information'!B495="","", 'Equipment Information'!B495)</f>
        <v/>
      </c>
      <c r="C495" t="str">
        <f>IF('Equipment Information'!C495="","", 'Equipment Information'!C495)</f>
        <v/>
      </c>
      <c r="E495" t="str">
        <f>IF(D495="","", IFERROR(VLOOKUP(D495, Hidden_Data!M:N, 2, FALSE), "0"))</f>
        <v/>
      </c>
      <c r="H495" t="str">
        <f>IF(G495="","", IFERROR(VLOOKUP(G495, Hidden_Data!M:N, 2, FALSE), "0"))</f>
        <v/>
      </c>
      <c r="K495" t="str">
        <f>IF(J495="","", IFERROR(VLOOKUP(J495, Hidden_Data!M:N, 2, FALSE), "0"))</f>
        <v/>
      </c>
      <c r="N495" t="str">
        <f>IF(M495="","", IFERROR(VLOOKUP(M495, Hidden_Data!M:N, 2, FALSE), "0"))</f>
        <v/>
      </c>
      <c r="Q495" t="str">
        <f>IF(P495="","", IFERROR(VLOOKUP(P495, Hidden_Data!M:N, 2, FALSE), "0"))</f>
        <v/>
      </c>
      <c r="T495" t="str">
        <f t="shared" si="21"/>
        <v/>
      </c>
      <c r="U495" t="str">
        <f t="shared" si="22"/>
        <v/>
      </c>
      <c r="V495" t="str">
        <f t="shared" si="23"/>
        <v/>
      </c>
    </row>
    <row r="496" spans="1:22" x14ac:dyDescent="0.25">
      <c r="A496" t="str">
        <f>IF('Equipment Information'!A496="","", 'Equipment Information'!A496)</f>
        <v/>
      </c>
      <c r="B496" t="str">
        <f>IF('Equipment Information'!B496="","", 'Equipment Information'!B496)</f>
        <v/>
      </c>
      <c r="C496" t="str">
        <f>IF('Equipment Information'!C496="","", 'Equipment Information'!C496)</f>
        <v/>
      </c>
      <c r="E496" t="str">
        <f>IF(D496="","", IFERROR(VLOOKUP(D496, Hidden_Data!M:N, 2, FALSE), "0"))</f>
        <v/>
      </c>
      <c r="H496" t="str">
        <f>IF(G496="","", IFERROR(VLOOKUP(G496, Hidden_Data!M:N, 2, FALSE), "0"))</f>
        <v/>
      </c>
      <c r="K496" t="str">
        <f>IF(J496="","", IFERROR(VLOOKUP(J496, Hidden_Data!M:N, 2, FALSE), "0"))</f>
        <v/>
      </c>
      <c r="N496" t="str">
        <f>IF(M496="","", IFERROR(VLOOKUP(M496, Hidden_Data!M:N, 2, FALSE), "0"))</f>
        <v/>
      </c>
      <c r="Q496" t="str">
        <f>IF(P496="","", IFERROR(VLOOKUP(P496, Hidden_Data!M:N, 2, FALSE), "0"))</f>
        <v/>
      </c>
      <c r="T496" t="str">
        <f t="shared" si="21"/>
        <v/>
      </c>
      <c r="U496" t="str">
        <f t="shared" si="22"/>
        <v/>
      </c>
      <c r="V496" t="str">
        <f t="shared" si="23"/>
        <v/>
      </c>
    </row>
    <row r="497" spans="1:22" x14ac:dyDescent="0.25">
      <c r="A497" t="str">
        <f>IF('Equipment Information'!A497="","", 'Equipment Information'!A497)</f>
        <v/>
      </c>
      <c r="B497" t="str">
        <f>IF('Equipment Information'!B497="","", 'Equipment Information'!B497)</f>
        <v/>
      </c>
      <c r="C497" t="str">
        <f>IF('Equipment Information'!C497="","", 'Equipment Information'!C497)</f>
        <v/>
      </c>
      <c r="E497" t="str">
        <f>IF(D497="","", IFERROR(VLOOKUP(D497, Hidden_Data!M:N, 2, FALSE), "0"))</f>
        <v/>
      </c>
      <c r="H497" t="str">
        <f>IF(G497="","", IFERROR(VLOOKUP(G497, Hidden_Data!M:N, 2, FALSE), "0"))</f>
        <v/>
      </c>
      <c r="K497" t="str">
        <f>IF(J497="","", IFERROR(VLOOKUP(J497, Hidden_Data!M:N, 2, FALSE), "0"))</f>
        <v/>
      </c>
      <c r="N497" t="str">
        <f>IF(M497="","", IFERROR(VLOOKUP(M497, Hidden_Data!M:N, 2, FALSE), "0"))</f>
        <v/>
      </c>
      <c r="Q497" t="str">
        <f>IF(P497="","", IFERROR(VLOOKUP(P497, Hidden_Data!M:N, 2, FALSE), "0"))</f>
        <v/>
      </c>
      <c r="T497" t="str">
        <f t="shared" si="21"/>
        <v/>
      </c>
      <c r="U497" t="str">
        <f t="shared" si="22"/>
        <v/>
      </c>
      <c r="V497" t="str">
        <f t="shared" si="23"/>
        <v/>
      </c>
    </row>
    <row r="498" spans="1:22" x14ac:dyDescent="0.25">
      <c r="A498" t="str">
        <f>IF('Equipment Information'!A498="","", 'Equipment Information'!A498)</f>
        <v/>
      </c>
      <c r="B498" t="str">
        <f>IF('Equipment Information'!B498="","", 'Equipment Information'!B498)</f>
        <v/>
      </c>
      <c r="C498" t="str">
        <f>IF('Equipment Information'!C498="","", 'Equipment Information'!C498)</f>
        <v/>
      </c>
      <c r="E498" t="str">
        <f>IF(D498="","", IFERROR(VLOOKUP(D498, Hidden_Data!M:N, 2, FALSE), "0"))</f>
        <v/>
      </c>
      <c r="H498" t="str">
        <f>IF(G498="","", IFERROR(VLOOKUP(G498, Hidden_Data!M:N, 2, FALSE), "0"))</f>
        <v/>
      </c>
      <c r="K498" t="str">
        <f>IF(J498="","", IFERROR(VLOOKUP(J498, Hidden_Data!M:N, 2, FALSE), "0"))</f>
        <v/>
      </c>
      <c r="N498" t="str">
        <f>IF(M498="","", IFERROR(VLOOKUP(M498, Hidden_Data!M:N, 2, FALSE), "0"))</f>
        <v/>
      </c>
      <c r="Q498" t="str">
        <f>IF(P498="","", IFERROR(VLOOKUP(P498, Hidden_Data!M:N, 2, FALSE), "0"))</f>
        <v/>
      </c>
      <c r="T498" t="str">
        <f t="shared" si="21"/>
        <v/>
      </c>
      <c r="U498" t="str">
        <f t="shared" si="22"/>
        <v/>
      </c>
      <c r="V498" t="str">
        <f t="shared" si="23"/>
        <v/>
      </c>
    </row>
    <row r="499" spans="1:22" x14ac:dyDescent="0.25">
      <c r="A499" t="str">
        <f>IF('Equipment Information'!A499="","", 'Equipment Information'!A499)</f>
        <v/>
      </c>
      <c r="B499" t="str">
        <f>IF('Equipment Information'!B499="","", 'Equipment Information'!B499)</f>
        <v/>
      </c>
      <c r="C499" t="str">
        <f>IF('Equipment Information'!C499="","", 'Equipment Information'!C499)</f>
        <v/>
      </c>
      <c r="E499" t="str">
        <f>IF(D499="","", IFERROR(VLOOKUP(D499, Hidden_Data!M:N, 2, FALSE), "0"))</f>
        <v/>
      </c>
      <c r="H499" t="str">
        <f>IF(G499="","", IFERROR(VLOOKUP(G499, Hidden_Data!M:N, 2, FALSE), "0"))</f>
        <v/>
      </c>
      <c r="K499" t="str">
        <f>IF(J499="","", IFERROR(VLOOKUP(J499, Hidden_Data!M:N, 2, FALSE), "0"))</f>
        <v/>
      </c>
      <c r="N499" t="str">
        <f>IF(M499="","", IFERROR(VLOOKUP(M499, Hidden_Data!M:N, 2, FALSE), "0"))</f>
        <v/>
      </c>
      <c r="Q499" t="str">
        <f>IF(P499="","", IFERROR(VLOOKUP(P499, Hidden_Data!M:N, 2, FALSE), "0"))</f>
        <v/>
      </c>
      <c r="T499" t="str">
        <f t="shared" si="21"/>
        <v/>
      </c>
      <c r="U499" t="str">
        <f t="shared" si="22"/>
        <v/>
      </c>
      <c r="V499" t="str">
        <f t="shared" si="23"/>
        <v/>
      </c>
    </row>
  </sheetData>
  <dataValidations count="2">
    <dataValidation type="list" allowBlank="1" sqref="D2:D500 G2:G500 J2:J500 M2:M500 P2:P500" xr:uid="{00000000-0002-0000-0200-000000000000}">
      <formula1>List_NEC</formula1>
    </dataValidation>
    <dataValidation type="list" allowBlank="1" sqref="F2:F500 I2:I500 L2:L500 O2:O500 R2:R500" xr:uid="{00000000-0002-0000-0200-000001000000}">
      <formula1>List_YN</formula1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99"/>
  <sheetViews>
    <sheetView workbookViewId="0">
      <pane ySplit="1" topLeftCell="A132" activePane="bottomLeft" state="frozen"/>
      <selection pane="bottomLeft" activeCell="G152" sqref="G152"/>
    </sheetView>
  </sheetViews>
  <sheetFormatPr defaultRowHeight="15" x14ac:dyDescent="0.25"/>
  <cols>
    <col min="1" max="1" width="20" customWidth="1"/>
    <col min="2" max="2" width="31.7109375" customWidth="1"/>
    <col min="3" max="3" width="32.140625" customWidth="1"/>
    <col min="4" max="4" width="27.85546875" customWidth="1"/>
    <col min="5" max="6" width="20" customWidth="1"/>
    <col min="7" max="7" width="102.5703125" style="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423</v>
      </c>
      <c r="E1" s="1" t="s">
        <v>424</v>
      </c>
      <c r="F1" s="1" t="s">
        <v>21</v>
      </c>
      <c r="G1" s="4" t="s">
        <v>18</v>
      </c>
    </row>
    <row r="2" spans="1:7" x14ac:dyDescent="0.25">
      <c r="A2" t="str">
        <f>IF('Equipment Information'!A2="","", 'Equipment Information'!A2)</f>
        <v>20260648</v>
      </c>
      <c r="B2" t="str">
        <f>IF('Equipment Information'!B2="","", 'Equipment Information'!B2)</f>
        <v>Main Building Disconnect (Sec 1 of 3)</v>
      </c>
      <c r="C2" t="str">
        <f>IF('Equipment Information'!C2="","", 'Equipment Information'!C2)</f>
        <v>Electrical Room #2</v>
      </c>
      <c r="F2" t="s">
        <v>425</v>
      </c>
      <c r="G2" s="5" t="s">
        <v>426</v>
      </c>
    </row>
    <row r="3" spans="1:7" x14ac:dyDescent="0.25">
      <c r="A3" t="str">
        <f>IF('Equipment Information'!A3="","", 'Equipment Information'!A3)</f>
        <v>20260649</v>
      </c>
      <c r="B3" t="str">
        <f>IF('Equipment Information'!B3="","", 'Equipment Information'!B3)</f>
        <v>Main Building Disconnect (Sec 2 of 3)</v>
      </c>
      <c r="C3" t="str">
        <f>IF('Equipment Information'!C3="","", 'Equipment Information'!C3)</f>
        <v>Electrical Room #2</v>
      </c>
      <c r="D3" t="s">
        <v>427</v>
      </c>
      <c r="E3" t="s">
        <v>428</v>
      </c>
      <c r="F3" t="s">
        <v>429</v>
      </c>
      <c r="G3" s="5" t="s">
        <v>430</v>
      </c>
    </row>
    <row r="4" spans="1:7" x14ac:dyDescent="0.25">
      <c r="A4" t="str">
        <f>IF('Equipment Information'!A4="","", 'Equipment Information'!A4)</f>
        <v>20260650</v>
      </c>
      <c r="B4" t="str">
        <f>IF('Equipment Information'!B4="","", 'Equipment Information'!B4)</f>
        <v>Main Building Disconnect (Sec 3 of 3)</v>
      </c>
      <c r="C4" t="str">
        <f>IF('Equipment Information'!C4="","", 'Equipment Information'!C4)</f>
        <v>Electrical Room #2</v>
      </c>
      <c r="F4" t="s">
        <v>425</v>
      </c>
    </row>
    <row r="5" spans="1:7" x14ac:dyDescent="0.25">
      <c r="A5" t="str">
        <f>IF('Equipment Information'!A5="","", 'Equipment Information'!A5)</f>
        <v>20260651</v>
      </c>
      <c r="B5" t="str">
        <f>IF('Equipment Information'!B5="","", 'Equipment Information'!B5)</f>
        <v>Power Cond. #1 Disconnect</v>
      </c>
      <c r="C5" t="str">
        <f>IF('Equipment Information'!C5="","", 'Equipment Information'!C5)</f>
        <v>Electrical Room #2</v>
      </c>
      <c r="F5" t="s">
        <v>425</v>
      </c>
    </row>
    <row r="6" spans="1:7" x14ac:dyDescent="0.25">
      <c r="A6" t="str">
        <f>IF('Equipment Information'!A6="","", 'Equipment Information'!A6)</f>
        <v>20260652</v>
      </c>
      <c r="B6" t="str">
        <f>IF('Equipment Information'!B6="","", 'Equipment Information'!B6)</f>
        <v>Power Cond. #2 Disconnect</v>
      </c>
      <c r="C6" t="str">
        <f>IF('Equipment Information'!C6="","", 'Equipment Information'!C6)</f>
        <v>Electrical Room #2</v>
      </c>
      <c r="F6" t="s">
        <v>425</v>
      </c>
    </row>
    <row r="7" spans="1:7" x14ac:dyDescent="0.25">
      <c r="A7" t="str">
        <f>IF('Equipment Information'!A7="","", 'Equipment Information'!A7)</f>
        <v>20260653</v>
      </c>
      <c r="B7" t="str">
        <f>IF('Equipment Information'!B7="","", 'Equipment Information'!B7)</f>
        <v>LP #1</v>
      </c>
      <c r="C7" t="str">
        <f>IF('Equipment Information'!C7="","", 'Equipment Information'!C7)</f>
        <v>Electrical Room #2</v>
      </c>
      <c r="F7" t="str">
        <f>IF(A7="","","N/A")</f>
        <v>N/A</v>
      </c>
      <c r="G7" s="5" t="s">
        <v>431</v>
      </c>
    </row>
    <row r="8" spans="1:7" x14ac:dyDescent="0.25">
      <c r="A8" t="str">
        <f>IF('Equipment Information'!A8="","", 'Equipment Information'!A8)</f>
        <v>20260654</v>
      </c>
      <c r="B8" t="str">
        <f>IF('Equipment Information'!B8="","", 'Equipment Information'!B8)</f>
        <v>P-1</v>
      </c>
      <c r="C8" t="str">
        <f>IF('Equipment Information'!C8="","", 'Equipment Information'!C8)</f>
        <v>Electrical Room #2</v>
      </c>
      <c r="F8" t="s">
        <v>425</v>
      </c>
    </row>
    <row r="9" spans="1:7" x14ac:dyDescent="0.25">
      <c r="A9" t="str">
        <f>IF('Equipment Information'!A9="","", 'Equipment Information'!A9)</f>
        <v>20260655</v>
      </c>
      <c r="B9" t="str">
        <f>IF('Equipment Information'!B9="","", 'Equipment Information'!B9)</f>
        <v>P-2</v>
      </c>
      <c r="C9" t="str">
        <f>IF('Equipment Information'!C9="","", 'Equipment Information'!C9)</f>
        <v>Electrical Room #2</v>
      </c>
      <c r="F9" t="s">
        <v>425</v>
      </c>
    </row>
    <row r="10" spans="1:7" x14ac:dyDescent="0.25">
      <c r="A10" t="str">
        <f>IF('Equipment Information'!A10="","", 'Equipment Information'!A10)</f>
        <v>20260656</v>
      </c>
      <c r="B10" t="str">
        <f>IF('Equipment Information'!B10="","", 'Equipment Information'!B10)</f>
        <v>DP #4</v>
      </c>
      <c r="C10" t="str">
        <f>IF('Equipment Information'!C10="","", 'Equipment Information'!C10)</f>
        <v>Electrical Room #2</v>
      </c>
      <c r="F10" t="s">
        <v>425</v>
      </c>
    </row>
    <row r="11" spans="1:7" x14ac:dyDescent="0.25">
      <c r="A11" t="str">
        <f>IF('Equipment Information'!A11="","", 'Equipment Information'!A11)</f>
        <v>20260657</v>
      </c>
      <c r="B11" t="str">
        <f>IF('Equipment Information'!B11="","", 'Equipment Information'!B11)</f>
        <v>DP #5</v>
      </c>
      <c r="C11" t="str">
        <f>IF('Equipment Information'!C11="","", 'Equipment Information'!C11)</f>
        <v>Electrical Room #2</v>
      </c>
      <c r="F11" t="s">
        <v>425</v>
      </c>
    </row>
    <row r="12" spans="1:7" x14ac:dyDescent="0.25">
      <c r="A12" t="str">
        <f>IF('Equipment Information'!A12="","", 'Equipment Information'!A12)</f>
        <v>20260658</v>
      </c>
      <c r="B12" t="str">
        <f>IF('Equipment Information'!B12="","", 'Equipment Information'!B12)</f>
        <v>DP #6</v>
      </c>
      <c r="C12" t="str">
        <f>IF('Equipment Information'!C12="","", 'Equipment Information'!C12)</f>
        <v>Electrical Room #2</v>
      </c>
      <c r="F12" t="s">
        <v>425</v>
      </c>
    </row>
    <row r="13" spans="1:7" x14ac:dyDescent="0.25">
      <c r="A13" t="str">
        <f>IF('Equipment Information'!A13="","", 'Equipment Information'!A13)</f>
        <v>20260659</v>
      </c>
      <c r="B13" t="str">
        <f>IF('Equipment Information'!B13="","", 'Equipment Information'!B13)</f>
        <v>PDP</v>
      </c>
      <c r="C13" t="str">
        <f>IF('Equipment Information'!C13="","", 'Equipment Information'!C13)</f>
        <v>Electrical Room #2</v>
      </c>
      <c r="F13" t="s">
        <v>425</v>
      </c>
    </row>
    <row r="14" spans="1:7" x14ac:dyDescent="0.25">
      <c r="A14" t="str">
        <f>IF('Equipment Information'!A14="","", 'Equipment Information'!A14)</f>
        <v>20260660</v>
      </c>
      <c r="B14" t="str">
        <f>IF('Equipment Information'!B14="","", 'Equipment Information'!B14)</f>
        <v>T-2</v>
      </c>
      <c r="C14" t="str">
        <f>IF('Equipment Information'!C14="","", 'Equipment Information'!C14)</f>
        <v>Electrical Room #2</v>
      </c>
      <c r="F14" t="s">
        <v>429</v>
      </c>
      <c r="G14" s="5" t="s">
        <v>432</v>
      </c>
    </row>
    <row r="15" spans="1:7" x14ac:dyDescent="0.25">
      <c r="A15" t="str">
        <f>IF('Equipment Information'!A15="","", 'Equipment Information'!A15)</f>
        <v>20260661</v>
      </c>
      <c r="B15" t="str">
        <f>IF('Equipment Information'!B15="","", 'Equipment Information'!B15)</f>
        <v>OH XFMR</v>
      </c>
      <c r="C15" t="str">
        <f>IF('Equipment Information'!C15="","", 'Equipment Information'!C15)</f>
        <v>Electrical Room #2</v>
      </c>
      <c r="F15" t="str">
        <f>IF(A15="","","N/A")</f>
        <v>N/A</v>
      </c>
    </row>
    <row r="16" spans="1:7" x14ac:dyDescent="0.25">
      <c r="A16" t="str">
        <f>IF('Equipment Information'!A16="","", 'Equipment Information'!A16)</f>
        <v>20260662</v>
      </c>
      <c r="B16" t="str">
        <f>IF('Equipment Information'!B16="","", 'Equipment Information'!B16)</f>
        <v>DP7 Freezer</v>
      </c>
      <c r="C16" t="str">
        <f>IF('Equipment Information'!C16="","", 'Equipment Information'!C16)</f>
        <v>Electrical Room #3</v>
      </c>
      <c r="F16" t="s">
        <v>425</v>
      </c>
    </row>
    <row r="17" spans="1:6" x14ac:dyDescent="0.25">
      <c r="A17" t="str">
        <f>IF('Equipment Information'!A17="","", 'Equipment Information'!A17)</f>
        <v>20260663</v>
      </c>
      <c r="B17" t="str">
        <f>IF('Equipment Information'!B17="","", 'Equipment Information'!B17)</f>
        <v>(N/A 75 KVA XFMR)</v>
      </c>
      <c r="C17" t="str">
        <f>IF('Equipment Information'!C17="","", 'Equipment Information'!C17)</f>
        <v>Electrical Room #3</v>
      </c>
      <c r="F17" t="s">
        <v>425</v>
      </c>
    </row>
    <row r="18" spans="1:6" x14ac:dyDescent="0.25">
      <c r="A18" t="str">
        <f>IF('Equipment Information'!A18="","", 'Equipment Information'!A18)</f>
        <v>20260664</v>
      </c>
      <c r="B18" t="str">
        <f>IF('Equipment Information'!B18="","", 'Equipment Information'!B18)</f>
        <v>(N/A PNL)</v>
      </c>
      <c r="C18" t="str">
        <f>IF('Equipment Information'!C18="","", 'Equipment Information'!C18)</f>
        <v>Electrical Room #3</v>
      </c>
      <c r="F18" t="s">
        <v>425</v>
      </c>
    </row>
    <row r="19" spans="1:6" x14ac:dyDescent="0.25">
      <c r="A19" t="str">
        <f>IF('Equipment Information'!A19="","", 'Equipment Information'!A19)</f>
        <v>20260665</v>
      </c>
      <c r="B19" t="str">
        <f>IF('Equipment Information'!B19="","", 'Equipment Information'!B19)</f>
        <v>USES</v>
      </c>
      <c r="C19" t="str">
        <f>IF('Equipment Information'!C19="","", 'Equipment Information'!C19)</f>
        <v>Electrical Room #3</v>
      </c>
      <c r="F19" t="s">
        <v>425</v>
      </c>
    </row>
    <row r="20" spans="1:6" x14ac:dyDescent="0.25">
      <c r="A20" t="str">
        <f>IF('Equipment Information'!A20="","", 'Equipment Information'!A20)</f>
        <v>20260666</v>
      </c>
      <c r="B20" t="str">
        <f>IF('Equipment Information'!B20="","", 'Equipment Information'!B20)</f>
        <v>Fan (P3-4/6/8)</v>
      </c>
      <c r="C20" t="str">
        <f>IF('Equipment Information'!C20="","", 'Equipment Information'!C20)</f>
        <v>Electrical Room #3</v>
      </c>
      <c r="F20" t="s">
        <v>425</v>
      </c>
    </row>
    <row r="21" spans="1:6" x14ac:dyDescent="0.25">
      <c r="A21" t="str">
        <f>IF('Equipment Information'!A21="","", 'Equipment Information'!A21)</f>
        <v>20260667</v>
      </c>
      <c r="B21" t="str">
        <f>IF('Equipment Information'!B21="","", 'Equipment Information'!B21)</f>
        <v>Fan (P3-4/6/8)</v>
      </c>
      <c r="C21" t="str">
        <f>IF('Equipment Information'!C21="","", 'Equipment Information'!C21)</f>
        <v>Electrical Room #3</v>
      </c>
      <c r="F21" t="s">
        <v>425</v>
      </c>
    </row>
    <row r="22" spans="1:6" x14ac:dyDescent="0.25">
      <c r="A22" t="str">
        <f>IF('Equipment Information'!A22="","", 'Equipment Information'!A22)</f>
        <v>20260668</v>
      </c>
      <c r="B22" t="str">
        <f>IF('Equipment Information'!B22="","", 'Equipment Information'!B22)</f>
        <v>P3</v>
      </c>
      <c r="C22" t="str">
        <f>IF('Equipment Information'!C22="","", 'Equipment Information'!C22)</f>
        <v>Electrical Room #3</v>
      </c>
      <c r="F22" t="s">
        <v>425</v>
      </c>
    </row>
    <row r="23" spans="1:6" x14ac:dyDescent="0.25">
      <c r="A23" t="str">
        <f>IF('Equipment Information'!A23="","", 'Equipment Information'!A23)</f>
        <v>20260669</v>
      </c>
      <c r="B23" t="str">
        <f>IF('Equipment Information'!B23="","", 'Equipment Information'!B23)</f>
        <v>DP7</v>
      </c>
      <c r="C23" t="str">
        <f>IF('Equipment Information'!C23="","", 'Equipment Information'!C23)</f>
        <v>Electrical Room #3</v>
      </c>
      <c r="F23" t="s">
        <v>425</v>
      </c>
    </row>
    <row r="24" spans="1:6" x14ac:dyDescent="0.25">
      <c r="A24" t="str">
        <f>IF('Equipment Information'!A24="","", 'Equipment Information'!A24)</f>
        <v>20260670</v>
      </c>
      <c r="B24" t="str">
        <f>IF('Equipment Information'!B24="","", 'Equipment Information'!B24)</f>
        <v>CP-DP7 [Sec. 1]</v>
      </c>
      <c r="C24" t="str">
        <f>IF('Equipment Information'!C24="","", 'Equipment Information'!C24)</f>
        <v>Electrical Room #3</v>
      </c>
      <c r="F24" t="s">
        <v>425</v>
      </c>
    </row>
    <row r="25" spans="1:6" x14ac:dyDescent="0.25">
      <c r="A25" t="str">
        <f>IF('Equipment Information'!A25="","", 'Equipment Information'!A25)</f>
        <v>20260671</v>
      </c>
      <c r="B25" t="str">
        <f>IF('Equipment Information'!B25="","", 'Equipment Information'!B25)</f>
        <v>CP-DP7 [Sec. 2]</v>
      </c>
      <c r="C25" t="str">
        <f>IF('Equipment Information'!C25="","", 'Equipment Information'!C25)</f>
        <v>Electrical Room #3</v>
      </c>
      <c r="F25" t="s">
        <v>425</v>
      </c>
    </row>
    <row r="26" spans="1:6" x14ac:dyDescent="0.25">
      <c r="A26" t="str">
        <f>IF('Equipment Information'!A26="","", 'Equipment Information'!A26)</f>
        <v>20260672</v>
      </c>
      <c r="B26" t="str">
        <f>IF('Equipment Information'!B26="","", 'Equipment Information'!B26)</f>
        <v>CP-DP7 [Sec. 3]</v>
      </c>
      <c r="C26" t="str">
        <f>IF('Equipment Information'!C26="","", 'Equipment Information'!C26)</f>
        <v>Electrical Room #3</v>
      </c>
      <c r="F26" t="s">
        <v>425</v>
      </c>
    </row>
    <row r="27" spans="1:6" x14ac:dyDescent="0.25">
      <c r="A27" t="str">
        <f>IF('Equipment Information'!A27="","", 'Equipment Information'!A27)</f>
        <v>20260673</v>
      </c>
      <c r="B27" t="str">
        <f>IF('Equipment Information'!B27="","", 'Equipment Information'!B27)</f>
        <v>OH XFMR</v>
      </c>
      <c r="C27" t="str">
        <f>IF('Equipment Information'!C27="","", 'Equipment Information'!C27)</f>
        <v>Electrical Room #3</v>
      </c>
      <c r="F27" t="str">
        <f>IF(A27="","","N/A")</f>
        <v>N/A</v>
      </c>
    </row>
    <row r="28" spans="1:6" x14ac:dyDescent="0.25">
      <c r="A28" t="str">
        <f>IF('Equipment Information'!A28="","", 'Equipment Information'!A28)</f>
        <v>20260674</v>
      </c>
      <c r="B28" t="str">
        <f>IF('Equipment Information'!B28="","", 'Equipment Information'!B28)</f>
        <v>MDP-2 [Sec. 1]</v>
      </c>
      <c r="C28" t="str">
        <f>IF('Equipment Information'!C28="","", 'Equipment Information'!C28)</f>
        <v>Electrical Room #1</v>
      </c>
      <c r="F28" t="s">
        <v>425</v>
      </c>
    </row>
    <row r="29" spans="1:6" x14ac:dyDescent="0.25">
      <c r="A29" t="str">
        <f>IF('Equipment Information'!A29="","", 'Equipment Information'!A29)</f>
        <v>20260675</v>
      </c>
      <c r="B29" t="str">
        <f>IF('Equipment Information'!B29="","", 'Equipment Information'!B29)</f>
        <v>MDP-2 [Sec. 2]</v>
      </c>
      <c r="C29" t="str">
        <f>IF('Equipment Information'!C29="","", 'Equipment Information'!C29)</f>
        <v>Electrical Room #1</v>
      </c>
      <c r="F29" t="s">
        <v>425</v>
      </c>
    </row>
    <row r="30" spans="1:6" x14ac:dyDescent="0.25">
      <c r="A30" t="str">
        <f>IF('Equipment Information'!A30="","", 'Equipment Information'!A30)</f>
        <v>20260676</v>
      </c>
      <c r="B30" t="str">
        <f>IF('Equipment Information'!B30="","", 'Equipment Information'!B30)</f>
        <v>Vacuum Exhaust</v>
      </c>
      <c r="C30" t="str">
        <f>IF('Equipment Information'!C30="","", 'Equipment Information'!C30)</f>
        <v>Electrical Room #1</v>
      </c>
      <c r="F30" t="s">
        <v>425</v>
      </c>
    </row>
    <row r="31" spans="1:6" x14ac:dyDescent="0.25">
      <c r="A31" t="str">
        <f>IF('Equipment Information'!A31="","", 'Equipment Information'!A31)</f>
        <v>20260677</v>
      </c>
      <c r="B31" t="str">
        <f>IF('Equipment Information'!B31="","", 'Equipment Information'!B31)</f>
        <v>Air Knife</v>
      </c>
      <c r="C31" t="str">
        <f>IF('Equipment Information'!C31="","", 'Equipment Information'!C31)</f>
        <v>Electrical Room #1</v>
      </c>
      <c r="F31" t="s">
        <v>425</v>
      </c>
    </row>
    <row r="32" spans="1:6" x14ac:dyDescent="0.25">
      <c r="A32" t="str">
        <f>IF('Equipment Information'!A32="","", 'Equipment Information'!A32)</f>
        <v>20260678</v>
      </c>
      <c r="B32" t="str">
        <f>IF('Equipment Information'!B32="","", 'Equipment Information'!B32)</f>
        <v>CP-Dryer #2</v>
      </c>
      <c r="C32" t="str">
        <f>IF('Equipment Information'!C32="","", 'Equipment Information'!C32)</f>
        <v>Electrical Room #4</v>
      </c>
      <c r="F32" t="s">
        <v>425</v>
      </c>
    </row>
    <row r="33" spans="1:7" x14ac:dyDescent="0.25">
      <c r="A33" t="str">
        <f>IF('Equipment Information'!A33="","", 'Equipment Information'!A33)</f>
        <v>20260679</v>
      </c>
      <c r="B33" t="str">
        <f>IF('Equipment Information'!B33="","", 'Equipment Information'!B33)</f>
        <v>CP-Silo Alley</v>
      </c>
      <c r="C33" t="str">
        <f>IF('Equipment Information'!C33="","", 'Equipment Information'!C33)</f>
        <v>Electrical Room #4</v>
      </c>
      <c r="F33" t="s">
        <v>425</v>
      </c>
    </row>
    <row r="34" spans="1:7" x14ac:dyDescent="0.25">
      <c r="A34" t="str">
        <f>IF('Equipment Information'!A34="","", 'Equipment Information'!A34)</f>
        <v>20260680</v>
      </c>
      <c r="B34" t="str">
        <f>IF('Equipment Information'!B34="","", 'Equipment Information'!B34)</f>
        <v>Machine Control</v>
      </c>
      <c r="C34" t="str">
        <f>IF('Equipment Information'!C34="","", 'Equipment Information'!C34)</f>
        <v>Electrical Room #4</v>
      </c>
      <c r="F34" t="s">
        <v>425</v>
      </c>
    </row>
    <row r="35" spans="1:7" x14ac:dyDescent="0.25">
      <c r="A35" t="str">
        <f>IF('Equipment Information'!A35="","", 'Equipment Information'!A35)</f>
        <v>20260681</v>
      </c>
      <c r="B35" t="str">
        <f>IF('Equipment Information'!B35="","", 'Equipment Information'!B35)</f>
        <v>CP-Dryer #1 [Sec. 1]</v>
      </c>
      <c r="C35" t="str">
        <f>IF('Equipment Information'!C35="","", 'Equipment Information'!C35)</f>
        <v>Electrical Room #4</v>
      </c>
      <c r="F35" t="str">
        <f>IF(A35="","","N/A")</f>
        <v>N/A</v>
      </c>
    </row>
    <row r="36" spans="1:7" x14ac:dyDescent="0.25">
      <c r="A36" t="str">
        <f>IF('Equipment Information'!A36="","", 'Equipment Information'!A36)</f>
        <v>20260682</v>
      </c>
      <c r="B36" t="str">
        <f>IF('Equipment Information'!B36="","", 'Equipment Information'!B36)</f>
        <v>CP-Dryer #1 [Sec. 2]</v>
      </c>
      <c r="C36" t="str">
        <f>IF('Equipment Information'!C36="","", 'Equipment Information'!C36)</f>
        <v>Electrical Room #4</v>
      </c>
      <c r="D36" t="s">
        <v>427</v>
      </c>
      <c r="E36" t="s">
        <v>433</v>
      </c>
      <c r="F36" t="s">
        <v>429</v>
      </c>
      <c r="G36" s="5" t="s">
        <v>434</v>
      </c>
    </row>
    <row r="37" spans="1:7" x14ac:dyDescent="0.25">
      <c r="A37" t="str">
        <f>IF('Equipment Information'!A37="","", 'Equipment Information'!A37)</f>
        <v>20260683</v>
      </c>
      <c r="B37" t="str">
        <f>IF('Equipment Information'!B37="","", 'Equipment Information'!B37)</f>
        <v>CP-Packout [Sec. 1]</v>
      </c>
      <c r="C37" t="str">
        <f>IF('Equipment Information'!C37="","", 'Equipment Information'!C37)</f>
        <v>Electrical Room #4</v>
      </c>
      <c r="F37" t="s">
        <v>425</v>
      </c>
    </row>
    <row r="38" spans="1:7" x14ac:dyDescent="0.25">
      <c r="A38" t="str">
        <f>IF('Equipment Information'!A38="","", 'Equipment Information'!A38)</f>
        <v>20260684</v>
      </c>
      <c r="B38" t="str">
        <f>IF('Equipment Information'!B38="","", 'Equipment Information'!B38)</f>
        <v>CP-Packout [Sec. 2]</v>
      </c>
      <c r="C38" t="str">
        <f>IF('Equipment Information'!C38="","", 'Equipment Information'!C38)</f>
        <v>Electrical Room #4</v>
      </c>
      <c r="F38" t="s">
        <v>425</v>
      </c>
    </row>
    <row r="39" spans="1:7" x14ac:dyDescent="0.25">
      <c r="A39" t="str">
        <f>IF('Equipment Information'!A39="","", 'Equipment Information'!A39)</f>
        <v>20260685</v>
      </c>
      <c r="B39" t="str">
        <f>IF('Equipment Information'!B39="","", 'Equipment Information'!B39)</f>
        <v>CP-Packout [Sec. 3]</v>
      </c>
      <c r="C39" t="str">
        <f>IF('Equipment Information'!C39="","", 'Equipment Information'!C39)</f>
        <v>Electrical Room #4</v>
      </c>
      <c r="F39" t="s">
        <v>425</v>
      </c>
    </row>
    <row r="40" spans="1:7" x14ac:dyDescent="0.25">
      <c r="A40" t="str">
        <f>IF('Equipment Information'!A40="","", 'Equipment Information'!A40)</f>
        <v>20260686</v>
      </c>
      <c r="B40" t="str">
        <f>IF('Equipment Information'!B40="","", 'Equipment Information'!B40)</f>
        <v>CP-5110</v>
      </c>
      <c r="C40" t="str">
        <f>IF('Equipment Information'!C40="","", 'Equipment Information'!C40)</f>
        <v>Electrical Room #4</v>
      </c>
      <c r="F40" t="s">
        <v>425</v>
      </c>
    </row>
    <row r="41" spans="1:7" x14ac:dyDescent="0.25">
      <c r="A41" t="str">
        <f>IF('Equipment Information'!A41="","", 'Equipment Information'!A41)</f>
        <v>20260687</v>
      </c>
      <c r="B41" t="str">
        <f>IF('Equipment Information'!B41="","", 'Equipment Information'!B41)</f>
        <v>CP-5120</v>
      </c>
      <c r="C41" t="str">
        <f>IF('Equipment Information'!C41="","", 'Equipment Information'!C41)</f>
        <v>Electrical Room #4</v>
      </c>
      <c r="F41" t="s">
        <v>425</v>
      </c>
    </row>
    <row r="42" spans="1:7" x14ac:dyDescent="0.25">
      <c r="A42" t="str">
        <f>IF('Equipment Information'!A42="","", 'Equipment Information'!A42)</f>
        <v>20260688</v>
      </c>
      <c r="B42" t="str">
        <f>IF('Equipment Information'!B42="","", 'Equipment Information'!B42)</f>
        <v>RF-7101</v>
      </c>
      <c r="C42" t="str">
        <f>IF('Equipment Information'!C42="","", 'Equipment Information'!C42)</f>
        <v>Electrical Room #4</v>
      </c>
      <c r="F42" t="s">
        <v>425</v>
      </c>
    </row>
    <row r="43" spans="1:7" x14ac:dyDescent="0.25">
      <c r="A43" t="str">
        <f>IF('Equipment Information'!A43="","", 'Equipment Information'!A43)</f>
        <v>20260689</v>
      </c>
      <c r="B43" t="str">
        <f>IF('Equipment Information'!B43="","", 'Equipment Information'!B43)</f>
        <v>RF-7102</v>
      </c>
      <c r="C43" t="str">
        <f>IF('Equipment Information'!C43="","", 'Equipment Information'!C43)</f>
        <v>Electrical Room #4</v>
      </c>
      <c r="F43" t="s">
        <v>425</v>
      </c>
    </row>
    <row r="44" spans="1:7" x14ac:dyDescent="0.25">
      <c r="A44" t="str">
        <f>IF('Equipment Information'!A44="","", 'Equipment Information'!A44)</f>
        <v>20260690</v>
      </c>
      <c r="B44" t="str">
        <f>IF('Equipment Information'!B44="","", 'Equipment Information'!B44)</f>
        <v>RF-7103</v>
      </c>
      <c r="C44" t="str">
        <f>IF('Equipment Information'!C44="","", 'Equipment Information'!C44)</f>
        <v>Electrical Room #4</v>
      </c>
      <c r="F44" t="s">
        <v>425</v>
      </c>
    </row>
    <row r="45" spans="1:7" x14ac:dyDescent="0.25">
      <c r="A45" t="str">
        <f>IF('Equipment Information'!A45="","", 'Equipment Information'!A45)</f>
        <v>20260691</v>
      </c>
      <c r="B45" t="str">
        <f>IF('Equipment Information'!B45="","", 'Equipment Information'!B45)</f>
        <v>RF-7104</v>
      </c>
      <c r="C45" t="str">
        <f>IF('Equipment Information'!C45="","", 'Equipment Information'!C45)</f>
        <v>Electrical Room #4</v>
      </c>
      <c r="F45" t="s">
        <v>425</v>
      </c>
    </row>
    <row r="46" spans="1:7" x14ac:dyDescent="0.25">
      <c r="A46" t="str">
        <f>IF('Equipment Information'!A46="","", 'Equipment Information'!A46)</f>
        <v>20260692</v>
      </c>
      <c r="B46" t="str">
        <f>IF('Equipment Information'!B46="","", 'Equipment Information'!B46)</f>
        <v>DP-10</v>
      </c>
      <c r="C46" t="str">
        <f>IF('Equipment Information'!C46="","", 'Equipment Information'!C46)</f>
        <v>Electrical Room #4</v>
      </c>
      <c r="F46" t="s">
        <v>425</v>
      </c>
    </row>
    <row r="47" spans="1:7" x14ac:dyDescent="0.25">
      <c r="A47" t="str">
        <f>IF('Equipment Information'!A47="","", 'Equipment Information'!A47)</f>
        <v>20260693</v>
      </c>
      <c r="B47" t="str">
        <f>IF('Equipment Information'!B47="","", 'Equipment Information'!B47)</f>
        <v>Cooling Towers</v>
      </c>
      <c r="C47" t="str">
        <f>IF('Equipment Information'!C47="","", 'Equipment Information'!C47)</f>
        <v>Electrical Room #4</v>
      </c>
      <c r="F47" t="s">
        <v>425</v>
      </c>
    </row>
    <row r="48" spans="1:7" x14ac:dyDescent="0.25">
      <c r="A48" t="str">
        <f>IF('Equipment Information'!A48="","", 'Equipment Information'!A48)</f>
        <v>20260694</v>
      </c>
      <c r="B48" t="str">
        <f>IF('Equipment Information'!B48="","", 'Equipment Information'!B48)</f>
        <v>PP FF-2</v>
      </c>
      <c r="C48" t="str">
        <f>IF('Equipment Information'!C48="","", 'Equipment Information'!C48)</f>
        <v>Electrical Room #4</v>
      </c>
      <c r="F48" t="s">
        <v>425</v>
      </c>
    </row>
    <row r="49" spans="1:6" x14ac:dyDescent="0.25">
      <c r="A49" t="str">
        <f>IF('Equipment Information'!A49="","", 'Equipment Information'!A49)</f>
        <v>20260695</v>
      </c>
      <c r="B49" t="str">
        <f>IF('Equipment Information'!B49="","", 'Equipment Information'!B49)</f>
        <v>LP FF-1</v>
      </c>
      <c r="C49" t="str">
        <f>IF('Equipment Information'!C49="","", 'Equipment Information'!C49)</f>
        <v>Electrical Room #4</v>
      </c>
      <c r="F49" t="s">
        <v>425</v>
      </c>
    </row>
    <row r="50" spans="1:6" x14ac:dyDescent="0.25">
      <c r="A50" t="str">
        <f>IF('Equipment Information'!A50="","", 'Equipment Information'!A50)</f>
        <v>20260696</v>
      </c>
      <c r="B50" t="str">
        <f>IF('Equipment Information'!B50="","", 'Equipment Information'!B50)</f>
        <v>PP FF-1</v>
      </c>
      <c r="C50" t="str">
        <f>IF('Equipment Information'!C50="","", 'Equipment Information'!C50)</f>
        <v>Electrical Room #4</v>
      </c>
      <c r="F50" t="s">
        <v>425</v>
      </c>
    </row>
    <row r="51" spans="1:6" x14ac:dyDescent="0.25">
      <c r="A51" t="str">
        <f>IF('Equipment Information'!A51="","", 'Equipment Information'!A51)</f>
        <v>20260697</v>
      </c>
      <c r="B51" t="str">
        <f>IF('Equipment Information'!B51="","", 'Equipment Information'!B51)</f>
        <v>PP FF-1A</v>
      </c>
      <c r="C51" t="str">
        <f>IF('Equipment Information'!C51="","", 'Equipment Information'!C51)</f>
        <v>Electrical Room #4</v>
      </c>
      <c r="F51" t="s">
        <v>425</v>
      </c>
    </row>
    <row r="52" spans="1:6" x14ac:dyDescent="0.25">
      <c r="A52" t="str">
        <f>IF('Equipment Information'!A52="","", 'Equipment Information'!A52)</f>
        <v>20260698</v>
      </c>
      <c r="B52" t="str">
        <f>IF('Equipment Information'!B52="","", 'Equipment Information'!B52)</f>
        <v>CP-5110 &amp; CP-5120</v>
      </c>
      <c r="C52" t="str">
        <f>IF('Equipment Information'!C52="","", 'Equipment Information'!C52)</f>
        <v>Electrical Room #4</v>
      </c>
      <c r="F52" t="s">
        <v>425</v>
      </c>
    </row>
    <row r="53" spans="1:6" x14ac:dyDescent="0.25">
      <c r="A53" t="str">
        <f>IF('Equipment Information'!A53="","", 'Equipment Information'!A53)</f>
        <v>20260699</v>
      </c>
      <c r="B53" t="str">
        <f>IF('Equipment Information'!B53="","", 'Equipment Information'!B53)</f>
        <v/>
      </c>
      <c r="C53" t="str">
        <f>IF('Equipment Information'!C53="","", 'Equipment Information'!C53)</f>
        <v>Electrical Room #4 Mezzanine</v>
      </c>
      <c r="F53" t="s">
        <v>425</v>
      </c>
    </row>
    <row r="54" spans="1:6" x14ac:dyDescent="0.25">
      <c r="A54" t="str">
        <f>IF('Equipment Information'!A54="","", 'Equipment Information'!A54)</f>
        <v>20260700</v>
      </c>
      <c r="B54" t="str">
        <f>IF('Equipment Information'!B54="","", 'Equipment Information'!B54)</f>
        <v/>
      </c>
      <c r="C54" t="str">
        <f>IF('Equipment Information'!C54="","", 'Equipment Information'!C54)</f>
        <v>Electrical Room #4 Mezzanine</v>
      </c>
      <c r="F54" t="s">
        <v>425</v>
      </c>
    </row>
    <row r="55" spans="1:6" x14ac:dyDescent="0.25">
      <c r="A55" t="str">
        <f>IF('Equipment Information'!A55="","", 'Equipment Information'!A55)</f>
        <v>20260701</v>
      </c>
      <c r="B55" t="str">
        <f>IF('Equipment Information'!B55="","", 'Equipment Information'!B55)</f>
        <v/>
      </c>
      <c r="C55" t="str">
        <f>IF('Equipment Information'!C55="","", 'Equipment Information'!C55)</f>
        <v>Electrical Room #4 Mezzanine</v>
      </c>
      <c r="F55" t="s">
        <v>425</v>
      </c>
    </row>
    <row r="56" spans="1:6" x14ac:dyDescent="0.25">
      <c r="A56" t="str">
        <f>IF('Equipment Information'!A56="","", 'Equipment Information'!A56)</f>
        <v>20260702</v>
      </c>
      <c r="B56" t="str">
        <f>IF('Equipment Information'!B56="","", 'Equipment Information'!B56)</f>
        <v/>
      </c>
      <c r="C56" t="str">
        <f>IF('Equipment Information'!C56="","", 'Equipment Information'!C56)</f>
        <v>Electrical Room #4 Mezzanine</v>
      </c>
      <c r="F56" t="s">
        <v>425</v>
      </c>
    </row>
    <row r="57" spans="1:6" x14ac:dyDescent="0.25">
      <c r="A57" t="str">
        <f>IF('Equipment Information'!A57="","", 'Equipment Information'!A57)</f>
        <v>20260703</v>
      </c>
      <c r="B57" t="str">
        <f>IF('Equipment Information'!B57="","", 'Equipment Information'!B57)</f>
        <v/>
      </c>
      <c r="C57" t="str">
        <f>IF('Equipment Information'!C57="","", 'Equipment Information'!C57)</f>
        <v>Electrical Room #4 Mezzanine</v>
      </c>
      <c r="F57" t="s">
        <v>425</v>
      </c>
    </row>
    <row r="58" spans="1:6" x14ac:dyDescent="0.25">
      <c r="A58" t="str">
        <f>IF('Equipment Information'!A58="","", 'Equipment Information'!A58)</f>
        <v>20260704</v>
      </c>
      <c r="B58" t="str">
        <f>IF('Equipment Information'!B58="","", 'Equipment Information'!B58)</f>
        <v/>
      </c>
      <c r="C58" t="str">
        <f>IF('Equipment Information'!C58="","", 'Equipment Information'!C58)</f>
        <v>Electrical Room #4 Mezzanine</v>
      </c>
      <c r="F58" t="s">
        <v>425</v>
      </c>
    </row>
    <row r="59" spans="1:6" x14ac:dyDescent="0.25">
      <c r="A59" t="str">
        <f>IF('Equipment Information'!A59="","", 'Equipment Information'!A59)</f>
        <v>20260705</v>
      </c>
      <c r="B59" t="str">
        <f>IF('Equipment Information'!B59="","", 'Equipment Information'!B59)</f>
        <v>15 kVa Transformer</v>
      </c>
      <c r="C59" t="str">
        <f>IF('Equipment Information'!C59="","", 'Equipment Information'!C59)</f>
        <v>Packaging</v>
      </c>
      <c r="F59" t="s">
        <v>425</v>
      </c>
    </row>
    <row r="60" spans="1:6" x14ac:dyDescent="0.25">
      <c r="A60" t="str">
        <f>IF('Equipment Information'!A60="","", 'Equipment Information'!A60)</f>
        <v>20260706</v>
      </c>
      <c r="B60" t="str">
        <f>IF('Equipment Information'!B60="","", 'Equipment Information'!B60)</f>
        <v>Color Sorter Transformer</v>
      </c>
      <c r="C60" t="str">
        <f>IF('Equipment Information'!C60="","", 'Equipment Information'!C60)</f>
        <v>Packaging</v>
      </c>
      <c r="F60" t="s">
        <v>425</v>
      </c>
    </row>
    <row r="61" spans="1:6" x14ac:dyDescent="0.25">
      <c r="A61" t="str">
        <f>IF('Equipment Information'!A61="","", 'Equipment Information'!A61)</f>
        <v>20260707</v>
      </c>
      <c r="B61" t="str">
        <f>IF('Equipment Information'!B61="","", 'Equipment Information'!B61)</f>
        <v>LP3 Sub-Panel</v>
      </c>
      <c r="C61" t="str">
        <f>IF('Equipment Information'!C61="","", 'Equipment Information'!C61)</f>
        <v>Packaging</v>
      </c>
      <c r="F61" t="s">
        <v>425</v>
      </c>
    </row>
    <row r="62" spans="1:6" x14ac:dyDescent="0.25">
      <c r="A62" t="str">
        <f>IF('Equipment Information'!A62="","", 'Equipment Information'!A62)</f>
        <v>20260708</v>
      </c>
      <c r="B62" t="str">
        <f>IF('Equipment Information'!B62="","", 'Equipment Information'!B62)</f>
        <v>LP3</v>
      </c>
      <c r="C62" t="str">
        <f>IF('Equipment Information'!C62="","", 'Equipment Information'!C62)</f>
        <v>Packaging</v>
      </c>
      <c r="F62" t="s">
        <v>425</v>
      </c>
    </row>
    <row r="63" spans="1:6" x14ac:dyDescent="0.25">
      <c r="A63" t="str">
        <f>IF('Equipment Information'!A63="","", 'Equipment Information'!A63)</f>
        <v>20260709</v>
      </c>
      <c r="B63" t="str">
        <f>IF('Equipment Information'!B63="","", 'Equipment Information'!B63)</f>
        <v>Color Sorter Supply</v>
      </c>
      <c r="C63" t="str">
        <f>IF('Equipment Information'!C63="","", 'Equipment Information'!C63)</f>
        <v>Packaging</v>
      </c>
      <c r="F63" t="s">
        <v>425</v>
      </c>
    </row>
    <row r="64" spans="1:6" x14ac:dyDescent="0.25">
      <c r="A64" t="str">
        <f>IF('Equipment Information'!A64="","", 'Equipment Information'!A64)</f>
        <v>20260710</v>
      </c>
      <c r="B64" t="str">
        <f>IF('Equipment Information'!B64="","", 'Equipment Information'!B64)</f>
        <v>HP3</v>
      </c>
      <c r="C64" t="str">
        <f>IF('Equipment Information'!C64="","", 'Equipment Information'!C64)</f>
        <v>Packaging</v>
      </c>
      <c r="F64" t="s">
        <v>425</v>
      </c>
    </row>
    <row r="65" spans="1:6" x14ac:dyDescent="0.25">
      <c r="A65" t="str">
        <f>IF('Equipment Information'!A65="","", 'Equipment Information'!A65)</f>
        <v>20260711</v>
      </c>
      <c r="B65" t="str">
        <f>IF('Equipment Information'!B65="","", 'Equipment Information'!B65)</f>
        <v>HP3-1</v>
      </c>
      <c r="C65" t="str">
        <f>IF('Equipment Information'!C65="","", 'Equipment Information'!C65)</f>
        <v>Packaging</v>
      </c>
      <c r="F65" t="s">
        <v>425</v>
      </c>
    </row>
    <row r="66" spans="1:6" x14ac:dyDescent="0.25">
      <c r="A66" t="str">
        <f>IF('Equipment Information'!A66="","", 'Equipment Information'!A66)</f>
        <v>20260712</v>
      </c>
      <c r="B66" t="str">
        <f>IF('Equipment Information'!B66="","", 'Equipment Information'!B66)</f>
        <v>SW 2</v>
      </c>
      <c r="C66" t="str">
        <f>IF('Equipment Information'!C66="","", 'Equipment Information'!C66)</f>
        <v>Packaging</v>
      </c>
      <c r="F66" t="s">
        <v>425</v>
      </c>
    </row>
    <row r="67" spans="1:6" x14ac:dyDescent="0.25">
      <c r="A67" t="str">
        <f>IF('Equipment Information'!A67="","", 'Equipment Information'!A67)</f>
        <v>20260713</v>
      </c>
      <c r="B67" t="str">
        <f>IF('Equipment Information'!B67="","", 'Equipment Information'!B67)</f>
        <v/>
      </c>
      <c r="C67" t="str">
        <f>IF('Equipment Information'!C67="","", 'Equipment Information'!C67)</f>
        <v>Packaging</v>
      </c>
      <c r="F67" t="s">
        <v>425</v>
      </c>
    </row>
    <row r="68" spans="1:6" x14ac:dyDescent="0.25">
      <c r="A68" t="str">
        <f>IF('Equipment Information'!A68="","", 'Equipment Information'!A68)</f>
        <v>20260714</v>
      </c>
      <c r="B68" t="str">
        <f>IF('Equipment Information'!B68="","", 'Equipment Information'!B68)</f>
        <v>LP-1</v>
      </c>
      <c r="C68" t="str">
        <f>IF('Equipment Information'!C68="","", 'Equipment Information'!C68)</f>
        <v>Receiving Station</v>
      </c>
      <c r="F68" t="s">
        <v>425</v>
      </c>
    </row>
    <row r="69" spans="1:6" x14ac:dyDescent="0.25">
      <c r="A69" t="str">
        <f>IF('Equipment Information'!A69="","", 'Equipment Information'!A69)</f>
        <v>20260715</v>
      </c>
      <c r="B69" t="str">
        <f>IF('Equipment Information'!B69="","", 'Equipment Information'!B69)</f>
        <v>Photo-Eye Ctl'd Contactor</v>
      </c>
      <c r="C69" t="str">
        <f>IF('Equipment Information'!C69="","", 'Equipment Information'!C69)</f>
        <v>Receiving Station</v>
      </c>
      <c r="F69" t="s">
        <v>425</v>
      </c>
    </row>
    <row r="70" spans="1:6" x14ac:dyDescent="0.25">
      <c r="A70" t="str">
        <f>IF('Equipment Information'!A70="","", 'Equipment Information'!A70)</f>
        <v>20260716</v>
      </c>
      <c r="B70" t="str">
        <f>IF('Equipment Information'!B70="","", 'Equipment Information'!B70)</f>
        <v>LP1A</v>
      </c>
      <c r="C70" t="str">
        <f>IF('Equipment Information'!C70="","", 'Equipment Information'!C70)</f>
        <v>Receiving Station</v>
      </c>
      <c r="F70" t="s">
        <v>425</v>
      </c>
    </row>
    <row r="71" spans="1:6" x14ac:dyDescent="0.25">
      <c r="A71" t="str">
        <f>IF('Equipment Information'!A71="","", 'Equipment Information'!A71)</f>
        <v>20260717</v>
      </c>
      <c r="B71" t="str">
        <f>IF('Equipment Information'!B71="","", 'Equipment Information'!B71)</f>
        <v>Pool Pump #1 Main Disconnect</v>
      </c>
      <c r="C71" t="str">
        <f>IF('Equipment Information'!C71="","", 'Equipment Information'!C71)</f>
        <v>Receiving Station</v>
      </c>
      <c r="F71" t="s">
        <v>425</v>
      </c>
    </row>
    <row r="72" spans="1:6" x14ac:dyDescent="0.25">
      <c r="A72" t="str">
        <f>IF('Equipment Information'!A72="","", 'Equipment Information'!A72)</f>
        <v>20260718</v>
      </c>
      <c r="B72" t="str">
        <f>IF('Equipment Information'!B72="","", 'Equipment Information'!B72)</f>
        <v>Pool Pump #2 Main Disconnect</v>
      </c>
      <c r="C72" t="str">
        <f>IF('Equipment Information'!C72="","", 'Equipment Information'!C72)</f>
        <v>Receiving Station</v>
      </c>
      <c r="F72" t="s">
        <v>425</v>
      </c>
    </row>
    <row r="73" spans="1:6" x14ac:dyDescent="0.25">
      <c r="A73" t="str">
        <f>IF('Equipment Information'!A73="","", 'Equipment Information'!A73)</f>
        <v>20260719</v>
      </c>
      <c r="B73" t="str">
        <f>IF('Equipment Information'!B73="","", 'Equipment Information'!B73)</f>
        <v>Pool Pump #1 VFD</v>
      </c>
      <c r="C73" t="str">
        <f>IF('Equipment Information'!C73="","", 'Equipment Information'!C73)</f>
        <v>Receiving Station</v>
      </c>
      <c r="F73" t="s">
        <v>425</v>
      </c>
    </row>
    <row r="74" spans="1:6" x14ac:dyDescent="0.25">
      <c r="A74" t="str">
        <f>IF('Equipment Information'!A74="","", 'Equipment Information'!A74)</f>
        <v>20260720</v>
      </c>
      <c r="B74" t="str">
        <f>IF('Equipment Information'!B74="","", 'Equipment Information'!B74)</f>
        <v>Pool Pump #2 VFD</v>
      </c>
      <c r="C74" t="str">
        <f>IF('Equipment Information'!C74="","", 'Equipment Information'!C74)</f>
        <v>Receiving Station</v>
      </c>
      <c r="F74" t="s">
        <v>425</v>
      </c>
    </row>
    <row r="75" spans="1:6" x14ac:dyDescent="0.25">
      <c r="A75" t="str">
        <f>IF('Equipment Information'!A75="","", 'Equipment Information'!A75)</f>
        <v>20260721</v>
      </c>
      <c r="B75" t="str">
        <f>IF('Equipment Information'!B75="","", 'Equipment Information'!B75)</f>
        <v>45 kVA Transformer</v>
      </c>
      <c r="C75" t="str">
        <f>IF('Equipment Information'!C75="","", 'Equipment Information'!C75)</f>
        <v>Receiving Station</v>
      </c>
      <c r="F75" t="s">
        <v>425</v>
      </c>
    </row>
    <row r="76" spans="1:6" x14ac:dyDescent="0.25">
      <c r="A76" t="str">
        <f>IF('Equipment Information'!A76="","", 'Equipment Information'!A76)</f>
        <v>20260722</v>
      </c>
      <c r="B76" t="str">
        <f>IF('Equipment Information'!B76="","", 'Equipment Information'!B76)</f>
        <v>45 kVA Transformer Disconnect</v>
      </c>
      <c r="C76" t="str">
        <f>IF('Equipment Information'!C76="","", 'Equipment Information'!C76)</f>
        <v>Receiving Station</v>
      </c>
      <c r="F76" t="s">
        <v>425</v>
      </c>
    </row>
    <row r="77" spans="1:6" x14ac:dyDescent="0.25">
      <c r="A77" t="str">
        <f>IF('Equipment Information'!A77="","", 'Equipment Information'!A77)</f>
        <v>20260723</v>
      </c>
      <c r="B77" t="str">
        <f>IF('Equipment Information'!B77="","", 'Equipment Information'!B77)</f>
        <v>Bay 25 480V Outlet Disconnect</v>
      </c>
      <c r="C77" t="str">
        <f>IF('Equipment Information'!C77="","", 'Equipment Information'!C77)</f>
        <v>Receiving Station</v>
      </c>
      <c r="F77" t="s">
        <v>425</v>
      </c>
    </row>
    <row r="78" spans="1:6" x14ac:dyDescent="0.25">
      <c r="A78" t="str">
        <f>IF('Equipment Information'!A78="","", 'Equipment Information'!A78)</f>
        <v>20260724</v>
      </c>
      <c r="B78" t="str">
        <f>IF('Equipment Information'!B78="","", 'Equipment Information'!B78)</f>
        <v>Compressor Disconnect</v>
      </c>
      <c r="C78" t="str">
        <f>IF('Equipment Information'!C78="","", 'Equipment Information'!C78)</f>
        <v>Receiving Station</v>
      </c>
      <c r="F78" t="s">
        <v>425</v>
      </c>
    </row>
    <row r="79" spans="1:6" x14ac:dyDescent="0.25">
      <c r="A79" t="str">
        <f>IF('Equipment Information'!A79="","", 'Equipment Information'!A79)</f>
        <v>20260725</v>
      </c>
      <c r="B79" t="str">
        <f>IF('Equipment Information'!B79="","", 'Equipment Information'!B79)</f>
        <v>PP1 Transformer Disconnect</v>
      </c>
      <c r="C79" t="str">
        <f>IF('Equipment Information'!C79="","", 'Equipment Information'!C79)</f>
        <v>Receiving Station</v>
      </c>
      <c r="F79" t="s">
        <v>425</v>
      </c>
    </row>
    <row r="80" spans="1:6" x14ac:dyDescent="0.25">
      <c r="A80" t="str">
        <f>IF('Equipment Information'!A80="","", 'Equipment Information'!A80)</f>
        <v>20260726</v>
      </c>
      <c r="B80" t="str">
        <f>IF('Equipment Information'!B80="","", 'Equipment Information'!B80)</f>
        <v>PP1 Welding Recept. Disconnect</v>
      </c>
      <c r="C80" t="str">
        <f>IF('Equipment Information'!C80="","", 'Equipment Information'!C80)</f>
        <v>Receiving Station</v>
      </c>
      <c r="F80" t="s">
        <v>425</v>
      </c>
    </row>
    <row r="81" spans="1:7" x14ac:dyDescent="0.25">
      <c r="A81" t="str">
        <f>IF('Equipment Information'!A81="","", 'Equipment Information'!A81)</f>
        <v>20260727</v>
      </c>
      <c r="B81" t="str">
        <f>IF('Equipment Information'!B81="","", 'Equipment Information'!B81)</f>
        <v>PP-1</v>
      </c>
      <c r="C81" t="str">
        <f>IF('Equipment Information'!C81="","", 'Equipment Information'!C81)</f>
        <v>Receiving Station</v>
      </c>
      <c r="F81" t="s">
        <v>425</v>
      </c>
    </row>
    <row r="82" spans="1:7" x14ac:dyDescent="0.25">
      <c r="A82" t="str">
        <f>IF('Equipment Information'!A82="","", 'Equipment Information'!A82)</f>
        <v>20260728</v>
      </c>
      <c r="B82" t="str">
        <f>IF('Equipment Information'!B82="","", 'Equipment Information'!B82)</f>
        <v>OH XFMR</v>
      </c>
      <c r="C82" t="str">
        <f>IF('Equipment Information'!C82="","", 'Equipment Information'!C82)</f>
        <v>Receiving Station</v>
      </c>
      <c r="F82" t="s">
        <v>425</v>
      </c>
    </row>
    <row r="83" spans="1:7" x14ac:dyDescent="0.25">
      <c r="A83" t="str">
        <f>IF('Equipment Information'!A83="","", 'Equipment Information'!A83)</f>
        <v>20260729</v>
      </c>
      <c r="B83" t="str">
        <f>IF('Equipment Information'!B83="","", 'Equipment Information'!B83)</f>
        <v>LP-2</v>
      </c>
      <c r="C83" t="str">
        <f>IF('Equipment Information'!C83="","", 'Equipment Information'!C83)</f>
        <v>Receiving Station</v>
      </c>
      <c r="F83" t="s">
        <v>425</v>
      </c>
    </row>
    <row r="84" spans="1:7" x14ac:dyDescent="0.25">
      <c r="A84" t="str">
        <f>IF('Equipment Information'!A84="","", 'Equipment Information'!A84)</f>
        <v>20260730</v>
      </c>
      <c r="B84" t="str">
        <f>IF('Equipment Information'!B84="","", 'Equipment Information'!B84)</f>
        <v>Weld Gutter Disconnect</v>
      </c>
      <c r="C84" t="str">
        <f>IF('Equipment Information'!C84="","", 'Equipment Information'!C84)</f>
        <v>Receiving Station</v>
      </c>
      <c r="F84" t="s">
        <v>425</v>
      </c>
    </row>
    <row r="85" spans="1:7" x14ac:dyDescent="0.25">
      <c r="A85" t="str">
        <f>IF('Equipment Information'!A85="","", 'Equipment Information'!A85)</f>
        <v>20260731</v>
      </c>
      <c r="B85" t="str">
        <f>IF('Equipment Information'!B85="","", 'Equipment Information'!B85)</f>
        <v>OH XFMR</v>
      </c>
      <c r="C85" t="str">
        <f>IF('Equipment Information'!C85="","", 'Equipment Information'!C85)</f>
        <v>Receiving Station</v>
      </c>
      <c r="F85" t="s">
        <v>425</v>
      </c>
    </row>
    <row r="86" spans="1:7" x14ac:dyDescent="0.25">
      <c r="A86" t="str">
        <f>IF('Equipment Information'!A86="","", 'Equipment Information'!A86)</f>
        <v>20260732</v>
      </c>
      <c r="B86" t="str">
        <f>IF('Equipment Information'!B86="","", 'Equipment Information'!B86)</f>
        <v>Lighting XFMR Disconnect</v>
      </c>
      <c r="C86" t="str">
        <f>IF('Equipment Information'!C86="","", 'Equipment Information'!C86)</f>
        <v>Receiving Station</v>
      </c>
      <c r="F86" t="s">
        <v>425</v>
      </c>
    </row>
    <row r="87" spans="1:7" x14ac:dyDescent="0.25">
      <c r="A87" t="str">
        <f>IF('Equipment Information'!A87="","", 'Equipment Information'!A87)</f>
        <v>20260733</v>
      </c>
      <c r="B87" t="str">
        <f>IF('Equipment Information'!B87="","", 'Equipment Information'!B87)</f>
        <v>Pool Pump #6/7 Disconnect</v>
      </c>
      <c r="C87" t="str">
        <f>IF('Equipment Information'!C87="","", 'Equipment Information'!C87)</f>
        <v>Receiving Station</v>
      </c>
      <c r="F87" t="s">
        <v>425</v>
      </c>
    </row>
    <row r="88" spans="1:7" x14ac:dyDescent="0.25">
      <c r="A88" t="str">
        <f>IF('Equipment Information'!A88="","", 'Equipment Information'!A88)</f>
        <v>20260734</v>
      </c>
      <c r="B88" t="str">
        <f>IF('Equipment Information'!B88="","", 'Equipment Information'!B88)</f>
        <v>Trash Conveyor Disconnect</v>
      </c>
      <c r="C88" t="str">
        <f>IF('Equipment Information'!C88="","", 'Equipment Information'!C88)</f>
        <v>Receiving Station</v>
      </c>
      <c r="F88" t="s">
        <v>425</v>
      </c>
    </row>
    <row r="89" spans="1:7" x14ac:dyDescent="0.25">
      <c r="A89" t="str">
        <f>IF('Equipment Information'!A89="","", 'Equipment Information'!A89)</f>
        <v>20260735</v>
      </c>
      <c r="B89" t="str">
        <f>IF('Equipment Information'!B89="","", 'Equipment Information'!B89)</f>
        <v>Dewatering Table Disconnect</v>
      </c>
      <c r="C89" t="str">
        <f>IF('Equipment Information'!C89="","", 'Equipment Information'!C89)</f>
        <v>Receiving Station</v>
      </c>
      <c r="F89" t="s">
        <v>425</v>
      </c>
    </row>
    <row r="90" spans="1:7" x14ac:dyDescent="0.25">
      <c r="A90" t="str">
        <f>IF('Equipment Information'!A90="","", 'Equipment Information'!A90)</f>
        <v>20260736</v>
      </c>
      <c r="B90" t="str">
        <f>IF('Equipment Information'!B90="","", 'Equipment Information'!B90)</f>
        <v>Recycling Pump Disconnect</v>
      </c>
      <c r="C90" t="str">
        <f>IF('Equipment Information'!C90="","", 'Equipment Information'!C90)</f>
        <v>Receiving Station</v>
      </c>
      <c r="F90" t="s">
        <v>425</v>
      </c>
    </row>
    <row r="91" spans="1:7" x14ac:dyDescent="0.25">
      <c r="A91" t="str">
        <f>IF('Equipment Information'!A91="","", 'Equipment Information'!A91)</f>
        <v>20260737</v>
      </c>
      <c r="B91" t="str">
        <f>IF('Equipment Information'!B91="","", 'Equipment Information'!B91)</f>
        <v>Trash Conveyor Starter</v>
      </c>
      <c r="C91" t="str">
        <f>IF('Equipment Information'!C91="","", 'Equipment Information'!C91)</f>
        <v>Receiving Station</v>
      </c>
      <c r="F91" t="s">
        <v>425</v>
      </c>
    </row>
    <row r="92" spans="1:7" x14ac:dyDescent="0.25">
      <c r="A92" t="str">
        <f>IF('Equipment Information'!A92="","", 'Equipment Information'!A92)</f>
        <v>20260738</v>
      </c>
      <c r="B92" t="str">
        <f>IF('Equipment Information'!B92="","", 'Equipment Information'!B92)</f>
        <v>Dewatering Table Starter</v>
      </c>
      <c r="C92" t="str">
        <f>IF('Equipment Information'!C92="","", 'Equipment Information'!C92)</f>
        <v>Receiving Station</v>
      </c>
      <c r="F92" t="s">
        <v>425</v>
      </c>
    </row>
    <row r="93" spans="1:7" x14ac:dyDescent="0.25">
      <c r="A93" t="str">
        <f>IF('Equipment Information'!A93="","", 'Equipment Information'!A93)</f>
        <v>20260739</v>
      </c>
      <c r="B93" t="str">
        <f>IF('Equipment Information'!B93="","", 'Equipment Information'!B93)</f>
        <v>CIP System #2</v>
      </c>
      <c r="C93" t="str">
        <f>IF('Equipment Information'!C93="","", 'Equipment Information'!C93)</f>
        <v>Production Area</v>
      </c>
      <c r="F93" t="s">
        <v>425</v>
      </c>
    </row>
    <row r="94" spans="1:7" x14ac:dyDescent="0.25">
      <c r="A94" t="str">
        <f>IF('Equipment Information'!A94="","", 'Equipment Information'!A94)</f>
        <v>20260740</v>
      </c>
      <c r="B94" t="str">
        <f>IF('Equipment Information'!B94="","", 'Equipment Information'!B94)</f>
        <v>BD1</v>
      </c>
      <c r="C94" t="str">
        <f>IF('Equipment Information'!C94="","", 'Equipment Information'!C94)</f>
        <v>Production Area</v>
      </c>
      <c r="F94" t="s">
        <v>425</v>
      </c>
      <c r="G94" s="5" t="s">
        <v>435</v>
      </c>
    </row>
    <row r="95" spans="1:7" x14ac:dyDescent="0.25">
      <c r="A95" t="str">
        <f>IF('Equipment Information'!A95="","", 'Equipment Information'!A95)</f>
        <v>20260741</v>
      </c>
      <c r="B95" t="str">
        <f>IF('Equipment Information'!B95="","", 'Equipment Information'!B95)</f>
        <v>SLS-19</v>
      </c>
      <c r="C95" t="str">
        <f>IF('Equipment Information'!C95="","", 'Equipment Information'!C95)</f>
        <v>Production Area</v>
      </c>
      <c r="F95" t="s">
        <v>425</v>
      </c>
    </row>
    <row r="96" spans="1:7" x14ac:dyDescent="0.25">
      <c r="A96" t="str">
        <f>IF('Equipment Information'!A96="","", 'Equipment Information'!A96)</f>
        <v>20260742</v>
      </c>
      <c r="B96" t="str">
        <f>IF('Equipment Information'!B96="","", 'Equipment Information'!B96)</f>
        <v>SPX</v>
      </c>
      <c r="C96" t="str">
        <f>IF('Equipment Information'!C96="","", 'Equipment Information'!C96)</f>
        <v>Production Area</v>
      </c>
      <c r="F96" t="s">
        <v>425</v>
      </c>
    </row>
    <row r="97" spans="1:7" x14ac:dyDescent="0.25">
      <c r="A97" t="str">
        <f>IF('Equipment Information'!A97="","", 'Equipment Information'!A97)</f>
        <v>20260743</v>
      </c>
      <c r="B97" t="str">
        <f>IF('Equipment Information'!B97="","", 'Equipment Information'!B97)</f>
        <v>MCC #4 [Sec.1]</v>
      </c>
      <c r="C97" t="str">
        <f>IF('Equipment Information'!C97="","", 'Equipment Information'!C97)</f>
        <v>Production Area</v>
      </c>
      <c r="F97" t="s">
        <v>425</v>
      </c>
    </row>
    <row r="98" spans="1:7" x14ac:dyDescent="0.25">
      <c r="A98" t="str">
        <f>IF('Equipment Information'!A98="","", 'Equipment Information'!A98)</f>
        <v>20260744</v>
      </c>
      <c r="B98" t="str">
        <f>IF('Equipment Information'!B98="","", 'Equipment Information'!B98)</f>
        <v>MCC #4 [Sec.2]</v>
      </c>
      <c r="C98" t="str">
        <f>IF('Equipment Information'!C98="","", 'Equipment Information'!C98)</f>
        <v>Production Area</v>
      </c>
      <c r="F98" t="s">
        <v>425</v>
      </c>
    </row>
    <row r="99" spans="1:7" x14ac:dyDescent="0.25">
      <c r="A99" t="str">
        <f>IF('Equipment Information'!A99="","", 'Equipment Information'!A99)</f>
        <v>20260745</v>
      </c>
      <c r="B99" t="str">
        <f>IF('Equipment Information'!B99="","", 'Equipment Information'!B99)</f>
        <v>MCC #4 [Sec.3]</v>
      </c>
      <c r="C99" t="str">
        <f>IF('Equipment Information'!C99="","", 'Equipment Information'!C99)</f>
        <v>Production Area</v>
      </c>
      <c r="F99" t="s">
        <v>425</v>
      </c>
    </row>
    <row r="100" spans="1:7" x14ac:dyDescent="0.25">
      <c r="A100" t="str">
        <f>IF('Equipment Information'!A100="","", 'Equipment Information'!A100)</f>
        <v>20260746</v>
      </c>
      <c r="B100" t="str">
        <f>IF('Equipment Information'!B100="","", 'Equipment Information'!B100)</f>
        <v>CP-Evap. #1 Disconnect</v>
      </c>
      <c r="C100" t="str">
        <f>IF('Equipment Information'!C100="","", 'Equipment Information'!C100)</f>
        <v>Production Area</v>
      </c>
      <c r="F100" t="s">
        <v>425</v>
      </c>
    </row>
    <row r="101" spans="1:7" x14ac:dyDescent="0.25">
      <c r="A101" t="str">
        <f>IF('Equipment Information'!A101="","", 'Equipment Information'!A101)</f>
        <v>20260747</v>
      </c>
      <c r="B101" t="str">
        <f>IF('Equipment Information'!B101="","", 'Equipment Information'!B101)</f>
        <v>Evaporator #1 [Sec. 1]</v>
      </c>
      <c r="C101" t="str">
        <f>IF('Equipment Information'!C101="","", 'Equipment Information'!C101)</f>
        <v>Production Area</v>
      </c>
      <c r="F101" t="s">
        <v>425</v>
      </c>
    </row>
    <row r="102" spans="1:7" x14ac:dyDescent="0.25">
      <c r="A102" t="str">
        <f>IF('Equipment Information'!A102="","", 'Equipment Information'!A102)</f>
        <v>20260748</v>
      </c>
      <c r="B102" t="str">
        <f>IF('Equipment Information'!B102="","", 'Equipment Information'!B102)</f>
        <v>Evaporator #1 [Sec. 2]</v>
      </c>
      <c r="C102" t="str">
        <f>IF('Equipment Information'!C102="","", 'Equipment Information'!C102)</f>
        <v>Production Area</v>
      </c>
      <c r="D102" t="s">
        <v>436</v>
      </c>
      <c r="E102" t="s">
        <v>433</v>
      </c>
      <c r="F102" t="s">
        <v>429</v>
      </c>
      <c r="G102" s="5" t="s">
        <v>437</v>
      </c>
    </row>
    <row r="103" spans="1:7" x14ac:dyDescent="0.25">
      <c r="A103" t="str">
        <f>IF('Equipment Information'!A103="","", 'Equipment Information'!A103)</f>
        <v>20260749</v>
      </c>
      <c r="B103" t="str">
        <f>IF('Equipment Information'!B103="","", 'Equipment Information'!B103)</f>
        <v xml:space="preserve">Pig Systems </v>
      </c>
      <c r="C103" t="str">
        <f>IF('Equipment Information'!C103="","", 'Equipment Information'!C103)</f>
        <v>Production Area</v>
      </c>
      <c r="F103" t="s">
        <v>425</v>
      </c>
    </row>
    <row r="104" spans="1:7" x14ac:dyDescent="0.25">
      <c r="A104" t="str">
        <f>IF('Equipment Information'!A104="","", 'Equipment Information'!A104)</f>
        <v>20260750</v>
      </c>
      <c r="B104" t="str">
        <f>IF('Equipment Information'!B104="","", 'Equipment Information'!B104)</f>
        <v>CP-Silo Alley</v>
      </c>
      <c r="C104" t="str">
        <f>IF('Equipment Information'!C104="","", 'Equipment Information'!C104)</f>
        <v>Production Area</v>
      </c>
      <c r="F104" t="s">
        <v>425</v>
      </c>
    </row>
    <row r="105" spans="1:7" x14ac:dyDescent="0.25">
      <c r="A105" t="str">
        <f>IF('Equipment Information'!A105="","", 'Equipment Information'!A105)</f>
        <v>20260751</v>
      </c>
      <c r="B105" t="str">
        <f>IF('Equipment Information'!B105="","", 'Equipment Information'!B105)</f>
        <v>RO-1</v>
      </c>
      <c r="C105" t="str">
        <f>IF('Equipment Information'!C105="","", 'Equipment Information'!C105)</f>
        <v>Production Area</v>
      </c>
      <c r="F105" t="s">
        <v>425</v>
      </c>
    </row>
    <row r="106" spans="1:7" x14ac:dyDescent="0.25">
      <c r="A106" t="str">
        <f>IF('Equipment Information'!A106="","", 'Equipment Information'!A106)</f>
        <v>20260752</v>
      </c>
      <c r="B106" t="str">
        <f>IF('Equipment Information'!B106="","", 'Equipment Information'!B106)</f>
        <v>KOCH Sytems Controller</v>
      </c>
      <c r="C106" t="str">
        <f>IF('Equipment Information'!C106="","", 'Equipment Information'!C106)</f>
        <v>Production Area</v>
      </c>
      <c r="F106" t="s">
        <v>425</v>
      </c>
    </row>
    <row r="107" spans="1:7" x14ac:dyDescent="0.25">
      <c r="A107" t="str">
        <f>IF('Equipment Information'!A107="","", 'Equipment Information'!A107)</f>
        <v>20260753</v>
      </c>
      <c r="B107" t="str">
        <f>IF('Equipment Information'!B107="","", 'Equipment Information'!B107)</f>
        <v>KOCH Sytems Controls</v>
      </c>
      <c r="C107" t="str">
        <f>IF('Equipment Information'!C107="","", 'Equipment Information'!C107)</f>
        <v>Production Area</v>
      </c>
      <c r="F107" t="s">
        <v>425</v>
      </c>
    </row>
    <row r="108" spans="1:7" x14ac:dyDescent="0.25">
      <c r="A108" t="str">
        <f>IF('Equipment Information'!A108="","", 'Equipment Information'!A108)</f>
        <v>20260754</v>
      </c>
      <c r="B108" t="str">
        <f>IF('Equipment Information'!B108="","", 'Equipment Information'!B108)</f>
        <v>Evaporator #3</v>
      </c>
      <c r="C108" t="str">
        <f>IF('Equipment Information'!C108="","", 'Equipment Information'!C108)</f>
        <v>Production Area</v>
      </c>
      <c r="F108" t="s">
        <v>425</v>
      </c>
    </row>
    <row r="109" spans="1:7" x14ac:dyDescent="0.25">
      <c r="A109" t="str">
        <f>IF('Equipment Information'!A109="","", 'Equipment Information'!A109)</f>
        <v>20260755</v>
      </c>
      <c r="B109" t="str">
        <f>IF('Equipment Information'!B109="","", 'Equipment Information'!B109)</f>
        <v>CP-Evap. #3 Disconnect</v>
      </c>
      <c r="C109" t="str">
        <f>IF('Equipment Information'!C109="","", 'Equipment Information'!C109)</f>
        <v>Production Area</v>
      </c>
      <c r="F109" t="s">
        <v>425</v>
      </c>
    </row>
    <row r="110" spans="1:7" x14ac:dyDescent="0.25">
      <c r="A110" t="str">
        <f>IF('Equipment Information'!A110="","", 'Equipment Information'!A110)</f>
        <v>20260756</v>
      </c>
      <c r="B110" t="str">
        <f>IF('Equipment Information'!B110="","", 'Equipment Information'!B110)</f>
        <v>CP-DTS Sub Line #1 [Sec. 1]</v>
      </c>
      <c r="C110" t="str">
        <f>IF('Equipment Information'!C110="","", 'Equipment Information'!C110)</f>
        <v>Production Area</v>
      </c>
      <c r="F110" t="s">
        <v>425</v>
      </c>
    </row>
    <row r="111" spans="1:7" x14ac:dyDescent="0.25">
      <c r="A111" t="str">
        <f>IF('Equipment Information'!A111="","", 'Equipment Information'!A111)</f>
        <v>20260757</v>
      </c>
      <c r="B111" t="str">
        <f>IF('Equipment Information'!B111="","", 'Equipment Information'!B111)</f>
        <v>CP-DTS Sub Line #1 [Sec. 2]</v>
      </c>
      <c r="C111" t="str">
        <f>IF('Equipment Information'!C111="","", 'Equipment Information'!C111)</f>
        <v>Production Area</v>
      </c>
      <c r="F111" t="s">
        <v>425</v>
      </c>
    </row>
    <row r="112" spans="1:7" x14ac:dyDescent="0.25">
      <c r="A112" t="str">
        <f>IF('Equipment Information'!A112="","", 'Equipment Information'!A112)</f>
        <v>20260758</v>
      </c>
      <c r="B112" t="str">
        <f>IF('Equipment Information'!B112="","", 'Equipment Information'!B112)</f>
        <v>CP-DTS Sub Line #1 [Sec. 3]</v>
      </c>
      <c r="C112" t="str">
        <f>IF('Equipment Information'!C112="","", 'Equipment Information'!C112)</f>
        <v>Production Area</v>
      </c>
      <c r="F112" t="s">
        <v>425</v>
      </c>
    </row>
    <row r="113" spans="1:6" x14ac:dyDescent="0.25">
      <c r="A113" t="str">
        <f>IF('Equipment Information'!A113="","", 'Equipment Information'!A113)</f>
        <v>20260759</v>
      </c>
      <c r="B113" t="str">
        <f>IF('Equipment Information'!B113="","", 'Equipment Information'!B113)</f>
        <v>DP-1</v>
      </c>
      <c r="C113" t="str">
        <f>IF('Equipment Information'!C113="","", 'Equipment Information'!C113)</f>
        <v>Production Area</v>
      </c>
      <c r="F113" t="s">
        <v>425</v>
      </c>
    </row>
    <row r="114" spans="1:6" x14ac:dyDescent="0.25">
      <c r="A114" t="str">
        <f>IF('Equipment Information'!A114="","", 'Equipment Information'!A114)</f>
        <v>20260760</v>
      </c>
      <c r="B114" t="str">
        <f>IF('Equipment Information'!B114="","", 'Equipment Information'!B114)</f>
        <v>P-1</v>
      </c>
      <c r="C114" t="str">
        <f>IF('Equipment Information'!C114="","", 'Equipment Information'!C114)</f>
        <v>Production Area</v>
      </c>
      <c r="F114" t="s">
        <v>425</v>
      </c>
    </row>
    <row r="115" spans="1:6" x14ac:dyDescent="0.25">
      <c r="A115" t="str">
        <f>IF('Equipment Information'!A115="","", 'Equipment Information'!A115)</f>
        <v>20260761</v>
      </c>
      <c r="B115" t="str">
        <f>IF('Equipment Information'!B115="","", 'Equipment Information'!B115)</f>
        <v>FS-Slice Line</v>
      </c>
      <c r="C115" t="str">
        <f>IF('Equipment Information'!C115="","", 'Equipment Information'!C115)</f>
        <v>Production Area</v>
      </c>
      <c r="F115" t="s">
        <v>425</v>
      </c>
    </row>
    <row r="116" spans="1:6" x14ac:dyDescent="0.25">
      <c r="A116" t="str">
        <f>IF('Equipment Information'!A116="","", 'Equipment Information'!A116)</f>
        <v>20260762</v>
      </c>
      <c r="B116" t="str">
        <f>IF('Equipment Information'!B116="","", 'Equipment Information'!B116)</f>
        <v>OH XFMR</v>
      </c>
      <c r="C116" t="str">
        <f>IF('Equipment Information'!C116="","", 'Equipment Information'!C116)</f>
        <v>Production Area</v>
      </c>
      <c r="F116" t="s">
        <v>425</v>
      </c>
    </row>
    <row r="117" spans="1:6" x14ac:dyDescent="0.25">
      <c r="A117" t="str">
        <f>IF('Equipment Information'!A117="","", 'Equipment Information'!A117)</f>
        <v>20260763</v>
      </c>
      <c r="B117" t="str">
        <f>IF('Equipment Information'!B117="","", 'Equipment Information'!B117)</f>
        <v>CP-1 [Sec. 1]</v>
      </c>
      <c r="C117" t="str">
        <f>IF('Equipment Information'!C117="","", 'Equipment Information'!C117)</f>
        <v>Production Area</v>
      </c>
      <c r="F117" t="s">
        <v>425</v>
      </c>
    </row>
    <row r="118" spans="1:6" x14ac:dyDescent="0.25">
      <c r="A118" t="str">
        <f>IF('Equipment Information'!A118="","", 'Equipment Information'!A118)</f>
        <v>20260764</v>
      </c>
      <c r="B118" t="str">
        <f>IF('Equipment Information'!B118="","", 'Equipment Information'!B118)</f>
        <v>CP-1 [Sec. 2]</v>
      </c>
      <c r="C118" t="str">
        <f>IF('Equipment Information'!C118="","", 'Equipment Information'!C118)</f>
        <v>Production Area</v>
      </c>
      <c r="F118" t="s">
        <v>425</v>
      </c>
    </row>
    <row r="119" spans="1:6" x14ac:dyDescent="0.25">
      <c r="A119" t="str">
        <f>IF('Equipment Information'!A119="","", 'Equipment Information'!A119)</f>
        <v>20260765</v>
      </c>
      <c r="B119" t="str">
        <f>IF('Equipment Information'!B119="","", 'Equipment Information'!B119)</f>
        <v>CP-1 [Sec. 3]</v>
      </c>
      <c r="C119" t="str">
        <f>IF('Equipment Information'!C119="","", 'Equipment Information'!C119)</f>
        <v>Production Area</v>
      </c>
      <c r="F119" t="s">
        <v>425</v>
      </c>
    </row>
    <row r="120" spans="1:6" x14ac:dyDescent="0.25">
      <c r="A120" t="str">
        <f>IF('Equipment Information'!A120="","", 'Equipment Information'!A120)</f>
        <v>20260766</v>
      </c>
      <c r="B120" t="str">
        <f>IF('Equipment Information'!B120="","", 'Equipment Information'!B120)</f>
        <v>CP-DTS Sub Line #2 [Sec. 1]</v>
      </c>
      <c r="C120" t="str">
        <f>IF('Equipment Information'!C120="","", 'Equipment Information'!C120)</f>
        <v>Production Area</v>
      </c>
      <c r="F120" t="s">
        <v>425</v>
      </c>
    </row>
    <row r="121" spans="1:6" x14ac:dyDescent="0.25">
      <c r="A121" t="str">
        <f>IF('Equipment Information'!A121="","", 'Equipment Information'!A121)</f>
        <v>20260767</v>
      </c>
      <c r="B121" t="str">
        <f>IF('Equipment Information'!B121="","", 'Equipment Information'!B121)</f>
        <v>CP-DTS Sub Line #2 [Sec. 2]</v>
      </c>
      <c r="C121" t="str">
        <f>IF('Equipment Information'!C121="","", 'Equipment Information'!C121)</f>
        <v>Production Area</v>
      </c>
      <c r="F121" t="s">
        <v>425</v>
      </c>
    </row>
    <row r="122" spans="1:6" x14ac:dyDescent="0.25">
      <c r="A122" t="str">
        <f>IF('Equipment Information'!A122="","", 'Equipment Information'!A122)</f>
        <v>20260768</v>
      </c>
      <c r="B122" t="str">
        <f>IF('Equipment Information'!B122="","", 'Equipment Information'!B122)</f>
        <v>CP-DTS Sub Line #2 [Sec.3]</v>
      </c>
      <c r="C122" t="str">
        <f>IF('Equipment Information'!C122="","", 'Equipment Information'!C122)</f>
        <v>Production Area</v>
      </c>
      <c r="F122" t="s">
        <v>425</v>
      </c>
    </row>
    <row r="123" spans="1:6" x14ac:dyDescent="0.25">
      <c r="A123" t="str">
        <f>IF('Equipment Information'!A123="","", 'Equipment Information'!A123)</f>
        <v>20260769</v>
      </c>
      <c r="B123" t="str">
        <f>IF('Equipment Information'!B123="","", 'Equipment Information'!B123)</f>
        <v>DP-2</v>
      </c>
      <c r="C123" t="str">
        <f>IF('Equipment Information'!C123="","", 'Equipment Information'!C123)</f>
        <v>Production Area</v>
      </c>
      <c r="F123" t="s">
        <v>425</v>
      </c>
    </row>
    <row r="124" spans="1:6" x14ac:dyDescent="0.25">
      <c r="A124" t="str">
        <f>IF('Equipment Information'!A124="","", 'Equipment Information'!A124)</f>
        <v>20260770</v>
      </c>
      <c r="B124" t="str">
        <f>IF('Equipment Information'!B124="","", 'Equipment Information'!B124)</f>
        <v>Exhasut Fan Cabinet</v>
      </c>
      <c r="C124" t="str">
        <f>IF('Equipment Information'!C124="","", 'Equipment Information'!C124)</f>
        <v>Production Area</v>
      </c>
      <c r="F124" t="s">
        <v>425</v>
      </c>
    </row>
    <row r="125" spans="1:6" x14ac:dyDescent="0.25">
      <c r="A125" t="str">
        <f>IF('Equipment Information'!A125="","", 'Equipment Information'!A125)</f>
        <v>20260771</v>
      </c>
      <c r="B125" t="str">
        <f>IF('Equipment Information'!B125="","", 'Equipment Information'!B125)</f>
        <v>Processing Controls</v>
      </c>
      <c r="C125" t="str">
        <f>IF('Equipment Information'!C125="","", 'Equipment Information'!C125)</f>
        <v>Production Area</v>
      </c>
      <c r="F125" t="s">
        <v>425</v>
      </c>
    </row>
    <row r="126" spans="1:6" x14ac:dyDescent="0.25">
      <c r="A126" t="str">
        <f>IF('Equipment Information'!A126="","", 'Equipment Information'!A126)</f>
        <v>20260772</v>
      </c>
      <c r="B126" t="str">
        <f>IF('Equipment Information'!B126="","", 'Equipment Information'!B126)</f>
        <v>Welding Receptacle</v>
      </c>
      <c r="C126" t="str">
        <f>IF('Equipment Information'!C126="","", 'Equipment Information'!C126)</f>
        <v>Production Area</v>
      </c>
      <c r="F126" t="s">
        <v>425</v>
      </c>
    </row>
    <row r="127" spans="1:6" x14ac:dyDescent="0.25">
      <c r="A127" t="str">
        <f>IF('Equipment Information'!A127="","", 'Equipment Information'!A127)</f>
        <v>20260773</v>
      </c>
      <c r="B127" t="str">
        <f>IF('Equipment Information'!B127="","", 'Equipment Information'!B127)</f>
        <v>Drum Oiler #2</v>
      </c>
      <c r="C127" t="str">
        <f>IF('Equipment Information'!C127="","", 'Equipment Information'!C127)</f>
        <v>Production Area</v>
      </c>
      <c r="F127" t="s">
        <v>425</v>
      </c>
    </row>
    <row r="128" spans="1:6" x14ac:dyDescent="0.25">
      <c r="A128" t="str">
        <f>IF('Equipment Information'!A128="","", 'Equipment Information'!A128)</f>
        <v>20260774</v>
      </c>
      <c r="B128" t="str">
        <f>IF('Equipment Information'!B128="","", 'Equipment Information'!B128)</f>
        <v>Zone A/B/C Controls</v>
      </c>
      <c r="C128" t="str">
        <f>IF('Equipment Information'!C128="","", 'Equipment Information'!C128)</f>
        <v>Processing Area</v>
      </c>
      <c r="F128" t="s">
        <v>425</v>
      </c>
    </row>
    <row r="129" spans="1:7" x14ac:dyDescent="0.25">
      <c r="A129" t="str">
        <f>IF('Equipment Information'!A129="","", 'Equipment Information'!A129)</f>
        <v>20260775</v>
      </c>
      <c r="B129" t="str">
        <f>IF('Equipment Information'!B129="","", 'Equipment Information'!B129)</f>
        <v>Baler Disconnect</v>
      </c>
      <c r="C129" t="str">
        <f>IF('Equipment Information'!C129="","", 'Equipment Information'!C129)</f>
        <v>Packaging</v>
      </c>
      <c r="F129" t="s">
        <v>425</v>
      </c>
    </row>
    <row r="130" spans="1:7" x14ac:dyDescent="0.25">
      <c r="A130" t="str">
        <f>IF('Equipment Information'!A130="","", 'Equipment Information'!A130)</f>
        <v>20260776</v>
      </c>
      <c r="B130" t="str">
        <f>IF('Equipment Information'!B130="","", 'Equipment Information'!B130)</f>
        <v>Baler Controller</v>
      </c>
      <c r="C130" t="str">
        <f>IF('Equipment Information'!C130="","", 'Equipment Information'!C130)</f>
        <v>Packaging</v>
      </c>
      <c r="F130" t="s">
        <v>425</v>
      </c>
    </row>
    <row r="131" spans="1:7" x14ac:dyDescent="0.25">
      <c r="A131" t="str">
        <f>IF('Equipment Information'!A131="","", 'Equipment Information'!A131)</f>
        <v>20260777</v>
      </c>
      <c r="B131" t="str">
        <f>IF('Equipment Information'!B131="","", 'Equipment Information'!B131)</f>
        <v>Three-Phase Outlet Disconnect</v>
      </c>
      <c r="C131" t="str">
        <f>IF('Equipment Information'!C131="","", 'Equipment Information'!C131)</f>
        <v>Warehouse</v>
      </c>
      <c r="F131" t="s">
        <v>425</v>
      </c>
    </row>
    <row r="132" spans="1:7" x14ac:dyDescent="0.25">
      <c r="A132" t="str">
        <f>IF('Equipment Information'!A132="","", 'Equipment Information'!A132)</f>
        <v>20260778</v>
      </c>
      <c r="B132" t="str">
        <f>IF('Equipment Information'!B132="","", 'Equipment Information'!B132)</f>
        <v>New Addition Panel</v>
      </c>
      <c r="C132" t="str">
        <f>IF('Equipment Information'!C132="","", 'Equipment Information'!C132)</f>
        <v>Warehouse</v>
      </c>
      <c r="F132" t="s">
        <v>425</v>
      </c>
    </row>
    <row r="133" spans="1:7" x14ac:dyDescent="0.25">
      <c r="A133" t="str">
        <f>IF('Equipment Information'!A133="","", 'Equipment Information'!A133)</f>
        <v>20260779</v>
      </c>
      <c r="B133" t="str">
        <f>IF('Equipment Information'!B133="","", 'Equipment Information'!B133)</f>
        <v>AGT - R&amp;D</v>
      </c>
      <c r="C133" t="str">
        <f>IF('Equipment Information'!C133="","", 'Equipment Information'!C133)</f>
        <v>Boiler Room</v>
      </c>
      <c r="F133" t="s">
        <v>425</v>
      </c>
    </row>
    <row r="134" spans="1:7" x14ac:dyDescent="0.25">
      <c r="A134" t="str">
        <f>IF('Equipment Information'!A134="","", 'Equipment Information'!A134)</f>
        <v>20260780</v>
      </c>
      <c r="B134" t="str">
        <f>IF('Equipment Information'!B134="","", 'Equipment Information'!B134)</f>
        <v>VS - R&amp;D</v>
      </c>
      <c r="C134" t="str">
        <f>IF('Equipment Information'!C134="","", 'Equipment Information'!C134)</f>
        <v>Boiler Room</v>
      </c>
      <c r="F134" t="s">
        <v>425</v>
      </c>
    </row>
    <row r="135" spans="1:7" x14ac:dyDescent="0.25">
      <c r="A135" t="str">
        <f>IF('Equipment Information'!A135="","", 'Equipment Information'!A135)</f>
        <v>20260781</v>
      </c>
      <c r="B135" t="str">
        <f>IF('Equipment Information'!B135="","", 'Equipment Information'!B135)</f>
        <v>RED PP-1</v>
      </c>
      <c r="C135" t="str">
        <f>IF('Equipment Information'!C135="","", 'Equipment Information'!C135)</f>
        <v>Boiler Room</v>
      </c>
      <c r="F135" t="s">
        <v>425</v>
      </c>
    </row>
    <row r="136" spans="1:7" x14ac:dyDescent="0.25">
      <c r="A136" t="str">
        <f>IF('Equipment Information'!A136="","", 'Equipment Information'!A136)</f>
        <v>20260782</v>
      </c>
      <c r="B136" t="str">
        <f>IF('Equipment Information'!B136="","", 'Equipment Information'!B136)</f>
        <v>RED PP-2</v>
      </c>
      <c r="C136" t="str">
        <f>IF('Equipment Information'!C136="","", 'Equipment Information'!C136)</f>
        <v>Boiler Room</v>
      </c>
      <c r="F136" t="s">
        <v>425</v>
      </c>
    </row>
    <row r="137" spans="1:7" x14ac:dyDescent="0.25">
      <c r="A137" t="str">
        <f>IF('Equipment Information'!A137="","", 'Equipment Information'!A137)</f>
        <v>20260783</v>
      </c>
      <c r="B137" t="str">
        <f>IF('Equipment Information'!B137="","", 'Equipment Information'!B137)</f>
        <v>CP-Boiler #1 Disconnect</v>
      </c>
      <c r="C137" t="str">
        <f>IF('Equipment Information'!C137="","", 'Equipment Information'!C137)</f>
        <v>Boiler Room</v>
      </c>
      <c r="F137" t="s">
        <v>425</v>
      </c>
    </row>
    <row r="138" spans="1:7" x14ac:dyDescent="0.25">
      <c r="A138" t="str">
        <f>IF('Equipment Information'!A138="","", 'Equipment Information'!A138)</f>
        <v>20260784</v>
      </c>
      <c r="B138" t="str">
        <f>IF('Equipment Information'!B138="","", 'Equipment Information'!B138)</f>
        <v>CP-Boiler #1</v>
      </c>
      <c r="C138" t="str">
        <f>IF('Equipment Information'!C138="","", 'Equipment Information'!C138)</f>
        <v>Boiler Room</v>
      </c>
      <c r="D138" t="s">
        <v>436</v>
      </c>
      <c r="E138" t="s">
        <v>438</v>
      </c>
      <c r="F138" t="s">
        <v>429</v>
      </c>
      <c r="G138" s="5" t="s">
        <v>439</v>
      </c>
    </row>
    <row r="139" spans="1:7" x14ac:dyDescent="0.25">
      <c r="A139" t="str">
        <f>IF('Equipment Information'!A139="","", 'Equipment Information'!A139)</f>
        <v>20260785</v>
      </c>
      <c r="B139" t="str">
        <f>IF('Equipment Information'!B139="","", 'Equipment Information'!B139)</f>
        <v>-</v>
      </c>
      <c r="C139" t="str">
        <f>IF('Equipment Information'!C139="","", 'Equipment Information'!C139)</f>
        <v>Boiler Room</v>
      </c>
      <c r="F139" t="s">
        <v>425</v>
      </c>
    </row>
    <row r="140" spans="1:7" x14ac:dyDescent="0.25">
      <c r="A140" t="str">
        <f>IF('Equipment Information'!A140="","", 'Equipment Information'!A140)</f>
        <v>20260786</v>
      </c>
      <c r="B140" t="str">
        <f>IF('Equipment Information'!B140="","", 'Equipment Information'!B140)</f>
        <v>-</v>
      </c>
      <c r="C140" t="str">
        <f>IF('Equipment Information'!C140="","", 'Equipment Information'!C140)</f>
        <v>Boiler Room</v>
      </c>
      <c r="F140" t="s">
        <v>425</v>
      </c>
    </row>
    <row r="141" spans="1:7" x14ac:dyDescent="0.25">
      <c r="A141" t="str">
        <f>IF('Equipment Information'!A141="","", 'Equipment Information'!A141)</f>
        <v>20260787</v>
      </c>
      <c r="B141" t="str">
        <f>IF('Equipment Information'!B141="","", 'Equipment Information'!B141)</f>
        <v>-</v>
      </c>
      <c r="C141" t="str">
        <f>IF('Equipment Information'!C141="","", 'Equipment Information'!C141)</f>
        <v>Boiler Mechanical Room</v>
      </c>
      <c r="F141" t="s">
        <v>425</v>
      </c>
    </row>
    <row r="142" spans="1:7" x14ac:dyDescent="0.25">
      <c r="A142" t="str">
        <f>IF('Equipment Information'!A142="","", 'Equipment Information'!A142)</f>
        <v>20260788</v>
      </c>
      <c r="B142" t="str">
        <f>IF('Equipment Information'!B142="","", 'Equipment Information'!B142)</f>
        <v>-</v>
      </c>
      <c r="C142" t="str">
        <f>IF('Equipment Information'!C142="","", 'Equipment Information'!C142)</f>
        <v>Boiler Mechanical Room</v>
      </c>
      <c r="F142" t="s">
        <v>425</v>
      </c>
    </row>
    <row r="143" spans="1:7" x14ac:dyDescent="0.25">
      <c r="A143" t="str">
        <f>IF('Equipment Information'!A143="","", 'Equipment Information'!A143)</f>
        <v>20260789</v>
      </c>
      <c r="B143" t="str">
        <f>IF('Equipment Information'!B143="","", 'Equipment Information'!B143)</f>
        <v/>
      </c>
      <c r="C143" t="str">
        <f>IF('Equipment Information'!C143="","", 'Equipment Information'!C143)</f>
        <v>Boiler Mechanical Room</v>
      </c>
      <c r="F143" t="s">
        <v>425</v>
      </c>
    </row>
    <row r="144" spans="1:7" x14ac:dyDescent="0.25">
      <c r="A144" t="str">
        <f>IF('Equipment Information'!A144="","", 'Equipment Information'!A144)</f>
        <v>20260790</v>
      </c>
      <c r="B144" t="str">
        <f>IF('Equipment Information'!B144="","", 'Equipment Information'!B144)</f>
        <v/>
      </c>
      <c r="C144" t="str">
        <f>IF('Equipment Information'!C144="","", 'Equipment Information'!C144)</f>
        <v>Boiler Mechanical Room</v>
      </c>
      <c r="F144" t="s">
        <v>425</v>
      </c>
    </row>
    <row r="145" spans="1:6" x14ac:dyDescent="0.25">
      <c r="A145" t="str">
        <f>IF('Equipment Information'!A145="","", 'Equipment Information'!A145)</f>
        <v>20260791</v>
      </c>
      <c r="B145" t="str">
        <f>IF('Equipment Information'!B145="","", 'Equipment Information'!B145)</f>
        <v>100 HP Compressor Disconnect</v>
      </c>
      <c r="C145" t="str">
        <f>IF('Equipment Information'!C145="","", 'Equipment Information'!C145)</f>
        <v>Compressor Room</v>
      </c>
      <c r="F145" t="s">
        <v>425</v>
      </c>
    </row>
    <row r="146" spans="1:6" x14ac:dyDescent="0.25">
      <c r="A146" t="str">
        <f>IF('Equipment Information'!A146="","", 'Equipment Information'!A146)</f>
        <v>20260792</v>
      </c>
      <c r="B146" t="str">
        <f>IF('Equipment Information'!B146="","", 'Equipment Information'!B146)</f>
        <v>100 HP Compressor</v>
      </c>
      <c r="C146" t="str">
        <f>IF('Equipment Information'!C146="","", 'Equipment Information'!C146)</f>
        <v>Compressor Room</v>
      </c>
      <c r="F146" t="s">
        <v>425</v>
      </c>
    </row>
    <row r="147" spans="1:6" x14ac:dyDescent="0.25">
      <c r="A147" t="str">
        <f>IF('Equipment Information'!A147="","", 'Equipment Information'!A147)</f>
        <v>20260793</v>
      </c>
      <c r="B147" t="str">
        <f>IF('Equipment Information'!B147="","", 'Equipment Information'!B147)</f>
        <v>150 HP Compressor</v>
      </c>
      <c r="C147" t="str">
        <f>IF('Equipment Information'!C147="","", 'Equipment Information'!C147)</f>
        <v>Compressor Room</v>
      </c>
      <c r="F147" t="s">
        <v>425</v>
      </c>
    </row>
    <row r="148" spans="1:6" x14ac:dyDescent="0.25">
      <c r="A148" t="str">
        <f>IF('Equipment Information'!A148="","", 'Equipment Information'!A148)</f>
        <v>20260794</v>
      </c>
      <c r="B148" t="str">
        <f>IF('Equipment Information'!B148="","", 'Equipment Information'!B148)</f>
        <v>Exhasut Fan Cabinet</v>
      </c>
      <c r="C148" t="str">
        <f>IF('Equipment Information'!C148="","", 'Equipment Information'!C148)</f>
        <v>Compressor Room</v>
      </c>
      <c r="F148" t="s">
        <v>425</v>
      </c>
    </row>
    <row r="149" spans="1:6" x14ac:dyDescent="0.25">
      <c r="A149" t="str">
        <f>IF('Equipment Information'!A149="","", 'Equipment Information'!A149)</f>
        <v>20260795</v>
      </c>
      <c r="B149" t="str">
        <f>IF('Equipment Information'!B149="","", 'Equipment Information'!B149)</f>
        <v>Air Dryer Disconnect</v>
      </c>
      <c r="C149" t="str">
        <f>IF('Equipment Information'!C149="","", 'Equipment Information'!C149)</f>
        <v>Compressor Room</v>
      </c>
      <c r="F149" t="s">
        <v>425</v>
      </c>
    </row>
    <row r="150" spans="1:6" x14ac:dyDescent="0.25">
      <c r="A150" t="str">
        <f>IF('Equipment Information'!A150="","", 'Equipment Information'!A150)</f>
        <v>20260796</v>
      </c>
      <c r="B150" t="str">
        <f>IF('Equipment Information'!B150="","", 'Equipment Information'!B150)</f>
        <v>Air Dryer</v>
      </c>
      <c r="C150" t="str">
        <f>IF('Equipment Information'!C150="","", 'Equipment Information'!C150)</f>
        <v>Compressor Room</v>
      </c>
      <c r="F150" t="s">
        <v>425</v>
      </c>
    </row>
    <row r="151" spans="1:6" x14ac:dyDescent="0.25">
      <c r="A151" t="str">
        <f>IF('Equipment Information'!A151="","", 'Equipment Information'!A151)</f>
        <v>20260797</v>
      </c>
      <c r="B151" t="str">
        <f>IF('Equipment Information'!B151="","", 'Equipment Information'!B151)</f>
        <v>150 HP Compressor Disconnect</v>
      </c>
      <c r="C151" t="str">
        <f>IF('Equipment Information'!C151="","", 'Equipment Information'!C151)</f>
        <v>Maintenance Area</v>
      </c>
      <c r="F151" t="s">
        <v>425</v>
      </c>
    </row>
    <row r="152" spans="1:6" x14ac:dyDescent="0.25">
      <c r="A152" t="str">
        <f>IF('Equipment Information'!A152="","", 'Equipment Information'!A152)</f>
        <v>20260798</v>
      </c>
      <c r="B152" t="str">
        <f>IF('Equipment Information'!B152="","", 'Equipment Information'!B152)</f>
        <v>Maintenance PP-1</v>
      </c>
      <c r="C152" t="str">
        <f>IF('Equipment Information'!C152="","", 'Equipment Information'!C152)</f>
        <v>Maintenance Area</v>
      </c>
      <c r="F152" t="s">
        <v>425</v>
      </c>
    </row>
    <row r="153" spans="1:6" x14ac:dyDescent="0.25">
      <c r="A153" t="str">
        <f>IF('Equipment Information'!A153="","", 'Equipment Information'!A153)</f>
        <v>20260799</v>
      </c>
      <c r="B153" t="str">
        <f>IF('Equipment Information'!B153="","", 'Equipment Information'!B153)</f>
        <v/>
      </c>
      <c r="C153" t="str">
        <f>IF('Equipment Information'!C153="","", 'Equipment Information'!C153)</f>
        <v>Maintenance Area</v>
      </c>
      <c r="F153" t="s">
        <v>425</v>
      </c>
    </row>
    <row r="154" spans="1:6" x14ac:dyDescent="0.25">
      <c r="A154" t="str">
        <f>IF('Equipment Information'!A154="","", 'Equipment Information'!A154)</f>
        <v>20260800</v>
      </c>
      <c r="B154" t="str">
        <f>IF('Equipment Information'!B154="","", 'Equipment Information'!B154)</f>
        <v/>
      </c>
      <c r="C154" t="str">
        <f>IF('Equipment Information'!C154="","", 'Equipment Information'!C154)</f>
        <v>Maintenance Area</v>
      </c>
      <c r="F154" t="s">
        <v>425</v>
      </c>
    </row>
    <row r="155" spans="1:6" x14ac:dyDescent="0.25">
      <c r="A155" t="str">
        <f>IF('Equipment Information'!A155="","", 'Equipment Information'!A155)</f>
        <v>20260801</v>
      </c>
      <c r="B155" t="str">
        <f>IF('Equipment Information'!B155="","", 'Equipment Information'!B155)</f>
        <v/>
      </c>
      <c r="C155" t="str">
        <f>IF('Equipment Information'!C155="","", 'Equipment Information'!C155)</f>
        <v>Maintenance Area</v>
      </c>
      <c r="F155" t="s">
        <v>425</v>
      </c>
    </row>
    <row r="156" spans="1:6" x14ac:dyDescent="0.25">
      <c r="A156" t="str">
        <f>IF('Equipment Information'!A156="","", 'Equipment Information'!A156)</f>
        <v>20260802</v>
      </c>
      <c r="B156" t="str">
        <f>IF('Equipment Information'!B156="","", 'Equipment Information'!B156)</f>
        <v/>
      </c>
      <c r="C156" t="str">
        <f>IF('Equipment Information'!C156="","", 'Equipment Information'!C156)</f>
        <v>Outside of Maintenance Area</v>
      </c>
      <c r="F156" t="str">
        <f t="shared" ref="F156:F219" si="0">IF(A156="","","N/A")</f>
        <v>N/A</v>
      </c>
    </row>
    <row r="157" spans="1:6" x14ac:dyDescent="0.25">
      <c r="A157" t="str">
        <f>IF('Equipment Information'!A157="","", 'Equipment Information'!A157)</f>
        <v>20260803</v>
      </c>
      <c r="B157" t="str">
        <f>IF('Equipment Information'!B157="","", 'Equipment Information'!B157)</f>
        <v/>
      </c>
      <c r="C157" t="str">
        <f>IF('Equipment Information'!C157="","", 'Equipment Information'!C157)</f>
        <v>Outside of Maintenance Area</v>
      </c>
      <c r="F157" t="str">
        <f t="shared" si="0"/>
        <v>N/A</v>
      </c>
    </row>
    <row r="158" spans="1:6" x14ac:dyDescent="0.25">
      <c r="A158" t="str">
        <f>IF('Equipment Information'!A158="","", 'Equipment Information'!A158)</f>
        <v>20260804</v>
      </c>
      <c r="B158" t="str">
        <f>IF('Equipment Information'!B158="","", 'Equipment Information'!B158)</f>
        <v>ATS #1</v>
      </c>
      <c r="C158" t="str">
        <f>IF('Equipment Information'!C158="","", 'Equipment Information'!C158)</f>
        <v>Basement</v>
      </c>
      <c r="F158" t="str">
        <f t="shared" si="0"/>
        <v>N/A</v>
      </c>
    </row>
    <row r="159" spans="1:6" x14ac:dyDescent="0.25">
      <c r="A159" t="str">
        <f>IF('Equipment Information'!A159="","", 'Equipment Information'!A159)</f>
        <v>20260805</v>
      </c>
      <c r="B159" t="str">
        <f>IF('Equipment Information'!B159="","", 'Equipment Information'!B159)</f>
        <v>Panel #3 Main Disconnect</v>
      </c>
      <c r="C159" t="str">
        <f>IF('Equipment Information'!C159="","", 'Equipment Information'!C159)</f>
        <v>Basement</v>
      </c>
      <c r="F159" t="str">
        <f t="shared" si="0"/>
        <v>N/A</v>
      </c>
    </row>
    <row r="160" spans="1:6" x14ac:dyDescent="0.25">
      <c r="A160" t="str">
        <f>IF('Equipment Information'!A160="","", 'Equipment Information'!A160)</f>
        <v>20260806</v>
      </c>
      <c r="B160" t="str">
        <f>IF('Equipment Information'!B160="","", 'Equipment Information'!B160)</f>
        <v>Transformer #2 Disconnect</v>
      </c>
      <c r="C160" t="str">
        <f>IF('Equipment Information'!C160="","", 'Equipment Information'!C160)</f>
        <v>Basement</v>
      </c>
      <c r="F160" t="str">
        <f t="shared" si="0"/>
        <v>N/A</v>
      </c>
    </row>
    <row r="161" spans="1:6" x14ac:dyDescent="0.25">
      <c r="A161" t="str">
        <f>IF('Equipment Information'!A161="","", 'Equipment Information'!A161)</f>
        <v>20260807</v>
      </c>
      <c r="B161" t="str">
        <f>IF('Equipment Information'!B161="","", 'Equipment Information'!B161)</f>
        <v>LP-1 Main Disconnect</v>
      </c>
      <c r="C161" t="str">
        <f>IF('Equipment Information'!C161="","", 'Equipment Information'!C161)</f>
        <v>Basement</v>
      </c>
      <c r="F161" t="str">
        <f t="shared" si="0"/>
        <v>N/A</v>
      </c>
    </row>
    <row r="162" spans="1:6" x14ac:dyDescent="0.25">
      <c r="A162" t="str">
        <f>IF('Equipment Information'!A162="","", 'Equipment Information'!A162)</f>
        <v>20260808</v>
      </c>
      <c r="B162" t="str">
        <f>IF('Equipment Information'!B162="","", 'Equipment Information'!B162)</f>
        <v>Panel #1</v>
      </c>
      <c r="C162" t="str">
        <f>IF('Equipment Information'!C162="","", 'Equipment Information'!C162)</f>
        <v>Basement</v>
      </c>
      <c r="F162" t="str">
        <f t="shared" si="0"/>
        <v>N/A</v>
      </c>
    </row>
    <row r="163" spans="1:6" x14ac:dyDescent="0.25">
      <c r="A163" t="str">
        <f>IF('Equipment Information'!A163="","", 'Equipment Information'!A163)</f>
        <v>20260809</v>
      </c>
      <c r="B163" t="str">
        <f>IF('Equipment Information'!B163="","", 'Equipment Information'!B163)</f>
        <v>Panel #4</v>
      </c>
      <c r="C163" t="str">
        <f>IF('Equipment Information'!C163="","", 'Equipment Information'!C163)</f>
        <v>Basement</v>
      </c>
      <c r="F163" t="str">
        <f t="shared" si="0"/>
        <v>N/A</v>
      </c>
    </row>
    <row r="164" spans="1:6" x14ac:dyDescent="0.25">
      <c r="A164" t="str">
        <f>IF('Equipment Information'!A164="","", 'Equipment Information'!A164)</f>
        <v>20260810</v>
      </c>
      <c r="B164" t="str">
        <f>IF('Equipment Information'!B164="","", 'Equipment Information'!B164)</f>
        <v>Panel #2</v>
      </c>
      <c r="C164" t="str">
        <f>IF('Equipment Information'!C164="","", 'Equipment Information'!C164)</f>
        <v>Basement</v>
      </c>
      <c r="F164" t="str">
        <f t="shared" si="0"/>
        <v>N/A</v>
      </c>
    </row>
    <row r="165" spans="1:6" x14ac:dyDescent="0.25">
      <c r="A165" t="str">
        <f>IF('Equipment Information'!A165="","", 'Equipment Information'!A165)</f>
        <v>20260811</v>
      </c>
      <c r="B165" t="str">
        <f>IF('Equipment Information'!B165="","", 'Equipment Information'!B165)</f>
        <v>Transformer #1</v>
      </c>
      <c r="C165" t="str">
        <f>IF('Equipment Information'!C165="","", 'Equipment Information'!C165)</f>
        <v>Basement</v>
      </c>
      <c r="F165" t="str">
        <f t="shared" si="0"/>
        <v>N/A</v>
      </c>
    </row>
    <row r="166" spans="1:6" x14ac:dyDescent="0.25">
      <c r="A166" t="str">
        <f>IF('Equipment Information'!A166="","", 'Equipment Information'!A166)</f>
        <v>20260812</v>
      </c>
      <c r="B166" t="str">
        <f>IF('Equipment Information'!B166="","", 'Equipment Information'!B166)</f>
        <v>Transformer #2</v>
      </c>
      <c r="C166" t="str">
        <f>IF('Equipment Information'!C166="","", 'Equipment Information'!C166)</f>
        <v>Basement</v>
      </c>
      <c r="F166" t="str">
        <f t="shared" si="0"/>
        <v>N/A</v>
      </c>
    </row>
    <row r="167" spans="1:6" x14ac:dyDescent="0.25">
      <c r="A167" t="str">
        <f>IF('Equipment Information'!A167="","", 'Equipment Information'!A167)</f>
        <v>20260813</v>
      </c>
      <c r="B167" t="str">
        <f>IF('Equipment Information'!B167="","", 'Equipment Information'!B167)</f>
        <v>Panel #3</v>
      </c>
      <c r="C167" t="str">
        <f>IF('Equipment Information'!C167="","", 'Equipment Information'!C167)</f>
        <v>Basement</v>
      </c>
      <c r="F167" t="str">
        <f t="shared" si="0"/>
        <v>N/A</v>
      </c>
    </row>
    <row r="168" spans="1:6" x14ac:dyDescent="0.25">
      <c r="A168" t="str">
        <f>IF('Equipment Information'!A168="","", 'Equipment Information'!A168)</f>
        <v>20260814</v>
      </c>
      <c r="B168" t="str">
        <f>IF('Equipment Information'!B168="","", 'Equipment Information'!B168)</f>
        <v/>
      </c>
      <c r="C168" t="str">
        <f>IF('Equipment Information'!C168="","", 'Equipment Information'!C168)</f>
        <v>Hallway</v>
      </c>
      <c r="F168" t="str">
        <f t="shared" si="0"/>
        <v>N/A</v>
      </c>
    </row>
    <row r="169" spans="1:6" x14ac:dyDescent="0.25">
      <c r="A169" t="str">
        <f>IF('Equipment Information'!A169="","", 'Equipment Information'!A169)</f>
        <v/>
      </c>
      <c r="B169" t="str">
        <f>IF('Equipment Information'!B169="","", 'Equipment Information'!B169)</f>
        <v/>
      </c>
      <c r="C169" t="str">
        <f>IF('Equipment Information'!C169="","", 'Equipment Information'!C169)</f>
        <v/>
      </c>
      <c r="F169" t="str">
        <f t="shared" si="0"/>
        <v/>
      </c>
    </row>
    <row r="170" spans="1:6" x14ac:dyDescent="0.25">
      <c r="A170" t="str">
        <f>IF('Equipment Information'!A170="","", 'Equipment Information'!A170)</f>
        <v/>
      </c>
      <c r="B170" t="str">
        <f>IF('Equipment Information'!B170="","", 'Equipment Information'!B170)</f>
        <v/>
      </c>
      <c r="C170" t="str">
        <f>IF('Equipment Information'!C170="","", 'Equipment Information'!C170)</f>
        <v/>
      </c>
      <c r="F170" t="str">
        <f t="shared" si="0"/>
        <v/>
      </c>
    </row>
    <row r="171" spans="1:6" x14ac:dyDescent="0.25">
      <c r="A171" t="str">
        <f>IF('Equipment Information'!A171="","", 'Equipment Information'!A171)</f>
        <v/>
      </c>
      <c r="B171" t="str">
        <f>IF('Equipment Information'!B171="","", 'Equipment Information'!B171)</f>
        <v/>
      </c>
      <c r="C171" t="str">
        <f>IF('Equipment Information'!C171="","", 'Equipment Information'!C171)</f>
        <v/>
      </c>
      <c r="F171" t="str">
        <f t="shared" si="0"/>
        <v/>
      </c>
    </row>
    <row r="172" spans="1:6" x14ac:dyDescent="0.25">
      <c r="A172" t="str">
        <f>IF('Equipment Information'!A172="","", 'Equipment Information'!A172)</f>
        <v/>
      </c>
      <c r="B172" t="str">
        <f>IF('Equipment Information'!B172="","", 'Equipment Information'!B172)</f>
        <v/>
      </c>
      <c r="C172" t="str">
        <f>IF('Equipment Information'!C172="","", 'Equipment Information'!C172)</f>
        <v/>
      </c>
      <c r="F172" t="str">
        <f t="shared" si="0"/>
        <v/>
      </c>
    </row>
    <row r="173" spans="1:6" x14ac:dyDescent="0.25">
      <c r="A173" t="str">
        <f>IF('Equipment Information'!A173="","", 'Equipment Information'!A173)</f>
        <v/>
      </c>
      <c r="B173" t="str">
        <f>IF('Equipment Information'!B173="","", 'Equipment Information'!B173)</f>
        <v/>
      </c>
      <c r="C173" t="str">
        <f>IF('Equipment Information'!C173="","", 'Equipment Information'!C173)</f>
        <v/>
      </c>
      <c r="F173" t="str">
        <f t="shared" si="0"/>
        <v/>
      </c>
    </row>
    <row r="174" spans="1:6" x14ac:dyDescent="0.25">
      <c r="A174" t="str">
        <f>IF('Equipment Information'!A174="","", 'Equipment Information'!A174)</f>
        <v/>
      </c>
      <c r="B174" t="str">
        <f>IF('Equipment Information'!B174="","", 'Equipment Information'!B174)</f>
        <v/>
      </c>
      <c r="C174" t="str">
        <f>IF('Equipment Information'!C174="","", 'Equipment Information'!C174)</f>
        <v/>
      </c>
      <c r="F174" t="str">
        <f t="shared" si="0"/>
        <v/>
      </c>
    </row>
    <row r="175" spans="1:6" x14ac:dyDescent="0.25">
      <c r="A175" t="str">
        <f>IF('Equipment Information'!A175="","", 'Equipment Information'!A175)</f>
        <v/>
      </c>
      <c r="B175" t="str">
        <f>IF('Equipment Information'!B175="","", 'Equipment Information'!B175)</f>
        <v/>
      </c>
      <c r="C175" t="str">
        <f>IF('Equipment Information'!C175="","", 'Equipment Information'!C175)</f>
        <v/>
      </c>
      <c r="F175" t="str">
        <f t="shared" si="0"/>
        <v/>
      </c>
    </row>
    <row r="176" spans="1:6" x14ac:dyDescent="0.25">
      <c r="A176" t="str">
        <f>IF('Equipment Information'!A176="","", 'Equipment Information'!A176)</f>
        <v/>
      </c>
      <c r="B176" t="str">
        <f>IF('Equipment Information'!B176="","", 'Equipment Information'!B176)</f>
        <v/>
      </c>
      <c r="C176" t="str">
        <f>IF('Equipment Information'!C176="","", 'Equipment Information'!C176)</f>
        <v/>
      </c>
      <c r="F176" t="str">
        <f t="shared" si="0"/>
        <v/>
      </c>
    </row>
    <row r="177" spans="1:6" x14ac:dyDescent="0.25">
      <c r="A177" t="str">
        <f>IF('Equipment Information'!A177="","", 'Equipment Information'!A177)</f>
        <v/>
      </c>
      <c r="B177" t="str">
        <f>IF('Equipment Information'!B177="","", 'Equipment Information'!B177)</f>
        <v/>
      </c>
      <c r="C177" t="str">
        <f>IF('Equipment Information'!C177="","", 'Equipment Information'!C177)</f>
        <v/>
      </c>
      <c r="F177" t="str">
        <f t="shared" si="0"/>
        <v/>
      </c>
    </row>
    <row r="178" spans="1:6" x14ac:dyDescent="0.25">
      <c r="A178" t="str">
        <f>IF('Equipment Information'!A178="","", 'Equipment Information'!A178)</f>
        <v/>
      </c>
      <c r="B178" t="str">
        <f>IF('Equipment Information'!B178="","", 'Equipment Information'!B178)</f>
        <v/>
      </c>
      <c r="C178" t="str">
        <f>IF('Equipment Information'!C178="","", 'Equipment Information'!C178)</f>
        <v/>
      </c>
      <c r="F178" t="str">
        <f t="shared" si="0"/>
        <v/>
      </c>
    </row>
    <row r="179" spans="1:6" x14ac:dyDescent="0.25">
      <c r="A179" t="str">
        <f>IF('Equipment Information'!A179="","", 'Equipment Information'!A179)</f>
        <v/>
      </c>
      <c r="B179" t="str">
        <f>IF('Equipment Information'!B179="","", 'Equipment Information'!B179)</f>
        <v/>
      </c>
      <c r="C179" t="str">
        <f>IF('Equipment Information'!C179="","", 'Equipment Information'!C179)</f>
        <v/>
      </c>
      <c r="F179" t="str">
        <f t="shared" si="0"/>
        <v/>
      </c>
    </row>
    <row r="180" spans="1:6" x14ac:dyDescent="0.25">
      <c r="A180" t="str">
        <f>IF('Equipment Information'!A180="","", 'Equipment Information'!A180)</f>
        <v/>
      </c>
      <c r="B180" t="str">
        <f>IF('Equipment Information'!B180="","", 'Equipment Information'!B180)</f>
        <v/>
      </c>
      <c r="C180" t="str">
        <f>IF('Equipment Information'!C180="","", 'Equipment Information'!C180)</f>
        <v/>
      </c>
      <c r="F180" t="str">
        <f t="shared" si="0"/>
        <v/>
      </c>
    </row>
    <row r="181" spans="1:6" x14ac:dyDescent="0.25">
      <c r="A181" t="str">
        <f>IF('Equipment Information'!A181="","", 'Equipment Information'!A181)</f>
        <v/>
      </c>
      <c r="B181" t="str">
        <f>IF('Equipment Information'!B181="","", 'Equipment Information'!B181)</f>
        <v/>
      </c>
      <c r="C181" t="str">
        <f>IF('Equipment Information'!C181="","", 'Equipment Information'!C181)</f>
        <v/>
      </c>
      <c r="F181" t="str">
        <f t="shared" si="0"/>
        <v/>
      </c>
    </row>
    <row r="182" spans="1:6" x14ac:dyDescent="0.25">
      <c r="A182" t="str">
        <f>IF('Equipment Information'!A182="","", 'Equipment Information'!A182)</f>
        <v/>
      </c>
      <c r="B182" t="str">
        <f>IF('Equipment Information'!B182="","", 'Equipment Information'!B182)</f>
        <v/>
      </c>
      <c r="C182" t="str">
        <f>IF('Equipment Information'!C182="","", 'Equipment Information'!C182)</f>
        <v/>
      </c>
      <c r="F182" t="str">
        <f t="shared" si="0"/>
        <v/>
      </c>
    </row>
    <row r="183" spans="1:6" x14ac:dyDescent="0.25">
      <c r="A183" t="str">
        <f>IF('Equipment Information'!A183="","", 'Equipment Information'!A183)</f>
        <v/>
      </c>
      <c r="B183" t="str">
        <f>IF('Equipment Information'!B183="","", 'Equipment Information'!B183)</f>
        <v/>
      </c>
      <c r="C183" t="str">
        <f>IF('Equipment Information'!C183="","", 'Equipment Information'!C183)</f>
        <v/>
      </c>
      <c r="F183" t="str">
        <f t="shared" si="0"/>
        <v/>
      </c>
    </row>
    <row r="184" spans="1:6" x14ac:dyDescent="0.25">
      <c r="A184" t="str">
        <f>IF('Equipment Information'!A184="","", 'Equipment Information'!A184)</f>
        <v/>
      </c>
      <c r="B184" t="str">
        <f>IF('Equipment Information'!B184="","", 'Equipment Information'!B184)</f>
        <v/>
      </c>
      <c r="C184" t="str">
        <f>IF('Equipment Information'!C184="","", 'Equipment Information'!C184)</f>
        <v/>
      </c>
      <c r="F184" t="str">
        <f t="shared" si="0"/>
        <v/>
      </c>
    </row>
    <row r="185" spans="1:6" x14ac:dyDescent="0.25">
      <c r="A185" t="str">
        <f>IF('Equipment Information'!A185="","", 'Equipment Information'!A185)</f>
        <v/>
      </c>
      <c r="B185" t="str">
        <f>IF('Equipment Information'!B185="","", 'Equipment Information'!B185)</f>
        <v/>
      </c>
      <c r="C185" t="str">
        <f>IF('Equipment Information'!C185="","", 'Equipment Information'!C185)</f>
        <v/>
      </c>
      <c r="F185" t="str">
        <f t="shared" si="0"/>
        <v/>
      </c>
    </row>
    <row r="186" spans="1:6" x14ac:dyDescent="0.25">
      <c r="A186" t="str">
        <f>IF('Equipment Information'!A186="","", 'Equipment Information'!A186)</f>
        <v/>
      </c>
      <c r="B186" t="str">
        <f>IF('Equipment Information'!B186="","", 'Equipment Information'!B186)</f>
        <v/>
      </c>
      <c r="C186" t="str">
        <f>IF('Equipment Information'!C186="","", 'Equipment Information'!C186)</f>
        <v/>
      </c>
      <c r="F186" t="str">
        <f t="shared" si="0"/>
        <v/>
      </c>
    </row>
    <row r="187" spans="1:6" x14ac:dyDescent="0.25">
      <c r="A187" t="str">
        <f>IF('Equipment Information'!A187="","", 'Equipment Information'!A187)</f>
        <v/>
      </c>
      <c r="B187" t="str">
        <f>IF('Equipment Information'!B187="","", 'Equipment Information'!B187)</f>
        <v/>
      </c>
      <c r="C187" t="str">
        <f>IF('Equipment Information'!C187="","", 'Equipment Information'!C187)</f>
        <v/>
      </c>
      <c r="F187" t="str">
        <f t="shared" si="0"/>
        <v/>
      </c>
    </row>
    <row r="188" spans="1:6" x14ac:dyDescent="0.25">
      <c r="A188" t="str">
        <f>IF('Equipment Information'!A188="","", 'Equipment Information'!A188)</f>
        <v/>
      </c>
      <c r="B188" t="str">
        <f>IF('Equipment Information'!B188="","", 'Equipment Information'!B188)</f>
        <v/>
      </c>
      <c r="C188" t="str">
        <f>IF('Equipment Information'!C188="","", 'Equipment Information'!C188)</f>
        <v/>
      </c>
      <c r="F188" t="str">
        <f t="shared" si="0"/>
        <v/>
      </c>
    </row>
    <row r="189" spans="1:6" x14ac:dyDescent="0.25">
      <c r="A189" t="str">
        <f>IF('Equipment Information'!A189="","", 'Equipment Information'!A189)</f>
        <v/>
      </c>
      <c r="B189" t="str">
        <f>IF('Equipment Information'!B189="","", 'Equipment Information'!B189)</f>
        <v/>
      </c>
      <c r="C189" t="str">
        <f>IF('Equipment Information'!C189="","", 'Equipment Information'!C189)</f>
        <v/>
      </c>
      <c r="F189" t="str">
        <f t="shared" si="0"/>
        <v/>
      </c>
    </row>
    <row r="190" spans="1:6" x14ac:dyDescent="0.25">
      <c r="A190" t="str">
        <f>IF('Equipment Information'!A190="","", 'Equipment Information'!A190)</f>
        <v/>
      </c>
      <c r="B190" t="str">
        <f>IF('Equipment Information'!B190="","", 'Equipment Information'!B190)</f>
        <v/>
      </c>
      <c r="C190" t="str">
        <f>IF('Equipment Information'!C190="","", 'Equipment Information'!C190)</f>
        <v/>
      </c>
      <c r="F190" t="str">
        <f t="shared" si="0"/>
        <v/>
      </c>
    </row>
    <row r="191" spans="1:6" x14ac:dyDescent="0.25">
      <c r="A191" t="str">
        <f>IF('Equipment Information'!A191="","", 'Equipment Information'!A191)</f>
        <v/>
      </c>
      <c r="B191" t="str">
        <f>IF('Equipment Information'!B191="","", 'Equipment Information'!B191)</f>
        <v/>
      </c>
      <c r="C191" t="str">
        <f>IF('Equipment Information'!C191="","", 'Equipment Information'!C191)</f>
        <v/>
      </c>
      <c r="F191" t="str">
        <f t="shared" si="0"/>
        <v/>
      </c>
    </row>
    <row r="192" spans="1:6" x14ac:dyDescent="0.25">
      <c r="A192" t="str">
        <f>IF('Equipment Information'!A192="","", 'Equipment Information'!A192)</f>
        <v/>
      </c>
      <c r="B192" t="str">
        <f>IF('Equipment Information'!B192="","", 'Equipment Information'!B192)</f>
        <v/>
      </c>
      <c r="C192" t="str">
        <f>IF('Equipment Information'!C192="","", 'Equipment Information'!C192)</f>
        <v/>
      </c>
      <c r="F192" t="str">
        <f t="shared" si="0"/>
        <v/>
      </c>
    </row>
    <row r="193" spans="1:6" x14ac:dyDescent="0.25">
      <c r="A193" t="str">
        <f>IF('Equipment Information'!A193="","", 'Equipment Information'!A193)</f>
        <v/>
      </c>
      <c r="B193" t="str">
        <f>IF('Equipment Information'!B193="","", 'Equipment Information'!B193)</f>
        <v/>
      </c>
      <c r="C193" t="str">
        <f>IF('Equipment Information'!C193="","", 'Equipment Information'!C193)</f>
        <v/>
      </c>
      <c r="F193" t="str">
        <f t="shared" si="0"/>
        <v/>
      </c>
    </row>
    <row r="194" spans="1:6" x14ac:dyDescent="0.25">
      <c r="A194" t="str">
        <f>IF('Equipment Information'!A194="","", 'Equipment Information'!A194)</f>
        <v/>
      </c>
      <c r="B194" t="str">
        <f>IF('Equipment Information'!B194="","", 'Equipment Information'!B194)</f>
        <v/>
      </c>
      <c r="C194" t="str">
        <f>IF('Equipment Information'!C194="","", 'Equipment Information'!C194)</f>
        <v/>
      </c>
      <c r="F194" t="str">
        <f t="shared" si="0"/>
        <v/>
      </c>
    </row>
    <row r="195" spans="1:6" x14ac:dyDescent="0.25">
      <c r="A195" t="str">
        <f>IF('Equipment Information'!A195="","", 'Equipment Information'!A195)</f>
        <v/>
      </c>
      <c r="B195" t="str">
        <f>IF('Equipment Information'!B195="","", 'Equipment Information'!B195)</f>
        <v/>
      </c>
      <c r="C195" t="str">
        <f>IF('Equipment Information'!C195="","", 'Equipment Information'!C195)</f>
        <v/>
      </c>
      <c r="F195" t="str">
        <f t="shared" si="0"/>
        <v/>
      </c>
    </row>
    <row r="196" spans="1:6" x14ac:dyDescent="0.25">
      <c r="A196" t="str">
        <f>IF('Equipment Information'!A196="","", 'Equipment Information'!A196)</f>
        <v/>
      </c>
      <c r="B196" t="str">
        <f>IF('Equipment Information'!B196="","", 'Equipment Information'!B196)</f>
        <v/>
      </c>
      <c r="C196" t="str">
        <f>IF('Equipment Information'!C196="","", 'Equipment Information'!C196)</f>
        <v/>
      </c>
      <c r="F196" t="str">
        <f t="shared" si="0"/>
        <v/>
      </c>
    </row>
    <row r="197" spans="1:6" x14ac:dyDescent="0.25">
      <c r="A197" t="str">
        <f>IF('Equipment Information'!A197="","", 'Equipment Information'!A197)</f>
        <v/>
      </c>
      <c r="B197" t="str">
        <f>IF('Equipment Information'!B197="","", 'Equipment Information'!B197)</f>
        <v/>
      </c>
      <c r="C197" t="str">
        <f>IF('Equipment Information'!C197="","", 'Equipment Information'!C197)</f>
        <v/>
      </c>
      <c r="F197" t="str">
        <f t="shared" si="0"/>
        <v/>
      </c>
    </row>
    <row r="198" spans="1:6" x14ac:dyDescent="0.25">
      <c r="A198" t="str">
        <f>IF('Equipment Information'!A198="","", 'Equipment Information'!A198)</f>
        <v/>
      </c>
      <c r="B198" t="str">
        <f>IF('Equipment Information'!B198="","", 'Equipment Information'!B198)</f>
        <v/>
      </c>
      <c r="C198" t="str">
        <f>IF('Equipment Information'!C198="","", 'Equipment Information'!C198)</f>
        <v/>
      </c>
      <c r="F198" t="str">
        <f t="shared" si="0"/>
        <v/>
      </c>
    </row>
    <row r="199" spans="1:6" x14ac:dyDescent="0.25">
      <c r="A199" t="str">
        <f>IF('Equipment Information'!A199="","", 'Equipment Information'!A199)</f>
        <v/>
      </c>
      <c r="B199" t="str">
        <f>IF('Equipment Information'!B199="","", 'Equipment Information'!B199)</f>
        <v/>
      </c>
      <c r="C199" t="str">
        <f>IF('Equipment Information'!C199="","", 'Equipment Information'!C199)</f>
        <v/>
      </c>
      <c r="F199" t="str">
        <f t="shared" si="0"/>
        <v/>
      </c>
    </row>
    <row r="200" spans="1:6" x14ac:dyDescent="0.25">
      <c r="A200" t="str">
        <f>IF('Equipment Information'!A200="","", 'Equipment Information'!A200)</f>
        <v/>
      </c>
      <c r="B200" t="str">
        <f>IF('Equipment Information'!B200="","", 'Equipment Information'!B200)</f>
        <v/>
      </c>
      <c r="C200" t="str">
        <f>IF('Equipment Information'!C200="","", 'Equipment Information'!C200)</f>
        <v/>
      </c>
      <c r="F200" t="str">
        <f t="shared" si="0"/>
        <v/>
      </c>
    </row>
    <row r="201" spans="1:6" x14ac:dyDescent="0.25">
      <c r="A201" t="str">
        <f>IF('Equipment Information'!A201="","", 'Equipment Information'!A201)</f>
        <v/>
      </c>
      <c r="B201" t="str">
        <f>IF('Equipment Information'!B201="","", 'Equipment Information'!B201)</f>
        <v/>
      </c>
      <c r="C201" t="str">
        <f>IF('Equipment Information'!C201="","", 'Equipment Information'!C201)</f>
        <v/>
      </c>
      <c r="F201" t="str">
        <f t="shared" si="0"/>
        <v/>
      </c>
    </row>
    <row r="202" spans="1:6" x14ac:dyDescent="0.25">
      <c r="A202" t="str">
        <f>IF('Equipment Information'!A202="","", 'Equipment Information'!A202)</f>
        <v/>
      </c>
      <c r="B202" t="str">
        <f>IF('Equipment Information'!B202="","", 'Equipment Information'!B202)</f>
        <v/>
      </c>
      <c r="C202" t="str">
        <f>IF('Equipment Information'!C202="","", 'Equipment Information'!C202)</f>
        <v/>
      </c>
      <c r="F202" t="str">
        <f t="shared" si="0"/>
        <v/>
      </c>
    </row>
    <row r="203" spans="1:6" x14ac:dyDescent="0.25">
      <c r="A203" t="str">
        <f>IF('Equipment Information'!A203="","", 'Equipment Information'!A203)</f>
        <v/>
      </c>
      <c r="B203" t="str">
        <f>IF('Equipment Information'!B203="","", 'Equipment Information'!B203)</f>
        <v/>
      </c>
      <c r="C203" t="str">
        <f>IF('Equipment Information'!C203="","", 'Equipment Information'!C203)</f>
        <v/>
      </c>
      <c r="F203" t="str">
        <f t="shared" si="0"/>
        <v/>
      </c>
    </row>
    <row r="204" spans="1:6" x14ac:dyDescent="0.25">
      <c r="A204" t="str">
        <f>IF('Equipment Information'!A204="","", 'Equipment Information'!A204)</f>
        <v/>
      </c>
      <c r="B204" t="str">
        <f>IF('Equipment Information'!B204="","", 'Equipment Information'!B204)</f>
        <v/>
      </c>
      <c r="C204" t="str">
        <f>IF('Equipment Information'!C204="","", 'Equipment Information'!C204)</f>
        <v/>
      </c>
      <c r="F204" t="str">
        <f t="shared" si="0"/>
        <v/>
      </c>
    </row>
    <row r="205" spans="1:6" x14ac:dyDescent="0.25">
      <c r="A205" t="str">
        <f>IF('Equipment Information'!A205="","", 'Equipment Information'!A205)</f>
        <v/>
      </c>
      <c r="B205" t="str">
        <f>IF('Equipment Information'!B205="","", 'Equipment Information'!B205)</f>
        <v/>
      </c>
      <c r="C205" t="str">
        <f>IF('Equipment Information'!C205="","", 'Equipment Information'!C205)</f>
        <v/>
      </c>
      <c r="F205" t="str">
        <f t="shared" si="0"/>
        <v/>
      </c>
    </row>
    <row r="206" spans="1:6" x14ac:dyDescent="0.25">
      <c r="A206" t="str">
        <f>IF('Equipment Information'!A206="","", 'Equipment Information'!A206)</f>
        <v/>
      </c>
      <c r="B206" t="str">
        <f>IF('Equipment Information'!B206="","", 'Equipment Information'!B206)</f>
        <v/>
      </c>
      <c r="C206" t="str">
        <f>IF('Equipment Information'!C206="","", 'Equipment Information'!C206)</f>
        <v/>
      </c>
      <c r="F206" t="str">
        <f t="shared" si="0"/>
        <v/>
      </c>
    </row>
    <row r="207" spans="1:6" x14ac:dyDescent="0.25">
      <c r="A207" t="str">
        <f>IF('Equipment Information'!A207="","", 'Equipment Information'!A207)</f>
        <v/>
      </c>
      <c r="B207" t="str">
        <f>IF('Equipment Information'!B207="","", 'Equipment Information'!B207)</f>
        <v/>
      </c>
      <c r="C207" t="str">
        <f>IF('Equipment Information'!C207="","", 'Equipment Information'!C207)</f>
        <v/>
      </c>
      <c r="F207" t="str">
        <f t="shared" si="0"/>
        <v/>
      </c>
    </row>
    <row r="208" spans="1:6" x14ac:dyDescent="0.25">
      <c r="A208" t="str">
        <f>IF('Equipment Information'!A208="","", 'Equipment Information'!A208)</f>
        <v/>
      </c>
      <c r="B208" t="str">
        <f>IF('Equipment Information'!B208="","", 'Equipment Information'!B208)</f>
        <v/>
      </c>
      <c r="C208" t="str">
        <f>IF('Equipment Information'!C208="","", 'Equipment Information'!C208)</f>
        <v/>
      </c>
      <c r="F208" t="str">
        <f t="shared" si="0"/>
        <v/>
      </c>
    </row>
    <row r="209" spans="1:6" x14ac:dyDescent="0.25">
      <c r="A209" t="str">
        <f>IF('Equipment Information'!A209="","", 'Equipment Information'!A209)</f>
        <v/>
      </c>
      <c r="B209" t="str">
        <f>IF('Equipment Information'!B209="","", 'Equipment Information'!B209)</f>
        <v/>
      </c>
      <c r="C209" t="str">
        <f>IF('Equipment Information'!C209="","", 'Equipment Information'!C209)</f>
        <v/>
      </c>
      <c r="F209" t="str">
        <f t="shared" si="0"/>
        <v/>
      </c>
    </row>
    <row r="210" spans="1:6" x14ac:dyDescent="0.25">
      <c r="A210" t="str">
        <f>IF('Equipment Information'!A210="","", 'Equipment Information'!A210)</f>
        <v/>
      </c>
      <c r="B210" t="str">
        <f>IF('Equipment Information'!B210="","", 'Equipment Information'!B210)</f>
        <v/>
      </c>
      <c r="C210" t="str">
        <f>IF('Equipment Information'!C210="","", 'Equipment Information'!C210)</f>
        <v/>
      </c>
      <c r="F210" t="str">
        <f t="shared" si="0"/>
        <v/>
      </c>
    </row>
    <row r="211" spans="1:6" x14ac:dyDescent="0.25">
      <c r="A211" t="str">
        <f>IF('Equipment Information'!A211="","", 'Equipment Information'!A211)</f>
        <v/>
      </c>
      <c r="B211" t="str">
        <f>IF('Equipment Information'!B211="","", 'Equipment Information'!B211)</f>
        <v/>
      </c>
      <c r="C211" t="str">
        <f>IF('Equipment Information'!C211="","", 'Equipment Information'!C211)</f>
        <v/>
      </c>
      <c r="F211" t="str">
        <f t="shared" si="0"/>
        <v/>
      </c>
    </row>
    <row r="212" spans="1:6" x14ac:dyDescent="0.25">
      <c r="A212" t="str">
        <f>IF('Equipment Information'!A212="","", 'Equipment Information'!A212)</f>
        <v/>
      </c>
      <c r="B212" t="str">
        <f>IF('Equipment Information'!B212="","", 'Equipment Information'!B212)</f>
        <v/>
      </c>
      <c r="C212" t="str">
        <f>IF('Equipment Information'!C212="","", 'Equipment Information'!C212)</f>
        <v/>
      </c>
      <c r="F212" t="str">
        <f t="shared" si="0"/>
        <v/>
      </c>
    </row>
    <row r="213" spans="1:6" x14ac:dyDescent="0.25">
      <c r="A213" t="str">
        <f>IF('Equipment Information'!A213="","", 'Equipment Information'!A213)</f>
        <v/>
      </c>
      <c r="B213" t="str">
        <f>IF('Equipment Information'!B213="","", 'Equipment Information'!B213)</f>
        <v/>
      </c>
      <c r="C213" t="str">
        <f>IF('Equipment Information'!C213="","", 'Equipment Information'!C213)</f>
        <v/>
      </c>
      <c r="F213" t="str">
        <f t="shared" si="0"/>
        <v/>
      </c>
    </row>
    <row r="214" spans="1:6" x14ac:dyDescent="0.25">
      <c r="A214" t="str">
        <f>IF('Equipment Information'!A214="","", 'Equipment Information'!A214)</f>
        <v/>
      </c>
      <c r="B214" t="str">
        <f>IF('Equipment Information'!B214="","", 'Equipment Information'!B214)</f>
        <v/>
      </c>
      <c r="C214" t="str">
        <f>IF('Equipment Information'!C214="","", 'Equipment Information'!C214)</f>
        <v/>
      </c>
      <c r="F214" t="str">
        <f t="shared" si="0"/>
        <v/>
      </c>
    </row>
    <row r="215" spans="1:6" x14ac:dyDescent="0.25">
      <c r="A215" t="str">
        <f>IF('Equipment Information'!A215="","", 'Equipment Information'!A215)</f>
        <v/>
      </c>
      <c r="B215" t="str">
        <f>IF('Equipment Information'!B215="","", 'Equipment Information'!B215)</f>
        <v/>
      </c>
      <c r="C215" t="str">
        <f>IF('Equipment Information'!C215="","", 'Equipment Information'!C215)</f>
        <v/>
      </c>
      <c r="F215" t="str">
        <f t="shared" si="0"/>
        <v/>
      </c>
    </row>
    <row r="216" spans="1:6" x14ac:dyDescent="0.25">
      <c r="A216" t="str">
        <f>IF('Equipment Information'!A216="","", 'Equipment Information'!A216)</f>
        <v/>
      </c>
      <c r="B216" t="str">
        <f>IF('Equipment Information'!B216="","", 'Equipment Information'!B216)</f>
        <v/>
      </c>
      <c r="C216" t="str">
        <f>IF('Equipment Information'!C216="","", 'Equipment Information'!C216)</f>
        <v/>
      </c>
      <c r="F216" t="str">
        <f t="shared" si="0"/>
        <v/>
      </c>
    </row>
    <row r="217" spans="1:6" x14ac:dyDescent="0.25">
      <c r="A217" t="str">
        <f>IF('Equipment Information'!A217="","", 'Equipment Information'!A217)</f>
        <v/>
      </c>
      <c r="B217" t="str">
        <f>IF('Equipment Information'!B217="","", 'Equipment Information'!B217)</f>
        <v/>
      </c>
      <c r="C217" t="str">
        <f>IF('Equipment Information'!C217="","", 'Equipment Information'!C217)</f>
        <v/>
      </c>
      <c r="F217" t="str">
        <f t="shared" si="0"/>
        <v/>
      </c>
    </row>
    <row r="218" spans="1:6" x14ac:dyDescent="0.25">
      <c r="A218" t="str">
        <f>IF('Equipment Information'!A218="","", 'Equipment Information'!A218)</f>
        <v/>
      </c>
      <c r="B218" t="str">
        <f>IF('Equipment Information'!B218="","", 'Equipment Information'!B218)</f>
        <v/>
      </c>
      <c r="C218" t="str">
        <f>IF('Equipment Information'!C218="","", 'Equipment Information'!C218)</f>
        <v/>
      </c>
      <c r="F218" t="str">
        <f t="shared" si="0"/>
        <v/>
      </c>
    </row>
    <row r="219" spans="1:6" x14ac:dyDescent="0.25">
      <c r="A219" t="str">
        <f>IF('Equipment Information'!A219="","", 'Equipment Information'!A219)</f>
        <v/>
      </c>
      <c r="B219" t="str">
        <f>IF('Equipment Information'!B219="","", 'Equipment Information'!B219)</f>
        <v/>
      </c>
      <c r="C219" t="str">
        <f>IF('Equipment Information'!C219="","", 'Equipment Information'!C219)</f>
        <v/>
      </c>
      <c r="F219" t="str">
        <f t="shared" si="0"/>
        <v/>
      </c>
    </row>
    <row r="220" spans="1:6" x14ac:dyDescent="0.25">
      <c r="A220" t="str">
        <f>IF('Equipment Information'!A220="","", 'Equipment Information'!A220)</f>
        <v/>
      </c>
      <c r="B220" t="str">
        <f>IF('Equipment Information'!B220="","", 'Equipment Information'!B220)</f>
        <v/>
      </c>
      <c r="C220" t="str">
        <f>IF('Equipment Information'!C220="","", 'Equipment Information'!C220)</f>
        <v/>
      </c>
      <c r="F220" t="str">
        <f t="shared" ref="F220:F283" si="1">IF(A220="","","N/A")</f>
        <v/>
      </c>
    </row>
    <row r="221" spans="1:6" x14ac:dyDescent="0.25">
      <c r="A221" t="str">
        <f>IF('Equipment Information'!A221="","", 'Equipment Information'!A221)</f>
        <v/>
      </c>
      <c r="B221" t="str">
        <f>IF('Equipment Information'!B221="","", 'Equipment Information'!B221)</f>
        <v/>
      </c>
      <c r="C221" t="str">
        <f>IF('Equipment Information'!C221="","", 'Equipment Information'!C221)</f>
        <v/>
      </c>
      <c r="F221" t="str">
        <f t="shared" si="1"/>
        <v/>
      </c>
    </row>
    <row r="222" spans="1:6" x14ac:dyDescent="0.25">
      <c r="A222" t="str">
        <f>IF('Equipment Information'!A222="","", 'Equipment Information'!A222)</f>
        <v/>
      </c>
      <c r="B222" t="str">
        <f>IF('Equipment Information'!B222="","", 'Equipment Information'!B222)</f>
        <v/>
      </c>
      <c r="C222" t="str">
        <f>IF('Equipment Information'!C222="","", 'Equipment Information'!C222)</f>
        <v/>
      </c>
      <c r="F222" t="str">
        <f t="shared" si="1"/>
        <v/>
      </c>
    </row>
    <row r="223" spans="1:6" x14ac:dyDescent="0.25">
      <c r="A223" t="str">
        <f>IF('Equipment Information'!A223="","", 'Equipment Information'!A223)</f>
        <v/>
      </c>
      <c r="B223" t="str">
        <f>IF('Equipment Information'!B223="","", 'Equipment Information'!B223)</f>
        <v/>
      </c>
      <c r="C223" t="str">
        <f>IF('Equipment Information'!C223="","", 'Equipment Information'!C223)</f>
        <v/>
      </c>
      <c r="F223" t="str">
        <f t="shared" si="1"/>
        <v/>
      </c>
    </row>
    <row r="224" spans="1:6" x14ac:dyDescent="0.25">
      <c r="A224" t="str">
        <f>IF('Equipment Information'!A224="","", 'Equipment Information'!A224)</f>
        <v/>
      </c>
      <c r="B224" t="str">
        <f>IF('Equipment Information'!B224="","", 'Equipment Information'!B224)</f>
        <v/>
      </c>
      <c r="C224" t="str">
        <f>IF('Equipment Information'!C224="","", 'Equipment Information'!C224)</f>
        <v/>
      </c>
      <c r="F224" t="str">
        <f t="shared" si="1"/>
        <v/>
      </c>
    </row>
    <row r="225" spans="1:6" x14ac:dyDescent="0.25">
      <c r="A225" t="str">
        <f>IF('Equipment Information'!A225="","", 'Equipment Information'!A225)</f>
        <v/>
      </c>
      <c r="B225" t="str">
        <f>IF('Equipment Information'!B225="","", 'Equipment Information'!B225)</f>
        <v/>
      </c>
      <c r="C225" t="str">
        <f>IF('Equipment Information'!C225="","", 'Equipment Information'!C225)</f>
        <v/>
      </c>
      <c r="F225" t="str">
        <f t="shared" si="1"/>
        <v/>
      </c>
    </row>
    <row r="226" spans="1:6" x14ac:dyDescent="0.25">
      <c r="A226" t="str">
        <f>IF('Equipment Information'!A226="","", 'Equipment Information'!A226)</f>
        <v/>
      </c>
      <c r="B226" t="str">
        <f>IF('Equipment Information'!B226="","", 'Equipment Information'!B226)</f>
        <v/>
      </c>
      <c r="C226" t="str">
        <f>IF('Equipment Information'!C226="","", 'Equipment Information'!C226)</f>
        <v/>
      </c>
      <c r="F226" t="str">
        <f t="shared" si="1"/>
        <v/>
      </c>
    </row>
    <row r="227" spans="1:6" x14ac:dyDescent="0.25">
      <c r="A227" t="str">
        <f>IF('Equipment Information'!A227="","", 'Equipment Information'!A227)</f>
        <v/>
      </c>
      <c r="B227" t="str">
        <f>IF('Equipment Information'!B227="","", 'Equipment Information'!B227)</f>
        <v/>
      </c>
      <c r="C227" t="str">
        <f>IF('Equipment Information'!C227="","", 'Equipment Information'!C227)</f>
        <v/>
      </c>
      <c r="F227" t="str">
        <f t="shared" si="1"/>
        <v/>
      </c>
    </row>
    <row r="228" spans="1:6" x14ac:dyDescent="0.25">
      <c r="A228" t="str">
        <f>IF('Equipment Information'!A228="","", 'Equipment Information'!A228)</f>
        <v/>
      </c>
      <c r="B228" t="str">
        <f>IF('Equipment Information'!B228="","", 'Equipment Information'!B228)</f>
        <v/>
      </c>
      <c r="C228" t="str">
        <f>IF('Equipment Information'!C228="","", 'Equipment Information'!C228)</f>
        <v/>
      </c>
      <c r="F228" t="str">
        <f t="shared" si="1"/>
        <v/>
      </c>
    </row>
    <row r="229" spans="1:6" x14ac:dyDescent="0.25">
      <c r="A229" t="str">
        <f>IF('Equipment Information'!A229="","", 'Equipment Information'!A229)</f>
        <v/>
      </c>
      <c r="B229" t="str">
        <f>IF('Equipment Information'!B229="","", 'Equipment Information'!B229)</f>
        <v/>
      </c>
      <c r="C229" t="str">
        <f>IF('Equipment Information'!C229="","", 'Equipment Information'!C229)</f>
        <v/>
      </c>
      <c r="F229" t="str">
        <f t="shared" si="1"/>
        <v/>
      </c>
    </row>
    <row r="230" spans="1:6" x14ac:dyDescent="0.25">
      <c r="A230" t="str">
        <f>IF('Equipment Information'!A230="","", 'Equipment Information'!A230)</f>
        <v/>
      </c>
      <c r="B230" t="str">
        <f>IF('Equipment Information'!B230="","", 'Equipment Information'!B230)</f>
        <v/>
      </c>
      <c r="C230" t="str">
        <f>IF('Equipment Information'!C230="","", 'Equipment Information'!C230)</f>
        <v/>
      </c>
      <c r="F230" t="str">
        <f t="shared" si="1"/>
        <v/>
      </c>
    </row>
    <row r="231" spans="1:6" x14ac:dyDescent="0.25">
      <c r="A231" t="str">
        <f>IF('Equipment Information'!A231="","", 'Equipment Information'!A231)</f>
        <v/>
      </c>
      <c r="B231" t="str">
        <f>IF('Equipment Information'!B231="","", 'Equipment Information'!B231)</f>
        <v/>
      </c>
      <c r="C231" t="str">
        <f>IF('Equipment Information'!C231="","", 'Equipment Information'!C231)</f>
        <v/>
      </c>
      <c r="F231" t="str">
        <f t="shared" si="1"/>
        <v/>
      </c>
    </row>
    <row r="232" spans="1:6" x14ac:dyDescent="0.25">
      <c r="A232" t="str">
        <f>IF('Equipment Information'!A232="","", 'Equipment Information'!A232)</f>
        <v/>
      </c>
      <c r="B232" t="str">
        <f>IF('Equipment Information'!B232="","", 'Equipment Information'!B232)</f>
        <v/>
      </c>
      <c r="C232" t="str">
        <f>IF('Equipment Information'!C232="","", 'Equipment Information'!C232)</f>
        <v/>
      </c>
      <c r="F232" t="str">
        <f t="shared" si="1"/>
        <v/>
      </c>
    </row>
    <row r="233" spans="1:6" x14ac:dyDescent="0.25">
      <c r="A233" t="str">
        <f>IF('Equipment Information'!A233="","", 'Equipment Information'!A233)</f>
        <v/>
      </c>
      <c r="B233" t="str">
        <f>IF('Equipment Information'!B233="","", 'Equipment Information'!B233)</f>
        <v/>
      </c>
      <c r="C233" t="str">
        <f>IF('Equipment Information'!C233="","", 'Equipment Information'!C233)</f>
        <v/>
      </c>
      <c r="F233" t="str">
        <f t="shared" si="1"/>
        <v/>
      </c>
    </row>
    <row r="234" spans="1:6" x14ac:dyDescent="0.25">
      <c r="A234" t="str">
        <f>IF('Equipment Information'!A234="","", 'Equipment Information'!A234)</f>
        <v/>
      </c>
      <c r="B234" t="str">
        <f>IF('Equipment Information'!B234="","", 'Equipment Information'!B234)</f>
        <v/>
      </c>
      <c r="C234" t="str">
        <f>IF('Equipment Information'!C234="","", 'Equipment Information'!C234)</f>
        <v/>
      </c>
      <c r="F234" t="str">
        <f t="shared" si="1"/>
        <v/>
      </c>
    </row>
    <row r="235" spans="1:6" x14ac:dyDescent="0.25">
      <c r="A235" t="str">
        <f>IF('Equipment Information'!A235="","", 'Equipment Information'!A235)</f>
        <v/>
      </c>
      <c r="B235" t="str">
        <f>IF('Equipment Information'!B235="","", 'Equipment Information'!B235)</f>
        <v/>
      </c>
      <c r="C235" t="str">
        <f>IF('Equipment Information'!C235="","", 'Equipment Information'!C235)</f>
        <v/>
      </c>
      <c r="F235" t="str">
        <f t="shared" si="1"/>
        <v/>
      </c>
    </row>
    <row r="236" spans="1:6" x14ac:dyDescent="0.25">
      <c r="A236" t="str">
        <f>IF('Equipment Information'!A236="","", 'Equipment Information'!A236)</f>
        <v/>
      </c>
      <c r="B236" t="str">
        <f>IF('Equipment Information'!B236="","", 'Equipment Information'!B236)</f>
        <v/>
      </c>
      <c r="C236" t="str">
        <f>IF('Equipment Information'!C236="","", 'Equipment Information'!C236)</f>
        <v/>
      </c>
      <c r="F236" t="str">
        <f t="shared" si="1"/>
        <v/>
      </c>
    </row>
    <row r="237" spans="1:6" x14ac:dyDescent="0.25">
      <c r="A237" t="str">
        <f>IF('Equipment Information'!A237="","", 'Equipment Information'!A237)</f>
        <v/>
      </c>
      <c r="B237" t="str">
        <f>IF('Equipment Information'!B237="","", 'Equipment Information'!B237)</f>
        <v/>
      </c>
      <c r="C237" t="str">
        <f>IF('Equipment Information'!C237="","", 'Equipment Information'!C237)</f>
        <v/>
      </c>
      <c r="F237" t="str">
        <f t="shared" si="1"/>
        <v/>
      </c>
    </row>
    <row r="238" spans="1:6" x14ac:dyDescent="0.25">
      <c r="A238" t="str">
        <f>IF('Equipment Information'!A238="","", 'Equipment Information'!A238)</f>
        <v/>
      </c>
      <c r="B238" t="str">
        <f>IF('Equipment Information'!B238="","", 'Equipment Information'!B238)</f>
        <v/>
      </c>
      <c r="C238" t="str">
        <f>IF('Equipment Information'!C238="","", 'Equipment Information'!C238)</f>
        <v/>
      </c>
      <c r="F238" t="str">
        <f t="shared" si="1"/>
        <v/>
      </c>
    </row>
    <row r="239" spans="1:6" x14ac:dyDescent="0.25">
      <c r="A239" t="str">
        <f>IF('Equipment Information'!A239="","", 'Equipment Information'!A239)</f>
        <v/>
      </c>
      <c r="B239" t="str">
        <f>IF('Equipment Information'!B239="","", 'Equipment Information'!B239)</f>
        <v/>
      </c>
      <c r="C239" t="str">
        <f>IF('Equipment Information'!C239="","", 'Equipment Information'!C239)</f>
        <v/>
      </c>
      <c r="F239" t="str">
        <f t="shared" si="1"/>
        <v/>
      </c>
    </row>
    <row r="240" spans="1:6" x14ac:dyDescent="0.25">
      <c r="A240" t="str">
        <f>IF('Equipment Information'!A240="","", 'Equipment Information'!A240)</f>
        <v/>
      </c>
      <c r="B240" t="str">
        <f>IF('Equipment Information'!B240="","", 'Equipment Information'!B240)</f>
        <v/>
      </c>
      <c r="C240" t="str">
        <f>IF('Equipment Information'!C240="","", 'Equipment Information'!C240)</f>
        <v/>
      </c>
      <c r="F240" t="str">
        <f t="shared" si="1"/>
        <v/>
      </c>
    </row>
    <row r="241" spans="1:6" x14ac:dyDescent="0.25">
      <c r="A241" t="str">
        <f>IF('Equipment Information'!A241="","", 'Equipment Information'!A241)</f>
        <v/>
      </c>
      <c r="B241" t="str">
        <f>IF('Equipment Information'!B241="","", 'Equipment Information'!B241)</f>
        <v/>
      </c>
      <c r="C241" t="str">
        <f>IF('Equipment Information'!C241="","", 'Equipment Information'!C241)</f>
        <v/>
      </c>
      <c r="F241" t="str">
        <f t="shared" si="1"/>
        <v/>
      </c>
    </row>
    <row r="242" spans="1:6" x14ac:dyDescent="0.25">
      <c r="A242" t="str">
        <f>IF('Equipment Information'!A242="","", 'Equipment Information'!A242)</f>
        <v/>
      </c>
      <c r="B242" t="str">
        <f>IF('Equipment Information'!B242="","", 'Equipment Information'!B242)</f>
        <v/>
      </c>
      <c r="C242" t="str">
        <f>IF('Equipment Information'!C242="","", 'Equipment Information'!C242)</f>
        <v/>
      </c>
      <c r="F242" t="str">
        <f t="shared" si="1"/>
        <v/>
      </c>
    </row>
    <row r="243" spans="1:6" x14ac:dyDescent="0.25">
      <c r="A243" t="str">
        <f>IF('Equipment Information'!A243="","", 'Equipment Information'!A243)</f>
        <v/>
      </c>
      <c r="B243" t="str">
        <f>IF('Equipment Information'!B243="","", 'Equipment Information'!B243)</f>
        <v/>
      </c>
      <c r="C243" t="str">
        <f>IF('Equipment Information'!C243="","", 'Equipment Information'!C243)</f>
        <v/>
      </c>
      <c r="F243" t="str">
        <f t="shared" si="1"/>
        <v/>
      </c>
    </row>
    <row r="244" spans="1:6" x14ac:dyDescent="0.25">
      <c r="A244" t="str">
        <f>IF('Equipment Information'!A244="","", 'Equipment Information'!A244)</f>
        <v/>
      </c>
      <c r="B244" t="str">
        <f>IF('Equipment Information'!B244="","", 'Equipment Information'!B244)</f>
        <v/>
      </c>
      <c r="C244" t="str">
        <f>IF('Equipment Information'!C244="","", 'Equipment Information'!C244)</f>
        <v/>
      </c>
      <c r="F244" t="str">
        <f t="shared" si="1"/>
        <v/>
      </c>
    </row>
    <row r="245" spans="1:6" x14ac:dyDescent="0.25">
      <c r="A245" t="str">
        <f>IF('Equipment Information'!A245="","", 'Equipment Information'!A245)</f>
        <v/>
      </c>
      <c r="B245" t="str">
        <f>IF('Equipment Information'!B245="","", 'Equipment Information'!B245)</f>
        <v/>
      </c>
      <c r="C245" t="str">
        <f>IF('Equipment Information'!C245="","", 'Equipment Information'!C245)</f>
        <v/>
      </c>
      <c r="F245" t="str">
        <f t="shared" si="1"/>
        <v/>
      </c>
    </row>
    <row r="246" spans="1:6" x14ac:dyDescent="0.25">
      <c r="A246" t="str">
        <f>IF('Equipment Information'!A246="","", 'Equipment Information'!A246)</f>
        <v/>
      </c>
      <c r="B246" t="str">
        <f>IF('Equipment Information'!B246="","", 'Equipment Information'!B246)</f>
        <v/>
      </c>
      <c r="C246" t="str">
        <f>IF('Equipment Information'!C246="","", 'Equipment Information'!C246)</f>
        <v/>
      </c>
      <c r="F246" t="str">
        <f t="shared" si="1"/>
        <v/>
      </c>
    </row>
    <row r="247" spans="1:6" x14ac:dyDescent="0.25">
      <c r="A247" t="str">
        <f>IF('Equipment Information'!A247="","", 'Equipment Information'!A247)</f>
        <v/>
      </c>
      <c r="B247" t="str">
        <f>IF('Equipment Information'!B247="","", 'Equipment Information'!B247)</f>
        <v/>
      </c>
      <c r="C247" t="str">
        <f>IF('Equipment Information'!C247="","", 'Equipment Information'!C247)</f>
        <v/>
      </c>
      <c r="F247" t="str">
        <f t="shared" si="1"/>
        <v/>
      </c>
    </row>
    <row r="248" spans="1:6" x14ac:dyDescent="0.25">
      <c r="A248" t="str">
        <f>IF('Equipment Information'!A248="","", 'Equipment Information'!A248)</f>
        <v/>
      </c>
      <c r="B248" t="str">
        <f>IF('Equipment Information'!B248="","", 'Equipment Information'!B248)</f>
        <v/>
      </c>
      <c r="C248" t="str">
        <f>IF('Equipment Information'!C248="","", 'Equipment Information'!C248)</f>
        <v/>
      </c>
      <c r="F248" t="str">
        <f t="shared" si="1"/>
        <v/>
      </c>
    </row>
    <row r="249" spans="1:6" x14ac:dyDescent="0.25">
      <c r="A249" t="str">
        <f>IF('Equipment Information'!A249="","", 'Equipment Information'!A249)</f>
        <v/>
      </c>
      <c r="B249" t="str">
        <f>IF('Equipment Information'!B249="","", 'Equipment Information'!B249)</f>
        <v/>
      </c>
      <c r="C249" t="str">
        <f>IF('Equipment Information'!C249="","", 'Equipment Information'!C249)</f>
        <v/>
      </c>
      <c r="F249" t="str">
        <f t="shared" si="1"/>
        <v/>
      </c>
    </row>
    <row r="250" spans="1:6" x14ac:dyDescent="0.25">
      <c r="A250" t="str">
        <f>IF('Equipment Information'!A250="","", 'Equipment Information'!A250)</f>
        <v/>
      </c>
      <c r="B250" t="str">
        <f>IF('Equipment Information'!B250="","", 'Equipment Information'!B250)</f>
        <v/>
      </c>
      <c r="C250" t="str">
        <f>IF('Equipment Information'!C250="","", 'Equipment Information'!C250)</f>
        <v/>
      </c>
      <c r="F250" t="str">
        <f t="shared" si="1"/>
        <v/>
      </c>
    </row>
    <row r="251" spans="1:6" x14ac:dyDescent="0.25">
      <c r="A251" t="str">
        <f>IF('Equipment Information'!A251="","", 'Equipment Information'!A251)</f>
        <v/>
      </c>
      <c r="B251" t="str">
        <f>IF('Equipment Information'!B251="","", 'Equipment Information'!B251)</f>
        <v/>
      </c>
      <c r="C251" t="str">
        <f>IF('Equipment Information'!C251="","", 'Equipment Information'!C251)</f>
        <v/>
      </c>
      <c r="F251" t="str">
        <f t="shared" si="1"/>
        <v/>
      </c>
    </row>
    <row r="252" spans="1:6" x14ac:dyDescent="0.25">
      <c r="A252" t="str">
        <f>IF('Equipment Information'!A252="","", 'Equipment Information'!A252)</f>
        <v/>
      </c>
      <c r="B252" t="str">
        <f>IF('Equipment Information'!B252="","", 'Equipment Information'!B252)</f>
        <v/>
      </c>
      <c r="C252" t="str">
        <f>IF('Equipment Information'!C252="","", 'Equipment Information'!C252)</f>
        <v/>
      </c>
      <c r="F252" t="str">
        <f t="shared" si="1"/>
        <v/>
      </c>
    </row>
    <row r="253" spans="1:6" x14ac:dyDescent="0.25">
      <c r="A253" t="str">
        <f>IF('Equipment Information'!A253="","", 'Equipment Information'!A253)</f>
        <v/>
      </c>
      <c r="B253" t="str">
        <f>IF('Equipment Information'!B253="","", 'Equipment Information'!B253)</f>
        <v/>
      </c>
      <c r="C253" t="str">
        <f>IF('Equipment Information'!C253="","", 'Equipment Information'!C253)</f>
        <v/>
      </c>
      <c r="F253" t="str">
        <f t="shared" si="1"/>
        <v/>
      </c>
    </row>
    <row r="254" spans="1:6" x14ac:dyDescent="0.25">
      <c r="A254" t="str">
        <f>IF('Equipment Information'!A254="","", 'Equipment Information'!A254)</f>
        <v/>
      </c>
      <c r="B254" t="str">
        <f>IF('Equipment Information'!B254="","", 'Equipment Information'!B254)</f>
        <v/>
      </c>
      <c r="C254" t="str">
        <f>IF('Equipment Information'!C254="","", 'Equipment Information'!C254)</f>
        <v/>
      </c>
      <c r="F254" t="str">
        <f t="shared" si="1"/>
        <v/>
      </c>
    </row>
    <row r="255" spans="1:6" x14ac:dyDescent="0.25">
      <c r="A255" t="str">
        <f>IF('Equipment Information'!A255="","", 'Equipment Information'!A255)</f>
        <v/>
      </c>
      <c r="B255" t="str">
        <f>IF('Equipment Information'!B255="","", 'Equipment Information'!B255)</f>
        <v/>
      </c>
      <c r="C255" t="str">
        <f>IF('Equipment Information'!C255="","", 'Equipment Information'!C255)</f>
        <v/>
      </c>
      <c r="F255" t="str">
        <f t="shared" si="1"/>
        <v/>
      </c>
    </row>
    <row r="256" spans="1:6" x14ac:dyDescent="0.25">
      <c r="A256" t="str">
        <f>IF('Equipment Information'!A256="","", 'Equipment Information'!A256)</f>
        <v/>
      </c>
      <c r="B256" t="str">
        <f>IF('Equipment Information'!B256="","", 'Equipment Information'!B256)</f>
        <v/>
      </c>
      <c r="C256" t="str">
        <f>IF('Equipment Information'!C256="","", 'Equipment Information'!C256)</f>
        <v/>
      </c>
      <c r="F256" t="str">
        <f t="shared" si="1"/>
        <v/>
      </c>
    </row>
    <row r="257" spans="1:6" x14ac:dyDescent="0.25">
      <c r="A257" t="str">
        <f>IF('Equipment Information'!A257="","", 'Equipment Information'!A257)</f>
        <v/>
      </c>
      <c r="B257" t="str">
        <f>IF('Equipment Information'!B257="","", 'Equipment Information'!B257)</f>
        <v/>
      </c>
      <c r="C257" t="str">
        <f>IF('Equipment Information'!C257="","", 'Equipment Information'!C257)</f>
        <v/>
      </c>
      <c r="F257" t="str">
        <f t="shared" si="1"/>
        <v/>
      </c>
    </row>
    <row r="258" spans="1:6" x14ac:dyDescent="0.25">
      <c r="A258" t="str">
        <f>IF('Equipment Information'!A258="","", 'Equipment Information'!A258)</f>
        <v/>
      </c>
      <c r="B258" t="str">
        <f>IF('Equipment Information'!B258="","", 'Equipment Information'!B258)</f>
        <v/>
      </c>
      <c r="C258" t="str">
        <f>IF('Equipment Information'!C258="","", 'Equipment Information'!C258)</f>
        <v/>
      </c>
      <c r="F258" t="str">
        <f t="shared" si="1"/>
        <v/>
      </c>
    </row>
    <row r="259" spans="1:6" x14ac:dyDescent="0.25">
      <c r="A259" t="str">
        <f>IF('Equipment Information'!A259="","", 'Equipment Information'!A259)</f>
        <v/>
      </c>
      <c r="B259" t="str">
        <f>IF('Equipment Information'!B259="","", 'Equipment Information'!B259)</f>
        <v/>
      </c>
      <c r="C259" t="str">
        <f>IF('Equipment Information'!C259="","", 'Equipment Information'!C259)</f>
        <v/>
      </c>
      <c r="F259" t="str">
        <f t="shared" si="1"/>
        <v/>
      </c>
    </row>
    <row r="260" spans="1:6" x14ac:dyDescent="0.25">
      <c r="A260" t="str">
        <f>IF('Equipment Information'!A260="","", 'Equipment Information'!A260)</f>
        <v/>
      </c>
      <c r="B260" t="str">
        <f>IF('Equipment Information'!B260="","", 'Equipment Information'!B260)</f>
        <v/>
      </c>
      <c r="C260" t="str">
        <f>IF('Equipment Information'!C260="","", 'Equipment Information'!C260)</f>
        <v/>
      </c>
      <c r="F260" t="str">
        <f t="shared" si="1"/>
        <v/>
      </c>
    </row>
    <row r="261" spans="1:6" x14ac:dyDescent="0.25">
      <c r="A261" t="str">
        <f>IF('Equipment Information'!A261="","", 'Equipment Information'!A261)</f>
        <v/>
      </c>
      <c r="B261" t="str">
        <f>IF('Equipment Information'!B261="","", 'Equipment Information'!B261)</f>
        <v/>
      </c>
      <c r="C261" t="str">
        <f>IF('Equipment Information'!C261="","", 'Equipment Information'!C261)</f>
        <v/>
      </c>
      <c r="F261" t="str">
        <f t="shared" si="1"/>
        <v/>
      </c>
    </row>
    <row r="262" spans="1:6" x14ac:dyDescent="0.25">
      <c r="A262" t="str">
        <f>IF('Equipment Information'!A262="","", 'Equipment Information'!A262)</f>
        <v/>
      </c>
      <c r="B262" t="str">
        <f>IF('Equipment Information'!B262="","", 'Equipment Information'!B262)</f>
        <v/>
      </c>
      <c r="C262" t="str">
        <f>IF('Equipment Information'!C262="","", 'Equipment Information'!C262)</f>
        <v/>
      </c>
      <c r="F262" t="str">
        <f t="shared" si="1"/>
        <v/>
      </c>
    </row>
    <row r="263" spans="1:6" x14ac:dyDescent="0.25">
      <c r="A263" t="str">
        <f>IF('Equipment Information'!A263="","", 'Equipment Information'!A263)</f>
        <v/>
      </c>
      <c r="B263" t="str">
        <f>IF('Equipment Information'!B263="","", 'Equipment Information'!B263)</f>
        <v/>
      </c>
      <c r="C263" t="str">
        <f>IF('Equipment Information'!C263="","", 'Equipment Information'!C263)</f>
        <v/>
      </c>
      <c r="F263" t="str">
        <f t="shared" si="1"/>
        <v/>
      </c>
    </row>
    <row r="264" spans="1:6" x14ac:dyDescent="0.25">
      <c r="A264" t="str">
        <f>IF('Equipment Information'!A264="","", 'Equipment Information'!A264)</f>
        <v/>
      </c>
      <c r="B264" t="str">
        <f>IF('Equipment Information'!B264="","", 'Equipment Information'!B264)</f>
        <v/>
      </c>
      <c r="C264" t="str">
        <f>IF('Equipment Information'!C264="","", 'Equipment Information'!C264)</f>
        <v/>
      </c>
      <c r="F264" t="str">
        <f t="shared" si="1"/>
        <v/>
      </c>
    </row>
    <row r="265" spans="1:6" x14ac:dyDescent="0.25">
      <c r="A265" t="str">
        <f>IF('Equipment Information'!A265="","", 'Equipment Information'!A265)</f>
        <v/>
      </c>
      <c r="B265" t="str">
        <f>IF('Equipment Information'!B265="","", 'Equipment Information'!B265)</f>
        <v/>
      </c>
      <c r="C265" t="str">
        <f>IF('Equipment Information'!C265="","", 'Equipment Information'!C265)</f>
        <v/>
      </c>
      <c r="F265" t="str">
        <f t="shared" si="1"/>
        <v/>
      </c>
    </row>
    <row r="266" spans="1:6" x14ac:dyDescent="0.25">
      <c r="A266" t="str">
        <f>IF('Equipment Information'!A266="","", 'Equipment Information'!A266)</f>
        <v/>
      </c>
      <c r="B266" t="str">
        <f>IF('Equipment Information'!B266="","", 'Equipment Information'!B266)</f>
        <v/>
      </c>
      <c r="C266" t="str">
        <f>IF('Equipment Information'!C266="","", 'Equipment Information'!C266)</f>
        <v/>
      </c>
      <c r="F266" t="str">
        <f t="shared" si="1"/>
        <v/>
      </c>
    </row>
    <row r="267" spans="1:6" x14ac:dyDescent="0.25">
      <c r="A267" t="str">
        <f>IF('Equipment Information'!A267="","", 'Equipment Information'!A267)</f>
        <v/>
      </c>
      <c r="B267" t="str">
        <f>IF('Equipment Information'!B267="","", 'Equipment Information'!B267)</f>
        <v/>
      </c>
      <c r="C267" t="str">
        <f>IF('Equipment Information'!C267="","", 'Equipment Information'!C267)</f>
        <v/>
      </c>
      <c r="F267" t="str">
        <f t="shared" si="1"/>
        <v/>
      </c>
    </row>
    <row r="268" spans="1:6" x14ac:dyDescent="0.25">
      <c r="A268" t="str">
        <f>IF('Equipment Information'!A268="","", 'Equipment Information'!A268)</f>
        <v/>
      </c>
      <c r="B268" t="str">
        <f>IF('Equipment Information'!B268="","", 'Equipment Information'!B268)</f>
        <v/>
      </c>
      <c r="C268" t="str">
        <f>IF('Equipment Information'!C268="","", 'Equipment Information'!C268)</f>
        <v/>
      </c>
      <c r="F268" t="str">
        <f t="shared" si="1"/>
        <v/>
      </c>
    </row>
    <row r="269" spans="1:6" x14ac:dyDescent="0.25">
      <c r="A269" t="str">
        <f>IF('Equipment Information'!A269="","", 'Equipment Information'!A269)</f>
        <v/>
      </c>
      <c r="B269" t="str">
        <f>IF('Equipment Information'!B269="","", 'Equipment Information'!B269)</f>
        <v/>
      </c>
      <c r="C269" t="str">
        <f>IF('Equipment Information'!C269="","", 'Equipment Information'!C269)</f>
        <v/>
      </c>
      <c r="F269" t="str">
        <f t="shared" si="1"/>
        <v/>
      </c>
    </row>
    <row r="270" spans="1:6" x14ac:dyDescent="0.25">
      <c r="A270" t="str">
        <f>IF('Equipment Information'!A270="","", 'Equipment Information'!A270)</f>
        <v/>
      </c>
      <c r="B270" t="str">
        <f>IF('Equipment Information'!B270="","", 'Equipment Information'!B270)</f>
        <v/>
      </c>
      <c r="C270" t="str">
        <f>IF('Equipment Information'!C270="","", 'Equipment Information'!C270)</f>
        <v/>
      </c>
      <c r="F270" t="str">
        <f t="shared" si="1"/>
        <v/>
      </c>
    </row>
    <row r="271" spans="1:6" x14ac:dyDescent="0.25">
      <c r="A271" t="str">
        <f>IF('Equipment Information'!A271="","", 'Equipment Information'!A271)</f>
        <v/>
      </c>
      <c r="B271" t="str">
        <f>IF('Equipment Information'!B271="","", 'Equipment Information'!B271)</f>
        <v/>
      </c>
      <c r="C271" t="str">
        <f>IF('Equipment Information'!C271="","", 'Equipment Information'!C271)</f>
        <v/>
      </c>
      <c r="F271" t="str">
        <f t="shared" si="1"/>
        <v/>
      </c>
    </row>
    <row r="272" spans="1:6" x14ac:dyDescent="0.25">
      <c r="A272" t="str">
        <f>IF('Equipment Information'!A272="","", 'Equipment Information'!A272)</f>
        <v/>
      </c>
      <c r="B272" t="str">
        <f>IF('Equipment Information'!B272="","", 'Equipment Information'!B272)</f>
        <v/>
      </c>
      <c r="C272" t="str">
        <f>IF('Equipment Information'!C272="","", 'Equipment Information'!C272)</f>
        <v/>
      </c>
      <c r="F272" t="str">
        <f t="shared" si="1"/>
        <v/>
      </c>
    </row>
    <row r="273" spans="1:6" x14ac:dyDescent="0.25">
      <c r="A273" t="str">
        <f>IF('Equipment Information'!A273="","", 'Equipment Information'!A273)</f>
        <v/>
      </c>
      <c r="B273" t="str">
        <f>IF('Equipment Information'!B273="","", 'Equipment Information'!B273)</f>
        <v/>
      </c>
      <c r="C273" t="str">
        <f>IF('Equipment Information'!C273="","", 'Equipment Information'!C273)</f>
        <v/>
      </c>
      <c r="F273" t="str">
        <f t="shared" si="1"/>
        <v/>
      </c>
    </row>
    <row r="274" spans="1:6" x14ac:dyDescent="0.25">
      <c r="A274" t="str">
        <f>IF('Equipment Information'!A274="","", 'Equipment Information'!A274)</f>
        <v/>
      </c>
      <c r="B274" t="str">
        <f>IF('Equipment Information'!B274="","", 'Equipment Information'!B274)</f>
        <v/>
      </c>
      <c r="C274" t="str">
        <f>IF('Equipment Information'!C274="","", 'Equipment Information'!C274)</f>
        <v/>
      </c>
      <c r="F274" t="str">
        <f t="shared" si="1"/>
        <v/>
      </c>
    </row>
    <row r="275" spans="1:6" x14ac:dyDescent="0.25">
      <c r="A275" t="str">
        <f>IF('Equipment Information'!A275="","", 'Equipment Information'!A275)</f>
        <v/>
      </c>
      <c r="B275" t="str">
        <f>IF('Equipment Information'!B275="","", 'Equipment Information'!B275)</f>
        <v/>
      </c>
      <c r="C275" t="str">
        <f>IF('Equipment Information'!C275="","", 'Equipment Information'!C275)</f>
        <v/>
      </c>
      <c r="F275" t="str">
        <f t="shared" si="1"/>
        <v/>
      </c>
    </row>
    <row r="276" spans="1:6" x14ac:dyDescent="0.25">
      <c r="A276" t="str">
        <f>IF('Equipment Information'!A276="","", 'Equipment Information'!A276)</f>
        <v/>
      </c>
      <c r="B276" t="str">
        <f>IF('Equipment Information'!B276="","", 'Equipment Information'!B276)</f>
        <v/>
      </c>
      <c r="C276" t="str">
        <f>IF('Equipment Information'!C276="","", 'Equipment Information'!C276)</f>
        <v/>
      </c>
      <c r="F276" t="str">
        <f t="shared" si="1"/>
        <v/>
      </c>
    </row>
    <row r="277" spans="1:6" x14ac:dyDescent="0.25">
      <c r="A277" t="str">
        <f>IF('Equipment Information'!A277="","", 'Equipment Information'!A277)</f>
        <v/>
      </c>
      <c r="B277" t="str">
        <f>IF('Equipment Information'!B277="","", 'Equipment Information'!B277)</f>
        <v/>
      </c>
      <c r="C277" t="str">
        <f>IF('Equipment Information'!C277="","", 'Equipment Information'!C277)</f>
        <v/>
      </c>
      <c r="F277" t="str">
        <f t="shared" si="1"/>
        <v/>
      </c>
    </row>
    <row r="278" spans="1:6" x14ac:dyDescent="0.25">
      <c r="A278" t="str">
        <f>IF('Equipment Information'!A278="","", 'Equipment Information'!A278)</f>
        <v/>
      </c>
      <c r="B278" t="str">
        <f>IF('Equipment Information'!B278="","", 'Equipment Information'!B278)</f>
        <v/>
      </c>
      <c r="C278" t="str">
        <f>IF('Equipment Information'!C278="","", 'Equipment Information'!C278)</f>
        <v/>
      </c>
      <c r="F278" t="str">
        <f t="shared" si="1"/>
        <v/>
      </c>
    </row>
    <row r="279" spans="1:6" x14ac:dyDescent="0.25">
      <c r="A279" t="str">
        <f>IF('Equipment Information'!A279="","", 'Equipment Information'!A279)</f>
        <v/>
      </c>
      <c r="B279" t="str">
        <f>IF('Equipment Information'!B279="","", 'Equipment Information'!B279)</f>
        <v/>
      </c>
      <c r="C279" t="str">
        <f>IF('Equipment Information'!C279="","", 'Equipment Information'!C279)</f>
        <v/>
      </c>
      <c r="F279" t="str">
        <f t="shared" si="1"/>
        <v/>
      </c>
    </row>
    <row r="280" spans="1:6" x14ac:dyDescent="0.25">
      <c r="A280" t="str">
        <f>IF('Equipment Information'!A280="","", 'Equipment Information'!A280)</f>
        <v/>
      </c>
      <c r="B280" t="str">
        <f>IF('Equipment Information'!B280="","", 'Equipment Information'!B280)</f>
        <v/>
      </c>
      <c r="C280" t="str">
        <f>IF('Equipment Information'!C280="","", 'Equipment Information'!C280)</f>
        <v/>
      </c>
      <c r="F280" t="str">
        <f t="shared" si="1"/>
        <v/>
      </c>
    </row>
    <row r="281" spans="1:6" x14ac:dyDescent="0.25">
      <c r="A281" t="str">
        <f>IF('Equipment Information'!A281="","", 'Equipment Information'!A281)</f>
        <v/>
      </c>
      <c r="B281" t="str">
        <f>IF('Equipment Information'!B281="","", 'Equipment Information'!B281)</f>
        <v/>
      </c>
      <c r="C281" t="str">
        <f>IF('Equipment Information'!C281="","", 'Equipment Information'!C281)</f>
        <v/>
      </c>
      <c r="F281" t="str">
        <f t="shared" si="1"/>
        <v/>
      </c>
    </row>
    <row r="282" spans="1:6" x14ac:dyDescent="0.25">
      <c r="A282" t="str">
        <f>IF('Equipment Information'!A282="","", 'Equipment Information'!A282)</f>
        <v/>
      </c>
      <c r="B282" t="str">
        <f>IF('Equipment Information'!B282="","", 'Equipment Information'!B282)</f>
        <v/>
      </c>
      <c r="C282" t="str">
        <f>IF('Equipment Information'!C282="","", 'Equipment Information'!C282)</f>
        <v/>
      </c>
      <c r="F282" t="str">
        <f t="shared" si="1"/>
        <v/>
      </c>
    </row>
    <row r="283" spans="1:6" x14ac:dyDescent="0.25">
      <c r="A283" t="str">
        <f>IF('Equipment Information'!A283="","", 'Equipment Information'!A283)</f>
        <v/>
      </c>
      <c r="B283" t="str">
        <f>IF('Equipment Information'!B283="","", 'Equipment Information'!B283)</f>
        <v/>
      </c>
      <c r="C283" t="str">
        <f>IF('Equipment Information'!C283="","", 'Equipment Information'!C283)</f>
        <v/>
      </c>
      <c r="F283" t="str">
        <f t="shared" si="1"/>
        <v/>
      </c>
    </row>
    <row r="284" spans="1:6" x14ac:dyDescent="0.25">
      <c r="A284" t="str">
        <f>IF('Equipment Information'!A284="","", 'Equipment Information'!A284)</f>
        <v/>
      </c>
      <c r="B284" t="str">
        <f>IF('Equipment Information'!B284="","", 'Equipment Information'!B284)</f>
        <v/>
      </c>
      <c r="C284" t="str">
        <f>IF('Equipment Information'!C284="","", 'Equipment Information'!C284)</f>
        <v/>
      </c>
      <c r="F284" t="str">
        <f t="shared" ref="F284:F347" si="2">IF(A284="","","N/A")</f>
        <v/>
      </c>
    </row>
    <row r="285" spans="1:6" x14ac:dyDescent="0.25">
      <c r="A285" t="str">
        <f>IF('Equipment Information'!A285="","", 'Equipment Information'!A285)</f>
        <v/>
      </c>
      <c r="B285" t="str">
        <f>IF('Equipment Information'!B285="","", 'Equipment Information'!B285)</f>
        <v/>
      </c>
      <c r="C285" t="str">
        <f>IF('Equipment Information'!C285="","", 'Equipment Information'!C285)</f>
        <v/>
      </c>
      <c r="F285" t="str">
        <f t="shared" si="2"/>
        <v/>
      </c>
    </row>
    <row r="286" spans="1:6" x14ac:dyDescent="0.25">
      <c r="A286" t="str">
        <f>IF('Equipment Information'!A286="","", 'Equipment Information'!A286)</f>
        <v/>
      </c>
      <c r="B286" t="str">
        <f>IF('Equipment Information'!B286="","", 'Equipment Information'!B286)</f>
        <v/>
      </c>
      <c r="C286" t="str">
        <f>IF('Equipment Information'!C286="","", 'Equipment Information'!C286)</f>
        <v/>
      </c>
      <c r="F286" t="str">
        <f t="shared" si="2"/>
        <v/>
      </c>
    </row>
    <row r="287" spans="1:6" x14ac:dyDescent="0.25">
      <c r="A287" t="str">
        <f>IF('Equipment Information'!A287="","", 'Equipment Information'!A287)</f>
        <v/>
      </c>
      <c r="B287" t="str">
        <f>IF('Equipment Information'!B287="","", 'Equipment Information'!B287)</f>
        <v/>
      </c>
      <c r="C287" t="str">
        <f>IF('Equipment Information'!C287="","", 'Equipment Information'!C287)</f>
        <v/>
      </c>
      <c r="F287" t="str">
        <f t="shared" si="2"/>
        <v/>
      </c>
    </row>
    <row r="288" spans="1:6" x14ac:dyDescent="0.25">
      <c r="A288" t="str">
        <f>IF('Equipment Information'!A288="","", 'Equipment Information'!A288)</f>
        <v/>
      </c>
      <c r="B288" t="str">
        <f>IF('Equipment Information'!B288="","", 'Equipment Information'!B288)</f>
        <v/>
      </c>
      <c r="C288" t="str">
        <f>IF('Equipment Information'!C288="","", 'Equipment Information'!C288)</f>
        <v/>
      </c>
      <c r="F288" t="str">
        <f t="shared" si="2"/>
        <v/>
      </c>
    </row>
    <row r="289" spans="1:6" x14ac:dyDescent="0.25">
      <c r="A289" t="str">
        <f>IF('Equipment Information'!A289="","", 'Equipment Information'!A289)</f>
        <v/>
      </c>
      <c r="B289" t="str">
        <f>IF('Equipment Information'!B289="","", 'Equipment Information'!B289)</f>
        <v/>
      </c>
      <c r="C289" t="str">
        <f>IF('Equipment Information'!C289="","", 'Equipment Information'!C289)</f>
        <v/>
      </c>
      <c r="F289" t="str">
        <f t="shared" si="2"/>
        <v/>
      </c>
    </row>
    <row r="290" spans="1:6" x14ac:dyDescent="0.25">
      <c r="A290" t="str">
        <f>IF('Equipment Information'!A290="","", 'Equipment Information'!A290)</f>
        <v/>
      </c>
      <c r="B290" t="str">
        <f>IF('Equipment Information'!B290="","", 'Equipment Information'!B290)</f>
        <v/>
      </c>
      <c r="C290" t="str">
        <f>IF('Equipment Information'!C290="","", 'Equipment Information'!C290)</f>
        <v/>
      </c>
      <c r="F290" t="str">
        <f t="shared" si="2"/>
        <v/>
      </c>
    </row>
    <row r="291" spans="1:6" x14ac:dyDescent="0.25">
      <c r="A291" t="str">
        <f>IF('Equipment Information'!A291="","", 'Equipment Information'!A291)</f>
        <v/>
      </c>
      <c r="B291" t="str">
        <f>IF('Equipment Information'!B291="","", 'Equipment Information'!B291)</f>
        <v/>
      </c>
      <c r="C291" t="str">
        <f>IF('Equipment Information'!C291="","", 'Equipment Information'!C291)</f>
        <v/>
      </c>
      <c r="F291" t="str">
        <f t="shared" si="2"/>
        <v/>
      </c>
    </row>
    <row r="292" spans="1:6" x14ac:dyDescent="0.25">
      <c r="A292" t="str">
        <f>IF('Equipment Information'!A292="","", 'Equipment Information'!A292)</f>
        <v/>
      </c>
      <c r="B292" t="str">
        <f>IF('Equipment Information'!B292="","", 'Equipment Information'!B292)</f>
        <v/>
      </c>
      <c r="C292" t="str">
        <f>IF('Equipment Information'!C292="","", 'Equipment Information'!C292)</f>
        <v/>
      </c>
      <c r="F292" t="str">
        <f t="shared" si="2"/>
        <v/>
      </c>
    </row>
    <row r="293" spans="1:6" x14ac:dyDescent="0.25">
      <c r="A293" t="str">
        <f>IF('Equipment Information'!A293="","", 'Equipment Information'!A293)</f>
        <v/>
      </c>
      <c r="B293" t="str">
        <f>IF('Equipment Information'!B293="","", 'Equipment Information'!B293)</f>
        <v/>
      </c>
      <c r="C293" t="str">
        <f>IF('Equipment Information'!C293="","", 'Equipment Information'!C293)</f>
        <v/>
      </c>
      <c r="F293" t="str">
        <f t="shared" si="2"/>
        <v/>
      </c>
    </row>
    <row r="294" spans="1:6" x14ac:dyDescent="0.25">
      <c r="A294" t="str">
        <f>IF('Equipment Information'!A294="","", 'Equipment Information'!A294)</f>
        <v/>
      </c>
      <c r="B294" t="str">
        <f>IF('Equipment Information'!B294="","", 'Equipment Information'!B294)</f>
        <v/>
      </c>
      <c r="C294" t="str">
        <f>IF('Equipment Information'!C294="","", 'Equipment Information'!C294)</f>
        <v/>
      </c>
      <c r="F294" t="str">
        <f t="shared" si="2"/>
        <v/>
      </c>
    </row>
    <row r="295" spans="1:6" x14ac:dyDescent="0.25">
      <c r="A295" t="str">
        <f>IF('Equipment Information'!A295="","", 'Equipment Information'!A295)</f>
        <v/>
      </c>
      <c r="B295" t="str">
        <f>IF('Equipment Information'!B295="","", 'Equipment Information'!B295)</f>
        <v/>
      </c>
      <c r="C295" t="str">
        <f>IF('Equipment Information'!C295="","", 'Equipment Information'!C295)</f>
        <v/>
      </c>
      <c r="F295" t="str">
        <f t="shared" si="2"/>
        <v/>
      </c>
    </row>
    <row r="296" spans="1:6" x14ac:dyDescent="0.25">
      <c r="A296" t="str">
        <f>IF('Equipment Information'!A296="","", 'Equipment Information'!A296)</f>
        <v/>
      </c>
      <c r="B296" t="str">
        <f>IF('Equipment Information'!B296="","", 'Equipment Information'!B296)</f>
        <v/>
      </c>
      <c r="C296" t="str">
        <f>IF('Equipment Information'!C296="","", 'Equipment Information'!C296)</f>
        <v/>
      </c>
      <c r="F296" t="str">
        <f t="shared" si="2"/>
        <v/>
      </c>
    </row>
    <row r="297" spans="1:6" x14ac:dyDescent="0.25">
      <c r="A297" t="str">
        <f>IF('Equipment Information'!A297="","", 'Equipment Information'!A297)</f>
        <v/>
      </c>
      <c r="B297" t="str">
        <f>IF('Equipment Information'!B297="","", 'Equipment Information'!B297)</f>
        <v/>
      </c>
      <c r="C297" t="str">
        <f>IF('Equipment Information'!C297="","", 'Equipment Information'!C297)</f>
        <v/>
      </c>
      <c r="F297" t="str">
        <f t="shared" si="2"/>
        <v/>
      </c>
    </row>
    <row r="298" spans="1:6" x14ac:dyDescent="0.25">
      <c r="A298" t="str">
        <f>IF('Equipment Information'!A298="","", 'Equipment Information'!A298)</f>
        <v/>
      </c>
      <c r="B298" t="str">
        <f>IF('Equipment Information'!B298="","", 'Equipment Information'!B298)</f>
        <v/>
      </c>
      <c r="C298" t="str">
        <f>IF('Equipment Information'!C298="","", 'Equipment Information'!C298)</f>
        <v/>
      </c>
      <c r="F298" t="str">
        <f t="shared" si="2"/>
        <v/>
      </c>
    </row>
    <row r="299" spans="1:6" x14ac:dyDescent="0.25">
      <c r="A299" t="str">
        <f>IF('Equipment Information'!A299="","", 'Equipment Information'!A299)</f>
        <v/>
      </c>
      <c r="B299" t="str">
        <f>IF('Equipment Information'!B299="","", 'Equipment Information'!B299)</f>
        <v/>
      </c>
      <c r="C299" t="str">
        <f>IF('Equipment Information'!C299="","", 'Equipment Information'!C299)</f>
        <v/>
      </c>
      <c r="F299" t="str">
        <f t="shared" si="2"/>
        <v/>
      </c>
    </row>
    <row r="300" spans="1:6" x14ac:dyDescent="0.25">
      <c r="A300" t="str">
        <f>IF('Equipment Information'!A300="","", 'Equipment Information'!A300)</f>
        <v/>
      </c>
      <c r="B300" t="str">
        <f>IF('Equipment Information'!B300="","", 'Equipment Information'!B300)</f>
        <v/>
      </c>
      <c r="C300" t="str">
        <f>IF('Equipment Information'!C300="","", 'Equipment Information'!C300)</f>
        <v/>
      </c>
      <c r="F300" t="str">
        <f t="shared" si="2"/>
        <v/>
      </c>
    </row>
    <row r="301" spans="1:6" x14ac:dyDescent="0.25">
      <c r="A301" t="str">
        <f>IF('Equipment Information'!A301="","", 'Equipment Information'!A301)</f>
        <v/>
      </c>
      <c r="B301" t="str">
        <f>IF('Equipment Information'!B301="","", 'Equipment Information'!B301)</f>
        <v/>
      </c>
      <c r="C301" t="str">
        <f>IF('Equipment Information'!C301="","", 'Equipment Information'!C301)</f>
        <v/>
      </c>
      <c r="F301" t="str">
        <f t="shared" si="2"/>
        <v/>
      </c>
    </row>
    <row r="302" spans="1:6" x14ac:dyDescent="0.25">
      <c r="A302" t="str">
        <f>IF('Equipment Information'!A302="","", 'Equipment Information'!A302)</f>
        <v/>
      </c>
      <c r="B302" t="str">
        <f>IF('Equipment Information'!B302="","", 'Equipment Information'!B302)</f>
        <v/>
      </c>
      <c r="C302" t="str">
        <f>IF('Equipment Information'!C302="","", 'Equipment Information'!C302)</f>
        <v/>
      </c>
      <c r="F302" t="str">
        <f t="shared" si="2"/>
        <v/>
      </c>
    </row>
    <row r="303" spans="1:6" x14ac:dyDescent="0.25">
      <c r="A303" t="str">
        <f>IF('Equipment Information'!A303="","", 'Equipment Information'!A303)</f>
        <v/>
      </c>
      <c r="B303" t="str">
        <f>IF('Equipment Information'!B303="","", 'Equipment Information'!B303)</f>
        <v/>
      </c>
      <c r="C303" t="str">
        <f>IF('Equipment Information'!C303="","", 'Equipment Information'!C303)</f>
        <v/>
      </c>
      <c r="F303" t="str">
        <f t="shared" si="2"/>
        <v/>
      </c>
    </row>
    <row r="304" spans="1:6" x14ac:dyDescent="0.25">
      <c r="A304" t="str">
        <f>IF('Equipment Information'!A304="","", 'Equipment Information'!A304)</f>
        <v/>
      </c>
      <c r="B304" t="str">
        <f>IF('Equipment Information'!B304="","", 'Equipment Information'!B304)</f>
        <v/>
      </c>
      <c r="C304" t="str">
        <f>IF('Equipment Information'!C304="","", 'Equipment Information'!C304)</f>
        <v/>
      </c>
      <c r="F304" t="str">
        <f t="shared" si="2"/>
        <v/>
      </c>
    </row>
    <row r="305" spans="1:6" x14ac:dyDescent="0.25">
      <c r="A305" t="str">
        <f>IF('Equipment Information'!A305="","", 'Equipment Information'!A305)</f>
        <v/>
      </c>
      <c r="B305" t="str">
        <f>IF('Equipment Information'!B305="","", 'Equipment Information'!B305)</f>
        <v/>
      </c>
      <c r="C305" t="str">
        <f>IF('Equipment Information'!C305="","", 'Equipment Information'!C305)</f>
        <v/>
      </c>
      <c r="F305" t="str">
        <f t="shared" si="2"/>
        <v/>
      </c>
    </row>
    <row r="306" spans="1:6" x14ac:dyDescent="0.25">
      <c r="A306" t="str">
        <f>IF('Equipment Information'!A306="","", 'Equipment Information'!A306)</f>
        <v/>
      </c>
      <c r="B306" t="str">
        <f>IF('Equipment Information'!B306="","", 'Equipment Information'!B306)</f>
        <v/>
      </c>
      <c r="C306" t="str">
        <f>IF('Equipment Information'!C306="","", 'Equipment Information'!C306)</f>
        <v/>
      </c>
      <c r="F306" t="str">
        <f t="shared" si="2"/>
        <v/>
      </c>
    </row>
    <row r="307" spans="1:6" x14ac:dyDescent="0.25">
      <c r="A307" t="str">
        <f>IF('Equipment Information'!A307="","", 'Equipment Information'!A307)</f>
        <v/>
      </c>
      <c r="B307" t="str">
        <f>IF('Equipment Information'!B307="","", 'Equipment Information'!B307)</f>
        <v/>
      </c>
      <c r="C307" t="str">
        <f>IF('Equipment Information'!C307="","", 'Equipment Information'!C307)</f>
        <v/>
      </c>
      <c r="F307" t="str">
        <f t="shared" si="2"/>
        <v/>
      </c>
    </row>
    <row r="308" spans="1:6" x14ac:dyDescent="0.25">
      <c r="A308" t="str">
        <f>IF('Equipment Information'!A308="","", 'Equipment Information'!A308)</f>
        <v/>
      </c>
      <c r="B308" t="str">
        <f>IF('Equipment Information'!B308="","", 'Equipment Information'!B308)</f>
        <v/>
      </c>
      <c r="C308" t="str">
        <f>IF('Equipment Information'!C308="","", 'Equipment Information'!C308)</f>
        <v/>
      </c>
      <c r="F308" t="str">
        <f t="shared" si="2"/>
        <v/>
      </c>
    </row>
    <row r="309" spans="1:6" x14ac:dyDescent="0.25">
      <c r="A309" t="str">
        <f>IF('Equipment Information'!A309="","", 'Equipment Information'!A309)</f>
        <v/>
      </c>
      <c r="B309" t="str">
        <f>IF('Equipment Information'!B309="","", 'Equipment Information'!B309)</f>
        <v/>
      </c>
      <c r="C309" t="str">
        <f>IF('Equipment Information'!C309="","", 'Equipment Information'!C309)</f>
        <v/>
      </c>
      <c r="F309" t="str">
        <f t="shared" si="2"/>
        <v/>
      </c>
    </row>
    <row r="310" spans="1:6" x14ac:dyDescent="0.25">
      <c r="A310" t="str">
        <f>IF('Equipment Information'!A310="","", 'Equipment Information'!A310)</f>
        <v/>
      </c>
      <c r="B310" t="str">
        <f>IF('Equipment Information'!B310="","", 'Equipment Information'!B310)</f>
        <v/>
      </c>
      <c r="C310" t="str">
        <f>IF('Equipment Information'!C310="","", 'Equipment Information'!C310)</f>
        <v/>
      </c>
      <c r="F310" t="str">
        <f t="shared" si="2"/>
        <v/>
      </c>
    </row>
    <row r="311" spans="1:6" x14ac:dyDescent="0.25">
      <c r="A311" t="str">
        <f>IF('Equipment Information'!A311="","", 'Equipment Information'!A311)</f>
        <v/>
      </c>
      <c r="B311" t="str">
        <f>IF('Equipment Information'!B311="","", 'Equipment Information'!B311)</f>
        <v/>
      </c>
      <c r="C311" t="str">
        <f>IF('Equipment Information'!C311="","", 'Equipment Information'!C311)</f>
        <v/>
      </c>
      <c r="F311" t="str">
        <f t="shared" si="2"/>
        <v/>
      </c>
    </row>
    <row r="312" spans="1:6" x14ac:dyDescent="0.25">
      <c r="A312" t="str">
        <f>IF('Equipment Information'!A312="","", 'Equipment Information'!A312)</f>
        <v/>
      </c>
      <c r="B312" t="str">
        <f>IF('Equipment Information'!B312="","", 'Equipment Information'!B312)</f>
        <v/>
      </c>
      <c r="C312" t="str">
        <f>IF('Equipment Information'!C312="","", 'Equipment Information'!C312)</f>
        <v/>
      </c>
      <c r="F312" t="str">
        <f t="shared" si="2"/>
        <v/>
      </c>
    </row>
    <row r="313" spans="1:6" x14ac:dyDescent="0.25">
      <c r="A313" t="str">
        <f>IF('Equipment Information'!A313="","", 'Equipment Information'!A313)</f>
        <v/>
      </c>
      <c r="B313" t="str">
        <f>IF('Equipment Information'!B313="","", 'Equipment Information'!B313)</f>
        <v/>
      </c>
      <c r="C313" t="str">
        <f>IF('Equipment Information'!C313="","", 'Equipment Information'!C313)</f>
        <v/>
      </c>
      <c r="F313" t="str">
        <f t="shared" si="2"/>
        <v/>
      </c>
    </row>
    <row r="314" spans="1:6" x14ac:dyDescent="0.25">
      <c r="A314" t="str">
        <f>IF('Equipment Information'!A314="","", 'Equipment Information'!A314)</f>
        <v/>
      </c>
      <c r="B314" t="str">
        <f>IF('Equipment Information'!B314="","", 'Equipment Information'!B314)</f>
        <v/>
      </c>
      <c r="C314" t="str">
        <f>IF('Equipment Information'!C314="","", 'Equipment Information'!C314)</f>
        <v/>
      </c>
      <c r="F314" t="str">
        <f t="shared" si="2"/>
        <v/>
      </c>
    </row>
    <row r="315" spans="1:6" x14ac:dyDescent="0.25">
      <c r="A315" t="str">
        <f>IF('Equipment Information'!A315="","", 'Equipment Information'!A315)</f>
        <v/>
      </c>
      <c r="B315" t="str">
        <f>IF('Equipment Information'!B315="","", 'Equipment Information'!B315)</f>
        <v/>
      </c>
      <c r="C315" t="str">
        <f>IF('Equipment Information'!C315="","", 'Equipment Information'!C315)</f>
        <v/>
      </c>
      <c r="F315" t="str">
        <f t="shared" si="2"/>
        <v/>
      </c>
    </row>
    <row r="316" spans="1:6" x14ac:dyDescent="0.25">
      <c r="A316" t="str">
        <f>IF('Equipment Information'!A316="","", 'Equipment Information'!A316)</f>
        <v/>
      </c>
      <c r="B316" t="str">
        <f>IF('Equipment Information'!B316="","", 'Equipment Information'!B316)</f>
        <v/>
      </c>
      <c r="C316" t="str">
        <f>IF('Equipment Information'!C316="","", 'Equipment Information'!C316)</f>
        <v/>
      </c>
      <c r="F316" t="str">
        <f t="shared" si="2"/>
        <v/>
      </c>
    </row>
    <row r="317" spans="1:6" x14ac:dyDescent="0.25">
      <c r="A317" t="str">
        <f>IF('Equipment Information'!A317="","", 'Equipment Information'!A317)</f>
        <v/>
      </c>
      <c r="B317" t="str">
        <f>IF('Equipment Information'!B317="","", 'Equipment Information'!B317)</f>
        <v/>
      </c>
      <c r="C317" t="str">
        <f>IF('Equipment Information'!C317="","", 'Equipment Information'!C317)</f>
        <v/>
      </c>
      <c r="F317" t="str">
        <f t="shared" si="2"/>
        <v/>
      </c>
    </row>
    <row r="318" spans="1:6" x14ac:dyDescent="0.25">
      <c r="A318" t="str">
        <f>IF('Equipment Information'!A318="","", 'Equipment Information'!A318)</f>
        <v/>
      </c>
      <c r="B318" t="str">
        <f>IF('Equipment Information'!B318="","", 'Equipment Information'!B318)</f>
        <v/>
      </c>
      <c r="C318" t="str">
        <f>IF('Equipment Information'!C318="","", 'Equipment Information'!C318)</f>
        <v/>
      </c>
      <c r="F318" t="str">
        <f t="shared" si="2"/>
        <v/>
      </c>
    </row>
    <row r="319" spans="1:6" x14ac:dyDescent="0.25">
      <c r="A319" t="str">
        <f>IF('Equipment Information'!A319="","", 'Equipment Information'!A319)</f>
        <v/>
      </c>
      <c r="B319" t="str">
        <f>IF('Equipment Information'!B319="","", 'Equipment Information'!B319)</f>
        <v/>
      </c>
      <c r="C319" t="str">
        <f>IF('Equipment Information'!C319="","", 'Equipment Information'!C319)</f>
        <v/>
      </c>
      <c r="F319" t="str">
        <f t="shared" si="2"/>
        <v/>
      </c>
    </row>
    <row r="320" spans="1:6" x14ac:dyDescent="0.25">
      <c r="A320" t="str">
        <f>IF('Equipment Information'!A320="","", 'Equipment Information'!A320)</f>
        <v/>
      </c>
      <c r="B320" t="str">
        <f>IF('Equipment Information'!B320="","", 'Equipment Information'!B320)</f>
        <v/>
      </c>
      <c r="C320" t="str">
        <f>IF('Equipment Information'!C320="","", 'Equipment Information'!C320)</f>
        <v/>
      </c>
      <c r="F320" t="str">
        <f t="shared" si="2"/>
        <v/>
      </c>
    </row>
    <row r="321" spans="1:6" x14ac:dyDescent="0.25">
      <c r="A321" t="str">
        <f>IF('Equipment Information'!A321="","", 'Equipment Information'!A321)</f>
        <v/>
      </c>
      <c r="B321" t="str">
        <f>IF('Equipment Information'!B321="","", 'Equipment Information'!B321)</f>
        <v/>
      </c>
      <c r="C321" t="str">
        <f>IF('Equipment Information'!C321="","", 'Equipment Information'!C321)</f>
        <v/>
      </c>
      <c r="F321" t="str">
        <f t="shared" si="2"/>
        <v/>
      </c>
    </row>
    <row r="322" spans="1:6" x14ac:dyDescent="0.25">
      <c r="A322" t="str">
        <f>IF('Equipment Information'!A322="","", 'Equipment Information'!A322)</f>
        <v/>
      </c>
      <c r="B322" t="str">
        <f>IF('Equipment Information'!B322="","", 'Equipment Information'!B322)</f>
        <v/>
      </c>
      <c r="C322" t="str">
        <f>IF('Equipment Information'!C322="","", 'Equipment Information'!C322)</f>
        <v/>
      </c>
      <c r="F322" t="str">
        <f t="shared" si="2"/>
        <v/>
      </c>
    </row>
    <row r="323" spans="1:6" x14ac:dyDescent="0.25">
      <c r="A323" t="str">
        <f>IF('Equipment Information'!A323="","", 'Equipment Information'!A323)</f>
        <v/>
      </c>
      <c r="B323" t="str">
        <f>IF('Equipment Information'!B323="","", 'Equipment Information'!B323)</f>
        <v/>
      </c>
      <c r="C323" t="str">
        <f>IF('Equipment Information'!C323="","", 'Equipment Information'!C323)</f>
        <v/>
      </c>
      <c r="F323" t="str">
        <f t="shared" si="2"/>
        <v/>
      </c>
    </row>
    <row r="324" spans="1:6" x14ac:dyDescent="0.25">
      <c r="A324" t="str">
        <f>IF('Equipment Information'!A324="","", 'Equipment Information'!A324)</f>
        <v/>
      </c>
      <c r="B324" t="str">
        <f>IF('Equipment Information'!B324="","", 'Equipment Information'!B324)</f>
        <v/>
      </c>
      <c r="C324" t="str">
        <f>IF('Equipment Information'!C324="","", 'Equipment Information'!C324)</f>
        <v/>
      </c>
      <c r="F324" t="str">
        <f t="shared" si="2"/>
        <v/>
      </c>
    </row>
    <row r="325" spans="1:6" x14ac:dyDescent="0.25">
      <c r="A325" t="str">
        <f>IF('Equipment Information'!A325="","", 'Equipment Information'!A325)</f>
        <v/>
      </c>
      <c r="B325" t="str">
        <f>IF('Equipment Information'!B325="","", 'Equipment Information'!B325)</f>
        <v/>
      </c>
      <c r="C325" t="str">
        <f>IF('Equipment Information'!C325="","", 'Equipment Information'!C325)</f>
        <v/>
      </c>
      <c r="F325" t="str">
        <f t="shared" si="2"/>
        <v/>
      </c>
    </row>
    <row r="326" spans="1:6" x14ac:dyDescent="0.25">
      <c r="A326" t="str">
        <f>IF('Equipment Information'!A326="","", 'Equipment Information'!A326)</f>
        <v/>
      </c>
      <c r="B326" t="str">
        <f>IF('Equipment Information'!B326="","", 'Equipment Information'!B326)</f>
        <v/>
      </c>
      <c r="C326" t="str">
        <f>IF('Equipment Information'!C326="","", 'Equipment Information'!C326)</f>
        <v/>
      </c>
      <c r="F326" t="str">
        <f t="shared" si="2"/>
        <v/>
      </c>
    </row>
    <row r="327" spans="1:6" x14ac:dyDescent="0.25">
      <c r="A327" t="str">
        <f>IF('Equipment Information'!A327="","", 'Equipment Information'!A327)</f>
        <v/>
      </c>
      <c r="B327" t="str">
        <f>IF('Equipment Information'!B327="","", 'Equipment Information'!B327)</f>
        <v/>
      </c>
      <c r="C327" t="str">
        <f>IF('Equipment Information'!C327="","", 'Equipment Information'!C327)</f>
        <v/>
      </c>
      <c r="F327" t="str">
        <f t="shared" si="2"/>
        <v/>
      </c>
    </row>
    <row r="328" spans="1:6" x14ac:dyDescent="0.25">
      <c r="A328" t="str">
        <f>IF('Equipment Information'!A328="","", 'Equipment Information'!A328)</f>
        <v/>
      </c>
      <c r="B328" t="str">
        <f>IF('Equipment Information'!B328="","", 'Equipment Information'!B328)</f>
        <v/>
      </c>
      <c r="C328" t="str">
        <f>IF('Equipment Information'!C328="","", 'Equipment Information'!C328)</f>
        <v/>
      </c>
      <c r="F328" t="str">
        <f t="shared" si="2"/>
        <v/>
      </c>
    </row>
    <row r="329" spans="1:6" x14ac:dyDescent="0.25">
      <c r="A329" t="str">
        <f>IF('Equipment Information'!A329="","", 'Equipment Information'!A329)</f>
        <v/>
      </c>
      <c r="B329" t="str">
        <f>IF('Equipment Information'!B329="","", 'Equipment Information'!B329)</f>
        <v/>
      </c>
      <c r="C329" t="str">
        <f>IF('Equipment Information'!C329="","", 'Equipment Information'!C329)</f>
        <v/>
      </c>
      <c r="F329" t="str">
        <f t="shared" si="2"/>
        <v/>
      </c>
    </row>
    <row r="330" spans="1:6" x14ac:dyDescent="0.25">
      <c r="A330" t="str">
        <f>IF('Equipment Information'!A330="","", 'Equipment Information'!A330)</f>
        <v/>
      </c>
      <c r="B330" t="str">
        <f>IF('Equipment Information'!B330="","", 'Equipment Information'!B330)</f>
        <v/>
      </c>
      <c r="C330" t="str">
        <f>IF('Equipment Information'!C330="","", 'Equipment Information'!C330)</f>
        <v/>
      </c>
      <c r="F330" t="str">
        <f t="shared" si="2"/>
        <v/>
      </c>
    </row>
    <row r="331" spans="1:6" x14ac:dyDescent="0.25">
      <c r="A331" t="str">
        <f>IF('Equipment Information'!A331="","", 'Equipment Information'!A331)</f>
        <v/>
      </c>
      <c r="B331" t="str">
        <f>IF('Equipment Information'!B331="","", 'Equipment Information'!B331)</f>
        <v/>
      </c>
      <c r="C331" t="str">
        <f>IF('Equipment Information'!C331="","", 'Equipment Information'!C331)</f>
        <v/>
      </c>
      <c r="F331" t="str">
        <f t="shared" si="2"/>
        <v/>
      </c>
    </row>
    <row r="332" spans="1:6" x14ac:dyDescent="0.25">
      <c r="A332" t="str">
        <f>IF('Equipment Information'!A332="","", 'Equipment Information'!A332)</f>
        <v/>
      </c>
      <c r="B332" t="str">
        <f>IF('Equipment Information'!B332="","", 'Equipment Information'!B332)</f>
        <v/>
      </c>
      <c r="C332" t="str">
        <f>IF('Equipment Information'!C332="","", 'Equipment Information'!C332)</f>
        <v/>
      </c>
      <c r="F332" t="str">
        <f t="shared" si="2"/>
        <v/>
      </c>
    </row>
    <row r="333" spans="1:6" x14ac:dyDescent="0.25">
      <c r="A333" t="str">
        <f>IF('Equipment Information'!A333="","", 'Equipment Information'!A333)</f>
        <v/>
      </c>
      <c r="B333" t="str">
        <f>IF('Equipment Information'!B333="","", 'Equipment Information'!B333)</f>
        <v/>
      </c>
      <c r="C333" t="str">
        <f>IF('Equipment Information'!C333="","", 'Equipment Information'!C333)</f>
        <v/>
      </c>
      <c r="F333" t="str">
        <f t="shared" si="2"/>
        <v/>
      </c>
    </row>
    <row r="334" spans="1:6" x14ac:dyDescent="0.25">
      <c r="A334" t="str">
        <f>IF('Equipment Information'!A334="","", 'Equipment Information'!A334)</f>
        <v/>
      </c>
      <c r="B334" t="str">
        <f>IF('Equipment Information'!B334="","", 'Equipment Information'!B334)</f>
        <v/>
      </c>
      <c r="C334" t="str">
        <f>IF('Equipment Information'!C334="","", 'Equipment Information'!C334)</f>
        <v/>
      </c>
      <c r="F334" t="str">
        <f t="shared" si="2"/>
        <v/>
      </c>
    </row>
    <row r="335" spans="1:6" x14ac:dyDescent="0.25">
      <c r="A335" t="str">
        <f>IF('Equipment Information'!A335="","", 'Equipment Information'!A335)</f>
        <v/>
      </c>
      <c r="B335" t="str">
        <f>IF('Equipment Information'!B335="","", 'Equipment Information'!B335)</f>
        <v/>
      </c>
      <c r="C335" t="str">
        <f>IF('Equipment Information'!C335="","", 'Equipment Information'!C335)</f>
        <v/>
      </c>
      <c r="F335" t="str">
        <f t="shared" si="2"/>
        <v/>
      </c>
    </row>
    <row r="336" spans="1:6" x14ac:dyDescent="0.25">
      <c r="A336" t="str">
        <f>IF('Equipment Information'!A336="","", 'Equipment Information'!A336)</f>
        <v/>
      </c>
      <c r="B336" t="str">
        <f>IF('Equipment Information'!B336="","", 'Equipment Information'!B336)</f>
        <v/>
      </c>
      <c r="C336" t="str">
        <f>IF('Equipment Information'!C336="","", 'Equipment Information'!C336)</f>
        <v/>
      </c>
      <c r="F336" t="str">
        <f t="shared" si="2"/>
        <v/>
      </c>
    </row>
    <row r="337" spans="1:6" x14ac:dyDescent="0.25">
      <c r="A337" t="str">
        <f>IF('Equipment Information'!A337="","", 'Equipment Information'!A337)</f>
        <v/>
      </c>
      <c r="B337" t="str">
        <f>IF('Equipment Information'!B337="","", 'Equipment Information'!B337)</f>
        <v/>
      </c>
      <c r="C337" t="str">
        <f>IF('Equipment Information'!C337="","", 'Equipment Information'!C337)</f>
        <v/>
      </c>
      <c r="F337" t="str">
        <f t="shared" si="2"/>
        <v/>
      </c>
    </row>
    <row r="338" spans="1:6" x14ac:dyDescent="0.25">
      <c r="A338" t="str">
        <f>IF('Equipment Information'!A338="","", 'Equipment Information'!A338)</f>
        <v/>
      </c>
      <c r="B338" t="str">
        <f>IF('Equipment Information'!B338="","", 'Equipment Information'!B338)</f>
        <v/>
      </c>
      <c r="C338" t="str">
        <f>IF('Equipment Information'!C338="","", 'Equipment Information'!C338)</f>
        <v/>
      </c>
      <c r="F338" t="str">
        <f t="shared" si="2"/>
        <v/>
      </c>
    </row>
    <row r="339" spans="1:6" x14ac:dyDescent="0.25">
      <c r="A339" t="str">
        <f>IF('Equipment Information'!A339="","", 'Equipment Information'!A339)</f>
        <v/>
      </c>
      <c r="B339" t="str">
        <f>IF('Equipment Information'!B339="","", 'Equipment Information'!B339)</f>
        <v/>
      </c>
      <c r="C339" t="str">
        <f>IF('Equipment Information'!C339="","", 'Equipment Information'!C339)</f>
        <v/>
      </c>
      <c r="F339" t="str">
        <f t="shared" si="2"/>
        <v/>
      </c>
    </row>
    <row r="340" spans="1:6" x14ac:dyDescent="0.25">
      <c r="A340" t="str">
        <f>IF('Equipment Information'!A340="","", 'Equipment Information'!A340)</f>
        <v/>
      </c>
      <c r="B340" t="str">
        <f>IF('Equipment Information'!B340="","", 'Equipment Information'!B340)</f>
        <v/>
      </c>
      <c r="C340" t="str">
        <f>IF('Equipment Information'!C340="","", 'Equipment Information'!C340)</f>
        <v/>
      </c>
      <c r="F340" t="str">
        <f t="shared" si="2"/>
        <v/>
      </c>
    </row>
    <row r="341" spans="1:6" x14ac:dyDescent="0.25">
      <c r="A341" t="str">
        <f>IF('Equipment Information'!A341="","", 'Equipment Information'!A341)</f>
        <v/>
      </c>
      <c r="B341" t="str">
        <f>IF('Equipment Information'!B341="","", 'Equipment Information'!B341)</f>
        <v/>
      </c>
      <c r="C341" t="str">
        <f>IF('Equipment Information'!C341="","", 'Equipment Information'!C341)</f>
        <v/>
      </c>
      <c r="F341" t="str">
        <f t="shared" si="2"/>
        <v/>
      </c>
    </row>
    <row r="342" spans="1:6" x14ac:dyDescent="0.25">
      <c r="A342" t="str">
        <f>IF('Equipment Information'!A342="","", 'Equipment Information'!A342)</f>
        <v/>
      </c>
      <c r="B342" t="str">
        <f>IF('Equipment Information'!B342="","", 'Equipment Information'!B342)</f>
        <v/>
      </c>
      <c r="C342" t="str">
        <f>IF('Equipment Information'!C342="","", 'Equipment Information'!C342)</f>
        <v/>
      </c>
      <c r="F342" t="str">
        <f t="shared" si="2"/>
        <v/>
      </c>
    </row>
    <row r="343" spans="1:6" x14ac:dyDescent="0.25">
      <c r="A343" t="str">
        <f>IF('Equipment Information'!A343="","", 'Equipment Information'!A343)</f>
        <v/>
      </c>
      <c r="B343" t="str">
        <f>IF('Equipment Information'!B343="","", 'Equipment Information'!B343)</f>
        <v/>
      </c>
      <c r="C343" t="str">
        <f>IF('Equipment Information'!C343="","", 'Equipment Information'!C343)</f>
        <v/>
      </c>
      <c r="F343" t="str">
        <f t="shared" si="2"/>
        <v/>
      </c>
    </row>
    <row r="344" spans="1:6" x14ac:dyDescent="0.25">
      <c r="A344" t="str">
        <f>IF('Equipment Information'!A344="","", 'Equipment Information'!A344)</f>
        <v/>
      </c>
      <c r="B344" t="str">
        <f>IF('Equipment Information'!B344="","", 'Equipment Information'!B344)</f>
        <v/>
      </c>
      <c r="C344" t="str">
        <f>IF('Equipment Information'!C344="","", 'Equipment Information'!C344)</f>
        <v/>
      </c>
      <c r="F344" t="str">
        <f t="shared" si="2"/>
        <v/>
      </c>
    </row>
    <row r="345" spans="1:6" x14ac:dyDescent="0.25">
      <c r="A345" t="str">
        <f>IF('Equipment Information'!A345="","", 'Equipment Information'!A345)</f>
        <v/>
      </c>
      <c r="B345" t="str">
        <f>IF('Equipment Information'!B345="","", 'Equipment Information'!B345)</f>
        <v/>
      </c>
      <c r="C345" t="str">
        <f>IF('Equipment Information'!C345="","", 'Equipment Information'!C345)</f>
        <v/>
      </c>
      <c r="F345" t="str">
        <f t="shared" si="2"/>
        <v/>
      </c>
    </row>
    <row r="346" spans="1:6" x14ac:dyDescent="0.25">
      <c r="A346" t="str">
        <f>IF('Equipment Information'!A346="","", 'Equipment Information'!A346)</f>
        <v/>
      </c>
      <c r="B346" t="str">
        <f>IF('Equipment Information'!B346="","", 'Equipment Information'!B346)</f>
        <v/>
      </c>
      <c r="C346" t="str">
        <f>IF('Equipment Information'!C346="","", 'Equipment Information'!C346)</f>
        <v/>
      </c>
      <c r="F346" t="str">
        <f t="shared" si="2"/>
        <v/>
      </c>
    </row>
    <row r="347" spans="1:6" x14ac:dyDescent="0.25">
      <c r="A347" t="str">
        <f>IF('Equipment Information'!A347="","", 'Equipment Information'!A347)</f>
        <v/>
      </c>
      <c r="B347" t="str">
        <f>IF('Equipment Information'!B347="","", 'Equipment Information'!B347)</f>
        <v/>
      </c>
      <c r="C347" t="str">
        <f>IF('Equipment Information'!C347="","", 'Equipment Information'!C347)</f>
        <v/>
      </c>
      <c r="F347" t="str">
        <f t="shared" si="2"/>
        <v/>
      </c>
    </row>
    <row r="348" spans="1:6" x14ac:dyDescent="0.25">
      <c r="A348" t="str">
        <f>IF('Equipment Information'!A348="","", 'Equipment Information'!A348)</f>
        <v/>
      </c>
      <c r="B348" t="str">
        <f>IF('Equipment Information'!B348="","", 'Equipment Information'!B348)</f>
        <v/>
      </c>
      <c r="C348" t="str">
        <f>IF('Equipment Information'!C348="","", 'Equipment Information'!C348)</f>
        <v/>
      </c>
      <c r="F348" t="str">
        <f t="shared" ref="F348:F411" si="3">IF(A348="","","N/A")</f>
        <v/>
      </c>
    </row>
    <row r="349" spans="1:6" x14ac:dyDescent="0.25">
      <c r="A349" t="str">
        <f>IF('Equipment Information'!A349="","", 'Equipment Information'!A349)</f>
        <v/>
      </c>
      <c r="B349" t="str">
        <f>IF('Equipment Information'!B349="","", 'Equipment Information'!B349)</f>
        <v/>
      </c>
      <c r="C349" t="str">
        <f>IF('Equipment Information'!C349="","", 'Equipment Information'!C349)</f>
        <v/>
      </c>
      <c r="F349" t="str">
        <f t="shared" si="3"/>
        <v/>
      </c>
    </row>
    <row r="350" spans="1:6" x14ac:dyDescent="0.25">
      <c r="A350" t="str">
        <f>IF('Equipment Information'!A350="","", 'Equipment Information'!A350)</f>
        <v/>
      </c>
      <c r="B350" t="str">
        <f>IF('Equipment Information'!B350="","", 'Equipment Information'!B350)</f>
        <v/>
      </c>
      <c r="C350" t="str">
        <f>IF('Equipment Information'!C350="","", 'Equipment Information'!C350)</f>
        <v/>
      </c>
      <c r="F350" t="str">
        <f t="shared" si="3"/>
        <v/>
      </c>
    </row>
    <row r="351" spans="1:6" x14ac:dyDescent="0.25">
      <c r="A351" t="str">
        <f>IF('Equipment Information'!A351="","", 'Equipment Information'!A351)</f>
        <v/>
      </c>
      <c r="B351" t="str">
        <f>IF('Equipment Information'!B351="","", 'Equipment Information'!B351)</f>
        <v/>
      </c>
      <c r="C351" t="str">
        <f>IF('Equipment Information'!C351="","", 'Equipment Information'!C351)</f>
        <v/>
      </c>
      <c r="F351" t="str">
        <f t="shared" si="3"/>
        <v/>
      </c>
    </row>
    <row r="352" spans="1:6" x14ac:dyDescent="0.25">
      <c r="A352" t="str">
        <f>IF('Equipment Information'!A352="","", 'Equipment Information'!A352)</f>
        <v/>
      </c>
      <c r="B352" t="str">
        <f>IF('Equipment Information'!B352="","", 'Equipment Information'!B352)</f>
        <v/>
      </c>
      <c r="C352" t="str">
        <f>IF('Equipment Information'!C352="","", 'Equipment Information'!C352)</f>
        <v/>
      </c>
      <c r="F352" t="str">
        <f t="shared" si="3"/>
        <v/>
      </c>
    </row>
    <row r="353" spans="1:6" x14ac:dyDescent="0.25">
      <c r="A353" t="str">
        <f>IF('Equipment Information'!A353="","", 'Equipment Information'!A353)</f>
        <v/>
      </c>
      <c r="B353" t="str">
        <f>IF('Equipment Information'!B353="","", 'Equipment Information'!B353)</f>
        <v/>
      </c>
      <c r="C353" t="str">
        <f>IF('Equipment Information'!C353="","", 'Equipment Information'!C353)</f>
        <v/>
      </c>
      <c r="F353" t="str">
        <f t="shared" si="3"/>
        <v/>
      </c>
    </row>
    <row r="354" spans="1:6" x14ac:dyDescent="0.25">
      <c r="A354" t="str">
        <f>IF('Equipment Information'!A354="","", 'Equipment Information'!A354)</f>
        <v/>
      </c>
      <c r="B354" t="str">
        <f>IF('Equipment Information'!B354="","", 'Equipment Information'!B354)</f>
        <v/>
      </c>
      <c r="C354" t="str">
        <f>IF('Equipment Information'!C354="","", 'Equipment Information'!C354)</f>
        <v/>
      </c>
      <c r="F354" t="str">
        <f t="shared" si="3"/>
        <v/>
      </c>
    </row>
    <row r="355" spans="1:6" x14ac:dyDescent="0.25">
      <c r="A355" t="str">
        <f>IF('Equipment Information'!A355="","", 'Equipment Information'!A355)</f>
        <v/>
      </c>
      <c r="B355" t="str">
        <f>IF('Equipment Information'!B355="","", 'Equipment Information'!B355)</f>
        <v/>
      </c>
      <c r="C355" t="str">
        <f>IF('Equipment Information'!C355="","", 'Equipment Information'!C355)</f>
        <v/>
      </c>
      <c r="F355" t="str">
        <f t="shared" si="3"/>
        <v/>
      </c>
    </row>
    <row r="356" spans="1:6" x14ac:dyDescent="0.25">
      <c r="A356" t="str">
        <f>IF('Equipment Information'!A356="","", 'Equipment Information'!A356)</f>
        <v/>
      </c>
      <c r="B356" t="str">
        <f>IF('Equipment Information'!B356="","", 'Equipment Information'!B356)</f>
        <v/>
      </c>
      <c r="C356" t="str">
        <f>IF('Equipment Information'!C356="","", 'Equipment Information'!C356)</f>
        <v/>
      </c>
      <c r="F356" t="str">
        <f t="shared" si="3"/>
        <v/>
      </c>
    </row>
    <row r="357" spans="1:6" x14ac:dyDescent="0.25">
      <c r="A357" t="str">
        <f>IF('Equipment Information'!A357="","", 'Equipment Information'!A357)</f>
        <v/>
      </c>
      <c r="B357" t="str">
        <f>IF('Equipment Information'!B357="","", 'Equipment Information'!B357)</f>
        <v/>
      </c>
      <c r="C357" t="str">
        <f>IF('Equipment Information'!C357="","", 'Equipment Information'!C357)</f>
        <v/>
      </c>
      <c r="F357" t="str">
        <f t="shared" si="3"/>
        <v/>
      </c>
    </row>
    <row r="358" spans="1:6" x14ac:dyDescent="0.25">
      <c r="A358" t="str">
        <f>IF('Equipment Information'!A358="","", 'Equipment Information'!A358)</f>
        <v/>
      </c>
      <c r="B358" t="str">
        <f>IF('Equipment Information'!B358="","", 'Equipment Information'!B358)</f>
        <v/>
      </c>
      <c r="C358" t="str">
        <f>IF('Equipment Information'!C358="","", 'Equipment Information'!C358)</f>
        <v/>
      </c>
      <c r="F358" t="str">
        <f t="shared" si="3"/>
        <v/>
      </c>
    </row>
    <row r="359" spans="1:6" x14ac:dyDescent="0.25">
      <c r="A359" t="str">
        <f>IF('Equipment Information'!A359="","", 'Equipment Information'!A359)</f>
        <v/>
      </c>
      <c r="B359" t="str">
        <f>IF('Equipment Information'!B359="","", 'Equipment Information'!B359)</f>
        <v/>
      </c>
      <c r="C359" t="str">
        <f>IF('Equipment Information'!C359="","", 'Equipment Information'!C359)</f>
        <v/>
      </c>
      <c r="F359" t="str">
        <f t="shared" si="3"/>
        <v/>
      </c>
    </row>
    <row r="360" spans="1:6" x14ac:dyDescent="0.25">
      <c r="A360" t="str">
        <f>IF('Equipment Information'!A360="","", 'Equipment Information'!A360)</f>
        <v/>
      </c>
      <c r="B360" t="str">
        <f>IF('Equipment Information'!B360="","", 'Equipment Information'!B360)</f>
        <v/>
      </c>
      <c r="C360" t="str">
        <f>IF('Equipment Information'!C360="","", 'Equipment Information'!C360)</f>
        <v/>
      </c>
      <c r="F360" t="str">
        <f t="shared" si="3"/>
        <v/>
      </c>
    </row>
    <row r="361" spans="1:6" x14ac:dyDescent="0.25">
      <c r="A361" t="str">
        <f>IF('Equipment Information'!A361="","", 'Equipment Information'!A361)</f>
        <v/>
      </c>
      <c r="B361" t="str">
        <f>IF('Equipment Information'!B361="","", 'Equipment Information'!B361)</f>
        <v/>
      </c>
      <c r="C361" t="str">
        <f>IF('Equipment Information'!C361="","", 'Equipment Information'!C361)</f>
        <v/>
      </c>
      <c r="F361" t="str">
        <f t="shared" si="3"/>
        <v/>
      </c>
    </row>
    <row r="362" spans="1:6" x14ac:dyDescent="0.25">
      <c r="A362" t="str">
        <f>IF('Equipment Information'!A362="","", 'Equipment Information'!A362)</f>
        <v/>
      </c>
      <c r="B362" t="str">
        <f>IF('Equipment Information'!B362="","", 'Equipment Information'!B362)</f>
        <v/>
      </c>
      <c r="C362" t="str">
        <f>IF('Equipment Information'!C362="","", 'Equipment Information'!C362)</f>
        <v/>
      </c>
      <c r="F362" t="str">
        <f t="shared" si="3"/>
        <v/>
      </c>
    </row>
    <row r="363" spans="1:6" x14ac:dyDescent="0.25">
      <c r="A363" t="str">
        <f>IF('Equipment Information'!A363="","", 'Equipment Information'!A363)</f>
        <v/>
      </c>
      <c r="B363" t="str">
        <f>IF('Equipment Information'!B363="","", 'Equipment Information'!B363)</f>
        <v/>
      </c>
      <c r="C363" t="str">
        <f>IF('Equipment Information'!C363="","", 'Equipment Information'!C363)</f>
        <v/>
      </c>
      <c r="F363" t="str">
        <f t="shared" si="3"/>
        <v/>
      </c>
    </row>
    <row r="364" spans="1:6" x14ac:dyDescent="0.25">
      <c r="A364" t="str">
        <f>IF('Equipment Information'!A364="","", 'Equipment Information'!A364)</f>
        <v/>
      </c>
      <c r="B364" t="str">
        <f>IF('Equipment Information'!B364="","", 'Equipment Information'!B364)</f>
        <v/>
      </c>
      <c r="C364" t="str">
        <f>IF('Equipment Information'!C364="","", 'Equipment Information'!C364)</f>
        <v/>
      </c>
      <c r="F364" t="str">
        <f t="shared" si="3"/>
        <v/>
      </c>
    </row>
    <row r="365" spans="1:6" x14ac:dyDescent="0.25">
      <c r="A365" t="str">
        <f>IF('Equipment Information'!A365="","", 'Equipment Information'!A365)</f>
        <v/>
      </c>
      <c r="B365" t="str">
        <f>IF('Equipment Information'!B365="","", 'Equipment Information'!B365)</f>
        <v/>
      </c>
      <c r="C365" t="str">
        <f>IF('Equipment Information'!C365="","", 'Equipment Information'!C365)</f>
        <v/>
      </c>
      <c r="F365" t="str">
        <f t="shared" si="3"/>
        <v/>
      </c>
    </row>
    <row r="366" spans="1:6" x14ac:dyDescent="0.25">
      <c r="A366" t="str">
        <f>IF('Equipment Information'!A366="","", 'Equipment Information'!A366)</f>
        <v/>
      </c>
      <c r="B366" t="str">
        <f>IF('Equipment Information'!B366="","", 'Equipment Information'!B366)</f>
        <v/>
      </c>
      <c r="C366" t="str">
        <f>IF('Equipment Information'!C366="","", 'Equipment Information'!C366)</f>
        <v/>
      </c>
      <c r="F366" t="str">
        <f t="shared" si="3"/>
        <v/>
      </c>
    </row>
    <row r="367" spans="1:6" x14ac:dyDescent="0.25">
      <c r="A367" t="str">
        <f>IF('Equipment Information'!A367="","", 'Equipment Information'!A367)</f>
        <v/>
      </c>
      <c r="B367" t="str">
        <f>IF('Equipment Information'!B367="","", 'Equipment Information'!B367)</f>
        <v/>
      </c>
      <c r="C367" t="str">
        <f>IF('Equipment Information'!C367="","", 'Equipment Information'!C367)</f>
        <v/>
      </c>
      <c r="F367" t="str">
        <f t="shared" si="3"/>
        <v/>
      </c>
    </row>
    <row r="368" spans="1:6" x14ac:dyDescent="0.25">
      <c r="A368" t="str">
        <f>IF('Equipment Information'!A368="","", 'Equipment Information'!A368)</f>
        <v/>
      </c>
      <c r="B368" t="str">
        <f>IF('Equipment Information'!B368="","", 'Equipment Information'!B368)</f>
        <v/>
      </c>
      <c r="C368" t="str">
        <f>IF('Equipment Information'!C368="","", 'Equipment Information'!C368)</f>
        <v/>
      </c>
      <c r="F368" t="str">
        <f t="shared" si="3"/>
        <v/>
      </c>
    </row>
    <row r="369" spans="1:6" x14ac:dyDescent="0.25">
      <c r="A369" t="str">
        <f>IF('Equipment Information'!A369="","", 'Equipment Information'!A369)</f>
        <v/>
      </c>
      <c r="B369" t="str">
        <f>IF('Equipment Information'!B369="","", 'Equipment Information'!B369)</f>
        <v/>
      </c>
      <c r="C369" t="str">
        <f>IF('Equipment Information'!C369="","", 'Equipment Information'!C369)</f>
        <v/>
      </c>
      <c r="F369" t="str">
        <f t="shared" si="3"/>
        <v/>
      </c>
    </row>
    <row r="370" spans="1:6" x14ac:dyDescent="0.25">
      <c r="A370" t="str">
        <f>IF('Equipment Information'!A370="","", 'Equipment Information'!A370)</f>
        <v/>
      </c>
      <c r="B370" t="str">
        <f>IF('Equipment Information'!B370="","", 'Equipment Information'!B370)</f>
        <v/>
      </c>
      <c r="C370" t="str">
        <f>IF('Equipment Information'!C370="","", 'Equipment Information'!C370)</f>
        <v/>
      </c>
      <c r="F370" t="str">
        <f t="shared" si="3"/>
        <v/>
      </c>
    </row>
    <row r="371" spans="1:6" x14ac:dyDescent="0.25">
      <c r="A371" t="str">
        <f>IF('Equipment Information'!A371="","", 'Equipment Information'!A371)</f>
        <v/>
      </c>
      <c r="B371" t="str">
        <f>IF('Equipment Information'!B371="","", 'Equipment Information'!B371)</f>
        <v/>
      </c>
      <c r="C371" t="str">
        <f>IF('Equipment Information'!C371="","", 'Equipment Information'!C371)</f>
        <v/>
      </c>
      <c r="F371" t="str">
        <f t="shared" si="3"/>
        <v/>
      </c>
    </row>
    <row r="372" spans="1:6" x14ac:dyDescent="0.25">
      <c r="A372" t="str">
        <f>IF('Equipment Information'!A372="","", 'Equipment Information'!A372)</f>
        <v/>
      </c>
      <c r="B372" t="str">
        <f>IF('Equipment Information'!B372="","", 'Equipment Information'!B372)</f>
        <v/>
      </c>
      <c r="C372" t="str">
        <f>IF('Equipment Information'!C372="","", 'Equipment Information'!C372)</f>
        <v/>
      </c>
      <c r="F372" t="str">
        <f t="shared" si="3"/>
        <v/>
      </c>
    </row>
    <row r="373" spans="1:6" x14ac:dyDescent="0.25">
      <c r="A373" t="str">
        <f>IF('Equipment Information'!A373="","", 'Equipment Information'!A373)</f>
        <v/>
      </c>
      <c r="B373" t="str">
        <f>IF('Equipment Information'!B373="","", 'Equipment Information'!B373)</f>
        <v/>
      </c>
      <c r="C373" t="str">
        <f>IF('Equipment Information'!C373="","", 'Equipment Information'!C373)</f>
        <v/>
      </c>
      <c r="F373" t="str">
        <f t="shared" si="3"/>
        <v/>
      </c>
    </row>
    <row r="374" spans="1:6" x14ac:dyDescent="0.25">
      <c r="A374" t="str">
        <f>IF('Equipment Information'!A374="","", 'Equipment Information'!A374)</f>
        <v/>
      </c>
      <c r="B374" t="str">
        <f>IF('Equipment Information'!B374="","", 'Equipment Information'!B374)</f>
        <v/>
      </c>
      <c r="C374" t="str">
        <f>IF('Equipment Information'!C374="","", 'Equipment Information'!C374)</f>
        <v/>
      </c>
      <c r="F374" t="str">
        <f t="shared" si="3"/>
        <v/>
      </c>
    </row>
    <row r="375" spans="1:6" x14ac:dyDescent="0.25">
      <c r="A375" t="str">
        <f>IF('Equipment Information'!A375="","", 'Equipment Information'!A375)</f>
        <v/>
      </c>
      <c r="B375" t="str">
        <f>IF('Equipment Information'!B375="","", 'Equipment Information'!B375)</f>
        <v/>
      </c>
      <c r="C375" t="str">
        <f>IF('Equipment Information'!C375="","", 'Equipment Information'!C375)</f>
        <v/>
      </c>
      <c r="F375" t="str">
        <f t="shared" si="3"/>
        <v/>
      </c>
    </row>
    <row r="376" spans="1:6" x14ac:dyDescent="0.25">
      <c r="A376" t="str">
        <f>IF('Equipment Information'!A376="","", 'Equipment Information'!A376)</f>
        <v/>
      </c>
      <c r="B376" t="str">
        <f>IF('Equipment Information'!B376="","", 'Equipment Information'!B376)</f>
        <v/>
      </c>
      <c r="C376" t="str">
        <f>IF('Equipment Information'!C376="","", 'Equipment Information'!C376)</f>
        <v/>
      </c>
      <c r="F376" t="str">
        <f t="shared" si="3"/>
        <v/>
      </c>
    </row>
    <row r="377" spans="1:6" x14ac:dyDescent="0.25">
      <c r="A377" t="str">
        <f>IF('Equipment Information'!A377="","", 'Equipment Information'!A377)</f>
        <v/>
      </c>
      <c r="B377" t="str">
        <f>IF('Equipment Information'!B377="","", 'Equipment Information'!B377)</f>
        <v/>
      </c>
      <c r="C377" t="str">
        <f>IF('Equipment Information'!C377="","", 'Equipment Information'!C377)</f>
        <v/>
      </c>
      <c r="F377" t="str">
        <f t="shared" si="3"/>
        <v/>
      </c>
    </row>
    <row r="378" spans="1:6" x14ac:dyDescent="0.25">
      <c r="A378" t="str">
        <f>IF('Equipment Information'!A378="","", 'Equipment Information'!A378)</f>
        <v/>
      </c>
      <c r="B378" t="str">
        <f>IF('Equipment Information'!B378="","", 'Equipment Information'!B378)</f>
        <v/>
      </c>
      <c r="C378" t="str">
        <f>IF('Equipment Information'!C378="","", 'Equipment Information'!C378)</f>
        <v/>
      </c>
      <c r="F378" t="str">
        <f t="shared" si="3"/>
        <v/>
      </c>
    </row>
    <row r="379" spans="1:6" x14ac:dyDescent="0.25">
      <c r="A379" t="str">
        <f>IF('Equipment Information'!A379="","", 'Equipment Information'!A379)</f>
        <v/>
      </c>
      <c r="B379" t="str">
        <f>IF('Equipment Information'!B379="","", 'Equipment Information'!B379)</f>
        <v/>
      </c>
      <c r="C379" t="str">
        <f>IF('Equipment Information'!C379="","", 'Equipment Information'!C379)</f>
        <v/>
      </c>
      <c r="F379" t="str">
        <f t="shared" si="3"/>
        <v/>
      </c>
    </row>
    <row r="380" spans="1:6" x14ac:dyDescent="0.25">
      <c r="A380" t="str">
        <f>IF('Equipment Information'!A380="","", 'Equipment Information'!A380)</f>
        <v/>
      </c>
      <c r="B380" t="str">
        <f>IF('Equipment Information'!B380="","", 'Equipment Information'!B380)</f>
        <v/>
      </c>
      <c r="C380" t="str">
        <f>IF('Equipment Information'!C380="","", 'Equipment Information'!C380)</f>
        <v/>
      </c>
      <c r="F380" t="str">
        <f t="shared" si="3"/>
        <v/>
      </c>
    </row>
    <row r="381" spans="1:6" x14ac:dyDescent="0.25">
      <c r="A381" t="str">
        <f>IF('Equipment Information'!A381="","", 'Equipment Information'!A381)</f>
        <v/>
      </c>
      <c r="B381" t="str">
        <f>IF('Equipment Information'!B381="","", 'Equipment Information'!B381)</f>
        <v/>
      </c>
      <c r="C381" t="str">
        <f>IF('Equipment Information'!C381="","", 'Equipment Information'!C381)</f>
        <v/>
      </c>
      <c r="F381" t="str">
        <f t="shared" si="3"/>
        <v/>
      </c>
    </row>
    <row r="382" spans="1:6" x14ac:dyDescent="0.25">
      <c r="A382" t="str">
        <f>IF('Equipment Information'!A382="","", 'Equipment Information'!A382)</f>
        <v/>
      </c>
      <c r="B382" t="str">
        <f>IF('Equipment Information'!B382="","", 'Equipment Information'!B382)</f>
        <v/>
      </c>
      <c r="C382" t="str">
        <f>IF('Equipment Information'!C382="","", 'Equipment Information'!C382)</f>
        <v/>
      </c>
      <c r="F382" t="str">
        <f t="shared" si="3"/>
        <v/>
      </c>
    </row>
    <row r="383" spans="1:6" x14ac:dyDescent="0.25">
      <c r="A383" t="str">
        <f>IF('Equipment Information'!A383="","", 'Equipment Information'!A383)</f>
        <v/>
      </c>
      <c r="B383" t="str">
        <f>IF('Equipment Information'!B383="","", 'Equipment Information'!B383)</f>
        <v/>
      </c>
      <c r="C383" t="str">
        <f>IF('Equipment Information'!C383="","", 'Equipment Information'!C383)</f>
        <v/>
      </c>
      <c r="F383" t="str">
        <f t="shared" si="3"/>
        <v/>
      </c>
    </row>
    <row r="384" spans="1:6" x14ac:dyDescent="0.25">
      <c r="A384" t="str">
        <f>IF('Equipment Information'!A384="","", 'Equipment Information'!A384)</f>
        <v/>
      </c>
      <c r="B384" t="str">
        <f>IF('Equipment Information'!B384="","", 'Equipment Information'!B384)</f>
        <v/>
      </c>
      <c r="C384" t="str">
        <f>IF('Equipment Information'!C384="","", 'Equipment Information'!C384)</f>
        <v/>
      </c>
      <c r="F384" t="str">
        <f t="shared" si="3"/>
        <v/>
      </c>
    </row>
    <row r="385" spans="1:6" x14ac:dyDescent="0.25">
      <c r="A385" t="str">
        <f>IF('Equipment Information'!A385="","", 'Equipment Information'!A385)</f>
        <v/>
      </c>
      <c r="B385" t="str">
        <f>IF('Equipment Information'!B385="","", 'Equipment Information'!B385)</f>
        <v/>
      </c>
      <c r="C385" t="str">
        <f>IF('Equipment Information'!C385="","", 'Equipment Information'!C385)</f>
        <v/>
      </c>
      <c r="F385" t="str">
        <f t="shared" si="3"/>
        <v/>
      </c>
    </row>
    <row r="386" spans="1:6" x14ac:dyDescent="0.25">
      <c r="A386" t="str">
        <f>IF('Equipment Information'!A386="","", 'Equipment Information'!A386)</f>
        <v/>
      </c>
      <c r="B386" t="str">
        <f>IF('Equipment Information'!B386="","", 'Equipment Information'!B386)</f>
        <v/>
      </c>
      <c r="C386" t="str">
        <f>IF('Equipment Information'!C386="","", 'Equipment Information'!C386)</f>
        <v/>
      </c>
      <c r="F386" t="str">
        <f t="shared" si="3"/>
        <v/>
      </c>
    </row>
    <row r="387" spans="1:6" x14ac:dyDescent="0.25">
      <c r="A387" t="str">
        <f>IF('Equipment Information'!A387="","", 'Equipment Information'!A387)</f>
        <v/>
      </c>
      <c r="B387" t="str">
        <f>IF('Equipment Information'!B387="","", 'Equipment Information'!B387)</f>
        <v/>
      </c>
      <c r="C387" t="str">
        <f>IF('Equipment Information'!C387="","", 'Equipment Information'!C387)</f>
        <v/>
      </c>
      <c r="F387" t="str">
        <f t="shared" si="3"/>
        <v/>
      </c>
    </row>
    <row r="388" spans="1:6" x14ac:dyDescent="0.25">
      <c r="A388" t="str">
        <f>IF('Equipment Information'!A388="","", 'Equipment Information'!A388)</f>
        <v/>
      </c>
      <c r="B388" t="str">
        <f>IF('Equipment Information'!B388="","", 'Equipment Information'!B388)</f>
        <v/>
      </c>
      <c r="C388" t="str">
        <f>IF('Equipment Information'!C388="","", 'Equipment Information'!C388)</f>
        <v/>
      </c>
      <c r="F388" t="str">
        <f t="shared" si="3"/>
        <v/>
      </c>
    </row>
    <row r="389" spans="1:6" x14ac:dyDescent="0.25">
      <c r="A389" t="str">
        <f>IF('Equipment Information'!A389="","", 'Equipment Information'!A389)</f>
        <v/>
      </c>
      <c r="B389" t="str">
        <f>IF('Equipment Information'!B389="","", 'Equipment Information'!B389)</f>
        <v/>
      </c>
      <c r="C389" t="str">
        <f>IF('Equipment Information'!C389="","", 'Equipment Information'!C389)</f>
        <v/>
      </c>
      <c r="F389" t="str">
        <f t="shared" si="3"/>
        <v/>
      </c>
    </row>
    <row r="390" spans="1:6" x14ac:dyDescent="0.25">
      <c r="A390" t="str">
        <f>IF('Equipment Information'!A390="","", 'Equipment Information'!A390)</f>
        <v/>
      </c>
      <c r="B390" t="str">
        <f>IF('Equipment Information'!B390="","", 'Equipment Information'!B390)</f>
        <v/>
      </c>
      <c r="C390" t="str">
        <f>IF('Equipment Information'!C390="","", 'Equipment Information'!C390)</f>
        <v/>
      </c>
      <c r="F390" t="str">
        <f t="shared" si="3"/>
        <v/>
      </c>
    </row>
    <row r="391" spans="1:6" x14ac:dyDescent="0.25">
      <c r="A391" t="str">
        <f>IF('Equipment Information'!A391="","", 'Equipment Information'!A391)</f>
        <v/>
      </c>
      <c r="B391" t="str">
        <f>IF('Equipment Information'!B391="","", 'Equipment Information'!B391)</f>
        <v/>
      </c>
      <c r="C391" t="str">
        <f>IF('Equipment Information'!C391="","", 'Equipment Information'!C391)</f>
        <v/>
      </c>
      <c r="F391" t="str">
        <f t="shared" si="3"/>
        <v/>
      </c>
    </row>
    <row r="392" spans="1:6" x14ac:dyDescent="0.25">
      <c r="A392" t="str">
        <f>IF('Equipment Information'!A392="","", 'Equipment Information'!A392)</f>
        <v/>
      </c>
      <c r="B392" t="str">
        <f>IF('Equipment Information'!B392="","", 'Equipment Information'!B392)</f>
        <v/>
      </c>
      <c r="C392" t="str">
        <f>IF('Equipment Information'!C392="","", 'Equipment Information'!C392)</f>
        <v/>
      </c>
      <c r="F392" t="str">
        <f t="shared" si="3"/>
        <v/>
      </c>
    </row>
    <row r="393" spans="1:6" x14ac:dyDescent="0.25">
      <c r="A393" t="str">
        <f>IF('Equipment Information'!A393="","", 'Equipment Information'!A393)</f>
        <v/>
      </c>
      <c r="B393" t="str">
        <f>IF('Equipment Information'!B393="","", 'Equipment Information'!B393)</f>
        <v/>
      </c>
      <c r="C393" t="str">
        <f>IF('Equipment Information'!C393="","", 'Equipment Information'!C393)</f>
        <v/>
      </c>
      <c r="F393" t="str">
        <f t="shared" si="3"/>
        <v/>
      </c>
    </row>
    <row r="394" spans="1:6" x14ac:dyDescent="0.25">
      <c r="A394" t="str">
        <f>IF('Equipment Information'!A394="","", 'Equipment Information'!A394)</f>
        <v/>
      </c>
      <c r="B394" t="str">
        <f>IF('Equipment Information'!B394="","", 'Equipment Information'!B394)</f>
        <v/>
      </c>
      <c r="C394" t="str">
        <f>IF('Equipment Information'!C394="","", 'Equipment Information'!C394)</f>
        <v/>
      </c>
      <c r="F394" t="str">
        <f t="shared" si="3"/>
        <v/>
      </c>
    </row>
    <row r="395" spans="1:6" x14ac:dyDescent="0.25">
      <c r="A395" t="str">
        <f>IF('Equipment Information'!A395="","", 'Equipment Information'!A395)</f>
        <v/>
      </c>
      <c r="B395" t="str">
        <f>IF('Equipment Information'!B395="","", 'Equipment Information'!B395)</f>
        <v/>
      </c>
      <c r="C395" t="str">
        <f>IF('Equipment Information'!C395="","", 'Equipment Information'!C395)</f>
        <v/>
      </c>
      <c r="F395" t="str">
        <f t="shared" si="3"/>
        <v/>
      </c>
    </row>
    <row r="396" spans="1:6" x14ac:dyDescent="0.25">
      <c r="A396" t="str">
        <f>IF('Equipment Information'!A396="","", 'Equipment Information'!A396)</f>
        <v/>
      </c>
      <c r="B396" t="str">
        <f>IF('Equipment Information'!B396="","", 'Equipment Information'!B396)</f>
        <v/>
      </c>
      <c r="C396" t="str">
        <f>IF('Equipment Information'!C396="","", 'Equipment Information'!C396)</f>
        <v/>
      </c>
      <c r="F396" t="str">
        <f t="shared" si="3"/>
        <v/>
      </c>
    </row>
    <row r="397" spans="1:6" x14ac:dyDescent="0.25">
      <c r="A397" t="str">
        <f>IF('Equipment Information'!A397="","", 'Equipment Information'!A397)</f>
        <v/>
      </c>
      <c r="B397" t="str">
        <f>IF('Equipment Information'!B397="","", 'Equipment Information'!B397)</f>
        <v/>
      </c>
      <c r="C397" t="str">
        <f>IF('Equipment Information'!C397="","", 'Equipment Information'!C397)</f>
        <v/>
      </c>
      <c r="F397" t="str">
        <f t="shared" si="3"/>
        <v/>
      </c>
    </row>
    <row r="398" spans="1:6" x14ac:dyDescent="0.25">
      <c r="A398" t="str">
        <f>IF('Equipment Information'!A398="","", 'Equipment Information'!A398)</f>
        <v/>
      </c>
      <c r="B398" t="str">
        <f>IF('Equipment Information'!B398="","", 'Equipment Information'!B398)</f>
        <v/>
      </c>
      <c r="C398" t="str">
        <f>IF('Equipment Information'!C398="","", 'Equipment Information'!C398)</f>
        <v/>
      </c>
      <c r="F398" t="str">
        <f t="shared" si="3"/>
        <v/>
      </c>
    </row>
    <row r="399" spans="1:6" x14ac:dyDescent="0.25">
      <c r="A399" t="str">
        <f>IF('Equipment Information'!A399="","", 'Equipment Information'!A399)</f>
        <v/>
      </c>
      <c r="B399" t="str">
        <f>IF('Equipment Information'!B399="","", 'Equipment Information'!B399)</f>
        <v/>
      </c>
      <c r="C399" t="str">
        <f>IF('Equipment Information'!C399="","", 'Equipment Information'!C399)</f>
        <v/>
      </c>
      <c r="F399" t="str">
        <f t="shared" si="3"/>
        <v/>
      </c>
    </row>
    <row r="400" spans="1:6" x14ac:dyDescent="0.25">
      <c r="A400" t="str">
        <f>IF('Equipment Information'!A400="","", 'Equipment Information'!A400)</f>
        <v/>
      </c>
      <c r="B400" t="str">
        <f>IF('Equipment Information'!B400="","", 'Equipment Information'!B400)</f>
        <v/>
      </c>
      <c r="C400" t="str">
        <f>IF('Equipment Information'!C400="","", 'Equipment Information'!C400)</f>
        <v/>
      </c>
      <c r="F400" t="str">
        <f t="shared" si="3"/>
        <v/>
      </c>
    </row>
    <row r="401" spans="1:6" x14ac:dyDescent="0.25">
      <c r="A401" t="str">
        <f>IF('Equipment Information'!A401="","", 'Equipment Information'!A401)</f>
        <v/>
      </c>
      <c r="B401" t="str">
        <f>IF('Equipment Information'!B401="","", 'Equipment Information'!B401)</f>
        <v/>
      </c>
      <c r="C401" t="str">
        <f>IF('Equipment Information'!C401="","", 'Equipment Information'!C401)</f>
        <v/>
      </c>
      <c r="F401" t="str">
        <f t="shared" si="3"/>
        <v/>
      </c>
    </row>
    <row r="402" spans="1:6" x14ac:dyDescent="0.25">
      <c r="A402" t="str">
        <f>IF('Equipment Information'!A402="","", 'Equipment Information'!A402)</f>
        <v/>
      </c>
      <c r="B402" t="str">
        <f>IF('Equipment Information'!B402="","", 'Equipment Information'!B402)</f>
        <v/>
      </c>
      <c r="C402" t="str">
        <f>IF('Equipment Information'!C402="","", 'Equipment Information'!C402)</f>
        <v/>
      </c>
      <c r="F402" t="str">
        <f t="shared" si="3"/>
        <v/>
      </c>
    </row>
    <row r="403" spans="1:6" x14ac:dyDescent="0.25">
      <c r="A403" t="str">
        <f>IF('Equipment Information'!A403="","", 'Equipment Information'!A403)</f>
        <v/>
      </c>
      <c r="B403" t="str">
        <f>IF('Equipment Information'!B403="","", 'Equipment Information'!B403)</f>
        <v/>
      </c>
      <c r="C403" t="str">
        <f>IF('Equipment Information'!C403="","", 'Equipment Information'!C403)</f>
        <v/>
      </c>
      <c r="F403" t="str">
        <f t="shared" si="3"/>
        <v/>
      </c>
    </row>
    <row r="404" spans="1:6" x14ac:dyDescent="0.25">
      <c r="A404" t="str">
        <f>IF('Equipment Information'!A404="","", 'Equipment Information'!A404)</f>
        <v/>
      </c>
      <c r="B404" t="str">
        <f>IF('Equipment Information'!B404="","", 'Equipment Information'!B404)</f>
        <v/>
      </c>
      <c r="C404" t="str">
        <f>IF('Equipment Information'!C404="","", 'Equipment Information'!C404)</f>
        <v/>
      </c>
      <c r="F404" t="str">
        <f t="shared" si="3"/>
        <v/>
      </c>
    </row>
    <row r="405" spans="1:6" x14ac:dyDescent="0.25">
      <c r="A405" t="str">
        <f>IF('Equipment Information'!A405="","", 'Equipment Information'!A405)</f>
        <v/>
      </c>
      <c r="B405" t="str">
        <f>IF('Equipment Information'!B405="","", 'Equipment Information'!B405)</f>
        <v/>
      </c>
      <c r="C405" t="str">
        <f>IF('Equipment Information'!C405="","", 'Equipment Information'!C405)</f>
        <v/>
      </c>
      <c r="F405" t="str">
        <f t="shared" si="3"/>
        <v/>
      </c>
    </row>
    <row r="406" spans="1:6" x14ac:dyDescent="0.25">
      <c r="A406" t="str">
        <f>IF('Equipment Information'!A406="","", 'Equipment Information'!A406)</f>
        <v/>
      </c>
      <c r="B406" t="str">
        <f>IF('Equipment Information'!B406="","", 'Equipment Information'!B406)</f>
        <v/>
      </c>
      <c r="C406" t="str">
        <f>IF('Equipment Information'!C406="","", 'Equipment Information'!C406)</f>
        <v/>
      </c>
      <c r="F406" t="str">
        <f t="shared" si="3"/>
        <v/>
      </c>
    </row>
    <row r="407" spans="1:6" x14ac:dyDescent="0.25">
      <c r="A407" t="str">
        <f>IF('Equipment Information'!A407="","", 'Equipment Information'!A407)</f>
        <v/>
      </c>
      <c r="B407" t="str">
        <f>IF('Equipment Information'!B407="","", 'Equipment Information'!B407)</f>
        <v/>
      </c>
      <c r="C407" t="str">
        <f>IF('Equipment Information'!C407="","", 'Equipment Information'!C407)</f>
        <v/>
      </c>
      <c r="F407" t="str">
        <f t="shared" si="3"/>
        <v/>
      </c>
    </row>
    <row r="408" spans="1:6" x14ac:dyDescent="0.25">
      <c r="A408" t="str">
        <f>IF('Equipment Information'!A408="","", 'Equipment Information'!A408)</f>
        <v/>
      </c>
      <c r="B408" t="str">
        <f>IF('Equipment Information'!B408="","", 'Equipment Information'!B408)</f>
        <v/>
      </c>
      <c r="C408" t="str">
        <f>IF('Equipment Information'!C408="","", 'Equipment Information'!C408)</f>
        <v/>
      </c>
      <c r="F408" t="str">
        <f t="shared" si="3"/>
        <v/>
      </c>
    </row>
    <row r="409" spans="1:6" x14ac:dyDescent="0.25">
      <c r="A409" t="str">
        <f>IF('Equipment Information'!A409="","", 'Equipment Information'!A409)</f>
        <v/>
      </c>
      <c r="B409" t="str">
        <f>IF('Equipment Information'!B409="","", 'Equipment Information'!B409)</f>
        <v/>
      </c>
      <c r="C409" t="str">
        <f>IF('Equipment Information'!C409="","", 'Equipment Information'!C409)</f>
        <v/>
      </c>
      <c r="F409" t="str">
        <f t="shared" si="3"/>
        <v/>
      </c>
    </row>
    <row r="410" spans="1:6" x14ac:dyDescent="0.25">
      <c r="A410" t="str">
        <f>IF('Equipment Information'!A410="","", 'Equipment Information'!A410)</f>
        <v/>
      </c>
      <c r="B410" t="str">
        <f>IF('Equipment Information'!B410="","", 'Equipment Information'!B410)</f>
        <v/>
      </c>
      <c r="C410" t="str">
        <f>IF('Equipment Information'!C410="","", 'Equipment Information'!C410)</f>
        <v/>
      </c>
      <c r="F410" t="str">
        <f t="shared" si="3"/>
        <v/>
      </c>
    </row>
    <row r="411" spans="1:6" x14ac:dyDescent="0.25">
      <c r="A411" t="str">
        <f>IF('Equipment Information'!A411="","", 'Equipment Information'!A411)</f>
        <v/>
      </c>
      <c r="B411" t="str">
        <f>IF('Equipment Information'!B411="","", 'Equipment Information'!B411)</f>
        <v/>
      </c>
      <c r="C411" t="str">
        <f>IF('Equipment Information'!C411="","", 'Equipment Information'!C411)</f>
        <v/>
      </c>
      <c r="F411" t="str">
        <f t="shared" si="3"/>
        <v/>
      </c>
    </row>
    <row r="412" spans="1:6" x14ac:dyDescent="0.25">
      <c r="A412" t="str">
        <f>IF('Equipment Information'!A412="","", 'Equipment Information'!A412)</f>
        <v/>
      </c>
      <c r="B412" t="str">
        <f>IF('Equipment Information'!B412="","", 'Equipment Information'!B412)</f>
        <v/>
      </c>
      <c r="C412" t="str">
        <f>IF('Equipment Information'!C412="","", 'Equipment Information'!C412)</f>
        <v/>
      </c>
      <c r="F412" t="str">
        <f t="shared" ref="F412:F475" si="4">IF(A412="","","N/A")</f>
        <v/>
      </c>
    </row>
    <row r="413" spans="1:6" x14ac:dyDescent="0.25">
      <c r="A413" t="str">
        <f>IF('Equipment Information'!A413="","", 'Equipment Information'!A413)</f>
        <v/>
      </c>
      <c r="B413" t="str">
        <f>IF('Equipment Information'!B413="","", 'Equipment Information'!B413)</f>
        <v/>
      </c>
      <c r="C413" t="str">
        <f>IF('Equipment Information'!C413="","", 'Equipment Information'!C413)</f>
        <v/>
      </c>
      <c r="F413" t="str">
        <f t="shared" si="4"/>
        <v/>
      </c>
    </row>
    <row r="414" spans="1:6" x14ac:dyDescent="0.25">
      <c r="A414" t="str">
        <f>IF('Equipment Information'!A414="","", 'Equipment Information'!A414)</f>
        <v/>
      </c>
      <c r="B414" t="str">
        <f>IF('Equipment Information'!B414="","", 'Equipment Information'!B414)</f>
        <v/>
      </c>
      <c r="C414" t="str">
        <f>IF('Equipment Information'!C414="","", 'Equipment Information'!C414)</f>
        <v/>
      </c>
      <c r="F414" t="str">
        <f t="shared" si="4"/>
        <v/>
      </c>
    </row>
    <row r="415" spans="1:6" x14ac:dyDescent="0.25">
      <c r="A415" t="str">
        <f>IF('Equipment Information'!A415="","", 'Equipment Information'!A415)</f>
        <v/>
      </c>
      <c r="B415" t="str">
        <f>IF('Equipment Information'!B415="","", 'Equipment Information'!B415)</f>
        <v/>
      </c>
      <c r="C415" t="str">
        <f>IF('Equipment Information'!C415="","", 'Equipment Information'!C415)</f>
        <v/>
      </c>
      <c r="F415" t="str">
        <f t="shared" si="4"/>
        <v/>
      </c>
    </row>
    <row r="416" spans="1:6" x14ac:dyDescent="0.25">
      <c r="A416" t="str">
        <f>IF('Equipment Information'!A416="","", 'Equipment Information'!A416)</f>
        <v/>
      </c>
      <c r="B416" t="str">
        <f>IF('Equipment Information'!B416="","", 'Equipment Information'!B416)</f>
        <v/>
      </c>
      <c r="C416" t="str">
        <f>IF('Equipment Information'!C416="","", 'Equipment Information'!C416)</f>
        <v/>
      </c>
      <c r="F416" t="str">
        <f t="shared" si="4"/>
        <v/>
      </c>
    </row>
    <row r="417" spans="1:6" x14ac:dyDescent="0.25">
      <c r="A417" t="str">
        <f>IF('Equipment Information'!A417="","", 'Equipment Information'!A417)</f>
        <v/>
      </c>
      <c r="B417" t="str">
        <f>IF('Equipment Information'!B417="","", 'Equipment Information'!B417)</f>
        <v/>
      </c>
      <c r="C417" t="str">
        <f>IF('Equipment Information'!C417="","", 'Equipment Information'!C417)</f>
        <v/>
      </c>
      <c r="F417" t="str">
        <f t="shared" si="4"/>
        <v/>
      </c>
    </row>
    <row r="418" spans="1:6" x14ac:dyDescent="0.25">
      <c r="A418" t="str">
        <f>IF('Equipment Information'!A418="","", 'Equipment Information'!A418)</f>
        <v/>
      </c>
      <c r="B418" t="str">
        <f>IF('Equipment Information'!B418="","", 'Equipment Information'!B418)</f>
        <v/>
      </c>
      <c r="C418" t="str">
        <f>IF('Equipment Information'!C418="","", 'Equipment Information'!C418)</f>
        <v/>
      </c>
      <c r="F418" t="str">
        <f t="shared" si="4"/>
        <v/>
      </c>
    </row>
    <row r="419" spans="1:6" x14ac:dyDescent="0.25">
      <c r="A419" t="str">
        <f>IF('Equipment Information'!A419="","", 'Equipment Information'!A419)</f>
        <v/>
      </c>
      <c r="B419" t="str">
        <f>IF('Equipment Information'!B419="","", 'Equipment Information'!B419)</f>
        <v/>
      </c>
      <c r="C419" t="str">
        <f>IF('Equipment Information'!C419="","", 'Equipment Information'!C419)</f>
        <v/>
      </c>
      <c r="F419" t="str">
        <f t="shared" si="4"/>
        <v/>
      </c>
    </row>
    <row r="420" spans="1:6" x14ac:dyDescent="0.25">
      <c r="A420" t="str">
        <f>IF('Equipment Information'!A420="","", 'Equipment Information'!A420)</f>
        <v/>
      </c>
      <c r="B420" t="str">
        <f>IF('Equipment Information'!B420="","", 'Equipment Information'!B420)</f>
        <v/>
      </c>
      <c r="C420" t="str">
        <f>IF('Equipment Information'!C420="","", 'Equipment Information'!C420)</f>
        <v/>
      </c>
      <c r="F420" t="str">
        <f t="shared" si="4"/>
        <v/>
      </c>
    </row>
    <row r="421" spans="1:6" x14ac:dyDescent="0.25">
      <c r="A421" t="str">
        <f>IF('Equipment Information'!A421="","", 'Equipment Information'!A421)</f>
        <v/>
      </c>
      <c r="B421" t="str">
        <f>IF('Equipment Information'!B421="","", 'Equipment Information'!B421)</f>
        <v/>
      </c>
      <c r="C421" t="str">
        <f>IF('Equipment Information'!C421="","", 'Equipment Information'!C421)</f>
        <v/>
      </c>
      <c r="F421" t="str">
        <f t="shared" si="4"/>
        <v/>
      </c>
    </row>
    <row r="422" spans="1:6" x14ac:dyDescent="0.25">
      <c r="A422" t="str">
        <f>IF('Equipment Information'!A422="","", 'Equipment Information'!A422)</f>
        <v/>
      </c>
      <c r="B422" t="str">
        <f>IF('Equipment Information'!B422="","", 'Equipment Information'!B422)</f>
        <v/>
      </c>
      <c r="C422" t="str">
        <f>IF('Equipment Information'!C422="","", 'Equipment Information'!C422)</f>
        <v/>
      </c>
      <c r="F422" t="str">
        <f t="shared" si="4"/>
        <v/>
      </c>
    </row>
    <row r="423" spans="1:6" x14ac:dyDescent="0.25">
      <c r="A423" t="str">
        <f>IF('Equipment Information'!A423="","", 'Equipment Information'!A423)</f>
        <v/>
      </c>
      <c r="B423" t="str">
        <f>IF('Equipment Information'!B423="","", 'Equipment Information'!B423)</f>
        <v/>
      </c>
      <c r="C423" t="str">
        <f>IF('Equipment Information'!C423="","", 'Equipment Information'!C423)</f>
        <v/>
      </c>
      <c r="F423" t="str">
        <f t="shared" si="4"/>
        <v/>
      </c>
    </row>
    <row r="424" spans="1:6" x14ac:dyDescent="0.25">
      <c r="A424" t="str">
        <f>IF('Equipment Information'!A424="","", 'Equipment Information'!A424)</f>
        <v/>
      </c>
      <c r="B424" t="str">
        <f>IF('Equipment Information'!B424="","", 'Equipment Information'!B424)</f>
        <v/>
      </c>
      <c r="C424" t="str">
        <f>IF('Equipment Information'!C424="","", 'Equipment Information'!C424)</f>
        <v/>
      </c>
      <c r="F424" t="str">
        <f t="shared" si="4"/>
        <v/>
      </c>
    </row>
    <row r="425" spans="1:6" x14ac:dyDescent="0.25">
      <c r="A425" t="str">
        <f>IF('Equipment Information'!A425="","", 'Equipment Information'!A425)</f>
        <v/>
      </c>
      <c r="B425" t="str">
        <f>IF('Equipment Information'!B425="","", 'Equipment Information'!B425)</f>
        <v/>
      </c>
      <c r="C425" t="str">
        <f>IF('Equipment Information'!C425="","", 'Equipment Information'!C425)</f>
        <v/>
      </c>
      <c r="F425" t="str">
        <f t="shared" si="4"/>
        <v/>
      </c>
    </row>
    <row r="426" spans="1:6" x14ac:dyDescent="0.25">
      <c r="A426" t="str">
        <f>IF('Equipment Information'!A426="","", 'Equipment Information'!A426)</f>
        <v/>
      </c>
      <c r="B426" t="str">
        <f>IF('Equipment Information'!B426="","", 'Equipment Information'!B426)</f>
        <v/>
      </c>
      <c r="C426" t="str">
        <f>IF('Equipment Information'!C426="","", 'Equipment Information'!C426)</f>
        <v/>
      </c>
      <c r="F426" t="str">
        <f t="shared" si="4"/>
        <v/>
      </c>
    </row>
    <row r="427" spans="1:6" x14ac:dyDescent="0.25">
      <c r="A427" t="str">
        <f>IF('Equipment Information'!A427="","", 'Equipment Information'!A427)</f>
        <v/>
      </c>
      <c r="B427" t="str">
        <f>IF('Equipment Information'!B427="","", 'Equipment Information'!B427)</f>
        <v/>
      </c>
      <c r="C427" t="str">
        <f>IF('Equipment Information'!C427="","", 'Equipment Information'!C427)</f>
        <v/>
      </c>
      <c r="F427" t="str">
        <f t="shared" si="4"/>
        <v/>
      </c>
    </row>
    <row r="428" spans="1:6" x14ac:dyDescent="0.25">
      <c r="A428" t="str">
        <f>IF('Equipment Information'!A428="","", 'Equipment Information'!A428)</f>
        <v/>
      </c>
      <c r="B428" t="str">
        <f>IF('Equipment Information'!B428="","", 'Equipment Information'!B428)</f>
        <v/>
      </c>
      <c r="C428" t="str">
        <f>IF('Equipment Information'!C428="","", 'Equipment Information'!C428)</f>
        <v/>
      </c>
      <c r="F428" t="str">
        <f t="shared" si="4"/>
        <v/>
      </c>
    </row>
    <row r="429" spans="1:6" x14ac:dyDescent="0.25">
      <c r="A429" t="str">
        <f>IF('Equipment Information'!A429="","", 'Equipment Information'!A429)</f>
        <v/>
      </c>
      <c r="B429" t="str">
        <f>IF('Equipment Information'!B429="","", 'Equipment Information'!B429)</f>
        <v/>
      </c>
      <c r="C429" t="str">
        <f>IF('Equipment Information'!C429="","", 'Equipment Information'!C429)</f>
        <v/>
      </c>
      <c r="F429" t="str">
        <f t="shared" si="4"/>
        <v/>
      </c>
    </row>
    <row r="430" spans="1:6" x14ac:dyDescent="0.25">
      <c r="A430" t="str">
        <f>IF('Equipment Information'!A430="","", 'Equipment Information'!A430)</f>
        <v/>
      </c>
      <c r="B430" t="str">
        <f>IF('Equipment Information'!B430="","", 'Equipment Information'!B430)</f>
        <v/>
      </c>
      <c r="C430" t="str">
        <f>IF('Equipment Information'!C430="","", 'Equipment Information'!C430)</f>
        <v/>
      </c>
      <c r="F430" t="str">
        <f t="shared" si="4"/>
        <v/>
      </c>
    </row>
    <row r="431" spans="1:6" x14ac:dyDescent="0.25">
      <c r="A431" t="str">
        <f>IF('Equipment Information'!A431="","", 'Equipment Information'!A431)</f>
        <v/>
      </c>
      <c r="B431" t="str">
        <f>IF('Equipment Information'!B431="","", 'Equipment Information'!B431)</f>
        <v/>
      </c>
      <c r="C431" t="str">
        <f>IF('Equipment Information'!C431="","", 'Equipment Information'!C431)</f>
        <v/>
      </c>
      <c r="F431" t="str">
        <f t="shared" si="4"/>
        <v/>
      </c>
    </row>
    <row r="432" spans="1:6" x14ac:dyDescent="0.25">
      <c r="A432" t="str">
        <f>IF('Equipment Information'!A432="","", 'Equipment Information'!A432)</f>
        <v/>
      </c>
      <c r="B432" t="str">
        <f>IF('Equipment Information'!B432="","", 'Equipment Information'!B432)</f>
        <v/>
      </c>
      <c r="C432" t="str">
        <f>IF('Equipment Information'!C432="","", 'Equipment Information'!C432)</f>
        <v/>
      </c>
      <c r="F432" t="str">
        <f t="shared" si="4"/>
        <v/>
      </c>
    </row>
    <row r="433" spans="1:6" x14ac:dyDescent="0.25">
      <c r="A433" t="str">
        <f>IF('Equipment Information'!A433="","", 'Equipment Information'!A433)</f>
        <v/>
      </c>
      <c r="B433" t="str">
        <f>IF('Equipment Information'!B433="","", 'Equipment Information'!B433)</f>
        <v/>
      </c>
      <c r="C433" t="str">
        <f>IF('Equipment Information'!C433="","", 'Equipment Information'!C433)</f>
        <v/>
      </c>
      <c r="F433" t="str">
        <f t="shared" si="4"/>
        <v/>
      </c>
    </row>
    <row r="434" spans="1:6" x14ac:dyDescent="0.25">
      <c r="A434" t="str">
        <f>IF('Equipment Information'!A434="","", 'Equipment Information'!A434)</f>
        <v/>
      </c>
      <c r="B434" t="str">
        <f>IF('Equipment Information'!B434="","", 'Equipment Information'!B434)</f>
        <v/>
      </c>
      <c r="C434" t="str">
        <f>IF('Equipment Information'!C434="","", 'Equipment Information'!C434)</f>
        <v/>
      </c>
      <c r="F434" t="str">
        <f t="shared" si="4"/>
        <v/>
      </c>
    </row>
    <row r="435" spans="1:6" x14ac:dyDescent="0.25">
      <c r="A435" t="str">
        <f>IF('Equipment Information'!A435="","", 'Equipment Information'!A435)</f>
        <v/>
      </c>
      <c r="B435" t="str">
        <f>IF('Equipment Information'!B435="","", 'Equipment Information'!B435)</f>
        <v/>
      </c>
      <c r="C435" t="str">
        <f>IF('Equipment Information'!C435="","", 'Equipment Information'!C435)</f>
        <v/>
      </c>
      <c r="F435" t="str">
        <f t="shared" si="4"/>
        <v/>
      </c>
    </row>
    <row r="436" spans="1:6" x14ac:dyDescent="0.25">
      <c r="A436" t="str">
        <f>IF('Equipment Information'!A436="","", 'Equipment Information'!A436)</f>
        <v/>
      </c>
      <c r="B436" t="str">
        <f>IF('Equipment Information'!B436="","", 'Equipment Information'!B436)</f>
        <v/>
      </c>
      <c r="C436" t="str">
        <f>IF('Equipment Information'!C436="","", 'Equipment Information'!C436)</f>
        <v/>
      </c>
      <c r="F436" t="str">
        <f t="shared" si="4"/>
        <v/>
      </c>
    </row>
    <row r="437" spans="1:6" x14ac:dyDescent="0.25">
      <c r="A437" t="str">
        <f>IF('Equipment Information'!A437="","", 'Equipment Information'!A437)</f>
        <v/>
      </c>
      <c r="B437" t="str">
        <f>IF('Equipment Information'!B437="","", 'Equipment Information'!B437)</f>
        <v/>
      </c>
      <c r="C437" t="str">
        <f>IF('Equipment Information'!C437="","", 'Equipment Information'!C437)</f>
        <v/>
      </c>
      <c r="F437" t="str">
        <f t="shared" si="4"/>
        <v/>
      </c>
    </row>
    <row r="438" spans="1:6" x14ac:dyDescent="0.25">
      <c r="A438" t="str">
        <f>IF('Equipment Information'!A438="","", 'Equipment Information'!A438)</f>
        <v/>
      </c>
      <c r="B438" t="str">
        <f>IF('Equipment Information'!B438="","", 'Equipment Information'!B438)</f>
        <v/>
      </c>
      <c r="C438" t="str">
        <f>IF('Equipment Information'!C438="","", 'Equipment Information'!C438)</f>
        <v/>
      </c>
      <c r="F438" t="str">
        <f t="shared" si="4"/>
        <v/>
      </c>
    </row>
    <row r="439" spans="1:6" x14ac:dyDescent="0.25">
      <c r="A439" t="str">
        <f>IF('Equipment Information'!A439="","", 'Equipment Information'!A439)</f>
        <v/>
      </c>
      <c r="B439" t="str">
        <f>IF('Equipment Information'!B439="","", 'Equipment Information'!B439)</f>
        <v/>
      </c>
      <c r="C439" t="str">
        <f>IF('Equipment Information'!C439="","", 'Equipment Information'!C439)</f>
        <v/>
      </c>
      <c r="F439" t="str">
        <f t="shared" si="4"/>
        <v/>
      </c>
    </row>
    <row r="440" spans="1:6" x14ac:dyDescent="0.25">
      <c r="A440" t="str">
        <f>IF('Equipment Information'!A440="","", 'Equipment Information'!A440)</f>
        <v/>
      </c>
      <c r="B440" t="str">
        <f>IF('Equipment Information'!B440="","", 'Equipment Information'!B440)</f>
        <v/>
      </c>
      <c r="C440" t="str">
        <f>IF('Equipment Information'!C440="","", 'Equipment Information'!C440)</f>
        <v/>
      </c>
      <c r="F440" t="str">
        <f t="shared" si="4"/>
        <v/>
      </c>
    </row>
    <row r="441" spans="1:6" x14ac:dyDescent="0.25">
      <c r="A441" t="str">
        <f>IF('Equipment Information'!A441="","", 'Equipment Information'!A441)</f>
        <v/>
      </c>
      <c r="B441" t="str">
        <f>IF('Equipment Information'!B441="","", 'Equipment Information'!B441)</f>
        <v/>
      </c>
      <c r="C441" t="str">
        <f>IF('Equipment Information'!C441="","", 'Equipment Information'!C441)</f>
        <v/>
      </c>
      <c r="F441" t="str">
        <f t="shared" si="4"/>
        <v/>
      </c>
    </row>
    <row r="442" spans="1:6" x14ac:dyDescent="0.25">
      <c r="A442" t="str">
        <f>IF('Equipment Information'!A442="","", 'Equipment Information'!A442)</f>
        <v/>
      </c>
      <c r="B442" t="str">
        <f>IF('Equipment Information'!B442="","", 'Equipment Information'!B442)</f>
        <v/>
      </c>
      <c r="C442" t="str">
        <f>IF('Equipment Information'!C442="","", 'Equipment Information'!C442)</f>
        <v/>
      </c>
      <c r="F442" t="str">
        <f t="shared" si="4"/>
        <v/>
      </c>
    </row>
    <row r="443" spans="1:6" x14ac:dyDescent="0.25">
      <c r="A443" t="str">
        <f>IF('Equipment Information'!A443="","", 'Equipment Information'!A443)</f>
        <v/>
      </c>
      <c r="B443" t="str">
        <f>IF('Equipment Information'!B443="","", 'Equipment Information'!B443)</f>
        <v/>
      </c>
      <c r="C443" t="str">
        <f>IF('Equipment Information'!C443="","", 'Equipment Information'!C443)</f>
        <v/>
      </c>
      <c r="F443" t="str">
        <f t="shared" si="4"/>
        <v/>
      </c>
    </row>
    <row r="444" spans="1:6" x14ac:dyDescent="0.25">
      <c r="A444" t="str">
        <f>IF('Equipment Information'!A444="","", 'Equipment Information'!A444)</f>
        <v/>
      </c>
      <c r="B444" t="str">
        <f>IF('Equipment Information'!B444="","", 'Equipment Information'!B444)</f>
        <v/>
      </c>
      <c r="C444" t="str">
        <f>IF('Equipment Information'!C444="","", 'Equipment Information'!C444)</f>
        <v/>
      </c>
      <c r="F444" t="str">
        <f t="shared" si="4"/>
        <v/>
      </c>
    </row>
    <row r="445" spans="1:6" x14ac:dyDescent="0.25">
      <c r="A445" t="str">
        <f>IF('Equipment Information'!A445="","", 'Equipment Information'!A445)</f>
        <v/>
      </c>
      <c r="B445" t="str">
        <f>IF('Equipment Information'!B445="","", 'Equipment Information'!B445)</f>
        <v/>
      </c>
      <c r="C445" t="str">
        <f>IF('Equipment Information'!C445="","", 'Equipment Information'!C445)</f>
        <v/>
      </c>
      <c r="F445" t="str">
        <f t="shared" si="4"/>
        <v/>
      </c>
    </row>
    <row r="446" spans="1:6" x14ac:dyDescent="0.25">
      <c r="A446" t="str">
        <f>IF('Equipment Information'!A446="","", 'Equipment Information'!A446)</f>
        <v/>
      </c>
      <c r="B446" t="str">
        <f>IF('Equipment Information'!B446="","", 'Equipment Information'!B446)</f>
        <v/>
      </c>
      <c r="C446" t="str">
        <f>IF('Equipment Information'!C446="","", 'Equipment Information'!C446)</f>
        <v/>
      </c>
      <c r="F446" t="str">
        <f t="shared" si="4"/>
        <v/>
      </c>
    </row>
    <row r="447" spans="1:6" x14ac:dyDescent="0.25">
      <c r="A447" t="str">
        <f>IF('Equipment Information'!A447="","", 'Equipment Information'!A447)</f>
        <v/>
      </c>
      <c r="B447" t="str">
        <f>IF('Equipment Information'!B447="","", 'Equipment Information'!B447)</f>
        <v/>
      </c>
      <c r="C447" t="str">
        <f>IF('Equipment Information'!C447="","", 'Equipment Information'!C447)</f>
        <v/>
      </c>
      <c r="F447" t="str">
        <f t="shared" si="4"/>
        <v/>
      </c>
    </row>
    <row r="448" spans="1:6" x14ac:dyDescent="0.25">
      <c r="A448" t="str">
        <f>IF('Equipment Information'!A448="","", 'Equipment Information'!A448)</f>
        <v/>
      </c>
      <c r="B448" t="str">
        <f>IF('Equipment Information'!B448="","", 'Equipment Information'!B448)</f>
        <v/>
      </c>
      <c r="C448" t="str">
        <f>IF('Equipment Information'!C448="","", 'Equipment Information'!C448)</f>
        <v/>
      </c>
      <c r="F448" t="str">
        <f t="shared" si="4"/>
        <v/>
      </c>
    </row>
    <row r="449" spans="1:6" x14ac:dyDescent="0.25">
      <c r="A449" t="str">
        <f>IF('Equipment Information'!A449="","", 'Equipment Information'!A449)</f>
        <v/>
      </c>
      <c r="B449" t="str">
        <f>IF('Equipment Information'!B449="","", 'Equipment Information'!B449)</f>
        <v/>
      </c>
      <c r="C449" t="str">
        <f>IF('Equipment Information'!C449="","", 'Equipment Information'!C449)</f>
        <v/>
      </c>
      <c r="F449" t="str">
        <f t="shared" si="4"/>
        <v/>
      </c>
    </row>
    <row r="450" spans="1:6" x14ac:dyDescent="0.25">
      <c r="A450" t="str">
        <f>IF('Equipment Information'!A450="","", 'Equipment Information'!A450)</f>
        <v/>
      </c>
      <c r="B450" t="str">
        <f>IF('Equipment Information'!B450="","", 'Equipment Information'!B450)</f>
        <v/>
      </c>
      <c r="C450" t="str">
        <f>IF('Equipment Information'!C450="","", 'Equipment Information'!C450)</f>
        <v/>
      </c>
      <c r="F450" t="str">
        <f t="shared" si="4"/>
        <v/>
      </c>
    </row>
    <row r="451" spans="1:6" x14ac:dyDescent="0.25">
      <c r="A451" t="str">
        <f>IF('Equipment Information'!A451="","", 'Equipment Information'!A451)</f>
        <v/>
      </c>
      <c r="B451" t="str">
        <f>IF('Equipment Information'!B451="","", 'Equipment Information'!B451)</f>
        <v/>
      </c>
      <c r="C451" t="str">
        <f>IF('Equipment Information'!C451="","", 'Equipment Information'!C451)</f>
        <v/>
      </c>
      <c r="F451" t="str">
        <f t="shared" si="4"/>
        <v/>
      </c>
    </row>
    <row r="452" spans="1:6" x14ac:dyDescent="0.25">
      <c r="A452" t="str">
        <f>IF('Equipment Information'!A452="","", 'Equipment Information'!A452)</f>
        <v/>
      </c>
      <c r="B452" t="str">
        <f>IF('Equipment Information'!B452="","", 'Equipment Information'!B452)</f>
        <v/>
      </c>
      <c r="C452" t="str">
        <f>IF('Equipment Information'!C452="","", 'Equipment Information'!C452)</f>
        <v/>
      </c>
      <c r="F452" t="str">
        <f t="shared" si="4"/>
        <v/>
      </c>
    </row>
    <row r="453" spans="1:6" x14ac:dyDescent="0.25">
      <c r="A453" t="str">
        <f>IF('Equipment Information'!A453="","", 'Equipment Information'!A453)</f>
        <v/>
      </c>
      <c r="B453" t="str">
        <f>IF('Equipment Information'!B453="","", 'Equipment Information'!B453)</f>
        <v/>
      </c>
      <c r="C453" t="str">
        <f>IF('Equipment Information'!C453="","", 'Equipment Information'!C453)</f>
        <v/>
      </c>
      <c r="F453" t="str">
        <f t="shared" si="4"/>
        <v/>
      </c>
    </row>
    <row r="454" spans="1:6" x14ac:dyDescent="0.25">
      <c r="A454" t="str">
        <f>IF('Equipment Information'!A454="","", 'Equipment Information'!A454)</f>
        <v/>
      </c>
      <c r="B454" t="str">
        <f>IF('Equipment Information'!B454="","", 'Equipment Information'!B454)</f>
        <v/>
      </c>
      <c r="C454" t="str">
        <f>IF('Equipment Information'!C454="","", 'Equipment Information'!C454)</f>
        <v/>
      </c>
      <c r="F454" t="str">
        <f t="shared" si="4"/>
        <v/>
      </c>
    </row>
    <row r="455" spans="1:6" x14ac:dyDescent="0.25">
      <c r="A455" t="str">
        <f>IF('Equipment Information'!A455="","", 'Equipment Information'!A455)</f>
        <v/>
      </c>
      <c r="B455" t="str">
        <f>IF('Equipment Information'!B455="","", 'Equipment Information'!B455)</f>
        <v/>
      </c>
      <c r="C455" t="str">
        <f>IF('Equipment Information'!C455="","", 'Equipment Information'!C455)</f>
        <v/>
      </c>
      <c r="F455" t="str">
        <f t="shared" si="4"/>
        <v/>
      </c>
    </row>
    <row r="456" spans="1:6" x14ac:dyDescent="0.25">
      <c r="A456" t="str">
        <f>IF('Equipment Information'!A456="","", 'Equipment Information'!A456)</f>
        <v/>
      </c>
      <c r="B456" t="str">
        <f>IF('Equipment Information'!B456="","", 'Equipment Information'!B456)</f>
        <v/>
      </c>
      <c r="C456" t="str">
        <f>IF('Equipment Information'!C456="","", 'Equipment Information'!C456)</f>
        <v/>
      </c>
      <c r="F456" t="str">
        <f t="shared" si="4"/>
        <v/>
      </c>
    </row>
    <row r="457" spans="1:6" x14ac:dyDescent="0.25">
      <c r="A457" t="str">
        <f>IF('Equipment Information'!A457="","", 'Equipment Information'!A457)</f>
        <v/>
      </c>
      <c r="B457" t="str">
        <f>IF('Equipment Information'!B457="","", 'Equipment Information'!B457)</f>
        <v/>
      </c>
      <c r="C457" t="str">
        <f>IF('Equipment Information'!C457="","", 'Equipment Information'!C457)</f>
        <v/>
      </c>
      <c r="F457" t="str">
        <f t="shared" si="4"/>
        <v/>
      </c>
    </row>
    <row r="458" spans="1:6" x14ac:dyDescent="0.25">
      <c r="A458" t="str">
        <f>IF('Equipment Information'!A458="","", 'Equipment Information'!A458)</f>
        <v/>
      </c>
      <c r="B458" t="str">
        <f>IF('Equipment Information'!B458="","", 'Equipment Information'!B458)</f>
        <v/>
      </c>
      <c r="C458" t="str">
        <f>IF('Equipment Information'!C458="","", 'Equipment Information'!C458)</f>
        <v/>
      </c>
      <c r="F458" t="str">
        <f t="shared" si="4"/>
        <v/>
      </c>
    </row>
    <row r="459" spans="1:6" x14ac:dyDescent="0.25">
      <c r="A459" t="str">
        <f>IF('Equipment Information'!A459="","", 'Equipment Information'!A459)</f>
        <v/>
      </c>
      <c r="B459" t="str">
        <f>IF('Equipment Information'!B459="","", 'Equipment Information'!B459)</f>
        <v/>
      </c>
      <c r="C459" t="str">
        <f>IF('Equipment Information'!C459="","", 'Equipment Information'!C459)</f>
        <v/>
      </c>
      <c r="F459" t="str">
        <f t="shared" si="4"/>
        <v/>
      </c>
    </row>
    <row r="460" spans="1:6" x14ac:dyDescent="0.25">
      <c r="A460" t="str">
        <f>IF('Equipment Information'!A460="","", 'Equipment Information'!A460)</f>
        <v/>
      </c>
      <c r="B460" t="str">
        <f>IF('Equipment Information'!B460="","", 'Equipment Information'!B460)</f>
        <v/>
      </c>
      <c r="C460" t="str">
        <f>IF('Equipment Information'!C460="","", 'Equipment Information'!C460)</f>
        <v/>
      </c>
      <c r="F460" t="str">
        <f t="shared" si="4"/>
        <v/>
      </c>
    </row>
    <row r="461" spans="1:6" x14ac:dyDescent="0.25">
      <c r="A461" t="str">
        <f>IF('Equipment Information'!A461="","", 'Equipment Information'!A461)</f>
        <v/>
      </c>
      <c r="B461" t="str">
        <f>IF('Equipment Information'!B461="","", 'Equipment Information'!B461)</f>
        <v/>
      </c>
      <c r="C461" t="str">
        <f>IF('Equipment Information'!C461="","", 'Equipment Information'!C461)</f>
        <v/>
      </c>
      <c r="F461" t="str">
        <f t="shared" si="4"/>
        <v/>
      </c>
    </row>
    <row r="462" spans="1:6" x14ac:dyDescent="0.25">
      <c r="A462" t="str">
        <f>IF('Equipment Information'!A462="","", 'Equipment Information'!A462)</f>
        <v/>
      </c>
      <c r="B462" t="str">
        <f>IF('Equipment Information'!B462="","", 'Equipment Information'!B462)</f>
        <v/>
      </c>
      <c r="C462" t="str">
        <f>IF('Equipment Information'!C462="","", 'Equipment Information'!C462)</f>
        <v/>
      </c>
      <c r="F462" t="str">
        <f t="shared" si="4"/>
        <v/>
      </c>
    </row>
    <row r="463" spans="1:6" x14ac:dyDescent="0.25">
      <c r="A463" t="str">
        <f>IF('Equipment Information'!A463="","", 'Equipment Information'!A463)</f>
        <v/>
      </c>
      <c r="B463" t="str">
        <f>IF('Equipment Information'!B463="","", 'Equipment Information'!B463)</f>
        <v/>
      </c>
      <c r="C463" t="str">
        <f>IF('Equipment Information'!C463="","", 'Equipment Information'!C463)</f>
        <v/>
      </c>
      <c r="F463" t="str">
        <f t="shared" si="4"/>
        <v/>
      </c>
    </row>
    <row r="464" spans="1:6" x14ac:dyDescent="0.25">
      <c r="A464" t="str">
        <f>IF('Equipment Information'!A464="","", 'Equipment Information'!A464)</f>
        <v/>
      </c>
      <c r="B464" t="str">
        <f>IF('Equipment Information'!B464="","", 'Equipment Information'!B464)</f>
        <v/>
      </c>
      <c r="C464" t="str">
        <f>IF('Equipment Information'!C464="","", 'Equipment Information'!C464)</f>
        <v/>
      </c>
      <c r="F464" t="str">
        <f t="shared" si="4"/>
        <v/>
      </c>
    </row>
    <row r="465" spans="1:6" x14ac:dyDescent="0.25">
      <c r="A465" t="str">
        <f>IF('Equipment Information'!A465="","", 'Equipment Information'!A465)</f>
        <v/>
      </c>
      <c r="B465" t="str">
        <f>IF('Equipment Information'!B465="","", 'Equipment Information'!B465)</f>
        <v/>
      </c>
      <c r="C465" t="str">
        <f>IF('Equipment Information'!C465="","", 'Equipment Information'!C465)</f>
        <v/>
      </c>
      <c r="F465" t="str">
        <f t="shared" si="4"/>
        <v/>
      </c>
    </row>
    <row r="466" spans="1:6" x14ac:dyDescent="0.25">
      <c r="A466" t="str">
        <f>IF('Equipment Information'!A466="","", 'Equipment Information'!A466)</f>
        <v/>
      </c>
      <c r="B466" t="str">
        <f>IF('Equipment Information'!B466="","", 'Equipment Information'!B466)</f>
        <v/>
      </c>
      <c r="C466" t="str">
        <f>IF('Equipment Information'!C466="","", 'Equipment Information'!C466)</f>
        <v/>
      </c>
      <c r="F466" t="str">
        <f t="shared" si="4"/>
        <v/>
      </c>
    </row>
    <row r="467" spans="1:6" x14ac:dyDescent="0.25">
      <c r="A467" t="str">
        <f>IF('Equipment Information'!A467="","", 'Equipment Information'!A467)</f>
        <v/>
      </c>
      <c r="B467" t="str">
        <f>IF('Equipment Information'!B467="","", 'Equipment Information'!B467)</f>
        <v/>
      </c>
      <c r="C467" t="str">
        <f>IF('Equipment Information'!C467="","", 'Equipment Information'!C467)</f>
        <v/>
      </c>
      <c r="F467" t="str">
        <f t="shared" si="4"/>
        <v/>
      </c>
    </row>
    <row r="468" spans="1:6" x14ac:dyDescent="0.25">
      <c r="A468" t="str">
        <f>IF('Equipment Information'!A468="","", 'Equipment Information'!A468)</f>
        <v/>
      </c>
      <c r="B468" t="str">
        <f>IF('Equipment Information'!B468="","", 'Equipment Information'!B468)</f>
        <v/>
      </c>
      <c r="C468" t="str">
        <f>IF('Equipment Information'!C468="","", 'Equipment Information'!C468)</f>
        <v/>
      </c>
      <c r="F468" t="str">
        <f t="shared" si="4"/>
        <v/>
      </c>
    </row>
    <row r="469" spans="1:6" x14ac:dyDescent="0.25">
      <c r="A469" t="str">
        <f>IF('Equipment Information'!A469="","", 'Equipment Information'!A469)</f>
        <v/>
      </c>
      <c r="B469" t="str">
        <f>IF('Equipment Information'!B469="","", 'Equipment Information'!B469)</f>
        <v/>
      </c>
      <c r="C469" t="str">
        <f>IF('Equipment Information'!C469="","", 'Equipment Information'!C469)</f>
        <v/>
      </c>
      <c r="F469" t="str">
        <f t="shared" si="4"/>
        <v/>
      </c>
    </row>
    <row r="470" spans="1:6" x14ac:dyDescent="0.25">
      <c r="A470" t="str">
        <f>IF('Equipment Information'!A470="","", 'Equipment Information'!A470)</f>
        <v/>
      </c>
      <c r="B470" t="str">
        <f>IF('Equipment Information'!B470="","", 'Equipment Information'!B470)</f>
        <v/>
      </c>
      <c r="C470" t="str">
        <f>IF('Equipment Information'!C470="","", 'Equipment Information'!C470)</f>
        <v/>
      </c>
      <c r="F470" t="str">
        <f t="shared" si="4"/>
        <v/>
      </c>
    </row>
    <row r="471" spans="1:6" x14ac:dyDescent="0.25">
      <c r="A471" t="str">
        <f>IF('Equipment Information'!A471="","", 'Equipment Information'!A471)</f>
        <v/>
      </c>
      <c r="B471" t="str">
        <f>IF('Equipment Information'!B471="","", 'Equipment Information'!B471)</f>
        <v/>
      </c>
      <c r="C471" t="str">
        <f>IF('Equipment Information'!C471="","", 'Equipment Information'!C471)</f>
        <v/>
      </c>
      <c r="F471" t="str">
        <f t="shared" si="4"/>
        <v/>
      </c>
    </row>
    <row r="472" spans="1:6" x14ac:dyDescent="0.25">
      <c r="A472" t="str">
        <f>IF('Equipment Information'!A472="","", 'Equipment Information'!A472)</f>
        <v/>
      </c>
      <c r="B472" t="str">
        <f>IF('Equipment Information'!B472="","", 'Equipment Information'!B472)</f>
        <v/>
      </c>
      <c r="C472" t="str">
        <f>IF('Equipment Information'!C472="","", 'Equipment Information'!C472)</f>
        <v/>
      </c>
      <c r="F472" t="str">
        <f t="shared" si="4"/>
        <v/>
      </c>
    </row>
    <row r="473" spans="1:6" x14ac:dyDescent="0.25">
      <c r="A473" t="str">
        <f>IF('Equipment Information'!A473="","", 'Equipment Information'!A473)</f>
        <v/>
      </c>
      <c r="B473" t="str">
        <f>IF('Equipment Information'!B473="","", 'Equipment Information'!B473)</f>
        <v/>
      </c>
      <c r="C473" t="str">
        <f>IF('Equipment Information'!C473="","", 'Equipment Information'!C473)</f>
        <v/>
      </c>
      <c r="F473" t="str">
        <f t="shared" si="4"/>
        <v/>
      </c>
    </row>
    <row r="474" spans="1:6" x14ac:dyDescent="0.25">
      <c r="A474" t="str">
        <f>IF('Equipment Information'!A474="","", 'Equipment Information'!A474)</f>
        <v/>
      </c>
      <c r="B474" t="str">
        <f>IF('Equipment Information'!B474="","", 'Equipment Information'!B474)</f>
        <v/>
      </c>
      <c r="C474" t="str">
        <f>IF('Equipment Information'!C474="","", 'Equipment Information'!C474)</f>
        <v/>
      </c>
      <c r="F474" t="str">
        <f t="shared" si="4"/>
        <v/>
      </c>
    </row>
    <row r="475" spans="1:6" x14ac:dyDescent="0.25">
      <c r="A475" t="str">
        <f>IF('Equipment Information'!A475="","", 'Equipment Information'!A475)</f>
        <v/>
      </c>
      <c r="B475" t="str">
        <f>IF('Equipment Information'!B475="","", 'Equipment Information'!B475)</f>
        <v/>
      </c>
      <c r="C475" t="str">
        <f>IF('Equipment Information'!C475="","", 'Equipment Information'!C475)</f>
        <v/>
      </c>
      <c r="F475" t="str">
        <f t="shared" si="4"/>
        <v/>
      </c>
    </row>
    <row r="476" spans="1:6" x14ac:dyDescent="0.25">
      <c r="A476" t="str">
        <f>IF('Equipment Information'!A476="","", 'Equipment Information'!A476)</f>
        <v/>
      </c>
      <c r="B476" t="str">
        <f>IF('Equipment Information'!B476="","", 'Equipment Information'!B476)</f>
        <v/>
      </c>
      <c r="C476" t="str">
        <f>IF('Equipment Information'!C476="","", 'Equipment Information'!C476)</f>
        <v/>
      </c>
      <c r="F476" t="str">
        <f t="shared" ref="F476:F499" si="5">IF(A476="","","N/A")</f>
        <v/>
      </c>
    </row>
    <row r="477" spans="1:6" x14ac:dyDescent="0.25">
      <c r="A477" t="str">
        <f>IF('Equipment Information'!A477="","", 'Equipment Information'!A477)</f>
        <v/>
      </c>
      <c r="B477" t="str">
        <f>IF('Equipment Information'!B477="","", 'Equipment Information'!B477)</f>
        <v/>
      </c>
      <c r="C477" t="str">
        <f>IF('Equipment Information'!C477="","", 'Equipment Information'!C477)</f>
        <v/>
      </c>
      <c r="F477" t="str">
        <f t="shared" si="5"/>
        <v/>
      </c>
    </row>
    <row r="478" spans="1:6" x14ac:dyDescent="0.25">
      <c r="A478" t="str">
        <f>IF('Equipment Information'!A478="","", 'Equipment Information'!A478)</f>
        <v/>
      </c>
      <c r="B478" t="str">
        <f>IF('Equipment Information'!B478="","", 'Equipment Information'!B478)</f>
        <v/>
      </c>
      <c r="C478" t="str">
        <f>IF('Equipment Information'!C478="","", 'Equipment Information'!C478)</f>
        <v/>
      </c>
      <c r="F478" t="str">
        <f t="shared" si="5"/>
        <v/>
      </c>
    </row>
    <row r="479" spans="1:6" x14ac:dyDescent="0.25">
      <c r="A479" t="str">
        <f>IF('Equipment Information'!A479="","", 'Equipment Information'!A479)</f>
        <v/>
      </c>
      <c r="B479" t="str">
        <f>IF('Equipment Information'!B479="","", 'Equipment Information'!B479)</f>
        <v/>
      </c>
      <c r="C479" t="str">
        <f>IF('Equipment Information'!C479="","", 'Equipment Information'!C479)</f>
        <v/>
      </c>
      <c r="F479" t="str">
        <f t="shared" si="5"/>
        <v/>
      </c>
    </row>
    <row r="480" spans="1:6" x14ac:dyDescent="0.25">
      <c r="A480" t="str">
        <f>IF('Equipment Information'!A480="","", 'Equipment Information'!A480)</f>
        <v/>
      </c>
      <c r="B480" t="str">
        <f>IF('Equipment Information'!B480="","", 'Equipment Information'!B480)</f>
        <v/>
      </c>
      <c r="C480" t="str">
        <f>IF('Equipment Information'!C480="","", 'Equipment Information'!C480)</f>
        <v/>
      </c>
      <c r="F480" t="str">
        <f t="shared" si="5"/>
        <v/>
      </c>
    </row>
    <row r="481" spans="1:6" x14ac:dyDescent="0.25">
      <c r="A481" t="str">
        <f>IF('Equipment Information'!A481="","", 'Equipment Information'!A481)</f>
        <v/>
      </c>
      <c r="B481" t="str">
        <f>IF('Equipment Information'!B481="","", 'Equipment Information'!B481)</f>
        <v/>
      </c>
      <c r="C481" t="str">
        <f>IF('Equipment Information'!C481="","", 'Equipment Information'!C481)</f>
        <v/>
      </c>
      <c r="F481" t="str">
        <f t="shared" si="5"/>
        <v/>
      </c>
    </row>
    <row r="482" spans="1:6" x14ac:dyDescent="0.25">
      <c r="A482" t="str">
        <f>IF('Equipment Information'!A482="","", 'Equipment Information'!A482)</f>
        <v/>
      </c>
      <c r="B482" t="str">
        <f>IF('Equipment Information'!B482="","", 'Equipment Information'!B482)</f>
        <v/>
      </c>
      <c r="C482" t="str">
        <f>IF('Equipment Information'!C482="","", 'Equipment Information'!C482)</f>
        <v/>
      </c>
      <c r="F482" t="str">
        <f t="shared" si="5"/>
        <v/>
      </c>
    </row>
    <row r="483" spans="1:6" x14ac:dyDescent="0.25">
      <c r="A483" t="str">
        <f>IF('Equipment Information'!A483="","", 'Equipment Information'!A483)</f>
        <v/>
      </c>
      <c r="B483" t="str">
        <f>IF('Equipment Information'!B483="","", 'Equipment Information'!B483)</f>
        <v/>
      </c>
      <c r="C483" t="str">
        <f>IF('Equipment Information'!C483="","", 'Equipment Information'!C483)</f>
        <v/>
      </c>
      <c r="F483" t="str">
        <f t="shared" si="5"/>
        <v/>
      </c>
    </row>
    <row r="484" spans="1:6" x14ac:dyDescent="0.25">
      <c r="A484" t="str">
        <f>IF('Equipment Information'!A484="","", 'Equipment Information'!A484)</f>
        <v/>
      </c>
      <c r="B484" t="str">
        <f>IF('Equipment Information'!B484="","", 'Equipment Information'!B484)</f>
        <v/>
      </c>
      <c r="C484" t="str">
        <f>IF('Equipment Information'!C484="","", 'Equipment Information'!C484)</f>
        <v/>
      </c>
      <c r="F484" t="str">
        <f t="shared" si="5"/>
        <v/>
      </c>
    </row>
    <row r="485" spans="1:6" x14ac:dyDescent="0.25">
      <c r="A485" t="str">
        <f>IF('Equipment Information'!A485="","", 'Equipment Information'!A485)</f>
        <v/>
      </c>
      <c r="B485" t="str">
        <f>IF('Equipment Information'!B485="","", 'Equipment Information'!B485)</f>
        <v/>
      </c>
      <c r="C485" t="str">
        <f>IF('Equipment Information'!C485="","", 'Equipment Information'!C485)</f>
        <v/>
      </c>
      <c r="F485" t="str">
        <f t="shared" si="5"/>
        <v/>
      </c>
    </row>
    <row r="486" spans="1:6" x14ac:dyDescent="0.25">
      <c r="A486" t="str">
        <f>IF('Equipment Information'!A486="","", 'Equipment Information'!A486)</f>
        <v/>
      </c>
      <c r="B486" t="str">
        <f>IF('Equipment Information'!B486="","", 'Equipment Information'!B486)</f>
        <v/>
      </c>
      <c r="C486" t="str">
        <f>IF('Equipment Information'!C486="","", 'Equipment Information'!C486)</f>
        <v/>
      </c>
      <c r="F486" t="str">
        <f t="shared" si="5"/>
        <v/>
      </c>
    </row>
    <row r="487" spans="1:6" x14ac:dyDescent="0.25">
      <c r="A487" t="str">
        <f>IF('Equipment Information'!A487="","", 'Equipment Information'!A487)</f>
        <v/>
      </c>
      <c r="B487" t="str">
        <f>IF('Equipment Information'!B487="","", 'Equipment Information'!B487)</f>
        <v/>
      </c>
      <c r="C487" t="str">
        <f>IF('Equipment Information'!C487="","", 'Equipment Information'!C487)</f>
        <v/>
      </c>
      <c r="F487" t="str">
        <f t="shared" si="5"/>
        <v/>
      </c>
    </row>
    <row r="488" spans="1:6" x14ac:dyDescent="0.25">
      <c r="A488" t="str">
        <f>IF('Equipment Information'!A488="","", 'Equipment Information'!A488)</f>
        <v/>
      </c>
      <c r="B488" t="str">
        <f>IF('Equipment Information'!B488="","", 'Equipment Information'!B488)</f>
        <v/>
      </c>
      <c r="C488" t="str">
        <f>IF('Equipment Information'!C488="","", 'Equipment Information'!C488)</f>
        <v/>
      </c>
      <c r="F488" t="str">
        <f t="shared" si="5"/>
        <v/>
      </c>
    </row>
    <row r="489" spans="1:6" x14ac:dyDescent="0.25">
      <c r="A489" t="str">
        <f>IF('Equipment Information'!A489="","", 'Equipment Information'!A489)</f>
        <v/>
      </c>
      <c r="B489" t="str">
        <f>IF('Equipment Information'!B489="","", 'Equipment Information'!B489)</f>
        <v/>
      </c>
      <c r="C489" t="str">
        <f>IF('Equipment Information'!C489="","", 'Equipment Information'!C489)</f>
        <v/>
      </c>
      <c r="F489" t="str">
        <f t="shared" si="5"/>
        <v/>
      </c>
    </row>
    <row r="490" spans="1:6" x14ac:dyDescent="0.25">
      <c r="A490" t="str">
        <f>IF('Equipment Information'!A490="","", 'Equipment Information'!A490)</f>
        <v/>
      </c>
      <c r="B490" t="str">
        <f>IF('Equipment Information'!B490="","", 'Equipment Information'!B490)</f>
        <v/>
      </c>
      <c r="C490" t="str">
        <f>IF('Equipment Information'!C490="","", 'Equipment Information'!C490)</f>
        <v/>
      </c>
      <c r="F490" t="str">
        <f t="shared" si="5"/>
        <v/>
      </c>
    </row>
    <row r="491" spans="1:6" x14ac:dyDescent="0.25">
      <c r="A491" t="str">
        <f>IF('Equipment Information'!A491="","", 'Equipment Information'!A491)</f>
        <v/>
      </c>
      <c r="B491" t="str">
        <f>IF('Equipment Information'!B491="","", 'Equipment Information'!B491)</f>
        <v/>
      </c>
      <c r="C491" t="str">
        <f>IF('Equipment Information'!C491="","", 'Equipment Information'!C491)</f>
        <v/>
      </c>
      <c r="F491" t="str">
        <f t="shared" si="5"/>
        <v/>
      </c>
    </row>
    <row r="492" spans="1:6" x14ac:dyDescent="0.25">
      <c r="A492" t="str">
        <f>IF('Equipment Information'!A492="","", 'Equipment Information'!A492)</f>
        <v/>
      </c>
      <c r="B492" t="str">
        <f>IF('Equipment Information'!B492="","", 'Equipment Information'!B492)</f>
        <v/>
      </c>
      <c r="C492" t="str">
        <f>IF('Equipment Information'!C492="","", 'Equipment Information'!C492)</f>
        <v/>
      </c>
      <c r="F492" t="str">
        <f t="shared" si="5"/>
        <v/>
      </c>
    </row>
    <row r="493" spans="1:6" x14ac:dyDescent="0.25">
      <c r="A493" t="str">
        <f>IF('Equipment Information'!A493="","", 'Equipment Information'!A493)</f>
        <v/>
      </c>
      <c r="B493" t="str">
        <f>IF('Equipment Information'!B493="","", 'Equipment Information'!B493)</f>
        <v/>
      </c>
      <c r="C493" t="str">
        <f>IF('Equipment Information'!C493="","", 'Equipment Information'!C493)</f>
        <v/>
      </c>
      <c r="F493" t="str">
        <f t="shared" si="5"/>
        <v/>
      </c>
    </row>
    <row r="494" spans="1:6" x14ac:dyDescent="0.25">
      <c r="A494" t="str">
        <f>IF('Equipment Information'!A494="","", 'Equipment Information'!A494)</f>
        <v/>
      </c>
      <c r="B494" t="str">
        <f>IF('Equipment Information'!B494="","", 'Equipment Information'!B494)</f>
        <v/>
      </c>
      <c r="C494" t="str">
        <f>IF('Equipment Information'!C494="","", 'Equipment Information'!C494)</f>
        <v/>
      </c>
      <c r="F494" t="str">
        <f t="shared" si="5"/>
        <v/>
      </c>
    </row>
    <row r="495" spans="1:6" x14ac:dyDescent="0.25">
      <c r="A495" t="str">
        <f>IF('Equipment Information'!A495="","", 'Equipment Information'!A495)</f>
        <v/>
      </c>
      <c r="B495" t="str">
        <f>IF('Equipment Information'!B495="","", 'Equipment Information'!B495)</f>
        <v/>
      </c>
      <c r="C495" t="str">
        <f>IF('Equipment Information'!C495="","", 'Equipment Information'!C495)</f>
        <v/>
      </c>
      <c r="F495" t="str">
        <f t="shared" si="5"/>
        <v/>
      </c>
    </row>
    <row r="496" spans="1:6" x14ac:dyDescent="0.25">
      <c r="A496" t="str">
        <f>IF('Equipment Information'!A496="","", 'Equipment Information'!A496)</f>
        <v/>
      </c>
      <c r="B496" t="str">
        <f>IF('Equipment Information'!B496="","", 'Equipment Information'!B496)</f>
        <v/>
      </c>
      <c r="C496" t="str">
        <f>IF('Equipment Information'!C496="","", 'Equipment Information'!C496)</f>
        <v/>
      </c>
      <c r="F496" t="str">
        <f t="shared" si="5"/>
        <v/>
      </c>
    </row>
    <row r="497" spans="1:6" x14ac:dyDescent="0.25">
      <c r="A497" t="str">
        <f>IF('Equipment Information'!A497="","", 'Equipment Information'!A497)</f>
        <v/>
      </c>
      <c r="B497" t="str">
        <f>IF('Equipment Information'!B497="","", 'Equipment Information'!B497)</f>
        <v/>
      </c>
      <c r="C497" t="str">
        <f>IF('Equipment Information'!C497="","", 'Equipment Information'!C497)</f>
        <v/>
      </c>
      <c r="F497" t="str">
        <f t="shared" si="5"/>
        <v/>
      </c>
    </row>
    <row r="498" spans="1:6" x14ac:dyDescent="0.25">
      <c r="A498" t="str">
        <f>IF('Equipment Information'!A498="","", 'Equipment Information'!A498)</f>
        <v/>
      </c>
      <c r="B498" t="str">
        <f>IF('Equipment Information'!B498="","", 'Equipment Information'!B498)</f>
        <v/>
      </c>
      <c r="C498" t="str">
        <f>IF('Equipment Information'!C498="","", 'Equipment Information'!C498)</f>
        <v/>
      </c>
      <c r="F498" t="str">
        <f t="shared" si="5"/>
        <v/>
      </c>
    </row>
    <row r="499" spans="1:6" x14ac:dyDescent="0.25">
      <c r="A499" t="str">
        <f>IF('Equipment Information'!A499="","", 'Equipment Information'!A499)</f>
        <v/>
      </c>
      <c r="B499" t="str">
        <f>IF('Equipment Information'!B499="","", 'Equipment Information'!B499)</f>
        <v/>
      </c>
      <c r="C499" t="str">
        <f>IF('Equipment Information'!C499="","", 'Equipment Information'!C499)</f>
        <v/>
      </c>
      <c r="F499" t="str">
        <f t="shared" si="5"/>
        <v/>
      </c>
    </row>
  </sheetData>
  <dataValidations count="3">
    <dataValidation type="list" allowBlank="1" sqref="D2:D500" xr:uid="{00000000-0002-0000-0300-000000000000}">
      <formula1>List_IR_Phase</formula1>
    </dataValidation>
    <dataValidation type="list" allowBlank="1" sqref="F2:F500" xr:uid="{00000000-0002-0000-0300-000001000000}">
      <formula1>List_PF</formula1>
    </dataValidation>
    <dataValidation type="list" allowBlank="1" sqref="E2:E102 E104:E500" xr:uid="{00000000-0002-0000-0300-000002000000}">
      <formula1>List_Comp</formula1>
    </dataValidation>
  </dataValidations>
  <pageMargins left="0.75" right="0.75" top="1" bottom="1" header="0.5" footer="0.5"/>
  <pageSetup paperSize="25"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99"/>
  <sheetViews>
    <sheetView workbookViewId="0">
      <pane ySplit="1" topLeftCell="A146" activePane="bottomLeft" state="frozen"/>
      <selection pane="bottomLeft" activeCell="B153" sqref="B153"/>
    </sheetView>
  </sheetViews>
  <sheetFormatPr defaultRowHeight="15" x14ac:dyDescent="0.25"/>
  <cols>
    <col min="1" max="1" width="20" customWidth="1"/>
    <col min="2" max="2" width="31.140625" customWidth="1"/>
    <col min="3" max="3" width="32.5703125" customWidth="1"/>
    <col min="4" max="4" width="28.28515625" customWidth="1"/>
    <col min="5" max="5" width="20" customWidth="1"/>
    <col min="6" max="6" width="27.28515625" customWidth="1"/>
    <col min="7" max="7" width="20" customWidth="1"/>
    <col min="8" max="8" width="28.285156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424</v>
      </c>
      <c r="E1" s="1" t="s">
        <v>440</v>
      </c>
      <c r="F1" s="1" t="s">
        <v>441</v>
      </c>
      <c r="G1" s="1" t="s">
        <v>21</v>
      </c>
      <c r="H1" s="1" t="s">
        <v>18</v>
      </c>
    </row>
    <row r="2" spans="1:8" x14ac:dyDescent="0.25">
      <c r="A2" t="str">
        <f>IF('Equipment Information'!A2="","", 'Equipment Information'!A2)</f>
        <v>20260648</v>
      </c>
      <c r="B2" t="str">
        <f>IF('Equipment Information'!B2="","", 'Equipment Information'!B2)</f>
        <v>Main Building Disconnect (Sec 1 of 3)</v>
      </c>
      <c r="C2" t="str">
        <f>IF('Equipment Information'!C2="","", 'Equipment Information'!C2)</f>
        <v>Electrical Room #2</v>
      </c>
      <c r="G2" t="s">
        <v>425</v>
      </c>
    </row>
    <row r="3" spans="1:8" x14ac:dyDescent="0.25">
      <c r="A3" t="str">
        <f>IF('Equipment Information'!A3="","", 'Equipment Information'!A3)</f>
        <v>20260649</v>
      </c>
      <c r="B3" t="str">
        <f>IF('Equipment Information'!B3="","", 'Equipment Information'!B3)</f>
        <v>Main Building Disconnect (Sec 2 of 3)</v>
      </c>
      <c r="C3" t="str">
        <f>IF('Equipment Information'!C3="","", 'Equipment Information'!C3)</f>
        <v>Electrical Room #2</v>
      </c>
      <c r="G3" t="s">
        <v>425</v>
      </c>
    </row>
    <row r="4" spans="1:8" x14ac:dyDescent="0.25">
      <c r="A4" t="str">
        <f>IF('Equipment Information'!A4="","", 'Equipment Information'!A4)</f>
        <v>20260650</v>
      </c>
      <c r="B4" t="str">
        <f>IF('Equipment Information'!B4="","", 'Equipment Information'!B4)</f>
        <v>Main Building Disconnect (Sec 3 of 3)</v>
      </c>
      <c r="C4" t="str">
        <f>IF('Equipment Information'!C4="","", 'Equipment Information'!C4)</f>
        <v>Electrical Room #2</v>
      </c>
      <c r="G4" t="s">
        <v>425</v>
      </c>
    </row>
    <row r="5" spans="1:8" x14ac:dyDescent="0.25">
      <c r="A5" t="str">
        <f>IF('Equipment Information'!A5="","", 'Equipment Information'!A5)</f>
        <v>20260651</v>
      </c>
      <c r="B5" t="str">
        <f>IF('Equipment Information'!B5="","", 'Equipment Information'!B5)</f>
        <v>Power Cond. #1 Disconnect</v>
      </c>
      <c r="C5" t="str">
        <f>IF('Equipment Information'!C5="","", 'Equipment Information'!C5)</f>
        <v>Electrical Room #2</v>
      </c>
      <c r="G5" t="s">
        <v>425</v>
      </c>
    </row>
    <row r="6" spans="1:8" x14ac:dyDescent="0.25">
      <c r="A6" t="str">
        <f>IF('Equipment Information'!A6="","", 'Equipment Information'!A6)</f>
        <v>20260652</v>
      </c>
      <c r="B6" t="str">
        <f>IF('Equipment Information'!B6="","", 'Equipment Information'!B6)</f>
        <v>Power Cond. #2 Disconnect</v>
      </c>
      <c r="C6" t="str">
        <f>IF('Equipment Information'!C6="","", 'Equipment Information'!C6)</f>
        <v>Electrical Room #2</v>
      </c>
      <c r="G6" t="s">
        <v>425</v>
      </c>
    </row>
    <row r="7" spans="1:8" x14ac:dyDescent="0.25">
      <c r="A7" t="str">
        <f>IF('Equipment Information'!A7="","", 'Equipment Information'!A7)</f>
        <v>20260653</v>
      </c>
      <c r="B7" t="str">
        <f>IF('Equipment Information'!B7="","", 'Equipment Information'!B7)</f>
        <v>LP #1</v>
      </c>
      <c r="C7" t="str">
        <f>IF('Equipment Information'!C7="","", 'Equipment Information'!C7)</f>
        <v>Electrical Room #2</v>
      </c>
      <c r="G7" t="s">
        <v>425</v>
      </c>
    </row>
    <row r="8" spans="1:8" x14ac:dyDescent="0.25">
      <c r="A8" t="str">
        <f>IF('Equipment Information'!A8="","", 'Equipment Information'!A8)</f>
        <v>20260654</v>
      </c>
      <c r="B8" t="str">
        <f>IF('Equipment Information'!B8="","", 'Equipment Information'!B8)</f>
        <v>P-1</v>
      </c>
      <c r="C8" t="str">
        <f>IF('Equipment Information'!C8="","", 'Equipment Information'!C8)</f>
        <v>Electrical Room #2</v>
      </c>
      <c r="G8" t="s">
        <v>425</v>
      </c>
    </row>
    <row r="9" spans="1:8" x14ac:dyDescent="0.25">
      <c r="A9" t="str">
        <f>IF('Equipment Information'!A9="","", 'Equipment Information'!A9)</f>
        <v>20260655</v>
      </c>
      <c r="B9" t="str">
        <f>IF('Equipment Information'!B9="","", 'Equipment Information'!B9)</f>
        <v>P-2</v>
      </c>
      <c r="C9" t="str">
        <f>IF('Equipment Information'!C9="","", 'Equipment Information'!C9)</f>
        <v>Electrical Room #2</v>
      </c>
      <c r="G9" t="s">
        <v>425</v>
      </c>
    </row>
    <row r="10" spans="1:8" x14ac:dyDescent="0.25">
      <c r="A10" t="str">
        <f>IF('Equipment Information'!A10="","", 'Equipment Information'!A10)</f>
        <v>20260656</v>
      </c>
      <c r="B10" t="str">
        <f>IF('Equipment Information'!B10="","", 'Equipment Information'!B10)</f>
        <v>DP #4</v>
      </c>
      <c r="C10" t="str">
        <f>IF('Equipment Information'!C10="","", 'Equipment Information'!C10)</f>
        <v>Electrical Room #2</v>
      </c>
      <c r="G10" t="s">
        <v>425</v>
      </c>
    </row>
    <row r="11" spans="1:8" x14ac:dyDescent="0.25">
      <c r="A11" t="str">
        <f>IF('Equipment Information'!A11="","", 'Equipment Information'!A11)</f>
        <v>20260657</v>
      </c>
      <c r="B11" t="str">
        <f>IF('Equipment Information'!B11="","", 'Equipment Information'!B11)</f>
        <v>DP #5</v>
      </c>
      <c r="C11" t="str">
        <f>IF('Equipment Information'!C11="","", 'Equipment Information'!C11)</f>
        <v>Electrical Room #2</v>
      </c>
      <c r="G11" t="s">
        <v>425</v>
      </c>
    </row>
    <row r="12" spans="1:8" x14ac:dyDescent="0.25">
      <c r="A12" t="str">
        <f>IF('Equipment Information'!A12="","", 'Equipment Information'!A12)</f>
        <v>20260658</v>
      </c>
      <c r="B12" t="str">
        <f>IF('Equipment Information'!B12="","", 'Equipment Information'!B12)</f>
        <v>DP #6</v>
      </c>
      <c r="C12" t="str">
        <f>IF('Equipment Information'!C12="","", 'Equipment Information'!C12)</f>
        <v>Electrical Room #2</v>
      </c>
      <c r="G12" t="s">
        <v>425</v>
      </c>
    </row>
    <row r="13" spans="1:8" x14ac:dyDescent="0.25">
      <c r="A13" t="str">
        <f>IF('Equipment Information'!A13="","", 'Equipment Information'!A13)</f>
        <v>20260659</v>
      </c>
      <c r="B13" t="str">
        <f>IF('Equipment Information'!B13="","", 'Equipment Information'!B13)</f>
        <v>PDP</v>
      </c>
      <c r="C13" t="str">
        <f>IF('Equipment Information'!C13="","", 'Equipment Information'!C13)</f>
        <v>Electrical Room #2</v>
      </c>
      <c r="G13" t="s">
        <v>425</v>
      </c>
    </row>
    <row r="14" spans="1:8" x14ac:dyDescent="0.25">
      <c r="A14" t="str">
        <f>IF('Equipment Information'!A14="","", 'Equipment Information'!A14)</f>
        <v>20260660</v>
      </c>
      <c r="B14" t="str">
        <f>IF('Equipment Information'!B14="","", 'Equipment Information'!B14)</f>
        <v>T-2</v>
      </c>
      <c r="C14" t="str">
        <f>IF('Equipment Information'!C14="","", 'Equipment Information'!C14)</f>
        <v>Electrical Room #2</v>
      </c>
      <c r="G14" t="s">
        <v>425</v>
      </c>
    </row>
    <row r="15" spans="1:8" x14ac:dyDescent="0.25">
      <c r="A15" t="str">
        <f>IF('Equipment Information'!A15="","", 'Equipment Information'!A15)</f>
        <v>20260661</v>
      </c>
      <c r="B15" t="str">
        <f>IF('Equipment Information'!B15="","", 'Equipment Information'!B15)</f>
        <v>OH XFMR</v>
      </c>
      <c r="C15" t="str">
        <f>IF('Equipment Information'!C15="","", 'Equipment Information'!C15)</f>
        <v>Electrical Room #2</v>
      </c>
      <c r="G15" t="s">
        <v>425</v>
      </c>
    </row>
    <row r="16" spans="1:8" x14ac:dyDescent="0.25">
      <c r="A16" t="str">
        <f>IF('Equipment Information'!A16="","", 'Equipment Information'!A16)</f>
        <v>20260662</v>
      </c>
      <c r="B16" t="str">
        <f>IF('Equipment Information'!B16="","", 'Equipment Information'!B16)</f>
        <v>DP7 Freezer</v>
      </c>
      <c r="C16" t="str">
        <f>IF('Equipment Information'!C16="","", 'Equipment Information'!C16)</f>
        <v>Electrical Room #3</v>
      </c>
      <c r="G16" t="s">
        <v>425</v>
      </c>
    </row>
    <row r="17" spans="1:7" x14ac:dyDescent="0.25">
      <c r="A17" t="str">
        <f>IF('Equipment Information'!A17="","", 'Equipment Information'!A17)</f>
        <v>20260663</v>
      </c>
      <c r="B17" t="str">
        <f>IF('Equipment Information'!B17="","", 'Equipment Information'!B17)</f>
        <v>(N/A 75 KVA XFMR)</v>
      </c>
      <c r="C17" t="str">
        <f>IF('Equipment Information'!C17="","", 'Equipment Information'!C17)</f>
        <v>Electrical Room #3</v>
      </c>
      <c r="G17" t="s">
        <v>425</v>
      </c>
    </row>
    <row r="18" spans="1:7" x14ac:dyDescent="0.25">
      <c r="A18" t="str">
        <f>IF('Equipment Information'!A18="","", 'Equipment Information'!A18)</f>
        <v>20260664</v>
      </c>
      <c r="B18" t="str">
        <f>IF('Equipment Information'!B18="","", 'Equipment Information'!B18)</f>
        <v>(N/A PNL)</v>
      </c>
      <c r="C18" t="str">
        <f>IF('Equipment Information'!C18="","", 'Equipment Information'!C18)</f>
        <v>Electrical Room #3</v>
      </c>
      <c r="G18" t="s">
        <v>425</v>
      </c>
    </row>
    <row r="19" spans="1:7" x14ac:dyDescent="0.25">
      <c r="A19" t="str">
        <f>IF('Equipment Information'!A19="","", 'Equipment Information'!A19)</f>
        <v>20260665</v>
      </c>
      <c r="B19" t="str">
        <f>IF('Equipment Information'!B19="","", 'Equipment Information'!B19)</f>
        <v>USES</v>
      </c>
      <c r="C19" t="str">
        <f>IF('Equipment Information'!C19="","", 'Equipment Information'!C19)</f>
        <v>Electrical Room #3</v>
      </c>
      <c r="G19" t="s">
        <v>425</v>
      </c>
    </row>
    <row r="20" spans="1:7" x14ac:dyDescent="0.25">
      <c r="A20" t="str">
        <f>IF('Equipment Information'!A20="","", 'Equipment Information'!A20)</f>
        <v>20260666</v>
      </c>
      <c r="B20" t="str">
        <f>IF('Equipment Information'!B20="","", 'Equipment Information'!B20)</f>
        <v>Fan (P3-4/6/8)</v>
      </c>
      <c r="C20" t="str">
        <f>IF('Equipment Information'!C20="","", 'Equipment Information'!C20)</f>
        <v>Electrical Room #3</v>
      </c>
      <c r="G20" t="s">
        <v>425</v>
      </c>
    </row>
    <row r="21" spans="1:7" x14ac:dyDescent="0.25">
      <c r="A21" t="str">
        <f>IF('Equipment Information'!A21="","", 'Equipment Information'!A21)</f>
        <v>20260667</v>
      </c>
      <c r="B21" t="str">
        <f>IF('Equipment Information'!B21="","", 'Equipment Information'!B21)</f>
        <v>Fan (P3-4/6/8)</v>
      </c>
      <c r="C21" t="str">
        <f>IF('Equipment Information'!C21="","", 'Equipment Information'!C21)</f>
        <v>Electrical Room #3</v>
      </c>
      <c r="G21" t="s">
        <v>425</v>
      </c>
    </row>
    <row r="22" spans="1:7" x14ac:dyDescent="0.25">
      <c r="A22" t="str">
        <f>IF('Equipment Information'!A22="","", 'Equipment Information'!A22)</f>
        <v>20260668</v>
      </c>
      <c r="B22" t="str">
        <f>IF('Equipment Information'!B22="","", 'Equipment Information'!B22)</f>
        <v>P3</v>
      </c>
      <c r="C22" t="str">
        <f>IF('Equipment Information'!C22="","", 'Equipment Information'!C22)</f>
        <v>Electrical Room #3</v>
      </c>
      <c r="G22" t="s">
        <v>425</v>
      </c>
    </row>
    <row r="23" spans="1:7" x14ac:dyDescent="0.25">
      <c r="A23" t="str">
        <f>IF('Equipment Information'!A23="","", 'Equipment Information'!A23)</f>
        <v>20260669</v>
      </c>
      <c r="B23" t="str">
        <f>IF('Equipment Information'!B23="","", 'Equipment Information'!B23)</f>
        <v>DP7</v>
      </c>
      <c r="C23" t="str">
        <f>IF('Equipment Information'!C23="","", 'Equipment Information'!C23)</f>
        <v>Electrical Room #3</v>
      </c>
      <c r="G23" t="s">
        <v>425</v>
      </c>
    </row>
    <row r="24" spans="1:7" x14ac:dyDescent="0.25">
      <c r="A24" t="str">
        <f>IF('Equipment Information'!A24="","", 'Equipment Information'!A24)</f>
        <v>20260670</v>
      </c>
      <c r="B24" t="str">
        <f>IF('Equipment Information'!B24="","", 'Equipment Information'!B24)</f>
        <v>CP-DP7 [Sec. 1]</v>
      </c>
      <c r="C24" t="str">
        <f>IF('Equipment Information'!C24="","", 'Equipment Information'!C24)</f>
        <v>Electrical Room #3</v>
      </c>
      <c r="G24" t="s">
        <v>425</v>
      </c>
    </row>
    <row r="25" spans="1:7" x14ac:dyDescent="0.25">
      <c r="A25" t="str">
        <f>IF('Equipment Information'!A25="","", 'Equipment Information'!A25)</f>
        <v>20260671</v>
      </c>
      <c r="B25" t="str">
        <f>IF('Equipment Information'!B25="","", 'Equipment Information'!B25)</f>
        <v>CP-DP7 [Sec. 2]</v>
      </c>
      <c r="C25" t="str">
        <f>IF('Equipment Information'!C25="","", 'Equipment Information'!C25)</f>
        <v>Electrical Room #3</v>
      </c>
      <c r="G25" t="s">
        <v>425</v>
      </c>
    </row>
    <row r="26" spans="1:7" x14ac:dyDescent="0.25">
      <c r="A26" t="str">
        <f>IF('Equipment Information'!A26="","", 'Equipment Information'!A26)</f>
        <v>20260672</v>
      </c>
      <c r="B26" t="str">
        <f>IF('Equipment Information'!B26="","", 'Equipment Information'!B26)</f>
        <v>CP-DP7 [Sec. 3]</v>
      </c>
      <c r="C26" t="str">
        <f>IF('Equipment Information'!C26="","", 'Equipment Information'!C26)</f>
        <v>Electrical Room #3</v>
      </c>
      <c r="G26" t="s">
        <v>425</v>
      </c>
    </row>
    <row r="27" spans="1:7" x14ac:dyDescent="0.25">
      <c r="A27" t="str">
        <f>IF('Equipment Information'!A27="","", 'Equipment Information'!A27)</f>
        <v>20260673</v>
      </c>
      <c r="B27" t="str">
        <f>IF('Equipment Information'!B27="","", 'Equipment Information'!B27)</f>
        <v>OH XFMR</v>
      </c>
      <c r="C27" t="str">
        <f>IF('Equipment Information'!C27="","", 'Equipment Information'!C27)</f>
        <v>Electrical Room #3</v>
      </c>
      <c r="G27" t="s">
        <v>425</v>
      </c>
    </row>
    <row r="28" spans="1:7" x14ac:dyDescent="0.25">
      <c r="A28" t="str">
        <f>IF('Equipment Information'!A28="","", 'Equipment Information'!A28)</f>
        <v>20260674</v>
      </c>
      <c r="B28" t="str">
        <f>IF('Equipment Information'!B28="","", 'Equipment Information'!B28)</f>
        <v>MDP-2 [Sec. 1]</v>
      </c>
      <c r="C28" t="str">
        <f>IF('Equipment Information'!C28="","", 'Equipment Information'!C28)</f>
        <v>Electrical Room #1</v>
      </c>
      <c r="G28" t="s">
        <v>425</v>
      </c>
    </row>
    <row r="29" spans="1:7" x14ac:dyDescent="0.25">
      <c r="A29" t="str">
        <f>IF('Equipment Information'!A29="","", 'Equipment Information'!A29)</f>
        <v>20260675</v>
      </c>
      <c r="B29" t="str">
        <f>IF('Equipment Information'!B29="","", 'Equipment Information'!B29)</f>
        <v>MDP-2 [Sec. 2]</v>
      </c>
      <c r="C29" t="str">
        <f>IF('Equipment Information'!C29="","", 'Equipment Information'!C29)</f>
        <v>Electrical Room #1</v>
      </c>
      <c r="G29" t="s">
        <v>425</v>
      </c>
    </row>
    <row r="30" spans="1:7" x14ac:dyDescent="0.25">
      <c r="A30" t="str">
        <f>IF('Equipment Information'!A30="","", 'Equipment Information'!A30)</f>
        <v>20260676</v>
      </c>
      <c r="B30" t="str">
        <f>IF('Equipment Information'!B30="","", 'Equipment Information'!B30)</f>
        <v>Vacuum Exhaust</v>
      </c>
      <c r="C30" t="str">
        <f>IF('Equipment Information'!C30="","", 'Equipment Information'!C30)</f>
        <v>Electrical Room #1</v>
      </c>
      <c r="G30" t="s">
        <v>425</v>
      </c>
    </row>
    <row r="31" spans="1:7" x14ac:dyDescent="0.25">
      <c r="A31" t="str">
        <f>IF('Equipment Information'!A31="","", 'Equipment Information'!A31)</f>
        <v>20260677</v>
      </c>
      <c r="B31" t="str">
        <f>IF('Equipment Information'!B31="","", 'Equipment Information'!B31)</f>
        <v>Air Knife</v>
      </c>
      <c r="C31" t="str">
        <f>IF('Equipment Information'!C31="","", 'Equipment Information'!C31)</f>
        <v>Electrical Room #1</v>
      </c>
      <c r="G31" t="s">
        <v>425</v>
      </c>
    </row>
    <row r="32" spans="1:7" x14ac:dyDescent="0.25">
      <c r="A32" t="str">
        <f>IF('Equipment Information'!A32="","", 'Equipment Information'!A32)</f>
        <v>20260678</v>
      </c>
      <c r="B32" t="str">
        <f>IF('Equipment Information'!B32="","", 'Equipment Information'!B32)</f>
        <v>CP-Dryer #2</v>
      </c>
      <c r="C32" t="str">
        <f>IF('Equipment Information'!C32="","", 'Equipment Information'!C32)</f>
        <v>Electrical Room #4</v>
      </c>
      <c r="G32" t="s">
        <v>425</v>
      </c>
    </row>
    <row r="33" spans="1:7" x14ac:dyDescent="0.25">
      <c r="A33" t="str">
        <f>IF('Equipment Information'!A33="","", 'Equipment Information'!A33)</f>
        <v>20260679</v>
      </c>
      <c r="B33" t="str">
        <f>IF('Equipment Information'!B33="","", 'Equipment Information'!B33)</f>
        <v>CP-Silo Alley</v>
      </c>
      <c r="C33" t="str">
        <f>IF('Equipment Information'!C33="","", 'Equipment Information'!C33)</f>
        <v>Electrical Room #4</v>
      </c>
      <c r="G33" t="s">
        <v>425</v>
      </c>
    </row>
    <row r="34" spans="1:7" x14ac:dyDescent="0.25">
      <c r="A34" t="str">
        <f>IF('Equipment Information'!A34="","", 'Equipment Information'!A34)</f>
        <v>20260680</v>
      </c>
      <c r="B34" t="str">
        <f>IF('Equipment Information'!B34="","", 'Equipment Information'!B34)</f>
        <v>Machine Control</v>
      </c>
      <c r="C34" t="str">
        <f>IF('Equipment Information'!C34="","", 'Equipment Information'!C34)</f>
        <v>Electrical Room #4</v>
      </c>
      <c r="G34" t="s">
        <v>425</v>
      </c>
    </row>
    <row r="35" spans="1:7" x14ac:dyDescent="0.25">
      <c r="A35" t="str">
        <f>IF('Equipment Information'!A35="","", 'Equipment Information'!A35)</f>
        <v>20260681</v>
      </c>
      <c r="B35" t="str">
        <f>IF('Equipment Information'!B35="","", 'Equipment Information'!B35)</f>
        <v>CP-Dryer #1 [Sec. 1]</v>
      </c>
      <c r="C35" t="str">
        <f>IF('Equipment Information'!C35="","", 'Equipment Information'!C35)</f>
        <v>Electrical Room #4</v>
      </c>
      <c r="G35" t="s">
        <v>425</v>
      </c>
    </row>
    <row r="36" spans="1:7" x14ac:dyDescent="0.25">
      <c r="A36" t="str">
        <f>IF('Equipment Information'!A36="","", 'Equipment Information'!A36)</f>
        <v>20260682</v>
      </c>
      <c r="B36" t="str">
        <f>IF('Equipment Information'!B36="","", 'Equipment Information'!B36)</f>
        <v>CP-Dryer #1 [Sec. 2]</v>
      </c>
      <c r="C36" t="str">
        <f>IF('Equipment Information'!C36="","", 'Equipment Information'!C36)</f>
        <v>Electrical Room #4</v>
      </c>
      <c r="G36" t="s">
        <v>425</v>
      </c>
    </row>
    <row r="37" spans="1:7" x14ac:dyDescent="0.25">
      <c r="A37" t="str">
        <f>IF('Equipment Information'!A37="","", 'Equipment Information'!A37)</f>
        <v>20260683</v>
      </c>
      <c r="B37" t="str">
        <f>IF('Equipment Information'!B37="","", 'Equipment Information'!B37)</f>
        <v>CP-Packout [Sec. 1]</v>
      </c>
      <c r="C37" t="str">
        <f>IF('Equipment Information'!C37="","", 'Equipment Information'!C37)</f>
        <v>Electrical Room #4</v>
      </c>
      <c r="G37" t="s">
        <v>425</v>
      </c>
    </row>
    <row r="38" spans="1:7" x14ac:dyDescent="0.25">
      <c r="A38" t="str">
        <f>IF('Equipment Information'!A38="","", 'Equipment Information'!A38)</f>
        <v>20260684</v>
      </c>
      <c r="B38" t="str">
        <f>IF('Equipment Information'!B38="","", 'Equipment Information'!B38)</f>
        <v>CP-Packout [Sec. 2]</v>
      </c>
      <c r="C38" t="str">
        <f>IF('Equipment Information'!C38="","", 'Equipment Information'!C38)</f>
        <v>Electrical Room #4</v>
      </c>
      <c r="G38" t="s">
        <v>425</v>
      </c>
    </row>
    <row r="39" spans="1:7" x14ac:dyDescent="0.25">
      <c r="A39" t="str">
        <f>IF('Equipment Information'!A39="","", 'Equipment Information'!A39)</f>
        <v>20260685</v>
      </c>
      <c r="B39" t="str">
        <f>IF('Equipment Information'!B39="","", 'Equipment Information'!B39)</f>
        <v>CP-Packout [Sec. 3]</v>
      </c>
      <c r="C39" t="str">
        <f>IF('Equipment Information'!C39="","", 'Equipment Information'!C39)</f>
        <v>Electrical Room #4</v>
      </c>
      <c r="G39" t="s">
        <v>425</v>
      </c>
    </row>
    <row r="40" spans="1:7" x14ac:dyDescent="0.25">
      <c r="A40" t="str">
        <f>IF('Equipment Information'!A40="","", 'Equipment Information'!A40)</f>
        <v>20260686</v>
      </c>
      <c r="B40" t="str">
        <f>IF('Equipment Information'!B40="","", 'Equipment Information'!B40)</f>
        <v>CP-5110</v>
      </c>
      <c r="C40" t="str">
        <f>IF('Equipment Information'!C40="","", 'Equipment Information'!C40)</f>
        <v>Electrical Room #4</v>
      </c>
      <c r="G40" t="s">
        <v>425</v>
      </c>
    </row>
    <row r="41" spans="1:7" x14ac:dyDescent="0.25">
      <c r="A41" t="str">
        <f>IF('Equipment Information'!A41="","", 'Equipment Information'!A41)</f>
        <v>20260687</v>
      </c>
      <c r="B41" t="str">
        <f>IF('Equipment Information'!B41="","", 'Equipment Information'!B41)</f>
        <v>CP-5120</v>
      </c>
      <c r="C41" t="str">
        <f>IF('Equipment Information'!C41="","", 'Equipment Information'!C41)</f>
        <v>Electrical Room #4</v>
      </c>
      <c r="G41" t="s">
        <v>425</v>
      </c>
    </row>
    <row r="42" spans="1:7" x14ac:dyDescent="0.25">
      <c r="A42" t="str">
        <f>IF('Equipment Information'!A42="","", 'Equipment Information'!A42)</f>
        <v>20260688</v>
      </c>
      <c r="B42" t="str">
        <f>IF('Equipment Information'!B42="","", 'Equipment Information'!B42)</f>
        <v>RF-7101</v>
      </c>
      <c r="C42" t="str">
        <f>IF('Equipment Information'!C42="","", 'Equipment Information'!C42)</f>
        <v>Electrical Room #4</v>
      </c>
      <c r="G42" t="s">
        <v>425</v>
      </c>
    </row>
    <row r="43" spans="1:7" x14ac:dyDescent="0.25">
      <c r="A43" t="str">
        <f>IF('Equipment Information'!A43="","", 'Equipment Information'!A43)</f>
        <v>20260689</v>
      </c>
      <c r="B43" t="str">
        <f>IF('Equipment Information'!B43="","", 'Equipment Information'!B43)</f>
        <v>RF-7102</v>
      </c>
      <c r="C43" t="str">
        <f>IF('Equipment Information'!C43="","", 'Equipment Information'!C43)</f>
        <v>Electrical Room #4</v>
      </c>
      <c r="G43" t="s">
        <v>425</v>
      </c>
    </row>
    <row r="44" spans="1:7" x14ac:dyDescent="0.25">
      <c r="A44" t="str">
        <f>IF('Equipment Information'!A44="","", 'Equipment Information'!A44)</f>
        <v>20260690</v>
      </c>
      <c r="B44" t="str">
        <f>IF('Equipment Information'!B44="","", 'Equipment Information'!B44)</f>
        <v>RF-7103</v>
      </c>
      <c r="C44" t="str">
        <f>IF('Equipment Information'!C44="","", 'Equipment Information'!C44)</f>
        <v>Electrical Room #4</v>
      </c>
      <c r="G44" t="s">
        <v>425</v>
      </c>
    </row>
    <row r="45" spans="1:7" x14ac:dyDescent="0.25">
      <c r="A45" t="str">
        <f>IF('Equipment Information'!A45="","", 'Equipment Information'!A45)</f>
        <v>20260691</v>
      </c>
      <c r="B45" t="str">
        <f>IF('Equipment Information'!B45="","", 'Equipment Information'!B45)</f>
        <v>RF-7104</v>
      </c>
      <c r="C45" t="str">
        <f>IF('Equipment Information'!C45="","", 'Equipment Information'!C45)</f>
        <v>Electrical Room #4</v>
      </c>
      <c r="G45" t="s">
        <v>425</v>
      </c>
    </row>
    <row r="46" spans="1:7" x14ac:dyDescent="0.25">
      <c r="A46" t="str">
        <f>IF('Equipment Information'!A46="","", 'Equipment Information'!A46)</f>
        <v>20260692</v>
      </c>
      <c r="B46" t="str">
        <f>IF('Equipment Information'!B46="","", 'Equipment Information'!B46)</f>
        <v>DP-10</v>
      </c>
      <c r="C46" t="str">
        <f>IF('Equipment Information'!C46="","", 'Equipment Information'!C46)</f>
        <v>Electrical Room #4</v>
      </c>
      <c r="G46" t="s">
        <v>425</v>
      </c>
    </row>
    <row r="47" spans="1:7" x14ac:dyDescent="0.25">
      <c r="A47" t="str">
        <f>IF('Equipment Information'!A47="","", 'Equipment Information'!A47)</f>
        <v>20260693</v>
      </c>
      <c r="B47" t="str">
        <f>IF('Equipment Information'!B47="","", 'Equipment Information'!B47)</f>
        <v>Cooling Towers</v>
      </c>
      <c r="C47" t="str">
        <f>IF('Equipment Information'!C47="","", 'Equipment Information'!C47)</f>
        <v>Electrical Room #4</v>
      </c>
      <c r="G47" t="s">
        <v>425</v>
      </c>
    </row>
    <row r="48" spans="1:7" x14ac:dyDescent="0.25">
      <c r="A48" t="str">
        <f>IF('Equipment Information'!A48="","", 'Equipment Information'!A48)</f>
        <v>20260694</v>
      </c>
      <c r="B48" t="str">
        <f>IF('Equipment Information'!B48="","", 'Equipment Information'!B48)</f>
        <v>PP FF-2</v>
      </c>
      <c r="C48" t="str">
        <f>IF('Equipment Information'!C48="","", 'Equipment Information'!C48)</f>
        <v>Electrical Room #4</v>
      </c>
      <c r="G48" t="s">
        <v>425</v>
      </c>
    </row>
    <row r="49" spans="1:7" x14ac:dyDescent="0.25">
      <c r="A49" t="str">
        <f>IF('Equipment Information'!A49="","", 'Equipment Information'!A49)</f>
        <v>20260695</v>
      </c>
      <c r="B49" t="str">
        <f>IF('Equipment Information'!B49="","", 'Equipment Information'!B49)</f>
        <v>LP FF-1</v>
      </c>
      <c r="C49" t="str">
        <f>IF('Equipment Information'!C49="","", 'Equipment Information'!C49)</f>
        <v>Electrical Room #4</v>
      </c>
      <c r="G49" t="s">
        <v>425</v>
      </c>
    </row>
    <row r="50" spans="1:7" x14ac:dyDescent="0.25">
      <c r="A50" t="str">
        <f>IF('Equipment Information'!A50="","", 'Equipment Information'!A50)</f>
        <v>20260696</v>
      </c>
      <c r="B50" t="str">
        <f>IF('Equipment Information'!B50="","", 'Equipment Information'!B50)</f>
        <v>PP FF-1</v>
      </c>
      <c r="C50" t="str">
        <f>IF('Equipment Information'!C50="","", 'Equipment Information'!C50)</f>
        <v>Electrical Room #4</v>
      </c>
      <c r="G50" t="s">
        <v>425</v>
      </c>
    </row>
    <row r="51" spans="1:7" x14ac:dyDescent="0.25">
      <c r="A51" t="str">
        <f>IF('Equipment Information'!A51="","", 'Equipment Information'!A51)</f>
        <v>20260697</v>
      </c>
      <c r="B51" t="str">
        <f>IF('Equipment Information'!B51="","", 'Equipment Information'!B51)</f>
        <v>PP FF-1A</v>
      </c>
      <c r="C51" t="str">
        <f>IF('Equipment Information'!C51="","", 'Equipment Information'!C51)</f>
        <v>Electrical Room #4</v>
      </c>
      <c r="G51" t="s">
        <v>425</v>
      </c>
    </row>
    <row r="52" spans="1:7" x14ac:dyDescent="0.25">
      <c r="A52" t="str">
        <f>IF('Equipment Information'!A52="","", 'Equipment Information'!A52)</f>
        <v>20260698</v>
      </c>
      <c r="B52" t="str">
        <f>IF('Equipment Information'!B52="","", 'Equipment Information'!B52)</f>
        <v>CP-5110 &amp; CP-5120</v>
      </c>
      <c r="C52" t="str">
        <f>IF('Equipment Information'!C52="","", 'Equipment Information'!C52)</f>
        <v>Electrical Room #4</v>
      </c>
      <c r="G52" t="s">
        <v>425</v>
      </c>
    </row>
    <row r="53" spans="1:7" x14ac:dyDescent="0.25">
      <c r="A53" t="str">
        <f>IF('Equipment Information'!A53="","", 'Equipment Information'!A53)</f>
        <v>20260699</v>
      </c>
      <c r="B53" t="str">
        <f>IF('Equipment Information'!B53="","", 'Equipment Information'!B53)</f>
        <v/>
      </c>
      <c r="C53" t="str">
        <f>IF('Equipment Information'!C53="","", 'Equipment Information'!C53)</f>
        <v>Electrical Room #4 Mezzanine</v>
      </c>
      <c r="G53" t="s">
        <v>425</v>
      </c>
    </row>
    <row r="54" spans="1:7" x14ac:dyDescent="0.25">
      <c r="A54" t="str">
        <f>IF('Equipment Information'!A54="","", 'Equipment Information'!A54)</f>
        <v>20260700</v>
      </c>
      <c r="B54" t="str">
        <f>IF('Equipment Information'!B54="","", 'Equipment Information'!B54)</f>
        <v/>
      </c>
      <c r="C54" t="str">
        <f>IF('Equipment Information'!C54="","", 'Equipment Information'!C54)</f>
        <v>Electrical Room #4 Mezzanine</v>
      </c>
      <c r="G54" t="s">
        <v>425</v>
      </c>
    </row>
    <row r="55" spans="1:7" x14ac:dyDescent="0.25">
      <c r="A55" t="str">
        <f>IF('Equipment Information'!A55="","", 'Equipment Information'!A55)</f>
        <v>20260701</v>
      </c>
      <c r="B55" t="str">
        <f>IF('Equipment Information'!B55="","", 'Equipment Information'!B55)</f>
        <v/>
      </c>
      <c r="C55" t="str">
        <f>IF('Equipment Information'!C55="","", 'Equipment Information'!C55)</f>
        <v>Electrical Room #4 Mezzanine</v>
      </c>
      <c r="G55" t="s">
        <v>425</v>
      </c>
    </row>
    <row r="56" spans="1:7" x14ac:dyDescent="0.25">
      <c r="A56" t="str">
        <f>IF('Equipment Information'!A56="","", 'Equipment Information'!A56)</f>
        <v>20260702</v>
      </c>
      <c r="B56" t="str">
        <f>IF('Equipment Information'!B56="","", 'Equipment Information'!B56)</f>
        <v/>
      </c>
      <c r="C56" t="str">
        <f>IF('Equipment Information'!C56="","", 'Equipment Information'!C56)</f>
        <v>Electrical Room #4 Mezzanine</v>
      </c>
      <c r="G56" t="s">
        <v>425</v>
      </c>
    </row>
    <row r="57" spans="1:7" x14ac:dyDescent="0.25">
      <c r="A57" t="str">
        <f>IF('Equipment Information'!A57="","", 'Equipment Information'!A57)</f>
        <v>20260703</v>
      </c>
      <c r="B57" t="str">
        <f>IF('Equipment Information'!B57="","", 'Equipment Information'!B57)</f>
        <v/>
      </c>
      <c r="C57" t="str">
        <f>IF('Equipment Information'!C57="","", 'Equipment Information'!C57)</f>
        <v>Electrical Room #4 Mezzanine</v>
      </c>
      <c r="G57" t="s">
        <v>425</v>
      </c>
    </row>
    <row r="58" spans="1:7" x14ac:dyDescent="0.25">
      <c r="A58" t="str">
        <f>IF('Equipment Information'!A58="","", 'Equipment Information'!A58)</f>
        <v>20260704</v>
      </c>
      <c r="B58" t="str">
        <f>IF('Equipment Information'!B58="","", 'Equipment Information'!B58)</f>
        <v/>
      </c>
      <c r="C58" t="str">
        <f>IF('Equipment Information'!C58="","", 'Equipment Information'!C58)</f>
        <v>Electrical Room #4 Mezzanine</v>
      </c>
      <c r="G58" t="s">
        <v>425</v>
      </c>
    </row>
    <row r="59" spans="1:7" x14ac:dyDescent="0.25">
      <c r="A59" t="str">
        <f>IF('Equipment Information'!A59="","", 'Equipment Information'!A59)</f>
        <v>20260705</v>
      </c>
      <c r="B59" t="str">
        <f>IF('Equipment Information'!B59="","", 'Equipment Information'!B59)</f>
        <v>15 kVa Transformer</v>
      </c>
      <c r="C59" t="str">
        <f>IF('Equipment Information'!C59="","", 'Equipment Information'!C59)</f>
        <v>Packaging</v>
      </c>
      <c r="G59" t="s">
        <v>425</v>
      </c>
    </row>
    <row r="60" spans="1:7" x14ac:dyDescent="0.25">
      <c r="A60" t="str">
        <f>IF('Equipment Information'!A60="","", 'Equipment Information'!A60)</f>
        <v>20260706</v>
      </c>
      <c r="B60" t="str">
        <f>IF('Equipment Information'!B60="","", 'Equipment Information'!B60)</f>
        <v>Color Sorter Transformer</v>
      </c>
      <c r="C60" t="str">
        <f>IF('Equipment Information'!C60="","", 'Equipment Information'!C60)</f>
        <v>Packaging</v>
      </c>
      <c r="G60" t="s">
        <v>425</v>
      </c>
    </row>
    <row r="61" spans="1:7" x14ac:dyDescent="0.25">
      <c r="A61" t="str">
        <f>IF('Equipment Information'!A61="","", 'Equipment Information'!A61)</f>
        <v>20260707</v>
      </c>
      <c r="B61" t="str">
        <f>IF('Equipment Information'!B61="","", 'Equipment Information'!B61)</f>
        <v>LP3 Sub-Panel</v>
      </c>
      <c r="C61" t="str">
        <f>IF('Equipment Information'!C61="","", 'Equipment Information'!C61)</f>
        <v>Packaging</v>
      </c>
      <c r="G61" t="s">
        <v>425</v>
      </c>
    </row>
    <row r="62" spans="1:7" x14ac:dyDescent="0.25">
      <c r="A62" t="str">
        <f>IF('Equipment Information'!A62="","", 'Equipment Information'!A62)</f>
        <v>20260708</v>
      </c>
      <c r="B62" t="str">
        <f>IF('Equipment Information'!B62="","", 'Equipment Information'!B62)</f>
        <v>LP3</v>
      </c>
      <c r="C62" t="str">
        <f>IF('Equipment Information'!C62="","", 'Equipment Information'!C62)</f>
        <v>Packaging</v>
      </c>
      <c r="G62" t="s">
        <v>425</v>
      </c>
    </row>
    <row r="63" spans="1:7" x14ac:dyDescent="0.25">
      <c r="A63" t="str">
        <f>IF('Equipment Information'!A63="","", 'Equipment Information'!A63)</f>
        <v>20260709</v>
      </c>
      <c r="B63" t="str">
        <f>IF('Equipment Information'!B63="","", 'Equipment Information'!B63)</f>
        <v>Color Sorter Supply</v>
      </c>
      <c r="C63" t="str">
        <f>IF('Equipment Information'!C63="","", 'Equipment Information'!C63)</f>
        <v>Packaging</v>
      </c>
      <c r="G63" t="s">
        <v>425</v>
      </c>
    </row>
    <row r="64" spans="1:7" x14ac:dyDescent="0.25">
      <c r="A64" t="str">
        <f>IF('Equipment Information'!A64="","", 'Equipment Information'!A64)</f>
        <v>20260710</v>
      </c>
      <c r="B64" t="str">
        <f>IF('Equipment Information'!B64="","", 'Equipment Information'!B64)</f>
        <v>HP3</v>
      </c>
      <c r="C64" t="str">
        <f>IF('Equipment Information'!C64="","", 'Equipment Information'!C64)</f>
        <v>Packaging</v>
      </c>
      <c r="G64" t="s">
        <v>425</v>
      </c>
    </row>
    <row r="65" spans="1:7" x14ac:dyDescent="0.25">
      <c r="A65" t="str">
        <f>IF('Equipment Information'!A65="","", 'Equipment Information'!A65)</f>
        <v>20260711</v>
      </c>
      <c r="B65" t="str">
        <f>IF('Equipment Information'!B65="","", 'Equipment Information'!B65)</f>
        <v>HP3-1</v>
      </c>
      <c r="C65" t="str">
        <f>IF('Equipment Information'!C65="","", 'Equipment Information'!C65)</f>
        <v>Packaging</v>
      </c>
      <c r="G65" t="s">
        <v>425</v>
      </c>
    </row>
    <row r="66" spans="1:7" x14ac:dyDescent="0.25">
      <c r="A66" t="str">
        <f>IF('Equipment Information'!A66="","", 'Equipment Information'!A66)</f>
        <v>20260712</v>
      </c>
      <c r="B66" t="str">
        <f>IF('Equipment Information'!B66="","", 'Equipment Information'!B66)</f>
        <v>SW 2</v>
      </c>
      <c r="C66" t="str">
        <f>IF('Equipment Information'!C66="","", 'Equipment Information'!C66)</f>
        <v>Packaging</v>
      </c>
      <c r="G66" t="s">
        <v>425</v>
      </c>
    </row>
    <row r="67" spans="1:7" x14ac:dyDescent="0.25">
      <c r="A67" t="str">
        <f>IF('Equipment Information'!A67="","", 'Equipment Information'!A67)</f>
        <v>20260713</v>
      </c>
      <c r="B67" t="str">
        <f>IF('Equipment Information'!B67="","", 'Equipment Information'!B67)</f>
        <v/>
      </c>
      <c r="C67" t="str">
        <f>IF('Equipment Information'!C67="","", 'Equipment Information'!C67)</f>
        <v>Packaging</v>
      </c>
      <c r="G67" t="s">
        <v>425</v>
      </c>
    </row>
    <row r="68" spans="1:7" x14ac:dyDescent="0.25">
      <c r="A68" t="str">
        <f>IF('Equipment Information'!A68="","", 'Equipment Information'!A68)</f>
        <v>20260714</v>
      </c>
      <c r="B68" t="str">
        <f>IF('Equipment Information'!B68="","", 'Equipment Information'!B68)</f>
        <v>LP-1</v>
      </c>
      <c r="C68" t="str">
        <f>IF('Equipment Information'!C68="","", 'Equipment Information'!C68)</f>
        <v>Receiving Station</v>
      </c>
      <c r="G68" t="s">
        <v>425</v>
      </c>
    </row>
    <row r="69" spans="1:7" x14ac:dyDescent="0.25">
      <c r="A69" t="str">
        <f>IF('Equipment Information'!A69="","", 'Equipment Information'!A69)</f>
        <v>20260715</v>
      </c>
      <c r="B69" t="str">
        <f>IF('Equipment Information'!B69="","", 'Equipment Information'!B69)</f>
        <v>Photo-Eye Ctl'd Contactor</v>
      </c>
      <c r="C69" t="str">
        <f>IF('Equipment Information'!C69="","", 'Equipment Information'!C69)</f>
        <v>Receiving Station</v>
      </c>
      <c r="G69" t="s">
        <v>425</v>
      </c>
    </row>
    <row r="70" spans="1:7" x14ac:dyDescent="0.25">
      <c r="A70" t="str">
        <f>IF('Equipment Information'!A70="","", 'Equipment Information'!A70)</f>
        <v>20260716</v>
      </c>
      <c r="B70" t="str">
        <f>IF('Equipment Information'!B70="","", 'Equipment Information'!B70)</f>
        <v>LP1A</v>
      </c>
      <c r="C70" t="str">
        <f>IF('Equipment Information'!C70="","", 'Equipment Information'!C70)</f>
        <v>Receiving Station</v>
      </c>
      <c r="G70" t="s">
        <v>425</v>
      </c>
    </row>
    <row r="71" spans="1:7" x14ac:dyDescent="0.25">
      <c r="A71" t="str">
        <f>IF('Equipment Information'!A71="","", 'Equipment Information'!A71)</f>
        <v>20260717</v>
      </c>
      <c r="B71" t="str">
        <f>IF('Equipment Information'!B71="","", 'Equipment Information'!B71)</f>
        <v>Pool Pump #1 Main Disconnect</v>
      </c>
      <c r="C71" t="str">
        <f>IF('Equipment Information'!C71="","", 'Equipment Information'!C71)</f>
        <v>Receiving Station</v>
      </c>
      <c r="G71" t="s">
        <v>425</v>
      </c>
    </row>
    <row r="72" spans="1:7" x14ac:dyDescent="0.25">
      <c r="A72" t="str">
        <f>IF('Equipment Information'!A72="","", 'Equipment Information'!A72)</f>
        <v>20260718</v>
      </c>
      <c r="B72" t="str">
        <f>IF('Equipment Information'!B72="","", 'Equipment Information'!B72)</f>
        <v>Pool Pump #2 Main Disconnect</v>
      </c>
      <c r="C72" t="str">
        <f>IF('Equipment Information'!C72="","", 'Equipment Information'!C72)</f>
        <v>Receiving Station</v>
      </c>
      <c r="G72" t="s">
        <v>425</v>
      </c>
    </row>
    <row r="73" spans="1:7" x14ac:dyDescent="0.25">
      <c r="A73" t="str">
        <f>IF('Equipment Information'!A73="","", 'Equipment Information'!A73)</f>
        <v>20260719</v>
      </c>
      <c r="B73" t="str">
        <f>IF('Equipment Information'!B73="","", 'Equipment Information'!B73)</f>
        <v>Pool Pump #1 VFD</v>
      </c>
      <c r="C73" t="str">
        <f>IF('Equipment Information'!C73="","", 'Equipment Information'!C73)</f>
        <v>Receiving Station</v>
      </c>
      <c r="G73" t="s">
        <v>425</v>
      </c>
    </row>
    <row r="74" spans="1:7" x14ac:dyDescent="0.25">
      <c r="A74" t="str">
        <f>IF('Equipment Information'!A74="","", 'Equipment Information'!A74)</f>
        <v>20260720</v>
      </c>
      <c r="B74" t="str">
        <f>IF('Equipment Information'!B74="","", 'Equipment Information'!B74)</f>
        <v>Pool Pump #2 VFD</v>
      </c>
      <c r="C74" t="str">
        <f>IF('Equipment Information'!C74="","", 'Equipment Information'!C74)</f>
        <v>Receiving Station</v>
      </c>
      <c r="G74" t="s">
        <v>425</v>
      </c>
    </row>
    <row r="75" spans="1:7" x14ac:dyDescent="0.25">
      <c r="A75" t="str">
        <f>IF('Equipment Information'!A75="","", 'Equipment Information'!A75)</f>
        <v>20260721</v>
      </c>
      <c r="B75" t="str">
        <f>IF('Equipment Information'!B75="","", 'Equipment Information'!B75)</f>
        <v>45 kVA Transformer</v>
      </c>
      <c r="C75" t="str">
        <f>IF('Equipment Information'!C75="","", 'Equipment Information'!C75)</f>
        <v>Receiving Station</v>
      </c>
      <c r="G75" t="s">
        <v>425</v>
      </c>
    </row>
    <row r="76" spans="1:7" x14ac:dyDescent="0.25">
      <c r="A76" t="str">
        <f>IF('Equipment Information'!A76="","", 'Equipment Information'!A76)</f>
        <v>20260722</v>
      </c>
      <c r="B76" t="str">
        <f>IF('Equipment Information'!B76="","", 'Equipment Information'!B76)</f>
        <v>45 kVA Transformer Disconnect</v>
      </c>
      <c r="C76" t="str">
        <f>IF('Equipment Information'!C76="","", 'Equipment Information'!C76)</f>
        <v>Receiving Station</v>
      </c>
      <c r="G76" t="s">
        <v>425</v>
      </c>
    </row>
    <row r="77" spans="1:7" x14ac:dyDescent="0.25">
      <c r="A77" t="str">
        <f>IF('Equipment Information'!A77="","", 'Equipment Information'!A77)</f>
        <v>20260723</v>
      </c>
      <c r="B77" t="str">
        <f>IF('Equipment Information'!B77="","", 'Equipment Information'!B77)</f>
        <v>Bay 25 480V Outlet Disconnect</v>
      </c>
      <c r="C77" t="str">
        <f>IF('Equipment Information'!C77="","", 'Equipment Information'!C77)</f>
        <v>Receiving Station</v>
      </c>
      <c r="G77" t="s">
        <v>425</v>
      </c>
    </row>
    <row r="78" spans="1:7" x14ac:dyDescent="0.25">
      <c r="A78" t="str">
        <f>IF('Equipment Information'!A78="","", 'Equipment Information'!A78)</f>
        <v>20260724</v>
      </c>
      <c r="B78" t="str">
        <f>IF('Equipment Information'!B78="","", 'Equipment Information'!B78)</f>
        <v>Compressor Disconnect</v>
      </c>
      <c r="C78" t="str">
        <f>IF('Equipment Information'!C78="","", 'Equipment Information'!C78)</f>
        <v>Receiving Station</v>
      </c>
      <c r="G78" t="s">
        <v>425</v>
      </c>
    </row>
    <row r="79" spans="1:7" x14ac:dyDescent="0.25">
      <c r="A79" t="str">
        <f>IF('Equipment Information'!A79="","", 'Equipment Information'!A79)</f>
        <v>20260725</v>
      </c>
      <c r="B79" t="str">
        <f>IF('Equipment Information'!B79="","", 'Equipment Information'!B79)</f>
        <v>PP1 Transformer Disconnect</v>
      </c>
      <c r="C79" t="str">
        <f>IF('Equipment Information'!C79="","", 'Equipment Information'!C79)</f>
        <v>Receiving Station</v>
      </c>
      <c r="G79" t="s">
        <v>425</v>
      </c>
    </row>
    <row r="80" spans="1:7" x14ac:dyDescent="0.25">
      <c r="A80" t="str">
        <f>IF('Equipment Information'!A80="","", 'Equipment Information'!A80)</f>
        <v>20260726</v>
      </c>
      <c r="B80" t="str">
        <f>IF('Equipment Information'!B80="","", 'Equipment Information'!B80)</f>
        <v>PP1 Welding Recept. Disconnect</v>
      </c>
      <c r="C80" t="str">
        <f>IF('Equipment Information'!C80="","", 'Equipment Information'!C80)</f>
        <v>Receiving Station</v>
      </c>
      <c r="G80" t="s">
        <v>425</v>
      </c>
    </row>
    <row r="81" spans="1:7" x14ac:dyDescent="0.25">
      <c r="A81" t="str">
        <f>IF('Equipment Information'!A81="","", 'Equipment Information'!A81)</f>
        <v>20260727</v>
      </c>
      <c r="B81" t="str">
        <f>IF('Equipment Information'!B81="","", 'Equipment Information'!B81)</f>
        <v>PP-1</v>
      </c>
      <c r="C81" t="str">
        <f>IF('Equipment Information'!C81="","", 'Equipment Information'!C81)</f>
        <v>Receiving Station</v>
      </c>
      <c r="G81" t="s">
        <v>425</v>
      </c>
    </row>
    <row r="82" spans="1:7" x14ac:dyDescent="0.25">
      <c r="A82" t="str">
        <f>IF('Equipment Information'!A82="","", 'Equipment Information'!A82)</f>
        <v>20260728</v>
      </c>
      <c r="B82" t="str">
        <f>IF('Equipment Information'!B82="","", 'Equipment Information'!B82)</f>
        <v>OH XFMR</v>
      </c>
      <c r="C82" t="str">
        <f>IF('Equipment Information'!C82="","", 'Equipment Information'!C82)</f>
        <v>Receiving Station</v>
      </c>
      <c r="G82" t="s">
        <v>425</v>
      </c>
    </row>
    <row r="83" spans="1:7" x14ac:dyDescent="0.25">
      <c r="A83" t="str">
        <f>IF('Equipment Information'!A83="","", 'Equipment Information'!A83)</f>
        <v>20260729</v>
      </c>
      <c r="B83" t="str">
        <f>IF('Equipment Information'!B83="","", 'Equipment Information'!B83)</f>
        <v>LP-2</v>
      </c>
      <c r="C83" t="str">
        <f>IF('Equipment Information'!C83="","", 'Equipment Information'!C83)</f>
        <v>Receiving Station</v>
      </c>
      <c r="G83" t="s">
        <v>425</v>
      </c>
    </row>
    <row r="84" spans="1:7" x14ac:dyDescent="0.25">
      <c r="A84" t="str">
        <f>IF('Equipment Information'!A84="","", 'Equipment Information'!A84)</f>
        <v>20260730</v>
      </c>
      <c r="B84" t="str">
        <f>IF('Equipment Information'!B84="","", 'Equipment Information'!B84)</f>
        <v>Weld Gutter Disconnect</v>
      </c>
      <c r="C84" t="str">
        <f>IF('Equipment Information'!C84="","", 'Equipment Information'!C84)</f>
        <v>Receiving Station</v>
      </c>
      <c r="G84" t="s">
        <v>425</v>
      </c>
    </row>
    <row r="85" spans="1:7" x14ac:dyDescent="0.25">
      <c r="A85" t="str">
        <f>IF('Equipment Information'!A85="","", 'Equipment Information'!A85)</f>
        <v>20260731</v>
      </c>
      <c r="B85" t="str">
        <f>IF('Equipment Information'!B85="","", 'Equipment Information'!B85)</f>
        <v>OH XFMR</v>
      </c>
      <c r="C85" t="str">
        <f>IF('Equipment Information'!C85="","", 'Equipment Information'!C85)</f>
        <v>Receiving Station</v>
      </c>
      <c r="G85" t="s">
        <v>425</v>
      </c>
    </row>
    <row r="86" spans="1:7" x14ac:dyDescent="0.25">
      <c r="A86" t="str">
        <f>IF('Equipment Information'!A86="","", 'Equipment Information'!A86)</f>
        <v>20260732</v>
      </c>
      <c r="B86" t="str">
        <f>IF('Equipment Information'!B86="","", 'Equipment Information'!B86)</f>
        <v>Lighting XFMR Disconnect</v>
      </c>
      <c r="C86" t="str">
        <f>IF('Equipment Information'!C86="","", 'Equipment Information'!C86)</f>
        <v>Receiving Station</v>
      </c>
      <c r="G86" t="s">
        <v>425</v>
      </c>
    </row>
    <row r="87" spans="1:7" x14ac:dyDescent="0.25">
      <c r="A87" t="str">
        <f>IF('Equipment Information'!A87="","", 'Equipment Information'!A87)</f>
        <v>20260733</v>
      </c>
      <c r="B87" t="str">
        <f>IF('Equipment Information'!B87="","", 'Equipment Information'!B87)</f>
        <v>Pool Pump #6/7 Disconnect</v>
      </c>
      <c r="C87" t="str">
        <f>IF('Equipment Information'!C87="","", 'Equipment Information'!C87)</f>
        <v>Receiving Station</v>
      </c>
      <c r="G87" t="s">
        <v>425</v>
      </c>
    </row>
    <row r="88" spans="1:7" x14ac:dyDescent="0.25">
      <c r="A88" t="str">
        <f>IF('Equipment Information'!A88="","", 'Equipment Information'!A88)</f>
        <v>20260734</v>
      </c>
      <c r="B88" t="str">
        <f>IF('Equipment Information'!B88="","", 'Equipment Information'!B88)</f>
        <v>Trash Conveyor Disconnect</v>
      </c>
      <c r="C88" t="str">
        <f>IF('Equipment Information'!C88="","", 'Equipment Information'!C88)</f>
        <v>Receiving Station</v>
      </c>
      <c r="G88" t="s">
        <v>425</v>
      </c>
    </row>
    <row r="89" spans="1:7" x14ac:dyDescent="0.25">
      <c r="A89" t="str">
        <f>IF('Equipment Information'!A89="","", 'Equipment Information'!A89)</f>
        <v>20260735</v>
      </c>
      <c r="B89" t="str">
        <f>IF('Equipment Information'!B89="","", 'Equipment Information'!B89)</f>
        <v>Dewatering Table Disconnect</v>
      </c>
      <c r="C89" t="str">
        <f>IF('Equipment Information'!C89="","", 'Equipment Information'!C89)</f>
        <v>Receiving Station</v>
      </c>
      <c r="G89" t="s">
        <v>425</v>
      </c>
    </row>
    <row r="90" spans="1:7" x14ac:dyDescent="0.25">
      <c r="A90" t="str">
        <f>IF('Equipment Information'!A90="","", 'Equipment Information'!A90)</f>
        <v>20260736</v>
      </c>
      <c r="B90" t="str">
        <f>IF('Equipment Information'!B90="","", 'Equipment Information'!B90)</f>
        <v>Recycling Pump Disconnect</v>
      </c>
      <c r="C90" t="str">
        <f>IF('Equipment Information'!C90="","", 'Equipment Information'!C90)</f>
        <v>Receiving Station</v>
      </c>
      <c r="G90" t="s">
        <v>425</v>
      </c>
    </row>
    <row r="91" spans="1:7" x14ac:dyDescent="0.25">
      <c r="A91" t="str">
        <f>IF('Equipment Information'!A91="","", 'Equipment Information'!A91)</f>
        <v>20260737</v>
      </c>
      <c r="B91" t="str">
        <f>IF('Equipment Information'!B91="","", 'Equipment Information'!B91)</f>
        <v>Trash Conveyor Starter</v>
      </c>
      <c r="C91" t="str">
        <f>IF('Equipment Information'!C91="","", 'Equipment Information'!C91)</f>
        <v>Receiving Station</v>
      </c>
      <c r="G91" t="s">
        <v>425</v>
      </c>
    </row>
    <row r="92" spans="1:7" x14ac:dyDescent="0.25">
      <c r="A92" t="str">
        <f>IF('Equipment Information'!A92="","", 'Equipment Information'!A92)</f>
        <v>20260738</v>
      </c>
      <c r="B92" t="str">
        <f>IF('Equipment Information'!B92="","", 'Equipment Information'!B92)</f>
        <v>Dewatering Table Starter</v>
      </c>
      <c r="C92" t="str">
        <f>IF('Equipment Information'!C92="","", 'Equipment Information'!C92)</f>
        <v>Receiving Station</v>
      </c>
      <c r="G92" t="s">
        <v>425</v>
      </c>
    </row>
    <row r="93" spans="1:7" x14ac:dyDescent="0.25">
      <c r="A93" t="str">
        <f>IF('Equipment Information'!A93="","", 'Equipment Information'!A93)</f>
        <v>20260739</v>
      </c>
      <c r="B93" t="str">
        <f>IF('Equipment Information'!B93="","", 'Equipment Information'!B93)</f>
        <v>CIP System #2</v>
      </c>
      <c r="C93" t="str">
        <f>IF('Equipment Information'!C93="","", 'Equipment Information'!C93)</f>
        <v>Production Area</v>
      </c>
      <c r="G93" t="s">
        <v>425</v>
      </c>
    </row>
    <row r="94" spans="1:7" x14ac:dyDescent="0.25">
      <c r="A94" t="str">
        <f>IF('Equipment Information'!A94="","", 'Equipment Information'!A94)</f>
        <v>20260740</v>
      </c>
      <c r="B94" t="str">
        <f>IF('Equipment Information'!B94="","", 'Equipment Information'!B94)</f>
        <v>BD1</v>
      </c>
      <c r="C94" t="str">
        <f>IF('Equipment Information'!C94="","", 'Equipment Information'!C94)</f>
        <v>Production Area</v>
      </c>
      <c r="G94" t="s">
        <v>425</v>
      </c>
    </row>
    <row r="95" spans="1:7" x14ac:dyDescent="0.25">
      <c r="A95" t="str">
        <f>IF('Equipment Information'!A95="","", 'Equipment Information'!A95)</f>
        <v>20260741</v>
      </c>
      <c r="B95" t="str">
        <f>IF('Equipment Information'!B95="","", 'Equipment Information'!B95)</f>
        <v>SLS-19</v>
      </c>
      <c r="C95" t="str">
        <f>IF('Equipment Information'!C95="","", 'Equipment Information'!C95)</f>
        <v>Production Area</v>
      </c>
      <c r="G95" t="s">
        <v>425</v>
      </c>
    </row>
    <row r="96" spans="1:7" x14ac:dyDescent="0.25">
      <c r="A96" t="str">
        <f>IF('Equipment Information'!A96="","", 'Equipment Information'!A96)</f>
        <v>20260742</v>
      </c>
      <c r="B96" t="str">
        <f>IF('Equipment Information'!B96="","", 'Equipment Information'!B96)</f>
        <v>SPX</v>
      </c>
      <c r="C96" t="str">
        <f>IF('Equipment Information'!C96="","", 'Equipment Information'!C96)</f>
        <v>Production Area</v>
      </c>
      <c r="G96" t="s">
        <v>425</v>
      </c>
    </row>
    <row r="97" spans="1:7" x14ac:dyDescent="0.25">
      <c r="A97" t="str">
        <f>IF('Equipment Information'!A97="","", 'Equipment Information'!A97)</f>
        <v>20260743</v>
      </c>
      <c r="B97" t="str">
        <f>IF('Equipment Information'!B97="","", 'Equipment Information'!B97)</f>
        <v>MCC #4 [Sec.1]</v>
      </c>
      <c r="C97" t="str">
        <f>IF('Equipment Information'!C97="","", 'Equipment Information'!C97)</f>
        <v>Production Area</v>
      </c>
      <c r="G97" t="s">
        <v>425</v>
      </c>
    </row>
    <row r="98" spans="1:7" x14ac:dyDescent="0.25">
      <c r="A98" t="str">
        <f>IF('Equipment Information'!A98="","", 'Equipment Information'!A98)</f>
        <v>20260744</v>
      </c>
      <c r="B98" t="str">
        <f>IF('Equipment Information'!B98="","", 'Equipment Information'!B98)</f>
        <v>MCC #4 [Sec.2]</v>
      </c>
      <c r="C98" t="str">
        <f>IF('Equipment Information'!C98="","", 'Equipment Information'!C98)</f>
        <v>Production Area</v>
      </c>
      <c r="G98" t="s">
        <v>425</v>
      </c>
    </row>
    <row r="99" spans="1:7" x14ac:dyDescent="0.25">
      <c r="A99" t="str">
        <f>IF('Equipment Information'!A99="","", 'Equipment Information'!A99)</f>
        <v>20260745</v>
      </c>
      <c r="B99" t="str">
        <f>IF('Equipment Information'!B99="","", 'Equipment Information'!B99)</f>
        <v>MCC #4 [Sec.3]</v>
      </c>
      <c r="C99" t="str">
        <f>IF('Equipment Information'!C99="","", 'Equipment Information'!C99)</f>
        <v>Production Area</v>
      </c>
      <c r="G99" t="s">
        <v>425</v>
      </c>
    </row>
    <row r="100" spans="1:7" x14ac:dyDescent="0.25">
      <c r="A100" t="str">
        <f>IF('Equipment Information'!A100="","", 'Equipment Information'!A100)</f>
        <v>20260746</v>
      </c>
      <c r="B100" t="str">
        <f>IF('Equipment Information'!B100="","", 'Equipment Information'!B100)</f>
        <v>CP-Evap. #1 Disconnect</v>
      </c>
      <c r="C100" t="str">
        <f>IF('Equipment Information'!C100="","", 'Equipment Information'!C100)</f>
        <v>Production Area</v>
      </c>
      <c r="G100" t="s">
        <v>425</v>
      </c>
    </row>
    <row r="101" spans="1:7" x14ac:dyDescent="0.25">
      <c r="A101" t="str">
        <f>IF('Equipment Information'!A101="","", 'Equipment Information'!A101)</f>
        <v>20260747</v>
      </c>
      <c r="B101" t="str">
        <f>IF('Equipment Information'!B101="","", 'Equipment Information'!B101)</f>
        <v>Evaporator #1 [Sec. 1]</v>
      </c>
      <c r="C101" t="str">
        <f>IF('Equipment Information'!C101="","", 'Equipment Information'!C101)</f>
        <v>Production Area</v>
      </c>
      <c r="G101" t="s">
        <v>425</v>
      </c>
    </row>
    <row r="102" spans="1:7" x14ac:dyDescent="0.25">
      <c r="A102" t="str">
        <f>IF('Equipment Information'!A102="","", 'Equipment Information'!A102)</f>
        <v>20260748</v>
      </c>
      <c r="B102" t="str">
        <f>IF('Equipment Information'!B102="","", 'Equipment Information'!B102)</f>
        <v>Evaporator #1 [Sec. 2]</v>
      </c>
      <c r="C102" t="str">
        <f>IF('Equipment Information'!C102="","", 'Equipment Information'!C102)</f>
        <v>Production Area</v>
      </c>
      <c r="G102" t="s">
        <v>425</v>
      </c>
    </row>
    <row r="103" spans="1:7" x14ac:dyDescent="0.25">
      <c r="A103" t="str">
        <f>IF('Equipment Information'!A103="","", 'Equipment Information'!A103)</f>
        <v>20260749</v>
      </c>
      <c r="B103" t="str">
        <f>IF('Equipment Information'!B103="","", 'Equipment Information'!B103)</f>
        <v xml:space="preserve">Pig Systems </v>
      </c>
      <c r="C103" t="str">
        <f>IF('Equipment Information'!C103="","", 'Equipment Information'!C103)</f>
        <v>Production Area</v>
      </c>
      <c r="G103" t="s">
        <v>425</v>
      </c>
    </row>
    <row r="104" spans="1:7" x14ac:dyDescent="0.25">
      <c r="A104" t="str">
        <f>IF('Equipment Information'!A104="","", 'Equipment Information'!A104)</f>
        <v>20260750</v>
      </c>
      <c r="B104" t="str">
        <f>IF('Equipment Information'!B104="","", 'Equipment Information'!B104)</f>
        <v>CP-Silo Alley</v>
      </c>
      <c r="C104" t="str">
        <f>IF('Equipment Information'!C104="","", 'Equipment Information'!C104)</f>
        <v>Production Area</v>
      </c>
      <c r="G104" t="s">
        <v>425</v>
      </c>
    </row>
    <row r="105" spans="1:7" x14ac:dyDescent="0.25">
      <c r="A105" t="str">
        <f>IF('Equipment Information'!A105="","", 'Equipment Information'!A105)</f>
        <v>20260751</v>
      </c>
      <c r="B105" t="str">
        <f>IF('Equipment Information'!B105="","", 'Equipment Information'!B105)</f>
        <v>RO-1</v>
      </c>
      <c r="C105" t="str">
        <f>IF('Equipment Information'!C105="","", 'Equipment Information'!C105)</f>
        <v>Production Area</v>
      </c>
      <c r="G105" t="s">
        <v>425</v>
      </c>
    </row>
    <row r="106" spans="1:7" x14ac:dyDescent="0.25">
      <c r="A106" t="str">
        <f>IF('Equipment Information'!A106="","", 'Equipment Information'!A106)</f>
        <v>20260752</v>
      </c>
      <c r="B106" t="str">
        <f>IF('Equipment Information'!B106="","", 'Equipment Information'!B106)</f>
        <v>KOCH Sytems Controller</v>
      </c>
      <c r="C106" t="str">
        <f>IF('Equipment Information'!C106="","", 'Equipment Information'!C106)</f>
        <v>Production Area</v>
      </c>
      <c r="G106" t="s">
        <v>425</v>
      </c>
    </row>
    <row r="107" spans="1:7" x14ac:dyDescent="0.25">
      <c r="A107" t="str">
        <f>IF('Equipment Information'!A107="","", 'Equipment Information'!A107)</f>
        <v>20260753</v>
      </c>
      <c r="B107" t="str">
        <f>IF('Equipment Information'!B107="","", 'Equipment Information'!B107)</f>
        <v>KOCH Sytems Controls</v>
      </c>
      <c r="C107" t="str">
        <f>IF('Equipment Information'!C107="","", 'Equipment Information'!C107)</f>
        <v>Production Area</v>
      </c>
      <c r="G107" t="s">
        <v>425</v>
      </c>
    </row>
    <row r="108" spans="1:7" x14ac:dyDescent="0.25">
      <c r="A108" t="str">
        <f>IF('Equipment Information'!A108="","", 'Equipment Information'!A108)</f>
        <v>20260754</v>
      </c>
      <c r="B108" t="str">
        <f>IF('Equipment Information'!B108="","", 'Equipment Information'!B108)</f>
        <v>Evaporator #3</v>
      </c>
      <c r="C108" t="str">
        <f>IF('Equipment Information'!C108="","", 'Equipment Information'!C108)</f>
        <v>Production Area</v>
      </c>
      <c r="G108" t="s">
        <v>425</v>
      </c>
    </row>
    <row r="109" spans="1:7" x14ac:dyDescent="0.25">
      <c r="A109" t="str">
        <f>IF('Equipment Information'!A109="","", 'Equipment Information'!A109)</f>
        <v>20260755</v>
      </c>
      <c r="B109" t="str">
        <f>IF('Equipment Information'!B109="","", 'Equipment Information'!B109)</f>
        <v>CP-Evap. #3 Disconnect</v>
      </c>
      <c r="C109" t="str">
        <f>IF('Equipment Information'!C109="","", 'Equipment Information'!C109)</f>
        <v>Production Area</v>
      </c>
      <c r="G109" t="s">
        <v>425</v>
      </c>
    </row>
    <row r="110" spans="1:7" x14ac:dyDescent="0.25">
      <c r="A110" t="str">
        <f>IF('Equipment Information'!A110="","", 'Equipment Information'!A110)</f>
        <v>20260756</v>
      </c>
      <c r="B110" t="str">
        <f>IF('Equipment Information'!B110="","", 'Equipment Information'!B110)</f>
        <v>CP-DTS Sub Line #1 [Sec. 1]</v>
      </c>
      <c r="C110" t="str">
        <f>IF('Equipment Information'!C110="","", 'Equipment Information'!C110)</f>
        <v>Production Area</v>
      </c>
      <c r="G110" t="s">
        <v>425</v>
      </c>
    </row>
    <row r="111" spans="1:7" x14ac:dyDescent="0.25">
      <c r="A111" t="str">
        <f>IF('Equipment Information'!A111="","", 'Equipment Information'!A111)</f>
        <v>20260757</v>
      </c>
      <c r="B111" t="str">
        <f>IF('Equipment Information'!B111="","", 'Equipment Information'!B111)</f>
        <v>CP-DTS Sub Line #1 [Sec. 2]</v>
      </c>
      <c r="C111" t="str">
        <f>IF('Equipment Information'!C111="","", 'Equipment Information'!C111)</f>
        <v>Production Area</v>
      </c>
      <c r="G111" t="s">
        <v>425</v>
      </c>
    </row>
    <row r="112" spans="1:7" x14ac:dyDescent="0.25">
      <c r="A112" t="str">
        <f>IF('Equipment Information'!A112="","", 'Equipment Information'!A112)</f>
        <v>20260758</v>
      </c>
      <c r="B112" t="str">
        <f>IF('Equipment Information'!B112="","", 'Equipment Information'!B112)</f>
        <v>CP-DTS Sub Line #1 [Sec. 3]</v>
      </c>
      <c r="C112" t="str">
        <f>IF('Equipment Information'!C112="","", 'Equipment Information'!C112)</f>
        <v>Production Area</v>
      </c>
      <c r="G112" t="s">
        <v>425</v>
      </c>
    </row>
    <row r="113" spans="1:7" x14ac:dyDescent="0.25">
      <c r="A113" t="str">
        <f>IF('Equipment Information'!A113="","", 'Equipment Information'!A113)</f>
        <v>20260759</v>
      </c>
      <c r="B113" t="str">
        <f>IF('Equipment Information'!B113="","", 'Equipment Information'!B113)</f>
        <v>DP-1</v>
      </c>
      <c r="C113" t="str">
        <f>IF('Equipment Information'!C113="","", 'Equipment Information'!C113)</f>
        <v>Production Area</v>
      </c>
      <c r="G113" t="s">
        <v>425</v>
      </c>
    </row>
    <row r="114" spans="1:7" x14ac:dyDescent="0.25">
      <c r="A114" t="str">
        <f>IF('Equipment Information'!A114="","", 'Equipment Information'!A114)</f>
        <v>20260760</v>
      </c>
      <c r="B114" t="str">
        <f>IF('Equipment Information'!B114="","", 'Equipment Information'!B114)</f>
        <v>P-1</v>
      </c>
      <c r="C114" t="str">
        <f>IF('Equipment Information'!C114="","", 'Equipment Information'!C114)</f>
        <v>Production Area</v>
      </c>
      <c r="G114" t="s">
        <v>425</v>
      </c>
    </row>
    <row r="115" spans="1:7" x14ac:dyDescent="0.25">
      <c r="A115" t="str">
        <f>IF('Equipment Information'!A115="","", 'Equipment Information'!A115)</f>
        <v>20260761</v>
      </c>
      <c r="B115" t="str">
        <f>IF('Equipment Information'!B115="","", 'Equipment Information'!B115)</f>
        <v>FS-Slice Line</v>
      </c>
      <c r="C115" t="str">
        <f>IF('Equipment Information'!C115="","", 'Equipment Information'!C115)</f>
        <v>Production Area</v>
      </c>
      <c r="G115" t="s">
        <v>425</v>
      </c>
    </row>
    <row r="116" spans="1:7" x14ac:dyDescent="0.25">
      <c r="A116" t="str">
        <f>IF('Equipment Information'!A116="","", 'Equipment Information'!A116)</f>
        <v>20260762</v>
      </c>
      <c r="B116" t="str">
        <f>IF('Equipment Information'!B116="","", 'Equipment Information'!B116)</f>
        <v>OH XFMR</v>
      </c>
      <c r="C116" t="str">
        <f>IF('Equipment Information'!C116="","", 'Equipment Information'!C116)</f>
        <v>Production Area</v>
      </c>
      <c r="G116" t="s">
        <v>425</v>
      </c>
    </row>
    <row r="117" spans="1:7" x14ac:dyDescent="0.25">
      <c r="A117" t="str">
        <f>IF('Equipment Information'!A117="","", 'Equipment Information'!A117)</f>
        <v>20260763</v>
      </c>
      <c r="B117" t="str">
        <f>IF('Equipment Information'!B117="","", 'Equipment Information'!B117)</f>
        <v>CP-1 [Sec. 1]</v>
      </c>
      <c r="C117" t="str">
        <f>IF('Equipment Information'!C117="","", 'Equipment Information'!C117)</f>
        <v>Production Area</v>
      </c>
      <c r="G117" t="s">
        <v>425</v>
      </c>
    </row>
    <row r="118" spans="1:7" x14ac:dyDescent="0.25">
      <c r="A118" t="str">
        <f>IF('Equipment Information'!A118="","", 'Equipment Information'!A118)</f>
        <v>20260764</v>
      </c>
      <c r="B118" t="str">
        <f>IF('Equipment Information'!B118="","", 'Equipment Information'!B118)</f>
        <v>CP-1 [Sec. 2]</v>
      </c>
      <c r="C118" t="str">
        <f>IF('Equipment Information'!C118="","", 'Equipment Information'!C118)</f>
        <v>Production Area</v>
      </c>
      <c r="G118" t="s">
        <v>425</v>
      </c>
    </row>
    <row r="119" spans="1:7" x14ac:dyDescent="0.25">
      <c r="A119" t="str">
        <f>IF('Equipment Information'!A119="","", 'Equipment Information'!A119)</f>
        <v>20260765</v>
      </c>
      <c r="B119" t="str">
        <f>IF('Equipment Information'!B119="","", 'Equipment Information'!B119)</f>
        <v>CP-1 [Sec. 3]</v>
      </c>
      <c r="C119" t="str">
        <f>IF('Equipment Information'!C119="","", 'Equipment Information'!C119)</f>
        <v>Production Area</v>
      </c>
      <c r="G119" t="s">
        <v>425</v>
      </c>
    </row>
    <row r="120" spans="1:7" x14ac:dyDescent="0.25">
      <c r="A120" t="str">
        <f>IF('Equipment Information'!A120="","", 'Equipment Information'!A120)</f>
        <v>20260766</v>
      </c>
      <c r="B120" t="str">
        <f>IF('Equipment Information'!B120="","", 'Equipment Information'!B120)</f>
        <v>CP-DTS Sub Line #2 [Sec. 1]</v>
      </c>
      <c r="C120" t="str">
        <f>IF('Equipment Information'!C120="","", 'Equipment Information'!C120)</f>
        <v>Production Area</v>
      </c>
      <c r="G120" t="s">
        <v>425</v>
      </c>
    </row>
    <row r="121" spans="1:7" x14ac:dyDescent="0.25">
      <c r="A121" t="str">
        <f>IF('Equipment Information'!A121="","", 'Equipment Information'!A121)</f>
        <v>20260767</v>
      </c>
      <c r="B121" t="str">
        <f>IF('Equipment Information'!B121="","", 'Equipment Information'!B121)</f>
        <v>CP-DTS Sub Line #2 [Sec. 2]</v>
      </c>
      <c r="C121" t="str">
        <f>IF('Equipment Information'!C121="","", 'Equipment Information'!C121)</f>
        <v>Production Area</v>
      </c>
      <c r="G121" t="s">
        <v>425</v>
      </c>
    </row>
    <row r="122" spans="1:7" x14ac:dyDescent="0.25">
      <c r="A122" t="str">
        <f>IF('Equipment Information'!A122="","", 'Equipment Information'!A122)</f>
        <v>20260768</v>
      </c>
      <c r="B122" t="str">
        <f>IF('Equipment Information'!B122="","", 'Equipment Information'!B122)</f>
        <v>CP-DTS Sub Line #2 [Sec.3]</v>
      </c>
      <c r="C122" t="str">
        <f>IF('Equipment Information'!C122="","", 'Equipment Information'!C122)</f>
        <v>Production Area</v>
      </c>
      <c r="G122" t="s">
        <v>425</v>
      </c>
    </row>
    <row r="123" spans="1:7" x14ac:dyDescent="0.25">
      <c r="A123" t="str">
        <f>IF('Equipment Information'!A123="","", 'Equipment Information'!A123)</f>
        <v>20260769</v>
      </c>
      <c r="B123" t="str">
        <f>IF('Equipment Information'!B123="","", 'Equipment Information'!B123)</f>
        <v>DP-2</v>
      </c>
      <c r="C123" t="str">
        <f>IF('Equipment Information'!C123="","", 'Equipment Information'!C123)</f>
        <v>Production Area</v>
      </c>
      <c r="G123" t="s">
        <v>425</v>
      </c>
    </row>
    <row r="124" spans="1:7" x14ac:dyDescent="0.25">
      <c r="A124" t="str">
        <f>IF('Equipment Information'!A124="","", 'Equipment Information'!A124)</f>
        <v>20260770</v>
      </c>
      <c r="B124" t="str">
        <f>IF('Equipment Information'!B124="","", 'Equipment Information'!B124)</f>
        <v>Exhasut Fan Cabinet</v>
      </c>
      <c r="C124" t="str">
        <f>IF('Equipment Information'!C124="","", 'Equipment Information'!C124)</f>
        <v>Production Area</v>
      </c>
      <c r="G124" t="s">
        <v>425</v>
      </c>
    </row>
    <row r="125" spans="1:7" x14ac:dyDescent="0.25">
      <c r="A125" t="str">
        <f>IF('Equipment Information'!A125="","", 'Equipment Information'!A125)</f>
        <v>20260771</v>
      </c>
      <c r="B125" t="str">
        <f>IF('Equipment Information'!B125="","", 'Equipment Information'!B125)</f>
        <v>Processing Controls</v>
      </c>
      <c r="C125" t="str">
        <f>IF('Equipment Information'!C125="","", 'Equipment Information'!C125)</f>
        <v>Production Area</v>
      </c>
      <c r="G125" t="s">
        <v>425</v>
      </c>
    </row>
    <row r="126" spans="1:7" x14ac:dyDescent="0.25">
      <c r="A126" t="str">
        <f>IF('Equipment Information'!A126="","", 'Equipment Information'!A126)</f>
        <v>20260772</v>
      </c>
      <c r="B126" t="str">
        <f>IF('Equipment Information'!B126="","", 'Equipment Information'!B126)</f>
        <v>Welding Receptacle</v>
      </c>
      <c r="C126" t="str">
        <f>IF('Equipment Information'!C126="","", 'Equipment Information'!C126)</f>
        <v>Production Area</v>
      </c>
      <c r="G126" t="s">
        <v>425</v>
      </c>
    </row>
    <row r="127" spans="1:7" x14ac:dyDescent="0.25">
      <c r="A127" t="str">
        <f>IF('Equipment Information'!A127="","", 'Equipment Information'!A127)</f>
        <v>20260773</v>
      </c>
      <c r="B127" t="str">
        <f>IF('Equipment Information'!B127="","", 'Equipment Information'!B127)</f>
        <v>Drum Oiler #2</v>
      </c>
      <c r="C127" t="str">
        <f>IF('Equipment Information'!C127="","", 'Equipment Information'!C127)</f>
        <v>Production Area</v>
      </c>
      <c r="G127" t="s">
        <v>425</v>
      </c>
    </row>
    <row r="128" spans="1:7" x14ac:dyDescent="0.25">
      <c r="A128" t="str">
        <f>IF('Equipment Information'!A128="","", 'Equipment Information'!A128)</f>
        <v>20260774</v>
      </c>
      <c r="B128" t="str">
        <f>IF('Equipment Information'!B128="","", 'Equipment Information'!B128)</f>
        <v>Zone A/B/C Controls</v>
      </c>
      <c r="C128" t="str">
        <f>IF('Equipment Information'!C128="","", 'Equipment Information'!C128)</f>
        <v>Processing Area</v>
      </c>
      <c r="G128" t="s">
        <v>425</v>
      </c>
    </row>
    <row r="129" spans="1:7" x14ac:dyDescent="0.25">
      <c r="A129" t="str">
        <f>IF('Equipment Information'!A129="","", 'Equipment Information'!A129)</f>
        <v>20260775</v>
      </c>
      <c r="B129" t="str">
        <f>IF('Equipment Information'!B129="","", 'Equipment Information'!B129)</f>
        <v>Baler Disconnect</v>
      </c>
      <c r="C129" t="str">
        <f>IF('Equipment Information'!C129="","", 'Equipment Information'!C129)</f>
        <v>Packaging</v>
      </c>
      <c r="G129" t="s">
        <v>425</v>
      </c>
    </row>
    <row r="130" spans="1:7" x14ac:dyDescent="0.25">
      <c r="A130" t="str">
        <f>IF('Equipment Information'!A130="","", 'Equipment Information'!A130)</f>
        <v>20260776</v>
      </c>
      <c r="B130" t="str">
        <f>IF('Equipment Information'!B130="","", 'Equipment Information'!B130)</f>
        <v>Baler Controller</v>
      </c>
      <c r="C130" t="str">
        <f>IF('Equipment Information'!C130="","", 'Equipment Information'!C130)</f>
        <v>Packaging</v>
      </c>
      <c r="G130" t="s">
        <v>425</v>
      </c>
    </row>
    <row r="131" spans="1:7" x14ac:dyDescent="0.25">
      <c r="A131" t="str">
        <f>IF('Equipment Information'!A131="","", 'Equipment Information'!A131)</f>
        <v>20260777</v>
      </c>
      <c r="B131" t="str">
        <f>IF('Equipment Information'!B131="","", 'Equipment Information'!B131)</f>
        <v>Three-Phase Outlet Disconnect</v>
      </c>
      <c r="C131" t="str">
        <f>IF('Equipment Information'!C131="","", 'Equipment Information'!C131)</f>
        <v>Warehouse</v>
      </c>
      <c r="G131" t="s">
        <v>425</v>
      </c>
    </row>
    <row r="132" spans="1:7" x14ac:dyDescent="0.25">
      <c r="A132" t="str">
        <f>IF('Equipment Information'!A132="","", 'Equipment Information'!A132)</f>
        <v>20260778</v>
      </c>
      <c r="B132" t="str">
        <f>IF('Equipment Information'!B132="","", 'Equipment Information'!B132)</f>
        <v>New Addition Panel</v>
      </c>
      <c r="C132" t="str">
        <f>IF('Equipment Information'!C132="","", 'Equipment Information'!C132)</f>
        <v>Warehouse</v>
      </c>
      <c r="G132" t="s">
        <v>425</v>
      </c>
    </row>
    <row r="133" spans="1:7" x14ac:dyDescent="0.25">
      <c r="A133" t="str">
        <f>IF('Equipment Information'!A133="","", 'Equipment Information'!A133)</f>
        <v>20260779</v>
      </c>
      <c r="B133" t="str">
        <f>IF('Equipment Information'!B133="","", 'Equipment Information'!B133)</f>
        <v>AGT - R&amp;D</v>
      </c>
      <c r="C133" t="str">
        <f>IF('Equipment Information'!C133="","", 'Equipment Information'!C133)</f>
        <v>Boiler Room</v>
      </c>
      <c r="G133" t="s">
        <v>425</v>
      </c>
    </row>
    <row r="134" spans="1:7" x14ac:dyDescent="0.25">
      <c r="A134" t="str">
        <f>IF('Equipment Information'!A134="","", 'Equipment Information'!A134)</f>
        <v>20260780</v>
      </c>
      <c r="B134" t="str">
        <f>IF('Equipment Information'!B134="","", 'Equipment Information'!B134)</f>
        <v>VS - R&amp;D</v>
      </c>
      <c r="C134" t="str">
        <f>IF('Equipment Information'!C134="","", 'Equipment Information'!C134)</f>
        <v>Boiler Room</v>
      </c>
      <c r="G134" t="s">
        <v>425</v>
      </c>
    </row>
    <row r="135" spans="1:7" x14ac:dyDescent="0.25">
      <c r="A135" t="str">
        <f>IF('Equipment Information'!A135="","", 'Equipment Information'!A135)</f>
        <v>20260781</v>
      </c>
      <c r="B135" t="str">
        <f>IF('Equipment Information'!B135="","", 'Equipment Information'!B135)</f>
        <v>RED PP-1</v>
      </c>
      <c r="C135" t="str">
        <f>IF('Equipment Information'!C135="","", 'Equipment Information'!C135)</f>
        <v>Boiler Room</v>
      </c>
      <c r="G135" t="s">
        <v>425</v>
      </c>
    </row>
    <row r="136" spans="1:7" x14ac:dyDescent="0.25">
      <c r="A136" t="str">
        <f>IF('Equipment Information'!A136="","", 'Equipment Information'!A136)</f>
        <v>20260782</v>
      </c>
      <c r="B136" t="str">
        <f>IF('Equipment Information'!B136="","", 'Equipment Information'!B136)</f>
        <v>RED PP-2</v>
      </c>
      <c r="C136" t="str">
        <f>IF('Equipment Information'!C136="","", 'Equipment Information'!C136)</f>
        <v>Boiler Room</v>
      </c>
      <c r="G136" t="s">
        <v>425</v>
      </c>
    </row>
    <row r="137" spans="1:7" x14ac:dyDescent="0.25">
      <c r="A137" t="str">
        <f>IF('Equipment Information'!A137="","", 'Equipment Information'!A137)</f>
        <v>20260783</v>
      </c>
      <c r="B137" t="str">
        <f>IF('Equipment Information'!B137="","", 'Equipment Information'!B137)</f>
        <v>CP-Boiler #1 Disconnect</v>
      </c>
      <c r="C137" t="str">
        <f>IF('Equipment Information'!C137="","", 'Equipment Information'!C137)</f>
        <v>Boiler Room</v>
      </c>
      <c r="G137" t="s">
        <v>425</v>
      </c>
    </row>
    <row r="138" spans="1:7" x14ac:dyDescent="0.25">
      <c r="A138" t="str">
        <f>IF('Equipment Information'!A138="","", 'Equipment Information'!A138)</f>
        <v>20260784</v>
      </c>
      <c r="B138" t="str">
        <f>IF('Equipment Information'!B138="","", 'Equipment Information'!B138)</f>
        <v>CP-Boiler #1</v>
      </c>
      <c r="C138" t="str">
        <f>IF('Equipment Information'!C138="","", 'Equipment Information'!C138)</f>
        <v>Boiler Room</v>
      </c>
      <c r="G138" t="s">
        <v>425</v>
      </c>
    </row>
    <row r="139" spans="1:7" x14ac:dyDescent="0.25">
      <c r="A139" t="str">
        <f>IF('Equipment Information'!A139="","", 'Equipment Information'!A139)</f>
        <v>20260785</v>
      </c>
      <c r="B139" t="str">
        <f>IF('Equipment Information'!B139="","", 'Equipment Information'!B139)</f>
        <v>-</v>
      </c>
      <c r="C139" t="str">
        <f>IF('Equipment Information'!C139="","", 'Equipment Information'!C139)</f>
        <v>Boiler Room</v>
      </c>
      <c r="G139" t="s">
        <v>425</v>
      </c>
    </row>
    <row r="140" spans="1:7" x14ac:dyDescent="0.25">
      <c r="A140" t="str">
        <f>IF('Equipment Information'!A140="","", 'Equipment Information'!A140)</f>
        <v>20260786</v>
      </c>
      <c r="B140" t="str">
        <f>IF('Equipment Information'!B140="","", 'Equipment Information'!B140)</f>
        <v>-</v>
      </c>
      <c r="C140" t="str">
        <f>IF('Equipment Information'!C140="","", 'Equipment Information'!C140)</f>
        <v>Boiler Room</v>
      </c>
      <c r="G140" t="s">
        <v>425</v>
      </c>
    </row>
    <row r="141" spans="1:7" x14ac:dyDescent="0.25">
      <c r="A141" t="str">
        <f>IF('Equipment Information'!A141="","", 'Equipment Information'!A141)</f>
        <v>20260787</v>
      </c>
      <c r="B141" t="str">
        <f>IF('Equipment Information'!B141="","", 'Equipment Information'!B141)</f>
        <v>-</v>
      </c>
      <c r="C141" t="str">
        <f>IF('Equipment Information'!C141="","", 'Equipment Information'!C141)</f>
        <v>Boiler Mechanical Room</v>
      </c>
      <c r="G141" t="s">
        <v>425</v>
      </c>
    </row>
    <row r="142" spans="1:7" x14ac:dyDescent="0.25">
      <c r="A142" t="str">
        <f>IF('Equipment Information'!A142="","", 'Equipment Information'!A142)</f>
        <v>20260788</v>
      </c>
      <c r="B142" t="str">
        <f>IF('Equipment Information'!B142="","", 'Equipment Information'!B142)</f>
        <v>-</v>
      </c>
      <c r="C142" t="str">
        <f>IF('Equipment Information'!C142="","", 'Equipment Information'!C142)</f>
        <v>Boiler Mechanical Room</v>
      </c>
      <c r="G142" t="s">
        <v>425</v>
      </c>
    </row>
    <row r="143" spans="1:7" x14ac:dyDescent="0.25">
      <c r="A143" t="str">
        <f>IF('Equipment Information'!A143="","", 'Equipment Information'!A143)</f>
        <v>20260789</v>
      </c>
      <c r="B143" t="str">
        <f>IF('Equipment Information'!B143="","", 'Equipment Information'!B143)</f>
        <v/>
      </c>
      <c r="C143" t="str">
        <f>IF('Equipment Information'!C143="","", 'Equipment Information'!C143)</f>
        <v>Boiler Mechanical Room</v>
      </c>
      <c r="G143" t="s">
        <v>425</v>
      </c>
    </row>
    <row r="144" spans="1:7" x14ac:dyDescent="0.25">
      <c r="A144" t="str">
        <f>IF('Equipment Information'!A144="","", 'Equipment Information'!A144)</f>
        <v>20260790</v>
      </c>
      <c r="B144" t="str">
        <f>IF('Equipment Information'!B144="","", 'Equipment Information'!B144)</f>
        <v/>
      </c>
      <c r="C144" t="str">
        <f>IF('Equipment Information'!C144="","", 'Equipment Information'!C144)</f>
        <v>Boiler Mechanical Room</v>
      </c>
      <c r="G144" t="s">
        <v>425</v>
      </c>
    </row>
    <row r="145" spans="1:7" x14ac:dyDescent="0.25">
      <c r="A145" t="str">
        <f>IF('Equipment Information'!A145="","", 'Equipment Information'!A145)</f>
        <v>20260791</v>
      </c>
      <c r="B145" t="str">
        <f>IF('Equipment Information'!B145="","", 'Equipment Information'!B145)</f>
        <v>100 HP Compressor Disconnect</v>
      </c>
      <c r="C145" t="str">
        <f>IF('Equipment Information'!C145="","", 'Equipment Information'!C145)</f>
        <v>Compressor Room</v>
      </c>
      <c r="G145" t="s">
        <v>425</v>
      </c>
    </row>
    <row r="146" spans="1:7" x14ac:dyDescent="0.25">
      <c r="A146" t="str">
        <f>IF('Equipment Information'!A146="","", 'Equipment Information'!A146)</f>
        <v>20260792</v>
      </c>
      <c r="B146" t="str">
        <f>IF('Equipment Information'!B146="","", 'Equipment Information'!B146)</f>
        <v>100 HP Compressor</v>
      </c>
      <c r="C146" t="str">
        <f>IF('Equipment Information'!C146="","", 'Equipment Information'!C146)</f>
        <v>Compressor Room</v>
      </c>
      <c r="G146" t="s">
        <v>425</v>
      </c>
    </row>
    <row r="147" spans="1:7" x14ac:dyDescent="0.25">
      <c r="A147" t="str">
        <f>IF('Equipment Information'!A147="","", 'Equipment Information'!A147)</f>
        <v>20260793</v>
      </c>
      <c r="B147" t="str">
        <f>IF('Equipment Information'!B147="","", 'Equipment Information'!B147)</f>
        <v>150 HP Compressor</v>
      </c>
      <c r="C147" t="str">
        <f>IF('Equipment Information'!C147="","", 'Equipment Information'!C147)</f>
        <v>Compressor Room</v>
      </c>
      <c r="G147" t="s">
        <v>425</v>
      </c>
    </row>
    <row r="148" spans="1:7" x14ac:dyDescent="0.25">
      <c r="A148" t="str">
        <f>IF('Equipment Information'!A148="","", 'Equipment Information'!A148)</f>
        <v>20260794</v>
      </c>
      <c r="B148" t="str">
        <f>IF('Equipment Information'!B148="","", 'Equipment Information'!B148)</f>
        <v>Exhasut Fan Cabinet</v>
      </c>
      <c r="C148" t="str">
        <f>IF('Equipment Information'!C148="","", 'Equipment Information'!C148)</f>
        <v>Compressor Room</v>
      </c>
      <c r="G148" t="s">
        <v>425</v>
      </c>
    </row>
    <row r="149" spans="1:7" x14ac:dyDescent="0.25">
      <c r="A149" t="str">
        <f>IF('Equipment Information'!A149="","", 'Equipment Information'!A149)</f>
        <v>20260795</v>
      </c>
      <c r="B149" t="str">
        <f>IF('Equipment Information'!B149="","", 'Equipment Information'!B149)</f>
        <v>Air Dryer Disconnect</v>
      </c>
      <c r="C149" t="str">
        <f>IF('Equipment Information'!C149="","", 'Equipment Information'!C149)</f>
        <v>Compressor Room</v>
      </c>
      <c r="G149" t="s">
        <v>425</v>
      </c>
    </row>
    <row r="150" spans="1:7" x14ac:dyDescent="0.25">
      <c r="A150" t="str">
        <f>IF('Equipment Information'!A150="","", 'Equipment Information'!A150)</f>
        <v>20260796</v>
      </c>
      <c r="B150" t="str">
        <f>IF('Equipment Information'!B150="","", 'Equipment Information'!B150)</f>
        <v>Air Dryer</v>
      </c>
      <c r="C150" t="str">
        <f>IF('Equipment Information'!C150="","", 'Equipment Information'!C150)</f>
        <v>Compressor Room</v>
      </c>
      <c r="G150" t="s">
        <v>425</v>
      </c>
    </row>
    <row r="151" spans="1:7" x14ac:dyDescent="0.25">
      <c r="A151" t="str">
        <f>IF('Equipment Information'!A151="","", 'Equipment Information'!A151)</f>
        <v>20260797</v>
      </c>
      <c r="B151" t="str">
        <f>IF('Equipment Information'!B151="","", 'Equipment Information'!B151)</f>
        <v>150 HP Compressor Disconnect</v>
      </c>
      <c r="C151" t="str">
        <f>IF('Equipment Information'!C151="","", 'Equipment Information'!C151)</f>
        <v>Maintenance Area</v>
      </c>
      <c r="G151" t="s">
        <v>425</v>
      </c>
    </row>
    <row r="152" spans="1:7" x14ac:dyDescent="0.25">
      <c r="A152" t="str">
        <f>IF('Equipment Information'!A152="","", 'Equipment Information'!A152)</f>
        <v>20260798</v>
      </c>
      <c r="B152" t="str">
        <f>IF('Equipment Information'!B152="","", 'Equipment Information'!B152)</f>
        <v>Maintenance PP-1</v>
      </c>
      <c r="C152" t="str">
        <f>IF('Equipment Information'!C152="","", 'Equipment Information'!C152)</f>
        <v>Maintenance Area</v>
      </c>
      <c r="G152" t="s">
        <v>425</v>
      </c>
    </row>
    <row r="153" spans="1:7" x14ac:dyDescent="0.25">
      <c r="A153" t="str">
        <f>IF('Equipment Information'!A153="","", 'Equipment Information'!A153)</f>
        <v>20260799</v>
      </c>
      <c r="B153" t="str">
        <f>IF('Equipment Information'!B153="","", 'Equipment Information'!B153)</f>
        <v/>
      </c>
      <c r="C153" t="str">
        <f>IF('Equipment Information'!C153="","", 'Equipment Information'!C153)</f>
        <v>Maintenance Area</v>
      </c>
      <c r="G153" t="s">
        <v>425</v>
      </c>
    </row>
    <row r="154" spans="1:7" x14ac:dyDescent="0.25">
      <c r="A154" t="str">
        <f>IF('Equipment Information'!A154="","", 'Equipment Information'!A154)</f>
        <v>20260800</v>
      </c>
      <c r="B154" t="str">
        <f>IF('Equipment Information'!B154="","", 'Equipment Information'!B154)</f>
        <v/>
      </c>
      <c r="C154" t="str">
        <f>IF('Equipment Information'!C154="","", 'Equipment Information'!C154)</f>
        <v>Maintenance Area</v>
      </c>
      <c r="G154" t="s">
        <v>425</v>
      </c>
    </row>
    <row r="155" spans="1:7" x14ac:dyDescent="0.25">
      <c r="A155" t="str">
        <f>IF('Equipment Information'!A155="","", 'Equipment Information'!A155)</f>
        <v>20260801</v>
      </c>
      <c r="B155" t="str">
        <f>IF('Equipment Information'!B155="","", 'Equipment Information'!B155)</f>
        <v/>
      </c>
      <c r="C155" t="str">
        <f>IF('Equipment Information'!C155="","", 'Equipment Information'!C155)</f>
        <v>Maintenance Area</v>
      </c>
      <c r="G155" t="s">
        <v>425</v>
      </c>
    </row>
    <row r="156" spans="1:7" x14ac:dyDescent="0.25">
      <c r="A156" t="str">
        <f>IF('Equipment Information'!A156="","", 'Equipment Information'!A156)</f>
        <v>20260802</v>
      </c>
      <c r="B156" t="str">
        <f>IF('Equipment Information'!B156="","", 'Equipment Information'!B156)</f>
        <v/>
      </c>
      <c r="C156" t="str">
        <f>IF('Equipment Information'!C156="","", 'Equipment Information'!C156)</f>
        <v>Outside of Maintenance Area</v>
      </c>
      <c r="G156" t="s">
        <v>425</v>
      </c>
    </row>
    <row r="157" spans="1:7" x14ac:dyDescent="0.25">
      <c r="A157" t="str">
        <f>IF('Equipment Information'!A157="","", 'Equipment Information'!A157)</f>
        <v>20260803</v>
      </c>
      <c r="B157" t="str">
        <f>IF('Equipment Information'!B157="","", 'Equipment Information'!B157)</f>
        <v/>
      </c>
      <c r="C157" t="str">
        <f>IF('Equipment Information'!C157="","", 'Equipment Information'!C157)</f>
        <v>Outside of Maintenance Area</v>
      </c>
      <c r="G157" t="str">
        <f t="shared" ref="G157:G220" si="0">IF(A157="","","N/A")</f>
        <v>N/A</v>
      </c>
    </row>
    <row r="158" spans="1:7" x14ac:dyDescent="0.25">
      <c r="A158" t="str">
        <f>IF('Equipment Information'!A158="","", 'Equipment Information'!A158)</f>
        <v>20260804</v>
      </c>
      <c r="B158" t="str">
        <f>IF('Equipment Information'!B158="","", 'Equipment Information'!B158)</f>
        <v>ATS #1</v>
      </c>
      <c r="C158" t="str">
        <f>IF('Equipment Information'!C158="","", 'Equipment Information'!C158)</f>
        <v>Basement</v>
      </c>
      <c r="G158" t="str">
        <f t="shared" si="0"/>
        <v>N/A</v>
      </c>
    </row>
    <row r="159" spans="1:7" x14ac:dyDescent="0.25">
      <c r="A159" t="str">
        <f>IF('Equipment Information'!A159="","", 'Equipment Information'!A159)</f>
        <v>20260805</v>
      </c>
      <c r="B159" t="str">
        <f>IF('Equipment Information'!B159="","", 'Equipment Information'!B159)</f>
        <v>Panel #3 Main Disconnect</v>
      </c>
      <c r="C159" t="str">
        <f>IF('Equipment Information'!C159="","", 'Equipment Information'!C159)</f>
        <v>Basement</v>
      </c>
      <c r="G159" t="str">
        <f t="shared" si="0"/>
        <v>N/A</v>
      </c>
    </row>
    <row r="160" spans="1:7" x14ac:dyDescent="0.25">
      <c r="A160" t="str">
        <f>IF('Equipment Information'!A160="","", 'Equipment Information'!A160)</f>
        <v>20260806</v>
      </c>
      <c r="B160" t="str">
        <f>IF('Equipment Information'!B160="","", 'Equipment Information'!B160)</f>
        <v>Transformer #2 Disconnect</v>
      </c>
      <c r="C160" t="str">
        <f>IF('Equipment Information'!C160="","", 'Equipment Information'!C160)</f>
        <v>Basement</v>
      </c>
      <c r="G160" t="str">
        <f t="shared" si="0"/>
        <v>N/A</v>
      </c>
    </row>
    <row r="161" spans="1:7" x14ac:dyDescent="0.25">
      <c r="A161" t="str">
        <f>IF('Equipment Information'!A161="","", 'Equipment Information'!A161)</f>
        <v>20260807</v>
      </c>
      <c r="B161" t="str">
        <f>IF('Equipment Information'!B161="","", 'Equipment Information'!B161)</f>
        <v>LP-1 Main Disconnect</v>
      </c>
      <c r="C161" t="str">
        <f>IF('Equipment Information'!C161="","", 'Equipment Information'!C161)</f>
        <v>Basement</v>
      </c>
      <c r="G161" t="str">
        <f t="shared" si="0"/>
        <v>N/A</v>
      </c>
    </row>
    <row r="162" spans="1:7" x14ac:dyDescent="0.25">
      <c r="A162" t="str">
        <f>IF('Equipment Information'!A162="","", 'Equipment Information'!A162)</f>
        <v>20260808</v>
      </c>
      <c r="B162" t="str">
        <f>IF('Equipment Information'!B162="","", 'Equipment Information'!B162)</f>
        <v>Panel #1</v>
      </c>
      <c r="C162" t="str">
        <f>IF('Equipment Information'!C162="","", 'Equipment Information'!C162)</f>
        <v>Basement</v>
      </c>
      <c r="G162" t="str">
        <f t="shared" si="0"/>
        <v>N/A</v>
      </c>
    </row>
    <row r="163" spans="1:7" x14ac:dyDescent="0.25">
      <c r="A163" t="str">
        <f>IF('Equipment Information'!A163="","", 'Equipment Information'!A163)</f>
        <v>20260809</v>
      </c>
      <c r="B163" t="str">
        <f>IF('Equipment Information'!B163="","", 'Equipment Information'!B163)</f>
        <v>Panel #4</v>
      </c>
      <c r="C163" t="str">
        <f>IF('Equipment Information'!C163="","", 'Equipment Information'!C163)</f>
        <v>Basement</v>
      </c>
      <c r="G163" t="str">
        <f t="shared" si="0"/>
        <v>N/A</v>
      </c>
    </row>
    <row r="164" spans="1:7" x14ac:dyDescent="0.25">
      <c r="A164" t="str">
        <f>IF('Equipment Information'!A164="","", 'Equipment Information'!A164)</f>
        <v>20260810</v>
      </c>
      <c r="B164" t="str">
        <f>IF('Equipment Information'!B164="","", 'Equipment Information'!B164)</f>
        <v>Panel #2</v>
      </c>
      <c r="C164" t="str">
        <f>IF('Equipment Information'!C164="","", 'Equipment Information'!C164)</f>
        <v>Basement</v>
      </c>
      <c r="G164" t="str">
        <f t="shared" si="0"/>
        <v>N/A</v>
      </c>
    </row>
    <row r="165" spans="1:7" x14ac:dyDescent="0.25">
      <c r="A165" t="str">
        <f>IF('Equipment Information'!A165="","", 'Equipment Information'!A165)</f>
        <v>20260811</v>
      </c>
      <c r="B165" t="str">
        <f>IF('Equipment Information'!B165="","", 'Equipment Information'!B165)</f>
        <v>Transformer #1</v>
      </c>
      <c r="C165" t="str">
        <f>IF('Equipment Information'!C165="","", 'Equipment Information'!C165)</f>
        <v>Basement</v>
      </c>
      <c r="G165" t="str">
        <f t="shared" si="0"/>
        <v>N/A</v>
      </c>
    </row>
    <row r="166" spans="1:7" x14ac:dyDescent="0.25">
      <c r="A166" t="str">
        <f>IF('Equipment Information'!A166="","", 'Equipment Information'!A166)</f>
        <v>20260812</v>
      </c>
      <c r="B166" t="str">
        <f>IF('Equipment Information'!B166="","", 'Equipment Information'!B166)</f>
        <v>Transformer #2</v>
      </c>
      <c r="C166" t="str">
        <f>IF('Equipment Information'!C166="","", 'Equipment Information'!C166)</f>
        <v>Basement</v>
      </c>
      <c r="G166" t="str">
        <f t="shared" si="0"/>
        <v>N/A</v>
      </c>
    </row>
    <row r="167" spans="1:7" x14ac:dyDescent="0.25">
      <c r="A167" t="str">
        <f>IF('Equipment Information'!A167="","", 'Equipment Information'!A167)</f>
        <v>20260813</v>
      </c>
      <c r="B167" t="str">
        <f>IF('Equipment Information'!B167="","", 'Equipment Information'!B167)</f>
        <v>Panel #3</v>
      </c>
      <c r="C167" t="str">
        <f>IF('Equipment Information'!C167="","", 'Equipment Information'!C167)</f>
        <v>Basement</v>
      </c>
      <c r="G167" t="str">
        <f t="shared" si="0"/>
        <v>N/A</v>
      </c>
    </row>
    <row r="168" spans="1:7" x14ac:dyDescent="0.25">
      <c r="A168" t="str">
        <f>IF('Equipment Information'!A168="","", 'Equipment Information'!A168)</f>
        <v>20260814</v>
      </c>
      <c r="B168" t="str">
        <f>IF('Equipment Information'!B168="","", 'Equipment Information'!B168)</f>
        <v/>
      </c>
      <c r="C168" t="str">
        <f>IF('Equipment Information'!C168="","", 'Equipment Information'!C168)</f>
        <v>Hallway</v>
      </c>
      <c r="G168" t="str">
        <f t="shared" si="0"/>
        <v>N/A</v>
      </c>
    </row>
    <row r="169" spans="1:7" x14ac:dyDescent="0.25">
      <c r="A169" t="str">
        <f>IF('Equipment Information'!A169="","", 'Equipment Information'!A169)</f>
        <v/>
      </c>
      <c r="B169" t="str">
        <f>IF('Equipment Information'!B169="","", 'Equipment Information'!B169)</f>
        <v/>
      </c>
      <c r="C169" t="str">
        <f>IF('Equipment Information'!C169="","", 'Equipment Information'!C169)</f>
        <v/>
      </c>
      <c r="G169" t="str">
        <f t="shared" si="0"/>
        <v/>
      </c>
    </row>
    <row r="170" spans="1:7" x14ac:dyDescent="0.25">
      <c r="A170" t="str">
        <f>IF('Equipment Information'!A170="","", 'Equipment Information'!A170)</f>
        <v/>
      </c>
      <c r="B170" t="str">
        <f>IF('Equipment Information'!B170="","", 'Equipment Information'!B170)</f>
        <v/>
      </c>
      <c r="C170" t="str">
        <f>IF('Equipment Information'!C170="","", 'Equipment Information'!C170)</f>
        <v/>
      </c>
      <c r="G170" t="str">
        <f t="shared" si="0"/>
        <v/>
      </c>
    </row>
    <row r="171" spans="1:7" x14ac:dyDescent="0.25">
      <c r="A171" t="str">
        <f>IF('Equipment Information'!A171="","", 'Equipment Information'!A171)</f>
        <v/>
      </c>
      <c r="B171" t="str">
        <f>IF('Equipment Information'!B171="","", 'Equipment Information'!B171)</f>
        <v/>
      </c>
      <c r="C171" t="str">
        <f>IF('Equipment Information'!C171="","", 'Equipment Information'!C171)</f>
        <v/>
      </c>
      <c r="G171" t="str">
        <f t="shared" si="0"/>
        <v/>
      </c>
    </row>
    <row r="172" spans="1:7" x14ac:dyDescent="0.25">
      <c r="A172" t="str">
        <f>IF('Equipment Information'!A172="","", 'Equipment Information'!A172)</f>
        <v/>
      </c>
      <c r="B172" t="str">
        <f>IF('Equipment Information'!B172="","", 'Equipment Information'!B172)</f>
        <v/>
      </c>
      <c r="C172" t="str">
        <f>IF('Equipment Information'!C172="","", 'Equipment Information'!C172)</f>
        <v/>
      </c>
      <c r="G172" t="str">
        <f t="shared" si="0"/>
        <v/>
      </c>
    </row>
    <row r="173" spans="1:7" x14ac:dyDescent="0.25">
      <c r="A173" t="str">
        <f>IF('Equipment Information'!A173="","", 'Equipment Information'!A173)</f>
        <v/>
      </c>
      <c r="B173" t="str">
        <f>IF('Equipment Information'!B173="","", 'Equipment Information'!B173)</f>
        <v/>
      </c>
      <c r="C173" t="str">
        <f>IF('Equipment Information'!C173="","", 'Equipment Information'!C173)</f>
        <v/>
      </c>
      <c r="G173" t="str">
        <f t="shared" si="0"/>
        <v/>
      </c>
    </row>
    <row r="174" spans="1:7" x14ac:dyDescent="0.25">
      <c r="A174" t="str">
        <f>IF('Equipment Information'!A174="","", 'Equipment Information'!A174)</f>
        <v/>
      </c>
      <c r="B174" t="str">
        <f>IF('Equipment Information'!B174="","", 'Equipment Information'!B174)</f>
        <v/>
      </c>
      <c r="C174" t="str">
        <f>IF('Equipment Information'!C174="","", 'Equipment Information'!C174)</f>
        <v/>
      </c>
      <c r="G174" t="str">
        <f t="shared" si="0"/>
        <v/>
      </c>
    </row>
    <row r="175" spans="1:7" x14ac:dyDescent="0.25">
      <c r="A175" t="str">
        <f>IF('Equipment Information'!A175="","", 'Equipment Information'!A175)</f>
        <v/>
      </c>
      <c r="B175" t="str">
        <f>IF('Equipment Information'!B175="","", 'Equipment Information'!B175)</f>
        <v/>
      </c>
      <c r="C175" t="str">
        <f>IF('Equipment Information'!C175="","", 'Equipment Information'!C175)</f>
        <v/>
      </c>
      <c r="G175" t="str">
        <f t="shared" si="0"/>
        <v/>
      </c>
    </row>
    <row r="176" spans="1:7" x14ac:dyDescent="0.25">
      <c r="A176" t="str">
        <f>IF('Equipment Information'!A176="","", 'Equipment Information'!A176)</f>
        <v/>
      </c>
      <c r="B176" t="str">
        <f>IF('Equipment Information'!B176="","", 'Equipment Information'!B176)</f>
        <v/>
      </c>
      <c r="C176" t="str">
        <f>IF('Equipment Information'!C176="","", 'Equipment Information'!C176)</f>
        <v/>
      </c>
      <c r="G176" t="str">
        <f t="shared" si="0"/>
        <v/>
      </c>
    </row>
    <row r="177" spans="1:7" x14ac:dyDescent="0.25">
      <c r="A177" t="str">
        <f>IF('Equipment Information'!A177="","", 'Equipment Information'!A177)</f>
        <v/>
      </c>
      <c r="B177" t="str">
        <f>IF('Equipment Information'!B177="","", 'Equipment Information'!B177)</f>
        <v/>
      </c>
      <c r="C177" t="str">
        <f>IF('Equipment Information'!C177="","", 'Equipment Information'!C177)</f>
        <v/>
      </c>
      <c r="G177" t="str">
        <f t="shared" si="0"/>
        <v/>
      </c>
    </row>
    <row r="178" spans="1:7" x14ac:dyDescent="0.25">
      <c r="A178" t="str">
        <f>IF('Equipment Information'!A178="","", 'Equipment Information'!A178)</f>
        <v/>
      </c>
      <c r="B178" t="str">
        <f>IF('Equipment Information'!B178="","", 'Equipment Information'!B178)</f>
        <v/>
      </c>
      <c r="C178" t="str">
        <f>IF('Equipment Information'!C178="","", 'Equipment Information'!C178)</f>
        <v/>
      </c>
      <c r="G178" t="str">
        <f t="shared" si="0"/>
        <v/>
      </c>
    </row>
    <row r="179" spans="1:7" x14ac:dyDescent="0.25">
      <c r="A179" t="str">
        <f>IF('Equipment Information'!A179="","", 'Equipment Information'!A179)</f>
        <v/>
      </c>
      <c r="B179" t="str">
        <f>IF('Equipment Information'!B179="","", 'Equipment Information'!B179)</f>
        <v/>
      </c>
      <c r="C179" t="str">
        <f>IF('Equipment Information'!C179="","", 'Equipment Information'!C179)</f>
        <v/>
      </c>
      <c r="G179" t="str">
        <f t="shared" si="0"/>
        <v/>
      </c>
    </row>
    <row r="180" spans="1:7" x14ac:dyDescent="0.25">
      <c r="A180" t="str">
        <f>IF('Equipment Information'!A180="","", 'Equipment Information'!A180)</f>
        <v/>
      </c>
      <c r="B180" t="str">
        <f>IF('Equipment Information'!B180="","", 'Equipment Information'!B180)</f>
        <v/>
      </c>
      <c r="C180" t="str">
        <f>IF('Equipment Information'!C180="","", 'Equipment Information'!C180)</f>
        <v/>
      </c>
      <c r="G180" t="str">
        <f t="shared" si="0"/>
        <v/>
      </c>
    </row>
    <row r="181" spans="1:7" x14ac:dyDescent="0.25">
      <c r="A181" t="str">
        <f>IF('Equipment Information'!A181="","", 'Equipment Information'!A181)</f>
        <v/>
      </c>
      <c r="B181" t="str">
        <f>IF('Equipment Information'!B181="","", 'Equipment Information'!B181)</f>
        <v/>
      </c>
      <c r="C181" t="str">
        <f>IF('Equipment Information'!C181="","", 'Equipment Information'!C181)</f>
        <v/>
      </c>
      <c r="G181" t="str">
        <f t="shared" si="0"/>
        <v/>
      </c>
    </row>
    <row r="182" spans="1:7" x14ac:dyDescent="0.25">
      <c r="A182" t="str">
        <f>IF('Equipment Information'!A182="","", 'Equipment Information'!A182)</f>
        <v/>
      </c>
      <c r="B182" t="str">
        <f>IF('Equipment Information'!B182="","", 'Equipment Information'!B182)</f>
        <v/>
      </c>
      <c r="C182" t="str">
        <f>IF('Equipment Information'!C182="","", 'Equipment Information'!C182)</f>
        <v/>
      </c>
      <c r="G182" t="str">
        <f t="shared" si="0"/>
        <v/>
      </c>
    </row>
    <row r="183" spans="1:7" x14ac:dyDescent="0.25">
      <c r="A183" t="str">
        <f>IF('Equipment Information'!A183="","", 'Equipment Information'!A183)</f>
        <v/>
      </c>
      <c r="B183" t="str">
        <f>IF('Equipment Information'!B183="","", 'Equipment Information'!B183)</f>
        <v/>
      </c>
      <c r="C183" t="str">
        <f>IF('Equipment Information'!C183="","", 'Equipment Information'!C183)</f>
        <v/>
      </c>
      <c r="G183" t="str">
        <f t="shared" si="0"/>
        <v/>
      </c>
    </row>
    <row r="184" spans="1:7" x14ac:dyDescent="0.25">
      <c r="A184" t="str">
        <f>IF('Equipment Information'!A184="","", 'Equipment Information'!A184)</f>
        <v/>
      </c>
      <c r="B184" t="str">
        <f>IF('Equipment Information'!B184="","", 'Equipment Information'!B184)</f>
        <v/>
      </c>
      <c r="C184" t="str">
        <f>IF('Equipment Information'!C184="","", 'Equipment Information'!C184)</f>
        <v/>
      </c>
      <c r="G184" t="str">
        <f t="shared" si="0"/>
        <v/>
      </c>
    </row>
    <row r="185" spans="1:7" x14ac:dyDescent="0.25">
      <c r="A185" t="str">
        <f>IF('Equipment Information'!A185="","", 'Equipment Information'!A185)</f>
        <v/>
      </c>
      <c r="B185" t="str">
        <f>IF('Equipment Information'!B185="","", 'Equipment Information'!B185)</f>
        <v/>
      </c>
      <c r="C185" t="str">
        <f>IF('Equipment Information'!C185="","", 'Equipment Information'!C185)</f>
        <v/>
      </c>
      <c r="G185" t="str">
        <f t="shared" si="0"/>
        <v/>
      </c>
    </row>
    <row r="186" spans="1:7" x14ac:dyDescent="0.25">
      <c r="A186" t="str">
        <f>IF('Equipment Information'!A186="","", 'Equipment Information'!A186)</f>
        <v/>
      </c>
      <c r="B186" t="str">
        <f>IF('Equipment Information'!B186="","", 'Equipment Information'!B186)</f>
        <v/>
      </c>
      <c r="C186" t="str">
        <f>IF('Equipment Information'!C186="","", 'Equipment Information'!C186)</f>
        <v/>
      </c>
      <c r="G186" t="str">
        <f t="shared" si="0"/>
        <v/>
      </c>
    </row>
    <row r="187" spans="1:7" x14ac:dyDescent="0.25">
      <c r="A187" t="str">
        <f>IF('Equipment Information'!A187="","", 'Equipment Information'!A187)</f>
        <v/>
      </c>
      <c r="B187" t="str">
        <f>IF('Equipment Information'!B187="","", 'Equipment Information'!B187)</f>
        <v/>
      </c>
      <c r="C187" t="str">
        <f>IF('Equipment Information'!C187="","", 'Equipment Information'!C187)</f>
        <v/>
      </c>
      <c r="G187" t="str">
        <f t="shared" si="0"/>
        <v/>
      </c>
    </row>
    <row r="188" spans="1:7" x14ac:dyDescent="0.25">
      <c r="A188" t="str">
        <f>IF('Equipment Information'!A188="","", 'Equipment Information'!A188)</f>
        <v/>
      </c>
      <c r="B188" t="str">
        <f>IF('Equipment Information'!B188="","", 'Equipment Information'!B188)</f>
        <v/>
      </c>
      <c r="C188" t="str">
        <f>IF('Equipment Information'!C188="","", 'Equipment Information'!C188)</f>
        <v/>
      </c>
      <c r="G188" t="str">
        <f t="shared" si="0"/>
        <v/>
      </c>
    </row>
    <row r="189" spans="1:7" x14ac:dyDescent="0.25">
      <c r="A189" t="str">
        <f>IF('Equipment Information'!A189="","", 'Equipment Information'!A189)</f>
        <v/>
      </c>
      <c r="B189" t="str">
        <f>IF('Equipment Information'!B189="","", 'Equipment Information'!B189)</f>
        <v/>
      </c>
      <c r="C189" t="str">
        <f>IF('Equipment Information'!C189="","", 'Equipment Information'!C189)</f>
        <v/>
      </c>
      <c r="G189" t="str">
        <f t="shared" si="0"/>
        <v/>
      </c>
    </row>
    <row r="190" spans="1:7" x14ac:dyDescent="0.25">
      <c r="A190" t="str">
        <f>IF('Equipment Information'!A190="","", 'Equipment Information'!A190)</f>
        <v/>
      </c>
      <c r="B190" t="str">
        <f>IF('Equipment Information'!B190="","", 'Equipment Information'!B190)</f>
        <v/>
      </c>
      <c r="C190" t="str">
        <f>IF('Equipment Information'!C190="","", 'Equipment Information'!C190)</f>
        <v/>
      </c>
      <c r="G190" t="str">
        <f t="shared" si="0"/>
        <v/>
      </c>
    </row>
    <row r="191" spans="1:7" x14ac:dyDescent="0.25">
      <c r="A191" t="str">
        <f>IF('Equipment Information'!A191="","", 'Equipment Information'!A191)</f>
        <v/>
      </c>
      <c r="B191" t="str">
        <f>IF('Equipment Information'!B191="","", 'Equipment Information'!B191)</f>
        <v/>
      </c>
      <c r="C191" t="str">
        <f>IF('Equipment Information'!C191="","", 'Equipment Information'!C191)</f>
        <v/>
      </c>
      <c r="G191" t="str">
        <f t="shared" si="0"/>
        <v/>
      </c>
    </row>
    <row r="192" spans="1:7" x14ac:dyDescent="0.25">
      <c r="A192" t="str">
        <f>IF('Equipment Information'!A192="","", 'Equipment Information'!A192)</f>
        <v/>
      </c>
      <c r="B192" t="str">
        <f>IF('Equipment Information'!B192="","", 'Equipment Information'!B192)</f>
        <v/>
      </c>
      <c r="C192" t="str">
        <f>IF('Equipment Information'!C192="","", 'Equipment Information'!C192)</f>
        <v/>
      </c>
      <c r="G192" t="str">
        <f t="shared" si="0"/>
        <v/>
      </c>
    </row>
    <row r="193" spans="1:7" x14ac:dyDescent="0.25">
      <c r="A193" t="str">
        <f>IF('Equipment Information'!A193="","", 'Equipment Information'!A193)</f>
        <v/>
      </c>
      <c r="B193" t="str">
        <f>IF('Equipment Information'!B193="","", 'Equipment Information'!B193)</f>
        <v/>
      </c>
      <c r="C193" t="str">
        <f>IF('Equipment Information'!C193="","", 'Equipment Information'!C193)</f>
        <v/>
      </c>
      <c r="G193" t="str">
        <f t="shared" si="0"/>
        <v/>
      </c>
    </row>
    <row r="194" spans="1:7" x14ac:dyDescent="0.25">
      <c r="A194" t="str">
        <f>IF('Equipment Information'!A194="","", 'Equipment Information'!A194)</f>
        <v/>
      </c>
      <c r="B194" t="str">
        <f>IF('Equipment Information'!B194="","", 'Equipment Information'!B194)</f>
        <v/>
      </c>
      <c r="C194" t="str">
        <f>IF('Equipment Information'!C194="","", 'Equipment Information'!C194)</f>
        <v/>
      </c>
      <c r="G194" t="str">
        <f t="shared" si="0"/>
        <v/>
      </c>
    </row>
    <row r="195" spans="1:7" x14ac:dyDescent="0.25">
      <c r="A195" t="str">
        <f>IF('Equipment Information'!A195="","", 'Equipment Information'!A195)</f>
        <v/>
      </c>
      <c r="B195" t="str">
        <f>IF('Equipment Information'!B195="","", 'Equipment Information'!B195)</f>
        <v/>
      </c>
      <c r="C195" t="str">
        <f>IF('Equipment Information'!C195="","", 'Equipment Information'!C195)</f>
        <v/>
      </c>
      <c r="G195" t="str">
        <f t="shared" si="0"/>
        <v/>
      </c>
    </row>
    <row r="196" spans="1:7" x14ac:dyDescent="0.25">
      <c r="A196" t="str">
        <f>IF('Equipment Information'!A196="","", 'Equipment Information'!A196)</f>
        <v/>
      </c>
      <c r="B196" t="str">
        <f>IF('Equipment Information'!B196="","", 'Equipment Information'!B196)</f>
        <v/>
      </c>
      <c r="C196" t="str">
        <f>IF('Equipment Information'!C196="","", 'Equipment Information'!C196)</f>
        <v/>
      </c>
      <c r="G196" t="str">
        <f t="shared" si="0"/>
        <v/>
      </c>
    </row>
    <row r="197" spans="1:7" x14ac:dyDescent="0.25">
      <c r="A197" t="str">
        <f>IF('Equipment Information'!A197="","", 'Equipment Information'!A197)</f>
        <v/>
      </c>
      <c r="B197" t="str">
        <f>IF('Equipment Information'!B197="","", 'Equipment Information'!B197)</f>
        <v/>
      </c>
      <c r="C197" t="str">
        <f>IF('Equipment Information'!C197="","", 'Equipment Information'!C197)</f>
        <v/>
      </c>
      <c r="G197" t="str">
        <f t="shared" si="0"/>
        <v/>
      </c>
    </row>
    <row r="198" spans="1:7" x14ac:dyDescent="0.25">
      <c r="A198" t="str">
        <f>IF('Equipment Information'!A198="","", 'Equipment Information'!A198)</f>
        <v/>
      </c>
      <c r="B198" t="str">
        <f>IF('Equipment Information'!B198="","", 'Equipment Information'!B198)</f>
        <v/>
      </c>
      <c r="C198" t="str">
        <f>IF('Equipment Information'!C198="","", 'Equipment Information'!C198)</f>
        <v/>
      </c>
      <c r="G198" t="str">
        <f t="shared" si="0"/>
        <v/>
      </c>
    </row>
    <row r="199" spans="1:7" x14ac:dyDescent="0.25">
      <c r="A199" t="str">
        <f>IF('Equipment Information'!A199="","", 'Equipment Information'!A199)</f>
        <v/>
      </c>
      <c r="B199" t="str">
        <f>IF('Equipment Information'!B199="","", 'Equipment Information'!B199)</f>
        <v/>
      </c>
      <c r="C199" t="str">
        <f>IF('Equipment Information'!C199="","", 'Equipment Information'!C199)</f>
        <v/>
      </c>
      <c r="G199" t="str">
        <f t="shared" si="0"/>
        <v/>
      </c>
    </row>
    <row r="200" spans="1:7" x14ac:dyDescent="0.25">
      <c r="A200" t="str">
        <f>IF('Equipment Information'!A200="","", 'Equipment Information'!A200)</f>
        <v/>
      </c>
      <c r="B200" t="str">
        <f>IF('Equipment Information'!B200="","", 'Equipment Information'!B200)</f>
        <v/>
      </c>
      <c r="C200" t="str">
        <f>IF('Equipment Information'!C200="","", 'Equipment Information'!C200)</f>
        <v/>
      </c>
      <c r="G200" t="str">
        <f t="shared" si="0"/>
        <v/>
      </c>
    </row>
    <row r="201" spans="1:7" x14ac:dyDescent="0.25">
      <c r="A201" t="str">
        <f>IF('Equipment Information'!A201="","", 'Equipment Information'!A201)</f>
        <v/>
      </c>
      <c r="B201" t="str">
        <f>IF('Equipment Information'!B201="","", 'Equipment Information'!B201)</f>
        <v/>
      </c>
      <c r="C201" t="str">
        <f>IF('Equipment Information'!C201="","", 'Equipment Information'!C201)</f>
        <v/>
      </c>
      <c r="G201" t="str">
        <f t="shared" si="0"/>
        <v/>
      </c>
    </row>
    <row r="202" spans="1:7" x14ac:dyDescent="0.25">
      <c r="A202" t="str">
        <f>IF('Equipment Information'!A202="","", 'Equipment Information'!A202)</f>
        <v/>
      </c>
      <c r="B202" t="str">
        <f>IF('Equipment Information'!B202="","", 'Equipment Information'!B202)</f>
        <v/>
      </c>
      <c r="C202" t="str">
        <f>IF('Equipment Information'!C202="","", 'Equipment Information'!C202)</f>
        <v/>
      </c>
      <c r="G202" t="str">
        <f t="shared" si="0"/>
        <v/>
      </c>
    </row>
    <row r="203" spans="1:7" x14ac:dyDescent="0.25">
      <c r="A203" t="str">
        <f>IF('Equipment Information'!A203="","", 'Equipment Information'!A203)</f>
        <v/>
      </c>
      <c r="B203" t="str">
        <f>IF('Equipment Information'!B203="","", 'Equipment Information'!B203)</f>
        <v/>
      </c>
      <c r="C203" t="str">
        <f>IF('Equipment Information'!C203="","", 'Equipment Information'!C203)</f>
        <v/>
      </c>
      <c r="G203" t="str">
        <f t="shared" si="0"/>
        <v/>
      </c>
    </row>
    <row r="204" spans="1:7" x14ac:dyDescent="0.25">
      <c r="A204" t="str">
        <f>IF('Equipment Information'!A204="","", 'Equipment Information'!A204)</f>
        <v/>
      </c>
      <c r="B204" t="str">
        <f>IF('Equipment Information'!B204="","", 'Equipment Information'!B204)</f>
        <v/>
      </c>
      <c r="C204" t="str">
        <f>IF('Equipment Information'!C204="","", 'Equipment Information'!C204)</f>
        <v/>
      </c>
      <c r="G204" t="str">
        <f t="shared" si="0"/>
        <v/>
      </c>
    </row>
    <row r="205" spans="1:7" x14ac:dyDescent="0.25">
      <c r="A205" t="str">
        <f>IF('Equipment Information'!A205="","", 'Equipment Information'!A205)</f>
        <v/>
      </c>
      <c r="B205" t="str">
        <f>IF('Equipment Information'!B205="","", 'Equipment Information'!B205)</f>
        <v/>
      </c>
      <c r="C205" t="str">
        <f>IF('Equipment Information'!C205="","", 'Equipment Information'!C205)</f>
        <v/>
      </c>
      <c r="G205" t="str">
        <f t="shared" si="0"/>
        <v/>
      </c>
    </row>
    <row r="206" spans="1:7" x14ac:dyDescent="0.25">
      <c r="A206" t="str">
        <f>IF('Equipment Information'!A206="","", 'Equipment Information'!A206)</f>
        <v/>
      </c>
      <c r="B206" t="str">
        <f>IF('Equipment Information'!B206="","", 'Equipment Information'!B206)</f>
        <v/>
      </c>
      <c r="C206" t="str">
        <f>IF('Equipment Information'!C206="","", 'Equipment Information'!C206)</f>
        <v/>
      </c>
      <c r="G206" t="str">
        <f t="shared" si="0"/>
        <v/>
      </c>
    </row>
    <row r="207" spans="1:7" x14ac:dyDescent="0.25">
      <c r="A207" t="str">
        <f>IF('Equipment Information'!A207="","", 'Equipment Information'!A207)</f>
        <v/>
      </c>
      <c r="B207" t="str">
        <f>IF('Equipment Information'!B207="","", 'Equipment Information'!B207)</f>
        <v/>
      </c>
      <c r="C207" t="str">
        <f>IF('Equipment Information'!C207="","", 'Equipment Information'!C207)</f>
        <v/>
      </c>
      <c r="G207" t="str">
        <f t="shared" si="0"/>
        <v/>
      </c>
    </row>
    <row r="208" spans="1:7" x14ac:dyDescent="0.25">
      <c r="A208" t="str">
        <f>IF('Equipment Information'!A208="","", 'Equipment Information'!A208)</f>
        <v/>
      </c>
      <c r="B208" t="str">
        <f>IF('Equipment Information'!B208="","", 'Equipment Information'!B208)</f>
        <v/>
      </c>
      <c r="C208" t="str">
        <f>IF('Equipment Information'!C208="","", 'Equipment Information'!C208)</f>
        <v/>
      </c>
      <c r="G208" t="str">
        <f t="shared" si="0"/>
        <v/>
      </c>
    </row>
    <row r="209" spans="1:7" x14ac:dyDescent="0.25">
      <c r="A209" t="str">
        <f>IF('Equipment Information'!A209="","", 'Equipment Information'!A209)</f>
        <v/>
      </c>
      <c r="B209" t="str">
        <f>IF('Equipment Information'!B209="","", 'Equipment Information'!B209)</f>
        <v/>
      </c>
      <c r="C209" t="str">
        <f>IF('Equipment Information'!C209="","", 'Equipment Information'!C209)</f>
        <v/>
      </c>
      <c r="G209" t="str">
        <f t="shared" si="0"/>
        <v/>
      </c>
    </row>
    <row r="210" spans="1:7" x14ac:dyDescent="0.25">
      <c r="A210" t="str">
        <f>IF('Equipment Information'!A210="","", 'Equipment Information'!A210)</f>
        <v/>
      </c>
      <c r="B210" t="str">
        <f>IF('Equipment Information'!B210="","", 'Equipment Information'!B210)</f>
        <v/>
      </c>
      <c r="C210" t="str">
        <f>IF('Equipment Information'!C210="","", 'Equipment Information'!C210)</f>
        <v/>
      </c>
      <c r="G210" t="str">
        <f t="shared" si="0"/>
        <v/>
      </c>
    </row>
    <row r="211" spans="1:7" x14ac:dyDescent="0.25">
      <c r="A211" t="str">
        <f>IF('Equipment Information'!A211="","", 'Equipment Information'!A211)</f>
        <v/>
      </c>
      <c r="B211" t="str">
        <f>IF('Equipment Information'!B211="","", 'Equipment Information'!B211)</f>
        <v/>
      </c>
      <c r="C211" t="str">
        <f>IF('Equipment Information'!C211="","", 'Equipment Information'!C211)</f>
        <v/>
      </c>
      <c r="G211" t="str">
        <f t="shared" si="0"/>
        <v/>
      </c>
    </row>
    <row r="212" spans="1:7" x14ac:dyDescent="0.25">
      <c r="A212" t="str">
        <f>IF('Equipment Information'!A212="","", 'Equipment Information'!A212)</f>
        <v/>
      </c>
      <c r="B212" t="str">
        <f>IF('Equipment Information'!B212="","", 'Equipment Information'!B212)</f>
        <v/>
      </c>
      <c r="C212" t="str">
        <f>IF('Equipment Information'!C212="","", 'Equipment Information'!C212)</f>
        <v/>
      </c>
      <c r="G212" t="str">
        <f t="shared" si="0"/>
        <v/>
      </c>
    </row>
    <row r="213" spans="1:7" x14ac:dyDescent="0.25">
      <c r="A213" t="str">
        <f>IF('Equipment Information'!A213="","", 'Equipment Information'!A213)</f>
        <v/>
      </c>
      <c r="B213" t="str">
        <f>IF('Equipment Information'!B213="","", 'Equipment Information'!B213)</f>
        <v/>
      </c>
      <c r="C213" t="str">
        <f>IF('Equipment Information'!C213="","", 'Equipment Information'!C213)</f>
        <v/>
      </c>
      <c r="G213" t="str">
        <f t="shared" si="0"/>
        <v/>
      </c>
    </row>
    <row r="214" spans="1:7" x14ac:dyDescent="0.25">
      <c r="A214" t="str">
        <f>IF('Equipment Information'!A214="","", 'Equipment Information'!A214)</f>
        <v/>
      </c>
      <c r="B214" t="str">
        <f>IF('Equipment Information'!B214="","", 'Equipment Information'!B214)</f>
        <v/>
      </c>
      <c r="C214" t="str">
        <f>IF('Equipment Information'!C214="","", 'Equipment Information'!C214)</f>
        <v/>
      </c>
      <c r="G214" t="str">
        <f t="shared" si="0"/>
        <v/>
      </c>
    </row>
    <row r="215" spans="1:7" x14ac:dyDescent="0.25">
      <c r="A215" t="str">
        <f>IF('Equipment Information'!A215="","", 'Equipment Information'!A215)</f>
        <v/>
      </c>
      <c r="B215" t="str">
        <f>IF('Equipment Information'!B215="","", 'Equipment Information'!B215)</f>
        <v/>
      </c>
      <c r="C215" t="str">
        <f>IF('Equipment Information'!C215="","", 'Equipment Information'!C215)</f>
        <v/>
      </c>
      <c r="G215" t="str">
        <f t="shared" si="0"/>
        <v/>
      </c>
    </row>
    <row r="216" spans="1:7" x14ac:dyDescent="0.25">
      <c r="A216" t="str">
        <f>IF('Equipment Information'!A216="","", 'Equipment Information'!A216)</f>
        <v/>
      </c>
      <c r="B216" t="str">
        <f>IF('Equipment Information'!B216="","", 'Equipment Information'!B216)</f>
        <v/>
      </c>
      <c r="C216" t="str">
        <f>IF('Equipment Information'!C216="","", 'Equipment Information'!C216)</f>
        <v/>
      </c>
      <c r="G216" t="str">
        <f t="shared" si="0"/>
        <v/>
      </c>
    </row>
    <row r="217" spans="1:7" x14ac:dyDescent="0.25">
      <c r="A217" t="str">
        <f>IF('Equipment Information'!A217="","", 'Equipment Information'!A217)</f>
        <v/>
      </c>
      <c r="B217" t="str">
        <f>IF('Equipment Information'!B217="","", 'Equipment Information'!B217)</f>
        <v/>
      </c>
      <c r="C217" t="str">
        <f>IF('Equipment Information'!C217="","", 'Equipment Information'!C217)</f>
        <v/>
      </c>
      <c r="G217" t="str">
        <f t="shared" si="0"/>
        <v/>
      </c>
    </row>
    <row r="218" spans="1:7" x14ac:dyDescent="0.25">
      <c r="A218" t="str">
        <f>IF('Equipment Information'!A218="","", 'Equipment Information'!A218)</f>
        <v/>
      </c>
      <c r="B218" t="str">
        <f>IF('Equipment Information'!B218="","", 'Equipment Information'!B218)</f>
        <v/>
      </c>
      <c r="C218" t="str">
        <f>IF('Equipment Information'!C218="","", 'Equipment Information'!C218)</f>
        <v/>
      </c>
      <c r="G218" t="str">
        <f t="shared" si="0"/>
        <v/>
      </c>
    </row>
    <row r="219" spans="1:7" x14ac:dyDescent="0.25">
      <c r="A219" t="str">
        <f>IF('Equipment Information'!A219="","", 'Equipment Information'!A219)</f>
        <v/>
      </c>
      <c r="B219" t="str">
        <f>IF('Equipment Information'!B219="","", 'Equipment Information'!B219)</f>
        <v/>
      </c>
      <c r="C219" t="str">
        <f>IF('Equipment Information'!C219="","", 'Equipment Information'!C219)</f>
        <v/>
      </c>
      <c r="G219" t="str">
        <f t="shared" si="0"/>
        <v/>
      </c>
    </row>
    <row r="220" spans="1:7" x14ac:dyDescent="0.25">
      <c r="A220" t="str">
        <f>IF('Equipment Information'!A220="","", 'Equipment Information'!A220)</f>
        <v/>
      </c>
      <c r="B220" t="str">
        <f>IF('Equipment Information'!B220="","", 'Equipment Information'!B220)</f>
        <v/>
      </c>
      <c r="C220" t="str">
        <f>IF('Equipment Information'!C220="","", 'Equipment Information'!C220)</f>
        <v/>
      </c>
      <c r="G220" t="str">
        <f t="shared" si="0"/>
        <v/>
      </c>
    </row>
    <row r="221" spans="1:7" x14ac:dyDescent="0.25">
      <c r="A221" t="str">
        <f>IF('Equipment Information'!A221="","", 'Equipment Information'!A221)</f>
        <v/>
      </c>
      <c r="B221" t="str">
        <f>IF('Equipment Information'!B221="","", 'Equipment Information'!B221)</f>
        <v/>
      </c>
      <c r="C221" t="str">
        <f>IF('Equipment Information'!C221="","", 'Equipment Information'!C221)</f>
        <v/>
      </c>
      <c r="G221" t="str">
        <f t="shared" ref="G221:G284" si="1">IF(A221="","","N/A")</f>
        <v/>
      </c>
    </row>
    <row r="222" spans="1:7" x14ac:dyDescent="0.25">
      <c r="A222" t="str">
        <f>IF('Equipment Information'!A222="","", 'Equipment Information'!A222)</f>
        <v/>
      </c>
      <c r="B222" t="str">
        <f>IF('Equipment Information'!B222="","", 'Equipment Information'!B222)</f>
        <v/>
      </c>
      <c r="C222" t="str">
        <f>IF('Equipment Information'!C222="","", 'Equipment Information'!C222)</f>
        <v/>
      </c>
      <c r="G222" t="str">
        <f t="shared" si="1"/>
        <v/>
      </c>
    </row>
    <row r="223" spans="1:7" x14ac:dyDescent="0.25">
      <c r="A223" t="str">
        <f>IF('Equipment Information'!A223="","", 'Equipment Information'!A223)</f>
        <v/>
      </c>
      <c r="B223" t="str">
        <f>IF('Equipment Information'!B223="","", 'Equipment Information'!B223)</f>
        <v/>
      </c>
      <c r="C223" t="str">
        <f>IF('Equipment Information'!C223="","", 'Equipment Information'!C223)</f>
        <v/>
      </c>
      <c r="G223" t="str">
        <f t="shared" si="1"/>
        <v/>
      </c>
    </row>
    <row r="224" spans="1:7" x14ac:dyDescent="0.25">
      <c r="A224" t="str">
        <f>IF('Equipment Information'!A224="","", 'Equipment Information'!A224)</f>
        <v/>
      </c>
      <c r="B224" t="str">
        <f>IF('Equipment Information'!B224="","", 'Equipment Information'!B224)</f>
        <v/>
      </c>
      <c r="C224" t="str">
        <f>IF('Equipment Information'!C224="","", 'Equipment Information'!C224)</f>
        <v/>
      </c>
      <c r="G224" t="str">
        <f t="shared" si="1"/>
        <v/>
      </c>
    </row>
    <row r="225" spans="1:7" x14ac:dyDescent="0.25">
      <c r="A225" t="str">
        <f>IF('Equipment Information'!A225="","", 'Equipment Information'!A225)</f>
        <v/>
      </c>
      <c r="B225" t="str">
        <f>IF('Equipment Information'!B225="","", 'Equipment Information'!B225)</f>
        <v/>
      </c>
      <c r="C225" t="str">
        <f>IF('Equipment Information'!C225="","", 'Equipment Information'!C225)</f>
        <v/>
      </c>
      <c r="G225" t="str">
        <f t="shared" si="1"/>
        <v/>
      </c>
    </row>
    <row r="226" spans="1:7" x14ac:dyDescent="0.25">
      <c r="A226" t="str">
        <f>IF('Equipment Information'!A226="","", 'Equipment Information'!A226)</f>
        <v/>
      </c>
      <c r="B226" t="str">
        <f>IF('Equipment Information'!B226="","", 'Equipment Information'!B226)</f>
        <v/>
      </c>
      <c r="C226" t="str">
        <f>IF('Equipment Information'!C226="","", 'Equipment Information'!C226)</f>
        <v/>
      </c>
      <c r="G226" t="str">
        <f t="shared" si="1"/>
        <v/>
      </c>
    </row>
    <row r="227" spans="1:7" x14ac:dyDescent="0.25">
      <c r="A227" t="str">
        <f>IF('Equipment Information'!A227="","", 'Equipment Information'!A227)</f>
        <v/>
      </c>
      <c r="B227" t="str">
        <f>IF('Equipment Information'!B227="","", 'Equipment Information'!B227)</f>
        <v/>
      </c>
      <c r="C227" t="str">
        <f>IF('Equipment Information'!C227="","", 'Equipment Information'!C227)</f>
        <v/>
      </c>
      <c r="G227" t="str">
        <f t="shared" si="1"/>
        <v/>
      </c>
    </row>
    <row r="228" spans="1:7" x14ac:dyDescent="0.25">
      <c r="A228" t="str">
        <f>IF('Equipment Information'!A228="","", 'Equipment Information'!A228)</f>
        <v/>
      </c>
      <c r="B228" t="str">
        <f>IF('Equipment Information'!B228="","", 'Equipment Information'!B228)</f>
        <v/>
      </c>
      <c r="C228" t="str">
        <f>IF('Equipment Information'!C228="","", 'Equipment Information'!C228)</f>
        <v/>
      </c>
      <c r="G228" t="str">
        <f t="shared" si="1"/>
        <v/>
      </c>
    </row>
    <row r="229" spans="1:7" x14ac:dyDescent="0.25">
      <c r="A229" t="str">
        <f>IF('Equipment Information'!A229="","", 'Equipment Information'!A229)</f>
        <v/>
      </c>
      <c r="B229" t="str">
        <f>IF('Equipment Information'!B229="","", 'Equipment Information'!B229)</f>
        <v/>
      </c>
      <c r="C229" t="str">
        <f>IF('Equipment Information'!C229="","", 'Equipment Information'!C229)</f>
        <v/>
      </c>
      <c r="G229" t="str">
        <f t="shared" si="1"/>
        <v/>
      </c>
    </row>
    <row r="230" spans="1:7" x14ac:dyDescent="0.25">
      <c r="A230" t="str">
        <f>IF('Equipment Information'!A230="","", 'Equipment Information'!A230)</f>
        <v/>
      </c>
      <c r="B230" t="str">
        <f>IF('Equipment Information'!B230="","", 'Equipment Information'!B230)</f>
        <v/>
      </c>
      <c r="C230" t="str">
        <f>IF('Equipment Information'!C230="","", 'Equipment Information'!C230)</f>
        <v/>
      </c>
      <c r="G230" t="str">
        <f t="shared" si="1"/>
        <v/>
      </c>
    </row>
    <row r="231" spans="1:7" x14ac:dyDescent="0.25">
      <c r="A231" t="str">
        <f>IF('Equipment Information'!A231="","", 'Equipment Information'!A231)</f>
        <v/>
      </c>
      <c r="B231" t="str">
        <f>IF('Equipment Information'!B231="","", 'Equipment Information'!B231)</f>
        <v/>
      </c>
      <c r="C231" t="str">
        <f>IF('Equipment Information'!C231="","", 'Equipment Information'!C231)</f>
        <v/>
      </c>
      <c r="G231" t="str">
        <f t="shared" si="1"/>
        <v/>
      </c>
    </row>
    <row r="232" spans="1:7" x14ac:dyDescent="0.25">
      <c r="A232" t="str">
        <f>IF('Equipment Information'!A232="","", 'Equipment Information'!A232)</f>
        <v/>
      </c>
      <c r="B232" t="str">
        <f>IF('Equipment Information'!B232="","", 'Equipment Information'!B232)</f>
        <v/>
      </c>
      <c r="C232" t="str">
        <f>IF('Equipment Information'!C232="","", 'Equipment Information'!C232)</f>
        <v/>
      </c>
      <c r="G232" t="str">
        <f t="shared" si="1"/>
        <v/>
      </c>
    </row>
    <row r="233" spans="1:7" x14ac:dyDescent="0.25">
      <c r="A233" t="str">
        <f>IF('Equipment Information'!A233="","", 'Equipment Information'!A233)</f>
        <v/>
      </c>
      <c r="B233" t="str">
        <f>IF('Equipment Information'!B233="","", 'Equipment Information'!B233)</f>
        <v/>
      </c>
      <c r="C233" t="str">
        <f>IF('Equipment Information'!C233="","", 'Equipment Information'!C233)</f>
        <v/>
      </c>
      <c r="G233" t="str">
        <f t="shared" si="1"/>
        <v/>
      </c>
    </row>
    <row r="234" spans="1:7" x14ac:dyDescent="0.25">
      <c r="A234" t="str">
        <f>IF('Equipment Information'!A234="","", 'Equipment Information'!A234)</f>
        <v/>
      </c>
      <c r="B234" t="str">
        <f>IF('Equipment Information'!B234="","", 'Equipment Information'!B234)</f>
        <v/>
      </c>
      <c r="C234" t="str">
        <f>IF('Equipment Information'!C234="","", 'Equipment Information'!C234)</f>
        <v/>
      </c>
      <c r="G234" t="str">
        <f t="shared" si="1"/>
        <v/>
      </c>
    </row>
    <row r="235" spans="1:7" x14ac:dyDescent="0.25">
      <c r="A235" t="str">
        <f>IF('Equipment Information'!A235="","", 'Equipment Information'!A235)</f>
        <v/>
      </c>
      <c r="B235" t="str">
        <f>IF('Equipment Information'!B235="","", 'Equipment Information'!B235)</f>
        <v/>
      </c>
      <c r="C235" t="str">
        <f>IF('Equipment Information'!C235="","", 'Equipment Information'!C235)</f>
        <v/>
      </c>
      <c r="G235" t="str">
        <f t="shared" si="1"/>
        <v/>
      </c>
    </row>
    <row r="236" spans="1:7" x14ac:dyDescent="0.25">
      <c r="A236" t="str">
        <f>IF('Equipment Information'!A236="","", 'Equipment Information'!A236)</f>
        <v/>
      </c>
      <c r="B236" t="str">
        <f>IF('Equipment Information'!B236="","", 'Equipment Information'!B236)</f>
        <v/>
      </c>
      <c r="C236" t="str">
        <f>IF('Equipment Information'!C236="","", 'Equipment Information'!C236)</f>
        <v/>
      </c>
      <c r="G236" t="str">
        <f t="shared" si="1"/>
        <v/>
      </c>
    </row>
    <row r="237" spans="1:7" x14ac:dyDescent="0.25">
      <c r="A237" t="str">
        <f>IF('Equipment Information'!A237="","", 'Equipment Information'!A237)</f>
        <v/>
      </c>
      <c r="B237" t="str">
        <f>IF('Equipment Information'!B237="","", 'Equipment Information'!B237)</f>
        <v/>
      </c>
      <c r="C237" t="str">
        <f>IF('Equipment Information'!C237="","", 'Equipment Information'!C237)</f>
        <v/>
      </c>
      <c r="G237" t="str">
        <f t="shared" si="1"/>
        <v/>
      </c>
    </row>
    <row r="238" spans="1:7" x14ac:dyDescent="0.25">
      <c r="A238" t="str">
        <f>IF('Equipment Information'!A238="","", 'Equipment Information'!A238)</f>
        <v/>
      </c>
      <c r="B238" t="str">
        <f>IF('Equipment Information'!B238="","", 'Equipment Information'!B238)</f>
        <v/>
      </c>
      <c r="C238" t="str">
        <f>IF('Equipment Information'!C238="","", 'Equipment Information'!C238)</f>
        <v/>
      </c>
      <c r="G238" t="str">
        <f t="shared" si="1"/>
        <v/>
      </c>
    </row>
    <row r="239" spans="1:7" x14ac:dyDescent="0.25">
      <c r="A239" t="str">
        <f>IF('Equipment Information'!A239="","", 'Equipment Information'!A239)</f>
        <v/>
      </c>
      <c r="B239" t="str">
        <f>IF('Equipment Information'!B239="","", 'Equipment Information'!B239)</f>
        <v/>
      </c>
      <c r="C239" t="str">
        <f>IF('Equipment Information'!C239="","", 'Equipment Information'!C239)</f>
        <v/>
      </c>
      <c r="G239" t="str">
        <f t="shared" si="1"/>
        <v/>
      </c>
    </row>
    <row r="240" spans="1:7" x14ac:dyDescent="0.25">
      <c r="A240" t="str">
        <f>IF('Equipment Information'!A240="","", 'Equipment Information'!A240)</f>
        <v/>
      </c>
      <c r="B240" t="str">
        <f>IF('Equipment Information'!B240="","", 'Equipment Information'!B240)</f>
        <v/>
      </c>
      <c r="C240" t="str">
        <f>IF('Equipment Information'!C240="","", 'Equipment Information'!C240)</f>
        <v/>
      </c>
      <c r="G240" t="str">
        <f t="shared" si="1"/>
        <v/>
      </c>
    </row>
    <row r="241" spans="1:7" x14ac:dyDescent="0.25">
      <c r="A241" t="str">
        <f>IF('Equipment Information'!A241="","", 'Equipment Information'!A241)</f>
        <v/>
      </c>
      <c r="B241" t="str">
        <f>IF('Equipment Information'!B241="","", 'Equipment Information'!B241)</f>
        <v/>
      </c>
      <c r="C241" t="str">
        <f>IF('Equipment Information'!C241="","", 'Equipment Information'!C241)</f>
        <v/>
      </c>
      <c r="G241" t="str">
        <f t="shared" si="1"/>
        <v/>
      </c>
    </row>
    <row r="242" spans="1:7" x14ac:dyDescent="0.25">
      <c r="A242" t="str">
        <f>IF('Equipment Information'!A242="","", 'Equipment Information'!A242)</f>
        <v/>
      </c>
      <c r="B242" t="str">
        <f>IF('Equipment Information'!B242="","", 'Equipment Information'!B242)</f>
        <v/>
      </c>
      <c r="C242" t="str">
        <f>IF('Equipment Information'!C242="","", 'Equipment Information'!C242)</f>
        <v/>
      </c>
      <c r="G242" t="str">
        <f t="shared" si="1"/>
        <v/>
      </c>
    </row>
    <row r="243" spans="1:7" x14ac:dyDescent="0.25">
      <c r="A243" t="str">
        <f>IF('Equipment Information'!A243="","", 'Equipment Information'!A243)</f>
        <v/>
      </c>
      <c r="B243" t="str">
        <f>IF('Equipment Information'!B243="","", 'Equipment Information'!B243)</f>
        <v/>
      </c>
      <c r="C243" t="str">
        <f>IF('Equipment Information'!C243="","", 'Equipment Information'!C243)</f>
        <v/>
      </c>
      <c r="G243" t="str">
        <f t="shared" si="1"/>
        <v/>
      </c>
    </row>
    <row r="244" spans="1:7" x14ac:dyDescent="0.25">
      <c r="A244" t="str">
        <f>IF('Equipment Information'!A244="","", 'Equipment Information'!A244)</f>
        <v/>
      </c>
      <c r="B244" t="str">
        <f>IF('Equipment Information'!B244="","", 'Equipment Information'!B244)</f>
        <v/>
      </c>
      <c r="C244" t="str">
        <f>IF('Equipment Information'!C244="","", 'Equipment Information'!C244)</f>
        <v/>
      </c>
      <c r="G244" t="str">
        <f t="shared" si="1"/>
        <v/>
      </c>
    </row>
    <row r="245" spans="1:7" x14ac:dyDescent="0.25">
      <c r="A245" t="str">
        <f>IF('Equipment Information'!A245="","", 'Equipment Information'!A245)</f>
        <v/>
      </c>
      <c r="B245" t="str">
        <f>IF('Equipment Information'!B245="","", 'Equipment Information'!B245)</f>
        <v/>
      </c>
      <c r="C245" t="str">
        <f>IF('Equipment Information'!C245="","", 'Equipment Information'!C245)</f>
        <v/>
      </c>
      <c r="G245" t="str">
        <f t="shared" si="1"/>
        <v/>
      </c>
    </row>
    <row r="246" spans="1:7" x14ac:dyDescent="0.25">
      <c r="A246" t="str">
        <f>IF('Equipment Information'!A246="","", 'Equipment Information'!A246)</f>
        <v/>
      </c>
      <c r="B246" t="str">
        <f>IF('Equipment Information'!B246="","", 'Equipment Information'!B246)</f>
        <v/>
      </c>
      <c r="C246" t="str">
        <f>IF('Equipment Information'!C246="","", 'Equipment Information'!C246)</f>
        <v/>
      </c>
      <c r="G246" t="str">
        <f t="shared" si="1"/>
        <v/>
      </c>
    </row>
    <row r="247" spans="1:7" x14ac:dyDescent="0.25">
      <c r="A247" t="str">
        <f>IF('Equipment Information'!A247="","", 'Equipment Information'!A247)</f>
        <v/>
      </c>
      <c r="B247" t="str">
        <f>IF('Equipment Information'!B247="","", 'Equipment Information'!B247)</f>
        <v/>
      </c>
      <c r="C247" t="str">
        <f>IF('Equipment Information'!C247="","", 'Equipment Information'!C247)</f>
        <v/>
      </c>
      <c r="G247" t="str">
        <f t="shared" si="1"/>
        <v/>
      </c>
    </row>
    <row r="248" spans="1:7" x14ac:dyDescent="0.25">
      <c r="A248" t="str">
        <f>IF('Equipment Information'!A248="","", 'Equipment Information'!A248)</f>
        <v/>
      </c>
      <c r="B248" t="str">
        <f>IF('Equipment Information'!B248="","", 'Equipment Information'!B248)</f>
        <v/>
      </c>
      <c r="C248" t="str">
        <f>IF('Equipment Information'!C248="","", 'Equipment Information'!C248)</f>
        <v/>
      </c>
      <c r="G248" t="str">
        <f t="shared" si="1"/>
        <v/>
      </c>
    </row>
    <row r="249" spans="1:7" x14ac:dyDescent="0.25">
      <c r="A249" t="str">
        <f>IF('Equipment Information'!A249="","", 'Equipment Information'!A249)</f>
        <v/>
      </c>
      <c r="B249" t="str">
        <f>IF('Equipment Information'!B249="","", 'Equipment Information'!B249)</f>
        <v/>
      </c>
      <c r="C249" t="str">
        <f>IF('Equipment Information'!C249="","", 'Equipment Information'!C249)</f>
        <v/>
      </c>
      <c r="G249" t="str">
        <f t="shared" si="1"/>
        <v/>
      </c>
    </row>
    <row r="250" spans="1:7" x14ac:dyDescent="0.25">
      <c r="A250" t="str">
        <f>IF('Equipment Information'!A250="","", 'Equipment Information'!A250)</f>
        <v/>
      </c>
      <c r="B250" t="str">
        <f>IF('Equipment Information'!B250="","", 'Equipment Information'!B250)</f>
        <v/>
      </c>
      <c r="C250" t="str">
        <f>IF('Equipment Information'!C250="","", 'Equipment Information'!C250)</f>
        <v/>
      </c>
      <c r="G250" t="str">
        <f t="shared" si="1"/>
        <v/>
      </c>
    </row>
    <row r="251" spans="1:7" x14ac:dyDescent="0.25">
      <c r="A251" t="str">
        <f>IF('Equipment Information'!A251="","", 'Equipment Information'!A251)</f>
        <v/>
      </c>
      <c r="B251" t="str">
        <f>IF('Equipment Information'!B251="","", 'Equipment Information'!B251)</f>
        <v/>
      </c>
      <c r="C251" t="str">
        <f>IF('Equipment Information'!C251="","", 'Equipment Information'!C251)</f>
        <v/>
      </c>
      <c r="G251" t="str">
        <f t="shared" si="1"/>
        <v/>
      </c>
    </row>
    <row r="252" spans="1:7" x14ac:dyDescent="0.25">
      <c r="A252" t="str">
        <f>IF('Equipment Information'!A252="","", 'Equipment Information'!A252)</f>
        <v/>
      </c>
      <c r="B252" t="str">
        <f>IF('Equipment Information'!B252="","", 'Equipment Information'!B252)</f>
        <v/>
      </c>
      <c r="C252" t="str">
        <f>IF('Equipment Information'!C252="","", 'Equipment Information'!C252)</f>
        <v/>
      </c>
      <c r="G252" t="str">
        <f t="shared" si="1"/>
        <v/>
      </c>
    </row>
    <row r="253" spans="1:7" x14ac:dyDescent="0.25">
      <c r="A253" t="str">
        <f>IF('Equipment Information'!A253="","", 'Equipment Information'!A253)</f>
        <v/>
      </c>
      <c r="B253" t="str">
        <f>IF('Equipment Information'!B253="","", 'Equipment Information'!B253)</f>
        <v/>
      </c>
      <c r="C253" t="str">
        <f>IF('Equipment Information'!C253="","", 'Equipment Information'!C253)</f>
        <v/>
      </c>
      <c r="G253" t="str">
        <f t="shared" si="1"/>
        <v/>
      </c>
    </row>
    <row r="254" spans="1:7" x14ac:dyDescent="0.25">
      <c r="A254" t="str">
        <f>IF('Equipment Information'!A254="","", 'Equipment Information'!A254)</f>
        <v/>
      </c>
      <c r="B254" t="str">
        <f>IF('Equipment Information'!B254="","", 'Equipment Information'!B254)</f>
        <v/>
      </c>
      <c r="C254" t="str">
        <f>IF('Equipment Information'!C254="","", 'Equipment Information'!C254)</f>
        <v/>
      </c>
      <c r="G254" t="str">
        <f t="shared" si="1"/>
        <v/>
      </c>
    </row>
    <row r="255" spans="1:7" x14ac:dyDescent="0.25">
      <c r="A255" t="str">
        <f>IF('Equipment Information'!A255="","", 'Equipment Information'!A255)</f>
        <v/>
      </c>
      <c r="B255" t="str">
        <f>IF('Equipment Information'!B255="","", 'Equipment Information'!B255)</f>
        <v/>
      </c>
      <c r="C255" t="str">
        <f>IF('Equipment Information'!C255="","", 'Equipment Information'!C255)</f>
        <v/>
      </c>
      <c r="G255" t="str">
        <f t="shared" si="1"/>
        <v/>
      </c>
    </row>
    <row r="256" spans="1:7" x14ac:dyDescent="0.25">
      <c r="A256" t="str">
        <f>IF('Equipment Information'!A256="","", 'Equipment Information'!A256)</f>
        <v/>
      </c>
      <c r="B256" t="str">
        <f>IF('Equipment Information'!B256="","", 'Equipment Information'!B256)</f>
        <v/>
      </c>
      <c r="C256" t="str">
        <f>IF('Equipment Information'!C256="","", 'Equipment Information'!C256)</f>
        <v/>
      </c>
      <c r="G256" t="str">
        <f t="shared" si="1"/>
        <v/>
      </c>
    </row>
    <row r="257" spans="1:7" x14ac:dyDescent="0.25">
      <c r="A257" t="str">
        <f>IF('Equipment Information'!A257="","", 'Equipment Information'!A257)</f>
        <v/>
      </c>
      <c r="B257" t="str">
        <f>IF('Equipment Information'!B257="","", 'Equipment Information'!B257)</f>
        <v/>
      </c>
      <c r="C257" t="str">
        <f>IF('Equipment Information'!C257="","", 'Equipment Information'!C257)</f>
        <v/>
      </c>
      <c r="G257" t="str">
        <f t="shared" si="1"/>
        <v/>
      </c>
    </row>
    <row r="258" spans="1:7" x14ac:dyDescent="0.25">
      <c r="A258" t="str">
        <f>IF('Equipment Information'!A258="","", 'Equipment Information'!A258)</f>
        <v/>
      </c>
      <c r="B258" t="str">
        <f>IF('Equipment Information'!B258="","", 'Equipment Information'!B258)</f>
        <v/>
      </c>
      <c r="C258" t="str">
        <f>IF('Equipment Information'!C258="","", 'Equipment Information'!C258)</f>
        <v/>
      </c>
      <c r="G258" t="str">
        <f t="shared" si="1"/>
        <v/>
      </c>
    </row>
    <row r="259" spans="1:7" x14ac:dyDescent="0.25">
      <c r="A259" t="str">
        <f>IF('Equipment Information'!A259="","", 'Equipment Information'!A259)</f>
        <v/>
      </c>
      <c r="B259" t="str">
        <f>IF('Equipment Information'!B259="","", 'Equipment Information'!B259)</f>
        <v/>
      </c>
      <c r="C259" t="str">
        <f>IF('Equipment Information'!C259="","", 'Equipment Information'!C259)</f>
        <v/>
      </c>
      <c r="G259" t="str">
        <f t="shared" si="1"/>
        <v/>
      </c>
    </row>
    <row r="260" spans="1:7" x14ac:dyDescent="0.25">
      <c r="A260" t="str">
        <f>IF('Equipment Information'!A260="","", 'Equipment Information'!A260)</f>
        <v/>
      </c>
      <c r="B260" t="str">
        <f>IF('Equipment Information'!B260="","", 'Equipment Information'!B260)</f>
        <v/>
      </c>
      <c r="C260" t="str">
        <f>IF('Equipment Information'!C260="","", 'Equipment Information'!C260)</f>
        <v/>
      </c>
      <c r="G260" t="str">
        <f t="shared" si="1"/>
        <v/>
      </c>
    </row>
    <row r="261" spans="1:7" x14ac:dyDescent="0.25">
      <c r="A261" t="str">
        <f>IF('Equipment Information'!A261="","", 'Equipment Information'!A261)</f>
        <v/>
      </c>
      <c r="B261" t="str">
        <f>IF('Equipment Information'!B261="","", 'Equipment Information'!B261)</f>
        <v/>
      </c>
      <c r="C261" t="str">
        <f>IF('Equipment Information'!C261="","", 'Equipment Information'!C261)</f>
        <v/>
      </c>
      <c r="G261" t="str">
        <f t="shared" si="1"/>
        <v/>
      </c>
    </row>
    <row r="262" spans="1:7" x14ac:dyDescent="0.25">
      <c r="A262" t="str">
        <f>IF('Equipment Information'!A262="","", 'Equipment Information'!A262)</f>
        <v/>
      </c>
      <c r="B262" t="str">
        <f>IF('Equipment Information'!B262="","", 'Equipment Information'!B262)</f>
        <v/>
      </c>
      <c r="C262" t="str">
        <f>IF('Equipment Information'!C262="","", 'Equipment Information'!C262)</f>
        <v/>
      </c>
      <c r="G262" t="str">
        <f t="shared" si="1"/>
        <v/>
      </c>
    </row>
    <row r="263" spans="1:7" x14ac:dyDescent="0.25">
      <c r="A263" t="str">
        <f>IF('Equipment Information'!A263="","", 'Equipment Information'!A263)</f>
        <v/>
      </c>
      <c r="B263" t="str">
        <f>IF('Equipment Information'!B263="","", 'Equipment Information'!B263)</f>
        <v/>
      </c>
      <c r="C263" t="str">
        <f>IF('Equipment Information'!C263="","", 'Equipment Information'!C263)</f>
        <v/>
      </c>
      <c r="G263" t="str">
        <f t="shared" si="1"/>
        <v/>
      </c>
    </row>
    <row r="264" spans="1:7" x14ac:dyDescent="0.25">
      <c r="A264" t="str">
        <f>IF('Equipment Information'!A264="","", 'Equipment Information'!A264)</f>
        <v/>
      </c>
      <c r="B264" t="str">
        <f>IF('Equipment Information'!B264="","", 'Equipment Information'!B264)</f>
        <v/>
      </c>
      <c r="C264" t="str">
        <f>IF('Equipment Information'!C264="","", 'Equipment Information'!C264)</f>
        <v/>
      </c>
      <c r="G264" t="str">
        <f t="shared" si="1"/>
        <v/>
      </c>
    </row>
    <row r="265" spans="1:7" x14ac:dyDescent="0.25">
      <c r="A265" t="str">
        <f>IF('Equipment Information'!A265="","", 'Equipment Information'!A265)</f>
        <v/>
      </c>
      <c r="B265" t="str">
        <f>IF('Equipment Information'!B265="","", 'Equipment Information'!B265)</f>
        <v/>
      </c>
      <c r="C265" t="str">
        <f>IF('Equipment Information'!C265="","", 'Equipment Information'!C265)</f>
        <v/>
      </c>
      <c r="G265" t="str">
        <f t="shared" si="1"/>
        <v/>
      </c>
    </row>
    <row r="266" spans="1:7" x14ac:dyDescent="0.25">
      <c r="A266" t="str">
        <f>IF('Equipment Information'!A266="","", 'Equipment Information'!A266)</f>
        <v/>
      </c>
      <c r="B266" t="str">
        <f>IF('Equipment Information'!B266="","", 'Equipment Information'!B266)</f>
        <v/>
      </c>
      <c r="C266" t="str">
        <f>IF('Equipment Information'!C266="","", 'Equipment Information'!C266)</f>
        <v/>
      </c>
      <c r="G266" t="str">
        <f t="shared" si="1"/>
        <v/>
      </c>
    </row>
    <row r="267" spans="1:7" x14ac:dyDescent="0.25">
      <c r="A267" t="str">
        <f>IF('Equipment Information'!A267="","", 'Equipment Information'!A267)</f>
        <v/>
      </c>
      <c r="B267" t="str">
        <f>IF('Equipment Information'!B267="","", 'Equipment Information'!B267)</f>
        <v/>
      </c>
      <c r="C267" t="str">
        <f>IF('Equipment Information'!C267="","", 'Equipment Information'!C267)</f>
        <v/>
      </c>
      <c r="G267" t="str">
        <f t="shared" si="1"/>
        <v/>
      </c>
    </row>
    <row r="268" spans="1:7" x14ac:dyDescent="0.25">
      <c r="A268" t="str">
        <f>IF('Equipment Information'!A268="","", 'Equipment Information'!A268)</f>
        <v/>
      </c>
      <c r="B268" t="str">
        <f>IF('Equipment Information'!B268="","", 'Equipment Information'!B268)</f>
        <v/>
      </c>
      <c r="C268" t="str">
        <f>IF('Equipment Information'!C268="","", 'Equipment Information'!C268)</f>
        <v/>
      </c>
      <c r="G268" t="str">
        <f t="shared" si="1"/>
        <v/>
      </c>
    </row>
    <row r="269" spans="1:7" x14ac:dyDescent="0.25">
      <c r="A269" t="str">
        <f>IF('Equipment Information'!A269="","", 'Equipment Information'!A269)</f>
        <v/>
      </c>
      <c r="B269" t="str">
        <f>IF('Equipment Information'!B269="","", 'Equipment Information'!B269)</f>
        <v/>
      </c>
      <c r="C269" t="str">
        <f>IF('Equipment Information'!C269="","", 'Equipment Information'!C269)</f>
        <v/>
      </c>
      <c r="G269" t="str">
        <f t="shared" si="1"/>
        <v/>
      </c>
    </row>
    <row r="270" spans="1:7" x14ac:dyDescent="0.25">
      <c r="A270" t="str">
        <f>IF('Equipment Information'!A270="","", 'Equipment Information'!A270)</f>
        <v/>
      </c>
      <c r="B270" t="str">
        <f>IF('Equipment Information'!B270="","", 'Equipment Information'!B270)</f>
        <v/>
      </c>
      <c r="C270" t="str">
        <f>IF('Equipment Information'!C270="","", 'Equipment Information'!C270)</f>
        <v/>
      </c>
      <c r="G270" t="str">
        <f t="shared" si="1"/>
        <v/>
      </c>
    </row>
    <row r="271" spans="1:7" x14ac:dyDescent="0.25">
      <c r="A271" t="str">
        <f>IF('Equipment Information'!A271="","", 'Equipment Information'!A271)</f>
        <v/>
      </c>
      <c r="B271" t="str">
        <f>IF('Equipment Information'!B271="","", 'Equipment Information'!B271)</f>
        <v/>
      </c>
      <c r="C271" t="str">
        <f>IF('Equipment Information'!C271="","", 'Equipment Information'!C271)</f>
        <v/>
      </c>
      <c r="G271" t="str">
        <f t="shared" si="1"/>
        <v/>
      </c>
    </row>
    <row r="272" spans="1:7" x14ac:dyDescent="0.25">
      <c r="A272" t="str">
        <f>IF('Equipment Information'!A272="","", 'Equipment Information'!A272)</f>
        <v/>
      </c>
      <c r="B272" t="str">
        <f>IF('Equipment Information'!B272="","", 'Equipment Information'!B272)</f>
        <v/>
      </c>
      <c r="C272" t="str">
        <f>IF('Equipment Information'!C272="","", 'Equipment Information'!C272)</f>
        <v/>
      </c>
      <c r="G272" t="str">
        <f t="shared" si="1"/>
        <v/>
      </c>
    </row>
    <row r="273" spans="1:7" x14ac:dyDescent="0.25">
      <c r="A273" t="str">
        <f>IF('Equipment Information'!A273="","", 'Equipment Information'!A273)</f>
        <v/>
      </c>
      <c r="B273" t="str">
        <f>IF('Equipment Information'!B273="","", 'Equipment Information'!B273)</f>
        <v/>
      </c>
      <c r="C273" t="str">
        <f>IF('Equipment Information'!C273="","", 'Equipment Information'!C273)</f>
        <v/>
      </c>
      <c r="G273" t="str">
        <f t="shared" si="1"/>
        <v/>
      </c>
    </row>
    <row r="274" spans="1:7" x14ac:dyDescent="0.25">
      <c r="A274" t="str">
        <f>IF('Equipment Information'!A274="","", 'Equipment Information'!A274)</f>
        <v/>
      </c>
      <c r="B274" t="str">
        <f>IF('Equipment Information'!B274="","", 'Equipment Information'!B274)</f>
        <v/>
      </c>
      <c r="C274" t="str">
        <f>IF('Equipment Information'!C274="","", 'Equipment Information'!C274)</f>
        <v/>
      </c>
      <c r="G274" t="str">
        <f t="shared" si="1"/>
        <v/>
      </c>
    </row>
    <row r="275" spans="1:7" x14ac:dyDescent="0.25">
      <c r="A275" t="str">
        <f>IF('Equipment Information'!A275="","", 'Equipment Information'!A275)</f>
        <v/>
      </c>
      <c r="B275" t="str">
        <f>IF('Equipment Information'!B275="","", 'Equipment Information'!B275)</f>
        <v/>
      </c>
      <c r="C275" t="str">
        <f>IF('Equipment Information'!C275="","", 'Equipment Information'!C275)</f>
        <v/>
      </c>
      <c r="G275" t="str">
        <f t="shared" si="1"/>
        <v/>
      </c>
    </row>
    <row r="276" spans="1:7" x14ac:dyDescent="0.25">
      <c r="A276" t="str">
        <f>IF('Equipment Information'!A276="","", 'Equipment Information'!A276)</f>
        <v/>
      </c>
      <c r="B276" t="str">
        <f>IF('Equipment Information'!B276="","", 'Equipment Information'!B276)</f>
        <v/>
      </c>
      <c r="C276" t="str">
        <f>IF('Equipment Information'!C276="","", 'Equipment Information'!C276)</f>
        <v/>
      </c>
      <c r="G276" t="str">
        <f t="shared" si="1"/>
        <v/>
      </c>
    </row>
    <row r="277" spans="1:7" x14ac:dyDescent="0.25">
      <c r="A277" t="str">
        <f>IF('Equipment Information'!A277="","", 'Equipment Information'!A277)</f>
        <v/>
      </c>
      <c r="B277" t="str">
        <f>IF('Equipment Information'!B277="","", 'Equipment Information'!B277)</f>
        <v/>
      </c>
      <c r="C277" t="str">
        <f>IF('Equipment Information'!C277="","", 'Equipment Information'!C277)</f>
        <v/>
      </c>
      <c r="G277" t="str">
        <f t="shared" si="1"/>
        <v/>
      </c>
    </row>
    <row r="278" spans="1:7" x14ac:dyDescent="0.25">
      <c r="A278" t="str">
        <f>IF('Equipment Information'!A278="","", 'Equipment Information'!A278)</f>
        <v/>
      </c>
      <c r="B278" t="str">
        <f>IF('Equipment Information'!B278="","", 'Equipment Information'!B278)</f>
        <v/>
      </c>
      <c r="C278" t="str">
        <f>IF('Equipment Information'!C278="","", 'Equipment Information'!C278)</f>
        <v/>
      </c>
      <c r="G278" t="str">
        <f t="shared" si="1"/>
        <v/>
      </c>
    </row>
    <row r="279" spans="1:7" x14ac:dyDescent="0.25">
      <c r="A279" t="str">
        <f>IF('Equipment Information'!A279="","", 'Equipment Information'!A279)</f>
        <v/>
      </c>
      <c r="B279" t="str">
        <f>IF('Equipment Information'!B279="","", 'Equipment Information'!B279)</f>
        <v/>
      </c>
      <c r="C279" t="str">
        <f>IF('Equipment Information'!C279="","", 'Equipment Information'!C279)</f>
        <v/>
      </c>
      <c r="G279" t="str">
        <f t="shared" si="1"/>
        <v/>
      </c>
    </row>
    <row r="280" spans="1:7" x14ac:dyDescent="0.25">
      <c r="A280" t="str">
        <f>IF('Equipment Information'!A280="","", 'Equipment Information'!A280)</f>
        <v/>
      </c>
      <c r="B280" t="str">
        <f>IF('Equipment Information'!B280="","", 'Equipment Information'!B280)</f>
        <v/>
      </c>
      <c r="C280" t="str">
        <f>IF('Equipment Information'!C280="","", 'Equipment Information'!C280)</f>
        <v/>
      </c>
      <c r="G280" t="str">
        <f t="shared" si="1"/>
        <v/>
      </c>
    </row>
    <row r="281" spans="1:7" x14ac:dyDescent="0.25">
      <c r="A281" t="str">
        <f>IF('Equipment Information'!A281="","", 'Equipment Information'!A281)</f>
        <v/>
      </c>
      <c r="B281" t="str">
        <f>IF('Equipment Information'!B281="","", 'Equipment Information'!B281)</f>
        <v/>
      </c>
      <c r="C281" t="str">
        <f>IF('Equipment Information'!C281="","", 'Equipment Information'!C281)</f>
        <v/>
      </c>
      <c r="G281" t="str">
        <f t="shared" si="1"/>
        <v/>
      </c>
    </row>
    <row r="282" spans="1:7" x14ac:dyDescent="0.25">
      <c r="A282" t="str">
        <f>IF('Equipment Information'!A282="","", 'Equipment Information'!A282)</f>
        <v/>
      </c>
      <c r="B282" t="str">
        <f>IF('Equipment Information'!B282="","", 'Equipment Information'!B282)</f>
        <v/>
      </c>
      <c r="C282" t="str">
        <f>IF('Equipment Information'!C282="","", 'Equipment Information'!C282)</f>
        <v/>
      </c>
      <c r="G282" t="str">
        <f t="shared" si="1"/>
        <v/>
      </c>
    </row>
    <row r="283" spans="1:7" x14ac:dyDescent="0.25">
      <c r="A283" t="str">
        <f>IF('Equipment Information'!A283="","", 'Equipment Information'!A283)</f>
        <v/>
      </c>
      <c r="B283" t="str">
        <f>IF('Equipment Information'!B283="","", 'Equipment Information'!B283)</f>
        <v/>
      </c>
      <c r="C283" t="str">
        <f>IF('Equipment Information'!C283="","", 'Equipment Information'!C283)</f>
        <v/>
      </c>
      <c r="G283" t="str">
        <f t="shared" si="1"/>
        <v/>
      </c>
    </row>
    <row r="284" spans="1:7" x14ac:dyDescent="0.25">
      <c r="A284" t="str">
        <f>IF('Equipment Information'!A284="","", 'Equipment Information'!A284)</f>
        <v/>
      </c>
      <c r="B284" t="str">
        <f>IF('Equipment Information'!B284="","", 'Equipment Information'!B284)</f>
        <v/>
      </c>
      <c r="C284" t="str">
        <f>IF('Equipment Information'!C284="","", 'Equipment Information'!C284)</f>
        <v/>
      </c>
      <c r="G284" t="str">
        <f t="shared" si="1"/>
        <v/>
      </c>
    </row>
    <row r="285" spans="1:7" x14ac:dyDescent="0.25">
      <c r="A285" t="str">
        <f>IF('Equipment Information'!A285="","", 'Equipment Information'!A285)</f>
        <v/>
      </c>
      <c r="B285" t="str">
        <f>IF('Equipment Information'!B285="","", 'Equipment Information'!B285)</f>
        <v/>
      </c>
      <c r="C285" t="str">
        <f>IF('Equipment Information'!C285="","", 'Equipment Information'!C285)</f>
        <v/>
      </c>
      <c r="G285" t="str">
        <f t="shared" ref="G285:G348" si="2">IF(A285="","","N/A")</f>
        <v/>
      </c>
    </row>
    <row r="286" spans="1:7" x14ac:dyDescent="0.25">
      <c r="A286" t="str">
        <f>IF('Equipment Information'!A286="","", 'Equipment Information'!A286)</f>
        <v/>
      </c>
      <c r="B286" t="str">
        <f>IF('Equipment Information'!B286="","", 'Equipment Information'!B286)</f>
        <v/>
      </c>
      <c r="C286" t="str">
        <f>IF('Equipment Information'!C286="","", 'Equipment Information'!C286)</f>
        <v/>
      </c>
      <c r="G286" t="str">
        <f t="shared" si="2"/>
        <v/>
      </c>
    </row>
    <row r="287" spans="1:7" x14ac:dyDescent="0.25">
      <c r="A287" t="str">
        <f>IF('Equipment Information'!A287="","", 'Equipment Information'!A287)</f>
        <v/>
      </c>
      <c r="B287" t="str">
        <f>IF('Equipment Information'!B287="","", 'Equipment Information'!B287)</f>
        <v/>
      </c>
      <c r="C287" t="str">
        <f>IF('Equipment Information'!C287="","", 'Equipment Information'!C287)</f>
        <v/>
      </c>
      <c r="G287" t="str">
        <f t="shared" si="2"/>
        <v/>
      </c>
    </row>
    <row r="288" spans="1:7" x14ac:dyDescent="0.25">
      <c r="A288" t="str">
        <f>IF('Equipment Information'!A288="","", 'Equipment Information'!A288)</f>
        <v/>
      </c>
      <c r="B288" t="str">
        <f>IF('Equipment Information'!B288="","", 'Equipment Information'!B288)</f>
        <v/>
      </c>
      <c r="C288" t="str">
        <f>IF('Equipment Information'!C288="","", 'Equipment Information'!C288)</f>
        <v/>
      </c>
      <c r="G288" t="str">
        <f t="shared" si="2"/>
        <v/>
      </c>
    </row>
    <row r="289" spans="1:7" x14ac:dyDescent="0.25">
      <c r="A289" t="str">
        <f>IF('Equipment Information'!A289="","", 'Equipment Information'!A289)</f>
        <v/>
      </c>
      <c r="B289" t="str">
        <f>IF('Equipment Information'!B289="","", 'Equipment Information'!B289)</f>
        <v/>
      </c>
      <c r="C289" t="str">
        <f>IF('Equipment Information'!C289="","", 'Equipment Information'!C289)</f>
        <v/>
      </c>
      <c r="G289" t="str">
        <f t="shared" si="2"/>
        <v/>
      </c>
    </row>
    <row r="290" spans="1:7" x14ac:dyDescent="0.25">
      <c r="A290" t="str">
        <f>IF('Equipment Information'!A290="","", 'Equipment Information'!A290)</f>
        <v/>
      </c>
      <c r="B290" t="str">
        <f>IF('Equipment Information'!B290="","", 'Equipment Information'!B290)</f>
        <v/>
      </c>
      <c r="C290" t="str">
        <f>IF('Equipment Information'!C290="","", 'Equipment Information'!C290)</f>
        <v/>
      </c>
      <c r="G290" t="str">
        <f t="shared" si="2"/>
        <v/>
      </c>
    </row>
    <row r="291" spans="1:7" x14ac:dyDescent="0.25">
      <c r="A291" t="str">
        <f>IF('Equipment Information'!A291="","", 'Equipment Information'!A291)</f>
        <v/>
      </c>
      <c r="B291" t="str">
        <f>IF('Equipment Information'!B291="","", 'Equipment Information'!B291)</f>
        <v/>
      </c>
      <c r="C291" t="str">
        <f>IF('Equipment Information'!C291="","", 'Equipment Information'!C291)</f>
        <v/>
      </c>
      <c r="G291" t="str">
        <f t="shared" si="2"/>
        <v/>
      </c>
    </row>
    <row r="292" spans="1:7" x14ac:dyDescent="0.25">
      <c r="A292" t="str">
        <f>IF('Equipment Information'!A292="","", 'Equipment Information'!A292)</f>
        <v/>
      </c>
      <c r="B292" t="str">
        <f>IF('Equipment Information'!B292="","", 'Equipment Information'!B292)</f>
        <v/>
      </c>
      <c r="C292" t="str">
        <f>IF('Equipment Information'!C292="","", 'Equipment Information'!C292)</f>
        <v/>
      </c>
      <c r="G292" t="str">
        <f t="shared" si="2"/>
        <v/>
      </c>
    </row>
    <row r="293" spans="1:7" x14ac:dyDescent="0.25">
      <c r="A293" t="str">
        <f>IF('Equipment Information'!A293="","", 'Equipment Information'!A293)</f>
        <v/>
      </c>
      <c r="B293" t="str">
        <f>IF('Equipment Information'!B293="","", 'Equipment Information'!B293)</f>
        <v/>
      </c>
      <c r="C293" t="str">
        <f>IF('Equipment Information'!C293="","", 'Equipment Information'!C293)</f>
        <v/>
      </c>
      <c r="G293" t="str">
        <f t="shared" si="2"/>
        <v/>
      </c>
    </row>
    <row r="294" spans="1:7" x14ac:dyDescent="0.25">
      <c r="A294" t="str">
        <f>IF('Equipment Information'!A294="","", 'Equipment Information'!A294)</f>
        <v/>
      </c>
      <c r="B294" t="str">
        <f>IF('Equipment Information'!B294="","", 'Equipment Information'!B294)</f>
        <v/>
      </c>
      <c r="C294" t="str">
        <f>IF('Equipment Information'!C294="","", 'Equipment Information'!C294)</f>
        <v/>
      </c>
      <c r="G294" t="str">
        <f t="shared" si="2"/>
        <v/>
      </c>
    </row>
    <row r="295" spans="1:7" x14ac:dyDescent="0.25">
      <c r="A295" t="str">
        <f>IF('Equipment Information'!A295="","", 'Equipment Information'!A295)</f>
        <v/>
      </c>
      <c r="B295" t="str">
        <f>IF('Equipment Information'!B295="","", 'Equipment Information'!B295)</f>
        <v/>
      </c>
      <c r="C295" t="str">
        <f>IF('Equipment Information'!C295="","", 'Equipment Information'!C295)</f>
        <v/>
      </c>
      <c r="G295" t="str">
        <f t="shared" si="2"/>
        <v/>
      </c>
    </row>
    <row r="296" spans="1:7" x14ac:dyDescent="0.25">
      <c r="A296" t="str">
        <f>IF('Equipment Information'!A296="","", 'Equipment Information'!A296)</f>
        <v/>
      </c>
      <c r="B296" t="str">
        <f>IF('Equipment Information'!B296="","", 'Equipment Information'!B296)</f>
        <v/>
      </c>
      <c r="C296" t="str">
        <f>IF('Equipment Information'!C296="","", 'Equipment Information'!C296)</f>
        <v/>
      </c>
      <c r="G296" t="str">
        <f t="shared" si="2"/>
        <v/>
      </c>
    </row>
    <row r="297" spans="1:7" x14ac:dyDescent="0.25">
      <c r="A297" t="str">
        <f>IF('Equipment Information'!A297="","", 'Equipment Information'!A297)</f>
        <v/>
      </c>
      <c r="B297" t="str">
        <f>IF('Equipment Information'!B297="","", 'Equipment Information'!B297)</f>
        <v/>
      </c>
      <c r="C297" t="str">
        <f>IF('Equipment Information'!C297="","", 'Equipment Information'!C297)</f>
        <v/>
      </c>
      <c r="G297" t="str">
        <f t="shared" si="2"/>
        <v/>
      </c>
    </row>
    <row r="298" spans="1:7" x14ac:dyDescent="0.25">
      <c r="A298" t="str">
        <f>IF('Equipment Information'!A298="","", 'Equipment Information'!A298)</f>
        <v/>
      </c>
      <c r="B298" t="str">
        <f>IF('Equipment Information'!B298="","", 'Equipment Information'!B298)</f>
        <v/>
      </c>
      <c r="C298" t="str">
        <f>IF('Equipment Information'!C298="","", 'Equipment Information'!C298)</f>
        <v/>
      </c>
      <c r="G298" t="str">
        <f t="shared" si="2"/>
        <v/>
      </c>
    </row>
    <row r="299" spans="1:7" x14ac:dyDescent="0.25">
      <c r="A299" t="str">
        <f>IF('Equipment Information'!A299="","", 'Equipment Information'!A299)</f>
        <v/>
      </c>
      <c r="B299" t="str">
        <f>IF('Equipment Information'!B299="","", 'Equipment Information'!B299)</f>
        <v/>
      </c>
      <c r="C299" t="str">
        <f>IF('Equipment Information'!C299="","", 'Equipment Information'!C299)</f>
        <v/>
      </c>
      <c r="G299" t="str">
        <f t="shared" si="2"/>
        <v/>
      </c>
    </row>
    <row r="300" spans="1:7" x14ac:dyDescent="0.25">
      <c r="A300" t="str">
        <f>IF('Equipment Information'!A300="","", 'Equipment Information'!A300)</f>
        <v/>
      </c>
      <c r="B300" t="str">
        <f>IF('Equipment Information'!B300="","", 'Equipment Information'!B300)</f>
        <v/>
      </c>
      <c r="C300" t="str">
        <f>IF('Equipment Information'!C300="","", 'Equipment Information'!C300)</f>
        <v/>
      </c>
      <c r="G300" t="str">
        <f t="shared" si="2"/>
        <v/>
      </c>
    </row>
    <row r="301" spans="1:7" x14ac:dyDescent="0.25">
      <c r="A301" t="str">
        <f>IF('Equipment Information'!A301="","", 'Equipment Information'!A301)</f>
        <v/>
      </c>
      <c r="B301" t="str">
        <f>IF('Equipment Information'!B301="","", 'Equipment Information'!B301)</f>
        <v/>
      </c>
      <c r="C301" t="str">
        <f>IF('Equipment Information'!C301="","", 'Equipment Information'!C301)</f>
        <v/>
      </c>
      <c r="G301" t="str">
        <f t="shared" si="2"/>
        <v/>
      </c>
    </row>
    <row r="302" spans="1:7" x14ac:dyDescent="0.25">
      <c r="A302" t="str">
        <f>IF('Equipment Information'!A302="","", 'Equipment Information'!A302)</f>
        <v/>
      </c>
      <c r="B302" t="str">
        <f>IF('Equipment Information'!B302="","", 'Equipment Information'!B302)</f>
        <v/>
      </c>
      <c r="C302" t="str">
        <f>IF('Equipment Information'!C302="","", 'Equipment Information'!C302)</f>
        <v/>
      </c>
      <c r="G302" t="str">
        <f t="shared" si="2"/>
        <v/>
      </c>
    </row>
    <row r="303" spans="1:7" x14ac:dyDescent="0.25">
      <c r="A303" t="str">
        <f>IF('Equipment Information'!A303="","", 'Equipment Information'!A303)</f>
        <v/>
      </c>
      <c r="B303" t="str">
        <f>IF('Equipment Information'!B303="","", 'Equipment Information'!B303)</f>
        <v/>
      </c>
      <c r="C303" t="str">
        <f>IF('Equipment Information'!C303="","", 'Equipment Information'!C303)</f>
        <v/>
      </c>
      <c r="G303" t="str">
        <f t="shared" si="2"/>
        <v/>
      </c>
    </row>
    <row r="304" spans="1:7" x14ac:dyDescent="0.25">
      <c r="A304" t="str">
        <f>IF('Equipment Information'!A304="","", 'Equipment Information'!A304)</f>
        <v/>
      </c>
      <c r="B304" t="str">
        <f>IF('Equipment Information'!B304="","", 'Equipment Information'!B304)</f>
        <v/>
      </c>
      <c r="C304" t="str">
        <f>IF('Equipment Information'!C304="","", 'Equipment Information'!C304)</f>
        <v/>
      </c>
      <c r="G304" t="str">
        <f t="shared" si="2"/>
        <v/>
      </c>
    </row>
    <row r="305" spans="1:7" x14ac:dyDescent="0.25">
      <c r="A305" t="str">
        <f>IF('Equipment Information'!A305="","", 'Equipment Information'!A305)</f>
        <v/>
      </c>
      <c r="B305" t="str">
        <f>IF('Equipment Information'!B305="","", 'Equipment Information'!B305)</f>
        <v/>
      </c>
      <c r="C305" t="str">
        <f>IF('Equipment Information'!C305="","", 'Equipment Information'!C305)</f>
        <v/>
      </c>
      <c r="G305" t="str">
        <f t="shared" si="2"/>
        <v/>
      </c>
    </row>
    <row r="306" spans="1:7" x14ac:dyDescent="0.25">
      <c r="A306" t="str">
        <f>IF('Equipment Information'!A306="","", 'Equipment Information'!A306)</f>
        <v/>
      </c>
      <c r="B306" t="str">
        <f>IF('Equipment Information'!B306="","", 'Equipment Information'!B306)</f>
        <v/>
      </c>
      <c r="C306" t="str">
        <f>IF('Equipment Information'!C306="","", 'Equipment Information'!C306)</f>
        <v/>
      </c>
      <c r="G306" t="str">
        <f t="shared" si="2"/>
        <v/>
      </c>
    </row>
    <row r="307" spans="1:7" x14ac:dyDescent="0.25">
      <c r="A307" t="str">
        <f>IF('Equipment Information'!A307="","", 'Equipment Information'!A307)</f>
        <v/>
      </c>
      <c r="B307" t="str">
        <f>IF('Equipment Information'!B307="","", 'Equipment Information'!B307)</f>
        <v/>
      </c>
      <c r="C307" t="str">
        <f>IF('Equipment Information'!C307="","", 'Equipment Information'!C307)</f>
        <v/>
      </c>
      <c r="G307" t="str">
        <f t="shared" si="2"/>
        <v/>
      </c>
    </row>
    <row r="308" spans="1:7" x14ac:dyDescent="0.25">
      <c r="A308" t="str">
        <f>IF('Equipment Information'!A308="","", 'Equipment Information'!A308)</f>
        <v/>
      </c>
      <c r="B308" t="str">
        <f>IF('Equipment Information'!B308="","", 'Equipment Information'!B308)</f>
        <v/>
      </c>
      <c r="C308" t="str">
        <f>IF('Equipment Information'!C308="","", 'Equipment Information'!C308)</f>
        <v/>
      </c>
      <c r="G308" t="str">
        <f t="shared" si="2"/>
        <v/>
      </c>
    </row>
    <row r="309" spans="1:7" x14ac:dyDescent="0.25">
      <c r="A309" t="str">
        <f>IF('Equipment Information'!A309="","", 'Equipment Information'!A309)</f>
        <v/>
      </c>
      <c r="B309" t="str">
        <f>IF('Equipment Information'!B309="","", 'Equipment Information'!B309)</f>
        <v/>
      </c>
      <c r="C309" t="str">
        <f>IF('Equipment Information'!C309="","", 'Equipment Information'!C309)</f>
        <v/>
      </c>
      <c r="G309" t="str">
        <f t="shared" si="2"/>
        <v/>
      </c>
    </row>
    <row r="310" spans="1:7" x14ac:dyDescent="0.25">
      <c r="A310" t="str">
        <f>IF('Equipment Information'!A310="","", 'Equipment Information'!A310)</f>
        <v/>
      </c>
      <c r="B310" t="str">
        <f>IF('Equipment Information'!B310="","", 'Equipment Information'!B310)</f>
        <v/>
      </c>
      <c r="C310" t="str">
        <f>IF('Equipment Information'!C310="","", 'Equipment Information'!C310)</f>
        <v/>
      </c>
      <c r="G310" t="str">
        <f t="shared" si="2"/>
        <v/>
      </c>
    </row>
    <row r="311" spans="1:7" x14ac:dyDescent="0.25">
      <c r="A311" t="str">
        <f>IF('Equipment Information'!A311="","", 'Equipment Information'!A311)</f>
        <v/>
      </c>
      <c r="B311" t="str">
        <f>IF('Equipment Information'!B311="","", 'Equipment Information'!B311)</f>
        <v/>
      </c>
      <c r="C311" t="str">
        <f>IF('Equipment Information'!C311="","", 'Equipment Information'!C311)</f>
        <v/>
      </c>
      <c r="G311" t="str">
        <f t="shared" si="2"/>
        <v/>
      </c>
    </row>
    <row r="312" spans="1:7" x14ac:dyDescent="0.25">
      <c r="A312" t="str">
        <f>IF('Equipment Information'!A312="","", 'Equipment Information'!A312)</f>
        <v/>
      </c>
      <c r="B312" t="str">
        <f>IF('Equipment Information'!B312="","", 'Equipment Information'!B312)</f>
        <v/>
      </c>
      <c r="C312" t="str">
        <f>IF('Equipment Information'!C312="","", 'Equipment Information'!C312)</f>
        <v/>
      </c>
      <c r="G312" t="str">
        <f t="shared" si="2"/>
        <v/>
      </c>
    </row>
    <row r="313" spans="1:7" x14ac:dyDescent="0.25">
      <c r="A313" t="str">
        <f>IF('Equipment Information'!A313="","", 'Equipment Information'!A313)</f>
        <v/>
      </c>
      <c r="B313" t="str">
        <f>IF('Equipment Information'!B313="","", 'Equipment Information'!B313)</f>
        <v/>
      </c>
      <c r="C313" t="str">
        <f>IF('Equipment Information'!C313="","", 'Equipment Information'!C313)</f>
        <v/>
      </c>
      <c r="G313" t="str">
        <f t="shared" si="2"/>
        <v/>
      </c>
    </row>
    <row r="314" spans="1:7" x14ac:dyDescent="0.25">
      <c r="A314" t="str">
        <f>IF('Equipment Information'!A314="","", 'Equipment Information'!A314)</f>
        <v/>
      </c>
      <c r="B314" t="str">
        <f>IF('Equipment Information'!B314="","", 'Equipment Information'!B314)</f>
        <v/>
      </c>
      <c r="C314" t="str">
        <f>IF('Equipment Information'!C314="","", 'Equipment Information'!C314)</f>
        <v/>
      </c>
      <c r="G314" t="str">
        <f t="shared" si="2"/>
        <v/>
      </c>
    </row>
    <row r="315" spans="1:7" x14ac:dyDescent="0.25">
      <c r="A315" t="str">
        <f>IF('Equipment Information'!A315="","", 'Equipment Information'!A315)</f>
        <v/>
      </c>
      <c r="B315" t="str">
        <f>IF('Equipment Information'!B315="","", 'Equipment Information'!B315)</f>
        <v/>
      </c>
      <c r="C315" t="str">
        <f>IF('Equipment Information'!C315="","", 'Equipment Information'!C315)</f>
        <v/>
      </c>
      <c r="G315" t="str">
        <f t="shared" si="2"/>
        <v/>
      </c>
    </row>
    <row r="316" spans="1:7" x14ac:dyDescent="0.25">
      <c r="A316" t="str">
        <f>IF('Equipment Information'!A316="","", 'Equipment Information'!A316)</f>
        <v/>
      </c>
      <c r="B316" t="str">
        <f>IF('Equipment Information'!B316="","", 'Equipment Information'!B316)</f>
        <v/>
      </c>
      <c r="C316" t="str">
        <f>IF('Equipment Information'!C316="","", 'Equipment Information'!C316)</f>
        <v/>
      </c>
      <c r="G316" t="str">
        <f t="shared" si="2"/>
        <v/>
      </c>
    </row>
    <row r="317" spans="1:7" x14ac:dyDescent="0.25">
      <c r="A317" t="str">
        <f>IF('Equipment Information'!A317="","", 'Equipment Information'!A317)</f>
        <v/>
      </c>
      <c r="B317" t="str">
        <f>IF('Equipment Information'!B317="","", 'Equipment Information'!B317)</f>
        <v/>
      </c>
      <c r="C317" t="str">
        <f>IF('Equipment Information'!C317="","", 'Equipment Information'!C317)</f>
        <v/>
      </c>
      <c r="G317" t="str">
        <f t="shared" si="2"/>
        <v/>
      </c>
    </row>
    <row r="318" spans="1:7" x14ac:dyDescent="0.25">
      <c r="A318" t="str">
        <f>IF('Equipment Information'!A318="","", 'Equipment Information'!A318)</f>
        <v/>
      </c>
      <c r="B318" t="str">
        <f>IF('Equipment Information'!B318="","", 'Equipment Information'!B318)</f>
        <v/>
      </c>
      <c r="C318" t="str">
        <f>IF('Equipment Information'!C318="","", 'Equipment Information'!C318)</f>
        <v/>
      </c>
      <c r="G318" t="str">
        <f t="shared" si="2"/>
        <v/>
      </c>
    </row>
    <row r="319" spans="1:7" x14ac:dyDescent="0.25">
      <c r="A319" t="str">
        <f>IF('Equipment Information'!A319="","", 'Equipment Information'!A319)</f>
        <v/>
      </c>
      <c r="B319" t="str">
        <f>IF('Equipment Information'!B319="","", 'Equipment Information'!B319)</f>
        <v/>
      </c>
      <c r="C319" t="str">
        <f>IF('Equipment Information'!C319="","", 'Equipment Information'!C319)</f>
        <v/>
      </c>
      <c r="G319" t="str">
        <f t="shared" si="2"/>
        <v/>
      </c>
    </row>
    <row r="320" spans="1:7" x14ac:dyDescent="0.25">
      <c r="A320" t="str">
        <f>IF('Equipment Information'!A320="","", 'Equipment Information'!A320)</f>
        <v/>
      </c>
      <c r="B320" t="str">
        <f>IF('Equipment Information'!B320="","", 'Equipment Information'!B320)</f>
        <v/>
      </c>
      <c r="C320" t="str">
        <f>IF('Equipment Information'!C320="","", 'Equipment Information'!C320)</f>
        <v/>
      </c>
      <c r="G320" t="str">
        <f t="shared" si="2"/>
        <v/>
      </c>
    </row>
    <row r="321" spans="1:7" x14ac:dyDescent="0.25">
      <c r="A321" t="str">
        <f>IF('Equipment Information'!A321="","", 'Equipment Information'!A321)</f>
        <v/>
      </c>
      <c r="B321" t="str">
        <f>IF('Equipment Information'!B321="","", 'Equipment Information'!B321)</f>
        <v/>
      </c>
      <c r="C321" t="str">
        <f>IF('Equipment Information'!C321="","", 'Equipment Information'!C321)</f>
        <v/>
      </c>
      <c r="G321" t="str">
        <f t="shared" si="2"/>
        <v/>
      </c>
    </row>
    <row r="322" spans="1:7" x14ac:dyDescent="0.25">
      <c r="A322" t="str">
        <f>IF('Equipment Information'!A322="","", 'Equipment Information'!A322)</f>
        <v/>
      </c>
      <c r="B322" t="str">
        <f>IF('Equipment Information'!B322="","", 'Equipment Information'!B322)</f>
        <v/>
      </c>
      <c r="C322" t="str">
        <f>IF('Equipment Information'!C322="","", 'Equipment Information'!C322)</f>
        <v/>
      </c>
      <c r="G322" t="str">
        <f t="shared" si="2"/>
        <v/>
      </c>
    </row>
    <row r="323" spans="1:7" x14ac:dyDescent="0.25">
      <c r="A323" t="str">
        <f>IF('Equipment Information'!A323="","", 'Equipment Information'!A323)</f>
        <v/>
      </c>
      <c r="B323" t="str">
        <f>IF('Equipment Information'!B323="","", 'Equipment Information'!B323)</f>
        <v/>
      </c>
      <c r="C323" t="str">
        <f>IF('Equipment Information'!C323="","", 'Equipment Information'!C323)</f>
        <v/>
      </c>
      <c r="G323" t="str">
        <f t="shared" si="2"/>
        <v/>
      </c>
    </row>
    <row r="324" spans="1:7" x14ac:dyDescent="0.25">
      <c r="A324" t="str">
        <f>IF('Equipment Information'!A324="","", 'Equipment Information'!A324)</f>
        <v/>
      </c>
      <c r="B324" t="str">
        <f>IF('Equipment Information'!B324="","", 'Equipment Information'!B324)</f>
        <v/>
      </c>
      <c r="C324" t="str">
        <f>IF('Equipment Information'!C324="","", 'Equipment Information'!C324)</f>
        <v/>
      </c>
      <c r="G324" t="str">
        <f t="shared" si="2"/>
        <v/>
      </c>
    </row>
    <row r="325" spans="1:7" x14ac:dyDescent="0.25">
      <c r="A325" t="str">
        <f>IF('Equipment Information'!A325="","", 'Equipment Information'!A325)</f>
        <v/>
      </c>
      <c r="B325" t="str">
        <f>IF('Equipment Information'!B325="","", 'Equipment Information'!B325)</f>
        <v/>
      </c>
      <c r="C325" t="str">
        <f>IF('Equipment Information'!C325="","", 'Equipment Information'!C325)</f>
        <v/>
      </c>
      <c r="G325" t="str">
        <f t="shared" si="2"/>
        <v/>
      </c>
    </row>
    <row r="326" spans="1:7" x14ac:dyDescent="0.25">
      <c r="A326" t="str">
        <f>IF('Equipment Information'!A326="","", 'Equipment Information'!A326)</f>
        <v/>
      </c>
      <c r="B326" t="str">
        <f>IF('Equipment Information'!B326="","", 'Equipment Information'!B326)</f>
        <v/>
      </c>
      <c r="C326" t="str">
        <f>IF('Equipment Information'!C326="","", 'Equipment Information'!C326)</f>
        <v/>
      </c>
      <c r="G326" t="str">
        <f t="shared" si="2"/>
        <v/>
      </c>
    </row>
    <row r="327" spans="1:7" x14ac:dyDescent="0.25">
      <c r="A327" t="str">
        <f>IF('Equipment Information'!A327="","", 'Equipment Information'!A327)</f>
        <v/>
      </c>
      <c r="B327" t="str">
        <f>IF('Equipment Information'!B327="","", 'Equipment Information'!B327)</f>
        <v/>
      </c>
      <c r="C327" t="str">
        <f>IF('Equipment Information'!C327="","", 'Equipment Information'!C327)</f>
        <v/>
      </c>
      <c r="G327" t="str">
        <f t="shared" si="2"/>
        <v/>
      </c>
    </row>
    <row r="328" spans="1:7" x14ac:dyDescent="0.25">
      <c r="A328" t="str">
        <f>IF('Equipment Information'!A328="","", 'Equipment Information'!A328)</f>
        <v/>
      </c>
      <c r="B328" t="str">
        <f>IF('Equipment Information'!B328="","", 'Equipment Information'!B328)</f>
        <v/>
      </c>
      <c r="C328" t="str">
        <f>IF('Equipment Information'!C328="","", 'Equipment Information'!C328)</f>
        <v/>
      </c>
      <c r="G328" t="str">
        <f t="shared" si="2"/>
        <v/>
      </c>
    </row>
    <row r="329" spans="1:7" x14ac:dyDescent="0.25">
      <c r="A329" t="str">
        <f>IF('Equipment Information'!A329="","", 'Equipment Information'!A329)</f>
        <v/>
      </c>
      <c r="B329" t="str">
        <f>IF('Equipment Information'!B329="","", 'Equipment Information'!B329)</f>
        <v/>
      </c>
      <c r="C329" t="str">
        <f>IF('Equipment Information'!C329="","", 'Equipment Information'!C329)</f>
        <v/>
      </c>
      <c r="G329" t="str">
        <f t="shared" si="2"/>
        <v/>
      </c>
    </row>
    <row r="330" spans="1:7" x14ac:dyDescent="0.25">
      <c r="A330" t="str">
        <f>IF('Equipment Information'!A330="","", 'Equipment Information'!A330)</f>
        <v/>
      </c>
      <c r="B330" t="str">
        <f>IF('Equipment Information'!B330="","", 'Equipment Information'!B330)</f>
        <v/>
      </c>
      <c r="C330" t="str">
        <f>IF('Equipment Information'!C330="","", 'Equipment Information'!C330)</f>
        <v/>
      </c>
      <c r="G330" t="str">
        <f t="shared" si="2"/>
        <v/>
      </c>
    </row>
    <row r="331" spans="1:7" x14ac:dyDescent="0.25">
      <c r="A331" t="str">
        <f>IF('Equipment Information'!A331="","", 'Equipment Information'!A331)</f>
        <v/>
      </c>
      <c r="B331" t="str">
        <f>IF('Equipment Information'!B331="","", 'Equipment Information'!B331)</f>
        <v/>
      </c>
      <c r="C331" t="str">
        <f>IF('Equipment Information'!C331="","", 'Equipment Information'!C331)</f>
        <v/>
      </c>
      <c r="G331" t="str">
        <f t="shared" si="2"/>
        <v/>
      </c>
    </row>
    <row r="332" spans="1:7" x14ac:dyDescent="0.25">
      <c r="A332" t="str">
        <f>IF('Equipment Information'!A332="","", 'Equipment Information'!A332)</f>
        <v/>
      </c>
      <c r="B332" t="str">
        <f>IF('Equipment Information'!B332="","", 'Equipment Information'!B332)</f>
        <v/>
      </c>
      <c r="C332" t="str">
        <f>IF('Equipment Information'!C332="","", 'Equipment Information'!C332)</f>
        <v/>
      </c>
      <c r="G332" t="str">
        <f t="shared" si="2"/>
        <v/>
      </c>
    </row>
    <row r="333" spans="1:7" x14ac:dyDescent="0.25">
      <c r="A333" t="str">
        <f>IF('Equipment Information'!A333="","", 'Equipment Information'!A333)</f>
        <v/>
      </c>
      <c r="B333" t="str">
        <f>IF('Equipment Information'!B333="","", 'Equipment Information'!B333)</f>
        <v/>
      </c>
      <c r="C333" t="str">
        <f>IF('Equipment Information'!C333="","", 'Equipment Information'!C333)</f>
        <v/>
      </c>
      <c r="G333" t="str">
        <f t="shared" si="2"/>
        <v/>
      </c>
    </row>
    <row r="334" spans="1:7" x14ac:dyDescent="0.25">
      <c r="A334" t="str">
        <f>IF('Equipment Information'!A334="","", 'Equipment Information'!A334)</f>
        <v/>
      </c>
      <c r="B334" t="str">
        <f>IF('Equipment Information'!B334="","", 'Equipment Information'!B334)</f>
        <v/>
      </c>
      <c r="C334" t="str">
        <f>IF('Equipment Information'!C334="","", 'Equipment Information'!C334)</f>
        <v/>
      </c>
      <c r="G334" t="str">
        <f t="shared" si="2"/>
        <v/>
      </c>
    </row>
    <row r="335" spans="1:7" x14ac:dyDescent="0.25">
      <c r="A335" t="str">
        <f>IF('Equipment Information'!A335="","", 'Equipment Information'!A335)</f>
        <v/>
      </c>
      <c r="B335" t="str">
        <f>IF('Equipment Information'!B335="","", 'Equipment Information'!B335)</f>
        <v/>
      </c>
      <c r="C335" t="str">
        <f>IF('Equipment Information'!C335="","", 'Equipment Information'!C335)</f>
        <v/>
      </c>
      <c r="G335" t="str">
        <f t="shared" si="2"/>
        <v/>
      </c>
    </row>
    <row r="336" spans="1:7" x14ac:dyDescent="0.25">
      <c r="A336" t="str">
        <f>IF('Equipment Information'!A336="","", 'Equipment Information'!A336)</f>
        <v/>
      </c>
      <c r="B336" t="str">
        <f>IF('Equipment Information'!B336="","", 'Equipment Information'!B336)</f>
        <v/>
      </c>
      <c r="C336" t="str">
        <f>IF('Equipment Information'!C336="","", 'Equipment Information'!C336)</f>
        <v/>
      </c>
      <c r="G336" t="str">
        <f t="shared" si="2"/>
        <v/>
      </c>
    </row>
    <row r="337" spans="1:7" x14ac:dyDescent="0.25">
      <c r="A337" t="str">
        <f>IF('Equipment Information'!A337="","", 'Equipment Information'!A337)</f>
        <v/>
      </c>
      <c r="B337" t="str">
        <f>IF('Equipment Information'!B337="","", 'Equipment Information'!B337)</f>
        <v/>
      </c>
      <c r="C337" t="str">
        <f>IF('Equipment Information'!C337="","", 'Equipment Information'!C337)</f>
        <v/>
      </c>
      <c r="G337" t="str">
        <f t="shared" si="2"/>
        <v/>
      </c>
    </row>
    <row r="338" spans="1:7" x14ac:dyDescent="0.25">
      <c r="A338" t="str">
        <f>IF('Equipment Information'!A338="","", 'Equipment Information'!A338)</f>
        <v/>
      </c>
      <c r="B338" t="str">
        <f>IF('Equipment Information'!B338="","", 'Equipment Information'!B338)</f>
        <v/>
      </c>
      <c r="C338" t="str">
        <f>IF('Equipment Information'!C338="","", 'Equipment Information'!C338)</f>
        <v/>
      </c>
      <c r="G338" t="str">
        <f t="shared" si="2"/>
        <v/>
      </c>
    </row>
    <row r="339" spans="1:7" x14ac:dyDescent="0.25">
      <c r="A339" t="str">
        <f>IF('Equipment Information'!A339="","", 'Equipment Information'!A339)</f>
        <v/>
      </c>
      <c r="B339" t="str">
        <f>IF('Equipment Information'!B339="","", 'Equipment Information'!B339)</f>
        <v/>
      </c>
      <c r="C339" t="str">
        <f>IF('Equipment Information'!C339="","", 'Equipment Information'!C339)</f>
        <v/>
      </c>
      <c r="G339" t="str">
        <f t="shared" si="2"/>
        <v/>
      </c>
    </row>
    <row r="340" spans="1:7" x14ac:dyDescent="0.25">
      <c r="A340" t="str">
        <f>IF('Equipment Information'!A340="","", 'Equipment Information'!A340)</f>
        <v/>
      </c>
      <c r="B340" t="str">
        <f>IF('Equipment Information'!B340="","", 'Equipment Information'!B340)</f>
        <v/>
      </c>
      <c r="C340" t="str">
        <f>IF('Equipment Information'!C340="","", 'Equipment Information'!C340)</f>
        <v/>
      </c>
      <c r="G340" t="str">
        <f t="shared" si="2"/>
        <v/>
      </c>
    </row>
    <row r="341" spans="1:7" x14ac:dyDescent="0.25">
      <c r="A341" t="str">
        <f>IF('Equipment Information'!A341="","", 'Equipment Information'!A341)</f>
        <v/>
      </c>
      <c r="B341" t="str">
        <f>IF('Equipment Information'!B341="","", 'Equipment Information'!B341)</f>
        <v/>
      </c>
      <c r="C341" t="str">
        <f>IF('Equipment Information'!C341="","", 'Equipment Information'!C341)</f>
        <v/>
      </c>
      <c r="G341" t="str">
        <f t="shared" si="2"/>
        <v/>
      </c>
    </row>
    <row r="342" spans="1:7" x14ac:dyDescent="0.25">
      <c r="A342" t="str">
        <f>IF('Equipment Information'!A342="","", 'Equipment Information'!A342)</f>
        <v/>
      </c>
      <c r="B342" t="str">
        <f>IF('Equipment Information'!B342="","", 'Equipment Information'!B342)</f>
        <v/>
      </c>
      <c r="C342" t="str">
        <f>IF('Equipment Information'!C342="","", 'Equipment Information'!C342)</f>
        <v/>
      </c>
      <c r="G342" t="str">
        <f t="shared" si="2"/>
        <v/>
      </c>
    </row>
    <row r="343" spans="1:7" x14ac:dyDescent="0.25">
      <c r="A343" t="str">
        <f>IF('Equipment Information'!A343="","", 'Equipment Information'!A343)</f>
        <v/>
      </c>
      <c r="B343" t="str">
        <f>IF('Equipment Information'!B343="","", 'Equipment Information'!B343)</f>
        <v/>
      </c>
      <c r="C343" t="str">
        <f>IF('Equipment Information'!C343="","", 'Equipment Information'!C343)</f>
        <v/>
      </c>
      <c r="G343" t="str">
        <f t="shared" si="2"/>
        <v/>
      </c>
    </row>
    <row r="344" spans="1:7" x14ac:dyDescent="0.25">
      <c r="A344" t="str">
        <f>IF('Equipment Information'!A344="","", 'Equipment Information'!A344)</f>
        <v/>
      </c>
      <c r="B344" t="str">
        <f>IF('Equipment Information'!B344="","", 'Equipment Information'!B344)</f>
        <v/>
      </c>
      <c r="C344" t="str">
        <f>IF('Equipment Information'!C344="","", 'Equipment Information'!C344)</f>
        <v/>
      </c>
      <c r="G344" t="str">
        <f t="shared" si="2"/>
        <v/>
      </c>
    </row>
    <row r="345" spans="1:7" x14ac:dyDescent="0.25">
      <c r="A345" t="str">
        <f>IF('Equipment Information'!A345="","", 'Equipment Information'!A345)</f>
        <v/>
      </c>
      <c r="B345" t="str">
        <f>IF('Equipment Information'!B345="","", 'Equipment Information'!B345)</f>
        <v/>
      </c>
      <c r="C345" t="str">
        <f>IF('Equipment Information'!C345="","", 'Equipment Information'!C345)</f>
        <v/>
      </c>
      <c r="G345" t="str">
        <f t="shared" si="2"/>
        <v/>
      </c>
    </row>
    <row r="346" spans="1:7" x14ac:dyDescent="0.25">
      <c r="A346" t="str">
        <f>IF('Equipment Information'!A346="","", 'Equipment Information'!A346)</f>
        <v/>
      </c>
      <c r="B346" t="str">
        <f>IF('Equipment Information'!B346="","", 'Equipment Information'!B346)</f>
        <v/>
      </c>
      <c r="C346" t="str">
        <f>IF('Equipment Information'!C346="","", 'Equipment Information'!C346)</f>
        <v/>
      </c>
      <c r="G346" t="str">
        <f t="shared" si="2"/>
        <v/>
      </c>
    </row>
    <row r="347" spans="1:7" x14ac:dyDescent="0.25">
      <c r="A347" t="str">
        <f>IF('Equipment Information'!A347="","", 'Equipment Information'!A347)</f>
        <v/>
      </c>
      <c r="B347" t="str">
        <f>IF('Equipment Information'!B347="","", 'Equipment Information'!B347)</f>
        <v/>
      </c>
      <c r="C347" t="str">
        <f>IF('Equipment Information'!C347="","", 'Equipment Information'!C347)</f>
        <v/>
      </c>
      <c r="G347" t="str">
        <f t="shared" si="2"/>
        <v/>
      </c>
    </row>
    <row r="348" spans="1:7" x14ac:dyDescent="0.25">
      <c r="A348" t="str">
        <f>IF('Equipment Information'!A348="","", 'Equipment Information'!A348)</f>
        <v/>
      </c>
      <c r="B348" t="str">
        <f>IF('Equipment Information'!B348="","", 'Equipment Information'!B348)</f>
        <v/>
      </c>
      <c r="C348" t="str">
        <f>IF('Equipment Information'!C348="","", 'Equipment Information'!C348)</f>
        <v/>
      </c>
      <c r="G348" t="str">
        <f t="shared" si="2"/>
        <v/>
      </c>
    </row>
    <row r="349" spans="1:7" x14ac:dyDescent="0.25">
      <c r="A349" t="str">
        <f>IF('Equipment Information'!A349="","", 'Equipment Information'!A349)</f>
        <v/>
      </c>
      <c r="B349" t="str">
        <f>IF('Equipment Information'!B349="","", 'Equipment Information'!B349)</f>
        <v/>
      </c>
      <c r="C349" t="str">
        <f>IF('Equipment Information'!C349="","", 'Equipment Information'!C349)</f>
        <v/>
      </c>
      <c r="G349" t="str">
        <f t="shared" ref="G349:G412" si="3">IF(A349="","","N/A")</f>
        <v/>
      </c>
    </row>
    <row r="350" spans="1:7" x14ac:dyDescent="0.25">
      <c r="A350" t="str">
        <f>IF('Equipment Information'!A350="","", 'Equipment Information'!A350)</f>
        <v/>
      </c>
      <c r="B350" t="str">
        <f>IF('Equipment Information'!B350="","", 'Equipment Information'!B350)</f>
        <v/>
      </c>
      <c r="C350" t="str">
        <f>IF('Equipment Information'!C350="","", 'Equipment Information'!C350)</f>
        <v/>
      </c>
      <c r="G350" t="str">
        <f t="shared" si="3"/>
        <v/>
      </c>
    </row>
    <row r="351" spans="1:7" x14ac:dyDescent="0.25">
      <c r="A351" t="str">
        <f>IF('Equipment Information'!A351="","", 'Equipment Information'!A351)</f>
        <v/>
      </c>
      <c r="B351" t="str">
        <f>IF('Equipment Information'!B351="","", 'Equipment Information'!B351)</f>
        <v/>
      </c>
      <c r="C351" t="str">
        <f>IF('Equipment Information'!C351="","", 'Equipment Information'!C351)</f>
        <v/>
      </c>
      <c r="G351" t="str">
        <f t="shared" si="3"/>
        <v/>
      </c>
    </row>
    <row r="352" spans="1:7" x14ac:dyDescent="0.25">
      <c r="A352" t="str">
        <f>IF('Equipment Information'!A352="","", 'Equipment Information'!A352)</f>
        <v/>
      </c>
      <c r="B352" t="str">
        <f>IF('Equipment Information'!B352="","", 'Equipment Information'!B352)</f>
        <v/>
      </c>
      <c r="C352" t="str">
        <f>IF('Equipment Information'!C352="","", 'Equipment Information'!C352)</f>
        <v/>
      </c>
      <c r="G352" t="str">
        <f t="shared" si="3"/>
        <v/>
      </c>
    </row>
    <row r="353" spans="1:7" x14ac:dyDescent="0.25">
      <c r="A353" t="str">
        <f>IF('Equipment Information'!A353="","", 'Equipment Information'!A353)</f>
        <v/>
      </c>
      <c r="B353" t="str">
        <f>IF('Equipment Information'!B353="","", 'Equipment Information'!B353)</f>
        <v/>
      </c>
      <c r="C353" t="str">
        <f>IF('Equipment Information'!C353="","", 'Equipment Information'!C353)</f>
        <v/>
      </c>
      <c r="G353" t="str">
        <f t="shared" si="3"/>
        <v/>
      </c>
    </row>
    <row r="354" spans="1:7" x14ac:dyDescent="0.25">
      <c r="A354" t="str">
        <f>IF('Equipment Information'!A354="","", 'Equipment Information'!A354)</f>
        <v/>
      </c>
      <c r="B354" t="str">
        <f>IF('Equipment Information'!B354="","", 'Equipment Information'!B354)</f>
        <v/>
      </c>
      <c r="C354" t="str">
        <f>IF('Equipment Information'!C354="","", 'Equipment Information'!C354)</f>
        <v/>
      </c>
      <c r="G354" t="str">
        <f t="shared" si="3"/>
        <v/>
      </c>
    </row>
    <row r="355" spans="1:7" x14ac:dyDescent="0.25">
      <c r="A355" t="str">
        <f>IF('Equipment Information'!A355="","", 'Equipment Information'!A355)</f>
        <v/>
      </c>
      <c r="B355" t="str">
        <f>IF('Equipment Information'!B355="","", 'Equipment Information'!B355)</f>
        <v/>
      </c>
      <c r="C355" t="str">
        <f>IF('Equipment Information'!C355="","", 'Equipment Information'!C355)</f>
        <v/>
      </c>
      <c r="G355" t="str">
        <f t="shared" si="3"/>
        <v/>
      </c>
    </row>
    <row r="356" spans="1:7" x14ac:dyDescent="0.25">
      <c r="A356" t="str">
        <f>IF('Equipment Information'!A356="","", 'Equipment Information'!A356)</f>
        <v/>
      </c>
      <c r="B356" t="str">
        <f>IF('Equipment Information'!B356="","", 'Equipment Information'!B356)</f>
        <v/>
      </c>
      <c r="C356" t="str">
        <f>IF('Equipment Information'!C356="","", 'Equipment Information'!C356)</f>
        <v/>
      </c>
      <c r="G356" t="str">
        <f t="shared" si="3"/>
        <v/>
      </c>
    </row>
    <row r="357" spans="1:7" x14ac:dyDescent="0.25">
      <c r="A357" t="str">
        <f>IF('Equipment Information'!A357="","", 'Equipment Information'!A357)</f>
        <v/>
      </c>
      <c r="B357" t="str">
        <f>IF('Equipment Information'!B357="","", 'Equipment Information'!B357)</f>
        <v/>
      </c>
      <c r="C357" t="str">
        <f>IF('Equipment Information'!C357="","", 'Equipment Information'!C357)</f>
        <v/>
      </c>
      <c r="G357" t="str">
        <f t="shared" si="3"/>
        <v/>
      </c>
    </row>
    <row r="358" spans="1:7" x14ac:dyDescent="0.25">
      <c r="A358" t="str">
        <f>IF('Equipment Information'!A358="","", 'Equipment Information'!A358)</f>
        <v/>
      </c>
      <c r="B358" t="str">
        <f>IF('Equipment Information'!B358="","", 'Equipment Information'!B358)</f>
        <v/>
      </c>
      <c r="C358" t="str">
        <f>IF('Equipment Information'!C358="","", 'Equipment Information'!C358)</f>
        <v/>
      </c>
      <c r="G358" t="str">
        <f t="shared" si="3"/>
        <v/>
      </c>
    </row>
    <row r="359" spans="1:7" x14ac:dyDescent="0.25">
      <c r="A359" t="str">
        <f>IF('Equipment Information'!A359="","", 'Equipment Information'!A359)</f>
        <v/>
      </c>
      <c r="B359" t="str">
        <f>IF('Equipment Information'!B359="","", 'Equipment Information'!B359)</f>
        <v/>
      </c>
      <c r="C359" t="str">
        <f>IF('Equipment Information'!C359="","", 'Equipment Information'!C359)</f>
        <v/>
      </c>
      <c r="G359" t="str">
        <f t="shared" si="3"/>
        <v/>
      </c>
    </row>
    <row r="360" spans="1:7" x14ac:dyDescent="0.25">
      <c r="A360" t="str">
        <f>IF('Equipment Information'!A360="","", 'Equipment Information'!A360)</f>
        <v/>
      </c>
      <c r="B360" t="str">
        <f>IF('Equipment Information'!B360="","", 'Equipment Information'!B360)</f>
        <v/>
      </c>
      <c r="C360" t="str">
        <f>IF('Equipment Information'!C360="","", 'Equipment Information'!C360)</f>
        <v/>
      </c>
      <c r="G360" t="str">
        <f t="shared" si="3"/>
        <v/>
      </c>
    </row>
    <row r="361" spans="1:7" x14ac:dyDescent="0.25">
      <c r="A361" t="str">
        <f>IF('Equipment Information'!A361="","", 'Equipment Information'!A361)</f>
        <v/>
      </c>
      <c r="B361" t="str">
        <f>IF('Equipment Information'!B361="","", 'Equipment Information'!B361)</f>
        <v/>
      </c>
      <c r="C361" t="str">
        <f>IF('Equipment Information'!C361="","", 'Equipment Information'!C361)</f>
        <v/>
      </c>
      <c r="G361" t="str">
        <f t="shared" si="3"/>
        <v/>
      </c>
    </row>
    <row r="362" spans="1:7" x14ac:dyDescent="0.25">
      <c r="A362" t="str">
        <f>IF('Equipment Information'!A362="","", 'Equipment Information'!A362)</f>
        <v/>
      </c>
      <c r="B362" t="str">
        <f>IF('Equipment Information'!B362="","", 'Equipment Information'!B362)</f>
        <v/>
      </c>
      <c r="C362" t="str">
        <f>IF('Equipment Information'!C362="","", 'Equipment Information'!C362)</f>
        <v/>
      </c>
      <c r="G362" t="str">
        <f t="shared" si="3"/>
        <v/>
      </c>
    </row>
    <row r="363" spans="1:7" x14ac:dyDescent="0.25">
      <c r="A363" t="str">
        <f>IF('Equipment Information'!A363="","", 'Equipment Information'!A363)</f>
        <v/>
      </c>
      <c r="B363" t="str">
        <f>IF('Equipment Information'!B363="","", 'Equipment Information'!B363)</f>
        <v/>
      </c>
      <c r="C363" t="str">
        <f>IF('Equipment Information'!C363="","", 'Equipment Information'!C363)</f>
        <v/>
      </c>
      <c r="G363" t="str">
        <f t="shared" si="3"/>
        <v/>
      </c>
    </row>
    <row r="364" spans="1:7" x14ac:dyDescent="0.25">
      <c r="A364" t="str">
        <f>IF('Equipment Information'!A364="","", 'Equipment Information'!A364)</f>
        <v/>
      </c>
      <c r="B364" t="str">
        <f>IF('Equipment Information'!B364="","", 'Equipment Information'!B364)</f>
        <v/>
      </c>
      <c r="C364" t="str">
        <f>IF('Equipment Information'!C364="","", 'Equipment Information'!C364)</f>
        <v/>
      </c>
      <c r="G364" t="str">
        <f t="shared" si="3"/>
        <v/>
      </c>
    </row>
    <row r="365" spans="1:7" x14ac:dyDescent="0.25">
      <c r="A365" t="str">
        <f>IF('Equipment Information'!A365="","", 'Equipment Information'!A365)</f>
        <v/>
      </c>
      <c r="B365" t="str">
        <f>IF('Equipment Information'!B365="","", 'Equipment Information'!B365)</f>
        <v/>
      </c>
      <c r="C365" t="str">
        <f>IF('Equipment Information'!C365="","", 'Equipment Information'!C365)</f>
        <v/>
      </c>
      <c r="G365" t="str">
        <f t="shared" si="3"/>
        <v/>
      </c>
    </row>
    <row r="366" spans="1:7" x14ac:dyDescent="0.25">
      <c r="A366" t="str">
        <f>IF('Equipment Information'!A366="","", 'Equipment Information'!A366)</f>
        <v/>
      </c>
      <c r="B366" t="str">
        <f>IF('Equipment Information'!B366="","", 'Equipment Information'!B366)</f>
        <v/>
      </c>
      <c r="C366" t="str">
        <f>IF('Equipment Information'!C366="","", 'Equipment Information'!C366)</f>
        <v/>
      </c>
      <c r="G366" t="str">
        <f t="shared" si="3"/>
        <v/>
      </c>
    </row>
    <row r="367" spans="1:7" x14ac:dyDescent="0.25">
      <c r="A367" t="str">
        <f>IF('Equipment Information'!A367="","", 'Equipment Information'!A367)</f>
        <v/>
      </c>
      <c r="B367" t="str">
        <f>IF('Equipment Information'!B367="","", 'Equipment Information'!B367)</f>
        <v/>
      </c>
      <c r="C367" t="str">
        <f>IF('Equipment Information'!C367="","", 'Equipment Information'!C367)</f>
        <v/>
      </c>
      <c r="G367" t="str">
        <f t="shared" si="3"/>
        <v/>
      </c>
    </row>
    <row r="368" spans="1:7" x14ac:dyDescent="0.25">
      <c r="A368" t="str">
        <f>IF('Equipment Information'!A368="","", 'Equipment Information'!A368)</f>
        <v/>
      </c>
      <c r="B368" t="str">
        <f>IF('Equipment Information'!B368="","", 'Equipment Information'!B368)</f>
        <v/>
      </c>
      <c r="C368" t="str">
        <f>IF('Equipment Information'!C368="","", 'Equipment Information'!C368)</f>
        <v/>
      </c>
      <c r="G368" t="str">
        <f t="shared" si="3"/>
        <v/>
      </c>
    </row>
    <row r="369" spans="1:7" x14ac:dyDescent="0.25">
      <c r="A369" t="str">
        <f>IF('Equipment Information'!A369="","", 'Equipment Information'!A369)</f>
        <v/>
      </c>
      <c r="B369" t="str">
        <f>IF('Equipment Information'!B369="","", 'Equipment Information'!B369)</f>
        <v/>
      </c>
      <c r="C369" t="str">
        <f>IF('Equipment Information'!C369="","", 'Equipment Information'!C369)</f>
        <v/>
      </c>
      <c r="G369" t="str">
        <f t="shared" si="3"/>
        <v/>
      </c>
    </row>
    <row r="370" spans="1:7" x14ac:dyDescent="0.25">
      <c r="A370" t="str">
        <f>IF('Equipment Information'!A370="","", 'Equipment Information'!A370)</f>
        <v/>
      </c>
      <c r="B370" t="str">
        <f>IF('Equipment Information'!B370="","", 'Equipment Information'!B370)</f>
        <v/>
      </c>
      <c r="C370" t="str">
        <f>IF('Equipment Information'!C370="","", 'Equipment Information'!C370)</f>
        <v/>
      </c>
      <c r="G370" t="str">
        <f t="shared" si="3"/>
        <v/>
      </c>
    </row>
    <row r="371" spans="1:7" x14ac:dyDescent="0.25">
      <c r="A371" t="str">
        <f>IF('Equipment Information'!A371="","", 'Equipment Information'!A371)</f>
        <v/>
      </c>
      <c r="B371" t="str">
        <f>IF('Equipment Information'!B371="","", 'Equipment Information'!B371)</f>
        <v/>
      </c>
      <c r="C371" t="str">
        <f>IF('Equipment Information'!C371="","", 'Equipment Information'!C371)</f>
        <v/>
      </c>
      <c r="G371" t="str">
        <f t="shared" si="3"/>
        <v/>
      </c>
    </row>
    <row r="372" spans="1:7" x14ac:dyDescent="0.25">
      <c r="A372" t="str">
        <f>IF('Equipment Information'!A372="","", 'Equipment Information'!A372)</f>
        <v/>
      </c>
      <c r="B372" t="str">
        <f>IF('Equipment Information'!B372="","", 'Equipment Information'!B372)</f>
        <v/>
      </c>
      <c r="C372" t="str">
        <f>IF('Equipment Information'!C372="","", 'Equipment Information'!C372)</f>
        <v/>
      </c>
      <c r="G372" t="str">
        <f t="shared" si="3"/>
        <v/>
      </c>
    </row>
    <row r="373" spans="1:7" x14ac:dyDescent="0.25">
      <c r="A373" t="str">
        <f>IF('Equipment Information'!A373="","", 'Equipment Information'!A373)</f>
        <v/>
      </c>
      <c r="B373" t="str">
        <f>IF('Equipment Information'!B373="","", 'Equipment Information'!B373)</f>
        <v/>
      </c>
      <c r="C373" t="str">
        <f>IF('Equipment Information'!C373="","", 'Equipment Information'!C373)</f>
        <v/>
      </c>
      <c r="G373" t="str">
        <f t="shared" si="3"/>
        <v/>
      </c>
    </row>
    <row r="374" spans="1:7" x14ac:dyDescent="0.25">
      <c r="A374" t="str">
        <f>IF('Equipment Information'!A374="","", 'Equipment Information'!A374)</f>
        <v/>
      </c>
      <c r="B374" t="str">
        <f>IF('Equipment Information'!B374="","", 'Equipment Information'!B374)</f>
        <v/>
      </c>
      <c r="C374" t="str">
        <f>IF('Equipment Information'!C374="","", 'Equipment Information'!C374)</f>
        <v/>
      </c>
      <c r="G374" t="str">
        <f t="shared" si="3"/>
        <v/>
      </c>
    </row>
    <row r="375" spans="1:7" x14ac:dyDescent="0.25">
      <c r="A375" t="str">
        <f>IF('Equipment Information'!A375="","", 'Equipment Information'!A375)</f>
        <v/>
      </c>
      <c r="B375" t="str">
        <f>IF('Equipment Information'!B375="","", 'Equipment Information'!B375)</f>
        <v/>
      </c>
      <c r="C375" t="str">
        <f>IF('Equipment Information'!C375="","", 'Equipment Information'!C375)</f>
        <v/>
      </c>
      <c r="G375" t="str">
        <f t="shared" si="3"/>
        <v/>
      </c>
    </row>
    <row r="376" spans="1:7" x14ac:dyDescent="0.25">
      <c r="A376" t="str">
        <f>IF('Equipment Information'!A376="","", 'Equipment Information'!A376)</f>
        <v/>
      </c>
      <c r="B376" t="str">
        <f>IF('Equipment Information'!B376="","", 'Equipment Information'!B376)</f>
        <v/>
      </c>
      <c r="C376" t="str">
        <f>IF('Equipment Information'!C376="","", 'Equipment Information'!C376)</f>
        <v/>
      </c>
      <c r="G376" t="str">
        <f t="shared" si="3"/>
        <v/>
      </c>
    </row>
    <row r="377" spans="1:7" x14ac:dyDescent="0.25">
      <c r="A377" t="str">
        <f>IF('Equipment Information'!A377="","", 'Equipment Information'!A377)</f>
        <v/>
      </c>
      <c r="B377" t="str">
        <f>IF('Equipment Information'!B377="","", 'Equipment Information'!B377)</f>
        <v/>
      </c>
      <c r="C377" t="str">
        <f>IF('Equipment Information'!C377="","", 'Equipment Information'!C377)</f>
        <v/>
      </c>
      <c r="G377" t="str">
        <f t="shared" si="3"/>
        <v/>
      </c>
    </row>
    <row r="378" spans="1:7" x14ac:dyDescent="0.25">
      <c r="A378" t="str">
        <f>IF('Equipment Information'!A378="","", 'Equipment Information'!A378)</f>
        <v/>
      </c>
      <c r="B378" t="str">
        <f>IF('Equipment Information'!B378="","", 'Equipment Information'!B378)</f>
        <v/>
      </c>
      <c r="C378" t="str">
        <f>IF('Equipment Information'!C378="","", 'Equipment Information'!C378)</f>
        <v/>
      </c>
      <c r="G378" t="str">
        <f t="shared" si="3"/>
        <v/>
      </c>
    </row>
    <row r="379" spans="1:7" x14ac:dyDescent="0.25">
      <c r="A379" t="str">
        <f>IF('Equipment Information'!A379="","", 'Equipment Information'!A379)</f>
        <v/>
      </c>
      <c r="B379" t="str">
        <f>IF('Equipment Information'!B379="","", 'Equipment Information'!B379)</f>
        <v/>
      </c>
      <c r="C379" t="str">
        <f>IF('Equipment Information'!C379="","", 'Equipment Information'!C379)</f>
        <v/>
      </c>
      <c r="G379" t="str">
        <f t="shared" si="3"/>
        <v/>
      </c>
    </row>
    <row r="380" spans="1:7" x14ac:dyDescent="0.25">
      <c r="A380" t="str">
        <f>IF('Equipment Information'!A380="","", 'Equipment Information'!A380)</f>
        <v/>
      </c>
      <c r="B380" t="str">
        <f>IF('Equipment Information'!B380="","", 'Equipment Information'!B380)</f>
        <v/>
      </c>
      <c r="C380" t="str">
        <f>IF('Equipment Information'!C380="","", 'Equipment Information'!C380)</f>
        <v/>
      </c>
      <c r="G380" t="str">
        <f t="shared" si="3"/>
        <v/>
      </c>
    </row>
    <row r="381" spans="1:7" x14ac:dyDescent="0.25">
      <c r="A381" t="str">
        <f>IF('Equipment Information'!A381="","", 'Equipment Information'!A381)</f>
        <v/>
      </c>
      <c r="B381" t="str">
        <f>IF('Equipment Information'!B381="","", 'Equipment Information'!B381)</f>
        <v/>
      </c>
      <c r="C381" t="str">
        <f>IF('Equipment Information'!C381="","", 'Equipment Information'!C381)</f>
        <v/>
      </c>
      <c r="G381" t="str">
        <f t="shared" si="3"/>
        <v/>
      </c>
    </row>
    <row r="382" spans="1:7" x14ac:dyDescent="0.25">
      <c r="A382" t="str">
        <f>IF('Equipment Information'!A382="","", 'Equipment Information'!A382)</f>
        <v/>
      </c>
      <c r="B382" t="str">
        <f>IF('Equipment Information'!B382="","", 'Equipment Information'!B382)</f>
        <v/>
      </c>
      <c r="C382" t="str">
        <f>IF('Equipment Information'!C382="","", 'Equipment Information'!C382)</f>
        <v/>
      </c>
      <c r="G382" t="str">
        <f t="shared" si="3"/>
        <v/>
      </c>
    </row>
    <row r="383" spans="1:7" x14ac:dyDescent="0.25">
      <c r="A383" t="str">
        <f>IF('Equipment Information'!A383="","", 'Equipment Information'!A383)</f>
        <v/>
      </c>
      <c r="B383" t="str">
        <f>IF('Equipment Information'!B383="","", 'Equipment Information'!B383)</f>
        <v/>
      </c>
      <c r="C383" t="str">
        <f>IF('Equipment Information'!C383="","", 'Equipment Information'!C383)</f>
        <v/>
      </c>
      <c r="G383" t="str">
        <f t="shared" si="3"/>
        <v/>
      </c>
    </row>
    <row r="384" spans="1:7" x14ac:dyDescent="0.25">
      <c r="A384" t="str">
        <f>IF('Equipment Information'!A384="","", 'Equipment Information'!A384)</f>
        <v/>
      </c>
      <c r="B384" t="str">
        <f>IF('Equipment Information'!B384="","", 'Equipment Information'!B384)</f>
        <v/>
      </c>
      <c r="C384" t="str">
        <f>IF('Equipment Information'!C384="","", 'Equipment Information'!C384)</f>
        <v/>
      </c>
      <c r="G384" t="str">
        <f t="shared" si="3"/>
        <v/>
      </c>
    </row>
    <row r="385" spans="1:7" x14ac:dyDescent="0.25">
      <c r="A385" t="str">
        <f>IF('Equipment Information'!A385="","", 'Equipment Information'!A385)</f>
        <v/>
      </c>
      <c r="B385" t="str">
        <f>IF('Equipment Information'!B385="","", 'Equipment Information'!B385)</f>
        <v/>
      </c>
      <c r="C385" t="str">
        <f>IF('Equipment Information'!C385="","", 'Equipment Information'!C385)</f>
        <v/>
      </c>
      <c r="G385" t="str">
        <f t="shared" si="3"/>
        <v/>
      </c>
    </row>
    <row r="386" spans="1:7" x14ac:dyDescent="0.25">
      <c r="A386" t="str">
        <f>IF('Equipment Information'!A386="","", 'Equipment Information'!A386)</f>
        <v/>
      </c>
      <c r="B386" t="str">
        <f>IF('Equipment Information'!B386="","", 'Equipment Information'!B386)</f>
        <v/>
      </c>
      <c r="C386" t="str">
        <f>IF('Equipment Information'!C386="","", 'Equipment Information'!C386)</f>
        <v/>
      </c>
      <c r="G386" t="str">
        <f t="shared" si="3"/>
        <v/>
      </c>
    </row>
    <row r="387" spans="1:7" x14ac:dyDescent="0.25">
      <c r="A387" t="str">
        <f>IF('Equipment Information'!A387="","", 'Equipment Information'!A387)</f>
        <v/>
      </c>
      <c r="B387" t="str">
        <f>IF('Equipment Information'!B387="","", 'Equipment Information'!B387)</f>
        <v/>
      </c>
      <c r="C387" t="str">
        <f>IF('Equipment Information'!C387="","", 'Equipment Information'!C387)</f>
        <v/>
      </c>
      <c r="G387" t="str">
        <f t="shared" si="3"/>
        <v/>
      </c>
    </row>
    <row r="388" spans="1:7" x14ac:dyDescent="0.25">
      <c r="A388" t="str">
        <f>IF('Equipment Information'!A388="","", 'Equipment Information'!A388)</f>
        <v/>
      </c>
      <c r="B388" t="str">
        <f>IF('Equipment Information'!B388="","", 'Equipment Information'!B388)</f>
        <v/>
      </c>
      <c r="C388" t="str">
        <f>IF('Equipment Information'!C388="","", 'Equipment Information'!C388)</f>
        <v/>
      </c>
      <c r="G388" t="str">
        <f t="shared" si="3"/>
        <v/>
      </c>
    </row>
    <row r="389" spans="1:7" x14ac:dyDescent="0.25">
      <c r="A389" t="str">
        <f>IF('Equipment Information'!A389="","", 'Equipment Information'!A389)</f>
        <v/>
      </c>
      <c r="B389" t="str">
        <f>IF('Equipment Information'!B389="","", 'Equipment Information'!B389)</f>
        <v/>
      </c>
      <c r="C389" t="str">
        <f>IF('Equipment Information'!C389="","", 'Equipment Information'!C389)</f>
        <v/>
      </c>
      <c r="G389" t="str">
        <f t="shared" si="3"/>
        <v/>
      </c>
    </row>
    <row r="390" spans="1:7" x14ac:dyDescent="0.25">
      <c r="A390" t="str">
        <f>IF('Equipment Information'!A390="","", 'Equipment Information'!A390)</f>
        <v/>
      </c>
      <c r="B390" t="str">
        <f>IF('Equipment Information'!B390="","", 'Equipment Information'!B390)</f>
        <v/>
      </c>
      <c r="C390" t="str">
        <f>IF('Equipment Information'!C390="","", 'Equipment Information'!C390)</f>
        <v/>
      </c>
      <c r="G390" t="str">
        <f t="shared" si="3"/>
        <v/>
      </c>
    </row>
    <row r="391" spans="1:7" x14ac:dyDescent="0.25">
      <c r="A391" t="str">
        <f>IF('Equipment Information'!A391="","", 'Equipment Information'!A391)</f>
        <v/>
      </c>
      <c r="B391" t="str">
        <f>IF('Equipment Information'!B391="","", 'Equipment Information'!B391)</f>
        <v/>
      </c>
      <c r="C391" t="str">
        <f>IF('Equipment Information'!C391="","", 'Equipment Information'!C391)</f>
        <v/>
      </c>
      <c r="G391" t="str">
        <f t="shared" si="3"/>
        <v/>
      </c>
    </row>
    <row r="392" spans="1:7" x14ac:dyDescent="0.25">
      <c r="A392" t="str">
        <f>IF('Equipment Information'!A392="","", 'Equipment Information'!A392)</f>
        <v/>
      </c>
      <c r="B392" t="str">
        <f>IF('Equipment Information'!B392="","", 'Equipment Information'!B392)</f>
        <v/>
      </c>
      <c r="C392" t="str">
        <f>IF('Equipment Information'!C392="","", 'Equipment Information'!C392)</f>
        <v/>
      </c>
      <c r="G392" t="str">
        <f t="shared" si="3"/>
        <v/>
      </c>
    </row>
    <row r="393" spans="1:7" x14ac:dyDescent="0.25">
      <c r="A393" t="str">
        <f>IF('Equipment Information'!A393="","", 'Equipment Information'!A393)</f>
        <v/>
      </c>
      <c r="B393" t="str">
        <f>IF('Equipment Information'!B393="","", 'Equipment Information'!B393)</f>
        <v/>
      </c>
      <c r="C393" t="str">
        <f>IF('Equipment Information'!C393="","", 'Equipment Information'!C393)</f>
        <v/>
      </c>
      <c r="G393" t="str">
        <f t="shared" si="3"/>
        <v/>
      </c>
    </row>
    <row r="394" spans="1:7" x14ac:dyDescent="0.25">
      <c r="A394" t="str">
        <f>IF('Equipment Information'!A394="","", 'Equipment Information'!A394)</f>
        <v/>
      </c>
      <c r="B394" t="str">
        <f>IF('Equipment Information'!B394="","", 'Equipment Information'!B394)</f>
        <v/>
      </c>
      <c r="C394" t="str">
        <f>IF('Equipment Information'!C394="","", 'Equipment Information'!C394)</f>
        <v/>
      </c>
      <c r="G394" t="str">
        <f t="shared" si="3"/>
        <v/>
      </c>
    </row>
    <row r="395" spans="1:7" x14ac:dyDescent="0.25">
      <c r="A395" t="str">
        <f>IF('Equipment Information'!A395="","", 'Equipment Information'!A395)</f>
        <v/>
      </c>
      <c r="B395" t="str">
        <f>IF('Equipment Information'!B395="","", 'Equipment Information'!B395)</f>
        <v/>
      </c>
      <c r="C395" t="str">
        <f>IF('Equipment Information'!C395="","", 'Equipment Information'!C395)</f>
        <v/>
      </c>
      <c r="G395" t="str">
        <f t="shared" si="3"/>
        <v/>
      </c>
    </row>
    <row r="396" spans="1:7" x14ac:dyDescent="0.25">
      <c r="A396" t="str">
        <f>IF('Equipment Information'!A396="","", 'Equipment Information'!A396)</f>
        <v/>
      </c>
      <c r="B396" t="str">
        <f>IF('Equipment Information'!B396="","", 'Equipment Information'!B396)</f>
        <v/>
      </c>
      <c r="C396" t="str">
        <f>IF('Equipment Information'!C396="","", 'Equipment Information'!C396)</f>
        <v/>
      </c>
      <c r="G396" t="str">
        <f t="shared" si="3"/>
        <v/>
      </c>
    </row>
    <row r="397" spans="1:7" x14ac:dyDescent="0.25">
      <c r="A397" t="str">
        <f>IF('Equipment Information'!A397="","", 'Equipment Information'!A397)</f>
        <v/>
      </c>
      <c r="B397" t="str">
        <f>IF('Equipment Information'!B397="","", 'Equipment Information'!B397)</f>
        <v/>
      </c>
      <c r="C397" t="str">
        <f>IF('Equipment Information'!C397="","", 'Equipment Information'!C397)</f>
        <v/>
      </c>
      <c r="G397" t="str">
        <f t="shared" si="3"/>
        <v/>
      </c>
    </row>
    <row r="398" spans="1:7" x14ac:dyDescent="0.25">
      <c r="A398" t="str">
        <f>IF('Equipment Information'!A398="","", 'Equipment Information'!A398)</f>
        <v/>
      </c>
      <c r="B398" t="str">
        <f>IF('Equipment Information'!B398="","", 'Equipment Information'!B398)</f>
        <v/>
      </c>
      <c r="C398" t="str">
        <f>IF('Equipment Information'!C398="","", 'Equipment Information'!C398)</f>
        <v/>
      </c>
      <c r="G398" t="str">
        <f t="shared" si="3"/>
        <v/>
      </c>
    </row>
    <row r="399" spans="1:7" x14ac:dyDescent="0.25">
      <c r="A399" t="str">
        <f>IF('Equipment Information'!A399="","", 'Equipment Information'!A399)</f>
        <v/>
      </c>
      <c r="B399" t="str">
        <f>IF('Equipment Information'!B399="","", 'Equipment Information'!B399)</f>
        <v/>
      </c>
      <c r="C399" t="str">
        <f>IF('Equipment Information'!C399="","", 'Equipment Information'!C399)</f>
        <v/>
      </c>
      <c r="G399" t="str">
        <f t="shared" si="3"/>
        <v/>
      </c>
    </row>
    <row r="400" spans="1:7" x14ac:dyDescent="0.25">
      <c r="A400" t="str">
        <f>IF('Equipment Information'!A400="","", 'Equipment Information'!A400)</f>
        <v/>
      </c>
      <c r="B400" t="str">
        <f>IF('Equipment Information'!B400="","", 'Equipment Information'!B400)</f>
        <v/>
      </c>
      <c r="C400" t="str">
        <f>IF('Equipment Information'!C400="","", 'Equipment Information'!C400)</f>
        <v/>
      </c>
      <c r="G400" t="str">
        <f t="shared" si="3"/>
        <v/>
      </c>
    </row>
    <row r="401" spans="1:7" x14ac:dyDescent="0.25">
      <c r="A401" t="str">
        <f>IF('Equipment Information'!A401="","", 'Equipment Information'!A401)</f>
        <v/>
      </c>
      <c r="B401" t="str">
        <f>IF('Equipment Information'!B401="","", 'Equipment Information'!B401)</f>
        <v/>
      </c>
      <c r="C401" t="str">
        <f>IF('Equipment Information'!C401="","", 'Equipment Information'!C401)</f>
        <v/>
      </c>
      <c r="G401" t="str">
        <f t="shared" si="3"/>
        <v/>
      </c>
    </row>
    <row r="402" spans="1:7" x14ac:dyDescent="0.25">
      <c r="A402" t="str">
        <f>IF('Equipment Information'!A402="","", 'Equipment Information'!A402)</f>
        <v/>
      </c>
      <c r="B402" t="str">
        <f>IF('Equipment Information'!B402="","", 'Equipment Information'!B402)</f>
        <v/>
      </c>
      <c r="C402" t="str">
        <f>IF('Equipment Information'!C402="","", 'Equipment Information'!C402)</f>
        <v/>
      </c>
      <c r="G402" t="str">
        <f t="shared" si="3"/>
        <v/>
      </c>
    </row>
    <row r="403" spans="1:7" x14ac:dyDescent="0.25">
      <c r="A403" t="str">
        <f>IF('Equipment Information'!A403="","", 'Equipment Information'!A403)</f>
        <v/>
      </c>
      <c r="B403" t="str">
        <f>IF('Equipment Information'!B403="","", 'Equipment Information'!B403)</f>
        <v/>
      </c>
      <c r="C403" t="str">
        <f>IF('Equipment Information'!C403="","", 'Equipment Information'!C403)</f>
        <v/>
      </c>
      <c r="G403" t="str">
        <f t="shared" si="3"/>
        <v/>
      </c>
    </row>
    <row r="404" spans="1:7" x14ac:dyDescent="0.25">
      <c r="A404" t="str">
        <f>IF('Equipment Information'!A404="","", 'Equipment Information'!A404)</f>
        <v/>
      </c>
      <c r="B404" t="str">
        <f>IF('Equipment Information'!B404="","", 'Equipment Information'!B404)</f>
        <v/>
      </c>
      <c r="C404" t="str">
        <f>IF('Equipment Information'!C404="","", 'Equipment Information'!C404)</f>
        <v/>
      </c>
      <c r="G404" t="str">
        <f t="shared" si="3"/>
        <v/>
      </c>
    </row>
    <row r="405" spans="1:7" x14ac:dyDescent="0.25">
      <c r="A405" t="str">
        <f>IF('Equipment Information'!A405="","", 'Equipment Information'!A405)</f>
        <v/>
      </c>
      <c r="B405" t="str">
        <f>IF('Equipment Information'!B405="","", 'Equipment Information'!B405)</f>
        <v/>
      </c>
      <c r="C405" t="str">
        <f>IF('Equipment Information'!C405="","", 'Equipment Information'!C405)</f>
        <v/>
      </c>
      <c r="G405" t="str">
        <f t="shared" si="3"/>
        <v/>
      </c>
    </row>
    <row r="406" spans="1:7" x14ac:dyDescent="0.25">
      <c r="A406" t="str">
        <f>IF('Equipment Information'!A406="","", 'Equipment Information'!A406)</f>
        <v/>
      </c>
      <c r="B406" t="str">
        <f>IF('Equipment Information'!B406="","", 'Equipment Information'!B406)</f>
        <v/>
      </c>
      <c r="C406" t="str">
        <f>IF('Equipment Information'!C406="","", 'Equipment Information'!C406)</f>
        <v/>
      </c>
      <c r="G406" t="str">
        <f t="shared" si="3"/>
        <v/>
      </c>
    </row>
    <row r="407" spans="1:7" x14ac:dyDescent="0.25">
      <c r="A407" t="str">
        <f>IF('Equipment Information'!A407="","", 'Equipment Information'!A407)</f>
        <v/>
      </c>
      <c r="B407" t="str">
        <f>IF('Equipment Information'!B407="","", 'Equipment Information'!B407)</f>
        <v/>
      </c>
      <c r="C407" t="str">
        <f>IF('Equipment Information'!C407="","", 'Equipment Information'!C407)</f>
        <v/>
      </c>
      <c r="G407" t="str">
        <f t="shared" si="3"/>
        <v/>
      </c>
    </row>
    <row r="408" spans="1:7" x14ac:dyDescent="0.25">
      <c r="A408" t="str">
        <f>IF('Equipment Information'!A408="","", 'Equipment Information'!A408)</f>
        <v/>
      </c>
      <c r="B408" t="str">
        <f>IF('Equipment Information'!B408="","", 'Equipment Information'!B408)</f>
        <v/>
      </c>
      <c r="C408" t="str">
        <f>IF('Equipment Information'!C408="","", 'Equipment Information'!C408)</f>
        <v/>
      </c>
      <c r="G408" t="str">
        <f t="shared" si="3"/>
        <v/>
      </c>
    </row>
    <row r="409" spans="1:7" x14ac:dyDescent="0.25">
      <c r="A409" t="str">
        <f>IF('Equipment Information'!A409="","", 'Equipment Information'!A409)</f>
        <v/>
      </c>
      <c r="B409" t="str">
        <f>IF('Equipment Information'!B409="","", 'Equipment Information'!B409)</f>
        <v/>
      </c>
      <c r="C409" t="str">
        <f>IF('Equipment Information'!C409="","", 'Equipment Information'!C409)</f>
        <v/>
      </c>
      <c r="G409" t="str">
        <f t="shared" si="3"/>
        <v/>
      </c>
    </row>
    <row r="410" spans="1:7" x14ac:dyDescent="0.25">
      <c r="A410" t="str">
        <f>IF('Equipment Information'!A410="","", 'Equipment Information'!A410)</f>
        <v/>
      </c>
      <c r="B410" t="str">
        <f>IF('Equipment Information'!B410="","", 'Equipment Information'!B410)</f>
        <v/>
      </c>
      <c r="C410" t="str">
        <f>IF('Equipment Information'!C410="","", 'Equipment Information'!C410)</f>
        <v/>
      </c>
      <c r="G410" t="str">
        <f t="shared" si="3"/>
        <v/>
      </c>
    </row>
    <row r="411" spans="1:7" x14ac:dyDescent="0.25">
      <c r="A411" t="str">
        <f>IF('Equipment Information'!A411="","", 'Equipment Information'!A411)</f>
        <v/>
      </c>
      <c r="B411" t="str">
        <f>IF('Equipment Information'!B411="","", 'Equipment Information'!B411)</f>
        <v/>
      </c>
      <c r="C411" t="str">
        <f>IF('Equipment Information'!C411="","", 'Equipment Information'!C411)</f>
        <v/>
      </c>
      <c r="G411" t="str">
        <f t="shared" si="3"/>
        <v/>
      </c>
    </row>
    <row r="412" spans="1:7" x14ac:dyDescent="0.25">
      <c r="A412" t="str">
        <f>IF('Equipment Information'!A412="","", 'Equipment Information'!A412)</f>
        <v/>
      </c>
      <c r="B412" t="str">
        <f>IF('Equipment Information'!B412="","", 'Equipment Information'!B412)</f>
        <v/>
      </c>
      <c r="C412" t="str">
        <f>IF('Equipment Information'!C412="","", 'Equipment Information'!C412)</f>
        <v/>
      </c>
      <c r="G412" t="str">
        <f t="shared" si="3"/>
        <v/>
      </c>
    </row>
    <row r="413" spans="1:7" x14ac:dyDescent="0.25">
      <c r="A413" t="str">
        <f>IF('Equipment Information'!A413="","", 'Equipment Information'!A413)</f>
        <v/>
      </c>
      <c r="B413" t="str">
        <f>IF('Equipment Information'!B413="","", 'Equipment Information'!B413)</f>
        <v/>
      </c>
      <c r="C413" t="str">
        <f>IF('Equipment Information'!C413="","", 'Equipment Information'!C413)</f>
        <v/>
      </c>
      <c r="G413" t="str">
        <f t="shared" ref="G413:G476" si="4">IF(A413="","","N/A")</f>
        <v/>
      </c>
    </row>
    <row r="414" spans="1:7" x14ac:dyDescent="0.25">
      <c r="A414" t="str">
        <f>IF('Equipment Information'!A414="","", 'Equipment Information'!A414)</f>
        <v/>
      </c>
      <c r="B414" t="str">
        <f>IF('Equipment Information'!B414="","", 'Equipment Information'!B414)</f>
        <v/>
      </c>
      <c r="C414" t="str">
        <f>IF('Equipment Information'!C414="","", 'Equipment Information'!C414)</f>
        <v/>
      </c>
      <c r="G414" t="str">
        <f t="shared" si="4"/>
        <v/>
      </c>
    </row>
    <row r="415" spans="1:7" x14ac:dyDescent="0.25">
      <c r="A415" t="str">
        <f>IF('Equipment Information'!A415="","", 'Equipment Information'!A415)</f>
        <v/>
      </c>
      <c r="B415" t="str">
        <f>IF('Equipment Information'!B415="","", 'Equipment Information'!B415)</f>
        <v/>
      </c>
      <c r="C415" t="str">
        <f>IF('Equipment Information'!C415="","", 'Equipment Information'!C415)</f>
        <v/>
      </c>
      <c r="G415" t="str">
        <f t="shared" si="4"/>
        <v/>
      </c>
    </row>
    <row r="416" spans="1:7" x14ac:dyDescent="0.25">
      <c r="A416" t="str">
        <f>IF('Equipment Information'!A416="","", 'Equipment Information'!A416)</f>
        <v/>
      </c>
      <c r="B416" t="str">
        <f>IF('Equipment Information'!B416="","", 'Equipment Information'!B416)</f>
        <v/>
      </c>
      <c r="C416" t="str">
        <f>IF('Equipment Information'!C416="","", 'Equipment Information'!C416)</f>
        <v/>
      </c>
      <c r="G416" t="str">
        <f t="shared" si="4"/>
        <v/>
      </c>
    </row>
    <row r="417" spans="1:7" x14ac:dyDescent="0.25">
      <c r="A417" t="str">
        <f>IF('Equipment Information'!A417="","", 'Equipment Information'!A417)</f>
        <v/>
      </c>
      <c r="B417" t="str">
        <f>IF('Equipment Information'!B417="","", 'Equipment Information'!B417)</f>
        <v/>
      </c>
      <c r="C417" t="str">
        <f>IF('Equipment Information'!C417="","", 'Equipment Information'!C417)</f>
        <v/>
      </c>
      <c r="G417" t="str">
        <f t="shared" si="4"/>
        <v/>
      </c>
    </row>
    <row r="418" spans="1:7" x14ac:dyDescent="0.25">
      <c r="A418" t="str">
        <f>IF('Equipment Information'!A418="","", 'Equipment Information'!A418)</f>
        <v/>
      </c>
      <c r="B418" t="str">
        <f>IF('Equipment Information'!B418="","", 'Equipment Information'!B418)</f>
        <v/>
      </c>
      <c r="C418" t="str">
        <f>IF('Equipment Information'!C418="","", 'Equipment Information'!C418)</f>
        <v/>
      </c>
      <c r="G418" t="str">
        <f t="shared" si="4"/>
        <v/>
      </c>
    </row>
    <row r="419" spans="1:7" x14ac:dyDescent="0.25">
      <c r="A419" t="str">
        <f>IF('Equipment Information'!A419="","", 'Equipment Information'!A419)</f>
        <v/>
      </c>
      <c r="B419" t="str">
        <f>IF('Equipment Information'!B419="","", 'Equipment Information'!B419)</f>
        <v/>
      </c>
      <c r="C419" t="str">
        <f>IF('Equipment Information'!C419="","", 'Equipment Information'!C419)</f>
        <v/>
      </c>
      <c r="G419" t="str">
        <f t="shared" si="4"/>
        <v/>
      </c>
    </row>
    <row r="420" spans="1:7" x14ac:dyDescent="0.25">
      <c r="A420" t="str">
        <f>IF('Equipment Information'!A420="","", 'Equipment Information'!A420)</f>
        <v/>
      </c>
      <c r="B420" t="str">
        <f>IF('Equipment Information'!B420="","", 'Equipment Information'!B420)</f>
        <v/>
      </c>
      <c r="C420" t="str">
        <f>IF('Equipment Information'!C420="","", 'Equipment Information'!C420)</f>
        <v/>
      </c>
      <c r="G420" t="str">
        <f t="shared" si="4"/>
        <v/>
      </c>
    </row>
    <row r="421" spans="1:7" x14ac:dyDescent="0.25">
      <c r="A421" t="str">
        <f>IF('Equipment Information'!A421="","", 'Equipment Information'!A421)</f>
        <v/>
      </c>
      <c r="B421" t="str">
        <f>IF('Equipment Information'!B421="","", 'Equipment Information'!B421)</f>
        <v/>
      </c>
      <c r="C421" t="str">
        <f>IF('Equipment Information'!C421="","", 'Equipment Information'!C421)</f>
        <v/>
      </c>
      <c r="G421" t="str">
        <f t="shared" si="4"/>
        <v/>
      </c>
    </row>
    <row r="422" spans="1:7" x14ac:dyDescent="0.25">
      <c r="A422" t="str">
        <f>IF('Equipment Information'!A422="","", 'Equipment Information'!A422)</f>
        <v/>
      </c>
      <c r="B422" t="str">
        <f>IF('Equipment Information'!B422="","", 'Equipment Information'!B422)</f>
        <v/>
      </c>
      <c r="C422" t="str">
        <f>IF('Equipment Information'!C422="","", 'Equipment Information'!C422)</f>
        <v/>
      </c>
      <c r="G422" t="str">
        <f t="shared" si="4"/>
        <v/>
      </c>
    </row>
    <row r="423" spans="1:7" x14ac:dyDescent="0.25">
      <c r="A423" t="str">
        <f>IF('Equipment Information'!A423="","", 'Equipment Information'!A423)</f>
        <v/>
      </c>
      <c r="B423" t="str">
        <f>IF('Equipment Information'!B423="","", 'Equipment Information'!B423)</f>
        <v/>
      </c>
      <c r="C423" t="str">
        <f>IF('Equipment Information'!C423="","", 'Equipment Information'!C423)</f>
        <v/>
      </c>
      <c r="G423" t="str">
        <f t="shared" si="4"/>
        <v/>
      </c>
    </row>
    <row r="424" spans="1:7" x14ac:dyDescent="0.25">
      <c r="A424" t="str">
        <f>IF('Equipment Information'!A424="","", 'Equipment Information'!A424)</f>
        <v/>
      </c>
      <c r="B424" t="str">
        <f>IF('Equipment Information'!B424="","", 'Equipment Information'!B424)</f>
        <v/>
      </c>
      <c r="C424" t="str">
        <f>IF('Equipment Information'!C424="","", 'Equipment Information'!C424)</f>
        <v/>
      </c>
      <c r="G424" t="str">
        <f t="shared" si="4"/>
        <v/>
      </c>
    </row>
    <row r="425" spans="1:7" x14ac:dyDescent="0.25">
      <c r="A425" t="str">
        <f>IF('Equipment Information'!A425="","", 'Equipment Information'!A425)</f>
        <v/>
      </c>
      <c r="B425" t="str">
        <f>IF('Equipment Information'!B425="","", 'Equipment Information'!B425)</f>
        <v/>
      </c>
      <c r="C425" t="str">
        <f>IF('Equipment Information'!C425="","", 'Equipment Information'!C425)</f>
        <v/>
      </c>
      <c r="G425" t="str">
        <f t="shared" si="4"/>
        <v/>
      </c>
    </row>
    <row r="426" spans="1:7" x14ac:dyDescent="0.25">
      <c r="A426" t="str">
        <f>IF('Equipment Information'!A426="","", 'Equipment Information'!A426)</f>
        <v/>
      </c>
      <c r="B426" t="str">
        <f>IF('Equipment Information'!B426="","", 'Equipment Information'!B426)</f>
        <v/>
      </c>
      <c r="C426" t="str">
        <f>IF('Equipment Information'!C426="","", 'Equipment Information'!C426)</f>
        <v/>
      </c>
      <c r="G426" t="str">
        <f t="shared" si="4"/>
        <v/>
      </c>
    </row>
    <row r="427" spans="1:7" x14ac:dyDescent="0.25">
      <c r="A427" t="str">
        <f>IF('Equipment Information'!A427="","", 'Equipment Information'!A427)</f>
        <v/>
      </c>
      <c r="B427" t="str">
        <f>IF('Equipment Information'!B427="","", 'Equipment Information'!B427)</f>
        <v/>
      </c>
      <c r="C427" t="str">
        <f>IF('Equipment Information'!C427="","", 'Equipment Information'!C427)</f>
        <v/>
      </c>
      <c r="G427" t="str">
        <f t="shared" si="4"/>
        <v/>
      </c>
    </row>
    <row r="428" spans="1:7" x14ac:dyDescent="0.25">
      <c r="A428" t="str">
        <f>IF('Equipment Information'!A428="","", 'Equipment Information'!A428)</f>
        <v/>
      </c>
      <c r="B428" t="str">
        <f>IF('Equipment Information'!B428="","", 'Equipment Information'!B428)</f>
        <v/>
      </c>
      <c r="C428" t="str">
        <f>IF('Equipment Information'!C428="","", 'Equipment Information'!C428)</f>
        <v/>
      </c>
      <c r="G428" t="str">
        <f t="shared" si="4"/>
        <v/>
      </c>
    </row>
    <row r="429" spans="1:7" x14ac:dyDescent="0.25">
      <c r="A429" t="str">
        <f>IF('Equipment Information'!A429="","", 'Equipment Information'!A429)</f>
        <v/>
      </c>
      <c r="B429" t="str">
        <f>IF('Equipment Information'!B429="","", 'Equipment Information'!B429)</f>
        <v/>
      </c>
      <c r="C429" t="str">
        <f>IF('Equipment Information'!C429="","", 'Equipment Information'!C429)</f>
        <v/>
      </c>
      <c r="G429" t="str">
        <f t="shared" si="4"/>
        <v/>
      </c>
    </row>
    <row r="430" spans="1:7" x14ac:dyDescent="0.25">
      <c r="A430" t="str">
        <f>IF('Equipment Information'!A430="","", 'Equipment Information'!A430)</f>
        <v/>
      </c>
      <c r="B430" t="str">
        <f>IF('Equipment Information'!B430="","", 'Equipment Information'!B430)</f>
        <v/>
      </c>
      <c r="C430" t="str">
        <f>IF('Equipment Information'!C430="","", 'Equipment Information'!C430)</f>
        <v/>
      </c>
      <c r="G430" t="str">
        <f t="shared" si="4"/>
        <v/>
      </c>
    </row>
    <row r="431" spans="1:7" x14ac:dyDescent="0.25">
      <c r="A431" t="str">
        <f>IF('Equipment Information'!A431="","", 'Equipment Information'!A431)</f>
        <v/>
      </c>
      <c r="B431" t="str">
        <f>IF('Equipment Information'!B431="","", 'Equipment Information'!B431)</f>
        <v/>
      </c>
      <c r="C431" t="str">
        <f>IF('Equipment Information'!C431="","", 'Equipment Information'!C431)</f>
        <v/>
      </c>
      <c r="G431" t="str">
        <f t="shared" si="4"/>
        <v/>
      </c>
    </row>
    <row r="432" spans="1:7" x14ac:dyDescent="0.25">
      <c r="A432" t="str">
        <f>IF('Equipment Information'!A432="","", 'Equipment Information'!A432)</f>
        <v/>
      </c>
      <c r="B432" t="str">
        <f>IF('Equipment Information'!B432="","", 'Equipment Information'!B432)</f>
        <v/>
      </c>
      <c r="C432" t="str">
        <f>IF('Equipment Information'!C432="","", 'Equipment Information'!C432)</f>
        <v/>
      </c>
      <c r="G432" t="str">
        <f t="shared" si="4"/>
        <v/>
      </c>
    </row>
    <row r="433" spans="1:7" x14ac:dyDescent="0.25">
      <c r="A433" t="str">
        <f>IF('Equipment Information'!A433="","", 'Equipment Information'!A433)</f>
        <v/>
      </c>
      <c r="B433" t="str">
        <f>IF('Equipment Information'!B433="","", 'Equipment Information'!B433)</f>
        <v/>
      </c>
      <c r="C433" t="str">
        <f>IF('Equipment Information'!C433="","", 'Equipment Information'!C433)</f>
        <v/>
      </c>
      <c r="G433" t="str">
        <f t="shared" si="4"/>
        <v/>
      </c>
    </row>
    <row r="434" spans="1:7" x14ac:dyDescent="0.25">
      <c r="A434" t="str">
        <f>IF('Equipment Information'!A434="","", 'Equipment Information'!A434)</f>
        <v/>
      </c>
      <c r="B434" t="str">
        <f>IF('Equipment Information'!B434="","", 'Equipment Information'!B434)</f>
        <v/>
      </c>
      <c r="C434" t="str">
        <f>IF('Equipment Information'!C434="","", 'Equipment Information'!C434)</f>
        <v/>
      </c>
      <c r="G434" t="str">
        <f t="shared" si="4"/>
        <v/>
      </c>
    </row>
    <row r="435" spans="1:7" x14ac:dyDescent="0.25">
      <c r="A435" t="str">
        <f>IF('Equipment Information'!A435="","", 'Equipment Information'!A435)</f>
        <v/>
      </c>
      <c r="B435" t="str">
        <f>IF('Equipment Information'!B435="","", 'Equipment Information'!B435)</f>
        <v/>
      </c>
      <c r="C435" t="str">
        <f>IF('Equipment Information'!C435="","", 'Equipment Information'!C435)</f>
        <v/>
      </c>
      <c r="G435" t="str">
        <f t="shared" si="4"/>
        <v/>
      </c>
    </row>
    <row r="436" spans="1:7" x14ac:dyDescent="0.25">
      <c r="A436" t="str">
        <f>IF('Equipment Information'!A436="","", 'Equipment Information'!A436)</f>
        <v/>
      </c>
      <c r="B436" t="str">
        <f>IF('Equipment Information'!B436="","", 'Equipment Information'!B436)</f>
        <v/>
      </c>
      <c r="C436" t="str">
        <f>IF('Equipment Information'!C436="","", 'Equipment Information'!C436)</f>
        <v/>
      </c>
      <c r="G436" t="str">
        <f t="shared" si="4"/>
        <v/>
      </c>
    </row>
    <row r="437" spans="1:7" x14ac:dyDescent="0.25">
      <c r="A437" t="str">
        <f>IF('Equipment Information'!A437="","", 'Equipment Information'!A437)</f>
        <v/>
      </c>
      <c r="B437" t="str">
        <f>IF('Equipment Information'!B437="","", 'Equipment Information'!B437)</f>
        <v/>
      </c>
      <c r="C437" t="str">
        <f>IF('Equipment Information'!C437="","", 'Equipment Information'!C437)</f>
        <v/>
      </c>
      <c r="G437" t="str">
        <f t="shared" si="4"/>
        <v/>
      </c>
    </row>
    <row r="438" spans="1:7" x14ac:dyDescent="0.25">
      <c r="A438" t="str">
        <f>IF('Equipment Information'!A438="","", 'Equipment Information'!A438)</f>
        <v/>
      </c>
      <c r="B438" t="str">
        <f>IF('Equipment Information'!B438="","", 'Equipment Information'!B438)</f>
        <v/>
      </c>
      <c r="C438" t="str">
        <f>IF('Equipment Information'!C438="","", 'Equipment Information'!C438)</f>
        <v/>
      </c>
      <c r="G438" t="str">
        <f t="shared" si="4"/>
        <v/>
      </c>
    </row>
    <row r="439" spans="1:7" x14ac:dyDescent="0.25">
      <c r="A439" t="str">
        <f>IF('Equipment Information'!A439="","", 'Equipment Information'!A439)</f>
        <v/>
      </c>
      <c r="B439" t="str">
        <f>IF('Equipment Information'!B439="","", 'Equipment Information'!B439)</f>
        <v/>
      </c>
      <c r="C439" t="str">
        <f>IF('Equipment Information'!C439="","", 'Equipment Information'!C439)</f>
        <v/>
      </c>
      <c r="G439" t="str">
        <f t="shared" si="4"/>
        <v/>
      </c>
    </row>
    <row r="440" spans="1:7" x14ac:dyDescent="0.25">
      <c r="A440" t="str">
        <f>IF('Equipment Information'!A440="","", 'Equipment Information'!A440)</f>
        <v/>
      </c>
      <c r="B440" t="str">
        <f>IF('Equipment Information'!B440="","", 'Equipment Information'!B440)</f>
        <v/>
      </c>
      <c r="C440" t="str">
        <f>IF('Equipment Information'!C440="","", 'Equipment Information'!C440)</f>
        <v/>
      </c>
      <c r="G440" t="str">
        <f t="shared" si="4"/>
        <v/>
      </c>
    </row>
    <row r="441" spans="1:7" x14ac:dyDescent="0.25">
      <c r="A441" t="str">
        <f>IF('Equipment Information'!A441="","", 'Equipment Information'!A441)</f>
        <v/>
      </c>
      <c r="B441" t="str">
        <f>IF('Equipment Information'!B441="","", 'Equipment Information'!B441)</f>
        <v/>
      </c>
      <c r="C441" t="str">
        <f>IF('Equipment Information'!C441="","", 'Equipment Information'!C441)</f>
        <v/>
      </c>
      <c r="G441" t="str">
        <f t="shared" si="4"/>
        <v/>
      </c>
    </row>
    <row r="442" spans="1:7" x14ac:dyDescent="0.25">
      <c r="A442" t="str">
        <f>IF('Equipment Information'!A442="","", 'Equipment Information'!A442)</f>
        <v/>
      </c>
      <c r="B442" t="str">
        <f>IF('Equipment Information'!B442="","", 'Equipment Information'!B442)</f>
        <v/>
      </c>
      <c r="C442" t="str">
        <f>IF('Equipment Information'!C442="","", 'Equipment Information'!C442)</f>
        <v/>
      </c>
      <c r="G442" t="str">
        <f t="shared" si="4"/>
        <v/>
      </c>
    </row>
    <row r="443" spans="1:7" x14ac:dyDescent="0.25">
      <c r="A443" t="str">
        <f>IF('Equipment Information'!A443="","", 'Equipment Information'!A443)</f>
        <v/>
      </c>
      <c r="B443" t="str">
        <f>IF('Equipment Information'!B443="","", 'Equipment Information'!B443)</f>
        <v/>
      </c>
      <c r="C443" t="str">
        <f>IF('Equipment Information'!C443="","", 'Equipment Information'!C443)</f>
        <v/>
      </c>
      <c r="G443" t="str">
        <f t="shared" si="4"/>
        <v/>
      </c>
    </row>
    <row r="444" spans="1:7" x14ac:dyDescent="0.25">
      <c r="A444" t="str">
        <f>IF('Equipment Information'!A444="","", 'Equipment Information'!A444)</f>
        <v/>
      </c>
      <c r="B444" t="str">
        <f>IF('Equipment Information'!B444="","", 'Equipment Information'!B444)</f>
        <v/>
      </c>
      <c r="C444" t="str">
        <f>IF('Equipment Information'!C444="","", 'Equipment Information'!C444)</f>
        <v/>
      </c>
      <c r="G444" t="str">
        <f t="shared" si="4"/>
        <v/>
      </c>
    </row>
    <row r="445" spans="1:7" x14ac:dyDescent="0.25">
      <c r="A445" t="str">
        <f>IF('Equipment Information'!A445="","", 'Equipment Information'!A445)</f>
        <v/>
      </c>
      <c r="B445" t="str">
        <f>IF('Equipment Information'!B445="","", 'Equipment Information'!B445)</f>
        <v/>
      </c>
      <c r="C445" t="str">
        <f>IF('Equipment Information'!C445="","", 'Equipment Information'!C445)</f>
        <v/>
      </c>
      <c r="G445" t="str">
        <f t="shared" si="4"/>
        <v/>
      </c>
    </row>
    <row r="446" spans="1:7" x14ac:dyDescent="0.25">
      <c r="A446" t="str">
        <f>IF('Equipment Information'!A446="","", 'Equipment Information'!A446)</f>
        <v/>
      </c>
      <c r="B446" t="str">
        <f>IF('Equipment Information'!B446="","", 'Equipment Information'!B446)</f>
        <v/>
      </c>
      <c r="C446" t="str">
        <f>IF('Equipment Information'!C446="","", 'Equipment Information'!C446)</f>
        <v/>
      </c>
      <c r="G446" t="str">
        <f t="shared" si="4"/>
        <v/>
      </c>
    </row>
    <row r="447" spans="1:7" x14ac:dyDescent="0.25">
      <c r="A447" t="str">
        <f>IF('Equipment Information'!A447="","", 'Equipment Information'!A447)</f>
        <v/>
      </c>
      <c r="B447" t="str">
        <f>IF('Equipment Information'!B447="","", 'Equipment Information'!B447)</f>
        <v/>
      </c>
      <c r="C447" t="str">
        <f>IF('Equipment Information'!C447="","", 'Equipment Information'!C447)</f>
        <v/>
      </c>
      <c r="G447" t="str">
        <f t="shared" si="4"/>
        <v/>
      </c>
    </row>
    <row r="448" spans="1:7" x14ac:dyDescent="0.25">
      <c r="A448" t="str">
        <f>IF('Equipment Information'!A448="","", 'Equipment Information'!A448)</f>
        <v/>
      </c>
      <c r="B448" t="str">
        <f>IF('Equipment Information'!B448="","", 'Equipment Information'!B448)</f>
        <v/>
      </c>
      <c r="C448" t="str">
        <f>IF('Equipment Information'!C448="","", 'Equipment Information'!C448)</f>
        <v/>
      </c>
      <c r="G448" t="str">
        <f t="shared" si="4"/>
        <v/>
      </c>
    </row>
    <row r="449" spans="1:7" x14ac:dyDescent="0.25">
      <c r="A449" t="str">
        <f>IF('Equipment Information'!A449="","", 'Equipment Information'!A449)</f>
        <v/>
      </c>
      <c r="B449" t="str">
        <f>IF('Equipment Information'!B449="","", 'Equipment Information'!B449)</f>
        <v/>
      </c>
      <c r="C449" t="str">
        <f>IF('Equipment Information'!C449="","", 'Equipment Information'!C449)</f>
        <v/>
      </c>
      <c r="G449" t="str">
        <f t="shared" si="4"/>
        <v/>
      </c>
    </row>
    <row r="450" spans="1:7" x14ac:dyDescent="0.25">
      <c r="A450" t="str">
        <f>IF('Equipment Information'!A450="","", 'Equipment Information'!A450)</f>
        <v/>
      </c>
      <c r="B450" t="str">
        <f>IF('Equipment Information'!B450="","", 'Equipment Information'!B450)</f>
        <v/>
      </c>
      <c r="C450" t="str">
        <f>IF('Equipment Information'!C450="","", 'Equipment Information'!C450)</f>
        <v/>
      </c>
      <c r="G450" t="str">
        <f t="shared" si="4"/>
        <v/>
      </c>
    </row>
    <row r="451" spans="1:7" x14ac:dyDescent="0.25">
      <c r="A451" t="str">
        <f>IF('Equipment Information'!A451="","", 'Equipment Information'!A451)</f>
        <v/>
      </c>
      <c r="B451" t="str">
        <f>IF('Equipment Information'!B451="","", 'Equipment Information'!B451)</f>
        <v/>
      </c>
      <c r="C451" t="str">
        <f>IF('Equipment Information'!C451="","", 'Equipment Information'!C451)</f>
        <v/>
      </c>
      <c r="G451" t="str">
        <f t="shared" si="4"/>
        <v/>
      </c>
    </row>
    <row r="452" spans="1:7" x14ac:dyDescent="0.25">
      <c r="A452" t="str">
        <f>IF('Equipment Information'!A452="","", 'Equipment Information'!A452)</f>
        <v/>
      </c>
      <c r="B452" t="str">
        <f>IF('Equipment Information'!B452="","", 'Equipment Information'!B452)</f>
        <v/>
      </c>
      <c r="C452" t="str">
        <f>IF('Equipment Information'!C452="","", 'Equipment Information'!C452)</f>
        <v/>
      </c>
      <c r="G452" t="str">
        <f t="shared" si="4"/>
        <v/>
      </c>
    </row>
    <row r="453" spans="1:7" x14ac:dyDescent="0.25">
      <c r="A453" t="str">
        <f>IF('Equipment Information'!A453="","", 'Equipment Information'!A453)</f>
        <v/>
      </c>
      <c r="B453" t="str">
        <f>IF('Equipment Information'!B453="","", 'Equipment Information'!B453)</f>
        <v/>
      </c>
      <c r="C453" t="str">
        <f>IF('Equipment Information'!C453="","", 'Equipment Information'!C453)</f>
        <v/>
      </c>
      <c r="G453" t="str">
        <f t="shared" si="4"/>
        <v/>
      </c>
    </row>
    <row r="454" spans="1:7" x14ac:dyDescent="0.25">
      <c r="A454" t="str">
        <f>IF('Equipment Information'!A454="","", 'Equipment Information'!A454)</f>
        <v/>
      </c>
      <c r="B454" t="str">
        <f>IF('Equipment Information'!B454="","", 'Equipment Information'!B454)</f>
        <v/>
      </c>
      <c r="C454" t="str">
        <f>IF('Equipment Information'!C454="","", 'Equipment Information'!C454)</f>
        <v/>
      </c>
      <c r="G454" t="str">
        <f t="shared" si="4"/>
        <v/>
      </c>
    </row>
    <row r="455" spans="1:7" x14ac:dyDescent="0.25">
      <c r="A455" t="str">
        <f>IF('Equipment Information'!A455="","", 'Equipment Information'!A455)</f>
        <v/>
      </c>
      <c r="B455" t="str">
        <f>IF('Equipment Information'!B455="","", 'Equipment Information'!B455)</f>
        <v/>
      </c>
      <c r="C455" t="str">
        <f>IF('Equipment Information'!C455="","", 'Equipment Information'!C455)</f>
        <v/>
      </c>
      <c r="G455" t="str">
        <f t="shared" si="4"/>
        <v/>
      </c>
    </row>
    <row r="456" spans="1:7" x14ac:dyDescent="0.25">
      <c r="A456" t="str">
        <f>IF('Equipment Information'!A456="","", 'Equipment Information'!A456)</f>
        <v/>
      </c>
      <c r="B456" t="str">
        <f>IF('Equipment Information'!B456="","", 'Equipment Information'!B456)</f>
        <v/>
      </c>
      <c r="C456" t="str">
        <f>IF('Equipment Information'!C456="","", 'Equipment Information'!C456)</f>
        <v/>
      </c>
      <c r="G456" t="str">
        <f t="shared" si="4"/>
        <v/>
      </c>
    </row>
    <row r="457" spans="1:7" x14ac:dyDescent="0.25">
      <c r="A457" t="str">
        <f>IF('Equipment Information'!A457="","", 'Equipment Information'!A457)</f>
        <v/>
      </c>
      <c r="B457" t="str">
        <f>IF('Equipment Information'!B457="","", 'Equipment Information'!B457)</f>
        <v/>
      </c>
      <c r="C457" t="str">
        <f>IF('Equipment Information'!C457="","", 'Equipment Information'!C457)</f>
        <v/>
      </c>
      <c r="G457" t="str">
        <f t="shared" si="4"/>
        <v/>
      </c>
    </row>
    <row r="458" spans="1:7" x14ac:dyDescent="0.25">
      <c r="A458" t="str">
        <f>IF('Equipment Information'!A458="","", 'Equipment Information'!A458)</f>
        <v/>
      </c>
      <c r="B458" t="str">
        <f>IF('Equipment Information'!B458="","", 'Equipment Information'!B458)</f>
        <v/>
      </c>
      <c r="C458" t="str">
        <f>IF('Equipment Information'!C458="","", 'Equipment Information'!C458)</f>
        <v/>
      </c>
      <c r="G458" t="str">
        <f t="shared" si="4"/>
        <v/>
      </c>
    </row>
    <row r="459" spans="1:7" x14ac:dyDescent="0.25">
      <c r="A459" t="str">
        <f>IF('Equipment Information'!A459="","", 'Equipment Information'!A459)</f>
        <v/>
      </c>
      <c r="B459" t="str">
        <f>IF('Equipment Information'!B459="","", 'Equipment Information'!B459)</f>
        <v/>
      </c>
      <c r="C459" t="str">
        <f>IF('Equipment Information'!C459="","", 'Equipment Information'!C459)</f>
        <v/>
      </c>
      <c r="G459" t="str">
        <f t="shared" si="4"/>
        <v/>
      </c>
    </row>
    <row r="460" spans="1:7" x14ac:dyDescent="0.25">
      <c r="A460" t="str">
        <f>IF('Equipment Information'!A460="","", 'Equipment Information'!A460)</f>
        <v/>
      </c>
      <c r="B460" t="str">
        <f>IF('Equipment Information'!B460="","", 'Equipment Information'!B460)</f>
        <v/>
      </c>
      <c r="C460" t="str">
        <f>IF('Equipment Information'!C460="","", 'Equipment Information'!C460)</f>
        <v/>
      </c>
      <c r="G460" t="str">
        <f t="shared" si="4"/>
        <v/>
      </c>
    </row>
    <row r="461" spans="1:7" x14ac:dyDescent="0.25">
      <c r="A461" t="str">
        <f>IF('Equipment Information'!A461="","", 'Equipment Information'!A461)</f>
        <v/>
      </c>
      <c r="B461" t="str">
        <f>IF('Equipment Information'!B461="","", 'Equipment Information'!B461)</f>
        <v/>
      </c>
      <c r="C461" t="str">
        <f>IF('Equipment Information'!C461="","", 'Equipment Information'!C461)</f>
        <v/>
      </c>
      <c r="G461" t="str">
        <f t="shared" si="4"/>
        <v/>
      </c>
    </row>
    <row r="462" spans="1:7" x14ac:dyDescent="0.25">
      <c r="A462" t="str">
        <f>IF('Equipment Information'!A462="","", 'Equipment Information'!A462)</f>
        <v/>
      </c>
      <c r="B462" t="str">
        <f>IF('Equipment Information'!B462="","", 'Equipment Information'!B462)</f>
        <v/>
      </c>
      <c r="C462" t="str">
        <f>IF('Equipment Information'!C462="","", 'Equipment Information'!C462)</f>
        <v/>
      </c>
      <c r="G462" t="str">
        <f t="shared" si="4"/>
        <v/>
      </c>
    </row>
    <row r="463" spans="1:7" x14ac:dyDescent="0.25">
      <c r="A463" t="str">
        <f>IF('Equipment Information'!A463="","", 'Equipment Information'!A463)</f>
        <v/>
      </c>
      <c r="B463" t="str">
        <f>IF('Equipment Information'!B463="","", 'Equipment Information'!B463)</f>
        <v/>
      </c>
      <c r="C463" t="str">
        <f>IF('Equipment Information'!C463="","", 'Equipment Information'!C463)</f>
        <v/>
      </c>
      <c r="G463" t="str">
        <f t="shared" si="4"/>
        <v/>
      </c>
    </row>
    <row r="464" spans="1:7" x14ac:dyDescent="0.25">
      <c r="A464" t="str">
        <f>IF('Equipment Information'!A464="","", 'Equipment Information'!A464)</f>
        <v/>
      </c>
      <c r="B464" t="str">
        <f>IF('Equipment Information'!B464="","", 'Equipment Information'!B464)</f>
        <v/>
      </c>
      <c r="C464" t="str">
        <f>IF('Equipment Information'!C464="","", 'Equipment Information'!C464)</f>
        <v/>
      </c>
      <c r="G464" t="str">
        <f t="shared" si="4"/>
        <v/>
      </c>
    </row>
    <row r="465" spans="1:7" x14ac:dyDescent="0.25">
      <c r="A465" t="str">
        <f>IF('Equipment Information'!A465="","", 'Equipment Information'!A465)</f>
        <v/>
      </c>
      <c r="B465" t="str">
        <f>IF('Equipment Information'!B465="","", 'Equipment Information'!B465)</f>
        <v/>
      </c>
      <c r="C465" t="str">
        <f>IF('Equipment Information'!C465="","", 'Equipment Information'!C465)</f>
        <v/>
      </c>
      <c r="G465" t="str">
        <f t="shared" si="4"/>
        <v/>
      </c>
    </row>
    <row r="466" spans="1:7" x14ac:dyDescent="0.25">
      <c r="A466" t="str">
        <f>IF('Equipment Information'!A466="","", 'Equipment Information'!A466)</f>
        <v/>
      </c>
      <c r="B466" t="str">
        <f>IF('Equipment Information'!B466="","", 'Equipment Information'!B466)</f>
        <v/>
      </c>
      <c r="C466" t="str">
        <f>IF('Equipment Information'!C466="","", 'Equipment Information'!C466)</f>
        <v/>
      </c>
      <c r="G466" t="str">
        <f t="shared" si="4"/>
        <v/>
      </c>
    </row>
    <row r="467" spans="1:7" x14ac:dyDescent="0.25">
      <c r="A467" t="str">
        <f>IF('Equipment Information'!A467="","", 'Equipment Information'!A467)</f>
        <v/>
      </c>
      <c r="B467" t="str">
        <f>IF('Equipment Information'!B467="","", 'Equipment Information'!B467)</f>
        <v/>
      </c>
      <c r="C467" t="str">
        <f>IF('Equipment Information'!C467="","", 'Equipment Information'!C467)</f>
        <v/>
      </c>
      <c r="G467" t="str">
        <f t="shared" si="4"/>
        <v/>
      </c>
    </row>
    <row r="468" spans="1:7" x14ac:dyDescent="0.25">
      <c r="A468" t="str">
        <f>IF('Equipment Information'!A468="","", 'Equipment Information'!A468)</f>
        <v/>
      </c>
      <c r="B468" t="str">
        <f>IF('Equipment Information'!B468="","", 'Equipment Information'!B468)</f>
        <v/>
      </c>
      <c r="C468" t="str">
        <f>IF('Equipment Information'!C468="","", 'Equipment Information'!C468)</f>
        <v/>
      </c>
      <c r="G468" t="str">
        <f t="shared" si="4"/>
        <v/>
      </c>
    </row>
    <row r="469" spans="1:7" x14ac:dyDescent="0.25">
      <c r="A469" t="str">
        <f>IF('Equipment Information'!A469="","", 'Equipment Information'!A469)</f>
        <v/>
      </c>
      <c r="B469" t="str">
        <f>IF('Equipment Information'!B469="","", 'Equipment Information'!B469)</f>
        <v/>
      </c>
      <c r="C469" t="str">
        <f>IF('Equipment Information'!C469="","", 'Equipment Information'!C469)</f>
        <v/>
      </c>
      <c r="G469" t="str">
        <f t="shared" si="4"/>
        <v/>
      </c>
    </row>
    <row r="470" spans="1:7" x14ac:dyDescent="0.25">
      <c r="A470" t="str">
        <f>IF('Equipment Information'!A470="","", 'Equipment Information'!A470)</f>
        <v/>
      </c>
      <c r="B470" t="str">
        <f>IF('Equipment Information'!B470="","", 'Equipment Information'!B470)</f>
        <v/>
      </c>
      <c r="C470" t="str">
        <f>IF('Equipment Information'!C470="","", 'Equipment Information'!C470)</f>
        <v/>
      </c>
      <c r="G470" t="str">
        <f t="shared" si="4"/>
        <v/>
      </c>
    </row>
    <row r="471" spans="1:7" x14ac:dyDescent="0.25">
      <c r="A471" t="str">
        <f>IF('Equipment Information'!A471="","", 'Equipment Information'!A471)</f>
        <v/>
      </c>
      <c r="B471" t="str">
        <f>IF('Equipment Information'!B471="","", 'Equipment Information'!B471)</f>
        <v/>
      </c>
      <c r="C471" t="str">
        <f>IF('Equipment Information'!C471="","", 'Equipment Information'!C471)</f>
        <v/>
      </c>
      <c r="G471" t="str">
        <f t="shared" si="4"/>
        <v/>
      </c>
    </row>
    <row r="472" spans="1:7" x14ac:dyDescent="0.25">
      <c r="A472" t="str">
        <f>IF('Equipment Information'!A472="","", 'Equipment Information'!A472)</f>
        <v/>
      </c>
      <c r="B472" t="str">
        <f>IF('Equipment Information'!B472="","", 'Equipment Information'!B472)</f>
        <v/>
      </c>
      <c r="C472" t="str">
        <f>IF('Equipment Information'!C472="","", 'Equipment Information'!C472)</f>
        <v/>
      </c>
      <c r="G472" t="str">
        <f t="shared" si="4"/>
        <v/>
      </c>
    </row>
    <row r="473" spans="1:7" x14ac:dyDescent="0.25">
      <c r="A473" t="str">
        <f>IF('Equipment Information'!A473="","", 'Equipment Information'!A473)</f>
        <v/>
      </c>
      <c r="B473" t="str">
        <f>IF('Equipment Information'!B473="","", 'Equipment Information'!B473)</f>
        <v/>
      </c>
      <c r="C473" t="str">
        <f>IF('Equipment Information'!C473="","", 'Equipment Information'!C473)</f>
        <v/>
      </c>
      <c r="G473" t="str">
        <f t="shared" si="4"/>
        <v/>
      </c>
    </row>
    <row r="474" spans="1:7" x14ac:dyDescent="0.25">
      <c r="A474" t="str">
        <f>IF('Equipment Information'!A474="","", 'Equipment Information'!A474)</f>
        <v/>
      </c>
      <c r="B474" t="str">
        <f>IF('Equipment Information'!B474="","", 'Equipment Information'!B474)</f>
        <v/>
      </c>
      <c r="C474" t="str">
        <f>IF('Equipment Information'!C474="","", 'Equipment Information'!C474)</f>
        <v/>
      </c>
      <c r="G474" t="str">
        <f t="shared" si="4"/>
        <v/>
      </c>
    </row>
    <row r="475" spans="1:7" x14ac:dyDescent="0.25">
      <c r="A475" t="str">
        <f>IF('Equipment Information'!A475="","", 'Equipment Information'!A475)</f>
        <v/>
      </c>
      <c r="B475" t="str">
        <f>IF('Equipment Information'!B475="","", 'Equipment Information'!B475)</f>
        <v/>
      </c>
      <c r="C475" t="str">
        <f>IF('Equipment Information'!C475="","", 'Equipment Information'!C475)</f>
        <v/>
      </c>
      <c r="G475" t="str">
        <f t="shared" si="4"/>
        <v/>
      </c>
    </row>
    <row r="476" spans="1:7" x14ac:dyDescent="0.25">
      <c r="A476" t="str">
        <f>IF('Equipment Information'!A476="","", 'Equipment Information'!A476)</f>
        <v/>
      </c>
      <c r="B476" t="str">
        <f>IF('Equipment Information'!B476="","", 'Equipment Information'!B476)</f>
        <v/>
      </c>
      <c r="C476" t="str">
        <f>IF('Equipment Information'!C476="","", 'Equipment Information'!C476)</f>
        <v/>
      </c>
      <c r="G476" t="str">
        <f t="shared" si="4"/>
        <v/>
      </c>
    </row>
    <row r="477" spans="1:7" x14ac:dyDescent="0.25">
      <c r="A477" t="str">
        <f>IF('Equipment Information'!A477="","", 'Equipment Information'!A477)</f>
        <v/>
      </c>
      <c r="B477" t="str">
        <f>IF('Equipment Information'!B477="","", 'Equipment Information'!B477)</f>
        <v/>
      </c>
      <c r="C477" t="str">
        <f>IF('Equipment Information'!C477="","", 'Equipment Information'!C477)</f>
        <v/>
      </c>
      <c r="G477" t="str">
        <f t="shared" ref="G477:G499" si="5">IF(A477="","","N/A")</f>
        <v/>
      </c>
    </row>
    <row r="478" spans="1:7" x14ac:dyDescent="0.25">
      <c r="A478" t="str">
        <f>IF('Equipment Information'!A478="","", 'Equipment Information'!A478)</f>
        <v/>
      </c>
      <c r="B478" t="str">
        <f>IF('Equipment Information'!B478="","", 'Equipment Information'!B478)</f>
        <v/>
      </c>
      <c r="C478" t="str">
        <f>IF('Equipment Information'!C478="","", 'Equipment Information'!C478)</f>
        <v/>
      </c>
      <c r="G478" t="str">
        <f t="shared" si="5"/>
        <v/>
      </c>
    </row>
    <row r="479" spans="1:7" x14ac:dyDescent="0.25">
      <c r="A479" t="str">
        <f>IF('Equipment Information'!A479="","", 'Equipment Information'!A479)</f>
        <v/>
      </c>
      <c r="B479" t="str">
        <f>IF('Equipment Information'!B479="","", 'Equipment Information'!B479)</f>
        <v/>
      </c>
      <c r="C479" t="str">
        <f>IF('Equipment Information'!C479="","", 'Equipment Information'!C479)</f>
        <v/>
      </c>
      <c r="G479" t="str">
        <f t="shared" si="5"/>
        <v/>
      </c>
    </row>
    <row r="480" spans="1:7" x14ac:dyDescent="0.25">
      <c r="A480" t="str">
        <f>IF('Equipment Information'!A480="","", 'Equipment Information'!A480)</f>
        <v/>
      </c>
      <c r="B480" t="str">
        <f>IF('Equipment Information'!B480="","", 'Equipment Information'!B480)</f>
        <v/>
      </c>
      <c r="C480" t="str">
        <f>IF('Equipment Information'!C480="","", 'Equipment Information'!C480)</f>
        <v/>
      </c>
      <c r="G480" t="str">
        <f t="shared" si="5"/>
        <v/>
      </c>
    </row>
    <row r="481" spans="1:7" x14ac:dyDescent="0.25">
      <c r="A481" t="str">
        <f>IF('Equipment Information'!A481="","", 'Equipment Information'!A481)</f>
        <v/>
      </c>
      <c r="B481" t="str">
        <f>IF('Equipment Information'!B481="","", 'Equipment Information'!B481)</f>
        <v/>
      </c>
      <c r="C481" t="str">
        <f>IF('Equipment Information'!C481="","", 'Equipment Information'!C481)</f>
        <v/>
      </c>
      <c r="G481" t="str">
        <f t="shared" si="5"/>
        <v/>
      </c>
    </row>
    <row r="482" spans="1:7" x14ac:dyDescent="0.25">
      <c r="A482" t="str">
        <f>IF('Equipment Information'!A482="","", 'Equipment Information'!A482)</f>
        <v/>
      </c>
      <c r="B482" t="str">
        <f>IF('Equipment Information'!B482="","", 'Equipment Information'!B482)</f>
        <v/>
      </c>
      <c r="C482" t="str">
        <f>IF('Equipment Information'!C482="","", 'Equipment Information'!C482)</f>
        <v/>
      </c>
      <c r="G482" t="str">
        <f t="shared" si="5"/>
        <v/>
      </c>
    </row>
    <row r="483" spans="1:7" x14ac:dyDescent="0.25">
      <c r="A483" t="str">
        <f>IF('Equipment Information'!A483="","", 'Equipment Information'!A483)</f>
        <v/>
      </c>
      <c r="B483" t="str">
        <f>IF('Equipment Information'!B483="","", 'Equipment Information'!B483)</f>
        <v/>
      </c>
      <c r="C483" t="str">
        <f>IF('Equipment Information'!C483="","", 'Equipment Information'!C483)</f>
        <v/>
      </c>
      <c r="G483" t="str">
        <f t="shared" si="5"/>
        <v/>
      </c>
    </row>
    <row r="484" spans="1:7" x14ac:dyDescent="0.25">
      <c r="A484" t="str">
        <f>IF('Equipment Information'!A484="","", 'Equipment Information'!A484)</f>
        <v/>
      </c>
      <c r="B484" t="str">
        <f>IF('Equipment Information'!B484="","", 'Equipment Information'!B484)</f>
        <v/>
      </c>
      <c r="C484" t="str">
        <f>IF('Equipment Information'!C484="","", 'Equipment Information'!C484)</f>
        <v/>
      </c>
      <c r="G484" t="str">
        <f t="shared" si="5"/>
        <v/>
      </c>
    </row>
    <row r="485" spans="1:7" x14ac:dyDescent="0.25">
      <c r="A485" t="str">
        <f>IF('Equipment Information'!A485="","", 'Equipment Information'!A485)</f>
        <v/>
      </c>
      <c r="B485" t="str">
        <f>IF('Equipment Information'!B485="","", 'Equipment Information'!B485)</f>
        <v/>
      </c>
      <c r="C485" t="str">
        <f>IF('Equipment Information'!C485="","", 'Equipment Information'!C485)</f>
        <v/>
      </c>
      <c r="G485" t="str">
        <f t="shared" si="5"/>
        <v/>
      </c>
    </row>
    <row r="486" spans="1:7" x14ac:dyDescent="0.25">
      <c r="A486" t="str">
        <f>IF('Equipment Information'!A486="","", 'Equipment Information'!A486)</f>
        <v/>
      </c>
      <c r="B486" t="str">
        <f>IF('Equipment Information'!B486="","", 'Equipment Information'!B486)</f>
        <v/>
      </c>
      <c r="C486" t="str">
        <f>IF('Equipment Information'!C486="","", 'Equipment Information'!C486)</f>
        <v/>
      </c>
      <c r="G486" t="str">
        <f t="shared" si="5"/>
        <v/>
      </c>
    </row>
    <row r="487" spans="1:7" x14ac:dyDescent="0.25">
      <c r="A487" t="str">
        <f>IF('Equipment Information'!A487="","", 'Equipment Information'!A487)</f>
        <v/>
      </c>
      <c r="B487" t="str">
        <f>IF('Equipment Information'!B487="","", 'Equipment Information'!B487)</f>
        <v/>
      </c>
      <c r="C487" t="str">
        <f>IF('Equipment Information'!C487="","", 'Equipment Information'!C487)</f>
        <v/>
      </c>
      <c r="G487" t="str">
        <f t="shared" si="5"/>
        <v/>
      </c>
    </row>
    <row r="488" spans="1:7" x14ac:dyDescent="0.25">
      <c r="A488" t="str">
        <f>IF('Equipment Information'!A488="","", 'Equipment Information'!A488)</f>
        <v/>
      </c>
      <c r="B488" t="str">
        <f>IF('Equipment Information'!B488="","", 'Equipment Information'!B488)</f>
        <v/>
      </c>
      <c r="C488" t="str">
        <f>IF('Equipment Information'!C488="","", 'Equipment Information'!C488)</f>
        <v/>
      </c>
      <c r="G488" t="str">
        <f t="shared" si="5"/>
        <v/>
      </c>
    </row>
    <row r="489" spans="1:7" x14ac:dyDescent="0.25">
      <c r="A489" t="str">
        <f>IF('Equipment Information'!A489="","", 'Equipment Information'!A489)</f>
        <v/>
      </c>
      <c r="B489" t="str">
        <f>IF('Equipment Information'!B489="","", 'Equipment Information'!B489)</f>
        <v/>
      </c>
      <c r="C489" t="str">
        <f>IF('Equipment Information'!C489="","", 'Equipment Information'!C489)</f>
        <v/>
      </c>
      <c r="G489" t="str">
        <f t="shared" si="5"/>
        <v/>
      </c>
    </row>
    <row r="490" spans="1:7" x14ac:dyDescent="0.25">
      <c r="A490" t="str">
        <f>IF('Equipment Information'!A490="","", 'Equipment Information'!A490)</f>
        <v/>
      </c>
      <c r="B490" t="str">
        <f>IF('Equipment Information'!B490="","", 'Equipment Information'!B490)</f>
        <v/>
      </c>
      <c r="C490" t="str">
        <f>IF('Equipment Information'!C490="","", 'Equipment Information'!C490)</f>
        <v/>
      </c>
      <c r="G490" t="str">
        <f t="shared" si="5"/>
        <v/>
      </c>
    </row>
    <row r="491" spans="1:7" x14ac:dyDescent="0.25">
      <c r="A491" t="str">
        <f>IF('Equipment Information'!A491="","", 'Equipment Information'!A491)</f>
        <v/>
      </c>
      <c r="B491" t="str">
        <f>IF('Equipment Information'!B491="","", 'Equipment Information'!B491)</f>
        <v/>
      </c>
      <c r="C491" t="str">
        <f>IF('Equipment Information'!C491="","", 'Equipment Information'!C491)</f>
        <v/>
      </c>
      <c r="G491" t="str">
        <f t="shared" si="5"/>
        <v/>
      </c>
    </row>
    <row r="492" spans="1:7" x14ac:dyDescent="0.25">
      <c r="A492" t="str">
        <f>IF('Equipment Information'!A492="","", 'Equipment Information'!A492)</f>
        <v/>
      </c>
      <c r="B492" t="str">
        <f>IF('Equipment Information'!B492="","", 'Equipment Information'!B492)</f>
        <v/>
      </c>
      <c r="C492" t="str">
        <f>IF('Equipment Information'!C492="","", 'Equipment Information'!C492)</f>
        <v/>
      </c>
      <c r="G492" t="str">
        <f t="shared" si="5"/>
        <v/>
      </c>
    </row>
    <row r="493" spans="1:7" x14ac:dyDescent="0.25">
      <c r="A493" t="str">
        <f>IF('Equipment Information'!A493="","", 'Equipment Information'!A493)</f>
        <v/>
      </c>
      <c r="B493" t="str">
        <f>IF('Equipment Information'!B493="","", 'Equipment Information'!B493)</f>
        <v/>
      </c>
      <c r="C493" t="str">
        <f>IF('Equipment Information'!C493="","", 'Equipment Information'!C493)</f>
        <v/>
      </c>
      <c r="G493" t="str">
        <f t="shared" si="5"/>
        <v/>
      </c>
    </row>
    <row r="494" spans="1:7" x14ac:dyDescent="0.25">
      <c r="A494" t="str">
        <f>IF('Equipment Information'!A494="","", 'Equipment Information'!A494)</f>
        <v/>
      </c>
      <c r="B494" t="str">
        <f>IF('Equipment Information'!B494="","", 'Equipment Information'!B494)</f>
        <v/>
      </c>
      <c r="C494" t="str">
        <f>IF('Equipment Information'!C494="","", 'Equipment Information'!C494)</f>
        <v/>
      </c>
      <c r="G494" t="str">
        <f t="shared" si="5"/>
        <v/>
      </c>
    </row>
    <row r="495" spans="1:7" x14ac:dyDescent="0.25">
      <c r="A495" t="str">
        <f>IF('Equipment Information'!A495="","", 'Equipment Information'!A495)</f>
        <v/>
      </c>
      <c r="B495" t="str">
        <f>IF('Equipment Information'!B495="","", 'Equipment Information'!B495)</f>
        <v/>
      </c>
      <c r="C495" t="str">
        <f>IF('Equipment Information'!C495="","", 'Equipment Information'!C495)</f>
        <v/>
      </c>
      <c r="G495" t="str">
        <f t="shared" si="5"/>
        <v/>
      </c>
    </row>
    <row r="496" spans="1:7" x14ac:dyDescent="0.25">
      <c r="A496" t="str">
        <f>IF('Equipment Information'!A496="","", 'Equipment Information'!A496)</f>
        <v/>
      </c>
      <c r="B496" t="str">
        <f>IF('Equipment Information'!B496="","", 'Equipment Information'!B496)</f>
        <v/>
      </c>
      <c r="C496" t="str">
        <f>IF('Equipment Information'!C496="","", 'Equipment Information'!C496)</f>
        <v/>
      </c>
      <c r="G496" t="str">
        <f t="shared" si="5"/>
        <v/>
      </c>
    </row>
    <row r="497" spans="1:7" x14ac:dyDescent="0.25">
      <c r="A497" t="str">
        <f>IF('Equipment Information'!A497="","", 'Equipment Information'!A497)</f>
        <v/>
      </c>
      <c r="B497" t="str">
        <f>IF('Equipment Information'!B497="","", 'Equipment Information'!B497)</f>
        <v/>
      </c>
      <c r="C497" t="str">
        <f>IF('Equipment Information'!C497="","", 'Equipment Information'!C497)</f>
        <v/>
      </c>
      <c r="G497" t="str">
        <f t="shared" si="5"/>
        <v/>
      </c>
    </row>
    <row r="498" spans="1:7" x14ac:dyDescent="0.25">
      <c r="A498" t="str">
        <f>IF('Equipment Information'!A498="","", 'Equipment Information'!A498)</f>
        <v/>
      </c>
      <c r="B498" t="str">
        <f>IF('Equipment Information'!B498="","", 'Equipment Information'!B498)</f>
        <v/>
      </c>
      <c r="C498" t="str">
        <f>IF('Equipment Information'!C498="","", 'Equipment Information'!C498)</f>
        <v/>
      </c>
      <c r="G498" t="str">
        <f t="shared" si="5"/>
        <v/>
      </c>
    </row>
    <row r="499" spans="1:7" x14ac:dyDescent="0.25">
      <c r="A499" t="str">
        <f>IF('Equipment Information'!A499="","", 'Equipment Information'!A499)</f>
        <v/>
      </c>
      <c r="B499" t="str">
        <f>IF('Equipment Information'!B499="","", 'Equipment Information'!B499)</f>
        <v/>
      </c>
      <c r="C499" t="str">
        <f>IF('Equipment Information'!C499="","", 'Equipment Information'!C499)</f>
        <v/>
      </c>
      <c r="G499" t="str">
        <f t="shared" si="5"/>
        <v/>
      </c>
    </row>
  </sheetData>
  <dataValidations count="3">
    <dataValidation type="list" allowBlank="1" sqref="D2:D500" xr:uid="{00000000-0002-0000-0400-000000000000}">
      <formula1>List_Comp</formula1>
    </dataValidation>
    <dataValidation type="list" allowBlank="1" sqref="E2:E500" xr:uid="{00000000-0002-0000-0400-000001000000}">
      <formula1>List_US_Mode</formula1>
    </dataValidation>
    <dataValidation type="list" allowBlank="1" sqref="G2:G500" xr:uid="{00000000-0002-0000-0400-000002000000}">
      <formula1>List_PF</formula1>
    </dataValidation>
  </dataValidation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499"/>
  <sheetViews>
    <sheetView workbookViewId="0">
      <pane ySplit="1" topLeftCell="A130" activePane="bottomLeft" state="frozen"/>
      <selection pane="bottomLeft" activeCell="T5" sqref="T5"/>
    </sheetView>
  </sheetViews>
  <sheetFormatPr defaultRowHeight="15" x14ac:dyDescent="0.25"/>
  <cols>
    <col min="1" max="1" width="20" customWidth="1"/>
    <col min="2" max="2" width="42.140625" customWidth="1"/>
    <col min="3" max="3" width="32.7109375" customWidth="1"/>
    <col min="4" max="18" width="20" customWidth="1"/>
    <col min="19" max="19" width="29.5703125" customWidth="1"/>
    <col min="20" max="20" width="26.42578125" customWidth="1"/>
  </cols>
  <sheetData>
    <row r="1" spans="1:20" x14ac:dyDescent="0.25">
      <c r="A1" s="1" t="s">
        <v>0</v>
      </c>
      <c r="B1" s="1" t="s">
        <v>1</v>
      </c>
      <c r="C1" s="1" t="s">
        <v>2</v>
      </c>
      <c r="D1" s="1" t="s">
        <v>442</v>
      </c>
      <c r="E1" s="1" t="s">
        <v>443</v>
      </c>
      <c r="F1" s="1" t="s">
        <v>444</v>
      </c>
      <c r="G1" s="1" t="s">
        <v>445</v>
      </c>
      <c r="H1" s="1" t="s">
        <v>446</v>
      </c>
      <c r="I1" s="1" t="s">
        <v>447</v>
      </c>
      <c r="J1" s="2" t="s">
        <v>448</v>
      </c>
      <c r="K1" s="1" t="s">
        <v>449</v>
      </c>
      <c r="L1" s="1" t="s">
        <v>450</v>
      </c>
      <c r="M1" s="1" t="s">
        <v>451</v>
      </c>
      <c r="N1" s="1" t="s">
        <v>452</v>
      </c>
      <c r="O1" s="1" t="s">
        <v>453</v>
      </c>
      <c r="P1" s="1" t="s">
        <v>454</v>
      </c>
      <c r="Q1" s="2" t="s">
        <v>455</v>
      </c>
      <c r="R1" s="2" t="s">
        <v>456</v>
      </c>
      <c r="S1" s="1" t="s">
        <v>457</v>
      </c>
      <c r="T1" s="1" t="s">
        <v>458</v>
      </c>
    </row>
    <row r="2" spans="1:20" x14ac:dyDescent="0.25">
      <c r="A2" t="str">
        <f>IF('Equipment Information'!A2="","", 'Equipment Information'!A2)</f>
        <v>20260648</v>
      </c>
      <c r="B2" t="str">
        <f>IF('Equipment Information'!B2="","", 'Equipment Information'!B2)</f>
        <v>Main Building Disconnect (Sec 1 of 3)</v>
      </c>
      <c r="C2" t="str">
        <f>IF('Equipment Information'!C2="","", 'Equipment Information'!C2)</f>
        <v>Electrical Room #2</v>
      </c>
      <c r="I2" t="str">
        <f t="shared" ref="I2:I65" si="0">IF(A2="","",IF(D2="Three Phase",IF(COUNT(F2:H2)&lt;3,"",AVERAGE(F2:H2)),IF(D2="Single Phase",IF(F2="","",F2),"")))</f>
        <v/>
      </c>
      <c r="J2" s="3" t="str">
        <f t="shared" ref="J2:J65" si="1">IF(A2="","",IF(D2="Three Phase",IF(I2="","",MAX(ABS(F2-I2),ABS(G2-I2),ABS(H2-I2))/I2),""))</f>
        <v/>
      </c>
      <c r="N2" t="str">
        <f t="shared" ref="N2:N65" si="2">IF(A2="","",IF(D2="Three Phase",IF(COUNT(K2:M2)&lt;3,"",AVERAGE(K2:M2)),IF(D2="Single Phase",IF(K2="","",K2),"")))</f>
        <v/>
      </c>
      <c r="Q2" s="3" t="str">
        <f t="shared" ref="Q2:Q65" si="3">IF(A2="","",IF(OR(O2="",N2=""),"",N2/O2))</f>
        <v/>
      </c>
      <c r="R2" s="3" t="str">
        <f t="shared" ref="R2:R65" si="4">IF(A2="","",IF(D2="Three Phase",IF(N2="","",MAX(ABS(K2-N2),ABS(L2-N2),ABS(M2-N2))/N2),""))</f>
        <v/>
      </c>
      <c r="S2" t="str">
        <f t="shared" ref="S2:S65" si="5">IF(A2="","",IF(D2="Single Phase",IF(AND(F2="",K2=""),"No Data Entered",IF(Q2="","Reading Recorded - No Load% (Missing Rated Amps)","Reading Recorded - Load: "&amp;TEXT(Q2,"0.0%"))),IF(AND(F2="",K2=""),"N/A",IF(I2="","Insufficient Voltage Data",IF(AND(J2&gt;0.03,R2&gt;0.15),"Voltage &amp; Current Imbalance",IF(J2&gt;0.03,"Voltage Imbalance",IF(R2&gt;0.15,"Current Imbalance","No Imbalances Detected")))))))</f>
        <v>N/A</v>
      </c>
      <c r="T2" t="s">
        <v>425</v>
      </c>
    </row>
    <row r="3" spans="1:20" x14ac:dyDescent="0.25">
      <c r="A3" t="str">
        <f>IF('Equipment Information'!A3="","", 'Equipment Information'!A3)</f>
        <v>20260649</v>
      </c>
      <c r="B3" t="str">
        <f>IF('Equipment Information'!B3="","", 'Equipment Information'!B3)</f>
        <v>Main Building Disconnect (Sec 2 of 3)</v>
      </c>
      <c r="C3" t="str">
        <f>IF('Equipment Information'!C3="","", 'Equipment Information'!C3)</f>
        <v>Electrical Room #2</v>
      </c>
      <c r="I3" t="str">
        <f t="shared" si="0"/>
        <v/>
      </c>
      <c r="J3" s="3" t="str">
        <f t="shared" si="1"/>
        <v/>
      </c>
      <c r="N3" t="str">
        <f t="shared" si="2"/>
        <v/>
      </c>
      <c r="Q3" s="3" t="str">
        <f t="shared" si="3"/>
        <v/>
      </c>
      <c r="R3" s="3" t="str">
        <f t="shared" si="4"/>
        <v/>
      </c>
      <c r="S3" t="str">
        <f t="shared" si="5"/>
        <v>N/A</v>
      </c>
      <c r="T3" t="s">
        <v>425</v>
      </c>
    </row>
    <row r="4" spans="1:20" x14ac:dyDescent="0.25">
      <c r="A4" t="str">
        <f>IF('Equipment Information'!A4="","", 'Equipment Information'!A4)</f>
        <v>20260650</v>
      </c>
      <c r="B4" t="str">
        <f>IF('Equipment Information'!B4="","", 'Equipment Information'!B4)</f>
        <v>Main Building Disconnect (Sec 3 of 3)</v>
      </c>
      <c r="C4" t="str">
        <f>IF('Equipment Information'!C4="","", 'Equipment Information'!C4)</f>
        <v>Electrical Room #2</v>
      </c>
      <c r="I4" t="str">
        <f t="shared" si="0"/>
        <v/>
      </c>
      <c r="J4" s="3" t="str">
        <f t="shared" si="1"/>
        <v/>
      </c>
      <c r="N4" t="str">
        <f t="shared" si="2"/>
        <v/>
      </c>
      <c r="Q4" s="3" t="str">
        <f t="shared" si="3"/>
        <v/>
      </c>
      <c r="R4" s="3" t="str">
        <f t="shared" si="4"/>
        <v/>
      </c>
      <c r="S4" t="str">
        <f t="shared" si="5"/>
        <v>N/A</v>
      </c>
      <c r="T4" t="s">
        <v>425</v>
      </c>
    </row>
    <row r="5" spans="1:20" x14ac:dyDescent="0.25">
      <c r="A5" t="str">
        <f>IF('Equipment Information'!A5="","", 'Equipment Information'!A5)</f>
        <v>20260651</v>
      </c>
      <c r="B5" t="str">
        <f>IF('Equipment Information'!B5="","", 'Equipment Information'!B5)</f>
        <v>Power Cond. #1 Disconnect</v>
      </c>
      <c r="C5" t="str">
        <f>IF('Equipment Information'!C5="","", 'Equipment Information'!C5)</f>
        <v>Electrical Room #2</v>
      </c>
      <c r="I5" t="str">
        <f t="shared" si="0"/>
        <v/>
      </c>
      <c r="J5" s="3" t="str">
        <f t="shared" si="1"/>
        <v/>
      </c>
      <c r="N5" t="str">
        <f t="shared" si="2"/>
        <v/>
      </c>
      <c r="Q5" s="3" t="str">
        <f t="shared" si="3"/>
        <v/>
      </c>
      <c r="R5" s="3" t="str">
        <f t="shared" si="4"/>
        <v/>
      </c>
      <c r="S5" t="str">
        <f t="shared" si="5"/>
        <v>N/A</v>
      </c>
      <c r="T5" t="str">
        <f t="shared" ref="T5:T68" si="6">IF(A5="","",IF(D5="Single Phase",IF(AND(F5="",K5=""),"N/A","Pass"),IF(AND(F5="",K5=""),"N/A",IF(OR(J5&gt;0.03,R5&gt;0.15),"Imbalance","Pass"))))</f>
        <v>N/A</v>
      </c>
    </row>
    <row r="6" spans="1:20" x14ac:dyDescent="0.25">
      <c r="A6" t="str">
        <f>IF('Equipment Information'!A6="","", 'Equipment Information'!A6)</f>
        <v>20260652</v>
      </c>
      <c r="B6" t="str">
        <f>IF('Equipment Information'!B6="","", 'Equipment Information'!B6)</f>
        <v>Power Cond. #2 Disconnect</v>
      </c>
      <c r="C6" t="str">
        <f>IF('Equipment Information'!C6="","", 'Equipment Information'!C6)</f>
        <v>Electrical Room #2</v>
      </c>
      <c r="I6" t="str">
        <f t="shared" si="0"/>
        <v/>
      </c>
      <c r="J6" s="3" t="str">
        <f t="shared" si="1"/>
        <v/>
      </c>
      <c r="N6" t="str">
        <f t="shared" si="2"/>
        <v/>
      </c>
      <c r="Q6" s="3" t="str">
        <f t="shared" si="3"/>
        <v/>
      </c>
      <c r="R6" s="3" t="str">
        <f t="shared" si="4"/>
        <v/>
      </c>
      <c r="S6" t="str">
        <f t="shared" si="5"/>
        <v>N/A</v>
      </c>
      <c r="T6" t="str">
        <f t="shared" si="6"/>
        <v>N/A</v>
      </c>
    </row>
    <row r="7" spans="1:20" x14ac:dyDescent="0.25">
      <c r="A7" t="str">
        <f>IF('Equipment Information'!A7="","", 'Equipment Information'!A7)</f>
        <v>20260653</v>
      </c>
      <c r="B7" t="str">
        <f>IF('Equipment Information'!B7="","", 'Equipment Information'!B7)</f>
        <v>LP #1</v>
      </c>
      <c r="C7" t="str">
        <f>IF('Equipment Information'!C7="","", 'Equipment Information'!C7)</f>
        <v>Electrical Room #2</v>
      </c>
      <c r="I7" t="str">
        <f t="shared" si="0"/>
        <v/>
      </c>
      <c r="J7" s="3" t="str">
        <f t="shared" si="1"/>
        <v/>
      </c>
      <c r="N7" t="str">
        <f t="shared" si="2"/>
        <v/>
      </c>
      <c r="Q7" s="3" t="str">
        <f t="shared" si="3"/>
        <v/>
      </c>
      <c r="R7" s="3" t="str">
        <f t="shared" si="4"/>
        <v/>
      </c>
      <c r="S7" t="str">
        <f t="shared" si="5"/>
        <v>N/A</v>
      </c>
      <c r="T7" t="str">
        <f t="shared" si="6"/>
        <v>N/A</v>
      </c>
    </row>
    <row r="8" spans="1:20" x14ac:dyDescent="0.25">
      <c r="A8" t="str">
        <f>IF('Equipment Information'!A8="","", 'Equipment Information'!A8)</f>
        <v>20260654</v>
      </c>
      <c r="B8" t="str">
        <f>IF('Equipment Information'!B8="","", 'Equipment Information'!B8)</f>
        <v>P-1</v>
      </c>
      <c r="C8" t="str">
        <f>IF('Equipment Information'!C8="","", 'Equipment Information'!C8)</f>
        <v>Electrical Room #2</v>
      </c>
      <c r="I8" t="str">
        <f t="shared" si="0"/>
        <v/>
      </c>
      <c r="J8" s="3" t="str">
        <f t="shared" si="1"/>
        <v/>
      </c>
      <c r="N8" t="str">
        <f t="shared" si="2"/>
        <v/>
      </c>
      <c r="Q8" s="3" t="str">
        <f t="shared" si="3"/>
        <v/>
      </c>
      <c r="R8" s="3" t="str">
        <f t="shared" si="4"/>
        <v/>
      </c>
      <c r="S8" t="str">
        <f t="shared" si="5"/>
        <v>N/A</v>
      </c>
      <c r="T8" t="str">
        <f t="shared" si="6"/>
        <v>N/A</v>
      </c>
    </row>
    <row r="9" spans="1:20" x14ac:dyDescent="0.25">
      <c r="A9" t="str">
        <f>IF('Equipment Information'!A9="","", 'Equipment Information'!A9)</f>
        <v>20260655</v>
      </c>
      <c r="B9" t="str">
        <f>IF('Equipment Information'!B9="","", 'Equipment Information'!B9)</f>
        <v>P-2</v>
      </c>
      <c r="C9" t="str">
        <f>IF('Equipment Information'!C9="","", 'Equipment Information'!C9)</f>
        <v>Electrical Room #2</v>
      </c>
      <c r="I9" t="str">
        <f t="shared" si="0"/>
        <v/>
      </c>
      <c r="J9" s="3" t="str">
        <f t="shared" si="1"/>
        <v/>
      </c>
      <c r="N9" t="str">
        <f t="shared" si="2"/>
        <v/>
      </c>
      <c r="Q9" s="3" t="str">
        <f t="shared" si="3"/>
        <v/>
      </c>
      <c r="R9" s="3" t="str">
        <f t="shared" si="4"/>
        <v/>
      </c>
      <c r="S9" t="str">
        <f t="shared" si="5"/>
        <v>N/A</v>
      </c>
      <c r="T9" t="str">
        <f t="shared" si="6"/>
        <v>N/A</v>
      </c>
    </row>
    <row r="10" spans="1:20" x14ac:dyDescent="0.25">
      <c r="A10" t="str">
        <f>IF('Equipment Information'!A10="","", 'Equipment Information'!A10)</f>
        <v>20260656</v>
      </c>
      <c r="B10" t="str">
        <f>IF('Equipment Information'!B10="","", 'Equipment Information'!B10)</f>
        <v>DP #4</v>
      </c>
      <c r="C10" t="str">
        <f>IF('Equipment Information'!C10="","", 'Equipment Information'!C10)</f>
        <v>Electrical Room #2</v>
      </c>
      <c r="I10" t="str">
        <f t="shared" si="0"/>
        <v/>
      </c>
      <c r="J10" s="3" t="str">
        <f t="shared" si="1"/>
        <v/>
      </c>
      <c r="N10" t="str">
        <f t="shared" si="2"/>
        <v/>
      </c>
      <c r="Q10" s="3" t="str">
        <f t="shared" si="3"/>
        <v/>
      </c>
      <c r="R10" s="3" t="str">
        <f t="shared" si="4"/>
        <v/>
      </c>
      <c r="S10" t="str">
        <f t="shared" si="5"/>
        <v>N/A</v>
      </c>
      <c r="T10" t="str">
        <f t="shared" si="6"/>
        <v>N/A</v>
      </c>
    </row>
    <row r="11" spans="1:20" x14ac:dyDescent="0.25">
      <c r="A11" t="str">
        <f>IF('Equipment Information'!A11="","", 'Equipment Information'!A11)</f>
        <v>20260657</v>
      </c>
      <c r="B11" t="str">
        <f>IF('Equipment Information'!B11="","", 'Equipment Information'!B11)</f>
        <v>DP #5</v>
      </c>
      <c r="C11" t="str">
        <f>IF('Equipment Information'!C11="","", 'Equipment Information'!C11)</f>
        <v>Electrical Room #2</v>
      </c>
      <c r="I11" t="str">
        <f t="shared" si="0"/>
        <v/>
      </c>
      <c r="J11" s="3" t="str">
        <f t="shared" si="1"/>
        <v/>
      </c>
      <c r="N11" t="str">
        <f t="shared" si="2"/>
        <v/>
      </c>
      <c r="Q11" s="3" t="str">
        <f t="shared" si="3"/>
        <v/>
      </c>
      <c r="R11" s="3" t="str">
        <f t="shared" si="4"/>
        <v/>
      </c>
      <c r="S11" t="str">
        <f t="shared" si="5"/>
        <v>N/A</v>
      </c>
      <c r="T11" t="str">
        <f t="shared" si="6"/>
        <v>N/A</v>
      </c>
    </row>
    <row r="12" spans="1:20" x14ac:dyDescent="0.25">
      <c r="A12" t="str">
        <f>IF('Equipment Information'!A12="","", 'Equipment Information'!A12)</f>
        <v>20260658</v>
      </c>
      <c r="B12" t="str">
        <f>IF('Equipment Information'!B12="","", 'Equipment Information'!B12)</f>
        <v>DP #6</v>
      </c>
      <c r="C12" t="str">
        <f>IF('Equipment Information'!C12="","", 'Equipment Information'!C12)</f>
        <v>Electrical Room #2</v>
      </c>
      <c r="I12" t="str">
        <f t="shared" si="0"/>
        <v/>
      </c>
      <c r="J12" s="3" t="str">
        <f t="shared" si="1"/>
        <v/>
      </c>
      <c r="N12" t="str">
        <f t="shared" si="2"/>
        <v/>
      </c>
      <c r="Q12" s="3" t="str">
        <f t="shared" si="3"/>
        <v/>
      </c>
      <c r="R12" s="3" t="str">
        <f t="shared" si="4"/>
        <v/>
      </c>
      <c r="S12" t="str">
        <f t="shared" si="5"/>
        <v>N/A</v>
      </c>
      <c r="T12" t="str">
        <f t="shared" si="6"/>
        <v>N/A</v>
      </c>
    </row>
    <row r="13" spans="1:20" x14ac:dyDescent="0.25">
      <c r="A13" t="str">
        <f>IF('Equipment Information'!A13="","", 'Equipment Information'!A13)</f>
        <v>20260659</v>
      </c>
      <c r="B13" t="str">
        <f>IF('Equipment Information'!B13="","", 'Equipment Information'!B13)</f>
        <v>PDP</v>
      </c>
      <c r="C13" t="str">
        <f>IF('Equipment Information'!C13="","", 'Equipment Information'!C13)</f>
        <v>Electrical Room #2</v>
      </c>
      <c r="I13" t="str">
        <f t="shared" si="0"/>
        <v/>
      </c>
      <c r="J13" s="3" t="str">
        <f t="shared" si="1"/>
        <v/>
      </c>
      <c r="N13" t="str">
        <f t="shared" si="2"/>
        <v/>
      </c>
      <c r="Q13" s="3" t="str">
        <f t="shared" si="3"/>
        <v/>
      </c>
      <c r="R13" s="3" t="str">
        <f t="shared" si="4"/>
        <v/>
      </c>
      <c r="S13" t="str">
        <f t="shared" si="5"/>
        <v>N/A</v>
      </c>
      <c r="T13" t="str">
        <f t="shared" si="6"/>
        <v>N/A</v>
      </c>
    </row>
    <row r="14" spans="1:20" x14ac:dyDescent="0.25">
      <c r="A14" t="str">
        <f>IF('Equipment Information'!A14="","", 'Equipment Information'!A14)</f>
        <v>20260660</v>
      </c>
      <c r="B14" t="str">
        <f>IF('Equipment Information'!B14="","", 'Equipment Information'!B14)</f>
        <v>T-2</v>
      </c>
      <c r="C14" t="str">
        <f>IF('Equipment Information'!C14="","", 'Equipment Information'!C14)</f>
        <v>Electrical Room #2</v>
      </c>
      <c r="I14" t="str">
        <f t="shared" si="0"/>
        <v/>
      </c>
      <c r="J14" s="3" t="str">
        <f t="shared" si="1"/>
        <v/>
      </c>
      <c r="N14" t="str">
        <f t="shared" si="2"/>
        <v/>
      </c>
      <c r="Q14" s="3" t="str">
        <f t="shared" si="3"/>
        <v/>
      </c>
      <c r="R14" s="3" t="str">
        <f t="shared" si="4"/>
        <v/>
      </c>
      <c r="S14" t="str">
        <f t="shared" si="5"/>
        <v>N/A</v>
      </c>
      <c r="T14" t="str">
        <f t="shared" si="6"/>
        <v>N/A</v>
      </c>
    </row>
    <row r="15" spans="1:20" x14ac:dyDescent="0.25">
      <c r="A15" t="str">
        <f>IF('Equipment Information'!A15="","", 'Equipment Information'!A15)</f>
        <v>20260661</v>
      </c>
      <c r="B15" t="str">
        <f>IF('Equipment Information'!B15="","", 'Equipment Information'!B15)</f>
        <v>OH XFMR</v>
      </c>
      <c r="C15" t="str">
        <f>IF('Equipment Information'!C15="","", 'Equipment Information'!C15)</f>
        <v>Electrical Room #2</v>
      </c>
      <c r="I15" t="str">
        <f t="shared" si="0"/>
        <v/>
      </c>
      <c r="J15" s="3" t="str">
        <f t="shared" si="1"/>
        <v/>
      </c>
      <c r="N15" t="str">
        <f t="shared" si="2"/>
        <v/>
      </c>
      <c r="Q15" s="3" t="str">
        <f t="shared" si="3"/>
        <v/>
      </c>
      <c r="R15" s="3" t="str">
        <f t="shared" si="4"/>
        <v/>
      </c>
      <c r="S15" t="str">
        <f t="shared" si="5"/>
        <v>N/A</v>
      </c>
      <c r="T15" t="str">
        <f t="shared" si="6"/>
        <v>N/A</v>
      </c>
    </row>
    <row r="16" spans="1:20" x14ac:dyDescent="0.25">
      <c r="A16" t="str">
        <f>IF('Equipment Information'!A16="","", 'Equipment Information'!A16)</f>
        <v>20260662</v>
      </c>
      <c r="B16" t="str">
        <f>IF('Equipment Information'!B16="","", 'Equipment Information'!B16)</f>
        <v>DP7 Freezer</v>
      </c>
      <c r="C16" t="str">
        <f>IF('Equipment Information'!C16="","", 'Equipment Information'!C16)</f>
        <v>Electrical Room #3</v>
      </c>
      <c r="I16" t="str">
        <f t="shared" si="0"/>
        <v/>
      </c>
      <c r="J16" s="3" t="str">
        <f t="shared" si="1"/>
        <v/>
      </c>
      <c r="N16" t="str">
        <f t="shared" si="2"/>
        <v/>
      </c>
      <c r="Q16" s="3" t="str">
        <f t="shared" si="3"/>
        <v/>
      </c>
      <c r="R16" s="3" t="str">
        <f t="shared" si="4"/>
        <v/>
      </c>
      <c r="S16" t="str">
        <f t="shared" si="5"/>
        <v>N/A</v>
      </c>
      <c r="T16" t="str">
        <f t="shared" si="6"/>
        <v>N/A</v>
      </c>
    </row>
    <row r="17" spans="1:20" x14ac:dyDescent="0.25">
      <c r="A17" t="str">
        <f>IF('Equipment Information'!A17="","", 'Equipment Information'!A17)</f>
        <v>20260663</v>
      </c>
      <c r="B17" t="str">
        <f>IF('Equipment Information'!B17="","", 'Equipment Information'!B17)</f>
        <v>(N/A 75 KVA XFMR)</v>
      </c>
      <c r="C17" t="str">
        <f>IF('Equipment Information'!C17="","", 'Equipment Information'!C17)</f>
        <v>Electrical Room #3</v>
      </c>
      <c r="I17" t="str">
        <f t="shared" si="0"/>
        <v/>
      </c>
      <c r="J17" s="3" t="str">
        <f t="shared" si="1"/>
        <v/>
      </c>
      <c r="N17" t="str">
        <f t="shared" si="2"/>
        <v/>
      </c>
      <c r="Q17" s="3" t="str">
        <f t="shared" si="3"/>
        <v/>
      </c>
      <c r="R17" s="3" t="str">
        <f t="shared" si="4"/>
        <v/>
      </c>
      <c r="S17" t="str">
        <f t="shared" si="5"/>
        <v>N/A</v>
      </c>
      <c r="T17" t="str">
        <f t="shared" si="6"/>
        <v>N/A</v>
      </c>
    </row>
    <row r="18" spans="1:20" x14ac:dyDescent="0.25">
      <c r="A18" t="str">
        <f>IF('Equipment Information'!A18="","", 'Equipment Information'!A18)</f>
        <v>20260664</v>
      </c>
      <c r="B18" t="str">
        <f>IF('Equipment Information'!B18="","", 'Equipment Information'!B18)</f>
        <v>(N/A PNL)</v>
      </c>
      <c r="C18" t="str">
        <f>IF('Equipment Information'!C18="","", 'Equipment Information'!C18)</f>
        <v>Electrical Room #3</v>
      </c>
      <c r="I18" t="str">
        <f t="shared" si="0"/>
        <v/>
      </c>
      <c r="J18" s="3" t="str">
        <f t="shared" si="1"/>
        <v/>
      </c>
      <c r="N18" t="str">
        <f t="shared" si="2"/>
        <v/>
      </c>
      <c r="Q18" s="3" t="str">
        <f t="shared" si="3"/>
        <v/>
      </c>
      <c r="R18" s="3" t="str">
        <f t="shared" si="4"/>
        <v/>
      </c>
      <c r="S18" t="str">
        <f t="shared" si="5"/>
        <v>N/A</v>
      </c>
      <c r="T18" t="str">
        <f t="shared" si="6"/>
        <v>N/A</v>
      </c>
    </row>
    <row r="19" spans="1:20" x14ac:dyDescent="0.25">
      <c r="A19" t="str">
        <f>IF('Equipment Information'!A19="","", 'Equipment Information'!A19)</f>
        <v>20260665</v>
      </c>
      <c r="B19" t="str">
        <f>IF('Equipment Information'!B19="","", 'Equipment Information'!B19)</f>
        <v>USES</v>
      </c>
      <c r="C19" t="str">
        <f>IF('Equipment Information'!C19="","", 'Equipment Information'!C19)</f>
        <v>Electrical Room #3</v>
      </c>
      <c r="I19" t="str">
        <f t="shared" si="0"/>
        <v/>
      </c>
      <c r="J19" s="3" t="str">
        <f t="shared" si="1"/>
        <v/>
      </c>
      <c r="N19" t="str">
        <f t="shared" si="2"/>
        <v/>
      </c>
      <c r="Q19" s="3" t="str">
        <f t="shared" si="3"/>
        <v/>
      </c>
      <c r="R19" s="3" t="str">
        <f t="shared" si="4"/>
        <v/>
      </c>
      <c r="S19" t="str">
        <f t="shared" si="5"/>
        <v>N/A</v>
      </c>
      <c r="T19" t="str">
        <f t="shared" si="6"/>
        <v>N/A</v>
      </c>
    </row>
    <row r="20" spans="1:20" x14ac:dyDescent="0.25">
      <c r="A20" t="str">
        <f>IF('Equipment Information'!A20="","", 'Equipment Information'!A20)</f>
        <v>20260666</v>
      </c>
      <c r="B20" t="str">
        <f>IF('Equipment Information'!B20="","", 'Equipment Information'!B20)</f>
        <v>Fan (P3-4/6/8)</v>
      </c>
      <c r="C20" t="str">
        <f>IF('Equipment Information'!C20="","", 'Equipment Information'!C20)</f>
        <v>Electrical Room #3</v>
      </c>
      <c r="I20" t="str">
        <f t="shared" si="0"/>
        <v/>
      </c>
      <c r="J20" s="3" t="str">
        <f t="shared" si="1"/>
        <v/>
      </c>
      <c r="N20" t="str">
        <f t="shared" si="2"/>
        <v/>
      </c>
      <c r="Q20" s="3" t="str">
        <f t="shared" si="3"/>
        <v/>
      </c>
      <c r="R20" s="3" t="str">
        <f t="shared" si="4"/>
        <v/>
      </c>
      <c r="S20" t="str">
        <f t="shared" si="5"/>
        <v>N/A</v>
      </c>
      <c r="T20" t="str">
        <f t="shared" si="6"/>
        <v>N/A</v>
      </c>
    </row>
    <row r="21" spans="1:20" x14ac:dyDescent="0.25">
      <c r="A21" t="str">
        <f>IF('Equipment Information'!A21="","", 'Equipment Information'!A21)</f>
        <v>20260667</v>
      </c>
      <c r="B21" t="str">
        <f>IF('Equipment Information'!B21="","", 'Equipment Information'!B21)</f>
        <v>Fan (P3-4/6/8)</v>
      </c>
      <c r="C21" t="str">
        <f>IF('Equipment Information'!C21="","", 'Equipment Information'!C21)</f>
        <v>Electrical Room #3</v>
      </c>
      <c r="I21" t="str">
        <f t="shared" si="0"/>
        <v/>
      </c>
      <c r="J21" s="3" t="str">
        <f t="shared" si="1"/>
        <v/>
      </c>
      <c r="N21" t="str">
        <f t="shared" si="2"/>
        <v/>
      </c>
      <c r="Q21" s="3" t="str">
        <f t="shared" si="3"/>
        <v/>
      </c>
      <c r="R21" s="3" t="str">
        <f t="shared" si="4"/>
        <v/>
      </c>
      <c r="S21" t="str">
        <f t="shared" si="5"/>
        <v>N/A</v>
      </c>
      <c r="T21" t="str">
        <f t="shared" si="6"/>
        <v>N/A</v>
      </c>
    </row>
    <row r="22" spans="1:20" x14ac:dyDescent="0.25">
      <c r="A22" t="str">
        <f>IF('Equipment Information'!A22="","", 'Equipment Information'!A22)</f>
        <v>20260668</v>
      </c>
      <c r="B22" t="str">
        <f>IF('Equipment Information'!B22="","", 'Equipment Information'!B22)</f>
        <v>P3</v>
      </c>
      <c r="C22" t="str">
        <f>IF('Equipment Information'!C22="","", 'Equipment Information'!C22)</f>
        <v>Electrical Room #3</v>
      </c>
      <c r="I22" t="str">
        <f t="shared" si="0"/>
        <v/>
      </c>
      <c r="J22" s="3" t="str">
        <f t="shared" si="1"/>
        <v/>
      </c>
      <c r="N22" t="str">
        <f t="shared" si="2"/>
        <v/>
      </c>
      <c r="Q22" s="3" t="str">
        <f t="shared" si="3"/>
        <v/>
      </c>
      <c r="R22" s="3" t="str">
        <f t="shared" si="4"/>
        <v/>
      </c>
      <c r="S22" t="str">
        <f t="shared" si="5"/>
        <v>N/A</v>
      </c>
      <c r="T22" t="str">
        <f t="shared" si="6"/>
        <v>N/A</v>
      </c>
    </row>
    <row r="23" spans="1:20" x14ac:dyDescent="0.25">
      <c r="A23" t="str">
        <f>IF('Equipment Information'!A23="","", 'Equipment Information'!A23)</f>
        <v>20260669</v>
      </c>
      <c r="B23" t="str">
        <f>IF('Equipment Information'!B23="","", 'Equipment Information'!B23)</f>
        <v>DP7</v>
      </c>
      <c r="C23" t="str">
        <f>IF('Equipment Information'!C23="","", 'Equipment Information'!C23)</f>
        <v>Electrical Room #3</v>
      </c>
      <c r="I23" t="str">
        <f t="shared" si="0"/>
        <v/>
      </c>
      <c r="J23" s="3" t="str">
        <f t="shared" si="1"/>
        <v/>
      </c>
      <c r="N23" t="str">
        <f t="shared" si="2"/>
        <v/>
      </c>
      <c r="Q23" s="3" t="str">
        <f t="shared" si="3"/>
        <v/>
      </c>
      <c r="R23" s="3" t="str">
        <f t="shared" si="4"/>
        <v/>
      </c>
      <c r="S23" t="str">
        <f t="shared" si="5"/>
        <v>N/A</v>
      </c>
      <c r="T23" t="str">
        <f t="shared" si="6"/>
        <v>N/A</v>
      </c>
    </row>
    <row r="24" spans="1:20" x14ac:dyDescent="0.25">
      <c r="A24" t="str">
        <f>IF('Equipment Information'!A24="","", 'Equipment Information'!A24)</f>
        <v>20260670</v>
      </c>
      <c r="B24" t="str">
        <f>IF('Equipment Information'!B24="","", 'Equipment Information'!B24)</f>
        <v>CP-DP7 [Sec. 1]</v>
      </c>
      <c r="C24" t="str">
        <f>IF('Equipment Information'!C24="","", 'Equipment Information'!C24)</f>
        <v>Electrical Room #3</v>
      </c>
      <c r="I24" t="str">
        <f t="shared" si="0"/>
        <v/>
      </c>
      <c r="J24" s="3" t="str">
        <f t="shared" si="1"/>
        <v/>
      </c>
      <c r="N24" t="str">
        <f t="shared" si="2"/>
        <v/>
      </c>
      <c r="Q24" s="3" t="str">
        <f t="shared" si="3"/>
        <v/>
      </c>
      <c r="R24" s="3" t="str">
        <f t="shared" si="4"/>
        <v/>
      </c>
      <c r="S24" t="str">
        <f t="shared" si="5"/>
        <v>N/A</v>
      </c>
      <c r="T24" t="str">
        <f t="shared" si="6"/>
        <v>N/A</v>
      </c>
    </row>
    <row r="25" spans="1:20" x14ac:dyDescent="0.25">
      <c r="A25" t="str">
        <f>IF('Equipment Information'!A25="","", 'Equipment Information'!A25)</f>
        <v>20260671</v>
      </c>
      <c r="B25" t="str">
        <f>IF('Equipment Information'!B25="","", 'Equipment Information'!B25)</f>
        <v>CP-DP7 [Sec. 2]</v>
      </c>
      <c r="C25" t="str">
        <f>IF('Equipment Information'!C25="","", 'Equipment Information'!C25)</f>
        <v>Electrical Room #3</v>
      </c>
      <c r="I25" t="str">
        <f t="shared" si="0"/>
        <v/>
      </c>
      <c r="J25" s="3" t="str">
        <f t="shared" si="1"/>
        <v/>
      </c>
      <c r="N25" t="str">
        <f t="shared" si="2"/>
        <v/>
      </c>
      <c r="Q25" s="3" t="str">
        <f t="shared" si="3"/>
        <v/>
      </c>
      <c r="R25" s="3" t="str">
        <f t="shared" si="4"/>
        <v/>
      </c>
      <c r="S25" t="str">
        <f t="shared" si="5"/>
        <v>N/A</v>
      </c>
      <c r="T25" t="str">
        <f t="shared" si="6"/>
        <v>N/A</v>
      </c>
    </row>
    <row r="26" spans="1:20" x14ac:dyDescent="0.25">
      <c r="A26" t="str">
        <f>IF('Equipment Information'!A26="","", 'Equipment Information'!A26)</f>
        <v>20260672</v>
      </c>
      <c r="B26" t="str">
        <f>IF('Equipment Information'!B26="","", 'Equipment Information'!B26)</f>
        <v>CP-DP7 [Sec. 3]</v>
      </c>
      <c r="C26" t="str">
        <f>IF('Equipment Information'!C26="","", 'Equipment Information'!C26)</f>
        <v>Electrical Room #3</v>
      </c>
      <c r="I26" t="str">
        <f t="shared" si="0"/>
        <v/>
      </c>
      <c r="J26" s="3" t="str">
        <f t="shared" si="1"/>
        <v/>
      </c>
      <c r="N26" t="str">
        <f t="shared" si="2"/>
        <v/>
      </c>
      <c r="Q26" s="3" t="str">
        <f t="shared" si="3"/>
        <v/>
      </c>
      <c r="R26" s="3" t="str">
        <f t="shared" si="4"/>
        <v/>
      </c>
      <c r="S26" t="str">
        <f t="shared" si="5"/>
        <v>N/A</v>
      </c>
      <c r="T26" t="str">
        <f t="shared" si="6"/>
        <v>N/A</v>
      </c>
    </row>
    <row r="27" spans="1:20" x14ac:dyDescent="0.25">
      <c r="A27" t="str">
        <f>IF('Equipment Information'!A27="","", 'Equipment Information'!A27)</f>
        <v>20260673</v>
      </c>
      <c r="B27" t="str">
        <f>IF('Equipment Information'!B27="","", 'Equipment Information'!B27)</f>
        <v>OH XFMR</v>
      </c>
      <c r="C27" t="str">
        <f>IF('Equipment Information'!C27="","", 'Equipment Information'!C27)</f>
        <v>Electrical Room #3</v>
      </c>
      <c r="I27" t="str">
        <f t="shared" si="0"/>
        <v/>
      </c>
      <c r="J27" s="3" t="str">
        <f t="shared" si="1"/>
        <v/>
      </c>
      <c r="N27" t="str">
        <f t="shared" si="2"/>
        <v/>
      </c>
      <c r="Q27" s="3" t="str">
        <f t="shared" si="3"/>
        <v/>
      </c>
      <c r="R27" s="3" t="str">
        <f t="shared" si="4"/>
        <v/>
      </c>
      <c r="S27" t="str">
        <f t="shared" si="5"/>
        <v>N/A</v>
      </c>
      <c r="T27" t="str">
        <f t="shared" si="6"/>
        <v>N/A</v>
      </c>
    </row>
    <row r="28" spans="1:20" x14ac:dyDescent="0.25">
      <c r="A28" t="str">
        <f>IF('Equipment Information'!A28="","", 'Equipment Information'!A28)</f>
        <v>20260674</v>
      </c>
      <c r="B28" t="str">
        <f>IF('Equipment Information'!B28="","", 'Equipment Information'!B28)</f>
        <v>MDP-2 [Sec. 1]</v>
      </c>
      <c r="C28" t="str">
        <f>IF('Equipment Information'!C28="","", 'Equipment Information'!C28)</f>
        <v>Electrical Room #1</v>
      </c>
      <c r="I28" t="str">
        <f t="shared" si="0"/>
        <v/>
      </c>
      <c r="J28" s="3" t="str">
        <f t="shared" si="1"/>
        <v/>
      </c>
      <c r="N28" t="str">
        <f t="shared" si="2"/>
        <v/>
      </c>
      <c r="Q28" s="3" t="str">
        <f t="shared" si="3"/>
        <v/>
      </c>
      <c r="R28" s="3" t="str">
        <f t="shared" si="4"/>
        <v/>
      </c>
      <c r="S28" t="str">
        <f t="shared" si="5"/>
        <v>N/A</v>
      </c>
      <c r="T28" t="str">
        <f t="shared" si="6"/>
        <v>N/A</v>
      </c>
    </row>
    <row r="29" spans="1:20" x14ac:dyDescent="0.25">
      <c r="A29" t="str">
        <f>IF('Equipment Information'!A29="","", 'Equipment Information'!A29)</f>
        <v>20260675</v>
      </c>
      <c r="B29" t="str">
        <f>IF('Equipment Information'!B29="","", 'Equipment Information'!B29)</f>
        <v>MDP-2 [Sec. 2]</v>
      </c>
      <c r="C29" t="str">
        <f>IF('Equipment Information'!C29="","", 'Equipment Information'!C29)</f>
        <v>Electrical Room #1</v>
      </c>
      <c r="I29" t="str">
        <f t="shared" si="0"/>
        <v/>
      </c>
      <c r="J29" s="3" t="str">
        <f t="shared" si="1"/>
        <v/>
      </c>
      <c r="N29" t="str">
        <f t="shared" si="2"/>
        <v/>
      </c>
      <c r="Q29" s="3" t="str">
        <f t="shared" si="3"/>
        <v/>
      </c>
      <c r="R29" s="3" t="str">
        <f t="shared" si="4"/>
        <v/>
      </c>
      <c r="S29" t="str">
        <f t="shared" si="5"/>
        <v>N/A</v>
      </c>
      <c r="T29" t="str">
        <f t="shared" si="6"/>
        <v>N/A</v>
      </c>
    </row>
    <row r="30" spans="1:20" x14ac:dyDescent="0.25">
      <c r="A30" t="str">
        <f>IF('Equipment Information'!A30="","", 'Equipment Information'!A30)</f>
        <v>20260676</v>
      </c>
      <c r="B30" t="str">
        <f>IF('Equipment Information'!B30="","", 'Equipment Information'!B30)</f>
        <v>Vacuum Exhaust</v>
      </c>
      <c r="C30" t="str">
        <f>IF('Equipment Information'!C30="","", 'Equipment Information'!C30)</f>
        <v>Electrical Room #1</v>
      </c>
      <c r="I30" t="str">
        <f t="shared" si="0"/>
        <v/>
      </c>
      <c r="J30" s="3" t="str">
        <f t="shared" si="1"/>
        <v/>
      </c>
      <c r="N30" t="str">
        <f t="shared" si="2"/>
        <v/>
      </c>
      <c r="Q30" s="3" t="str">
        <f t="shared" si="3"/>
        <v/>
      </c>
      <c r="R30" s="3" t="str">
        <f t="shared" si="4"/>
        <v/>
      </c>
      <c r="S30" t="str">
        <f t="shared" si="5"/>
        <v>N/A</v>
      </c>
      <c r="T30" t="str">
        <f t="shared" si="6"/>
        <v>N/A</v>
      </c>
    </row>
    <row r="31" spans="1:20" x14ac:dyDescent="0.25">
      <c r="A31" t="str">
        <f>IF('Equipment Information'!A31="","", 'Equipment Information'!A31)</f>
        <v>20260677</v>
      </c>
      <c r="B31" t="str">
        <f>IF('Equipment Information'!B31="","", 'Equipment Information'!B31)</f>
        <v>Air Knife</v>
      </c>
      <c r="C31" t="str">
        <f>IF('Equipment Information'!C31="","", 'Equipment Information'!C31)</f>
        <v>Electrical Room #1</v>
      </c>
      <c r="I31" t="str">
        <f t="shared" si="0"/>
        <v/>
      </c>
      <c r="J31" s="3" t="str">
        <f t="shared" si="1"/>
        <v/>
      </c>
      <c r="N31" t="str">
        <f t="shared" si="2"/>
        <v/>
      </c>
      <c r="Q31" s="3" t="str">
        <f t="shared" si="3"/>
        <v/>
      </c>
      <c r="R31" s="3" t="str">
        <f t="shared" si="4"/>
        <v/>
      </c>
      <c r="S31" t="str">
        <f t="shared" si="5"/>
        <v>N/A</v>
      </c>
      <c r="T31" t="str">
        <f t="shared" si="6"/>
        <v>N/A</v>
      </c>
    </row>
    <row r="32" spans="1:20" x14ac:dyDescent="0.25">
      <c r="A32" t="str">
        <f>IF('Equipment Information'!A32="","", 'Equipment Information'!A32)</f>
        <v>20260678</v>
      </c>
      <c r="B32" t="str">
        <f>IF('Equipment Information'!B32="","", 'Equipment Information'!B32)</f>
        <v>CP-Dryer #2</v>
      </c>
      <c r="C32" t="str">
        <f>IF('Equipment Information'!C32="","", 'Equipment Information'!C32)</f>
        <v>Electrical Room #4</v>
      </c>
      <c r="I32" t="str">
        <f t="shared" si="0"/>
        <v/>
      </c>
      <c r="J32" s="3" t="str">
        <f t="shared" si="1"/>
        <v/>
      </c>
      <c r="N32" t="str">
        <f t="shared" si="2"/>
        <v/>
      </c>
      <c r="Q32" s="3" t="str">
        <f t="shared" si="3"/>
        <v/>
      </c>
      <c r="R32" s="3" t="str">
        <f t="shared" si="4"/>
        <v/>
      </c>
      <c r="S32" t="str">
        <f t="shared" si="5"/>
        <v>N/A</v>
      </c>
      <c r="T32" t="str">
        <f t="shared" si="6"/>
        <v>N/A</v>
      </c>
    </row>
    <row r="33" spans="1:20" x14ac:dyDescent="0.25">
      <c r="A33" t="str">
        <f>IF('Equipment Information'!A33="","", 'Equipment Information'!A33)</f>
        <v>20260679</v>
      </c>
      <c r="B33" t="str">
        <f>IF('Equipment Information'!B33="","", 'Equipment Information'!B33)</f>
        <v>CP-Silo Alley</v>
      </c>
      <c r="C33" t="str">
        <f>IF('Equipment Information'!C33="","", 'Equipment Information'!C33)</f>
        <v>Electrical Room #4</v>
      </c>
      <c r="I33" t="str">
        <f t="shared" si="0"/>
        <v/>
      </c>
      <c r="J33" s="3" t="str">
        <f t="shared" si="1"/>
        <v/>
      </c>
      <c r="N33" t="str">
        <f t="shared" si="2"/>
        <v/>
      </c>
      <c r="Q33" s="3" t="str">
        <f t="shared" si="3"/>
        <v/>
      </c>
      <c r="R33" s="3" t="str">
        <f t="shared" si="4"/>
        <v/>
      </c>
      <c r="S33" t="str">
        <f t="shared" si="5"/>
        <v>N/A</v>
      </c>
      <c r="T33" t="str">
        <f t="shared" si="6"/>
        <v>N/A</v>
      </c>
    </row>
    <row r="34" spans="1:20" x14ac:dyDescent="0.25">
      <c r="A34" t="str">
        <f>IF('Equipment Information'!A34="","", 'Equipment Information'!A34)</f>
        <v>20260680</v>
      </c>
      <c r="B34" t="str">
        <f>IF('Equipment Information'!B34="","", 'Equipment Information'!B34)</f>
        <v>Machine Control</v>
      </c>
      <c r="C34" t="str">
        <f>IF('Equipment Information'!C34="","", 'Equipment Information'!C34)</f>
        <v>Electrical Room #4</v>
      </c>
      <c r="I34" t="str">
        <f t="shared" si="0"/>
        <v/>
      </c>
      <c r="J34" s="3" t="str">
        <f t="shared" si="1"/>
        <v/>
      </c>
      <c r="N34" t="str">
        <f t="shared" si="2"/>
        <v/>
      </c>
      <c r="Q34" s="3" t="str">
        <f t="shared" si="3"/>
        <v/>
      </c>
      <c r="R34" s="3" t="str">
        <f t="shared" si="4"/>
        <v/>
      </c>
      <c r="S34" t="str">
        <f t="shared" si="5"/>
        <v>N/A</v>
      </c>
      <c r="T34" t="str">
        <f t="shared" si="6"/>
        <v>N/A</v>
      </c>
    </row>
    <row r="35" spans="1:20" x14ac:dyDescent="0.25">
      <c r="A35" t="str">
        <f>IF('Equipment Information'!A35="","", 'Equipment Information'!A35)</f>
        <v>20260681</v>
      </c>
      <c r="B35" t="str">
        <f>IF('Equipment Information'!B35="","", 'Equipment Information'!B35)</f>
        <v>CP-Dryer #1 [Sec. 1]</v>
      </c>
      <c r="C35" t="str">
        <f>IF('Equipment Information'!C35="","", 'Equipment Information'!C35)</f>
        <v>Electrical Room #4</v>
      </c>
      <c r="I35" t="str">
        <f t="shared" si="0"/>
        <v/>
      </c>
      <c r="J35" s="3" t="str">
        <f t="shared" si="1"/>
        <v/>
      </c>
      <c r="N35" t="str">
        <f t="shared" si="2"/>
        <v/>
      </c>
      <c r="Q35" s="3" t="str">
        <f t="shared" si="3"/>
        <v/>
      </c>
      <c r="R35" s="3" t="str">
        <f t="shared" si="4"/>
        <v/>
      </c>
      <c r="S35" t="str">
        <f t="shared" si="5"/>
        <v>N/A</v>
      </c>
      <c r="T35" t="str">
        <f t="shared" si="6"/>
        <v>N/A</v>
      </c>
    </row>
    <row r="36" spans="1:20" x14ac:dyDescent="0.25">
      <c r="A36" t="str">
        <f>IF('Equipment Information'!A36="","", 'Equipment Information'!A36)</f>
        <v>20260682</v>
      </c>
      <c r="B36" t="str">
        <f>IF('Equipment Information'!B36="","", 'Equipment Information'!B36)</f>
        <v>CP-Dryer #1 [Sec. 2]</v>
      </c>
      <c r="C36" t="str">
        <f>IF('Equipment Information'!C36="","", 'Equipment Information'!C36)</f>
        <v>Electrical Room #4</v>
      </c>
      <c r="I36" t="str">
        <f t="shared" si="0"/>
        <v/>
      </c>
      <c r="J36" s="3" t="str">
        <f t="shared" si="1"/>
        <v/>
      </c>
      <c r="N36" t="str">
        <f t="shared" si="2"/>
        <v/>
      </c>
      <c r="Q36" s="3" t="str">
        <f t="shared" si="3"/>
        <v/>
      </c>
      <c r="R36" s="3" t="str">
        <f t="shared" si="4"/>
        <v/>
      </c>
      <c r="S36" t="str">
        <f t="shared" si="5"/>
        <v>N/A</v>
      </c>
      <c r="T36" t="str">
        <f t="shared" si="6"/>
        <v>N/A</v>
      </c>
    </row>
    <row r="37" spans="1:20" x14ac:dyDescent="0.25">
      <c r="A37" t="str">
        <f>IF('Equipment Information'!A37="","", 'Equipment Information'!A37)</f>
        <v>20260683</v>
      </c>
      <c r="B37" t="str">
        <f>IF('Equipment Information'!B37="","", 'Equipment Information'!B37)</f>
        <v>CP-Packout [Sec. 1]</v>
      </c>
      <c r="C37" t="str">
        <f>IF('Equipment Information'!C37="","", 'Equipment Information'!C37)</f>
        <v>Electrical Room #4</v>
      </c>
      <c r="I37" t="str">
        <f t="shared" si="0"/>
        <v/>
      </c>
      <c r="J37" s="3" t="str">
        <f t="shared" si="1"/>
        <v/>
      </c>
      <c r="N37" t="str">
        <f t="shared" si="2"/>
        <v/>
      </c>
      <c r="Q37" s="3" t="str">
        <f t="shared" si="3"/>
        <v/>
      </c>
      <c r="R37" s="3" t="str">
        <f t="shared" si="4"/>
        <v/>
      </c>
      <c r="S37" t="str">
        <f t="shared" si="5"/>
        <v>N/A</v>
      </c>
      <c r="T37" t="str">
        <f t="shared" si="6"/>
        <v>N/A</v>
      </c>
    </row>
    <row r="38" spans="1:20" x14ac:dyDescent="0.25">
      <c r="A38" t="str">
        <f>IF('Equipment Information'!A38="","", 'Equipment Information'!A38)</f>
        <v>20260684</v>
      </c>
      <c r="B38" t="str">
        <f>IF('Equipment Information'!B38="","", 'Equipment Information'!B38)</f>
        <v>CP-Packout [Sec. 2]</v>
      </c>
      <c r="C38" t="str">
        <f>IF('Equipment Information'!C38="","", 'Equipment Information'!C38)</f>
        <v>Electrical Room #4</v>
      </c>
      <c r="I38" t="str">
        <f t="shared" si="0"/>
        <v/>
      </c>
      <c r="J38" s="3" t="str">
        <f t="shared" si="1"/>
        <v/>
      </c>
      <c r="N38" t="str">
        <f t="shared" si="2"/>
        <v/>
      </c>
      <c r="Q38" s="3" t="str">
        <f t="shared" si="3"/>
        <v/>
      </c>
      <c r="R38" s="3" t="str">
        <f t="shared" si="4"/>
        <v/>
      </c>
      <c r="S38" t="str">
        <f t="shared" si="5"/>
        <v>N/A</v>
      </c>
      <c r="T38" t="str">
        <f t="shared" si="6"/>
        <v>N/A</v>
      </c>
    </row>
    <row r="39" spans="1:20" x14ac:dyDescent="0.25">
      <c r="A39" t="str">
        <f>IF('Equipment Information'!A39="","", 'Equipment Information'!A39)</f>
        <v>20260685</v>
      </c>
      <c r="B39" t="str">
        <f>IF('Equipment Information'!B39="","", 'Equipment Information'!B39)</f>
        <v>CP-Packout [Sec. 3]</v>
      </c>
      <c r="C39" t="str">
        <f>IF('Equipment Information'!C39="","", 'Equipment Information'!C39)</f>
        <v>Electrical Room #4</v>
      </c>
      <c r="I39" t="str">
        <f t="shared" si="0"/>
        <v/>
      </c>
      <c r="J39" s="3" t="str">
        <f t="shared" si="1"/>
        <v/>
      </c>
      <c r="N39" t="str">
        <f t="shared" si="2"/>
        <v/>
      </c>
      <c r="Q39" s="3" t="str">
        <f t="shared" si="3"/>
        <v/>
      </c>
      <c r="R39" s="3" t="str">
        <f t="shared" si="4"/>
        <v/>
      </c>
      <c r="S39" t="str">
        <f t="shared" si="5"/>
        <v>N/A</v>
      </c>
      <c r="T39" t="str">
        <f t="shared" si="6"/>
        <v>N/A</v>
      </c>
    </row>
    <row r="40" spans="1:20" x14ac:dyDescent="0.25">
      <c r="A40" t="str">
        <f>IF('Equipment Information'!A40="","", 'Equipment Information'!A40)</f>
        <v>20260686</v>
      </c>
      <c r="B40" t="str">
        <f>IF('Equipment Information'!B40="","", 'Equipment Information'!B40)</f>
        <v>CP-5110</v>
      </c>
      <c r="C40" t="str">
        <f>IF('Equipment Information'!C40="","", 'Equipment Information'!C40)</f>
        <v>Electrical Room #4</v>
      </c>
      <c r="I40" t="str">
        <f t="shared" si="0"/>
        <v/>
      </c>
      <c r="J40" s="3" t="str">
        <f t="shared" si="1"/>
        <v/>
      </c>
      <c r="N40" t="str">
        <f t="shared" si="2"/>
        <v/>
      </c>
      <c r="Q40" s="3" t="str">
        <f t="shared" si="3"/>
        <v/>
      </c>
      <c r="R40" s="3" t="str">
        <f t="shared" si="4"/>
        <v/>
      </c>
      <c r="S40" t="str">
        <f t="shared" si="5"/>
        <v>N/A</v>
      </c>
      <c r="T40" t="str">
        <f t="shared" si="6"/>
        <v>N/A</v>
      </c>
    </row>
    <row r="41" spans="1:20" x14ac:dyDescent="0.25">
      <c r="A41" t="str">
        <f>IF('Equipment Information'!A41="","", 'Equipment Information'!A41)</f>
        <v>20260687</v>
      </c>
      <c r="B41" t="str">
        <f>IF('Equipment Information'!B41="","", 'Equipment Information'!B41)</f>
        <v>CP-5120</v>
      </c>
      <c r="C41" t="str">
        <f>IF('Equipment Information'!C41="","", 'Equipment Information'!C41)</f>
        <v>Electrical Room #4</v>
      </c>
      <c r="I41" t="str">
        <f t="shared" si="0"/>
        <v/>
      </c>
      <c r="J41" s="3" t="str">
        <f t="shared" si="1"/>
        <v/>
      </c>
      <c r="N41" t="str">
        <f t="shared" si="2"/>
        <v/>
      </c>
      <c r="Q41" s="3" t="str">
        <f t="shared" si="3"/>
        <v/>
      </c>
      <c r="R41" s="3" t="str">
        <f t="shared" si="4"/>
        <v/>
      </c>
      <c r="S41" t="str">
        <f t="shared" si="5"/>
        <v>N/A</v>
      </c>
      <c r="T41" t="str">
        <f t="shared" si="6"/>
        <v>N/A</v>
      </c>
    </row>
    <row r="42" spans="1:20" x14ac:dyDescent="0.25">
      <c r="A42" t="str">
        <f>IF('Equipment Information'!A42="","", 'Equipment Information'!A42)</f>
        <v>20260688</v>
      </c>
      <c r="B42" t="str">
        <f>IF('Equipment Information'!B42="","", 'Equipment Information'!B42)</f>
        <v>RF-7101</v>
      </c>
      <c r="C42" t="str">
        <f>IF('Equipment Information'!C42="","", 'Equipment Information'!C42)</f>
        <v>Electrical Room #4</v>
      </c>
      <c r="I42" t="str">
        <f t="shared" si="0"/>
        <v/>
      </c>
      <c r="J42" s="3" t="str">
        <f t="shared" si="1"/>
        <v/>
      </c>
      <c r="N42" t="str">
        <f t="shared" si="2"/>
        <v/>
      </c>
      <c r="Q42" s="3" t="str">
        <f t="shared" si="3"/>
        <v/>
      </c>
      <c r="R42" s="3" t="str">
        <f t="shared" si="4"/>
        <v/>
      </c>
      <c r="S42" t="str">
        <f t="shared" si="5"/>
        <v>N/A</v>
      </c>
      <c r="T42" t="str">
        <f t="shared" si="6"/>
        <v>N/A</v>
      </c>
    </row>
    <row r="43" spans="1:20" x14ac:dyDescent="0.25">
      <c r="A43" t="str">
        <f>IF('Equipment Information'!A43="","", 'Equipment Information'!A43)</f>
        <v>20260689</v>
      </c>
      <c r="B43" t="str">
        <f>IF('Equipment Information'!B43="","", 'Equipment Information'!B43)</f>
        <v>RF-7102</v>
      </c>
      <c r="C43" t="str">
        <f>IF('Equipment Information'!C43="","", 'Equipment Information'!C43)</f>
        <v>Electrical Room #4</v>
      </c>
      <c r="I43" t="str">
        <f t="shared" si="0"/>
        <v/>
      </c>
      <c r="J43" s="3" t="str">
        <f t="shared" si="1"/>
        <v/>
      </c>
      <c r="N43" t="str">
        <f t="shared" si="2"/>
        <v/>
      </c>
      <c r="Q43" s="3" t="str">
        <f t="shared" si="3"/>
        <v/>
      </c>
      <c r="R43" s="3" t="str">
        <f t="shared" si="4"/>
        <v/>
      </c>
      <c r="S43" t="str">
        <f t="shared" si="5"/>
        <v>N/A</v>
      </c>
      <c r="T43" t="str">
        <f t="shared" si="6"/>
        <v>N/A</v>
      </c>
    </row>
    <row r="44" spans="1:20" x14ac:dyDescent="0.25">
      <c r="A44" t="str">
        <f>IF('Equipment Information'!A44="","", 'Equipment Information'!A44)</f>
        <v>20260690</v>
      </c>
      <c r="B44" t="str">
        <f>IF('Equipment Information'!B44="","", 'Equipment Information'!B44)</f>
        <v>RF-7103</v>
      </c>
      <c r="C44" t="str">
        <f>IF('Equipment Information'!C44="","", 'Equipment Information'!C44)</f>
        <v>Electrical Room #4</v>
      </c>
      <c r="I44" t="str">
        <f t="shared" si="0"/>
        <v/>
      </c>
      <c r="J44" s="3" t="str">
        <f t="shared" si="1"/>
        <v/>
      </c>
      <c r="N44" t="str">
        <f t="shared" si="2"/>
        <v/>
      </c>
      <c r="Q44" s="3" t="str">
        <f t="shared" si="3"/>
        <v/>
      </c>
      <c r="R44" s="3" t="str">
        <f t="shared" si="4"/>
        <v/>
      </c>
      <c r="S44" t="str">
        <f t="shared" si="5"/>
        <v>N/A</v>
      </c>
      <c r="T44" t="str">
        <f t="shared" si="6"/>
        <v>N/A</v>
      </c>
    </row>
    <row r="45" spans="1:20" x14ac:dyDescent="0.25">
      <c r="A45" t="str">
        <f>IF('Equipment Information'!A45="","", 'Equipment Information'!A45)</f>
        <v>20260691</v>
      </c>
      <c r="B45" t="str">
        <f>IF('Equipment Information'!B45="","", 'Equipment Information'!B45)</f>
        <v>RF-7104</v>
      </c>
      <c r="C45" t="str">
        <f>IF('Equipment Information'!C45="","", 'Equipment Information'!C45)</f>
        <v>Electrical Room #4</v>
      </c>
      <c r="I45" t="str">
        <f t="shared" si="0"/>
        <v/>
      </c>
      <c r="J45" s="3" t="str">
        <f t="shared" si="1"/>
        <v/>
      </c>
      <c r="N45" t="str">
        <f t="shared" si="2"/>
        <v/>
      </c>
      <c r="Q45" s="3" t="str">
        <f t="shared" si="3"/>
        <v/>
      </c>
      <c r="R45" s="3" t="str">
        <f t="shared" si="4"/>
        <v/>
      </c>
      <c r="S45" t="str">
        <f t="shared" si="5"/>
        <v>N/A</v>
      </c>
      <c r="T45" t="str">
        <f t="shared" si="6"/>
        <v>N/A</v>
      </c>
    </row>
    <row r="46" spans="1:20" x14ac:dyDescent="0.25">
      <c r="A46" t="str">
        <f>IF('Equipment Information'!A46="","", 'Equipment Information'!A46)</f>
        <v>20260692</v>
      </c>
      <c r="B46" t="str">
        <f>IF('Equipment Information'!B46="","", 'Equipment Information'!B46)</f>
        <v>DP-10</v>
      </c>
      <c r="C46" t="str">
        <f>IF('Equipment Information'!C46="","", 'Equipment Information'!C46)</f>
        <v>Electrical Room #4</v>
      </c>
      <c r="I46" t="str">
        <f t="shared" si="0"/>
        <v/>
      </c>
      <c r="J46" s="3" t="str">
        <f t="shared" si="1"/>
        <v/>
      </c>
      <c r="N46" t="str">
        <f t="shared" si="2"/>
        <v/>
      </c>
      <c r="Q46" s="3" t="str">
        <f t="shared" si="3"/>
        <v/>
      </c>
      <c r="R46" s="3" t="str">
        <f t="shared" si="4"/>
        <v/>
      </c>
      <c r="S46" t="str">
        <f t="shared" si="5"/>
        <v>N/A</v>
      </c>
      <c r="T46" t="str">
        <f t="shared" si="6"/>
        <v>N/A</v>
      </c>
    </row>
    <row r="47" spans="1:20" x14ac:dyDescent="0.25">
      <c r="A47" t="str">
        <f>IF('Equipment Information'!A47="","", 'Equipment Information'!A47)</f>
        <v>20260693</v>
      </c>
      <c r="B47" t="str">
        <f>IF('Equipment Information'!B47="","", 'Equipment Information'!B47)</f>
        <v>Cooling Towers</v>
      </c>
      <c r="C47" t="str">
        <f>IF('Equipment Information'!C47="","", 'Equipment Information'!C47)</f>
        <v>Electrical Room #4</v>
      </c>
      <c r="I47" t="str">
        <f t="shared" si="0"/>
        <v/>
      </c>
      <c r="J47" s="3" t="str">
        <f t="shared" si="1"/>
        <v/>
      </c>
      <c r="N47" t="str">
        <f t="shared" si="2"/>
        <v/>
      </c>
      <c r="Q47" s="3" t="str">
        <f t="shared" si="3"/>
        <v/>
      </c>
      <c r="R47" s="3" t="str">
        <f t="shared" si="4"/>
        <v/>
      </c>
      <c r="S47" t="str">
        <f t="shared" si="5"/>
        <v>N/A</v>
      </c>
      <c r="T47" t="str">
        <f t="shared" si="6"/>
        <v>N/A</v>
      </c>
    </row>
    <row r="48" spans="1:20" x14ac:dyDescent="0.25">
      <c r="A48" t="str">
        <f>IF('Equipment Information'!A48="","", 'Equipment Information'!A48)</f>
        <v>20260694</v>
      </c>
      <c r="B48" t="str">
        <f>IF('Equipment Information'!B48="","", 'Equipment Information'!B48)</f>
        <v>PP FF-2</v>
      </c>
      <c r="C48" t="str">
        <f>IF('Equipment Information'!C48="","", 'Equipment Information'!C48)</f>
        <v>Electrical Room #4</v>
      </c>
      <c r="I48" t="str">
        <f t="shared" si="0"/>
        <v/>
      </c>
      <c r="J48" s="3" t="str">
        <f t="shared" si="1"/>
        <v/>
      </c>
      <c r="N48" t="str">
        <f t="shared" si="2"/>
        <v/>
      </c>
      <c r="Q48" s="3" t="str">
        <f t="shared" si="3"/>
        <v/>
      </c>
      <c r="R48" s="3" t="str">
        <f t="shared" si="4"/>
        <v/>
      </c>
      <c r="S48" t="str">
        <f t="shared" si="5"/>
        <v>N/A</v>
      </c>
      <c r="T48" t="str">
        <f t="shared" si="6"/>
        <v>N/A</v>
      </c>
    </row>
    <row r="49" spans="1:20" x14ac:dyDescent="0.25">
      <c r="A49" t="str">
        <f>IF('Equipment Information'!A49="","", 'Equipment Information'!A49)</f>
        <v>20260695</v>
      </c>
      <c r="B49" t="str">
        <f>IF('Equipment Information'!B49="","", 'Equipment Information'!B49)</f>
        <v>LP FF-1</v>
      </c>
      <c r="C49" t="str">
        <f>IF('Equipment Information'!C49="","", 'Equipment Information'!C49)</f>
        <v>Electrical Room #4</v>
      </c>
      <c r="I49" t="str">
        <f t="shared" si="0"/>
        <v/>
      </c>
      <c r="J49" s="3" t="str">
        <f t="shared" si="1"/>
        <v/>
      </c>
      <c r="N49" t="str">
        <f t="shared" si="2"/>
        <v/>
      </c>
      <c r="Q49" s="3" t="str">
        <f t="shared" si="3"/>
        <v/>
      </c>
      <c r="R49" s="3" t="str">
        <f t="shared" si="4"/>
        <v/>
      </c>
      <c r="S49" t="str">
        <f t="shared" si="5"/>
        <v>N/A</v>
      </c>
      <c r="T49" t="str">
        <f t="shared" si="6"/>
        <v>N/A</v>
      </c>
    </row>
    <row r="50" spans="1:20" x14ac:dyDescent="0.25">
      <c r="A50" t="str">
        <f>IF('Equipment Information'!A50="","", 'Equipment Information'!A50)</f>
        <v>20260696</v>
      </c>
      <c r="B50" t="str">
        <f>IF('Equipment Information'!B50="","", 'Equipment Information'!B50)</f>
        <v>PP FF-1</v>
      </c>
      <c r="C50" t="str">
        <f>IF('Equipment Information'!C50="","", 'Equipment Information'!C50)</f>
        <v>Electrical Room #4</v>
      </c>
      <c r="I50" t="str">
        <f t="shared" si="0"/>
        <v/>
      </c>
      <c r="J50" s="3" t="str">
        <f t="shared" si="1"/>
        <v/>
      </c>
      <c r="N50" t="str">
        <f t="shared" si="2"/>
        <v/>
      </c>
      <c r="Q50" s="3" t="str">
        <f t="shared" si="3"/>
        <v/>
      </c>
      <c r="R50" s="3" t="str">
        <f t="shared" si="4"/>
        <v/>
      </c>
      <c r="S50" t="str">
        <f t="shared" si="5"/>
        <v>N/A</v>
      </c>
      <c r="T50" t="str">
        <f t="shared" si="6"/>
        <v>N/A</v>
      </c>
    </row>
    <row r="51" spans="1:20" x14ac:dyDescent="0.25">
      <c r="A51" t="str">
        <f>IF('Equipment Information'!A51="","", 'Equipment Information'!A51)</f>
        <v>20260697</v>
      </c>
      <c r="B51" t="str">
        <f>IF('Equipment Information'!B51="","", 'Equipment Information'!B51)</f>
        <v>PP FF-1A</v>
      </c>
      <c r="C51" t="str">
        <f>IF('Equipment Information'!C51="","", 'Equipment Information'!C51)</f>
        <v>Electrical Room #4</v>
      </c>
      <c r="I51" t="str">
        <f t="shared" si="0"/>
        <v/>
      </c>
      <c r="J51" s="3" t="str">
        <f t="shared" si="1"/>
        <v/>
      </c>
      <c r="N51" t="str">
        <f t="shared" si="2"/>
        <v/>
      </c>
      <c r="Q51" s="3" t="str">
        <f t="shared" si="3"/>
        <v/>
      </c>
      <c r="R51" s="3" t="str">
        <f t="shared" si="4"/>
        <v/>
      </c>
      <c r="S51" t="str">
        <f t="shared" si="5"/>
        <v>N/A</v>
      </c>
      <c r="T51" t="str">
        <f t="shared" si="6"/>
        <v>N/A</v>
      </c>
    </row>
    <row r="52" spans="1:20" x14ac:dyDescent="0.25">
      <c r="A52" t="str">
        <f>IF('Equipment Information'!A52="","", 'Equipment Information'!A52)</f>
        <v>20260698</v>
      </c>
      <c r="B52" t="str">
        <f>IF('Equipment Information'!B52="","", 'Equipment Information'!B52)</f>
        <v>CP-5110 &amp; CP-5120</v>
      </c>
      <c r="C52" t="str">
        <f>IF('Equipment Information'!C52="","", 'Equipment Information'!C52)</f>
        <v>Electrical Room #4</v>
      </c>
      <c r="I52" t="str">
        <f t="shared" si="0"/>
        <v/>
      </c>
      <c r="J52" s="3" t="str">
        <f t="shared" si="1"/>
        <v/>
      </c>
      <c r="N52" t="str">
        <f t="shared" si="2"/>
        <v/>
      </c>
      <c r="Q52" s="3" t="str">
        <f t="shared" si="3"/>
        <v/>
      </c>
      <c r="R52" s="3" t="str">
        <f t="shared" si="4"/>
        <v/>
      </c>
      <c r="S52" t="str">
        <f t="shared" si="5"/>
        <v>N/A</v>
      </c>
      <c r="T52" t="str">
        <f t="shared" si="6"/>
        <v>N/A</v>
      </c>
    </row>
    <row r="53" spans="1:20" x14ac:dyDescent="0.25">
      <c r="A53" t="str">
        <f>IF('Equipment Information'!A53="","", 'Equipment Information'!A53)</f>
        <v>20260699</v>
      </c>
      <c r="B53" t="str">
        <f>IF('Equipment Information'!B53="","", 'Equipment Information'!B53)</f>
        <v/>
      </c>
      <c r="C53" t="str">
        <f>IF('Equipment Information'!C53="","", 'Equipment Information'!C53)</f>
        <v>Electrical Room #4 Mezzanine</v>
      </c>
      <c r="I53" t="str">
        <f t="shared" si="0"/>
        <v/>
      </c>
      <c r="J53" s="3" t="str">
        <f t="shared" si="1"/>
        <v/>
      </c>
      <c r="N53" t="str">
        <f t="shared" si="2"/>
        <v/>
      </c>
      <c r="Q53" s="3" t="str">
        <f t="shared" si="3"/>
        <v/>
      </c>
      <c r="R53" s="3" t="str">
        <f t="shared" si="4"/>
        <v/>
      </c>
      <c r="S53" t="str">
        <f t="shared" si="5"/>
        <v>N/A</v>
      </c>
      <c r="T53" t="str">
        <f t="shared" si="6"/>
        <v>N/A</v>
      </c>
    </row>
    <row r="54" spans="1:20" x14ac:dyDescent="0.25">
      <c r="A54" t="str">
        <f>IF('Equipment Information'!A54="","", 'Equipment Information'!A54)</f>
        <v>20260700</v>
      </c>
      <c r="B54" t="str">
        <f>IF('Equipment Information'!B54="","", 'Equipment Information'!B54)</f>
        <v/>
      </c>
      <c r="C54" t="str">
        <f>IF('Equipment Information'!C54="","", 'Equipment Information'!C54)</f>
        <v>Electrical Room #4 Mezzanine</v>
      </c>
      <c r="I54" t="str">
        <f t="shared" si="0"/>
        <v/>
      </c>
      <c r="J54" s="3" t="str">
        <f t="shared" si="1"/>
        <v/>
      </c>
      <c r="N54" t="str">
        <f t="shared" si="2"/>
        <v/>
      </c>
      <c r="Q54" s="3" t="str">
        <f t="shared" si="3"/>
        <v/>
      </c>
      <c r="R54" s="3" t="str">
        <f t="shared" si="4"/>
        <v/>
      </c>
      <c r="S54" t="str">
        <f t="shared" si="5"/>
        <v>N/A</v>
      </c>
      <c r="T54" t="str">
        <f t="shared" si="6"/>
        <v>N/A</v>
      </c>
    </row>
    <row r="55" spans="1:20" x14ac:dyDescent="0.25">
      <c r="A55" t="str">
        <f>IF('Equipment Information'!A55="","", 'Equipment Information'!A55)</f>
        <v>20260701</v>
      </c>
      <c r="B55" t="str">
        <f>IF('Equipment Information'!B55="","", 'Equipment Information'!B55)</f>
        <v/>
      </c>
      <c r="C55" t="str">
        <f>IF('Equipment Information'!C55="","", 'Equipment Information'!C55)</f>
        <v>Electrical Room #4 Mezzanine</v>
      </c>
      <c r="I55" t="str">
        <f t="shared" si="0"/>
        <v/>
      </c>
      <c r="J55" s="3" t="str">
        <f t="shared" si="1"/>
        <v/>
      </c>
      <c r="N55" t="str">
        <f t="shared" si="2"/>
        <v/>
      </c>
      <c r="Q55" s="3" t="str">
        <f t="shared" si="3"/>
        <v/>
      </c>
      <c r="R55" s="3" t="str">
        <f t="shared" si="4"/>
        <v/>
      </c>
      <c r="S55" t="str">
        <f t="shared" si="5"/>
        <v>N/A</v>
      </c>
      <c r="T55" t="str">
        <f t="shared" si="6"/>
        <v>N/A</v>
      </c>
    </row>
    <row r="56" spans="1:20" x14ac:dyDescent="0.25">
      <c r="A56" t="str">
        <f>IF('Equipment Information'!A56="","", 'Equipment Information'!A56)</f>
        <v>20260702</v>
      </c>
      <c r="B56" t="str">
        <f>IF('Equipment Information'!B56="","", 'Equipment Information'!B56)</f>
        <v/>
      </c>
      <c r="C56" t="str">
        <f>IF('Equipment Information'!C56="","", 'Equipment Information'!C56)</f>
        <v>Electrical Room #4 Mezzanine</v>
      </c>
      <c r="I56" t="str">
        <f t="shared" si="0"/>
        <v/>
      </c>
      <c r="J56" s="3" t="str">
        <f t="shared" si="1"/>
        <v/>
      </c>
      <c r="N56" t="str">
        <f t="shared" si="2"/>
        <v/>
      </c>
      <c r="Q56" s="3" t="str">
        <f t="shared" si="3"/>
        <v/>
      </c>
      <c r="R56" s="3" t="str">
        <f t="shared" si="4"/>
        <v/>
      </c>
      <c r="S56" t="str">
        <f t="shared" si="5"/>
        <v>N/A</v>
      </c>
      <c r="T56" t="str">
        <f t="shared" si="6"/>
        <v>N/A</v>
      </c>
    </row>
    <row r="57" spans="1:20" x14ac:dyDescent="0.25">
      <c r="A57" t="str">
        <f>IF('Equipment Information'!A57="","", 'Equipment Information'!A57)</f>
        <v>20260703</v>
      </c>
      <c r="B57" t="str">
        <f>IF('Equipment Information'!B57="","", 'Equipment Information'!B57)</f>
        <v/>
      </c>
      <c r="C57" t="str">
        <f>IF('Equipment Information'!C57="","", 'Equipment Information'!C57)</f>
        <v>Electrical Room #4 Mezzanine</v>
      </c>
      <c r="I57" t="str">
        <f t="shared" si="0"/>
        <v/>
      </c>
      <c r="J57" s="3" t="str">
        <f t="shared" si="1"/>
        <v/>
      </c>
      <c r="N57" t="str">
        <f t="shared" si="2"/>
        <v/>
      </c>
      <c r="Q57" s="3" t="str">
        <f t="shared" si="3"/>
        <v/>
      </c>
      <c r="R57" s="3" t="str">
        <f t="shared" si="4"/>
        <v/>
      </c>
      <c r="S57" t="str">
        <f t="shared" si="5"/>
        <v>N/A</v>
      </c>
      <c r="T57" t="str">
        <f t="shared" si="6"/>
        <v>N/A</v>
      </c>
    </row>
    <row r="58" spans="1:20" x14ac:dyDescent="0.25">
      <c r="A58" t="str">
        <f>IF('Equipment Information'!A58="","", 'Equipment Information'!A58)</f>
        <v>20260704</v>
      </c>
      <c r="B58" t="str">
        <f>IF('Equipment Information'!B58="","", 'Equipment Information'!B58)</f>
        <v/>
      </c>
      <c r="C58" t="str">
        <f>IF('Equipment Information'!C58="","", 'Equipment Information'!C58)</f>
        <v>Electrical Room #4 Mezzanine</v>
      </c>
      <c r="I58" t="str">
        <f t="shared" si="0"/>
        <v/>
      </c>
      <c r="J58" s="3" t="str">
        <f t="shared" si="1"/>
        <v/>
      </c>
      <c r="N58" t="str">
        <f t="shared" si="2"/>
        <v/>
      </c>
      <c r="Q58" s="3" t="str">
        <f t="shared" si="3"/>
        <v/>
      </c>
      <c r="R58" s="3" t="str">
        <f t="shared" si="4"/>
        <v/>
      </c>
      <c r="S58" t="str">
        <f t="shared" si="5"/>
        <v>N/A</v>
      </c>
      <c r="T58" t="str">
        <f t="shared" si="6"/>
        <v>N/A</v>
      </c>
    </row>
    <row r="59" spans="1:20" x14ac:dyDescent="0.25">
      <c r="A59" t="str">
        <f>IF('Equipment Information'!A59="","", 'Equipment Information'!A59)</f>
        <v>20260705</v>
      </c>
      <c r="B59" t="str">
        <f>IF('Equipment Information'!B59="","", 'Equipment Information'!B59)</f>
        <v>15 kVa Transformer</v>
      </c>
      <c r="C59" t="str">
        <f>IF('Equipment Information'!C59="","", 'Equipment Information'!C59)</f>
        <v>Packaging</v>
      </c>
      <c r="I59" t="str">
        <f t="shared" si="0"/>
        <v/>
      </c>
      <c r="J59" s="3" t="str">
        <f t="shared" si="1"/>
        <v/>
      </c>
      <c r="N59" t="str">
        <f t="shared" si="2"/>
        <v/>
      </c>
      <c r="Q59" s="3" t="str">
        <f t="shared" si="3"/>
        <v/>
      </c>
      <c r="R59" s="3" t="str">
        <f t="shared" si="4"/>
        <v/>
      </c>
      <c r="S59" t="str">
        <f t="shared" si="5"/>
        <v>N/A</v>
      </c>
      <c r="T59" t="str">
        <f t="shared" si="6"/>
        <v>N/A</v>
      </c>
    </row>
    <row r="60" spans="1:20" x14ac:dyDescent="0.25">
      <c r="A60" t="str">
        <f>IF('Equipment Information'!A60="","", 'Equipment Information'!A60)</f>
        <v>20260706</v>
      </c>
      <c r="B60" t="str">
        <f>IF('Equipment Information'!B60="","", 'Equipment Information'!B60)</f>
        <v>Color Sorter Transformer</v>
      </c>
      <c r="C60" t="str">
        <f>IF('Equipment Information'!C60="","", 'Equipment Information'!C60)</f>
        <v>Packaging</v>
      </c>
      <c r="I60" t="str">
        <f t="shared" si="0"/>
        <v/>
      </c>
      <c r="J60" s="3" t="str">
        <f t="shared" si="1"/>
        <v/>
      </c>
      <c r="N60" t="str">
        <f t="shared" si="2"/>
        <v/>
      </c>
      <c r="Q60" s="3" t="str">
        <f t="shared" si="3"/>
        <v/>
      </c>
      <c r="R60" s="3" t="str">
        <f t="shared" si="4"/>
        <v/>
      </c>
      <c r="S60" t="str">
        <f t="shared" si="5"/>
        <v>N/A</v>
      </c>
      <c r="T60" t="str">
        <f t="shared" si="6"/>
        <v>N/A</v>
      </c>
    </row>
    <row r="61" spans="1:20" x14ac:dyDescent="0.25">
      <c r="A61" t="str">
        <f>IF('Equipment Information'!A61="","", 'Equipment Information'!A61)</f>
        <v>20260707</v>
      </c>
      <c r="B61" t="str">
        <f>IF('Equipment Information'!B61="","", 'Equipment Information'!B61)</f>
        <v>LP3 Sub-Panel</v>
      </c>
      <c r="C61" t="str">
        <f>IF('Equipment Information'!C61="","", 'Equipment Information'!C61)</f>
        <v>Packaging</v>
      </c>
      <c r="I61" t="str">
        <f t="shared" si="0"/>
        <v/>
      </c>
      <c r="J61" s="3" t="str">
        <f t="shared" si="1"/>
        <v/>
      </c>
      <c r="N61" t="str">
        <f t="shared" si="2"/>
        <v/>
      </c>
      <c r="Q61" s="3" t="str">
        <f t="shared" si="3"/>
        <v/>
      </c>
      <c r="R61" s="3" t="str">
        <f t="shared" si="4"/>
        <v/>
      </c>
      <c r="S61" t="str">
        <f t="shared" si="5"/>
        <v>N/A</v>
      </c>
      <c r="T61" t="str">
        <f t="shared" si="6"/>
        <v>N/A</v>
      </c>
    </row>
    <row r="62" spans="1:20" x14ac:dyDescent="0.25">
      <c r="A62" t="str">
        <f>IF('Equipment Information'!A62="","", 'Equipment Information'!A62)</f>
        <v>20260708</v>
      </c>
      <c r="B62" t="str">
        <f>IF('Equipment Information'!B62="","", 'Equipment Information'!B62)</f>
        <v>LP3</v>
      </c>
      <c r="C62" t="str">
        <f>IF('Equipment Information'!C62="","", 'Equipment Information'!C62)</f>
        <v>Packaging</v>
      </c>
      <c r="I62" t="str">
        <f t="shared" si="0"/>
        <v/>
      </c>
      <c r="J62" s="3" t="str">
        <f t="shared" si="1"/>
        <v/>
      </c>
      <c r="N62" t="str">
        <f t="shared" si="2"/>
        <v/>
      </c>
      <c r="Q62" s="3" t="str">
        <f t="shared" si="3"/>
        <v/>
      </c>
      <c r="R62" s="3" t="str">
        <f t="shared" si="4"/>
        <v/>
      </c>
      <c r="S62" t="str">
        <f t="shared" si="5"/>
        <v>N/A</v>
      </c>
      <c r="T62" t="str">
        <f t="shared" si="6"/>
        <v>N/A</v>
      </c>
    </row>
    <row r="63" spans="1:20" x14ac:dyDescent="0.25">
      <c r="A63" t="str">
        <f>IF('Equipment Information'!A63="","", 'Equipment Information'!A63)</f>
        <v>20260709</v>
      </c>
      <c r="B63" t="str">
        <f>IF('Equipment Information'!B63="","", 'Equipment Information'!B63)</f>
        <v>Color Sorter Supply</v>
      </c>
      <c r="C63" t="str">
        <f>IF('Equipment Information'!C63="","", 'Equipment Information'!C63)</f>
        <v>Packaging</v>
      </c>
      <c r="I63" t="str">
        <f t="shared" si="0"/>
        <v/>
      </c>
      <c r="J63" s="3" t="str">
        <f t="shared" si="1"/>
        <v/>
      </c>
      <c r="N63" t="str">
        <f t="shared" si="2"/>
        <v/>
      </c>
      <c r="Q63" s="3" t="str">
        <f t="shared" si="3"/>
        <v/>
      </c>
      <c r="R63" s="3" t="str">
        <f t="shared" si="4"/>
        <v/>
      </c>
      <c r="S63" t="str">
        <f t="shared" si="5"/>
        <v>N/A</v>
      </c>
      <c r="T63" t="str">
        <f t="shared" si="6"/>
        <v>N/A</v>
      </c>
    </row>
    <row r="64" spans="1:20" x14ac:dyDescent="0.25">
      <c r="A64" t="str">
        <f>IF('Equipment Information'!A64="","", 'Equipment Information'!A64)</f>
        <v>20260710</v>
      </c>
      <c r="B64" t="str">
        <f>IF('Equipment Information'!B64="","", 'Equipment Information'!B64)</f>
        <v>HP3</v>
      </c>
      <c r="C64" t="str">
        <f>IF('Equipment Information'!C64="","", 'Equipment Information'!C64)</f>
        <v>Packaging</v>
      </c>
      <c r="I64" t="str">
        <f t="shared" si="0"/>
        <v/>
      </c>
      <c r="J64" s="3" t="str">
        <f t="shared" si="1"/>
        <v/>
      </c>
      <c r="N64" t="str">
        <f t="shared" si="2"/>
        <v/>
      </c>
      <c r="Q64" s="3" t="str">
        <f t="shared" si="3"/>
        <v/>
      </c>
      <c r="R64" s="3" t="str">
        <f t="shared" si="4"/>
        <v/>
      </c>
      <c r="S64" t="str">
        <f t="shared" si="5"/>
        <v>N/A</v>
      </c>
      <c r="T64" t="str">
        <f t="shared" si="6"/>
        <v>N/A</v>
      </c>
    </row>
    <row r="65" spans="1:20" x14ac:dyDescent="0.25">
      <c r="A65" t="str">
        <f>IF('Equipment Information'!A65="","", 'Equipment Information'!A65)</f>
        <v>20260711</v>
      </c>
      <c r="B65" t="str">
        <f>IF('Equipment Information'!B65="","", 'Equipment Information'!B65)</f>
        <v>HP3-1</v>
      </c>
      <c r="C65" t="str">
        <f>IF('Equipment Information'!C65="","", 'Equipment Information'!C65)</f>
        <v>Packaging</v>
      </c>
      <c r="I65" t="str">
        <f t="shared" si="0"/>
        <v/>
      </c>
      <c r="J65" s="3" t="str">
        <f t="shared" si="1"/>
        <v/>
      </c>
      <c r="N65" t="str">
        <f t="shared" si="2"/>
        <v/>
      </c>
      <c r="Q65" s="3" t="str">
        <f t="shared" si="3"/>
        <v/>
      </c>
      <c r="R65" s="3" t="str">
        <f t="shared" si="4"/>
        <v/>
      </c>
      <c r="S65" t="str">
        <f t="shared" si="5"/>
        <v>N/A</v>
      </c>
      <c r="T65" t="str">
        <f t="shared" si="6"/>
        <v>N/A</v>
      </c>
    </row>
    <row r="66" spans="1:20" x14ac:dyDescent="0.25">
      <c r="A66" t="str">
        <f>IF('Equipment Information'!A66="","", 'Equipment Information'!A66)</f>
        <v>20260712</v>
      </c>
      <c r="B66" t="str">
        <f>IF('Equipment Information'!B66="","", 'Equipment Information'!B66)</f>
        <v>SW 2</v>
      </c>
      <c r="C66" t="str">
        <f>IF('Equipment Information'!C66="","", 'Equipment Information'!C66)</f>
        <v>Packaging</v>
      </c>
      <c r="I66" t="str">
        <f t="shared" ref="I66:I129" si="7">IF(A66="","",IF(D66="Three Phase",IF(COUNT(F66:H66)&lt;3,"",AVERAGE(F66:H66)),IF(D66="Single Phase",IF(F66="","",F66),"")))</f>
        <v/>
      </c>
      <c r="J66" s="3" t="str">
        <f t="shared" ref="J66:J129" si="8">IF(A66="","",IF(D66="Three Phase",IF(I66="","",MAX(ABS(F66-I66),ABS(G66-I66),ABS(H66-I66))/I66),""))</f>
        <v/>
      </c>
      <c r="N66" t="str">
        <f t="shared" ref="N66:N129" si="9">IF(A66="","",IF(D66="Three Phase",IF(COUNT(K66:M66)&lt;3,"",AVERAGE(K66:M66)),IF(D66="Single Phase",IF(K66="","",K66),"")))</f>
        <v/>
      </c>
      <c r="Q66" s="3" t="str">
        <f t="shared" ref="Q66:Q129" si="10">IF(A66="","",IF(OR(O66="",N66=""),"",N66/O66))</f>
        <v/>
      </c>
      <c r="R66" s="3" t="str">
        <f t="shared" ref="R66:R129" si="11">IF(A66="","",IF(D66="Three Phase",IF(N66="","",MAX(ABS(K66-N66),ABS(L66-N66),ABS(M66-N66))/N66),""))</f>
        <v/>
      </c>
      <c r="S66" t="str">
        <f t="shared" ref="S66:S129" si="12">IF(A66="","",IF(D66="Single Phase",IF(AND(F66="",K66=""),"No Data Entered",IF(Q66="","Reading Recorded - No Load% (Missing Rated Amps)","Reading Recorded - Load: "&amp;TEXT(Q66,"0.0%"))),IF(AND(F66="",K66=""),"N/A",IF(I66="","Insufficient Voltage Data",IF(AND(J66&gt;0.03,R66&gt;0.15),"Voltage &amp; Current Imbalance",IF(J66&gt;0.03,"Voltage Imbalance",IF(R66&gt;0.15,"Current Imbalance","No Imbalances Detected")))))))</f>
        <v>N/A</v>
      </c>
      <c r="T66" t="str">
        <f t="shared" si="6"/>
        <v>N/A</v>
      </c>
    </row>
    <row r="67" spans="1:20" x14ac:dyDescent="0.25">
      <c r="A67" t="str">
        <f>IF('Equipment Information'!A67="","", 'Equipment Information'!A67)</f>
        <v>20260713</v>
      </c>
      <c r="B67" t="str">
        <f>IF('Equipment Information'!B67="","", 'Equipment Information'!B67)</f>
        <v/>
      </c>
      <c r="C67" t="str">
        <f>IF('Equipment Information'!C67="","", 'Equipment Information'!C67)</f>
        <v>Packaging</v>
      </c>
      <c r="I67" t="str">
        <f t="shared" si="7"/>
        <v/>
      </c>
      <c r="J67" s="3" t="str">
        <f t="shared" si="8"/>
        <v/>
      </c>
      <c r="N67" t="str">
        <f t="shared" si="9"/>
        <v/>
      </c>
      <c r="Q67" s="3" t="str">
        <f t="shared" si="10"/>
        <v/>
      </c>
      <c r="R67" s="3" t="str">
        <f t="shared" si="11"/>
        <v/>
      </c>
      <c r="S67" t="str">
        <f t="shared" si="12"/>
        <v>N/A</v>
      </c>
      <c r="T67" t="str">
        <f t="shared" si="6"/>
        <v>N/A</v>
      </c>
    </row>
    <row r="68" spans="1:20" x14ac:dyDescent="0.25">
      <c r="A68" t="str">
        <f>IF('Equipment Information'!A68="","", 'Equipment Information'!A68)</f>
        <v>20260714</v>
      </c>
      <c r="B68" t="str">
        <f>IF('Equipment Information'!B68="","", 'Equipment Information'!B68)</f>
        <v>LP-1</v>
      </c>
      <c r="C68" t="str">
        <f>IF('Equipment Information'!C68="","", 'Equipment Information'!C68)</f>
        <v>Receiving Station</v>
      </c>
      <c r="I68" t="str">
        <f t="shared" si="7"/>
        <v/>
      </c>
      <c r="J68" s="3" t="str">
        <f t="shared" si="8"/>
        <v/>
      </c>
      <c r="N68" t="str">
        <f t="shared" si="9"/>
        <v/>
      </c>
      <c r="Q68" s="3" t="str">
        <f t="shared" si="10"/>
        <v/>
      </c>
      <c r="R68" s="3" t="str">
        <f t="shared" si="11"/>
        <v/>
      </c>
      <c r="S68" t="str">
        <f t="shared" si="12"/>
        <v>N/A</v>
      </c>
      <c r="T68" t="str">
        <f t="shared" si="6"/>
        <v>N/A</v>
      </c>
    </row>
    <row r="69" spans="1:20" x14ac:dyDescent="0.25">
      <c r="A69" t="str">
        <f>IF('Equipment Information'!A69="","", 'Equipment Information'!A69)</f>
        <v>20260715</v>
      </c>
      <c r="B69" t="str">
        <f>IF('Equipment Information'!B69="","", 'Equipment Information'!B69)</f>
        <v>Photo-Eye Ctl'd Contactor</v>
      </c>
      <c r="C69" t="str">
        <f>IF('Equipment Information'!C69="","", 'Equipment Information'!C69)</f>
        <v>Receiving Station</v>
      </c>
      <c r="I69" t="str">
        <f t="shared" si="7"/>
        <v/>
      </c>
      <c r="J69" s="3" t="str">
        <f t="shared" si="8"/>
        <v/>
      </c>
      <c r="N69" t="str">
        <f t="shared" si="9"/>
        <v/>
      </c>
      <c r="Q69" s="3" t="str">
        <f t="shared" si="10"/>
        <v/>
      </c>
      <c r="R69" s="3" t="str">
        <f t="shared" si="11"/>
        <v/>
      </c>
      <c r="S69" t="str">
        <f t="shared" si="12"/>
        <v>N/A</v>
      </c>
      <c r="T69" t="str">
        <f t="shared" ref="T69:T132" si="13">IF(A69="","",IF(D69="Single Phase",IF(AND(F69="",K69=""),"N/A","Pass"),IF(AND(F69="",K69=""),"N/A",IF(OR(J69&gt;0.03,R69&gt;0.15),"Imbalance","Pass"))))</f>
        <v>N/A</v>
      </c>
    </row>
    <row r="70" spans="1:20" x14ac:dyDescent="0.25">
      <c r="A70" t="str">
        <f>IF('Equipment Information'!A70="","", 'Equipment Information'!A70)</f>
        <v>20260716</v>
      </c>
      <c r="B70" t="str">
        <f>IF('Equipment Information'!B70="","", 'Equipment Information'!B70)</f>
        <v>LP1A</v>
      </c>
      <c r="C70" t="str">
        <f>IF('Equipment Information'!C70="","", 'Equipment Information'!C70)</f>
        <v>Receiving Station</v>
      </c>
      <c r="I70" t="str">
        <f t="shared" si="7"/>
        <v/>
      </c>
      <c r="J70" s="3" t="str">
        <f t="shared" si="8"/>
        <v/>
      </c>
      <c r="N70" t="str">
        <f t="shared" si="9"/>
        <v/>
      </c>
      <c r="Q70" s="3" t="str">
        <f t="shared" si="10"/>
        <v/>
      </c>
      <c r="R70" s="3" t="str">
        <f t="shared" si="11"/>
        <v/>
      </c>
      <c r="S70" t="str">
        <f t="shared" si="12"/>
        <v>N/A</v>
      </c>
      <c r="T70" t="str">
        <f t="shared" si="13"/>
        <v>N/A</v>
      </c>
    </row>
    <row r="71" spans="1:20" x14ac:dyDescent="0.25">
      <c r="A71" t="str">
        <f>IF('Equipment Information'!A71="","", 'Equipment Information'!A71)</f>
        <v>20260717</v>
      </c>
      <c r="B71" t="str">
        <f>IF('Equipment Information'!B71="","", 'Equipment Information'!B71)</f>
        <v>Pool Pump #1 Main Disconnect</v>
      </c>
      <c r="C71" t="str">
        <f>IF('Equipment Information'!C71="","", 'Equipment Information'!C71)</f>
        <v>Receiving Station</v>
      </c>
      <c r="I71" t="str">
        <f t="shared" si="7"/>
        <v/>
      </c>
      <c r="J71" s="3" t="str">
        <f t="shared" si="8"/>
        <v/>
      </c>
      <c r="N71" t="str">
        <f t="shared" si="9"/>
        <v/>
      </c>
      <c r="Q71" s="3" t="str">
        <f t="shared" si="10"/>
        <v/>
      </c>
      <c r="R71" s="3" t="str">
        <f t="shared" si="11"/>
        <v/>
      </c>
      <c r="S71" t="str">
        <f t="shared" si="12"/>
        <v>N/A</v>
      </c>
      <c r="T71" t="str">
        <f t="shared" si="13"/>
        <v>N/A</v>
      </c>
    </row>
    <row r="72" spans="1:20" x14ac:dyDescent="0.25">
      <c r="A72" t="str">
        <f>IF('Equipment Information'!A72="","", 'Equipment Information'!A72)</f>
        <v>20260718</v>
      </c>
      <c r="B72" t="str">
        <f>IF('Equipment Information'!B72="","", 'Equipment Information'!B72)</f>
        <v>Pool Pump #2 Main Disconnect</v>
      </c>
      <c r="C72" t="str">
        <f>IF('Equipment Information'!C72="","", 'Equipment Information'!C72)</f>
        <v>Receiving Station</v>
      </c>
      <c r="I72" t="str">
        <f t="shared" si="7"/>
        <v/>
      </c>
      <c r="J72" s="3" t="str">
        <f t="shared" si="8"/>
        <v/>
      </c>
      <c r="N72" t="str">
        <f t="shared" si="9"/>
        <v/>
      </c>
      <c r="Q72" s="3" t="str">
        <f t="shared" si="10"/>
        <v/>
      </c>
      <c r="R72" s="3" t="str">
        <f t="shared" si="11"/>
        <v/>
      </c>
      <c r="S72" t="str">
        <f t="shared" si="12"/>
        <v>N/A</v>
      </c>
      <c r="T72" t="str">
        <f t="shared" si="13"/>
        <v>N/A</v>
      </c>
    </row>
    <row r="73" spans="1:20" x14ac:dyDescent="0.25">
      <c r="A73" t="str">
        <f>IF('Equipment Information'!A73="","", 'Equipment Information'!A73)</f>
        <v>20260719</v>
      </c>
      <c r="B73" t="str">
        <f>IF('Equipment Information'!B73="","", 'Equipment Information'!B73)</f>
        <v>Pool Pump #1 VFD</v>
      </c>
      <c r="C73" t="str">
        <f>IF('Equipment Information'!C73="","", 'Equipment Information'!C73)</f>
        <v>Receiving Station</v>
      </c>
      <c r="I73" t="str">
        <f t="shared" si="7"/>
        <v/>
      </c>
      <c r="J73" s="3" t="str">
        <f t="shared" si="8"/>
        <v/>
      </c>
      <c r="N73" t="str">
        <f t="shared" si="9"/>
        <v/>
      </c>
      <c r="Q73" s="3" t="str">
        <f t="shared" si="10"/>
        <v/>
      </c>
      <c r="R73" s="3" t="str">
        <f t="shared" si="11"/>
        <v/>
      </c>
      <c r="S73" t="str">
        <f t="shared" si="12"/>
        <v>N/A</v>
      </c>
      <c r="T73" t="str">
        <f t="shared" si="13"/>
        <v>N/A</v>
      </c>
    </row>
    <row r="74" spans="1:20" x14ac:dyDescent="0.25">
      <c r="A74" t="str">
        <f>IF('Equipment Information'!A74="","", 'Equipment Information'!A74)</f>
        <v>20260720</v>
      </c>
      <c r="B74" t="str">
        <f>IF('Equipment Information'!B74="","", 'Equipment Information'!B74)</f>
        <v>Pool Pump #2 VFD</v>
      </c>
      <c r="C74" t="str">
        <f>IF('Equipment Information'!C74="","", 'Equipment Information'!C74)</f>
        <v>Receiving Station</v>
      </c>
      <c r="I74" t="str">
        <f t="shared" si="7"/>
        <v/>
      </c>
      <c r="J74" s="3" t="str">
        <f t="shared" si="8"/>
        <v/>
      </c>
      <c r="N74" t="str">
        <f t="shared" si="9"/>
        <v/>
      </c>
      <c r="Q74" s="3" t="str">
        <f t="shared" si="10"/>
        <v/>
      </c>
      <c r="R74" s="3" t="str">
        <f t="shared" si="11"/>
        <v/>
      </c>
      <c r="S74" t="str">
        <f t="shared" si="12"/>
        <v>N/A</v>
      </c>
      <c r="T74" t="str">
        <f t="shared" si="13"/>
        <v>N/A</v>
      </c>
    </row>
    <row r="75" spans="1:20" x14ac:dyDescent="0.25">
      <c r="A75" t="str">
        <f>IF('Equipment Information'!A75="","", 'Equipment Information'!A75)</f>
        <v>20260721</v>
      </c>
      <c r="B75" t="str">
        <f>IF('Equipment Information'!B75="","", 'Equipment Information'!B75)</f>
        <v>45 kVA Transformer</v>
      </c>
      <c r="C75" t="str">
        <f>IF('Equipment Information'!C75="","", 'Equipment Information'!C75)</f>
        <v>Receiving Station</v>
      </c>
      <c r="I75" t="str">
        <f t="shared" si="7"/>
        <v/>
      </c>
      <c r="J75" s="3" t="str">
        <f t="shared" si="8"/>
        <v/>
      </c>
      <c r="N75" t="str">
        <f t="shared" si="9"/>
        <v/>
      </c>
      <c r="Q75" s="3" t="str">
        <f t="shared" si="10"/>
        <v/>
      </c>
      <c r="R75" s="3" t="str">
        <f t="shared" si="11"/>
        <v/>
      </c>
      <c r="S75" t="str">
        <f t="shared" si="12"/>
        <v>N/A</v>
      </c>
      <c r="T75" t="str">
        <f t="shared" si="13"/>
        <v>N/A</v>
      </c>
    </row>
    <row r="76" spans="1:20" x14ac:dyDescent="0.25">
      <c r="A76" t="str">
        <f>IF('Equipment Information'!A76="","", 'Equipment Information'!A76)</f>
        <v>20260722</v>
      </c>
      <c r="B76" t="str">
        <f>IF('Equipment Information'!B76="","", 'Equipment Information'!B76)</f>
        <v>45 kVA Transformer Disconnect</v>
      </c>
      <c r="C76" t="str">
        <f>IF('Equipment Information'!C76="","", 'Equipment Information'!C76)</f>
        <v>Receiving Station</v>
      </c>
      <c r="I76" t="str">
        <f t="shared" si="7"/>
        <v/>
      </c>
      <c r="J76" s="3" t="str">
        <f t="shared" si="8"/>
        <v/>
      </c>
      <c r="N76" t="str">
        <f t="shared" si="9"/>
        <v/>
      </c>
      <c r="Q76" s="3" t="str">
        <f t="shared" si="10"/>
        <v/>
      </c>
      <c r="R76" s="3" t="str">
        <f t="shared" si="11"/>
        <v/>
      </c>
      <c r="S76" t="str">
        <f t="shared" si="12"/>
        <v>N/A</v>
      </c>
      <c r="T76" t="str">
        <f t="shared" si="13"/>
        <v>N/A</v>
      </c>
    </row>
    <row r="77" spans="1:20" x14ac:dyDescent="0.25">
      <c r="A77" t="str">
        <f>IF('Equipment Information'!A77="","", 'Equipment Information'!A77)</f>
        <v>20260723</v>
      </c>
      <c r="B77" t="str">
        <f>IF('Equipment Information'!B77="","", 'Equipment Information'!B77)</f>
        <v>Bay 25 480V Outlet Disconnect</v>
      </c>
      <c r="C77" t="str">
        <f>IF('Equipment Information'!C77="","", 'Equipment Information'!C77)</f>
        <v>Receiving Station</v>
      </c>
      <c r="I77" t="str">
        <f t="shared" si="7"/>
        <v/>
      </c>
      <c r="J77" s="3" t="str">
        <f t="shared" si="8"/>
        <v/>
      </c>
      <c r="N77" t="str">
        <f t="shared" si="9"/>
        <v/>
      </c>
      <c r="Q77" s="3" t="str">
        <f t="shared" si="10"/>
        <v/>
      </c>
      <c r="R77" s="3" t="str">
        <f t="shared" si="11"/>
        <v/>
      </c>
      <c r="S77" t="str">
        <f t="shared" si="12"/>
        <v>N/A</v>
      </c>
      <c r="T77" t="str">
        <f t="shared" si="13"/>
        <v>N/A</v>
      </c>
    </row>
    <row r="78" spans="1:20" x14ac:dyDescent="0.25">
      <c r="A78" t="str">
        <f>IF('Equipment Information'!A78="","", 'Equipment Information'!A78)</f>
        <v>20260724</v>
      </c>
      <c r="B78" t="str">
        <f>IF('Equipment Information'!B78="","", 'Equipment Information'!B78)</f>
        <v>Compressor Disconnect</v>
      </c>
      <c r="C78" t="str">
        <f>IF('Equipment Information'!C78="","", 'Equipment Information'!C78)</f>
        <v>Receiving Station</v>
      </c>
      <c r="I78" t="str">
        <f t="shared" si="7"/>
        <v/>
      </c>
      <c r="J78" s="3" t="str">
        <f t="shared" si="8"/>
        <v/>
      </c>
      <c r="N78" t="str">
        <f t="shared" si="9"/>
        <v/>
      </c>
      <c r="Q78" s="3" t="str">
        <f t="shared" si="10"/>
        <v/>
      </c>
      <c r="R78" s="3" t="str">
        <f t="shared" si="11"/>
        <v/>
      </c>
      <c r="S78" t="str">
        <f t="shared" si="12"/>
        <v>N/A</v>
      </c>
      <c r="T78" t="str">
        <f t="shared" si="13"/>
        <v>N/A</v>
      </c>
    </row>
    <row r="79" spans="1:20" x14ac:dyDescent="0.25">
      <c r="A79" t="str">
        <f>IF('Equipment Information'!A79="","", 'Equipment Information'!A79)</f>
        <v>20260725</v>
      </c>
      <c r="B79" t="str">
        <f>IF('Equipment Information'!B79="","", 'Equipment Information'!B79)</f>
        <v>PP1 Transformer Disconnect</v>
      </c>
      <c r="C79" t="str">
        <f>IF('Equipment Information'!C79="","", 'Equipment Information'!C79)</f>
        <v>Receiving Station</v>
      </c>
      <c r="I79" t="str">
        <f t="shared" si="7"/>
        <v/>
      </c>
      <c r="J79" s="3" t="str">
        <f t="shared" si="8"/>
        <v/>
      </c>
      <c r="N79" t="str">
        <f t="shared" si="9"/>
        <v/>
      </c>
      <c r="Q79" s="3" t="str">
        <f t="shared" si="10"/>
        <v/>
      </c>
      <c r="R79" s="3" t="str">
        <f t="shared" si="11"/>
        <v/>
      </c>
      <c r="S79" t="str">
        <f t="shared" si="12"/>
        <v>N/A</v>
      </c>
      <c r="T79" t="str">
        <f t="shared" si="13"/>
        <v>N/A</v>
      </c>
    </row>
    <row r="80" spans="1:20" x14ac:dyDescent="0.25">
      <c r="A80" t="str">
        <f>IF('Equipment Information'!A80="","", 'Equipment Information'!A80)</f>
        <v>20260726</v>
      </c>
      <c r="B80" t="str">
        <f>IF('Equipment Information'!B80="","", 'Equipment Information'!B80)</f>
        <v>PP1 Welding Recept. Disconnect</v>
      </c>
      <c r="C80" t="str">
        <f>IF('Equipment Information'!C80="","", 'Equipment Information'!C80)</f>
        <v>Receiving Station</v>
      </c>
      <c r="I80" t="str">
        <f t="shared" si="7"/>
        <v/>
      </c>
      <c r="J80" s="3" t="str">
        <f t="shared" si="8"/>
        <v/>
      </c>
      <c r="N80" t="str">
        <f t="shared" si="9"/>
        <v/>
      </c>
      <c r="Q80" s="3" t="str">
        <f t="shared" si="10"/>
        <v/>
      </c>
      <c r="R80" s="3" t="str">
        <f t="shared" si="11"/>
        <v/>
      </c>
      <c r="S80" t="str">
        <f t="shared" si="12"/>
        <v>N/A</v>
      </c>
      <c r="T80" t="str">
        <f t="shared" si="13"/>
        <v>N/A</v>
      </c>
    </row>
    <row r="81" spans="1:20" x14ac:dyDescent="0.25">
      <c r="A81" t="str">
        <f>IF('Equipment Information'!A81="","", 'Equipment Information'!A81)</f>
        <v>20260727</v>
      </c>
      <c r="B81" t="str">
        <f>IF('Equipment Information'!B81="","", 'Equipment Information'!B81)</f>
        <v>PP-1</v>
      </c>
      <c r="C81" t="str">
        <f>IF('Equipment Information'!C81="","", 'Equipment Information'!C81)</f>
        <v>Receiving Station</v>
      </c>
      <c r="I81" t="str">
        <f t="shared" si="7"/>
        <v/>
      </c>
      <c r="J81" s="3" t="str">
        <f t="shared" si="8"/>
        <v/>
      </c>
      <c r="N81" t="str">
        <f t="shared" si="9"/>
        <v/>
      </c>
      <c r="Q81" s="3" t="str">
        <f t="shared" si="10"/>
        <v/>
      </c>
      <c r="R81" s="3" t="str">
        <f t="shared" si="11"/>
        <v/>
      </c>
      <c r="S81" t="str">
        <f t="shared" si="12"/>
        <v>N/A</v>
      </c>
      <c r="T81" t="str">
        <f t="shared" si="13"/>
        <v>N/A</v>
      </c>
    </row>
    <row r="82" spans="1:20" x14ac:dyDescent="0.25">
      <c r="A82" t="str">
        <f>IF('Equipment Information'!A82="","", 'Equipment Information'!A82)</f>
        <v>20260728</v>
      </c>
      <c r="B82" t="str">
        <f>IF('Equipment Information'!B82="","", 'Equipment Information'!B82)</f>
        <v>OH XFMR</v>
      </c>
      <c r="C82" t="str">
        <f>IF('Equipment Information'!C82="","", 'Equipment Information'!C82)</f>
        <v>Receiving Station</v>
      </c>
      <c r="I82" t="str">
        <f t="shared" si="7"/>
        <v/>
      </c>
      <c r="J82" s="3" t="str">
        <f t="shared" si="8"/>
        <v/>
      </c>
      <c r="N82" t="str">
        <f t="shared" si="9"/>
        <v/>
      </c>
      <c r="Q82" s="3" t="str">
        <f t="shared" si="10"/>
        <v/>
      </c>
      <c r="R82" s="3" t="str">
        <f t="shared" si="11"/>
        <v/>
      </c>
      <c r="S82" t="str">
        <f t="shared" si="12"/>
        <v>N/A</v>
      </c>
      <c r="T82" t="str">
        <f t="shared" si="13"/>
        <v>N/A</v>
      </c>
    </row>
    <row r="83" spans="1:20" x14ac:dyDescent="0.25">
      <c r="A83" t="str">
        <f>IF('Equipment Information'!A83="","", 'Equipment Information'!A83)</f>
        <v>20260729</v>
      </c>
      <c r="B83" t="str">
        <f>IF('Equipment Information'!B83="","", 'Equipment Information'!B83)</f>
        <v>LP-2</v>
      </c>
      <c r="C83" t="str">
        <f>IF('Equipment Information'!C83="","", 'Equipment Information'!C83)</f>
        <v>Receiving Station</v>
      </c>
      <c r="I83" t="str">
        <f t="shared" si="7"/>
        <v/>
      </c>
      <c r="J83" s="3" t="str">
        <f t="shared" si="8"/>
        <v/>
      </c>
      <c r="N83" t="str">
        <f t="shared" si="9"/>
        <v/>
      </c>
      <c r="Q83" s="3" t="str">
        <f t="shared" si="10"/>
        <v/>
      </c>
      <c r="R83" s="3" t="str">
        <f t="shared" si="11"/>
        <v/>
      </c>
      <c r="S83" t="str">
        <f t="shared" si="12"/>
        <v>N/A</v>
      </c>
      <c r="T83" t="str">
        <f t="shared" si="13"/>
        <v>N/A</v>
      </c>
    </row>
    <row r="84" spans="1:20" x14ac:dyDescent="0.25">
      <c r="A84" t="str">
        <f>IF('Equipment Information'!A84="","", 'Equipment Information'!A84)</f>
        <v>20260730</v>
      </c>
      <c r="B84" t="str">
        <f>IF('Equipment Information'!B84="","", 'Equipment Information'!B84)</f>
        <v>Weld Gutter Disconnect</v>
      </c>
      <c r="C84" t="str">
        <f>IF('Equipment Information'!C84="","", 'Equipment Information'!C84)</f>
        <v>Receiving Station</v>
      </c>
      <c r="I84" t="str">
        <f t="shared" si="7"/>
        <v/>
      </c>
      <c r="J84" s="3" t="str">
        <f t="shared" si="8"/>
        <v/>
      </c>
      <c r="N84" t="str">
        <f t="shared" si="9"/>
        <v/>
      </c>
      <c r="Q84" s="3" t="str">
        <f t="shared" si="10"/>
        <v/>
      </c>
      <c r="R84" s="3" t="str">
        <f t="shared" si="11"/>
        <v/>
      </c>
      <c r="S84" t="str">
        <f t="shared" si="12"/>
        <v>N/A</v>
      </c>
      <c r="T84" t="str">
        <f t="shared" si="13"/>
        <v>N/A</v>
      </c>
    </row>
    <row r="85" spans="1:20" x14ac:dyDescent="0.25">
      <c r="A85" t="str">
        <f>IF('Equipment Information'!A85="","", 'Equipment Information'!A85)</f>
        <v>20260731</v>
      </c>
      <c r="B85" t="str">
        <f>IF('Equipment Information'!B85="","", 'Equipment Information'!B85)</f>
        <v>OH XFMR</v>
      </c>
      <c r="C85" t="str">
        <f>IF('Equipment Information'!C85="","", 'Equipment Information'!C85)</f>
        <v>Receiving Station</v>
      </c>
      <c r="I85" t="str">
        <f t="shared" si="7"/>
        <v/>
      </c>
      <c r="J85" s="3" t="str">
        <f t="shared" si="8"/>
        <v/>
      </c>
      <c r="N85" t="str">
        <f t="shared" si="9"/>
        <v/>
      </c>
      <c r="Q85" s="3" t="str">
        <f t="shared" si="10"/>
        <v/>
      </c>
      <c r="R85" s="3" t="str">
        <f t="shared" si="11"/>
        <v/>
      </c>
      <c r="S85" t="str">
        <f t="shared" si="12"/>
        <v>N/A</v>
      </c>
      <c r="T85" t="str">
        <f t="shared" si="13"/>
        <v>N/A</v>
      </c>
    </row>
    <row r="86" spans="1:20" x14ac:dyDescent="0.25">
      <c r="A86" t="str">
        <f>IF('Equipment Information'!A86="","", 'Equipment Information'!A86)</f>
        <v>20260732</v>
      </c>
      <c r="B86" t="str">
        <f>IF('Equipment Information'!B86="","", 'Equipment Information'!B86)</f>
        <v>Lighting XFMR Disconnect</v>
      </c>
      <c r="C86" t="str">
        <f>IF('Equipment Information'!C86="","", 'Equipment Information'!C86)</f>
        <v>Receiving Station</v>
      </c>
      <c r="I86" t="str">
        <f t="shared" si="7"/>
        <v/>
      </c>
      <c r="J86" s="3" t="str">
        <f t="shared" si="8"/>
        <v/>
      </c>
      <c r="N86" t="str">
        <f t="shared" si="9"/>
        <v/>
      </c>
      <c r="Q86" s="3" t="str">
        <f t="shared" si="10"/>
        <v/>
      </c>
      <c r="R86" s="3" t="str">
        <f t="shared" si="11"/>
        <v/>
      </c>
      <c r="S86" t="str">
        <f t="shared" si="12"/>
        <v>N/A</v>
      </c>
      <c r="T86" t="str">
        <f t="shared" si="13"/>
        <v>N/A</v>
      </c>
    </row>
    <row r="87" spans="1:20" x14ac:dyDescent="0.25">
      <c r="A87" t="str">
        <f>IF('Equipment Information'!A87="","", 'Equipment Information'!A87)</f>
        <v>20260733</v>
      </c>
      <c r="B87" t="str">
        <f>IF('Equipment Information'!B87="","", 'Equipment Information'!B87)</f>
        <v>Pool Pump #6/7 Disconnect</v>
      </c>
      <c r="C87" t="str">
        <f>IF('Equipment Information'!C87="","", 'Equipment Information'!C87)</f>
        <v>Receiving Station</v>
      </c>
      <c r="I87" t="str">
        <f t="shared" si="7"/>
        <v/>
      </c>
      <c r="J87" s="3" t="str">
        <f t="shared" si="8"/>
        <v/>
      </c>
      <c r="N87" t="str">
        <f t="shared" si="9"/>
        <v/>
      </c>
      <c r="Q87" s="3" t="str">
        <f t="shared" si="10"/>
        <v/>
      </c>
      <c r="R87" s="3" t="str">
        <f t="shared" si="11"/>
        <v/>
      </c>
      <c r="S87" t="str">
        <f t="shared" si="12"/>
        <v>N/A</v>
      </c>
      <c r="T87" t="str">
        <f t="shared" si="13"/>
        <v>N/A</v>
      </c>
    </row>
    <row r="88" spans="1:20" x14ac:dyDescent="0.25">
      <c r="A88" t="str">
        <f>IF('Equipment Information'!A88="","", 'Equipment Information'!A88)</f>
        <v>20260734</v>
      </c>
      <c r="B88" t="str">
        <f>IF('Equipment Information'!B88="","", 'Equipment Information'!B88)</f>
        <v>Trash Conveyor Disconnect</v>
      </c>
      <c r="C88" t="str">
        <f>IF('Equipment Information'!C88="","", 'Equipment Information'!C88)</f>
        <v>Receiving Station</v>
      </c>
      <c r="I88" t="str">
        <f t="shared" si="7"/>
        <v/>
      </c>
      <c r="J88" s="3" t="str">
        <f t="shared" si="8"/>
        <v/>
      </c>
      <c r="N88" t="str">
        <f t="shared" si="9"/>
        <v/>
      </c>
      <c r="Q88" s="3" t="str">
        <f t="shared" si="10"/>
        <v/>
      </c>
      <c r="R88" s="3" t="str">
        <f t="shared" si="11"/>
        <v/>
      </c>
      <c r="S88" t="str">
        <f t="shared" si="12"/>
        <v>N/A</v>
      </c>
      <c r="T88" t="str">
        <f t="shared" si="13"/>
        <v>N/A</v>
      </c>
    </row>
    <row r="89" spans="1:20" x14ac:dyDescent="0.25">
      <c r="A89" t="str">
        <f>IF('Equipment Information'!A89="","", 'Equipment Information'!A89)</f>
        <v>20260735</v>
      </c>
      <c r="B89" t="str">
        <f>IF('Equipment Information'!B89="","", 'Equipment Information'!B89)</f>
        <v>Dewatering Table Disconnect</v>
      </c>
      <c r="C89" t="str">
        <f>IF('Equipment Information'!C89="","", 'Equipment Information'!C89)</f>
        <v>Receiving Station</v>
      </c>
      <c r="I89" t="str">
        <f t="shared" si="7"/>
        <v/>
      </c>
      <c r="J89" s="3" t="str">
        <f t="shared" si="8"/>
        <v/>
      </c>
      <c r="N89" t="str">
        <f t="shared" si="9"/>
        <v/>
      </c>
      <c r="Q89" s="3" t="str">
        <f t="shared" si="10"/>
        <v/>
      </c>
      <c r="R89" s="3" t="str">
        <f t="shared" si="11"/>
        <v/>
      </c>
      <c r="S89" t="str">
        <f t="shared" si="12"/>
        <v>N/A</v>
      </c>
      <c r="T89" t="str">
        <f t="shared" si="13"/>
        <v>N/A</v>
      </c>
    </row>
    <row r="90" spans="1:20" x14ac:dyDescent="0.25">
      <c r="A90" t="str">
        <f>IF('Equipment Information'!A90="","", 'Equipment Information'!A90)</f>
        <v>20260736</v>
      </c>
      <c r="B90" t="str">
        <f>IF('Equipment Information'!B90="","", 'Equipment Information'!B90)</f>
        <v>Recycling Pump Disconnect</v>
      </c>
      <c r="C90" t="str">
        <f>IF('Equipment Information'!C90="","", 'Equipment Information'!C90)</f>
        <v>Receiving Station</v>
      </c>
      <c r="I90" t="str">
        <f t="shared" si="7"/>
        <v/>
      </c>
      <c r="J90" s="3" t="str">
        <f t="shared" si="8"/>
        <v/>
      </c>
      <c r="N90" t="str">
        <f t="shared" si="9"/>
        <v/>
      </c>
      <c r="Q90" s="3" t="str">
        <f t="shared" si="10"/>
        <v/>
      </c>
      <c r="R90" s="3" t="str">
        <f t="shared" si="11"/>
        <v/>
      </c>
      <c r="S90" t="str">
        <f t="shared" si="12"/>
        <v>N/A</v>
      </c>
      <c r="T90" t="str">
        <f t="shared" si="13"/>
        <v>N/A</v>
      </c>
    </row>
    <row r="91" spans="1:20" x14ac:dyDescent="0.25">
      <c r="A91" t="str">
        <f>IF('Equipment Information'!A91="","", 'Equipment Information'!A91)</f>
        <v>20260737</v>
      </c>
      <c r="B91" t="str">
        <f>IF('Equipment Information'!B91="","", 'Equipment Information'!B91)</f>
        <v>Trash Conveyor Starter</v>
      </c>
      <c r="C91" t="str">
        <f>IF('Equipment Information'!C91="","", 'Equipment Information'!C91)</f>
        <v>Receiving Station</v>
      </c>
      <c r="I91" t="str">
        <f t="shared" si="7"/>
        <v/>
      </c>
      <c r="J91" s="3" t="str">
        <f t="shared" si="8"/>
        <v/>
      </c>
      <c r="N91" t="str">
        <f t="shared" si="9"/>
        <v/>
      </c>
      <c r="Q91" s="3" t="str">
        <f t="shared" si="10"/>
        <v/>
      </c>
      <c r="R91" s="3" t="str">
        <f t="shared" si="11"/>
        <v/>
      </c>
      <c r="S91" t="str">
        <f t="shared" si="12"/>
        <v>N/A</v>
      </c>
      <c r="T91" t="str">
        <f t="shared" si="13"/>
        <v>N/A</v>
      </c>
    </row>
    <row r="92" spans="1:20" x14ac:dyDescent="0.25">
      <c r="A92" t="str">
        <f>IF('Equipment Information'!A92="","", 'Equipment Information'!A92)</f>
        <v>20260738</v>
      </c>
      <c r="B92" t="str">
        <f>IF('Equipment Information'!B92="","", 'Equipment Information'!B92)</f>
        <v>Dewatering Table Starter</v>
      </c>
      <c r="C92" t="str">
        <f>IF('Equipment Information'!C92="","", 'Equipment Information'!C92)</f>
        <v>Receiving Station</v>
      </c>
      <c r="I92" t="str">
        <f t="shared" si="7"/>
        <v/>
      </c>
      <c r="J92" s="3" t="str">
        <f t="shared" si="8"/>
        <v/>
      </c>
      <c r="N92" t="str">
        <f t="shared" si="9"/>
        <v/>
      </c>
      <c r="Q92" s="3" t="str">
        <f t="shared" si="10"/>
        <v/>
      </c>
      <c r="R92" s="3" t="str">
        <f t="shared" si="11"/>
        <v/>
      </c>
      <c r="S92" t="str">
        <f t="shared" si="12"/>
        <v>N/A</v>
      </c>
      <c r="T92" t="str">
        <f t="shared" si="13"/>
        <v>N/A</v>
      </c>
    </row>
    <row r="93" spans="1:20" x14ac:dyDescent="0.25">
      <c r="A93" t="str">
        <f>IF('Equipment Information'!A93="","", 'Equipment Information'!A93)</f>
        <v>20260739</v>
      </c>
      <c r="B93" t="str">
        <f>IF('Equipment Information'!B93="","", 'Equipment Information'!B93)</f>
        <v>CIP System #2</v>
      </c>
      <c r="C93" t="str">
        <f>IF('Equipment Information'!C93="","", 'Equipment Information'!C93)</f>
        <v>Production Area</v>
      </c>
      <c r="I93" t="str">
        <f t="shared" si="7"/>
        <v/>
      </c>
      <c r="J93" s="3" t="str">
        <f t="shared" si="8"/>
        <v/>
      </c>
      <c r="N93" t="str">
        <f t="shared" si="9"/>
        <v/>
      </c>
      <c r="Q93" s="3" t="str">
        <f t="shared" si="10"/>
        <v/>
      </c>
      <c r="R93" s="3" t="str">
        <f t="shared" si="11"/>
        <v/>
      </c>
      <c r="S93" t="str">
        <f t="shared" si="12"/>
        <v>N/A</v>
      </c>
      <c r="T93" t="str">
        <f t="shared" si="13"/>
        <v>N/A</v>
      </c>
    </row>
    <row r="94" spans="1:20" x14ac:dyDescent="0.25">
      <c r="A94" t="str">
        <f>IF('Equipment Information'!A94="","", 'Equipment Information'!A94)</f>
        <v>20260740</v>
      </c>
      <c r="B94" t="str">
        <f>IF('Equipment Information'!B94="","", 'Equipment Information'!B94)</f>
        <v>BD1</v>
      </c>
      <c r="C94" t="str">
        <f>IF('Equipment Information'!C94="","", 'Equipment Information'!C94)</f>
        <v>Production Area</v>
      </c>
      <c r="I94" t="str">
        <f t="shared" si="7"/>
        <v/>
      </c>
      <c r="J94" s="3" t="str">
        <f t="shared" si="8"/>
        <v/>
      </c>
      <c r="N94" t="str">
        <f t="shared" si="9"/>
        <v/>
      </c>
      <c r="Q94" s="3" t="str">
        <f t="shared" si="10"/>
        <v/>
      </c>
      <c r="R94" s="3" t="str">
        <f t="shared" si="11"/>
        <v/>
      </c>
      <c r="S94" t="str">
        <f t="shared" si="12"/>
        <v>N/A</v>
      </c>
      <c r="T94" t="str">
        <f t="shared" si="13"/>
        <v>N/A</v>
      </c>
    </row>
    <row r="95" spans="1:20" x14ac:dyDescent="0.25">
      <c r="A95" t="str">
        <f>IF('Equipment Information'!A95="","", 'Equipment Information'!A95)</f>
        <v>20260741</v>
      </c>
      <c r="B95" t="str">
        <f>IF('Equipment Information'!B95="","", 'Equipment Information'!B95)</f>
        <v>SLS-19</v>
      </c>
      <c r="C95" t="str">
        <f>IF('Equipment Information'!C95="","", 'Equipment Information'!C95)</f>
        <v>Production Area</v>
      </c>
      <c r="I95" t="str">
        <f t="shared" si="7"/>
        <v/>
      </c>
      <c r="J95" s="3" t="str">
        <f t="shared" si="8"/>
        <v/>
      </c>
      <c r="N95" t="str">
        <f t="shared" si="9"/>
        <v/>
      </c>
      <c r="Q95" s="3" t="str">
        <f t="shared" si="10"/>
        <v/>
      </c>
      <c r="R95" s="3" t="str">
        <f t="shared" si="11"/>
        <v/>
      </c>
      <c r="S95" t="str">
        <f t="shared" si="12"/>
        <v>N/A</v>
      </c>
      <c r="T95" t="str">
        <f t="shared" si="13"/>
        <v>N/A</v>
      </c>
    </row>
    <row r="96" spans="1:20" x14ac:dyDescent="0.25">
      <c r="A96" t="str">
        <f>IF('Equipment Information'!A96="","", 'Equipment Information'!A96)</f>
        <v>20260742</v>
      </c>
      <c r="B96" t="str">
        <f>IF('Equipment Information'!B96="","", 'Equipment Information'!B96)</f>
        <v>SPX</v>
      </c>
      <c r="C96" t="str">
        <f>IF('Equipment Information'!C96="","", 'Equipment Information'!C96)</f>
        <v>Production Area</v>
      </c>
      <c r="I96" t="str">
        <f t="shared" si="7"/>
        <v/>
      </c>
      <c r="J96" s="3" t="str">
        <f t="shared" si="8"/>
        <v/>
      </c>
      <c r="N96" t="str">
        <f t="shared" si="9"/>
        <v/>
      </c>
      <c r="Q96" s="3" t="str">
        <f t="shared" si="10"/>
        <v/>
      </c>
      <c r="R96" s="3" t="str">
        <f t="shared" si="11"/>
        <v/>
      </c>
      <c r="S96" t="str">
        <f t="shared" si="12"/>
        <v>N/A</v>
      </c>
      <c r="T96" t="str">
        <f t="shared" si="13"/>
        <v>N/A</v>
      </c>
    </row>
    <row r="97" spans="1:20" x14ac:dyDescent="0.25">
      <c r="A97" t="str">
        <f>IF('Equipment Information'!A97="","", 'Equipment Information'!A97)</f>
        <v>20260743</v>
      </c>
      <c r="B97" t="str">
        <f>IF('Equipment Information'!B97="","", 'Equipment Information'!B97)</f>
        <v>MCC #4 [Sec.1]</v>
      </c>
      <c r="C97" t="str">
        <f>IF('Equipment Information'!C97="","", 'Equipment Information'!C97)</f>
        <v>Production Area</v>
      </c>
      <c r="I97" t="str">
        <f t="shared" si="7"/>
        <v/>
      </c>
      <c r="J97" s="3" t="str">
        <f t="shared" si="8"/>
        <v/>
      </c>
      <c r="N97" t="str">
        <f t="shared" si="9"/>
        <v/>
      </c>
      <c r="Q97" s="3" t="str">
        <f t="shared" si="10"/>
        <v/>
      </c>
      <c r="R97" s="3" t="str">
        <f t="shared" si="11"/>
        <v/>
      </c>
      <c r="S97" t="str">
        <f t="shared" si="12"/>
        <v>N/A</v>
      </c>
      <c r="T97" t="str">
        <f t="shared" si="13"/>
        <v>N/A</v>
      </c>
    </row>
    <row r="98" spans="1:20" x14ac:dyDescent="0.25">
      <c r="A98" t="str">
        <f>IF('Equipment Information'!A98="","", 'Equipment Information'!A98)</f>
        <v>20260744</v>
      </c>
      <c r="B98" t="str">
        <f>IF('Equipment Information'!B98="","", 'Equipment Information'!B98)</f>
        <v>MCC #4 [Sec.2]</v>
      </c>
      <c r="C98" t="str">
        <f>IF('Equipment Information'!C98="","", 'Equipment Information'!C98)</f>
        <v>Production Area</v>
      </c>
      <c r="I98" t="str">
        <f t="shared" si="7"/>
        <v/>
      </c>
      <c r="J98" s="3" t="str">
        <f t="shared" si="8"/>
        <v/>
      </c>
      <c r="N98" t="str">
        <f t="shared" si="9"/>
        <v/>
      </c>
      <c r="Q98" s="3" t="str">
        <f t="shared" si="10"/>
        <v/>
      </c>
      <c r="R98" s="3" t="str">
        <f t="shared" si="11"/>
        <v/>
      </c>
      <c r="S98" t="str">
        <f t="shared" si="12"/>
        <v>N/A</v>
      </c>
      <c r="T98" t="str">
        <f t="shared" si="13"/>
        <v>N/A</v>
      </c>
    </row>
    <row r="99" spans="1:20" x14ac:dyDescent="0.25">
      <c r="A99" t="str">
        <f>IF('Equipment Information'!A99="","", 'Equipment Information'!A99)</f>
        <v>20260745</v>
      </c>
      <c r="B99" t="str">
        <f>IF('Equipment Information'!B99="","", 'Equipment Information'!B99)</f>
        <v>MCC #4 [Sec.3]</v>
      </c>
      <c r="C99" t="str">
        <f>IF('Equipment Information'!C99="","", 'Equipment Information'!C99)</f>
        <v>Production Area</v>
      </c>
      <c r="I99" t="str">
        <f t="shared" si="7"/>
        <v/>
      </c>
      <c r="J99" s="3" t="str">
        <f t="shared" si="8"/>
        <v/>
      </c>
      <c r="N99" t="str">
        <f t="shared" si="9"/>
        <v/>
      </c>
      <c r="Q99" s="3" t="str">
        <f t="shared" si="10"/>
        <v/>
      </c>
      <c r="R99" s="3" t="str">
        <f t="shared" si="11"/>
        <v/>
      </c>
      <c r="S99" t="str">
        <f t="shared" si="12"/>
        <v>N/A</v>
      </c>
      <c r="T99" t="str">
        <f t="shared" si="13"/>
        <v>N/A</v>
      </c>
    </row>
    <row r="100" spans="1:20" x14ac:dyDescent="0.25">
      <c r="A100" t="str">
        <f>IF('Equipment Information'!A100="","", 'Equipment Information'!A100)</f>
        <v>20260746</v>
      </c>
      <c r="B100" t="str">
        <f>IF('Equipment Information'!B100="","", 'Equipment Information'!B100)</f>
        <v>CP-Evap. #1 Disconnect</v>
      </c>
      <c r="C100" t="str">
        <f>IF('Equipment Information'!C100="","", 'Equipment Information'!C100)</f>
        <v>Production Area</v>
      </c>
      <c r="I100" t="str">
        <f t="shared" si="7"/>
        <v/>
      </c>
      <c r="J100" s="3" t="str">
        <f t="shared" si="8"/>
        <v/>
      </c>
      <c r="N100" t="str">
        <f t="shared" si="9"/>
        <v/>
      </c>
      <c r="Q100" s="3" t="str">
        <f t="shared" si="10"/>
        <v/>
      </c>
      <c r="R100" s="3" t="str">
        <f t="shared" si="11"/>
        <v/>
      </c>
      <c r="S100" t="str">
        <f t="shared" si="12"/>
        <v>N/A</v>
      </c>
      <c r="T100" t="str">
        <f t="shared" si="13"/>
        <v>N/A</v>
      </c>
    </row>
    <row r="101" spans="1:20" x14ac:dyDescent="0.25">
      <c r="A101" t="str">
        <f>IF('Equipment Information'!A101="","", 'Equipment Information'!A101)</f>
        <v>20260747</v>
      </c>
      <c r="B101" t="str">
        <f>IF('Equipment Information'!B101="","", 'Equipment Information'!B101)</f>
        <v>Evaporator #1 [Sec. 1]</v>
      </c>
      <c r="C101" t="str">
        <f>IF('Equipment Information'!C101="","", 'Equipment Information'!C101)</f>
        <v>Production Area</v>
      </c>
      <c r="I101" t="str">
        <f t="shared" si="7"/>
        <v/>
      </c>
      <c r="J101" s="3" t="str">
        <f t="shared" si="8"/>
        <v/>
      </c>
      <c r="N101" t="str">
        <f t="shared" si="9"/>
        <v/>
      </c>
      <c r="Q101" s="3" t="str">
        <f t="shared" si="10"/>
        <v/>
      </c>
      <c r="R101" s="3" t="str">
        <f t="shared" si="11"/>
        <v/>
      </c>
      <c r="S101" t="str">
        <f t="shared" si="12"/>
        <v>N/A</v>
      </c>
      <c r="T101" t="str">
        <f t="shared" si="13"/>
        <v>N/A</v>
      </c>
    </row>
    <row r="102" spans="1:20" x14ac:dyDescent="0.25">
      <c r="A102" t="str">
        <f>IF('Equipment Information'!A102="","", 'Equipment Information'!A102)</f>
        <v>20260748</v>
      </c>
      <c r="B102" t="str">
        <f>IF('Equipment Information'!B102="","", 'Equipment Information'!B102)</f>
        <v>Evaporator #1 [Sec. 2]</v>
      </c>
      <c r="C102" t="str">
        <f>IF('Equipment Information'!C102="","", 'Equipment Information'!C102)</f>
        <v>Production Area</v>
      </c>
      <c r="I102" t="str">
        <f t="shared" si="7"/>
        <v/>
      </c>
      <c r="J102" s="3" t="str">
        <f t="shared" si="8"/>
        <v/>
      </c>
      <c r="N102" t="str">
        <f t="shared" si="9"/>
        <v/>
      </c>
      <c r="Q102" s="3" t="str">
        <f t="shared" si="10"/>
        <v/>
      </c>
      <c r="R102" s="3" t="str">
        <f t="shared" si="11"/>
        <v/>
      </c>
      <c r="S102" t="str">
        <f t="shared" si="12"/>
        <v>N/A</v>
      </c>
      <c r="T102" t="str">
        <f t="shared" si="13"/>
        <v>N/A</v>
      </c>
    </row>
    <row r="103" spans="1:20" x14ac:dyDescent="0.25">
      <c r="A103" t="str">
        <f>IF('Equipment Information'!A103="","", 'Equipment Information'!A103)</f>
        <v>20260749</v>
      </c>
      <c r="B103" t="str">
        <f>IF('Equipment Information'!B103="","", 'Equipment Information'!B103)</f>
        <v xml:space="preserve">Pig Systems </v>
      </c>
      <c r="C103" t="str">
        <f>IF('Equipment Information'!C103="","", 'Equipment Information'!C103)</f>
        <v>Production Area</v>
      </c>
      <c r="I103" t="str">
        <f t="shared" si="7"/>
        <v/>
      </c>
      <c r="J103" s="3" t="str">
        <f t="shared" si="8"/>
        <v/>
      </c>
      <c r="N103" t="str">
        <f t="shared" si="9"/>
        <v/>
      </c>
      <c r="Q103" s="3" t="str">
        <f t="shared" si="10"/>
        <v/>
      </c>
      <c r="R103" s="3" t="str">
        <f t="shared" si="11"/>
        <v/>
      </c>
      <c r="S103" t="str">
        <f t="shared" si="12"/>
        <v>N/A</v>
      </c>
      <c r="T103" t="str">
        <f t="shared" si="13"/>
        <v>N/A</v>
      </c>
    </row>
    <row r="104" spans="1:20" x14ac:dyDescent="0.25">
      <c r="A104" t="str">
        <f>IF('Equipment Information'!A104="","", 'Equipment Information'!A104)</f>
        <v>20260750</v>
      </c>
      <c r="B104" t="str">
        <f>IF('Equipment Information'!B104="","", 'Equipment Information'!B104)</f>
        <v>CP-Silo Alley</v>
      </c>
      <c r="C104" t="str">
        <f>IF('Equipment Information'!C104="","", 'Equipment Information'!C104)</f>
        <v>Production Area</v>
      </c>
      <c r="I104" t="str">
        <f t="shared" si="7"/>
        <v/>
      </c>
      <c r="J104" s="3" t="str">
        <f t="shared" si="8"/>
        <v/>
      </c>
      <c r="N104" t="str">
        <f t="shared" si="9"/>
        <v/>
      </c>
      <c r="Q104" s="3" t="str">
        <f t="shared" si="10"/>
        <v/>
      </c>
      <c r="R104" s="3" t="str">
        <f t="shared" si="11"/>
        <v/>
      </c>
      <c r="S104" t="str">
        <f t="shared" si="12"/>
        <v>N/A</v>
      </c>
      <c r="T104" t="str">
        <f t="shared" si="13"/>
        <v>N/A</v>
      </c>
    </row>
    <row r="105" spans="1:20" x14ac:dyDescent="0.25">
      <c r="A105" t="str">
        <f>IF('Equipment Information'!A105="","", 'Equipment Information'!A105)</f>
        <v>20260751</v>
      </c>
      <c r="B105" t="str">
        <f>IF('Equipment Information'!B105="","", 'Equipment Information'!B105)</f>
        <v>RO-1</v>
      </c>
      <c r="C105" t="str">
        <f>IF('Equipment Information'!C105="","", 'Equipment Information'!C105)</f>
        <v>Production Area</v>
      </c>
      <c r="I105" t="str">
        <f t="shared" si="7"/>
        <v/>
      </c>
      <c r="J105" s="3" t="str">
        <f t="shared" si="8"/>
        <v/>
      </c>
      <c r="N105" t="str">
        <f t="shared" si="9"/>
        <v/>
      </c>
      <c r="Q105" s="3" t="str">
        <f t="shared" si="10"/>
        <v/>
      </c>
      <c r="R105" s="3" t="str">
        <f t="shared" si="11"/>
        <v/>
      </c>
      <c r="S105" t="str">
        <f t="shared" si="12"/>
        <v>N/A</v>
      </c>
      <c r="T105" t="str">
        <f t="shared" si="13"/>
        <v>N/A</v>
      </c>
    </row>
    <row r="106" spans="1:20" x14ac:dyDescent="0.25">
      <c r="A106" t="str">
        <f>IF('Equipment Information'!A106="","", 'Equipment Information'!A106)</f>
        <v>20260752</v>
      </c>
      <c r="B106" t="str">
        <f>IF('Equipment Information'!B106="","", 'Equipment Information'!B106)</f>
        <v>KOCH Sytems Controller</v>
      </c>
      <c r="C106" t="str">
        <f>IF('Equipment Information'!C106="","", 'Equipment Information'!C106)</f>
        <v>Production Area</v>
      </c>
      <c r="I106" t="str">
        <f t="shared" si="7"/>
        <v/>
      </c>
      <c r="J106" s="3" t="str">
        <f t="shared" si="8"/>
        <v/>
      </c>
      <c r="N106" t="str">
        <f t="shared" si="9"/>
        <v/>
      </c>
      <c r="Q106" s="3" t="str">
        <f t="shared" si="10"/>
        <v/>
      </c>
      <c r="R106" s="3" t="str">
        <f t="shared" si="11"/>
        <v/>
      </c>
      <c r="S106" t="str">
        <f t="shared" si="12"/>
        <v>N/A</v>
      </c>
      <c r="T106" t="str">
        <f t="shared" si="13"/>
        <v>N/A</v>
      </c>
    </row>
    <row r="107" spans="1:20" x14ac:dyDescent="0.25">
      <c r="A107" t="str">
        <f>IF('Equipment Information'!A107="","", 'Equipment Information'!A107)</f>
        <v>20260753</v>
      </c>
      <c r="B107" t="str">
        <f>IF('Equipment Information'!B107="","", 'Equipment Information'!B107)</f>
        <v>KOCH Sytems Controls</v>
      </c>
      <c r="C107" t="str">
        <f>IF('Equipment Information'!C107="","", 'Equipment Information'!C107)</f>
        <v>Production Area</v>
      </c>
      <c r="I107" t="str">
        <f t="shared" si="7"/>
        <v/>
      </c>
      <c r="J107" s="3" t="str">
        <f t="shared" si="8"/>
        <v/>
      </c>
      <c r="N107" t="str">
        <f t="shared" si="9"/>
        <v/>
      </c>
      <c r="Q107" s="3" t="str">
        <f t="shared" si="10"/>
        <v/>
      </c>
      <c r="R107" s="3" t="str">
        <f t="shared" si="11"/>
        <v/>
      </c>
      <c r="S107" t="str">
        <f t="shared" si="12"/>
        <v>N/A</v>
      </c>
      <c r="T107" t="str">
        <f t="shared" si="13"/>
        <v>N/A</v>
      </c>
    </row>
    <row r="108" spans="1:20" x14ac:dyDescent="0.25">
      <c r="A108" t="str">
        <f>IF('Equipment Information'!A108="","", 'Equipment Information'!A108)</f>
        <v>20260754</v>
      </c>
      <c r="B108" t="str">
        <f>IF('Equipment Information'!B108="","", 'Equipment Information'!B108)</f>
        <v>Evaporator #3</v>
      </c>
      <c r="C108" t="str">
        <f>IF('Equipment Information'!C108="","", 'Equipment Information'!C108)</f>
        <v>Production Area</v>
      </c>
      <c r="I108" t="str">
        <f t="shared" si="7"/>
        <v/>
      </c>
      <c r="J108" s="3" t="str">
        <f t="shared" si="8"/>
        <v/>
      </c>
      <c r="N108" t="str">
        <f t="shared" si="9"/>
        <v/>
      </c>
      <c r="Q108" s="3" t="str">
        <f t="shared" si="10"/>
        <v/>
      </c>
      <c r="R108" s="3" t="str">
        <f t="shared" si="11"/>
        <v/>
      </c>
      <c r="S108" t="str">
        <f t="shared" si="12"/>
        <v>N/A</v>
      </c>
      <c r="T108" t="str">
        <f t="shared" si="13"/>
        <v>N/A</v>
      </c>
    </row>
    <row r="109" spans="1:20" x14ac:dyDescent="0.25">
      <c r="A109" t="str">
        <f>IF('Equipment Information'!A109="","", 'Equipment Information'!A109)</f>
        <v>20260755</v>
      </c>
      <c r="B109" t="str">
        <f>IF('Equipment Information'!B109="","", 'Equipment Information'!B109)</f>
        <v>CP-Evap. #3 Disconnect</v>
      </c>
      <c r="C109" t="str">
        <f>IF('Equipment Information'!C109="","", 'Equipment Information'!C109)</f>
        <v>Production Area</v>
      </c>
      <c r="I109" t="str">
        <f t="shared" si="7"/>
        <v/>
      </c>
      <c r="J109" s="3" t="str">
        <f t="shared" si="8"/>
        <v/>
      </c>
      <c r="N109" t="str">
        <f t="shared" si="9"/>
        <v/>
      </c>
      <c r="Q109" s="3" t="str">
        <f t="shared" si="10"/>
        <v/>
      </c>
      <c r="R109" s="3" t="str">
        <f t="shared" si="11"/>
        <v/>
      </c>
      <c r="S109" t="str">
        <f t="shared" si="12"/>
        <v>N/A</v>
      </c>
      <c r="T109" t="str">
        <f t="shared" si="13"/>
        <v>N/A</v>
      </c>
    </row>
    <row r="110" spans="1:20" x14ac:dyDescent="0.25">
      <c r="A110" t="str">
        <f>IF('Equipment Information'!A110="","", 'Equipment Information'!A110)</f>
        <v>20260756</v>
      </c>
      <c r="B110" t="str">
        <f>IF('Equipment Information'!B110="","", 'Equipment Information'!B110)</f>
        <v>CP-DTS Sub Line #1 [Sec. 1]</v>
      </c>
      <c r="C110" t="str">
        <f>IF('Equipment Information'!C110="","", 'Equipment Information'!C110)</f>
        <v>Production Area</v>
      </c>
      <c r="I110" t="str">
        <f t="shared" si="7"/>
        <v/>
      </c>
      <c r="J110" s="3" t="str">
        <f t="shared" si="8"/>
        <v/>
      </c>
      <c r="N110" t="str">
        <f t="shared" si="9"/>
        <v/>
      </c>
      <c r="Q110" s="3" t="str">
        <f t="shared" si="10"/>
        <v/>
      </c>
      <c r="R110" s="3" t="str">
        <f t="shared" si="11"/>
        <v/>
      </c>
      <c r="S110" t="str">
        <f t="shared" si="12"/>
        <v>N/A</v>
      </c>
      <c r="T110" t="str">
        <f t="shared" si="13"/>
        <v>N/A</v>
      </c>
    </row>
    <row r="111" spans="1:20" x14ac:dyDescent="0.25">
      <c r="A111" t="str">
        <f>IF('Equipment Information'!A111="","", 'Equipment Information'!A111)</f>
        <v>20260757</v>
      </c>
      <c r="B111" t="str">
        <f>IF('Equipment Information'!B111="","", 'Equipment Information'!B111)</f>
        <v>CP-DTS Sub Line #1 [Sec. 2]</v>
      </c>
      <c r="C111" t="str">
        <f>IF('Equipment Information'!C111="","", 'Equipment Information'!C111)</f>
        <v>Production Area</v>
      </c>
      <c r="I111" t="str">
        <f t="shared" si="7"/>
        <v/>
      </c>
      <c r="J111" s="3" t="str">
        <f t="shared" si="8"/>
        <v/>
      </c>
      <c r="N111" t="str">
        <f t="shared" si="9"/>
        <v/>
      </c>
      <c r="Q111" s="3" t="str">
        <f t="shared" si="10"/>
        <v/>
      </c>
      <c r="R111" s="3" t="str">
        <f t="shared" si="11"/>
        <v/>
      </c>
      <c r="S111" t="str">
        <f t="shared" si="12"/>
        <v>N/A</v>
      </c>
      <c r="T111" t="str">
        <f t="shared" si="13"/>
        <v>N/A</v>
      </c>
    </row>
    <row r="112" spans="1:20" x14ac:dyDescent="0.25">
      <c r="A112" t="str">
        <f>IF('Equipment Information'!A112="","", 'Equipment Information'!A112)</f>
        <v>20260758</v>
      </c>
      <c r="B112" t="str">
        <f>IF('Equipment Information'!B112="","", 'Equipment Information'!B112)</f>
        <v>CP-DTS Sub Line #1 [Sec. 3]</v>
      </c>
      <c r="C112" t="str">
        <f>IF('Equipment Information'!C112="","", 'Equipment Information'!C112)</f>
        <v>Production Area</v>
      </c>
      <c r="I112" t="str">
        <f t="shared" si="7"/>
        <v/>
      </c>
      <c r="J112" s="3" t="str">
        <f t="shared" si="8"/>
        <v/>
      </c>
      <c r="N112" t="str">
        <f t="shared" si="9"/>
        <v/>
      </c>
      <c r="Q112" s="3" t="str">
        <f t="shared" si="10"/>
        <v/>
      </c>
      <c r="R112" s="3" t="str">
        <f t="shared" si="11"/>
        <v/>
      </c>
      <c r="S112" t="str">
        <f t="shared" si="12"/>
        <v>N/A</v>
      </c>
      <c r="T112" t="str">
        <f t="shared" si="13"/>
        <v>N/A</v>
      </c>
    </row>
    <row r="113" spans="1:20" x14ac:dyDescent="0.25">
      <c r="A113" t="str">
        <f>IF('Equipment Information'!A113="","", 'Equipment Information'!A113)</f>
        <v>20260759</v>
      </c>
      <c r="B113" t="str">
        <f>IF('Equipment Information'!B113="","", 'Equipment Information'!B113)</f>
        <v>DP-1</v>
      </c>
      <c r="C113" t="str">
        <f>IF('Equipment Information'!C113="","", 'Equipment Information'!C113)</f>
        <v>Production Area</v>
      </c>
      <c r="I113" t="str">
        <f t="shared" si="7"/>
        <v/>
      </c>
      <c r="J113" s="3" t="str">
        <f t="shared" si="8"/>
        <v/>
      </c>
      <c r="N113" t="str">
        <f t="shared" si="9"/>
        <v/>
      </c>
      <c r="Q113" s="3" t="str">
        <f t="shared" si="10"/>
        <v/>
      </c>
      <c r="R113" s="3" t="str">
        <f t="shared" si="11"/>
        <v/>
      </c>
      <c r="S113" t="str">
        <f t="shared" si="12"/>
        <v>N/A</v>
      </c>
      <c r="T113" t="str">
        <f t="shared" si="13"/>
        <v>N/A</v>
      </c>
    </row>
    <row r="114" spans="1:20" x14ac:dyDescent="0.25">
      <c r="A114" t="str">
        <f>IF('Equipment Information'!A114="","", 'Equipment Information'!A114)</f>
        <v>20260760</v>
      </c>
      <c r="B114" t="str">
        <f>IF('Equipment Information'!B114="","", 'Equipment Information'!B114)</f>
        <v>P-1</v>
      </c>
      <c r="C114" t="str">
        <f>IF('Equipment Information'!C114="","", 'Equipment Information'!C114)</f>
        <v>Production Area</v>
      </c>
      <c r="I114" t="str">
        <f t="shared" si="7"/>
        <v/>
      </c>
      <c r="J114" s="3" t="str">
        <f t="shared" si="8"/>
        <v/>
      </c>
      <c r="N114" t="str">
        <f t="shared" si="9"/>
        <v/>
      </c>
      <c r="Q114" s="3" t="str">
        <f t="shared" si="10"/>
        <v/>
      </c>
      <c r="R114" s="3" t="str">
        <f t="shared" si="11"/>
        <v/>
      </c>
      <c r="S114" t="str">
        <f t="shared" si="12"/>
        <v>N/A</v>
      </c>
      <c r="T114" t="str">
        <f t="shared" si="13"/>
        <v>N/A</v>
      </c>
    </row>
    <row r="115" spans="1:20" x14ac:dyDescent="0.25">
      <c r="A115" t="str">
        <f>IF('Equipment Information'!A115="","", 'Equipment Information'!A115)</f>
        <v>20260761</v>
      </c>
      <c r="B115" t="str">
        <f>IF('Equipment Information'!B115="","", 'Equipment Information'!B115)</f>
        <v>FS-Slice Line</v>
      </c>
      <c r="C115" t="str">
        <f>IF('Equipment Information'!C115="","", 'Equipment Information'!C115)</f>
        <v>Production Area</v>
      </c>
      <c r="I115" t="str">
        <f t="shared" si="7"/>
        <v/>
      </c>
      <c r="J115" s="3" t="str">
        <f t="shared" si="8"/>
        <v/>
      </c>
      <c r="N115" t="str">
        <f t="shared" si="9"/>
        <v/>
      </c>
      <c r="Q115" s="3" t="str">
        <f t="shared" si="10"/>
        <v/>
      </c>
      <c r="R115" s="3" t="str">
        <f t="shared" si="11"/>
        <v/>
      </c>
      <c r="S115" t="str">
        <f t="shared" si="12"/>
        <v>N/A</v>
      </c>
      <c r="T115" t="str">
        <f t="shared" si="13"/>
        <v>N/A</v>
      </c>
    </row>
    <row r="116" spans="1:20" x14ac:dyDescent="0.25">
      <c r="A116" t="str">
        <f>IF('Equipment Information'!A116="","", 'Equipment Information'!A116)</f>
        <v>20260762</v>
      </c>
      <c r="B116" t="str">
        <f>IF('Equipment Information'!B116="","", 'Equipment Information'!B116)</f>
        <v>OH XFMR</v>
      </c>
      <c r="C116" t="str">
        <f>IF('Equipment Information'!C116="","", 'Equipment Information'!C116)</f>
        <v>Production Area</v>
      </c>
      <c r="I116" t="str">
        <f t="shared" si="7"/>
        <v/>
      </c>
      <c r="J116" s="3" t="str">
        <f t="shared" si="8"/>
        <v/>
      </c>
      <c r="N116" t="str">
        <f t="shared" si="9"/>
        <v/>
      </c>
      <c r="Q116" s="3" t="str">
        <f t="shared" si="10"/>
        <v/>
      </c>
      <c r="R116" s="3" t="str">
        <f t="shared" si="11"/>
        <v/>
      </c>
      <c r="S116" t="str">
        <f t="shared" si="12"/>
        <v>N/A</v>
      </c>
      <c r="T116" t="str">
        <f t="shared" si="13"/>
        <v>N/A</v>
      </c>
    </row>
    <row r="117" spans="1:20" x14ac:dyDescent="0.25">
      <c r="A117" t="str">
        <f>IF('Equipment Information'!A117="","", 'Equipment Information'!A117)</f>
        <v>20260763</v>
      </c>
      <c r="B117" t="str">
        <f>IF('Equipment Information'!B117="","", 'Equipment Information'!B117)</f>
        <v>CP-1 [Sec. 1]</v>
      </c>
      <c r="C117" t="str">
        <f>IF('Equipment Information'!C117="","", 'Equipment Information'!C117)</f>
        <v>Production Area</v>
      </c>
      <c r="I117" t="str">
        <f t="shared" si="7"/>
        <v/>
      </c>
      <c r="J117" s="3" t="str">
        <f t="shared" si="8"/>
        <v/>
      </c>
      <c r="N117" t="str">
        <f t="shared" si="9"/>
        <v/>
      </c>
      <c r="Q117" s="3" t="str">
        <f t="shared" si="10"/>
        <v/>
      </c>
      <c r="R117" s="3" t="str">
        <f t="shared" si="11"/>
        <v/>
      </c>
      <c r="S117" t="str">
        <f t="shared" si="12"/>
        <v>N/A</v>
      </c>
      <c r="T117" t="str">
        <f t="shared" si="13"/>
        <v>N/A</v>
      </c>
    </row>
    <row r="118" spans="1:20" x14ac:dyDescent="0.25">
      <c r="A118" t="str">
        <f>IF('Equipment Information'!A118="","", 'Equipment Information'!A118)</f>
        <v>20260764</v>
      </c>
      <c r="B118" t="str">
        <f>IF('Equipment Information'!B118="","", 'Equipment Information'!B118)</f>
        <v>CP-1 [Sec. 2]</v>
      </c>
      <c r="C118" t="str">
        <f>IF('Equipment Information'!C118="","", 'Equipment Information'!C118)</f>
        <v>Production Area</v>
      </c>
      <c r="I118" t="str">
        <f t="shared" si="7"/>
        <v/>
      </c>
      <c r="J118" s="3" t="str">
        <f t="shared" si="8"/>
        <v/>
      </c>
      <c r="N118" t="str">
        <f t="shared" si="9"/>
        <v/>
      </c>
      <c r="Q118" s="3" t="str">
        <f t="shared" si="10"/>
        <v/>
      </c>
      <c r="R118" s="3" t="str">
        <f t="shared" si="11"/>
        <v/>
      </c>
      <c r="S118" t="str">
        <f t="shared" si="12"/>
        <v>N/A</v>
      </c>
      <c r="T118" t="str">
        <f t="shared" si="13"/>
        <v>N/A</v>
      </c>
    </row>
    <row r="119" spans="1:20" x14ac:dyDescent="0.25">
      <c r="A119" t="str">
        <f>IF('Equipment Information'!A119="","", 'Equipment Information'!A119)</f>
        <v>20260765</v>
      </c>
      <c r="B119" t="str">
        <f>IF('Equipment Information'!B119="","", 'Equipment Information'!B119)</f>
        <v>CP-1 [Sec. 3]</v>
      </c>
      <c r="C119" t="str">
        <f>IF('Equipment Information'!C119="","", 'Equipment Information'!C119)</f>
        <v>Production Area</v>
      </c>
      <c r="I119" t="str">
        <f t="shared" si="7"/>
        <v/>
      </c>
      <c r="J119" s="3" t="str">
        <f t="shared" si="8"/>
        <v/>
      </c>
      <c r="N119" t="str">
        <f t="shared" si="9"/>
        <v/>
      </c>
      <c r="Q119" s="3" t="str">
        <f t="shared" si="10"/>
        <v/>
      </c>
      <c r="R119" s="3" t="str">
        <f t="shared" si="11"/>
        <v/>
      </c>
      <c r="S119" t="str">
        <f t="shared" si="12"/>
        <v>N/A</v>
      </c>
      <c r="T119" t="str">
        <f t="shared" si="13"/>
        <v>N/A</v>
      </c>
    </row>
    <row r="120" spans="1:20" x14ac:dyDescent="0.25">
      <c r="A120" t="str">
        <f>IF('Equipment Information'!A120="","", 'Equipment Information'!A120)</f>
        <v>20260766</v>
      </c>
      <c r="B120" t="str">
        <f>IF('Equipment Information'!B120="","", 'Equipment Information'!B120)</f>
        <v>CP-DTS Sub Line #2 [Sec. 1]</v>
      </c>
      <c r="C120" t="str">
        <f>IF('Equipment Information'!C120="","", 'Equipment Information'!C120)</f>
        <v>Production Area</v>
      </c>
      <c r="I120" t="str">
        <f t="shared" si="7"/>
        <v/>
      </c>
      <c r="J120" s="3" t="str">
        <f t="shared" si="8"/>
        <v/>
      </c>
      <c r="N120" t="str">
        <f t="shared" si="9"/>
        <v/>
      </c>
      <c r="Q120" s="3" t="str">
        <f t="shared" si="10"/>
        <v/>
      </c>
      <c r="R120" s="3" t="str">
        <f t="shared" si="11"/>
        <v/>
      </c>
      <c r="S120" t="str">
        <f t="shared" si="12"/>
        <v>N/A</v>
      </c>
      <c r="T120" t="str">
        <f t="shared" si="13"/>
        <v>N/A</v>
      </c>
    </row>
    <row r="121" spans="1:20" x14ac:dyDescent="0.25">
      <c r="A121" t="str">
        <f>IF('Equipment Information'!A121="","", 'Equipment Information'!A121)</f>
        <v>20260767</v>
      </c>
      <c r="B121" t="str">
        <f>IF('Equipment Information'!B121="","", 'Equipment Information'!B121)</f>
        <v>CP-DTS Sub Line #2 [Sec. 2]</v>
      </c>
      <c r="C121" t="str">
        <f>IF('Equipment Information'!C121="","", 'Equipment Information'!C121)</f>
        <v>Production Area</v>
      </c>
      <c r="I121" t="str">
        <f t="shared" si="7"/>
        <v/>
      </c>
      <c r="J121" s="3" t="str">
        <f t="shared" si="8"/>
        <v/>
      </c>
      <c r="N121" t="str">
        <f t="shared" si="9"/>
        <v/>
      </c>
      <c r="Q121" s="3" t="str">
        <f t="shared" si="10"/>
        <v/>
      </c>
      <c r="R121" s="3" t="str">
        <f t="shared" si="11"/>
        <v/>
      </c>
      <c r="S121" t="str">
        <f t="shared" si="12"/>
        <v>N/A</v>
      </c>
      <c r="T121" t="str">
        <f t="shared" si="13"/>
        <v>N/A</v>
      </c>
    </row>
    <row r="122" spans="1:20" x14ac:dyDescent="0.25">
      <c r="A122" t="str">
        <f>IF('Equipment Information'!A122="","", 'Equipment Information'!A122)</f>
        <v>20260768</v>
      </c>
      <c r="B122" t="str">
        <f>IF('Equipment Information'!B122="","", 'Equipment Information'!B122)</f>
        <v>CP-DTS Sub Line #2 [Sec.3]</v>
      </c>
      <c r="C122" t="str">
        <f>IF('Equipment Information'!C122="","", 'Equipment Information'!C122)</f>
        <v>Production Area</v>
      </c>
      <c r="I122" t="str">
        <f t="shared" si="7"/>
        <v/>
      </c>
      <c r="J122" s="3" t="str">
        <f t="shared" si="8"/>
        <v/>
      </c>
      <c r="N122" t="str">
        <f t="shared" si="9"/>
        <v/>
      </c>
      <c r="Q122" s="3" t="str">
        <f t="shared" si="10"/>
        <v/>
      </c>
      <c r="R122" s="3" t="str">
        <f t="shared" si="11"/>
        <v/>
      </c>
      <c r="S122" t="str">
        <f t="shared" si="12"/>
        <v>N/A</v>
      </c>
      <c r="T122" t="str">
        <f t="shared" si="13"/>
        <v>N/A</v>
      </c>
    </row>
    <row r="123" spans="1:20" x14ac:dyDescent="0.25">
      <c r="A123" t="str">
        <f>IF('Equipment Information'!A123="","", 'Equipment Information'!A123)</f>
        <v>20260769</v>
      </c>
      <c r="B123" t="str">
        <f>IF('Equipment Information'!B123="","", 'Equipment Information'!B123)</f>
        <v>DP-2</v>
      </c>
      <c r="C123" t="str">
        <f>IF('Equipment Information'!C123="","", 'Equipment Information'!C123)</f>
        <v>Production Area</v>
      </c>
      <c r="I123" t="str">
        <f t="shared" si="7"/>
        <v/>
      </c>
      <c r="J123" s="3" t="str">
        <f t="shared" si="8"/>
        <v/>
      </c>
      <c r="N123" t="str">
        <f t="shared" si="9"/>
        <v/>
      </c>
      <c r="Q123" s="3" t="str">
        <f t="shared" si="10"/>
        <v/>
      </c>
      <c r="R123" s="3" t="str">
        <f t="shared" si="11"/>
        <v/>
      </c>
      <c r="S123" t="str">
        <f t="shared" si="12"/>
        <v>N/A</v>
      </c>
      <c r="T123" t="str">
        <f t="shared" si="13"/>
        <v>N/A</v>
      </c>
    </row>
    <row r="124" spans="1:20" x14ac:dyDescent="0.25">
      <c r="A124" t="str">
        <f>IF('Equipment Information'!A124="","", 'Equipment Information'!A124)</f>
        <v>20260770</v>
      </c>
      <c r="B124" t="str">
        <f>IF('Equipment Information'!B124="","", 'Equipment Information'!B124)</f>
        <v>Exhasut Fan Cabinet</v>
      </c>
      <c r="C124" t="str">
        <f>IF('Equipment Information'!C124="","", 'Equipment Information'!C124)</f>
        <v>Production Area</v>
      </c>
      <c r="I124" t="str">
        <f t="shared" si="7"/>
        <v/>
      </c>
      <c r="J124" s="3" t="str">
        <f t="shared" si="8"/>
        <v/>
      </c>
      <c r="N124" t="str">
        <f t="shared" si="9"/>
        <v/>
      </c>
      <c r="Q124" s="3" t="str">
        <f t="shared" si="10"/>
        <v/>
      </c>
      <c r="R124" s="3" t="str">
        <f t="shared" si="11"/>
        <v/>
      </c>
      <c r="S124" t="str">
        <f t="shared" si="12"/>
        <v>N/A</v>
      </c>
      <c r="T124" t="str">
        <f t="shared" si="13"/>
        <v>N/A</v>
      </c>
    </row>
    <row r="125" spans="1:20" x14ac:dyDescent="0.25">
      <c r="A125" t="str">
        <f>IF('Equipment Information'!A125="","", 'Equipment Information'!A125)</f>
        <v>20260771</v>
      </c>
      <c r="B125" t="str">
        <f>IF('Equipment Information'!B125="","", 'Equipment Information'!B125)</f>
        <v>Processing Controls</v>
      </c>
      <c r="C125" t="str">
        <f>IF('Equipment Information'!C125="","", 'Equipment Information'!C125)</f>
        <v>Production Area</v>
      </c>
      <c r="I125" t="str">
        <f t="shared" si="7"/>
        <v/>
      </c>
      <c r="J125" s="3" t="str">
        <f t="shared" si="8"/>
        <v/>
      </c>
      <c r="N125" t="str">
        <f t="shared" si="9"/>
        <v/>
      </c>
      <c r="Q125" s="3" t="str">
        <f t="shared" si="10"/>
        <v/>
      </c>
      <c r="R125" s="3" t="str">
        <f t="shared" si="11"/>
        <v/>
      </c>
      <c r="S125" t="str">
        <f t="shared" si="12"/>
        <v>N/A</v>
      </c>
      <c r="T125" t="str">
        <f t="shared" si="13"/>
        <v>N/A</v>
      </c>
    </row>
    <row r="126" spans="1:20" x14ac:dyDescent="0.25">
      <c r="A126" t="str">
        <f>IF('Equipment Information'!A126="","", 'Equipment Information'!A126)</f>
        <v>20260772</v>
      </c>
      <c r="B126" t="str">
        <f>IF('Equipment Information'!B126="","", 'Equipment Information'!B126)</f>
        <v>Welding Receptacle</v>
      </c>
      <c r="C126" t="str">
        <f>IF('Equipment Information'!C126="","", 'Equipment Information'!C126)</f>
        <v>Production Area</v>
      </c>
      <c r="I126" t="str">
        <f t="shared" si="7"/>
        <v/>
      </c>
      <c r="J126" s="3" t="str">
        <f t="shared" si="8"/>
        <v/>
      </c>
      <c r="N126" t="str">
        <f t="shared" si="9"/>
        <v/>
      </c>
      <c r="Q126" s="3" t="str">
        <f t="shared" si="10"/>
        <v/>
      </c>
      <c r="R126" s="3" t="str">
        <f t="shared" si="11"/>
        <v/>
      </c>
      <c r="S126" t="str">
        <f t="shared" si="12"/>
        <v>N/A</v>
      </c>
      <c r="T126" t="str">
        <f t="shared" si="13"/>
        <v>N/A</v>
      </c>
    </row>
    <row r="127" spans="1:20" x14ac:dyDescent="0.25">
      <c r="A127" t="str">
        <f>IF('Equipment Information'!A127="","", 'Equipment Information'!A127)</f>
        <v>20260773</v>
      </c>
      <c r="B127" t="str">
        <f>IF('Equipment Information'!B127="","", 'Equipment Information'!B127)</f>
        <v>Drum Oiler #2</v>
      </c>
      <c r="C127" t="str">
        <f>IF('Equipment Information'!C127="","", 'Equipment Information'!C127)</f>
        <v>Production Area</v>
      </c>
      <c r="I127" t="str">
        <f t="shared" si="7"/>
        <v/>
      </c>
      <c r="J127" s="3" t="str">
        <f t="shared" si="8"/>
        <v/>
      </c>
      <c r="N127" t="str">
        <f t="shared" si="9"/>
        <v/>
      </c>
      <c r="Q127" s="3" t="str">
        <f t="shared" si="10"/>
        <v/>
      </c>
      <c r="R127" s="3" t="str">
        <f t="shared" si="11"/>
        <v/>
      </c>
      <c r="S127" t="str">
        <f t="shared" si="12"/>
        <v>N/A</v>
      </c>
      <c r="T127" t="str">
        <f t="shared" si="13"/>
        <v>N/A</v>
      </c>
    </row>
    <row r="128" spans="1:20" x14ac:dyDescent="0.25">
      <c r="A128" t="str">
        <f>IF('Equipment Information'!A128="","", 'Equipment Information'!A128)</f>
        <v>20260774</v>
      </c>
      <c r="B128" t="str">
        <f>IF('Equipment Information'!B128="","", 'Equipment Information'!B128)</f>
        <v>Zone A/B/C Controls</v>
      </c>
      <c r="C128" t="str">
        <f>IF('Equipment Information'!C128="","", 'Equipment Information'!C128)</f>
        <v>Processing Area</v>
      </c>
      <c r="I128" t="str">
        <f t="shared" si="7"/>
        <v/>
      </c>
      <c r="J128" s="3" t="str">
        <f t="shared" si="8"/>
        <v/>
      </c>
      <c r="N128" t="str">
        <f t="shared" si="9"/>
        <v/>
      </c>
      <c r="Q128" s="3" t="str">
        <f t="shared" si="10"/>
        <v/>
      </c>
      <c r="R128" s="3" t="str">
        <f t="shared" si="11"/>
        <v/>
      </c>
      <c r="S128" t="str">
        <f t="shared" si="12"/>
        <v>N/A</v>
      </c>
      <c r="T128" t="str">
        <f t="shared" si="13"/>
        <v>N/A</v>
      </c>
    </row>
    <row r="129" spans="1:20" x14ac:dyDescent="0.25">
      <c r="A129" t="str">
        <f>IF('Equipment Information'!A129="","", 'Equipment Information'!A129)</f>
        <v>20260775</v>
      </c>
      <c r="B129" t="str">
        <f>IF('Equipment Information'!B129="","", 'Equipment Information'!B129)</f>
        <v>Baler Disconnect</v>
      </c>
      <c r="C129" t="str">
        <f>IF('Equipment Information'!C129="","", 'Equipment Information'!C129)</f>
        <v>Packaging</v>
      </c>
      <c r="I129" t="str">
        <f t="shared" si="7"/>
        <v/>
      </c>
      <c r="J129" s="3" t="str">
        <f t="shared" si="8"/>
        <v/>
      </c>
      <c r="N129" t="str">
        <f t="shared" si="9"/>
        <v/>
      </c>
      <c r="Q129" s="3" t="str">
        <f t="shared" si="10"/>
        <v/>
      </c>
      <c r="R129" s="3" t="str">
        <f t="shared" si="11"/>
        <v/>
      </c>
      <c r="S129" t="str">
        <f t="shared" si="12"/>
        <v>N/A</v>
      </c>
      <c r="T129" t="str">
        <f t="shared" si="13"/>
        <v>N/A</v>
      </c>
    </row>
    <row r="130" spans="1:20" x14ac:dyDescent="0.25">
      <c r="A130" t="str">
        <f>IF('Equipment Information'!A130="","", 'Equipment Information'!A130)</f>
        <v>20260776</v>
      </c>
      <c r="B130" t="str">
        <f>IF('Equipment Information'!B130="","", 'Equipment Information'!B130)</f>
        <v>Baler Controller</v>
      </c>
      <c r="C130" t="str">
        <f>IF('Equipment Information'!C130="","", 'Equipment Information'!C130)</f>
        <v>Packaging</v>
      </c>
      <c r="I130" t="str">
        <f t="shared" ref="I130:I193" si="14">IF(A130="","",IF(D130="Three Phase",IF(COUNT(F130:H130)&lt;3,"",AVERAGE(F130:H130)),IF(D130="Single Phase",IF(F130="","",F130),"")))</f>
        <v/>
      </c>
      <c r="J130" s="3" t="str">
        <f t="shared" ref="J130:J193" si="15">IF(A130="","",IF(D130="Three Phase",IF(I130="","",MAX(ABS(F130-I130),ABS(G130-I130),ABS(H130-I130))/I130),""))</f>
        <v/>
      </c>
      <c r="N130" t="str">
        <f t="shared" ref="N130:N193" si="16">IF(A130="","",IF(D130="Three Phase",IF(COUNT(K130:M130)&lt;3,"",AVERAGE(K130:M130)),IF(D130="Single Phase",IF(K130="","",K130),"")))</f>
        <v/>
      </c>
      <c r="Q130" s="3" t="str">
        <f t="shared" ref="Q130:Q193" si="17">IF(A130="","",IF(OR(O130="",N130=""),"",N130/O130))</f>
        <v/>
      </c>
      <c r="R130" s="3" t="str">
        <f t="shared" ref="R130:R193" si="18">IF(A130="","",IF(D130="Three Phase",IF(N130="","",MAX(ABS(K130-N130),ABS(L130-N130),ABS(M130-N130))/N130),""))</f>
        <v/>
      </c>
      <c r="S130" t="str">
        <f t="shared" ref="S130:S193" si="19">IF(A130="","",IF(D130="Single Phase",IF(AND(F130="",K130=""),"No Data Entered",IF(Q130="","Reading Recorded - No Load% (Missing Rated Amps)","Reading Recorded - Load: "&amp;TEXT(Q130,"0.0%"))),IF(AND(F130="",K130=""),"N/A",IF(I130="","Insufficient Voltage Data",IF(AND(J130&gt;0.03,R130&gt;0.15),"Voltage &amp; Current Imbalance",IF(J130&gt;0.03,"Voltage Imbalance",IF(R130&gt;0.15,"Current Imbalance","No Imbalances Detected")))))))</f>
        <v>N/A</v>
      </c>
      <c r="T130" t="str">
        <f t="shared" si="13"/>
        <v>N/A</v>
      </c>
    </row>
    <row r="131" spans="1:20" x14ac:dyDescent="0.25">
      <c r="A131" t="str">
        <f>IF('Equipment Information'!A131="","", 'Equipment Information'!A131)</f>
        <v>20260777</v>
      </c>
      <c r="B131" t="str">
        <f>IF('Equipment Information'!B131="","", 'Equipment Information'!B131)</f>
        <v>Three-Phase Outlet Disconnect</v>
      </c>
      <c r="C131" t="str">
        <f>IF('Equipment Information'!C131="","", 'Equipment Information'!C131)</f>
        <v>Warehouse</v>
      </c>
      <c r="I131" t="str">
        <f t="shared" si="14"/>
        <v/>
      </c>
      <c r="J131" s="3" t="str">
        <f t="shared" si="15"/>
        <v/>
      </c>
      <c r="N131" t="str">
        <f t="shared" si="16"/>
        <v/>
      </c>
      <c r="Q131" s="3" t="str">
        <f t="shared" si="17"/>
        <v/>
      </c>
      <c r="R131" s="3" t="str">
        <f t="shared" si="18"/>
        <v/>
      </c>
      <c r="S131" t="str">
        <f t="shared" si="19"/>
        <v>N/A</v>
      </c>
      <c r="T131" t="str">
        <f t="shared" si="13"/>
        <v>N/A</v>
      </c>
    </row>
    <row r="132" spans="1:20" x14ac:dyDescent="0.25">
      <c r="A132" t="str">
        <f>IF('Equipment Information'!A132="","", 'Equipment Information'!A132)</f>
        <v>20260778</v>
      </c>
      <c r="B132" t="str">
        <f>IF('Equipment Information'!B132="","", 'Equipment Information'!B132)</f>
        <v>New Addition Panel</v>
      </c>
      <c r="C132" t="str">
        <f>IF('Equipment Information'!C132="","", 'Equipment Information'!C132)</f>
        <v>Warehouse</v>
      </c>
      <c r="I132" t="str">
        <f t="shared" si="14"/>
        <v/>
      </c>
      <c r="J132" s="3" t="str">
        <f t="shared" si="15"/>
        <v/>
      </c>
      <c r="N132" t="str">
        <f t="shared" si="16"/>
        <v/>
      </c>
      <c r="Q132" s="3" t="str">
        <f t="shared" si="17"/>
        <v/>
      </c>
      <c r="R132" s="3" t="str">
        <f t="shared" si="18"/>
        <v/>
      </c>
      <c r="S132" t="str">
        <f t="shared" si="19"/>
        <v>N/A</v>
      </c>
      <c r="T132" t="str">
        <f t="shared" si="13"/>
        <v>N/A</v>
      </c>
    </row>
    <row r="133" spans="1:20" x14ac:dyDescent="0.25">
      <c r="A133" t="str">
        <f>IF('Equipment Information'!A133="","", 'Equipment Information'!A133)</f>
        <v>20260779</v>
      </c>
      <c r="B133" t="str">
        <f>IF('Equipment Information'!B133="","", 'Equipment Information'!B133)</f>
        <v>AGT - R&amp;D</v>
      </c>
      <c r="C133" t="str">
        <f>IF('Equipment Information'!C133="","", 'Equipment Information'!C133)</f>
        <v>Boiler Room</v>
      </c>
      <c r="I133" t="str">
        <f t="shared" si="14"/>
        <v/>
      </c>
      <c r="J133" s="3" t="str">
        <f t="shared" si="15"/>
        <v/>
      </c>
      <c r="N133" t="str">
        <f t="shared" si="16"/>
        <v/>
      </c>
      <c r="Q133" s="3" t="str">
        <f t="shared" si="17"/>
        <v/>
      </c>
      <c r="R133" s="3" t="str">
        <f t="shared" si="18"/>
        <v/>
      </c>
      <c r="S133" t="str">
        <f t="shared" si="19"/>
        <v>N/A</v>
      </c>
      <c r="T133" t="str">
        <f t="shared" ref="T133:T196" si="20">IF(A133="","",IF(D133="Single Phase",IF(AND(F133="",K133=""),"N/A","Pass"),IF(AND(F133="",K133=""),"N/A",IF(OR(J133&gt;0.03,R133&gt;0.15),"Imbalance","Pass"))))</f>
        <v>N/A</v>
      </c>
    </row>
    <row r="134" spans="1:20" x14ac:dyDescent="0.25">
      <c r="A134" t="str">
        <f>IF('Equipment Information'!A134="","", 'Equipment Information'!A134)</f>
        <v>20260780</v>
      </c>
      <c r="B134" t="str">
        <f>IF('Equipment Information'!B134="","", 'Equipment Information'!B134)</f>
        <v>VS - R&amp;D</v>
      </c>
      <c r="C134" t="str">
        <f>IF('Equipment Information'!C134="","", 'Equipment Information'!C134)</f>
        <v>Boiler Room</v>
      </c>
      <c r="I134" t="str">
        <f t="shared" si="14"/>
        <v/>
      </c>
      <c r="J134" s="3" t="str">
        <f t="shared" si="15"/>
        <v/>
      </c>
      <c r="N134" t="str">
        <f t="shared" si="16"/>
        <v/>
      </c>
      <c r="Q134" s="3" t="str">
        <f t="shared" si="17"/>
        <v/>
      </c>
      <c r="R134" s="3" t="str">
        <f t="shared" si="18"/>
        <v/>
      </c>
      <c r="S134" t="str">
        <f t="shared" si="19"/>
        <v>N/A</v>
      </c>
      <c r="T134" t="str">
        <f t="shared" si="20"/>
        <v>N/A</v>
      </c>
    </row>
    <row r="135" spans="1:20" x14ac:dyDescent="0.25">
      <c r="A135" t="str">
        <f>IF('Equipment Information'!A135="","", 'Equipment Information'!A135)</f>
        <v>20260781</v>
      </c>
      <c r="B135" t="str">
        <f>IF('Equipment Information'!B135="","", 'Equipment Information'!B135)</f>
        <v>RED PP-1</v>
      </c>
      <c r="C135" t="str">
        <f>IF('Equipment Information'!C135="","", 'Equipment Information'!C135)</f>
        <v>Boiler Room</v>
      </c>
      <c r="I135" t="str">
        <f t="shared" si="14"/>
        <v/>
      </c>
      <c r="J135" s="3" t="str">
        <f t="shared" si="15"/>
        <v/>
      </c>
      <c r="N135" t="str">
        <f t="shared" si="16"/>
        <v/>
      </c>
      <c r="Q135" s="3" t="str">
        <f t="shared" si="17"/>
        <v/>
      </c>
      <c r="R135" s="3" t="str">
        <f t="shared" si="18"/>
        <v/>
      </c>
      <c r="S135" t="str">
        <f t="shared" si="19"/>
        <v>N/A</v>
      </c>
      <c r="T135" t="str">
        <f t="shared" si="20"/>
        <v>N/A</v>
      </c>
    </row>
    <row r="136" spans="1:20" x14ac:dyDescent="0.25">
      <c r="A136" t="str">
        <f>IF('Equipment Information'!A136="","", 'Equipment Information'!A136)</f>
        <v>20260782</v>
      </c>
      <c r="B136" t="str">
        <f>IF('Equipment Information'!B136="","", 'Equipment Information'!B136)</f>
        <v>RED PP-2</v>
      </c>
      <c r="C136" t="str">
        <f>IF('Equipment Information'!C136="","", 'Equipment Information'!C136)</f>
        <v>Boiler Room</v>
      </c>
      <c r="I136" t="str">
        <f t="shared" si="14"/>
        <v/>
      </c>
      <c r="J136" s="3" t="str">
        <f t="shared" si="15"/>
        <v/>
      </c>
      <c r="N136" t="str">
        <f t="shared" si="16"/>
        <v/>
      </c>
      <c r="Q136" s="3" t="str">
        <f t="shared" si="17"/>
        <v/>
      </c>
      <c r="R136" s="3" t="str">
        <f t="shared" si="18"/>
        <v/>
      </c>
      <c r="S136" t="str">
        <f t="shared" si="19"/>
        <v>N/A</v>
      </c>
      <c r="T136" t="str">
        <f t="shared" si="20"/>
        <v>N/A</v>
      </c>
    </row>
    <row r="137" spans="1:20" x14ac:dyDescent="0.25">
      <c r="A137" t="str">
        <f>IF('Equipment Information'!A137="","", 'Equipment Information'!A137)</f>
        <v>20260783</v>
      </c>
      <c r="B137" t="str">
        <f>IF('Equipment Information'!B137="","", 'Equipment Information'!B137)</f>
        <v>CP-Boiler #1 Disconnect</v>
      </c>
      <c r="C137" t="str">
        <f>IF('Equipment Information'!C137="","", 'Equipment Information'!C137)</f>
        <v>Boiler Room</v>
      </c>
      <c r="I137" t="str">
        <f t="shared" si="14"/>
        <v/>
      </c>
      <c r="J137" s="3" t="str">
        <f t="shared" si="15"/>
        <v/>
      </c>
      <c r="N137" t="str">
        <f t="shared" si="16"/>
        <v/>
      </c>
      <c r="Q137" s="3" t="str">
        <f t="shared" si="17"/>
        <v/>
      </c>
      <c r="R137" s="3" t="str">
        <f t="shared" si="18"/>
        <v/>
      </c>
      <c r="S137" t="str">
        <f t="shared" si="19"/>
        <v>N/A</v>
      </c>
      <c r="T137" t="str">
        <f t="shared" si="20"/>
        <v>N/A</v>
      </c>
    </row>
    <row r="138" spans="1:20" x14ac:dyDescent="0.25">
      <c r="A138" t="str">
        <f>IF('Equipment Information'!A138="","", 'Equipment Information'!A138)</f>
        <v>20260784</v>
      </c>
      <c r="B138" t="str">
        <f>IF('Equipment Information'!B138="","", 'Equipment Information'!B138)</f>
        <v>CP-Boiler #1</v>
      </c>
      <c r="C138" t="str">
        <f>IF('Equipment Information'!C138="","", 'Equipment Information'!C138)</f>
        <v>Boiler Room</v>
      </c>
      <c r="I138" t="str">
        <f t="shared" si="14"/>
        <v/>
      </c>
      <c r="J138" s="3" t="str">
        <f t="shared" si="15"/>
        <v/>
      </c>
      <c r="N138" t="str">
        <f t="shared" si="16"/>
        <v/>
      </c>
      <c r="Q138" s="3" t="str">
        <f t="shared" si="17"/>
        <v/>
      </c>
      <c r="R138" s="3" t="str">
        <f t="shared" si="18"/>
        <v/>
      </c>
      <c r="S138" t="str">
        <f t="shared" si="19"/>
        <v>N/A</v>
      </c>
      <c r="T138" t="str">
        <f t="shared" si="20"/>
        <v>N/A</v>
      </c>
    </row>
    <row r="139" spans="1:20" x14ac:dyDescent="0.25">
      <c r="A139" t="str">
        <f>IF('Equipment Information'!A139="","", 'Equipment Information'!A139)</f>
        <v>20260785</v>
      </c>
      <c r="B139" t="str">
        <f>IF('Equipment Information'!B139="","", 'Equipment Information'!B139)</f>
        <v>-</v>
      </c>
      <c r="C139" t="str">
        <f>IF('Equipment Information'!C139="","", 'Equipment Information'!C139)</f>
        <v>Boiler Room</v>
      </c>
      <c r="I139" t="str">
        <f t="shared" si="14"/>
        <v/>
      </c>
      <c r="J139" s="3" t="str">
        <f t="shared" si="15"/>
        <v/>
      </c>
      <c r="N139" t="str">
        <f t="shared" si="16"/>
        <v/>
      </c>
      <c r="Q139" s="3" t="str">
        <f t="shared" si="17"/>
        <v/>
      </c>
      <c r="R139" s="3" t="str">
        <f t="shared" si="18"/>
        <v/>
      </c>
      <c r="S139" t="str">
        <f t="shared" si="19"/>
        <v>N/A</v>
      </c>
      <c r="T139" t="str">
        <f t="shared" si="20"/>
        <v>N/A</v>
      </c>
    </row>
    <row r="140" spans="1:20" x14ac:dyDescent="0.25">
      <c r="A140" t="str">
        <f>IF('Equipment Information'!A140="","", 'Equipment Information'!A140)</f>
        <v>20260786</v>
      </c>
      <c r="B140" t="str">
        <f>IF('Equipment Information'!B140="","", 'Equipment Information'!B140)</f>
        <v>-</v>
      </c>
      <c r="C140" t="str">
        <f>IF('Equipment Information'!C140="","", 'Equipment Information'!C140)</f>
        <v>Boiler Room</v>
      </c>
      <c r="I140" t="str">
        <f t="shared" si="14"/>
        <v/>
      </c>
      <c r="J140" s="3" t="str">
        <f t="shared" si="15"/>
        <v/>
      </c>
      <c r="N140" t="str">
        <f t="shared" si="16"/>
        <v/>
      </c>
      <c r="Q140" s="3" t="str">
        <f t="shared" si="17"/>
        <v/>
      </c>
      <c r="R140" s="3" t="str">
        <f t="shared" si="18"/>
        <v/>
      </c>
      <c r="S140" t="str">
        <f t="shared" si="19"/>
        <v>N/A</v>
      </c>
      <c r="T140" t="str">
        <f t="shared" si="20"/>
        <v>N/A</v>
      </c>
    </row>
    <row r="141" spans="1:20" x14ac:dyDescent="0.25">
      <c r="A141" t="str">
        <f>IF('Equipment Information'!A141="","", 'Equipment Information'!A141)</f>
        <v>20260787</v>
      </c>
      <c r="B141" t="str">
        <f>IF('Equipment Information'!B141="","", 'Equipment Information'!B141)</f>
        <v>-</v>
      </c>
      <c r="C141" t="str">
        <f>IF('Equipment Information'!C141="","", 'Equipment Information'!C141)</f>
        <v>Boiler Mechanical Room</v>
      </c>
      <c r="I141" t="str">
        <f t="shared" si="14"/>
        <v/>
      </c>
      <c r="J141" s="3" t="str">
        <f t="shared" si="15"/>
        <v/>
      </c>
      <c r="N141" t="str">
        <f t="shared" si="16"/>
        <v/>
      </c>
      <c r="Q141" s="3" t="str">
        <f t="shared" si="17"/>
        <v/>
      </c>
      <c r="R141" s="3" t="str">
        <f t="shared" si="18"/>
        <v/>
      </c>
      <c r="S141" t="str">
        <f t="shared" si="19"/>
        <v>N/A</v>
      </c>
      <c r="T141" t="str">
        <f t="shared" si="20"/>
        <v>N/A</v>
      </c>
    </row>
    <row r="142" spans="1:20" x14ac:dyDescent="0.25">
      <c r="A142" t="str">
        <f>IF('Equipment Information'!A142="","", 'Equipment Information'!A142)</f>
        <v>20260788</v>
      </c>
      <c r="B142" t="str">
        <f>IF('Equipment Information'!B142="","", 'Equipment Information'!B142)</f>
        <v>-</v>
      </c>
      <c r="C142" t="str">
        <f>IF('Equipment Information'!C142="","", 'Equipment Information'!C142)</f>
        <v>Boiler Mechanical Room</v>
      </c>
      <c r="I142" t="str">
        <f t="shared" si="14"/>
        <v/>
      </c>
      <c r="J142" s="3" t="str">
        <f t="shared" si="15"/>
        <v/>
      </c>
      <c r="N142" t="str">
        <f t="shared" si="16"/>
        <v/>
      </c>
      <c r="Q142" s="3" t="str">
        <f t="shared" si="17"/>
        <v/>
      </c>
      <c r="R142" s="3" t="str">
        <f t="shared" si="18"/>
        <v/>
      </c>
      <c r="S142" t="str">
        <f t="shared" si="19"/>
        <v>N/A</v>
      </c>
      <c r="T142" t="str">
        <f t="shared" si="20"/>
        <v>N/A</v>
      </c>
    </row>
    <row r="143" spans="1:20" x14ac:dyDescent="0.25">
      <c r="A143" t="str">
        <f>IF('Equipment Information'!A143="","", 'Equipment Information'!A143)</f>
        <v>20260789</v>
      </c>
      <c r="B143" t="str">
        <f>IF('Equipment Information'!B143="","", 'Equipment Information'!B143)</f>
        <v/>
      </c>
      <c r="C143" t="str">
        <f>IF('Equipment Information'!C143="","", 'Equipment Information'!C143)</f>
        <v>Boiler Mechanical Room</v>
      </c>
      <c r="I143" t="str">
        <f t="shared" si="14"/>
        <v/>
      </c>
      <c r="J143" s="3" t="str">
        <f t="shared" si="15"/>
        <v/>
      </c>
      <c r="N143" t="str">
        <f t="shared" si="16"/>
        <v/>
      </c>
      <c r="Q143" s="3" t="str">
        <f t="shared" si="17"/>
        <v/>
      </c>
      <c r="R143" s="3" t="str">
        <f t="shared" si="18"/>
        <v/>
      </c>
      <c r="S143" t="str">
        <f t="shared" si="19"/>
        <v>N/A</v>
      </c>
      <c r="T143" t="str">
        <f t="shared" si="20"/>
        <v>N/A</v>
      </c>
    </row>
    <row r="144" spans="1:20" x14ac:dyDescent="0.25">
      <c r="A144" t="str">
        <f>IF('Equipment Information'!A144="","", 'Equipment Information'!A144)</f>
        <v>20260790</v>
      </c>
      <c r="B144" t="str">
        <f>IF('Equipment Information'!B144="","", 'Equipment Information'!B144)</f>
        <v/>
      </c>
      <c r="C144" t="str">
        <f>IF('Equipment Information'!C144="","", 'Equipment Information'!C144)</f>
        <v>Boiler Mechanical Room</v>
      </c>
      <c r="I144" t="str">
        <f t="shared" si="14"/>
        <v/>
      </c>
      <c r="J144" s="3" t="str">
        <f t="shared" si="15"/>
        <v/>
      </c>
      <c r="N144" t="str">
        <f t="shared" si="16"/>
        <v/>
      </c>
      <c r="Q144" s="3" t="str">
        <f t="shared" si="17"/>
        <v/>
      </c>
      <c r="R144" s="3" t="str">
        <f t="shared" si="18"/>
        <v/>
      </c>
      <c r="S144" t="str">
        <f t="shared" si="19"/>
        <v>N/A</v>
      </c>
      <c r="T144" t="str">
        <f t="shared" si="20"/>
        <v>N/A</v>
      </c>
    </row>
    <row r="145" spans="1:20" x14ac:dyDescent="0.25">
      <c r="A145" t="str">
        <f>IF('Equipment Information'!A145="","", 'Equipment Information'!A145)</f>
        <v>20260791</v>
      </c>
      <c r="B145" t="str">
        <f>IF('Equipment Information'!B145="","", 'Equipment Information'!B145)</f>
        <v>100 HP Compressor Disconnect</v>
      </c>
      <c r="C145" t="str">
        <f>IF('Equipment Information'!C145="","", 'Equipment Information'!C145)</f>
        <v>Compressor Room</v>
      </c>
      <c r="I145" t="str">
        <f t="shared" si="14"/>
        <v/>
      </c>
      <c r="J145" s="3" t="str">
        <f t="shared" si="15"/>
        <v/>
      </c>
      <c r="N145" t="str">
        <f t="shared" si="16"/>
        <v/>
      </c>
      <c r="Q145" s="3" t="str">
        <f t="shared" si="17"/>
        <v/>
      </c>
      <c r="R145" s="3" t="str">
        <f t="shared" si="18"/>
        <v/>
      </c>
      <c r="S145" t="str">
        <f t="shared" si="19"/>
        <v>N/A</v>
      </c>
      <c r="T145" t="str">
        <f t="shared" si="20"/>
        <v>N/A</v>
      </c>
    </row>
    <row r="146" spans="1:20" x14ac:dyDescent="0.25">
      <c r="A146" t="str">
        <f>IF('Equipment Information'!A146="","", 'Equipment Information'!A146)</f>
        <v>20260792</v>
      </c>
      <c r="B146" t="str">
        <f>IF('Equipment Information'!B146="","", 'Equipment Information'!B146)</f>
        <v>100 HP Compressor</v>
      </c>
      <c r="C146" t="str">
        <f>IF('Equipment Information'!C146="","", 'Equipment Information'!C146)</f>
        <v>Compressor Room</v>
      </c>
      <c r="I146" t="str">
        <f t="shared" si="14"/>
        <v/>
      </c>
      <c r="J146" s="3" t="str">
        <f t="shared" si="15"/>
        <v/>
      </c>
      <c r="N146" t="str">
        <f t="shared" si="16"/>
        <v/>
      </c>
      <c r="Q146" s="3" t="str">
        <f t="shared" si="17"/>
        <v/>
      </c>
      <c r="R146" s="3" t="str">
        <f t="shared" si="18"/>
        <v/>
      </c>
      <c r="S146" t="str">
        <f t="shared" si="19"/>
        <v>N/A</v>
      </c>
      <c r="T146" t="str">
        <f t="shared" si="20"/>
        <v>N/A</v>
      </c>
    </row>
    <row r="147" spans="1:20" x14ac:dyDescent="0.25">
      <c r="A147" t="str">
        <f>IF('Equipment Information'!A147="","", 'Equipment Information'!A147)</f>
        <v>20260793</v>
      </c>
      <c r="B147" t="str">
        <f>IF('Equipment Information'!B147="","", 'Equipment Information'!B147)</f>
        <v>150 HP Compressor</v>
      </c>
      <c r="C147" t="str">
        <f>IF('Equipment Information'!C147="","", 'Equipment Information'!C147)</f>
        <v>Compressor Room</v>
      </c>
      <c r="I147" t="str">
        <f t="shared" si="14"/>
        <v/>
      </c>
      <c r="J147" s="3" t="str">
        <f t="shared" si="15"/>
        <v/>
      </c>
      <c r="N147" t="str">
        <f t="shared" si="16"/>
        <v/>
      </c>
      <c r="Q147" s="3" t="str">
        <f t="shared" si="17"/>
        <v/>
      </c>
      <c r="R147" s="3" t="str">
        <f t="shared" si="18"/>
        <v/>
      </c>
      <c r="S147" t="str">
        <f t="shared" si="19"/>
        <v>N/A</v>
      </c>
      <c r="T147" t="str">
        <f t="shared" si="20"/>
        <v>N/A</v>
      </c>
    </row>
    <row r="148" spans="1:20" x14ac:dyDescent="0.25">
      <c r="A148" t="str">
        <f>IF('Equipment Information'!A148="","", 'Equipment Information'!A148)</f>
        <v>20260794</v>
      </c>
      <c r="B148" t="str">
        <f>IF('Equipment Information'!B148="","", 'Equipment Information'!B148)</f>
        <v>Exhasut Fan Cabinet</v>
      </c>
      <c r="C148" t="str">
        <f>IF('Equipment Information'!C148="","", 'Equipment Information'!C148)</f>
        <v>Compressor Room</v>
      </c>
      <c r="I148" t="str">
        <f t="shared" si="14"/>
        <v/>
      </c>
      <c r="J148" s="3" t="str">
        <f t="shared" si="15"/>
        <v/>
      </c>
      <c r="N148" t="str">
        <f t="shared" si="16"/>
        <v/>
      </c>
      <c r="Q148" s="3" t="str">
        <f t="shared" si="17"/>
        <v/>
      </c>
      <c r="R148" s="3" t="str">
        <f t="shared" si="18"/>
        <v/>
      </c>
      <c r="S148" t="str">
        <f t="shared" si="19"/>
        <v>N/A</v>
      </c>
      <c r="T148" t="str">
        <f t="shared" si="20"/>
        <v>N/A</v>
      </c>
    </row>
    <row r="149" spans="1:20" x14ac:dyDescent="0.25">
      <c r="A149" t="str">
        <f>IF('Equipment Information'!A149="","", 'Equipment Information'!A149)</f>
        <v>20260795</v>
      </c>
      <c r="B149" t="str">
        <f>IF('Equipment Information'!B149="","", 'Equipment Information'!B149)</f>
        <v>Air Dryer Disconnect</v>
      </c>
      <c r="C149" t="str">
        <f>IF('Equipment Information'!C149="","", 'Equipment Information'!C149)</f>
        <v>Compressor Room</v>
      </c>
      <c r="I149" t="str">
        <f t="shared" si="14"/>
        <v/>
      </c>
      <c r="J149" s="3" t="str">
        <f t="shared" si="15"/>
        <v/>
      </c>
      <c r="N149" t="str">
        <f t="shared" si="16"/>
        <v/>
      </c>
      <c r="Q149" s="3" t="str">
        <f t="shared" si="17"/>
        <v/>
      </c>
      <c r="R149" s="3" t="str">
        <f t="shared" si="18"/>
        <v/>
      </c>
      <c r="S149" t="str">
        <f t="shared" si="19"/>
        <v>N/A</v>
      </c>
      <c r="T149" t="str">
        <f t="shared" si="20"/>
        <v>N/A</v>
      </c>
    </row>
    <row r="150" spans="1:20" x14ac:dyDescent="0.25">
      <c r="A150" t="str">
        <f>IF('Equipment Information'!A150="","", 'Equipment Information'!A150)</f>
        <v>20260796</v>
      </c>
      <c r="B150" t="str">
        <f>IF('Equipment Information'!B150="","", 'Equipment Information'!B150)</f>
        <v>Air Dryer</v>
      </c>
      <c r="C150" t="str">
        <f>IF('Equipment Information'!C150="","", 'Equipment Information'!C150)</f>
        <v>Compressor Room</v>
      </c>
      <c r="I150" t="str">
        <f t="shared" si="14"/>
        <v/>
      </c>
      <c r="J150" s="3" t="str">
        <f t="shared" si="15"/>
        <v/>
      </c>
      <c r="N150" t="str">
        <f t="shared" si="16"/>
        <v/>
      </c>
      <c r="Q150" s="3" t="str">
        <f t="shared" si="17"/>
        <v/>
      </c>
      <c r="R150" s="3" t="str">
        <f t="shared" si="18"/>
        <v/>
      </c>
      <c r="S150" t="str">
        <f t="shared" si="19"/>
        <v>N/A</v>
      </c>
      <c r="T150" t="str">
        <f t="shared" si="20"/>
        <v>N/A</v>
      </c>
    </row>
    <row r="151" spans="1:20" x14ac:dyDescent="0.25">
      <c r="A151" t="str">
        <f>IF('Equipment Information'!A151="","", 'Equipment Information'!A151)</f>
        <v>20260797</v>
      </c>
      <c r="B151" t="str">
        <f>IF('Equipment Information'!B151="","", 'Equipment Information'!B151)</f>
        <v>150 HP Compressor Disconnect</v>
      </c>
      <c r="C151" t="str">
        <f>IF('Equipment Information'!C151="","", 'Equipment Information'!C151)</f>
        <v>Maintenance Area</v>
      </c>
      <c r="I151" t="str">
        <f t="shared" si="14"/>
        <v/>
      </c>
      <c r="J151" s="3" t="str">
        <f t="shared" si="15"/>
        <v/>
      </c>
      <c r="N151" t="str">
        <f t="shared" si="16"/>
        <v/>
      </c>
      <c r="Q151" s="3" t="str">
        <f t="shared" si="17"/>
        <v/>
      </c>
      <c r="R151" s="3" t="str">
        <f t="shared" si="18"/>
        <v/>
      </c>
      <c r="S151" t="str">
        <f t="shared" si="19"/>
        <v>N/A</v>
      </c>
      <c r="T151" t="str">
        <f t="shared" si="20"/>
        <v>N/A</v>
      </c>
    </row>
    <row r="152" spans="1:20" x14ac:dyDescent="0.25">
      <c r="A152" t="str">
        <f>IF('Equipment Information'!A152="","", 'Equipment Information'!A152)</f>
        <v>20260798</v>
      </c>
      <c r="B152" t="str">
        <f>IF('Equipment Information'!B152="","", 'Equipment Information'!B152)</f>
        <v>Maintenance PP-1</v>
      </c>
      <c r="C152" t="str">
        <f>IF('Equipment Information'!C152="","", 'Equipment Information'!C152)</f>
        <v>Maintenance Area</v>
      </c>
      <c r="I152" t="str">
        <f t="shared" si="14"/>
        <v/>
      </c>
      <c r="J152" s="3" t="str">
        <f t="shared" si="15"/>
        <v/>
      </c>
      <c r="N152" t="str">
        <f t="shared" si="16"/>
        <v/>
      </c>
      <c r="Q152" s="3" t="str">
        <f t="shared" si="17"/>
        <v/>
      </c>
      <c r="R152" s="3" t="str">
        <f t="shared" si="18"/>
        <v/>
      </c>
      <c r="S152" t="str">
        <f t="shared" si="19"/>
        <v>N/A</v>
      </c>
      <c r="T152" t="str">
        <f t="shared" si="20"/>
        <v>N/A</v>
      </c>
    </row>
    <row r="153" spans="1:20" x14ac:dyDescent="0.25">
      <c r="A153" t="str">
        <f>IF('Equipment Information'!A153="","", 'Equipment Information'!A153)</f>
        <v>20260799</v>
      </c>
      <c r="B153" t="str">
        <f>IF('Equipment Information'!B153="","", 'Equipment Information'!B153)</f>
        <v/>
      </c>
      <c r="C153" t="str">
        <f>IF('Equipment Information'!C153="","", 'Equipment Information'!C153)</f>
        <v>Maintenance Area</v>
      </c>
      <c r="I153" t="str">
        <f t="shared" si="14"/>
        <v/>
      </c>
      <c r="J153" s="3" t="str">
        <f t="shared" si="15"/>
        <v/>
      </c>
      <c r="N153" t="str">
        <f t="shared" si="16"/>
        <v/>
      </c>
      <c r="Q153" s="3" t="str">
        <f t="shared" si="17"/>
        <v/>
      </c>
      <c r="R153" s="3" t="str">
        <f t="shared" si="18"/>
        <v/>
      </c>
      <c r="S153" t="str">
        <f t="shared" si="19"/>
        <v>N/A</v>
      </c>
      <c r="T153" t="str">
        <f t="shared" si="20"/>
        <v>N/A</v>
      </c>
    </row>
    <row r="154" spans="1:20" x14ac:dyDescent="0.25">
      <c r="A154" t="str">
        <f>IF('Equipment Information'!A154="","", 'Equipment Information'!A154)</f>
        <v>20260800</v>
      </c>
      <c r="B154" t="str">
        <f>IF('Equipment Information'!B154="","", 'Equipment Information'!B154)</f>
        <v/>
      </c>
      <c r="C154" t="str">
        <f>IF('Equipment Information'!C154="","", 'Equipment Information'!C154)</f>
        <v>Maintenance Area</v>
      </c>
      <c r="I154" t="str">
        <f t="shared" si="14"/>
        <v/>
      </c>
      <c r="J154" s="3" t="str">
        <f t="shared" si="15"/>
        <v/>
      </c>
      <c r="N154" t="str">
        <f t="shared" si="16"/>
        <v/>
      </c>
      <c r="Q154" s="3" t="str">
        <f t="shared" si="17"/>
        <v/>
      </c>
      <c r="R154" s="3" t="str">
        <f t="shared" si="18"/>
        <v/>
      </c>
      <c r="S154" t="str">
        <f t="shared" si="19"/>
        <v>N/A</v>
      </c>
      <c r="T154" t="str">
        <f t="shared" si="20"/>
        <v>N/A</v>
      </c>
    </row>
    <row r="155" spans="1:20" x14ac:dyDescent="0.25">
      <c r="A155" t="str">
        <f>IF('Equipment Information'!A155="","", 'Equipment Information'!A155)</f>
        <v>20260801</v>
      </c>
      <c r="B155" t="str">
        <f>IF('Equipment Information'!B155="","", 'Equipment Information'!B155)</f>
        <v/>
      </c>
      <c r="C155" t="str">
        <f>IF('Equipment Information'!C155="","", 'Equipment Information'!C155)</f>
        <v>Maintenance Area</v>
      </c>
      <c r="I155" t="str">
        <f t="shared" si="14"/>
        <v/>
      </c>
      <c r="J155" s="3" t="str">
        <f t="shared" si="15"/>
        <v/>
      </c>
      <c r="N155" t="str">
        <f t="shared" si="16"/>
        <v/>
      </c>
      <c r="Q155" s="3" t="str">
        <f t="shared" si="17"/>
        <v/>
      </c>
      <c r="R155" s="3" t="str">
        <f t="shared" si="18"/>
        <v/>
      </c>
      <c r="S155" t="str">
        <f t="shared" si="19"/>
        <v>N/A</v>
      </c>
      <c r="T155" t="str">
        <f t="shared" si="20"/>
        <v>N/A</v>
      </c>
    </row>
    <row r="156" spans="1:20" x14ac:dyDescent="0.25">
      <c r="A156" t="str">
        <f>IF('Equipment Information'!A156="","", 'Equipment Information'!A156)</f>
        <v>20260802</v>
      </c>
      <c r="B156" t="str">
        <f>IF('Equipment Information'!B156="","", 'Equipment Information'!B156)</f>
        <v/>
      </c>
      <c r="C156" t="str">
        <f>IF('Equipment Information'!C156="","", 'Equipment Information'!C156)</f>
        <v>Outside of Maintenance Area</v>
      </c>
      <c r="I156" t="str">
        <f t="shared" si="14"/>
        <v/>
      </c>
      <c r="J156" s="3" t="str">
        <f t="shared" si="15"/>
        <v/>
      </c>
      <c r="N156" t="str">
        <f t="shared" si="16"/>
        <v/>
      </c>
      <c r="Q156" s="3" t="str">
        <f t="shared" si="17"/>
        <v/>
      </c>
      <c r="R156" s="3" t="str">
        <f t="shared" si="18"/>
        <v/>
      </c>
      <c r="S156" t="str">
        <f t="shared" si="19"/>
        <v>N/A</v>
      </c>
      <c r="T156" t="str">
        <f t="shared" si="20"/>
        <v>N/A</v>
      </c>
    </row>
    <row r="157" spans="1:20" x14ac:dyDescent="0.25">
      <c r="A157" t="str">
        <f>IF('Equipment Information'!A157="","", 'Equipment Information'!A157)</f>
        <v>20260803</v>
      </c>
      <c r="B157" t="str">
        <f>IF('Equipment Information'!B157="","", 'Equipment Information'!B157)</f>
        <v/>
      </c>
      <c r="C157" t="str">
        <f>IF('Equipment Information'!C157="","", 'Equipment Information'!C157)</f>
        <v>Outside of Maintenance Area</v>
      </c>
      <c r="I157" t="str">
        <f t="shared" si="14"/>
        <v/>
      </c>
      <c r="J157" s="3" t="str">
        <f t="shared" si="15"/>
        <v/>
      </c>
      <c r="N157" t="str">
        <f t="shared" si="16"/>
        <v/>
      </c>
      <c r="Q157" s="3" t="str">
        <f t="shared" si="17"/>
        <v/>
      </c>
      <c r="R157" s="3" t="str">
        <f t="shared" si="18"/>
        <v/>
      </c>
      <c r="S157" t="str">
        <f t="shared" si="19"/>
        <v>N/A</v>
      </c>
      <c r="T157" t="str">
        <f t="shared" si="20"/>
        <v>N/A</v>
      </c>
    </row>
    <row r="158" spans="1:20" x14ac:dyDescent="0.25">
      <c r="A158" t="str">
        <f>IF('Equipment Information'!A158="","", 'Equipment Information'!A158)</f>
        <v>20260804</v>
      </c>
      <c r="B158" t="str">
        <f>IF('Equipment Information'!B158="","", 'Equipment Information'!B158)</f>
        <v>ATS #1</v>
      </c>
      <c r="C158" t="str">
        <f>IF('Equipment Information'!C158="","", 'Equipment Information'!C158)</f>
        <v>Basement</v>
      </c>
      <c r="I158" t="str">
        <f t="shared" si="14"/>
        <v/>
      </c>
      <c r="J158" s="3" t="str">
        <f t="shared" si="15"/>
        <v/>
      </c>
      <c r="N158" t="str">
        <f t="shared" si="16"/>
        <v/>
      </c>
      <c r="Q158" s="3" t="str">
        <f t="shared" si="17"/>
        <v/>
      </c>
      <c r="R158" s="3" t="str">
        <f t="shared" si="18"/>
        <v/>
      </c>
      <c r="S158" t="str">
        <f t="shared" si="19"/>
        <v>N/A</v>
      </c>
      <c r="T158" t="str">
        <f t="shared" si="20"/>
        <v>N/A</v>
      </c>
    </row>
    <row r="159" spans="1:20" x14ac:dyDescent="0.25">
      <c r="A159" t="str">
        <f>IF('Equipment Information'!A159="","", 'Equipment Information'!A159)</f>
        <v>20260805</v>
      </c>
      <c r="B159" t="str">
        <f>IF('Equipment Information'!B159="","", 'Equipment Information'!B159)</f>
        <v>Panel #3 Main Disconnect</v>
      </c>
      <c r="C159" t="str">
        <f>IF('Equipment Information'!C159="","", 'Equipment Information'!C159)</f>
        <v>Basement</v>
      </c>
      <c r="I159" t="str">
        <f t="shared" si="14"/>
        <v/>
      </c>
      <c r="J159" s="3" t="str">
        <f t="shared" si="15"/>
        <v/>
      </c>
      <c r="N159" t="str">
        <f t="shared" si="16"/>
        <v/>
      </c>
      <c r="Q159" s="3" t="str">
        <f t="shared" si="17"/>
        <v/>
      </c>
      <c r="R159" s="3" t="str">
        <f t="shared" si="18"/>
        <v/>
      </c>
      <c r="S159" t="str">
        <f t="shared" si="19"/>
        <v>N/A</v>
      </c>
      <c r="T159" t="str">
        <f t="shared" si="20"/>
        <v>N/A</v>
      </c>
    </row>
    <row r="160" spans="1:20" x14ac:dyDescent="0.25">
      <c r="A160" t="str">
        <f>IF('Equipment Information'!A160="","", 'Equipment Information'!A160)</f>
        <v>20260806</v>
      </c>
      <c r="B160" t="str">
        <f>IF('Equipment Information'!B160="","", 'Equipment Information'!B160)</f>
        <v>Transformer #2 Disconnect</v>
      </c>
      <c r="C160" t="str">
        <f>IF('Equipment Information'!C160="","", 'Equipment Information'!C160)</f>
        <v>Basement</v>
      </c>
      <c r="I160" t="str">
        <f t="shared" si="14"/>
        <v/>
      </c>
      <c r="J160" s="3" t="str">
        <f t="shared" si="15"/>
        <v/>
      </c>
      <c r="N160" t="str">
        <f t="shared" si="16"/>
        <v/>
      </c>
      <c r="Q160" s="3" t="str">
        <f t="shared" si="17"/>
        <v/>
      </c>
      <c r="R160" s="3" t="str">
        <f t="shared" si="18"/>
        <v/>
      </c>
      <c r="S160" t="str">
        <f t="shared" si="19"/>
        <v>N/A</v>
      </c>
      <c r="T160" t="str">
        <f t="shared" si="20"/>
        <v>N/A</v>
      </c>
    </row>
    <row r="161" spans="1:20" x14ac:dyDescent="0.25">
      <c r="A161" t="str">
        <f>IF('Equipment Information'!A161="","", 'Equipment Information'!A161)</f>
        <v>20260807</v>
      </c>
      <c r="B161" t="str">
        <f>IF('Equipment Information'!B161="","", 'Equipment Information'!B161)</f>
        <v>LP-1 Main Disconnect</v>
      </c>
      <c r="C161" t="str">
        <f>IF('Equipment Information'!C161="","", 'Equipment Information'!C161)</f>
        <v>Basement</v>
      </c>
      <c r="I161" t="str">
        <f t="shared" si="14"/>
        <v/>
      </c>
      <c r="J161" s="3" t="str">
        <f t="shared" si="15"/>
        <v/>
      </c>
      <c r="N161" t="str">
        <f t="shared" si="16"/>
        <v/>
      </c>
      <c r="Q161" s="3" t="str">
        <f t="shared" si="17"/>
        <v/>
      </c>
      <c r="R161" s="3" t="str">
        <f t="shared" si="18"/>
        <v/>
      </c>
      <c r="S161" t="str">
        <f t="shared" si="19"/>
        <v>N/A</v>
      </c>
      <c r="T161" t="str">
        <f t="shared" si="20"/>
        <v>N/A</v>
      </c>
    </row>
    <row r="162" spans="1:20" x14ac:dyDescent="0.25">
      <c r="A162" t="str">
        <f>IF('Equipment Information'!A162="","", 'Equipment Information'!A162)</f>
        <v>20260808</v>
      </c>
      <c r="B162" t="str">
        <f>IF('Equipment Information'!B162="","", 'Equipment Information'!B162)</f>
        <v>Panel #1</v>
      </c>
      <c r="C162" t="str">
        <f>IF('Equipment Information'!C162="","", 'Equipment Information'!C162)</f>
        <v>Basement</v>
      </c>
      <c r="I162" t="str">
        <f t="shared" si="14"/>
        <v/>
      </c>
      <c r="J162" s="3" t="str">
        <f t="shared" si="15"/>
        <v/>
      </c>
      <c r="N162" t="str">
        <f t="shared" si="16"/>
        <v/>
      </c>
      <c r="Q162" s="3" t="str">
        <f t="shared" si="17"/>
        <v/>
      </c>
      <c r="R162" s="3" t="str">
        <f t="shared" si="18"/>
        <v/>
      </c>
      <c r="S162" t="str">
        <f t="shared" si="19"/>
        <v>N/A</v>
      </c>
      <c r="T162" t="str">
        <f t="shared" si="20"/>
        <v>N/A</v>
      </c>
    </row>
    <row r="163" spans="1:20" x14ac:dyDescent="0.25">
      <c r="A163" t="str">
        <f>IF('Equipment Information'!A163="","", 'Equipment Information'!A163)</f>
        <v>20260809</v>
      </c>
      <c r="B163" t="str">
        <f>IF('Equipment Information'!B163="","", 'Equipment Information'!B163)</f>
        <v>Panel #4</v>
      </c>
      <c r="C163" t="str">
        <f>IF('Equipment Information'!C163="","", 'Equipment Information'!C163)</f>
        <v>Basement</v>
      </c>
      <c r="I163" t="str">
        <f t="shared" si="14"/>
        <v/>
      </c>
      <c r="J163" s="3" t="str">
        <f t="shared" si="15"/>
        <v/>
      </c>
      <c r="N163" t="str">
        <f t="shared" si="16"/>
        <v/>
      </c>
      <c r="Q163" s="3" t="str">
        <f t="shared" si="17"/>
        <v/>
      </c>
      <c r="R163" s="3" t="str">
        <f t="shared" si="18"/>
        <v/>
      </c>
      <c r="S163" t="str">
        <f t="shared" si="19"/>
        <v>N/A</v>
      </c>
      <c r="T163" t="str">
        <f t="shared" si="20"/>
        <v>N/A</v>
      </c>
    </row>
    <row r="164" spans="1:20" x14ac:dyDescent="0.25">
      <c r="A164" t="str">
        <f>IF('Equipment Information'!A164="","", 'Equipment Information'!A164)</f>
        <v>20260810</v>
      </c>
      <c r="B164" t="str">
        <f>IF('Equipment Information'!B164="","", 'Equipment Information'!B164)</f>
        <v>Panel #2</v>
      </c>
      <c r="C164" t="str">
        <f>IF('Equipment Information'!C164="","", 'Equipment Information'!C164)</f>
        <v>Basement</v>
      </c>
      <c r="I164" t="str">
        <f t="shared" si="14"/>
        <v/>
      </c>
      <c r="J164" s="3" t="str">
        <f t="shared" si="15"/>
        <v/>
      </c>
      <c r="N164" t="str">
        <f t="shared" si="16"/>
        <v/>
      </c>
      <c r="Q164" s="3" t="str">
        <f t="shared" si="17"/>
        <v/>
      </c>
      <c r="R164" s="3" t="str">
        <f t="shared" si="18"/>
        <v/>
      </c>
      <c r="S164" t="str">
        <f t="shared" si="19"/>
        <v>N/A</v>
      </c>
      <c r="T164" t="str">
        <f t="shared" si="20"/>
        <v>N/A</v>
      </c>
    </row>
    <row r="165" spans="1:20" x14ac:dyDescent="0.25">
      <c r="A165" t="str">
        <f>IF('Equipment Information'!A165="","", 'Equipment Information'!A165)</f>
        <v>20260811</v>
      </c>
      <c r="B165" t="str">
        <f>IF('Equipment Information'!B165="","", 'Equipment Information'!B165)</f>
        <v>Transformer #1</v>
      </c>
      <c r="C165" t="str">
        <f>IF('Equipment Information'!C165="","", 'Equipment Information'!C165)</f>
        <v>Basement</v>
      </c>
      <c r="I165" t="str">
        <f t="shared" si="14"/>
        <v/>
      </c>
      <c r="J165" s="3" t="str">
        <f t="shared" si="15"/>
        <v/>
      </c>
      <c r="N165" t="str">
        <f t="shared" si="16"/>
        <v/>
      </c>
      <c r="Q165" s="3" t="str">
        <f t="shared" si="17"/>
        <v/>
      </c>
      <c r="R165" s="3" t="str">
        <f t="shared" si="18"/>
        <v/>
      </c>
      <c r="S165" t="str">
        <f t="shared" si="19"/>
        <v>N/A</v>
      </c>
      <c r="T165" t="str">
        <f t="shared" si="20"/>
        <v>N/A</v>
      </c>
    </row>
    <row r="166" spans="1:20" x14ac:dyDescent="0.25">
      <c r="A166" t="str">
        <f>IF('Equipment Information'!A166="","", 'Equipment Information'!A166)</f>
        <v>20260812</v>
      </c>
      <c r="B166" t="str">
        <f>IF('Equipment Information'!B166="","", 'Equipment Information'!B166)</f>
        <v>Transformer #2</v>
      </c>
      <c r="C166" t="str">
        <f>IF('Equipment Information'!C166="","", 'Equipment Information'!C166)</f>
        <v>Basement</v>
      </c>
      <c r="I166" t="str">
        <f t="shared" si="14"/>
        <v/>
      </c>
      <c r="J166" s="3" t="str">
        <f t="shared" si="15"/>
        <v/>
      </c>
      <c r="N166" t="str">
        <f t="shared" si="16"/>
        <v/>
      </c>
      <c r="Q166" s="3" t="str">
        <f t="shared" si="17"/>
        <v/>
      </c>
      <c r="R166" s="3" t="str">
        <f t="shared" si="18"/>
        <v/>
      </c>
      <c r="S166" t="str">
        <f t="shared" si="19"/>
        <v>N/A</v>
      </c>
      <c r="T166" t="str">
        <f t="shared" si="20"/>
        <v>N/A</v>
      </c>
    </row>
    <row r="167" spans="1:20" x14ac:dyDescent="0.25">
      <c r="A167" t="str">
        <f>IF('Equipment Information'!A167="","", 'Equipment Information'!A167)</f>
        <v>20260813</v>
      </c>
      <c r="B167" t="str">
        <f>IF('Equipment Information'!B167="","", 'Equipment Information'!B167)</f>
        <v>Panel #3</v>
      </c>
      <c r="C167" t="str">
        <f>IF('Equipment Information'!C167="","", 'Equipment Information'!C167)</f>
        <v>Basement</v>
      </c>
      <c r="I167" t="str">
        <f t="shared" si="14"/>
        <v/>
      </c>
      <c r="J167" s="3" t="str">
        <f t="shared" si="15"/>
        <v/>
      </c>
      <c r="N167" t="str">
        <f t="shared" si="16"/>
        <v/>
      </c>
      <c r="Q167" s="3" t="str">
        <f t="shared" si="17"/>
        <v/>
      </c>
      <c r="R167" s="3" t="str">
        <f t="shared" si="18"/>
        <v/>
      </c>
      <c r="S167" t="str">
        <f t="shared" si="19"/>
        <v>N/A</v>
      </c>
      <c r="T167" t="str">
        <f t="shared" si="20"/>
        <v>N/A</v>
      </c>
    </row>
    <row r="168" spans="1:20" x14ac:dyDescent="0.25">
      <c r="A168" t="str">
        <f>IF('Equipment Information'!A168="","", 'Equipment Information'!A168)</f>
        <v>20260814</v>
      </c>
      <c r="B168" t="str">
        <f>IF('Equipment Information'!B168="","", 'Equipment Information'!B168)</f>
        <v/>
      </c>
      <c r="C168" t="str">
        <f>IF('Equipment Information'!C168="","", 'Equipment Information'!C168)</f>
        <v>Hallway</v>
      </c>
      <c r="I168" t="str">
        <f t="shared" si="14"/>
        <v/>
      </c>
      <c r="J168" s="3" t="str">
        <f t="shared" si="15"/>
        <v/>
      </c>
      <c r="N168" t="str">
        <f t="shared" si="16"/>
        <v/>
      </c>
      <c r="Q168" s="3" t="str">
        <f t="shared" si="17"/>
        <v/>
      </c>
      <c r="R168" s="3" t="str">
        <f t="shared" si="18"/>
        <v/>
      </c>
      <c r="S168" t="str">
        <f t="shared" si="19"/>
        <v>N/A</v>
      </c>
      <c r="T168" t="str">
        <f t="shared" si="20"/>
        <v>N/A</v>
      </c>
    </row>
    <row r="169" spans="1:20" x14ac:dyDescent="0.25">
      <c r="A169" t="str">
        <f>IF('Equipment Information'!A169="","", 'Equipment Information'!A169)</f>
        <v/>
      </c>
      <c r="B169" t="str">
        <f>IF('Equipment Information'!B169="","", 'Equipment Information'!B169)</f>
        <v/>
      </c>
      <c r="C169" t="str">
        <f>IF('Equipment Information'!C169="","", 'Equipment Information'!C169)</f>
        <v/>
      </c>
      <c r="I169" t="str">
        <f t="shared" si="14"/>
        <v/>
      </c>
      <c r="J169" s="3" t="str">
        <f t="shared" si="15"/>
        <v/>
      </c>
      <c r="N169" t="str">
        <f t="shared" si="16"/>
        <v/>
      </c>
      <c r="Q169" s="3" t="str">
        <f t="shared" si="17"/>
        <v/>
      </c>
      <c r="R169" s="3" t="str">
        <f t="shared" si="18"/>
        <v/>
      </c>
      <c r="S169" t="str">
        <f t="shared" si="19"/>
        <v/>
      </c>
      <c r="T169" t="str">
        <f t="shared" si="20"/>
        <v/>
      </c>
    </row>
    <row r="170" spans="1:20" x14ac:dyDescent="0.25">
      <c r="A170" t="str">
        <f>IF('Equipment Information'!A170="","", 'Equipment Information'!A170)</f>
        <v/>
      </c>
      <c r="B170" t="str">
        <f>IF('Equipment Information'!B170="","", 'Equipment Information'!B170)</f>
        <v/>
      </c>
      <c r="C170" t="str">
        <f>IF('Equipment Information'!C170="","", 'Equipment Information'!C170)</f>
        <v/>
      </c>
      <c r="I170" t="str">
        <f t="shared" si="14"/>
        <v/>
      </c>
      <c r="J170" s="3" t="str">
        <f t="shared" si="15"/>
        <v/>
      </c>
      <c r="N170" t="str">
        <f t="shared" si="16"/>
        <v/>
      </c>
      <c r="Q170" s="3" t="str">
        <f t="shared" si="17"/>
        <v/>
      </c>
      <c r="R170" s="3" t="str">
        <f t="shared" si="18"/>
        <v/>
      </c>
      <c r="S170" t="str">
        <f t="shared" si="19"/>
        <v/>
      </c>
      <c r="T170" t="str">
        <f t="shared" si="20"/>
        <v/>
      </c>
    </row>
    <row r="171" spans="1:20" x14ac:dyDescent="0.25">
      <c r="A171" t="str">
        <f>IF('Equipment Information'!A171="","", 'Equipment Information'!A171)</f>
        <v/>
      </c>
      <c r="B171" t="str">
        <f>IF('Equipment Information'!B171="","", 'Equipment Information'!B171)</f>
        <v/>
      </c>
      <c r="C171" t="str">
        <f>IF('Equipment Information'!C171="","", 'Equipment Information'!C171)</f>
        <v/>
      </c>
      <c r="I171" t="str">
        <f t="shared" si="14"/>
        <v/>
      </c>
      <c r="J171" s="3" t="str">
        <f t="shared" si="15"/>
        <v/>
      </c>
      <c r="N171" t="str">
        <f t="shared" si="16"/>
        <v/>
      </c>
      <c r="Q171" s="3" t="str">
        <f t="shared" si="17"/>
        <v/>
      </c>
      <c r="R171" s="3" t="str">
        <f t="shared" si="18"/>
        <v/>
      </c>
      <c r="S171" t="str">
        <f t="shared" si="19"/>
        <v/>
      </c>
      <c r="T171" t="str">
        <f t="shared" si="20"/>
        <v/>
      </c>
    </row>
    <row r="172" spans="1:20" x14ac:dyDescent="0.25">
      <c r="A172" t="str">
        <f>IF('Equipment Information'!A172="","", 'Equipment Information'!A172)</f>
        <v/>
      </c>
      <c r="B172" t="str">
        <f>IF('Equipment Information'!B172="","", 'Equipment Information'!B172)</f>
        <v/>
      </c>
      <c r="C172" t="str">
        <f>IF('Equipment Information'!C172="","", 'Equipment Information'!C172)</f>
        <v/>
      </c>
      <c r="I172" t="str">
        <f t="shared" si="14"/>
        <v/>
      </c>
      <c r="J172" s="3" t="str">
        <f t="shared" si="15"/>
        <v/>
      </c>
      <c r="N172" t="str">
        <f t="shared" si="16"/>
        <v/>
      </c>
      <c r="Q172" s="3" t="str">
        <f t="shared" si="17"/>
        <v/>
      </c>
      <c r="R172" s="3" t="str">
        <f t="shared" si="18"/>
        <v/>
      </c>
      <c r="S172" t="str">
        <f t="shared" si="19"/>
        <v/>
      </c>
      <c r="T172" t="str">
        <f t="shared" si="20"/>
        <v/>
      </c>
    </row>
    <row r="173" spans="1:20" x14ac:dyDescent="0.25">
      <c r="A173" t="str">
        <f>IF('Equipment Information'!A173="","", 'Equipment Information'!A173)</f>
        <v/>
      </c>
      <c r="B173" t="str">
        <f>IF('Equipment Information'!B173="","", 'Equipment Information'!B173)</f>
        <v/>
      </c>
      <c r="C173" t="str">
        <f>IF('Equipment Information'!C173="","", 'Equipment Information'!C173)</f>
        <v/>
      </c>
      <c r="I173" t="str">
        <f t="shared" si="14"/>
        <v/>
      </c>
      <c r="J173" s="3" t="str">
        <f t="shared" si="15"/>
        <v/>
      </c>
      <c r="N173" t="str">
        <f t="shared" si="16"/>
        <v/>
      </c>
      <c r="Q173" s="3" t="str">
        <f t="shared" si="17"/>
        <v/>
      </c>
      <c r="R173" s="3" t="str">
        <f t="shared" si="18"/>
        <v/>
      </c>
      <c r="S173" t="str">
        <f t="shared" si="19"/>
        <v/>
      </c>
      <c r="T173" t="str">
        <f t="shared" si="20"/>
        <v/>
      </c>
    </row>
    <row r="174" spans="1:20" x14ac:dyDescent="0.25">
      <c r="A174" t="str">
        <f>IF('Equipment Information'!A174="","", 'Equipment Information'!A174)</f>
        <v/>
      </c>
      <c r="B174" t="str">
        <f>IF('Equipment Information'!B174="","", 'Equipment Information'!B174)</f>
        <v/>
      </c>
      <c r="C174" t="str">
        <f>IF('Equipment Information'!C174="","", 'Equipment Information'!C174)</f>
        <v/>
      </c>
      <c r="I174" t="str">
        <f t="shared" si="14"/>
        <v/>
      </c>
      <c r="J174" s="3" t="str">
        <f t="shared" si="15"/>
        <v/>
      </c>
      <c r="N174" t="str">
        <f t="shared" si="16"/>
        <v/>
      </c>
      <c r="Q174" s="3" t="str">
        <f t="shared" si="17"/>
        <v/>
      </c>
      <c r="R174" s="3" t="str">
        <f t="shared" si="18"/>
        <v/>
      </c>
      <c r="S174" t="str">
        <f t="shared" si="19"/>
        <v/>
      </c>
      <c r="T174" t="str">
        <f t="shared" si="20"/>
        <v/>
      </c>
    </row>
    <row r="175" spans="1:20" x14ac:dyDescent="0.25">
      <c r="A175" t="str">
        <f>IF('Equipment Information'!A175="","", 'Equipment Information'!A175)</f>
        <v/>
      </c>
      <c r="B175" t="str">
        <f>IF('Equipment Information'!B175="","", 'Equipment Information'!B175)</f>
        <v/>
      </c>
      <c r="C175" t="str">
        <f>IF('Equipment Information'!C175="","", 'Equipment Information'!C175)</f>
        <v/>
      </c>
      <c r="I175" t="str">
        <f t="shared" si="14"/>
        <v/>
      </c>
      <c r="J175" s="3" t="str">
        <f t="shared" si="15"/>
        <v/>
      </c>
      <c r="N175" t="str">
        <f t="shared" si="16"/>
        <v/>
      </c>
      <c r="Q175" s="3" t="str">
        <f t="shared" si="17"/>
        <v/>
      </c>
      <c r="R175" s="3" t="str">
        <f t="shared" si="18"/>
        <v/>
      </c>
      <c r="S175" t="str">
        <f t="shared" si="19"/>
        <v/>
      </c>
      <c r="T175" t="str">
        <f t="shared" si="20"/>
        <v/>
      </c>
    </row>
    <row r="176" spans="1:20" x14ac:dyDescent="0.25">
      <c r="A176" t="str">
        <f>IF('Equipment Information'!A176="","", 'Equipment Information'!A176)</f>
        <v/>
      </c>
      <c r="B176" t="str">
        <f>IF('Equipment Information'!B176="","", 'Equipment Information'!B176)</f>
        <v/>
      </c>
      <c r="C176" t="str">
        <f>IF('Equipment Information'!C176="","", 'Equipment Information'!C176)</f>
        <v/>
      </c>
      <c r="I176" t="str">
        <f t="shared" si="14"/>
        <v/>
      </c>
      <c r="J176" s="3" t="str">
        <f t="shared" si="15"/>
        <v/>
      </c>
      <c r="N176" t="str">
        <f t="shared" si="16"/>
        <v/>
      </c>
      <c r="Q176" s="3" t="str">
        <f t="shared" si="17"/>
        <v/>
      </c>
      <c r="R176" s="3" t="str">
        <f t="shared" si="18"/>
        <v/>
      </c>
      <c r="S176" t="str">
        <f t="shared" si="19"/>
        <v/>
      </c>
      <c r="T176" t="str">
        <f t="shared" si="20"/>
        <v/>
      </c>
    </row>
    <row r="177" spans="1:20" x14ac:dyDescent="0.25">
      <c r="A177" t="str">
        <f>IF('Equipment Information'!A177="","", 'Equipment Information'!A177)</f>
        <v/>
      </c>
      <c r="B177" t="str">
        <f>IF('Equipment Information'!B177="","", 'Equipment Information'!B177)</f>
        <v/>
      </c>
      <c r="C177" t="str">
        <f>IF('Equipment Information'!C177="","", 'Equipment Information'!C177)</f>
        <v/>
      </c>
      <c r="I177" t="str">
        <f t="shared" si="14"/>
        <v/>
      </c>
      <c r="J177" s="3" t="str">
        <f t="shared" si="15"/>
        <v/>
      </c>
      <c r="N177" t="str">
        <f t="shared" si="16"/>
        <v/>
      </c>
      <c r="Q177" s="3" t="str">
        <f t="shared" si="17"/>
        <v/>
      </c>
      <c r="R177" s="3" t="str">
        <f t="shared" si="18"/>
        <v/>
      </c>
      <c r="S177" t="str">
        <f t="shared" si="19"/>
        <v/>
      </c>
      <c r="T177" t="str">
        <f t="shared" si="20"/>
        <v/>
      </c>
    </row>
    <row r="178" spans="1:20" x14ac:dyDescent="0.25">
      <c r="A178" t="str">
        <f>IF('Equipment Information'!A178="","", 'Equipment Information'!A178)</f>
        <v/>
      </c>
      <c r="B178" t="str">
        <f>IF('Equipment Information'!B178="","", 'Equipment Information'!B178)</f>
        <v/>
      </c>
      <c r="C178" t="str">
        <f>IF('Equipment Information'!C178="","", 'Equipment Information'!C178)</f>
        <v/>
      </c>
      <c r="I178" t="str">
        <f t="shared" si="14"/>
        <v/>
      </c>
      <c r="J178" s="3" t="str">
        <f t="shared" si="15"/>
        <v/>
      </c>
      <c r="N178" t="str">
        <f t="shared" si="16"/>
        <v/>
      </c>
      <c r="Q178" s="3" t="str">
        <f t="shared" si="17"/>
        <v/>
      </c>
      <c r="R178" s="3" t="str">
        <f t="shared" si="18"/>
        <v/>
      </c>
      <c r="S178" t="str">
        <f t="shared" si="19"/>
        <v/>
      </c>
      <c r="T178" t="str">
        <f t="shared" si="20"/>
        <v/>
      </c>
    </row>
    <row r="179" spans="1:20" x14ac:dyDescent="0.25">
      <c r="A179" t="str">
        <f>IF('Equipment Information'!A179="","", 'Equipment Information'!A179)</f>
        <v/>
      </c>
      <c r="B179" t="str">
        <f>IF('Equipment Information'!B179="","", 'Equipment Information'!B179)</f>
        <v/>
      </c>
      <c r="C179" t="str">
        <f>IF('Equipment Information'!C179="","", 'Equipment Information'!C179)</f>
        <v/>
      </c>
      <c r="I179" t="str">
        <f t="shared" si="14"/>
        <v/>
      </c>
      <c r="J179" s="3" t="str">
        <f t="shared" si="15"/>
        <v/>
      </c>
      <c r="N179" t="str">
        <f t="shared" si="16"/>
        <v/>
      </c>
      <c r="Q179" s="3" t="str">
        <f t="shared" si="17"/>
        <v/>
      </c>
      <c r="R179" s="3" t="str">
        <f t="shared" si="18"/>
        <v/>
      </c>
      <c r="S179" t="str">
        <f t="shared" si="19"/>
        <v/>
      </c>
      <c r="T179" t="str">
        <f t="shared" si="20"/>
        <v/>
      </c>
    </row>
    <row r="180" spans="1:20" x14ac:dyDescent="0.25">
      <c r="A180" t="str">
        <f>IF('Equipment Information'!A180="","", 'Equipment Information'!A180)</f>
        <v/>
      </c>
      <c r="B180" t="str">
        <f>IF('Equipment Information'!B180="","", 'Equipment Information'!B180)</f>
        <v/>
      </c>
      <c r="C180" t="str">
        <f>IF('Equipment Information'!C180="","", 'Equipment Information'!C180)</f>
        <v/>
      </c>
      <c r="I180" t="str">
        <f t="shared" si="14"/>
        <v/>
      </c>
      <c r="J180" s="3" t="str">
        <f t="shared" si="15"/>
        <v/>
      </c>
      <c r="N180" t="str">
        <f t="shared" si="16"/>
        <v/>
      </c>
      <c r="Q180" s="3" t="str">
        <f t="shared" si="17"/>
        <v/>
      </c>
      <c r="R180" s="3" t="str">
        <f t="shared" si="18"/>
        <v/>
      </c>
      <c r="S180" t="str">
        <f t="shared" si="19"/>
        <v/>
      </c>
      <c r="T180" t="str">
        <f t="shared" si="20"/>
        <v/>
      </c>
    </row>
    <row r="181" spans="1:20" x14ac:dyDescent="0.25">
      <c r="A181" t="str">
        <f>IF('Equipment Information'!A181="","", 'Equipment Information'!A181)</f>
        <v/>
      </c>
      <c r="B181" t="str">
        <f>IF('Equipment Information'!B181="","", 'Equipment Information'!B181)</f>
        <v/>
      </c>
      <c r="C181" t="str">
        <f>IF('Equipment Information'!C181="","", 'Equipment Information'!C181)</f>
        <v/>
      </c>
      <c r="I181" t="str">
        <f t="shared" si="14"/>
        <v/>
      </c>
      <c r="J181" s="3" t="str">
        <f t="shared" si="15"/>
        <v/>
      </c>
      <c r="N181" t="str">
        <f t="shared" si="16"/>
        <v/>
      </c>
      <c r="Q181" s="3" t="str">
        <f t="shared" si="17"/>
        <v/>
      </c>
      <c r="R181" s="3" t="str">
        <f t="shared" si="18"/>
        <v/>
      </c>
      <c r="S181" t="str">
        <f t="shared" si="19"/>
        <v/>
      </c>
      <c r="T181" t="str">
        <f t="shared" si="20"/>
        <v/>
      </c>
    </row>
    <row r="182" spans="1:20" x14ac:dyDescent="0.25">
      <c r="A182" t="str">
        <f>IF('Equipment Information'!A182="","", 'Equipment Information'!A182)</f>
        <v/>
      </c>
      <c r="B182" t="str">
        <f>IF('Equipment Information'!B182="","", 'Equipment Information'!B182)</f>
        <v/>
      </c>
      <c r="C182" t="str">
        <f>IF('Equipment Information'!C182="","", 'Equipment Information'!C182)</f>
        <v/>
      </c>
      <c r="I182" t="str">
        <f t="shared" si="14"/>
        <v/>
      </c>
      <c r="J182" s="3" t="str">
        <f t="shared" si="15"/>
        <v/>
      </c>
      <c r="N182" t="str">
        <f t="shared" si="16"/>
        <v/>
      </c>
      <c r="Q182" s="3" t="str">
        <f t="shared" si="17"/>
        <v/>
      </c>
      <c r="R182" s="3" t="str">
        <f t="shared" si="18"/>
        <v/>
      </c>
      <c r="S182" t="str">
        <f t="shared" si="19"/>
        <v/>
      </c>
      <c r="T182" t="str">
        <f t="shared" si="20"/>
        <v/>
      </c>
    </row>
    <row r="183" spans="1:20" x14ac:dyDescent="0.25">
      <c r="A183" t="str">
        <f>IF('Equipment Information'!A183="","", 'Equipment Information'!A183)</f>
        <v/>
      </c>
      <c r="B183" t="str">
        <f>IF('Equipment Information'!B183="","", 'Equipment Information'!B183)</f>
        <v/>
      </c>
      <c r="C183" t="str">
        <f>IF('Equipment Information'!C183="","", 'Equipment Information'!C183)</f>
        <v/>
      </c>
      <c r="I183" t="str">
        <f t="shared" si="14"/>
        <v/>
      </c>
      <c r="J183" s="3" t="str">
        <f t="shared" si="15"/>
        <v/>
      </c>
      <c r="N183" t="str">
        <f t="shared" si="16"/>
        <v/>
      </c>
      <c r="Q183" s="3" t="str">
        <f t="shared" si="17"/>
        <v/>
      </c>
      <c r="R183" s="3" t="str">
        <f t="shared" si="18"/>
        <v/>
      </c>
      <c r="S183" t="str">
        <f t="shared" si="19"/>
        <v/>
      </c>
      <c r="T183" t="str">
        <f t="shared" si="20"/>
        <v/>
      </c>
    </row>
    <row r="184" spans="1:20" x14ac:dyDescent="0.25">
      <c r="A184" t="str">
        <f>IF('Equipment Information'!A184="","", 'Equipment Information'!A184)</f>
        <v/>
      </c>
      <c r="B184" t="str">
        <f>IF('Equipment Information'!B184="","", 'Equipment Information'!B184)</f>
        <v/>
      </c>
      <c r="C184" t="str">
        <f>IF('Equipment Information'!C184="","", 'Equipment Information'!C184)</f>
        <v/>
      </c>
      <c r="I184" t="str">
        <f t="shared" si="14"/>
        <v/>
      </c>
      <c r="J184" s="3" t="str">
        <f t="shared" si="15"/>
        <v/>
      </c>
      <c r="N184" t="str">
        <f t="shared" si="16"/>
        <v/>
      </c>
      <c r="Q184" s="3" t="str">
        <f t="shared" si="17"/>
        <v/>
      </c>
      <c r="R184" s="3" t="str">
        <f t="shared" si="18"/>
        <v/>
      </c>
      <c r="S184" t="str">
        <f t="shared" si="19"/>
        <v/>
      </c>
      <c r="T184" t="str">
        <f t="shared" si="20"/>
        <v/>
      </c>
    </row>
    <row r="185" spans="1:20" x14ac:dyDescent="0.25">
      <c r="A185" t="str">
        <f>IF('Equipment Information'!A185="","", 'Equipment Information'!A185)</f>
        <v/>
      </c>
      <c r="B185" t="str">
        <f>IF('Equipment Information'!B185="","", 'Equipment Information'!B185)</f>
        <v/>
      </c>
      <c r="C185" t="str">
        <f>IF('Equipment Information'!C185="","", 'Equipment Information'!C185)</f>
        <v/>
      </c>
      <c r="I185" t="str">
        <f t="shared" si="14"/>
        <v/>
      </c>
      <c r="J185" s="3" t="str">
        <f t="shared" si="15"/>
        <v/>
      </c>
      <c r="N185" t="str">
        <f t="shared" si="16"/>
        <v/>
      </c>
      <c r="Q185" s="3" t="str">
        <f t="shared" si="17"/>
        <v/>
      </c>
      <c r="R185" s="3" t="str">
        <f t="shared" si="18"/>
        <v/>
      </c>
      <c r="S185" t="str">
        <f t="shared" si="19"/>
        <v/>
      </c>
      <c r="T185" t="str">
        <f t="shared" si="20"/>
        <v/>
      </c>
    </row>
    <row r="186" spans="1:20" x14ac:dyDescent="0.25">
      <c r="A186" t="str">
        <f>IF('Equipment Information'!A186="","", 'Equipment Information'!A186)</f>
        <v/>
      </c>
      <c r="B186" t="str">
        <f>IF('Equipment Information'!B186="","", 'Equipment Information'!B186)</f>
        <v/>
      </c>
      <c r="C186" t="str">
        <f>IF('Equipment Information'!C186="","", 'Equipment Information'!C186)</f>
        <v/>
      </c>
      <c r="I186" t="str">
        <f t="shared" si="14"/>
        <v/>
      </c>
      <c r="J186" s="3" t="str">
        <f t="shared" si="15"/>
        <v/>
      </c>
      <c r="N186" t="str">
        <f t="shared" si="16"/>
        <v/>
      </c>
      <c r="Q186" s="3" t="str">
        <f t="shared" si="17"/>
        <v/>
      </c>
      <c r="R186" s="3" t="str">
        <f t="shared" si="18"/>
        <v/>
      </c>
      <c r="S186" t="str">
        <f t="shared" si="19"/>
        <v/>
      </c>
      <c r="T186" t="str">
        <f t="shared" si="20"/>
        <v/>
      </c>
    </row>
    <row r="187" spans="1:20" x14ac:dyDescent="0.25">
      <c r="A187" t="str">
        <f>IF('Equipment Information'!A187="","", 'Equipment Information'!A187)</f>
        <v/>
      </c>
      <c r="B187" t="str">
        <f>IF('Equipment Information'!B187="","", 'Equipment Information'!B187)</f>
        <v/>
      </c>
      <c r="C187" t="str">
        <f>IF('Equipment Information'!C187="","", 'Equipment Information'!C187)</f>
        <v/>
      </c>
      <c r="I187" t="str">
        <f t="shared" si="14"/>
        <v/>
      </c>
      <c r="J187" s="3" t="str">
        <f t="shared" si="15"/>
        <v/>
      </c>
      <c r="N187" t="str">
        <f t="shared" si="16"/>
        <v/>
      </c>
      <c r="Q187" s="3" t="str">
        <f t="shared" si="17"/>
        <v/>
      </c>
      <c r="R187" s="3" t="str">
        <f t="shared" si="18"/>
        <v/>
      </c>
      <c r="S187" t="str">
        <f t="shared" si="19"/>
        <v/>
      </c>
      <c r="T187" t="str">
        <f t="shared" si="20"/>
        <v/>
      </c>
    </row>
    <row r="188" spans="1:20" x14ac:dyDescent="0.25">
      <c r="A188" t="str">
        <f>IF('Equipment Information'!A188="","", 'Equipment Information'!A188)</f>
        <v/>
      </c>
      <c r="B188" t="str">
        <f>IF('Equipment Information'!B188="","", 'Equipment Information'!B188)</f>
        <v/>
      </c>
      <c r="C188" t="str">
        <f>IF('Equipment Information'!C188="","", 'Equipment Information'!C188)</f>
        <v/>
      </c>
      <c r="I188" t="str">
        <f t="shared" si="14"/>
        <v/>
      </c>
      <c r="J188" s="3" t="str">
        <f t="shared" si="15"/>
        <v/>
      </c>
      <c r="N188" t="str">
        <f t="shared" si="16"/>
        <v/>
      </c>
      <c r="Q188" s="3" t="str">
        <f t="shared" si="17"/>
        <v/>
      </c>
      <c r="R188" s="3" t="str">
        <f t="shared" si="18"/>
        <v/>
      </c>
      <c r="S188" t="str">
        <f t="shared" si="19"/>
        <v/>
      </c>
      <c r="T188" t="str">
        <f t="shared" si="20"/>
        <v/>
      </c>
    </row>
    <row r="189" spans="1:20" x14ac:dyDescent="0.25">
      <c r="A189" t="str">
        <f>IF('Equipment Information'!A189="","", 'Equipment Information'!A189)</f>
        <v/>
      </c>
      <c r="B189" t="str">
        <f>IF('Equipment Information'!B189="","", 'Equipment Information'!B189)</f>
        <v/>
      </c>
      <c r="C189" t="str">
        <f>IF('Equipment Information'!C189="","", 'Equipment Information'!C189)</f>
        <v/>
      </c>
      <c r="I189" t="str">
        <f t="shared" si="14"/>
        <v/>
      </c>
      <c r="J189" s="3" t="str">
        <f t="shared" si="15"/>
        <v/>
      </c>
      <c r="N189" t="str">
        <f t="shared" si="16"/>
        <v/>
      </c>
      <c r="Q189" s="3" t="str">
        <f t="shared" si="17"/>
        <v/>
      </c>
      <c r="R189" s="3" t="str">
        <f t="shared" si="18"/>
        <v/>
      </c>
      <c r="S189" t="str">
        <f t="shared" si="19"/>
        <v/>
      </c>
      <c r="T189" t="str">
        <f t="shared" si="20"/>
        <v/>
      </c>
    </row>
    <row r="190" spans="1:20" x14ac:dyDescent="0.25">
      <c r="A190" t="str">
        <f>IF('Equipment Information'!A190="","", 'Equipment Information'!A190)</f>
        <v/>
      </c>
      <c r="B190" t="str">
        <f>IF('Equipment Information'!B190="","", 'Equipment Information'!B190)</f>
        <v/>
      </c>
      <c r="C190" t="str">
        <f>IF('Equipment Information'!C190="","", 'Equipment Information'!C190)</f>
        <v/>
      </c>
      <c r="I190" t="str">
        <f t="shared" si="14"/>
        <v/>
      </c>
      <c r="J190" s="3" t="str">
        <f t="shared" si="15"/>
        <v/>
      </c>
      <c r="N190" t="str">
        <f t="shared" si="16"/>
        <v/>
      </c>
      <c r="Q190" s="3" t="str">
        <f t="shared" si="17"/>
        <v/>
      </c>
      <c r="R190" s="3" t="str">
        <f t="shared" si="18"/>
        <v/>
      </c>
      <c r="S190" t="str">
        <f t="shared" si="19"/>
        <v/>
      </c>
      <c r="T190" t="str">
        <f t="shared" si="20"/>
        <v/>
      </c>
    </row>
    <row r="191" spans="1:20" x14ac:dyDescent="0.25">
      <c r="A191" t="str">
        <f>IF('Equipment Information'!A191="","", 'Equipment Information'!A191)</f>
        <v/>
      </c>
      <c r="B191" t="str">
        <f>IF('Equipment Information'!B191="","", 'Equipment Information'!B191)</f>
        <v/>
      </c>
      <c r="C191" t="str">
        <f>IF('Equipment Information'!C191="","", 'Equipment Information'!C191)</f>
        <v/>
      </c>
      <c r="I191" t="str">
        <f t="shared" si="14"/>
        <v/>
      </c>
      <c r="J191" s="3" t="str">
        <f t="shared" si="15"/>
        <v/>
      </c>
      <c r="N191" t="str">
        <f t="shared" si="16"/>
        <v/>
      </c>
      <c r="Q191" s="3" t="str">
        <f t="shared" si="17"/>
        <v/>
      </c>
      <c r="R191" s="3" t="str">
        <f t="shared" si="18"/>
        <v/>
      </c>
      <c r="S191" t="str">
        <f t="shared" si="19"/>
        <v/>
      </c>
      <c r="T191" t="str">
        <f t="shared" si="20"/>
        <v/>
      </c>
    </row>
    <row r="192" spans="1:20" x14ac:dyDescent="0.25">
      <c r="A192" t="str">
        <f>IF('Equipment Information'!A192="","", 'Equipment Information'!A192)</f>
        <v/>
      </c>
      <c r="B192" t="str">
        <f>IF('Equipment Information'!B192="","", 'Equipment Information'!B192)</f>
        <v/>
      </c>
      <c r="C192" t="str">
        <f>IF('Equipment Information'!C192="","", 'Equipment Information'!C192)</f>
        <v/>
      </c>
      <c r="I192" t="str">
        <f t="shared" si="14"/>
        <v/>
      </c>
      <c r="J192" s="3" t="str">
        <f t="shared" si="15"/>
        <v/>
      </c>
      <c r="N192" t="str">
        <f t="shared" si="16"/>
        <v/>
      </c>
      <c r="Q192" s="3" t="str">
        <f t="shared" si="17"/>
        <v/>
      </c>
      <c r="R192" s="3" t="str">
        <f t="shared" si="18"/>
        <v/>
      </c>
      <c r="S192" t="str">
        <f t="shared" si="19"/>
        <v/>
      </c>
      <c r="T192" t="str">
        <f t="shared" si="20"/>
        <v/>
      </c>
    </row>
    <row r="193" spans="1:20" x14ac:dyDescent="0.25">
      <c r="A193" t="str">
        <f>IF('Equipment Information'!A193="","", 'Equipment Information'!A193)</f>
        <v/>
      </c>
      <c r="B193" t="str">
        <f>IF('Equipment Information'!B193="","", 'Equipment Information'!B193)</f>
        <v/>
      </c>
      <c r="C193" t="str">
        <f>IF('Equipment Information'!C193="","", 'Equipment Information'!C193)</f>
        <v/>
      </c>
      <c r="I193" t="str">
        <f t="shared" si="14"/>
        <v/>
      </c>
      <c r="J193" s="3" t="str">
        <f t="shared" si="15"/>
        <v/>
      </c>
      <c r="N193" t="str">
        <f t="shared" si="16"/>
        <v/>
      </c>
      <c r="Q193" s="3" t="str">
        <f t="shared" si="17"/>
        <v/>
      </c>
      <c r="R193" s="3" t="str">
        <f t="shared" si="18"/>
        <v/>
      </c>
      <c r="S193" t="str">
        <f t="shared" si="19"/>
        <v/>
      </c>
      <c r="T193" t="str">
        <f t="shared" si="20"/>
        <v/>
      </c>
    </row>
    <row r="194" spans="1:20" x14ac:dyDescent="0.25">
      <c r="A194" t="str">
        <f>IF('Equipment Information'!A194="","", 'Equipment Information'!A194)</f>
        <v/>
      </c>
      <c r="B194" t="str">
        <f>IF('Equipment Information'!B194="","", 'Equipment Information'!B194)</f>
        <v/>
      </c>
      <c r="C194" t="str">
        <f>IF('Equipment Information'!C194="","", 'Equipment Information'!C194)</f>
        <v/>
      </c>
      <c r="I194" t="str">
        <f t="shared" ref="I194:I257" si="21">IF(A194="","",IF(D194="Three Phase",IF(COUNT(F194:H194)&lt;3,"",AVERAGE(F194:H194)),IF(D194="Single Phase",IF(F194="","",F194),"")))</f>
        <v/>
      </c>
      <c r="J194" s="3" t="str">
        <f t="shared" ref="J194:J257" si="22">IF(A194="","",IF(D194="Three Phase",IF(I194="","",MAX(ABS(F194-I194),ABS(G194-I194),ABS(H194-I194))/I194),""))</f>
        <v/>
      </c>
      <c r="N194" t="str">
        <f t="shared" ref="N194:N257" si="23">IF(A194="","",IF(D194="Three Phase",IF(COUNT(K194:M194)&lt;3,"",AVERAGE(K194:M194)),IF(D194="Single Phase",IF(K194="","",K194),"")))</f>
        <v/>
      </c>
      <c r="Q194" s="3" t="str">
        <f t="shared" ref="Q194:Q257" si="24">IF(A194="","",IF(OR(O194="",N194=""),"",N194/O194))</f>
        <v/>
      </c>
      <c r="R194" s="3" t="str">
        <f t="shared" ref="R194:R257" si="25">IF(A194="","",IF(D194="Three Phase",IF(N194="","",MAX(ABS(K194-N194),ABS(L194-N194),ABS(M194-N194))/N194),""))</f>
        <v/>
      </c>
      <c r="S194" t="str">
        <f t="shared" ref="S194:S257" si="26">IF(A194="","",IF(D194="Single Phase",IF(AND(F194="",K194=""),"No Data Entered",IF(Q194="","Reading Recorded - No Load% (Missing Rated Amps)","Reading Recorded - Load: "&amp;TEXT(Q194,"0.0%"))),IF(AND(F194="",K194=""),"N/A",IF(I194="","Insufficient Voltage Data",IF(AND(J194&gt;0.03,R194&gt;0.15),"Voltage &amp; Current Imbalance",IF(J194&gt;0.03,"Voltage Imbalance",IF(R194&gt;0.15,"Current Imbalance","No Imbalances Detected")))))))</f>
        <v/>
      </c>
      <c r="T194" t="str">
        <f t="shared" si="20"/>
        <v/>
      </c>
    </row>
    <row r="195" spans="1:20" x14ac:dyDescent="0.25">
      <c r="A195" t="str">
        <f>IF('Equipment Information'!A195="","", 'Equipment Information'!A195)</f>
        <v/>
      </c>
      <c r="B195" t="str">
        <f>IF('Equipment Information'!B195="","", 'Equipment Information'!B195)</f>
        <v/>
      </c>
      <c r="C195" t="str">
        <f>IF('Equipment Information'!C195="","", 'Equipment Information'!C195)</f>
        <v/>
      </c>
      <c r="I195" t="str">
        <f t="shared" si="21"/>
        <v/>
      </c>
      <c r="J195" s="3" t="str">
        <f t="shared" si="22"/>
        <v/>
      </c>
      <c r="N195" t="str">
        <f t="shared" si="23"/>
        <v/>
      </c>
      <c r="Q195" s="3" t="str">
        <f t="shared" si="24"/>
        <v/>
      </c>
      <c r="R195" s="3" t="str">
        <f t="shared" si="25"/>
        <v/>
      </c>
      <c r="S195" t="str">
        <f t="shared" si="26"/>
        <v/>
      </c>
      <c r="T195" t="str">
        <f t="shared" si="20"/>
        <v/>
      </c>
    </row>
    <row r="196" spans="1:20" x14ac:dyDescent="0.25">
      <c r="A196" t="str">
        <f>IF('Equipment Information'!A196="","", 'Equipment Information'!A196)</f>
        <v/>
      </c>
      <c r="B196" t="str">
        <f>IF('Equipment Information'!B196="","", 'Equipment Information'!B196)</f>
        <v/>
      </c>
      <c r="C196" t="str">
        <f>IF('Equipment Information'!C196="","", 'Equipment Information'!C196)</f>
        <v/>
      </c>
      <c r="I196" t="str">
        <f t="shared" si="21"/>
        <v/>
      </c>
      <c r="J196" s="3" t="str">
        <f t="shared" si="22"/>
        <v/>
      </c>
      <c r="N196" t="str">
        <f t="shared" si="23"/>
        <v/>
      </c>
      <c r="Q196" s="3" t="str">
        <f t="shared" si="24"/>
        <v/>
      </c>
      <c r="R196" s="3" t="str">
        <f t="shared" si="25"/>
        <v/>
      </c>
      <c r="S196" t="str">
        <f t="shared" si="26"/>
        <v/>
      </c>
      <c r="T196" t="str">
        <f t="shared" si="20"/>
        <v/>
      </c>
    </row>
    <row r="197" spans="1:20" x14ac:dyDescent="0.25">
      <c r="A197" t="str">
        <f>IF('Equipment Information'!A197="","", 'Equipment Information'!A197)</f>
        <v/>
      </c>
      <c r="B197" t="str">
        <f>IF('Equipment Information'!B197="","", 'Equipment Information'!B197)</f>
        <v/>
      </c>
      <c r="C197" t="str">
        <f>IF('Equipment Information'!C197="","", 'Equipment Information'!C197)</f>
        <v/>
      </c>
      <c r="I197" t="str">
        <f t="shared" si="21"/>
        <v/>
      </c>
      <c r="J197" s="3" t="str">
        <f t="shared" si="22"/>
        <v/>
      </c>
      <c r="N197" t="str">
        <f t="shared" si="23"/>
        <v/>
      </c>
      <c r="Q197" s="3" t="str">
        <f t="shared" si="24"/>
        <v/>
      </c>
      <c r="R197" s="3" t="str">
        <f t="shared" si="25"/>
        <v/>
      </c>
      <c r="S197" t="str">
        <f t="shared" si="26"/>
        <v/>
      </c>
      <c r="T197" t="str">
        <f t="shared" ref="T197:T260" si="27">IF(A197="","",IF(D197="Single Phase",IF(AND(F197="",K197=""),"N/A","Pass"),IF(AND(F197="",K197=""),"N/A",IF(OR(J197&gt;0.03,R197&gt;0.15),"Imbalance","Pass"))))</f>
        <v/>
      </c>
    </row>
    <row r="198" spans="1:20" x14ac:dyDescent="0.25">
      <c r="A198" t="str">
        <f>IF('Equipment Information'!A198="","", 'Equipment Information'!A198)</f>
        <v/>
      </c>
      <c r="B198" t="str">
        <f>IF('Equipment Information'!B198="","", 'Equipment Information'!B198)</f>
        <v/>
      </c>
      <c r="C198" t="str">
        <f>IF('Equipment Information'!C198="","", 'Equipment Information'!C198)</f>
        <v/>
      </c>
      <c r="I198" t="str">
        <f t="shared" si="21"/>
        <v/>
      </c>
      <c r="J198" s="3" t="str">
        <f t="shared" si="22"/>
        <v/>
      </c>
      <c r="N198" t="str">
        <f t="shared" si="23"/>
        <v/>
      </c>
      <c r="Q198" s="3" t="str">
        <f t="shared" si="24"/>
        <v/>
      </c>
      <c r="R198" s="3" t="str">
        <f t="shared" si="25"/>
        <v/>
      </c>
      <c r="S198" t="str">
        <f t="shared" si="26"/>
        <v/>
      </c>
      <c r="T198" t="str">
        <f t="shared" si="27"/>
        <v/>
      </c>
    </row>
    <row r="199" spans="1:20" x14ac:dyDescent="0.25">
      <c r="A199" t="str">
        <f>IF('Equipment Information'!A199="","", 'Equipment Information'!A199)</f>
        <v/>
      </c>
      <c r="B199" t="str">
        <f>IF('Equipment Information'!B199="","", 'Equipment Information'!B199)</f>
        <v/>
      </c>
      <c r="C199" t="str">
        <f>IF('Equipment Information'!C199="","", 'Equipment Information'!C199)</f>
        <v/>
      </c>
      <c r="I199" t="str">
        <f t="shared" si="21"/>
        <v/>
      </c>
      <c r="J199" s="3" t="str">
        <f t="shared" si="22"/>
        <v/>
      </c>
      <c r="N199" t="str">
        <f t="shared" si="23"/>
        <v/>
      </c>
      <c r="Q199" s="3" t="str">
        <f t="shared" si="24"/>
        <v/>
      </c>
      <c r="R199" s="3" t="str">
        <f t="shared" si="25"/>
        <v/>
      </c>
      <c r="S199" t="str">
        <f t="shared" si="26"/>
        <v/>
      </c>
      <c r="T199" t="str">
        <f t="shared" si="27"/>
        <v/>
      </c>
    </row>
    <row r="200" spans="1:20" x14ac:dyDescent="0.25">
      <c r="A200" t="str">
        <f>IF('Equipment Information'!A200="","", 'Equipment Information'!A200)</f>
        <v/>
      </c>
      <c r="B200" t="str">
        <f>IF('Equipment Information'!B200="","", 'Equipment Information'!B200)</f>
        <v/>
      </c>
      <c r="C200" t="str">
        <f>IF('Equipment Information'!C200="","", 'Equipment Information'!C200)</f>
        <v/>
      </c>
      <c r="I200" t="str">
        <f t="shared" si="21"/>
        <v/>
      </c>
      <c r="J200" s="3" t="str">
        <f t="shared" si="22"/>
        <v/>
      </c>
      <c r="N200" t="str">
        <f t="shared" si="23"/>
        <v/>
      </c>
      <c r="Q200" s="3" t="str">
        <f t="shared" si="24"/>
        <v/>
      </c>
      <c r="R200" s="3" t="str">
        <f t="shared" si="25"/>
        <v/>
      </c>
      <c r="S200" t="str">
        <f t="shared" si="26"/>
        <v/>
      </c>
      <c r="T200" t="str">
        <f t="shared" si="27"/>
        <v/>
      </c>
    </row>
    <row r="201" spans="1:20" x14ac:dyDescent="0.25">
      <c r="A201" t="str">
        <f>IF('Equipment Information'!A201="","", 'Equipment Information'!A201)</f>
        <v/>
      </c>
      <c r="B201" t="str">
        <f>IF('Equipment Information'!B201="","", 'Equipment Information'!B201)</f>
        <v/>
      </c>
      <c r="C201" t="str">
        <f>IF('Equipment Information'!C201="","", 'Equipment Information'!C201)</f>
        <v/>
      </c>
      <c r="I201" t="str">
        <f t="shared" si="21"/>
        <v/>
      </c>
      <c r="J201" s="3" t="str">
        <f t="shared" si="22"/>
        <v/>
      </c>
      <c r="N201" t="str">
        <f t="shared" si="23"/>
        <v/>
      </c>
      <c r="Q201" s="3" t="str">
        <f t="shared" si="24"/>
        <v/>
      </c>
      <c r="R201" s="3" t="str">
        <f t="shared" si="25"/>
        <v/>
      </c>
      <c r="S201" t="str">
        <f t="shared" si="26"/>
        <v/>
      </c>
      <c r="T201" t="str">
        <f t="shared" si="27"/>
        <v/>
      </c>
    </row>
    <row r="202" spans="1:20" x14ac:dyDescent="0.25">
      <c r="A202" t="str">
        <f>IF('Equipment Information'!A202="","", 'Equipment Information'!A202)</f>
        <v/>
      </c>
      <c r="B202" t="str">
        <f>IF('Equipment Information'!B202="","", 'Equipment Information'!B202)</f>
        <v/>
      </c>
      <c r="C202" t="str">
        <f>IF('Equipment Information'!C202="","", 'Equipment Information'!C202)</f>
        <v/>
      </c>
      <c r="I202" t="str">
        <f t="shared" si="21"/>
        <v/>
      </c>
      <c r="J202" s="3" t="str">
        <f t="shared" si="22"/>
        <v/>
      </c>
      <c r="N202" t="str">
        <f t="shared" si="23"/>
        <v/>
      </c>
      <c r="Q202" s="3" t="str">
        <f t="shared" si="24"/>
        <v/>
      </c>
      <c r="R202" s="3" t="str">
        <f t="shared" si="25"/>
        <v/>
      </c>
      <c r="S202" t="str">
        <f t="shared" si="26"/>
        <v/>
      </c>
      <c r="T202" t="str">
        <f t="shared" si="27"/>
        <v/>
      </c>
    </row>
    <row r="203" spans="1:20" x14ac:dyDescent="0.25">
      <c r="A203" t="str">
        <f>IF('Equipment Information'!A203="","", 'Equipment Information'!A203)</f>
        <v/>
      </c>
      <c r="B203" t="str">
        <f>IF('Equipment Information'!B203="","", 'Equipment Information'!B203)</f>
        <v/>
      </c>
      <c r="C203" t="str">
        <f>IF('Equipment Information'!C203="","", 'Equipment Information'!C203)</f>
        <v/>
      </c>
      <c r="I203" t="str">
        <f t="shared" si="21"/>
        <v/>
      </c>
      <c r="J203" s="3" t="str">
        <f t="shared" si="22"/>
        <v/>
      </c>
      <c r="N203" t="str">
        <f t="shared" si="23"/>
        <v/>
      </c>
      <c r="Q203" s="3" t="str">
        <f t="shared" si="24"/>
        <v/>
      </c>
      <c r="R203" s="3" t="str">
        <f t="shared" si="25"/>
        <v/>
      </c>
      <c r="S203" t="str">
        <f t="shared" si="26"/>
        <v/>
      </c>
      <c r="T203" t="str">
        <f t="shared" si="27"/>
        <v/>
      </c>
    </row>
    <row r="204" spans="1:20" x14ac:dyDescent="0.25">
      <c r="A204" t="str">
        <f>IF('Equipment Information'!A204="","", 'Equipment Information'!A204)</f>
        <v/>
      </c>
      <c r="B204" t="str">
        <f>IF('Equipment Information'!B204="","", 'Equipment Information'!B204)</f>
        <v/>
      </c>
      <c r="C204" t="str">
        <f>IF('Equipment Information'!C204="","", 'Equipment Information'!C204)</f>
        <v/>
      </c>
      <c r="I204" t="str">
        <f t="shared" si="21"/>
        <v/>
      </c>
      <c r="J204" s="3" t="str">
        <f t="shared" si="22"/>
        <v/>
      </c>
      <c r="N204" t="str">
        <f t="shared" si="23"/>
        <v/>
      </c>
      <c r="Q204" s="3" t="str">
        <f t="shared" si="24"/>
        <v/>
      </c>
      <c r="R204" s="3" t="str">
        <f t="shared" si="25"/>
        <v/>
      </c>
      <c r="S204" t="str">
        <f t="shared" si="26"/>
        <v/>
      </c>
      <c r="T204" t="str">
        <f t="shared" si="27"/>
        <v/>
      </c>
    </row>
    <row r="205" spans="1:20" x14ac:dyDescent="0.25">
      <c r="A205" t="str">
        <f>IF('Equipment Information'!A205="","", 'Equipment Information'!A205)</f>
        <v/>
      </c>
      <c r="B205" t="str">
        <f>IF('Equipment Information'!B205="","", 'Equipment Information'!B205)</f>
        <v/>
      </c>
      <c r="C205" t="str">
        <f>IF('Equipment Information'!C205="","", 'Equipment Information'!C205)</f>
        <v/>
      </c>
      <c r="I205" t="str">
        <f t="shared" si="21"/>
        <v/>
      </c>
      <c r="J205" s="3" t="str">
        <f t="shared" si="22"/>
        <v/>
      </c>
      <c r="N205" t="str">
        <f t="shared" si="23"/>
        <v/>
      </c>
      <c r="Q205" s="3" t="str">
        <f t="shared" si="24"/>
        <v/>
      </c>
      <c r="R205" s="3" t="str">
        <f t="shared" si="25"/>
        <v/>
      </c>
      <c r="S205" t="str">
        <f t="shared" si="26"/>
        <v/>
      </c>
      <c r="T205" t="str">
        <f t="shared" si="27"/>
        <v/>
      </c>
    </row>
    <row r="206" spans="1:20" x14ac:dyDescent="0.25">
      <c r="A206" t="str">
        <f>IF('Equipment Information'!A206="","", 'Equipment Information'!A206)</f>
        <v/>
      </c>
      <c r="B206" t="str">
        <f>IF('Equipment Information'!B206="","", 'Equipment Information'!B206)</f>
        <v/>
      </c>
      <c r="C206" t="str">
        <f>IF('Equipment Information'!C206="","", 'Equipment Information'!C206)</f>
        <v/>
      </c>
      <c r="I206" t="str">
        <f t="shared" si="21"/>
        <v/>
      </c>
      <c r="J206" s="3" t="str">
        <f t="shared" si="22"/>
        <v/>
      </c>
      <c r="N206" t="str">
        <f t="shared" si="23"/>
        <v/>
      </c>
      <c r="Q206" s="3" t="str">
        <f t="shared" si="24"/>
        <v/>
      </c>
      <c r="R206" s="3" t="str">
        <f t="shared" si="25"/>
        <v/>
      </c>
      <c r="S206" t="str">
        <f t="shared" si="26"/>
        <v/>
      </c>
      <c r="T206" t="str">
        <f t="shared" si="27"/>
        <v/>
      </c>
    </row>
    <row r="207" spans="1:20" x14ac:dyDescent="0.25">
      <c r="A207" t="str">
        <f>IF('Equipment Information'!A207="","", 'Equipment Information'!A207)</f>
        <v/>
      </c>
      <c r="B207" t="str">
        <f>IF('Equipment Information'!B207="","", 'Equipment Information'!B207)</f>
        <v/>
      </c>
      <c r="C207" t="str">
        <f>IF('Equipment Information'!C207="","", 'Equipment Information'!C207)</f>
        <v/>
      </c>
      <c r="I207" t="str">
        <f t="shared" si="21"/>
        <v/>
      </c>
      <c r="J207" s="3" t="str">
        <f t="shared" si="22"/>
        <v/>
      </c>
      <c r="N207" t="str">
        <f t="shared" si="23"/>
        <v/>
      </c>
      <c r="Q207" s="3" t="str">
        <f t="shared" si="24"/>
        <v/>
      </c>
      <c r="R207" s="3" t="str">
        <f t="shared" si="25"/>
        <v/>
      </c>
      <c r="S207" t="str">
        <f t="shared" si="26"/>
        <v/>
      </c>
      <c r="T207" t="str">
        <f t="shared" si="27"/>
        <v/>
      </c>
    </row>
    <row r="208" spans="1:20" x14ac:dyDescent="0.25">
      <c r="A208" t="str">
        <f>IF('Equipment Information'!A208="","", 'Equipment Information'!A208)</f>
        <v/>
      </c>
      <c r="B208" t="str">
        <f>IF('Equipment Information'!B208="","", 'Equipment Information'!B208)</f>
        <v/>
      </c>
      <c r="C208" t="str">
        <f>IF('Equipment Information'!C208="","", 'Equipment Information'!C208)</f>
        <v/>
      </c>
      <c r="I208" t="str">
        <f t="shared" si="21"/>
        <v/>
      </c>
      <c r="J208" s="3" t="str">
        <f t="shared" si="22"/>
        <v/>
      </c>
      <c r="N208" t="str">
        <f t="shared" si="23"/>
        <v/>
      </c>
      <c r="Q208" s="3" t="str">
        <f t="shared" si="24"/>
        <v/>
      </c>
      <c r="R208" s="3" t="str">
        <f t="shared" si="25"/>
        <v/>
      </c>
      <c r="S208" t="str">
        <f t="shared" si="26"/>
        <v/>
      </c>
      <c r="T208" t="str">
        <f t="shared" si="27"/>
        <v/>
      </c>
    </row>
    <row r="209" spans="1:20" x14ac:dyDescent="0.25">
      <c r="A209" t="str">
        <f>IF('Equipment Information'!A209="","", 'Equipment Information'!A209)</f>
        <v/>
      </c>
      <c r="B209" t="str">
        <f>IF('Equipment Information'!B209="","", 'Equipment Information'!B209)</f>
        <v/>
      </c>
      <c r="C209" t="str">
        <f>IF('Equipment Information'!C209="","", 'Equipment Information'!C209)</f>
        <v/>
      </c>
      <c r="I209" t="str">
        <f t="shared" si="21"/>
        <v/>
      </c>
      <c r="J209" s="3" t="str">
        <f t="shared" si="22"/>
        <v/>
      </c>
      <c r="N209" t="str">
        <f t="shared" si="23"/>
        <v/>
      </c>
      <c r="Q209" s="3" t="str">
        <f t="shared" si="24"/>
        <v/>
      </c>
      <c r="R209" s="3" t="str">
        <f t="shared" si="25"/>
        <v/>
      </c>
      <c r="S209" t="str">
        <f t="shared" si="26"/>
        <v/>
      </c>
      <c r="T209" t="str">
        <f t="shared" si="27"/>
        <v/>
      </c>
    </row>
    <row r="210" spans="1:20" x14ac:dyDescent="0.25">
      <c r="A210" t="str">
        <f>IF('Equipment Information'!A210="","", 'Equipment Information'!A210)</f>
        <v/>
      </c>
      <c r="B210" t="str">
        <f>IF('Equipment Information'!B210="","", 'Equipment Information'!B210)</f>
        <v/>
      </c>
      <c r="C210" t="str">
        <f>IF('Equipment Information'!C210="","", 'Equipment Information'!C210)</f>
        <v/>
      </c>
      <c r="I210" t="str">
        <f t="shared" si="21"/>
        <v/>
      </c>
      <c r="J210" s="3" t="str">
        <f t="shared" si="22"/>
        <v/>
      </c>
      <c r="N210" t="str">
        <f t="shared" si="23"/>
        <v/>
      </c>
      <c r="Q210" s="3" t="str">
        <f t="shared" si="24"/>
        <v/>
      </c>
      <c r="R210" s="3" t="str">
        <f t="shared" si="25"/>
        <v/>
      </c>
      <c r="S210" t="str">
        <f t="shared" si="26"/>
        <v/>
      </c>
      <c r="T210" t="str">
        <f t="shared" si="27"/>
        <v/>
      </c>
    </row>
    <row r="211" spans="1:20" x14ac:dyDescent="0.25">
      <c r="A211" t="str">
        <f>IF('Equipment Information'!A211="","", 'Equipment Information'!A211)</f>
        <v/>
      </c>
      <c r="B211" t="str">
        <f>IF('Equipment Information'!B211="","", 'Equipment Information'!B211)</f>
        <v/>
      </c>
      <c r="C211" t="str">
        <f>IF('Equipment Information'!C211="","", 'Equipment Information'!C211)</f>
        <v/>
      </c>
      <c r="I211" t="str">
        <f t="shared" si="21"/>
        <v/>
      </c>
      <c r="J211" s="3" t="str">
        <f t="shared" si="22"/>
        <v/>
      </c>
      <c r="N211" t="str">
        <f t="shared" si="23"/>
        <v/>
      </c>
      <c r="Q211" s="3" t="str">
        <f t="shared" si="24"/>
        <v/>
      </c>
      <c r="R211" s="3" t="str">
        <f t="shared" si="25"/>
        <v/>
      </c>
      <c r="S211" t="str">
        <f t="shared" si="26"/>
        <v/>
      </c>
      <c r="T211" t="str">
        <f t="shared" si="27"/>
        <v/>
      </c>
    </row>
    <row r="212" spans="1:20" x14ac:dyDescent="0.25">
      <c r="A212" t="str">
        <f>IF('Equipment Information'!A212="","", 'Equipment Information'!A212)</f>
        <v/>
      </c>
      <c r="B212" t="str">
        <f>IF('Equipment Information'!B212="","", 'Equipment Information'!B212)</f>
        <v/>
      </c>
      <c r="C212" t="str">
        <f>IF('Equipment Information'!C212="","", 'Equipment Information'!C212)</f>
        <v/>
      </c>
      <c r="I212" t="str">
        <f t="shared" si="21"/>
        <v/>
      </c>
      <c r="J212" s="3" t="str">
        <f t="shared" si="22"/>
        <v/>
      </c>
      <c r="N212" t="str">
        <f t="shared" si="23"/>
        <v/>
      </c>
      <c r="Q212" s="3" t="str">
        <f t="shared" si="24"/>
        <v/>
      </c>
      <c r="R212" s="3" t="str">
        <f t="shared" si="25"/>
        <v/>
      </c>
      <c r="S212" t="str">
        <f t="shared" si="26"/>
        <v/>
      </c>
      <c r="T212" t="str">
        <f t="shared" si="27"/>
        <v/>
      </c>
    </row>
    <row r="213" spans="1:20" x14ac:dyDescent="0.25">
      <c r="A213" t="str">
        <f>IF('Equipment Information'!A213="","", 'Equipment Information'!A213)</f>
        <v/>
      </c>
      <c r="B213" t="str">
        <f>IF('Equipment Information'!B213="","", 'Equipment Information'!B213)</f>
        <v/>
      </c>
      <c r="C213" t="str">
        <f>IF('Equipment Information'!C213="","", 'Equipment Information'!C213)</f>
        <v/>
      </c>
      <c r="I213" t="str">
        <f t="shared" si="21"/>
        <v/>
      </c>
      <c r="J213" s="3" t="str">
        <f t="shared" si="22"/>
        <v/>
      </c>
      <c r="N213" t="str">
        <f t="shared" si="23"/>
        <v/>
      </c>
      <c r="Q213" s="3" t="str">
        <f t="shared" si="24"/>
        <v/>
      </c>
      <c r="R213" s="3" t="str">
        <f t="shared" si="25"/>
        <v/>
      </c>
      <c r="S213" t="str">
        <f t="shared" si="26"/>
        <v/>
      </c>
      <c r="T213" t="str">
        <f t="shared" si="27"/>
        <v/>
      </c>
    </row>
    <row r="214" spans="1:20" x14ac:dyDescent="0.25">
      <c r="A214" t="str">
        <f>IF('Equipment Information'!A214="","", 'Equipment Information'!A214)</f>
        <v/>
      </c>
      <c r="B214" t="str">
        <f>IF('Equipment Information'!B214="","", 'Equipment Information'!B214)</f>
        <v/>
      </c>
      <c r="C214" t="str">
        <f>IF('Equipment Information'!C214="","", 'Equipment Information'!C214)</f>
        <v/>
      </c>
      <c r="I214" t="str">
        <f t="shared" si="21"/>
        <v/>
      </c>
      <c r="J214" s="3" t="str">
        <f t="shared" si="22"/>
        <v/>
      </c>
      <c r="N214" t="str">
        <f t="shared" si="23"/>
        <v/>
      </c>
      <c r="Q214" s="3" t="str">
        <f t="shared" si="24"/>
        <v/>
      </c>
      <c r="R214" s="3" t="str">
        <f t="shared" si="25"/>
        <v/>
      </c>
      <c r="S214" t="str">
        <f t="shared" si="26"/>
        <v/>
      </c>
      <c r="T214" t="str">
        <f t="shared" si="27"/>
        <v/>
      </c>
    </row>
    <row r="215" spans="1:20" x14ac:dyDescent="0.25">
      <c r="A215" t="str">
        <f>IF('Equipment Information'!A215="","", 'Equipment Information'!A215)</f>
        <v/>
      </c>
      <c r="B215" t="str">
        <f>IF('Equipment Information'!B215="","", 'Equipment Information'!B215)</f>
        <v/>
      </c>
      <c r="C215" t="str">
        <f>IF('Equipment Information'!C215="","", 'Equipment Information'!C215)</f>
        <v/>
      </c>
      <c r="I215" t="str">
        <f t="shared" si="21"/>
        <v/>
      </c>
      <c r="J215" s="3" t="str">
        <f t="shared" si="22"/>
        <v/>
      </c>
      <c r="N215" t="str">
        <f t="shared" si="23"/>
        <v/>
      </c>
      <c r="Q215" s="3" t="str">
        <f t="shared" si="24"/>
        <v/>
      </c>
      <c r="R215" s="3" t="str">
        <f t="shared" si="25"/>
        <v/>
      </c>
      <c r="S215" t="str">
        <f t="shared" si="26"/>
        <v/>
      </c>
      <c r="T215" t="str">
        <f t="shared" si="27"/>
        <v/>
      </c>
    </row>
    <row r="216" spans="1:20" x14ac:dyDescent="0.25">
      <c r="A216" t="str">
        <f>IF('Equipment Information'!A216="","", 'Equipment Information'!A216)</f>
        <v/>
      </c>
      <c r="B216" t="str">
        <f>IF('Equipment Information'!B216="","", 'Equipment Information'!B216)</f>
        <v/>
      </c>
      <c r="C216" t="str">
        <f>IF('Equipment Information'!C216="","", 'Equipment Information'!C216)</f>
        <v/>
      </c>
      <c r="I216" t="str">
        <f t="shared" si="21"/>
        <v/>
      </c>
      <c r="J216" s="3" t="str">
        <f t="shared" si="22"/>
        <v/>
      </c>
      <c r="N216" t="str">
        <f t="shared" si="23"/>
        <v/>
      </c>
      <c r="Q216" s="3" t="str">
        <f t="shared" si="24"/>
        <v/>
      </c>
      <c r="R216" s="3" t="str">
        <f t="shared" si="25"/>
        <v/>
      </c>
      <c r="S216" t="str">
        <f t="shared" si="26"/>
        <v/>
      </c>
      <c r="T216" t="str">
        <f t="shared" si="27"/>
        <v/>
      </c>
    </row>
    <row r="217" spans="1:20" x14ac:dyDescent="0.25">
      <c r="A217" t="str">
        <f>IF('Equipment Information'!A217="","", 'Equipment Information'!A217)</f>
        <v/>
      </c>
      <c r="B217" t="str">
        <f>IF('Equipment Information'!B217="","", 'Equipment Information'!B217)</f>
        <v/>
      </c>
      <c r="C217" t="str">
        <f>IF('Equipment Information'!C217="","", 'Equipment Information'!C217)</f>
        <v/>
      </c>
      <c r="I217" t="str">
        <f t="shared" si="21"/>
        <v/>
      </c>
      <c r="J217" s="3" t="str">
        <f t="shared" si="22"/>
        <v/>
      </c>
      <c r="N217" t="str">
        <f t="shared" si="23"/>
        <v/>
      </c>
      <c r="Q217" s="3" t="str">
        <f t="shared" si="24"/>
        <v/>
      </c>
      <c r="R217" s="3" t="str">
        <f t="shared" si="25"/>
        <v/>
      </c>
      <c r="S217" t="str">
        <f t="shared" si="26"/>
        <v/>
      </c>
      <c r="T217" t="str">
        <f t="shared" si="27"/>
        <v/>
      </c>
    </row>
    <row r="218" spans="1:20" x14ac:dyDescent="0.25">
      <c r="A218" t="str">
        <f>IF('Equipment Information'!A218="","", 'Equipment Information'!A218)</f>
        <v/>
      </c>
      <c r="B218" t="str">
        <f>IF('Equipment Information'!B218="","", 'Equipment Information'!B218)</f>
        <v/>
      </c>
      <c r="C218" t="str">
        <f>IF('Equipment Information'!C218="","", 'Equipment Information'!C218)</f>
        <v/>
      </c>
      <c r="I218" t="str">
        <f t="shared" si="21"/>
        <v/>
      </c>
      <c r="J218" s="3" t="str">
        <f t="shared" si="22"/>
        <v/>
      </c>
      <c r="N218" t="str">
        <f t="shared" si="23"/>
        <v/>
      </c>
      <c r="Q218" s="3" t="str">
        <f t="shared" si="24"/>
        <v/>
      </c>
      <c r="R218" s="3" t="str">
        <f t="shared" si="25"/>
        <v/>
      </c>
      <c r="S218" t="str">
        <f t="shared" si="26"/>
        <v/>
      </c>
      <c r="T218" t="str">
        <f t="shared" si="27"/>
        <v/>
      </c>
    </row>
    <row r="219" spans="1:20" x14ac:dyDescent="0.25">
      <c r="A219" t="str">
        <f>IF('Equipment Information'!A219="","", 'Equipment Information'!A219)</f>
        <v/>
      </c>
      <c r="B219" t="str">
        <f>IF('Equipment Information'!B219="","", 'Equipment Information'!B219)</f>
        <v/>
      </c>
      <c r="C219" t="str">
        <f>IF('Equipment Information'!C219="","", 'Equipment Information'!C219)</f>
        <v/>
      </c>
      <c r="I219" t="str">
        <f t="shared" si="21"/>
        <v/>
      </c>
      <c r="J219" s="3" t="str">
        <f t="shared" si="22"/>
        <v/>
      </c>
      <c r="N219" t="str">
        <f t="shared" si="23"/>
        <v/>
      </c>
      <c r="Q219" s="3" t="str">
        <f t="shared" si="24"/>
        <v/>
      </c>
      <c r="R219" s="3" t="str">
        <f t="shared" si="25"/>
        <v/>
      </c>
      <c r="S219" t="str">
        <f t="shared" si="26"/>
        <v/>
      </c>
      <c r="T219" t="str">
        <f t="shared" si="27"/>
        <v/>
      </c>
    </row>
    <row r="220" spans="1:20" x14ac:dyDescent="0.25">
      <c r="A220" t="str">
        <f>IF('Equipment Information'!A220="","", 'Equipment Information'!A220)</f>
        <v/>
      </c>
      <c r="B220" t="str">
        <f>IF('Equipment Information'!B220="","", 'Equipment Information'!B220)</f>
        <v/>
      </c>
      <c r="C220" t="str">
        <f>IF('Equipment Information'!C220="","", 'Equipment Information'!C220)</f>
        <v/>
      </c>
      <c r="I220" t="str">
        <f t="shared" si="21"/>
        <v/>
      </c>
      <c r="J220" s="3" t="str">
        <f t="shared" si="22"/>
        <v/>
      </c>
      <c r="N220" t="str">
        <f t="shared" si="23"/>
        <v/>
      </c>
      <c r="Q220" s="3" t="str">
        <f t="shared" si="24"/>
        <v/>
      </c>
      <c r="R220" s="3" t="str">
        <f t="shared" si="25"/>
        <v/>
      </c>
      <c r="S220" t="str">
        <f t="shared" si="26"/>
        <v/>
      </c>
      <c r="T220" t="str">
        <f t="shared" si="27"/>
        <v/>
      </c>
    </row>
    <row r="221" spans="1:20" x14ac:dyDescent="0.25">
      <c r="A221" t="str">
        <f>IF('Equipment Information'!A221="","", 'Equipment Information'!A221)</f>
        <v/>
      </c>
      <c r="B221" t="str">
        <f>IF('Equipment Information'!B221="","", 'Equipment Information'!B221)</f>
        <v/>
      </c>
      <c r="C221" t="str">
        <f>IF('Equipment Information'!C221="","", 'Equipment Information'!C221)</f>
        <v/>
      </c>
      <c r="I221" t="str">
        <f t="shared" si="21"/>
        <v/>
      </c>
      <c r="J221" s="3" t="str">
        <f t="shared" si="22"/>
        <v/>
      </c>
      <c r="N221" t="str">
        <f t="shared" si="23"/>
        <v/>
      </c>
      <c r="Q221" s="3" t="str">
        <f t="shared" si="24"/>
        <v/>
      </c>
      <c r="R221" s="3" t="str">
        <f t="shared" si="25"/>
        <v/>
      </c>
      <c r="S221" t="str">
        <f t="shared" si="26"/>
        <v/>
      </c>
      <c r="T221" t="str">
        <f t="shared" si="27"/>
        <v/>
      </c>
    </row>
    <row r="222" spans="1:20" x14ac:dyDescent="0.25">
      <c r="A222" t="str">
        <f>IF('Equipment Information'!A222="","", 'Equipment Information'!A222)</f>
        <v/>
      </c>
      <c r="B222" t="str">
        <f>IF('Equipment Information'!B222="","", 'Equipment Information'!B222)</f>
        <v/>
      </c>
      <c r="C222" t="str">
        <f>IF('Equipment Information'!C222="","", 'Equipment Information'!C222)</f>
        <v/>
      </c>
      <c r="I222" t="str">
        <f t="shared" si="21"/>
        <v/>
      </c>
      <c r="J222" s="3" t="str">
        <f t="shared" si="22"/>
        <v/>
      </c>
      <c r="N222" t="str">
        <f t="shared" si="23"/>
        <v/>
      </c>
      <c r="Q222" s="3" t="str">
        <f t="shared" si="24"/>
        <v/>
      </c>
      <c r="R222" s="3" t="str">
        <f t="shared" si="25"/>
        <v/>
      </c>
      <c r="S222" t="str">
        <f t="shared" si="26"/>
        <v/>
      </c>
      <c r="T222" t="str">
        <f t="shared" si="27"/>
        <v/>
      </c>
    </row>
    <row r="223" spans="1:20" x14ac:dyDescent="0.25">
      <c r="A223" t="str">
        <f>IF('Equipment Information'!A223="","", 'Equipment Information'!A223)</f>
        <v/>
      </c>
      <c r="B223" t="str">
        <f>IF('Equipment Information'!B223="","", 'Equipment Information'!B223)</f>
        <v/>
      </c>
      <c r="C223" t="str">
        <f>IF('Equipment Information'!C223="","", 'Equipment Information'!C223)</f>
        <v/>
      </c>
      <c r="I223" t="str">
        <f t="shared" si="21"/>
        <v/>
      </c>
      <c r="J223" s="3" t="str">
        <f t="shared" si="22"/>
        <v/>
      </c>
      <c r="N223" t="str">
        <f t="shared" si="23"/>
        <v/>
      </c>
      <c r="Q223" s="3" t="str">
        <f t="shared" si="24"/>
        <v/>
      </c>
      <c r="R223" s="3" t="str">
        <f t="shared" si="25"/>
        <v/>
      </c>
      <c r="S223" t="str">
        <f t="shared" si="26"/>
        <v/>
      </c>
      <c r="T223" t="str">
        <f t="shared" si="27"/>
        <v/>
      </c>
    </row>
    <row r="224" spans="1:20" x14ac:dyDescent="0.25">
      <c r="A224" t="str">
        <f>IF('Equipment Information'!A224="","", 'Equipment Information'!A224)</f>
        <v/>
      </c>
      <c r="B224" t="str">
        <f>IF('Equipment Information'!B224="","", 'Equipment Information'!B224)</f>
        <v/>
      </c>
      <c r="C224" t="str">
        <f>IF('Equipment Information'!C224="","", 'Equipment Information'!C224)</f>
        <v/>
      </c>
      <c r="I224" t="str">
        <f t="shared" si="21"/>
        <v/>
      </c>
      <c r="J224" s="3" t="str">
        <f t="shared" si="22"/>
        <v/>
      </c>
      <c r="N224" t="str">
        <f t="shared" si="23"/>
        <v/>
      </c>
      <c r="Q224" s="3" t="str">
        <f t="shared" si="24"/>
        <v/>
      </c>
      <c r="R224" s="3" t="str">
        <f t="shared" si="25"/>
        <v/>
      </c>
      <c r="S224" t="str">
        <f t="shared" si="26"/>
        <v/>
      </c>
      <c r="T224" t="str">
        <f t="shared" si="27"/>
        <v/>
      </c>
    </row>
    <row r="225" spans="1:20" x14ac:dyDescent="0.25">
      <c r="A225" t="str">
        <f>IF('Equipment Information'!A225="","", 'Equipment Information'!A225)</f>
        <v/>
      </c>
      <c r="B225" t="str">
        <f>IF('Equipment Information'!B225="","", 'Equipment Information'!B225)</f>
        <v/>
      </c>
      <c r="C225" t="str">
        <f>IF('Equipment Information'!C225="","", 'Equipment Information'!C225)</f>
        <v/>
      </c>
      <c r="I225" t="str">
        <f t="shared" si="21"/>
        <v/>
      </c>
      <c r="J225" s="3" t="str">
        <f t="shared" si="22"/>
        <v/>
      </c>
      <c r="N225" t="str">
        <f t="shared" si="23"/>
        <v/>
      </c>
      <c r="Q225" s="3" t="str">
        <f t="shared" si="24"/>
        <v/>
      </c>
      <c r="R225" s="3" t="str">
        <f t="shared" si="25"/>
        <v/>
      </c>
      <c r="S225" t="str">
        <f t="shared" si="26"/>
        <v/>
      </c>
      <c r="T225" t="str">
        <f t="shared" si="27"/>
        <v/>
      </c>
    </row>
    <row r="226" spans="1:20" x14ac:dyDescent="0.25">
      <c r="A226" t="str">
        <f>IF('Equipment Information'!A226="","", 'Equipment Information'!A226)</f>
        <v/>
      </c>
      <c r="B226" t="str">
        <f>IF('Equipment Information'!B226="","", 'Equipment Information'!B226)</f>
        <v/>
      </c>
      <c r="C226" t="str">
        <f>IF('Equipment Information'!C226="","", 'Equipment Information'!C226)</f>
        <v/>
      </c>
      <c r="I226" t="str">
        <f t="shared" si="21"/>
        <v/>
      </c>
      <c r="J226" s="3" t="str">
        <f t="shared" si="22"/>
        <v/>
      </c>
      <c r="N226" t="str">
        <f t="shared" si="23"/>
        <v/>
      </c>
      <c r="Q226" s="3" t="str">
        <f t="shared" si="24"/>
        <v/>
      </c>
      <c r="R226" s="3" t="str">
        <f t="shared" si="25"/>
        <v/>
      </c>
      <c r="S226" t="str">
        <f t="shared" si="26"/>
        <v/>
      </c>
      <c r="T226" t="str">
        <f t="shared" si="27"/>
        <v/>
      </c>
    </row>
    <row r="227" spans="1:20" x14ac:dyDescent="0.25">
      <c r="A227" t="str">
        <f>IF('Equipment Information'!A227="","", 'Equipment Information'!A227)</f>
        <v/>
      </c>
      <c r="B227" t="str">
        <f>IF('Equipment Information'!B227="","", 'Equipment Information'!B227)</f>
        <v/>
      </c>
      <c r="C227" t="str">
        <f>IF('Equipment Information'!C227="","", 'Equipment Information'!C227)</f>
        <v/>
      </c>
      <c r="I227" t="str">
        <f t="shared" si="21"/>
        <v/>
      </c>
      <c r="J227" s="3" t="str">
        <f t="shared" si="22"/>
        <v/>
      </c>
      <c r="N227" t="str">
        <f t="shared" si="23"/>
        <v/>
      </c>
      <c r="Q227" s="3" t="str">
        <f t="shared" si="24"/>
        <v/>
      </c>
      <c r="R227" s="3" t="str">
        <f t="shared" si="25"/>
        <v/>
      </c>
      <c r="S227" t="str">
        <f t="shared" si="26"/>
        <v/>
      </c>
      <c r="T227" t="str">
        <f t="shared" si="27"/>
        <v/>
      </c>
    </row>
    <row r="228" spans="1:20" x14ac:dyDescent="0.25">
      <c r="A228" t="str">
        <f>IF('Equipment Information'!A228="","", 'Equipment Information'!A228)</f>
        <v/>
      </c>
      <c r="B228" t="str">
        <f>IF('Equipment Information'!B228="","", 'Equipment Information'!B228)</f>
        <v/>
      </c>
      <c r="C228" t="str">
        <f>IF('Equipment Information'!C228="","", 'Equipment Information'!C228)</f>
        <v/>
      </c>
      <c r="I228" t="str">
        <f t="shared" si="21"/>
        <v/>
      </c>
      <c r="J228" s="3" t="str">
        <f t="shared" si="22"/>
        <v/>
      </c>
      <c r="N228" t="str">
        <f t="shared" si="23"/>
        <v/>
      </c>
      <c r="Q228" s="3" t="str">
        <f t="shared" si="24"/>
        <v/>
      </c>
      <c r="R228" s="3" t="str">
        <f t="shared" si="25"/>
        <v/>
      </c>
      <c r="S228" t="str">
        <f t="shared" si="26"/>
        <v/>
      </c>
      <c r="T228" t="str">
        <f t="shared" si="27"/>
        <v/>
      </c>
    </row>
    <row r="229" spans="1:20" x14ac:dyDescent="0.25">
      <c r="A229" t="str">
        <f>IF('Equipment Information'!A229="","", 'Equipment Information'!A229)</f>
        <v/>
      </c>
      <c r="B229" t="str">
        <f>IF('Equipment Information'!B229="","", 'Equipment Information'!B229)</f>
        <v/>
      </c>
      <c r="C229" t="str">
        <f>IF('Equipment Information'!C229="","", 'Equipment Information'!C229)</f>
        <v/>
      </c>
      <c r="I229" t="str">
        <f t="shared" si="21"/>
        <v/>
      </c>
      <c r="J229" s="3" t="str">
        <f t="shared" si="22"/>
        <v/>
      </c>
      <c r="N229" t="str">
        <f t="shared" si="23"/>
        <v/>
      </c>
      <c r="Q229" s="3" t="str">
        <f t="shared" si="24"/>
        <v/>
      </c>
      <c r="R229" s="3" t="str">
        <f t="shared" si="25"/>
        <v/>
      </c>
      <c r="S229" t="str">
        <f t="shared" si="26"/>
        <v/>
      </c>
      <c r="T229" t="str">
        <f t="shared" si="27"/>
        <v/>
      </c>
    </row>
    <row r="230" spans="1:20" x14ac:dyDescent="0.25">
      <c r="A230" t="str">
        <f>IF('Equipment Information'!A230="","", 'Equipment Information'!A230)</f>
        <v/>
      </c>
      <c r="B230" t="str">
        <f>IF('Equipment Information'!B230="","", 'Equipment Information'!B230)</f>
        <v/>
      </c>
      <c r="C230" t="str">
        <f>IF('Equipment Information'!C230="","", 'Equipment Information'!C230)</f>
        <v/>
      </c>
      <c r="I230" t="str">
        <f t="shared" si="21"/>
        <v/>
      </c>
      <c r="J230" s="3" t="str">
        <f t="shared" si="22"/>
        <v/>
      </c>
      <c r="N230" t="str">
        <f t="shared" si="23"/>
        <v/>
      </c>
      <c r="Q230" s="3" t="str">
        <f t="shared" si="24"/>
        <v/>
      </c>
      <c r="R230" s="3" t="str">
        <f t="shared" si="25"/>
        <v/>
      </c>
      <c r="S230" t="str">
        <f t="shared" si="26"/>
        <v/>
      </c>
      <c r="T230" t="str">
        <f t="shared" si="27"/>
        <v/>
      </c>
    </row>
    <row r="231" spans="1:20" x14ac:dyDescent="0.25">
      <c r="A231" t="str">
        <f>IF('Equipment Information'!A231="","", 'Equipment Information'!A231)</f>
        <v/>
      </c>
      <c r="B231" t="str">
        <f>IF('Equipment Information'!B231="","", 'Equipment Information'!B231)</f>
        <v/>
      </c>
      <c r="C231" t="str">
        <f>IF('Equipment Information'!C231="","", 'Equipment Information'!C231)</f>
        <v/>
      </c>
      <c r="I231" t="str">
        <f t="shared" si="21"/>
        <v/>
      </c>
      <c r="J231" s="3" t="str">
        <f t="shared" si="22"/>
        <v/>
      </c>
      <c r="N231" t="str">
        <f t="shared" si="23"/>
        <v/>
      </c>
      <c r="Q231" s="3" t="str">
        <f t="shared" si="24"/>
        <v/>
      </c>
      <c r="R231" s="3" t="str">
        <f t="shared" si="25"/>
        <v/>
      </c>
      <c r="S231" t="str">
        <f t="shared" si="26"/>
        <v/>
      </c>
      <c r="T231" t="str">
        <f t="shared" si="27"/>
        <v/>
      </c>
    </row>
    <row r="232" spans="1:20" x14ac:dyDescent="0.25">
      <c r="A232" t="str">
        <f>IF('Equipment Information'!A232="","", 'Equipment Information'!A232)</f>
        <v/>
      </c>
      <c r="B232" t="str">
        <f>IF('Equipment Information'!B232="","", 'Equipment Information'!B232)</f>
        <v/>
      </c>
      <c r="C232" t="str">
        <f>IF('Equipment Information'!C232="","", 'Equipment Information'!C232)</f>
        <v/>
      </c>
      <c r="I232" t="str">
        <f t="shared" si="21"/>
        <v/>
      </c>
      <c r="J232" s="3" t="str">
        <f t="shared" si="22"/>
        <v/>
      </c>
      <c r="N232" t="str">
        <f t="shared" si="23"/>
        <v/>
      </c>
      <c r="Q232" s="3" t="str">
        <f t="shared" si="24"/>
        <v/>
      </c>
      <c r="R232" s="3" t="str">
        <f t="shared" si="25"/>
        <v/>
      </c>
      <c r="S232" t="str">
        <f t="shared" si="26"/>
        <v/>
      </c>
      <c r="T232" t="str">
        <f t="shared" si="27"/>
        <v/>
      </c>
    </row>
    <row r="233" spans="1:20" x14ac:dyDescent="0.25">
      <c r="A233" t="str">
        <f>IF('Equipment Information'!A233="","", 'Equipment Information'!A233)</f>
        <v/>
      </c>
      <c r="B233" t="str">
        <f>IF('Equipment Information'!B233="","", 'Equipment Information'!B233)</f>
        <v/>
      </c>
      <c r="C233" t="str">
        <f>IF('Equipment Information'!C233="","", 'Equipment Information'!C233)</f>
        <v/>
      </c>
      <c r="I233" t="str">
        <f t="shared" si="21"/>
        <v/>
      </c>
      <c r="J233" s="3" t="str">
        <f t="shared" si="22"/>
        <v/>
      </c>
      <c r="N233" t="str">
        <f t="shared" si="23"/>
        <v/>
      </c>
      <c r="Q233" s="3" t="str">
        <f t="shared" si="24"/>
        <v/>
      </c>
      <c r="R233" s="3" t="str">
        <f t="shared" si="25"/>
        <v/>
      </c>
      <c r="S233" t="str">
        <f t="shared" si="26"/>
        <v/>
      </c>
      <c r="T233" t="str">
        <f t="shared" si="27"/>
        <v/>
      </c>
    </row>
    <row r="234" spans="1:20" x14ac:dyDescent="0.25">
      <c r="A234" t="str">
        <f>IF('Equipment Information'!A234="","", 'Equipment Information'!A234)</f>
        <v/>
      </c>
      <c r="B234" t="str">
        <f>IF('Equipment Information'!B234="","", 'Equipment Information'!B234)</f>
        <v/>
      </c>
      <c r="C234" t="str">
        <f>IF('Equipment Information'!C234="","", 'Equipment Information'!C234)</f>
        <v/>
      </c>
      <c r="I234" t="str">
        <f t="shared" si="21"/>
        <v/>
      </c>
      <c r="J234" s="3" t="str">
        <f t="shared" si="22"/>
        <v/>
      </c>
      <c r="N234" t="str">
        <f t="shared" si="23"/>
        <v/>
      </c>
      <c r="Q234" s="3" t="str">
        <f t="shared" si="24"/>
        <v/>
      </c>
      <c r="R234" s="3" t="str">
        <f t="shared" si="25"/>
        <v/>
      </c>
      <c r="S234" t="str">
        <f t="shared" si="26"/>
        <v/>
      </c>
      <c r="T234" t="str">
        <f t="shared" si="27"/>
        <v/>
      </c>
    </row>
    <row r="235" spans="1:20" x14ac:dyDescent="0.25">
      <c r="A235" t="str">
        <f>IF('Equipment Information'!A235="","", 'Equipment Information'!A235)</f>
        <v/>
      </c>
      <c r="B235" t="str">
        <f>IF('Equipment Information'!B235="","", 'Equipment Information'!B235)</f>
        <v/>
      </c>
      <c r="C235" t="str">
        <f>IF('Equipment Information'!C235="","", 'Equipment Information'!C235)</f>
        <v/>
      </c>
      <c r="I235" t="str">
        <f t="shared" si="21"/>
        <v/>
      </c>
      <c r="J235" s="3" t="str">
        <f t="shared" si="22"/>
        <v/>
      </c>
      <c r="N235" t="str">
        <f t="shared" si="23"/>
        <v/>
      </c>
      <c r="Q235" s="3" t="str">
        <f t="shared" si="24"/>
        <v/>
      </c>
      <c r="R235" s="3" t="str">
        <f t="shared" si="25"/>
        <v/>
      </c>
      <c r="S235" t="str">
        <f t="shared" si="26"/>
        <v/>
      </c>
      <c r="T235" t="str">
        <f t="shared" si="27"/>
        <v/>
      </c>
    </row>
    <row r="236" spans="1:20" x14ac:dyDescent="0.25">
      <c r="A236" t="str">
        <f>IF('Equipment Information'!A236="","", 'Equipment Information'!A236)</f>
        <v/>
      </c>
      <c r="B236" t="str">
        <f>IF('Equipment Information'!B236="","", 'Equipment Information'!B236)</f>
        <v/>
      </c>
      <c r="C236" t="str">
        <f>IF('Equipment Information'!C236="","", 'Equipment Information'!C236)</f>
        <v/>
      </c>
      <c r="I236" t="str">
        <f t="shared" si="21"/>
        <v/>
      </c>
      <c r="J236" s="3" t="str">
        <f t="shared" si="22"/>
        <v/>
      </c>
      <c r="N236" t="str">
        <f t="shared" si="23"/>
        <v/>
      </c>
      <c r="Q236" s="3" t="str">
        <f t="shared" si="24"/>
        <v/>
      </c>
      <c r="R236" s="3" t="str">
        <f t="shared" si="25"/>
        <v/>
      </c>
      <c r="S236" t="str">
        <f t="shared" si="26"/>
        <v/>
      </c>
      <c r="T236" t="str">
        <f t="shared" si="27"/>
        <v/>
      </c>
    </row>
    <row r="237" spans="1:20" x14ac:dyDescent="0.25">
      <c r="A237" t="str">
        <f>IF('Equipment Information'!A237="","", 'Equipment Information'!A237)</f>
        <v/>
      </c>
      <c r="B237" t="str">
        <f>IF('Equipment Information'!B237="","", 'Equipment Information'!B237)</f>
        <v/>
      </c>
      <c r="C237" t="str">
        <f>IF('Equipment Information'!C237="","", 'Equipment Information'!C237)</f>
        <v/>
      </c>
      <c r="I237" t="str">
        <f t="shared" si="21"/>
        <v/>
      </c>
      <c r="J237" s="3" t="str">
        <f t="shared" si="22"/>
        <v/>
      </c>
      <c r="N237" t="str">
        <f t="shared" si="23"/>
        <v/>
      </c>
      <c r="Q237" s="3" t="str">
        <f t="shared" si="24"/>
        <v/>
      </c>
      <c r="R237" s="3" t="str">
        <f t="shared" si="25"/>
        <v/>
      </c>
      <c r="S237" t="str">
        <f t="shared" si="26"/>
        <v/>
      </c>
      <c r="T237" t="str">
        <f t="shared" si="27"/>
        <v/>
      </c>
    </row>
    <row r="238" spans="1:20" x14ac:dyDescent="0.25">
      <c r="A238" t="str">
        <f>IF('Equipment Information'!A238="","", 'Equipment Information'!A238)</f>
        <v/>
      </c>
      <c r="B238" t="str">
        <f>IF('Equipment Information'!B238="","", 'Equipment Information'!B238)</f>
        <v/>
      </c>
      <c r="C238" t="str">
        <f>IF('Equipment Information'!C238="","", 'Equipment Information'!C238)</f>
        <v/>
      </c>
      <c r="I238" t="str">
        <f t="shared" si="21"/>
        <v/>
      </c>
      <c r="J238" s="3" t="str">
        <f t="shared" si="22"/>
        <v/>
      </c>
      <c r="N238" t="str">
        <f t="shared" si="23"/>
        <v/>
      </c>
      <c r="Q238" s="3" t="str">
        <f t="shared" si="24"/>
        <v/>
      </c>
      <c r="R238" s="3" t="str">
        <f t="shared" si="25"/>
        <v/>
      </c>
      <c r="S238" t="str">
        <f t="shared" si="26"/>
        <v/>
      </c>
      <c r="T238" t="str">
        <f t="shared" si="27"/>
        <v/>
      </c>
    </row>
    <row r="239" spans="1:20" x14ac:dyDescent="0.25">
      <c r="A239" t="str">
        <f>IF('Equipment Information'!A239="","", 'Equipment Information'!A239)</f>
        <v/>
      </c>
      <c r="B239" t="str">
        <f>IF('Equipment Information'!B239="","", 'Equipment Information'!B239)</f>
        <v/>
      </c>
      <c r="C239" t="str">
        <f>IF('Equipment Information'!C239="","", 'Equipment Information'!C239)</f>
        <v/>
      </c>
      <c r="I239" t="str">
        <f t="shared" si="21"/>
        <v/>
      </c>
      <c r="J239" s="3" t="str">
        <f t="shared" si="22"/>
        <v/>
      </c>
      <c r="N239" t="str">
        <f t="shared" si="23"/>
        <v/>
      </c>
      <c r="Q239" s="3" t="str">
        <f t="shared" si="24"/>
        <v/>
      </c>
      <c r="R239" s="3" t="str">
        <f t="shared" si="25"/>
        <v/>
      </c>
      <c r="S239" t="str">
        <f t="shared" si="26"/>
        <v/>
      </c>
      <c r="T239" t="str">
        <f t="shared" si="27"/>
        <v/>
      </c>
    </row>
    <row r="240" spans="1:20" x14ac:dyDescent="0.25">
      <c r="A240" t="str">
        <f>IF('Equipment Information'!A240="","", 'Equipment Information'!A240)</f>
        <v/>
      </c>
      <c r="B240" t="str">
        <f>IF('Equipment Information'!B240="","", 'Equipment Information'!B240)</f>
        <v/>
      </c>
      <c r="C240" t="str">
        <f>IF('Equipment Information'!C240="","", 'Equipment Information'!C240)</f>
        <v/>
      </c>
      <c r="I240" t="str">
        <f t="shared" si="21"/>
        <v/>
      </c>
      <c r="J240" s="3" t="str">
        <f t="shared" si="22"/>
        <v/>
      </c>
      <c r="N240" t="str">
        <f t="shared" si="23"/>
        <v/>
      </c>
      <c r="Q240" s="3" t="str">
        <f t="shared" si="24"/>
        <v/>
      </c>
      <c r="R240" s="3" t="str">
        <f t="shared" si="25"/>
        <v/>
      </c>
      <c r="S240" t="str">
        <f t="shared" si="26"/>
        <v/>
      </c>
      <c r="T240" t="str">
        <f t="shared" si="27"/>
        <v/>
      </c>
    </row>
    <row r="241" spans="1:20" x14ac:dyDescent="0.25">
      <c r="A241" t="str">
        <f>IF('Equipment Information'!A241="","", 'Equipment Information'!A241)</f>
        <v/>
      </c>
      <c r="B241" t="str">
        <f>IF('Equipment Information'!B241="","", 'Equipment Information'!B241)</f>
        <v/>
      </c>
      <c r="C241" t="str">
        <f>IF('Equipment Information'!C241="","", 'Equipment Information'!C241)</f>
        <v/>
      </c>
      <c r="I241" t="str">
        <f t="shared" si="21"/>
        <v/>
      </c>
      <c r="J241" s="3" t="str">
        <f t="shared" si="22"/>
        <v/>
      </c>
      <c r="N241" t="str">
        <f t="shared" si="23"/>
        <v/>
      </c>
      <c r="Q241" s="3" t="str">
        <f t="shared" si="24"/>
        <v/>
      </c>
      <c r="R241" s="3" t="str">
        <f t="shared" si="25"/>
        <v/>
      </c>
      <c r="S241" t="str">
        <f t="shared" si="26"/>
        <v/>
      </c>
      <c r="T241" t="str">
        <f t="shared" si="27"/>
        <v/>
      </c>
    </row>
    <row r="242" spans="1:20" x14ac:dyDescent="0.25">
      <c r="A242" t="str">
        <f>IF('Equipment Information'!A242="","", 'Equipment Information'!A242)</f>
        <v/>
      </c>
      <c r="B242" t="str">
        <f>IF('Equipment Information'!B242="","", 'Equipment Information'!B242)</f>
        <v/>
      </c>
      <c r="C242" t="str">
        <f>IF('Equipment Information'!C242="","", 'Equipment Information'!C242)</f>
        <v/>
      </c>
      <c r="I242" t="str">
        <f t="shared" si="21"/>
        <v/>
      </c>
      <c r="J242" s="3" t="str">
        <f t="shared" si="22"/>
        <v/>
      </c>
      <c r="N242" t="str">
        <f t="shared" si="23"/>
        <v/>
      </c>
      <c r="Q242" s="3" t="str">
        <f t="shared" si="24"/>
        <v/>
      </c>
      <c r="R242" s="3" t="str">
        <f t="shared" si="25"/>
        <v/>
      </c>
      <c r="S242" t="str">
        <f t="shared" si="26"/>
        <v/>
      </c>
      <c r="T242" t="str">
        <f t="shared" si="27"/>
        <v/>
      </c>
    </row>
    <row r="243" spans="1:20" x14ac:dyDescent="0.25">
      <c r="A243" t="str">
        <f>IF('Equipment Information'!A243="","", 'Equipment Information'!A243)</f>
        <v/>
      </c>
      <c r="B243" t="str">
        <f>IF('Equipment Information'!B243="","", 'Equipment Information'!B243)</f>
        <v/>
      </c>
      <c r="C243" t="str">
        <f>IF('Equipment Information'!C243="","", 'Equipment Information'!C243)</f>
        <v/>
      </c>
      <c r="I243" t="str">
        <f t="shared" si="21"/>
        <v/>
      </c>
      <c r="J243" s="3" t="str">
        <f t="shared" si="22"/>
        <v/>
      </c>
      <c r="N243" t="str">
        <f t="shared" si="23"/>
        <v/>
      </c>
      <c r="Q243" s="3" t="str">
        <f t="shared" si="24"/>
        <v/>
      </c>
      <c r="R243" s="3" t="str">
        <f t="shared" si="25"/>
        <v/>
      </c>
      <c r="S243" t="str">
        <f t="shared" si="26"/>
        <v/>
      </c>
      <c r="T243" t="str">
        <f t="shared" si="27"/>
        <v/>
      </c>
    </row>
    <row r="244" spans="1:20" x14ac:dyDescent="0.25">
      <c r="A244" t="str">
        <f>IF('Equipment Information'!A244="","", 'Equipment Information'!A244)</f>
        <v/>
      </c>
      <c r="B244" t="str">
        <f>IF('Equipment Information'!B244="","", 'Equipment Information'!B244)</f>
        <v/>
      </c>
      <c r="C244" t="str">
        <f>IF('Equipment Information'!C244="","", 'Equipment Information'!C244)</f>
        <v/>
      </c>
      <c r="I244" t="str">
        <f t="shared" si="21"/>
        <v/>
      </c>
      <c r="J244" s="3" t="str">
        <f t="shared" si="22"/>
        <v/>
      </c>
      <c r="N244" t="str">
        <f t="shared" si="23"/>
        <v/>
      </c>
      <c r="Q244" s="3" t="str">
        <f t="shared" si="24"/>
        <v/>
      </c>
      <c r="R244" s="3" t="str">
        <f t="shared" si="25"/>
        <v/>
      </c>
      <c r="S244" t="str">
        <f t="shared" si="26"/>
        <v/>
      </c>
      <c r="T244" t="str">
        <f t="shared" si="27"/>
        <v/>
      </c>
    </row>
    <row r="245" spans="1:20" x14ac:dyDescent="0.25">
      <c r="A245" t="str">
        <f>IF('Equipment Information'!A245="","", 'Equipment Information'!A245)</f>
        <v/>
      </c>
      <c r="B245" t="str">
        <f>IF('Equipment Information'!B245="","", 'Equipment Information'!B245)</f>
        <v/>
      </c>
      <c r="C245" t="str">
        <f>IF('Equipment Information'!C245="","", 'Equipment Information'!C245)</f>
        <v/>
      </c>
      <c r="I245" t="str">
        <f t="shared" si="21"/>
        <v/>
      </c>
      <c r="J245" s="3" t="str">
        <f t="shared" si="22"/>
        <v/>
      </c>
      <c r="N245" t="str">
        <f t="shared" si="23"/>
        <v/>
      </c>
      <c r="Q245" s="3" t="str">
        <f t="shared" si="24"/>
        <v/>
      </c>
      <c r="R245" s="3" t="str">
        <f t="shared" si="25"/>
        <v/>
      </c>
      <c r="S245" t="str">
        <f t="shared" si="26"/>
        <v/>
      </c>
      <c r="T245" t="str">
        <f t="shared" si="27"/>
        <v/>
      </c>
    </row>
    <row r="246" spans="1:20" x14ac:dyDescent="0.25">
      <c r="A246" t="str">
        <f>IF('Equipment Information'!A246="","", 'Equipment Information'!A246)</f>
        <v/>
      </c>
      <c r="B246" t="str">
        <f>IF('Equipment Information'!B246="","", 'Equipment Information'!B246)</f>
        <v/>
      </c>
      <c r="C246" t="str">
        <f>IF('Equipment Information'!C246="","", 'Equipment Information'!C246)</f>
        <v/>
      </c>
      <c r="I246" t="str">
        <f t="shared" si="21"/>
        <v/>
      </c>
      <c r="J246" s="3" t="str">
        <f t="shared" si="22"/>
        <v/>
      </c>
      <c r="N246" t="str">
        <f t="shared" si="23"/>
        <v/>
      </c>
      <c r="Q246" s="3" t="str">
        <f t="shared" si="24"/>
        <v/>
      </c>
      <c r="R246" s="3" t="str">
        <f t="shared" si="25"/>
        <v/>
      </c>
      <c r="S246" t="str">
        <f t="shared" si="26"/>
        <v/>
      </c>
      <c r="T246" t="str">
        <f t="shared" si="27"/>
        <v/>
      </c>
    </row>
    <row r="247" spans="1:20" x14ac:dyDescent="0.25">
      <c r="A247" t="str">
        <f>IF('Equipment Information'!A247="","", 'Equipment Information'!A247)</f>
        <v/>
      </c>
      <c r="B247" t="str">
        <f>IF('Equipment Information'!B247="","", 'Equipment Information'!B247)</f>
        <v/>
      </c>
      <c r="C247" t="str">
        <f>IF('Equipment Information'!C247="","", 'Equipment Information'!C247)</f>
        <v/>
      </c>
      <c r="I247" t="str">
        <f t="shared" si="21"/>
        <v/>
      </c>
      <c r="J247" s="3" t="str">
        <f t="shared" si="22"/>
        <v/>
      </c>
      <c r="N247" t="str">
        <f t="shared" si="23"/>
        <v/>
      </c>
      <c r="Q247" s="3" t="str">
        <f t="shared" si="24"/>
        <v/>
      </c>
      <c r="R247" s="3" t="str">
        <f t="shared" si="25"/>
        <v/>
      </c>
      <c r="S247" t="str">
        <f t="shared" si="26"/>
        <v/>
      </c>
      <c r="T247" t="str">
        <f t="shared" si="27"/>
        <v/>
      </c>
    </row>
    <row r="248" spans="1:20" x14ac:dyDescent="0.25">
      <c r="A248" t="str">
        <f>IF('Equipment Information'!A248="","", 'Equipment Information'!A248)</f>
        <v/>
      </c>
      <c r="B248" t="str">
        <f>IF('Equipment Information'!B248="","", 'Equipment Information'!B248)</f>
        <v/>
      </c>
      <c r="C248" t="str">
        <f>IF('Equipment Information'!C248="","", 'Equipment Information'!C248)</f>
        <v/>
      </c>
      <c r="I248" t="str">
        <f t="shared" si="21"/>
        <v/>
      </c>
      <c r="J248" s="3" t="str">
        <f t="shared" si="22"/>
        <v/>
      </c>
      <c r="N248" t="str">
        <f t="shared" si="23"/>
        <v/>
      </c>
      <c r="Q248" s="3" t="str">
        <f t="shared" si="24"/>
        <v/>
      </c>
      <c r="R248" s="3" t="str">
        <f t="shared" si="25"/>
        <v/>
      </c>
      <c r="S248" t="str">
        <f t="shared" si="26"/>
        <v/>
      </c>
      <c r="T248" t="str">
        <f t="shared" si="27"/>
        <v/>
      </c>
    </row>
    <row r="249" spans="1:20" x14ac:dyDescent="0.25">
      <c r="A249" t="str">
        <f>IF('Equipment Information'!A249="","", 'Equipment Information'!A249)</f>
        <v/>
      </c>
      <c r="B249" t="str">
        <f>IF('Equipment Information'!B249="","", 'Equipment Information'!B249)</f>
        <v/>
      </c>
      <c r="C249" t="str">
        <f>IF('Equipment Information'!C249="","", 'Equipment Information'!C249)</f>
        <v/>
      </c>
      <c r="I249" t="str">
        <f t="shared" si="21"/>
        <v/>
      </c>
      <c r="J249" s="3" t="str">
        <f t="shared" si="22"/>
        <v/>
      </c>
      <c r="N249" t="str">
        <f t="shared" si="23"/>
        <v/>
      </c>
      <c r="Q249" s="3" t="str">
        <f t="shared" si="24"/>
        <v/>
      </c>
      <c r="R249" s="3" t="str">
        <f t="shared" si="25"/>
        <v/>
      </c>
      <c r="S249" t="str">
        <f t="shared" si="26"/>
        <v/>
      </c>
      <c r="T249" t="str">
        <f t="shared" si="27"/>
        <v/>
      </c>
    </row>
    <row r="250" spans="1:20" x14ac:dyDescent="0.25">
      <c r="A250" t="str">
        <f>IF('Equipment Information'!A250="","", 'Equipment Information'!A250)</f>
        <v/>
      </c>
      <c r="B250" t="str">
        <f>IF('Equipment Information'!B250="","", 'Equipment Information'!B250)</f>
        <v/>
      </c>
      <c r="C250" t="str">
        <f>IF('Equipment Information'!C250="","", 'Equipment Information'!C250)</f>
        <v/>
      </c>
      <c r="I250" t="str">
        <f t="shared" si="21"/>
        <v/>
      </c>
      <c r="J250" s="3" t="str">
        <f t="shared" si="22"/>
        <v/>
      </c>
      <c r="N250" t="str">
        <f t="shared" si="23"/>
        <v/>
      </c>
      <c r="Q250" s="3" t="str">
        <f t="shared" si="24"/>
        <v/>
      </c>
      <c r="R250" s="3" t="str">
        <f t="shared" si="25"/>
        <v/>
      </c>
      <c r="S250" t="str">
        <f t="shared" si="26"/>
        <v/>
      </c>
      <c r="T250" t="str">
        <f t="shared" si="27"/>
        <v/>
      </c>
    </row>
    <row r="251" spans="1:20" x14ac:dyDescent="0.25">
      <c r="A251" t="str">
        <f>IF('Equipment Information'!A251="","", 'Equipment Information'!A251)</f>
        <v/>
      </c>
      <c r="B251" t="str">
        <f>IF('Equipment Information'!B251="","", 'Equipment Information'!B251)</f>
        <v/>
      </c>
      <c r="C251" t="str">
        <f>IF('Equipment Information'!C251="","", 'Equipment Information'!C251)</f>
        <v/>
      </c>
      <c r="I251" t="str">
        <f t="shared" si="21"/>
        <v/>
      </c>
      <c r="J251" s="3" t="str">
        <f t="shared" si="22"/>
        <v/>
      </c>
      <c r="N251" t="str">
        <f t="shared" si="23"/>
        <v/>
      </c>
      <c r="Q251" s="3" t="str">
        <f t="shared" si="24"/>
        <v/>
      </c>
      <c r="R251" s="3" t="str">
        <f t="shared" si="25"/>
        <v/>
      </c>
      <c r="S251" t="str">
        <f t="shared" si="26"/>
        <v/>
      </c>
      <c r="T251" t="str">
        <f t="shared" si="27"/>
        <v/>
      </c>
    </row>
    <row r="252" spans="1:20" x14ac:dyDescent="0.25">
      <c r="A252" t="str">
        <f>IF('Equipment Information'!A252="","", 'Equipment Information'!A252)</f>
        <v/>
      </c>
      <c r="B252" t="str">
        <f>IF('Equipment Information'!B252="","", 'Equipment Information'!B252)</f>
        <v/>
      </c>
      <c r="C252" t="str">
        <f>IF('Equipment Information'!C252="","", 'Equipment Information'!C252)</f>
        <v/>
      </c>
      <c r="I252" t="str">
        <f t="shared" si="21"/>
        <v/>
      </c>
      <c r="J252" s="3" t="str">
        <f t="shared" si="22"/>
        <v/>
      </c>
      <c r="N252" t="str">
        <f t="shared" si="23"/>
        <v/>
      </c>
      <c r="Q252" s="3" t="str">
        <f t="shared" si="24"/>
        <v/>
      </c>
      <c r="R252" s="3" t="str">
        <f t="shared" si="25"/>
        <v/>
      </c>
      <c r="S252" t="str">
        <f t="shared" si="26"/>
        <v/>
      </c>
      <c r="T252" t="str">
        <f t="shared" si="27"/>
        <v/>
      </c>
    </row>
    <row r="253" spans="1:20" x14ac:dyDescent="0.25">
      <c r="A253" t="str">
        <f>IF('Equipment Information'!A253="","", 'Equipment Information'!A253)</f>
        <v/>
      </c>
      <c r="B253" t="str">
        <f>IF('Equipment Information'!B253="","", 'Equipment Information'!B253)</f>
        <v/>
      </c>
      <c r="C253" t="str">
        <f>IF('Equipment Information'!C253="","", 'Equipment Information'!C253)</f>
        <v/>
      </c>
      <c r="I253" t="str">
        <f t="shared" si="21"/>
        <v/>
      </c>
      <c r="J253" s="3" t="str">
        <f t="shared" si="22"/>
        <v/>
      </c>
      <c r="N253" t="str">
        <f t="shared" si="23"/>
        <v/>
      </c>
      <c r="Q253" s="3" t="str">
        <f t="shared" si="24"/>
        <v/>
      </c>
      <c r="R253" s="3" t="str">
        <f t="shared" si="25"/>
        <v/>
      </c>
      <c r="S253" t="str">
        <f t="shared" si="26"/>
        <v/>
      </c>
      <c r="T253" t="str">
        <f t="shared" si="27"/>
        <v/>
      </c>
    </row>
    <row r="254" spans="1:20" x14ac:dyDescent="0.25">
      <c r="A254" t="str">
        <f>IF('Equipment Information'!A254="","", 'Equipment Information'!A254)</f>
        <v/>
      </c>
      <c r="B254" t="str">
        <f>IF('Equipment Information'!B254="","", 'Equipment Information'!B254)</f>
        <v/>
      </c>
      <c r="C254" t="str">
        <f>IF('Equipment Information'!C254="","", 'Equipment Information'!C254)</f>
        <v/>
      </c>
      <c r="I254" t="str">
        <f t="shared" si="21"/>
        <v/>
      </c>
      <c r="J254" s="3" t="str">
        <f t="shared" si="22"/>
        <v/>
      </c>
      <c r="N254" t="str">
        <f t="shared" si="23"/>
        <v/>
      </c>
      <c r="Q254" s="3" t="str">
        <f t="shared" si="24"/>
        <v/>
      </c>
      <c r="R254" s="3" t="str">
        <f t="shared" si="25"/>
        <v/>
      </c>
      <c r="S254" t="str">
        <f t="shared" si="26"/>
        <v/>
      </c>
      <c r="T254" t="str">
        <f t="shared" si="27"/>
        <v/>
      </c>
    </row>
    <row r="255" spans="1:20" x14ac:dyDescent="0.25">
      <c r="A255" t="str">
        <f>IF('Equipment Information'!A255="","", 'Equipment Information'!A255)</f>
        <v/>
      </c>
      <c r="B255" t="str">
        <f>IF('Equipment Information'!B255="","", 'Equipment Information'!B255)</f>
        <v/>
      </c>
      <c r="C255" t="str">
        <f>IF('Equipment Information'!C255="","", 'Equipment Information'!C255)</f>
        <v/>
      </c>
      <c r="I255" t="str">
        <f t="shared" si="21"/>
        <v/>
      </c>
      <c r="J255" s="3" t="str">
        <f t="shared" si="22"/>
        <v/>
      </c>
      <c r="N255" t="str">
        <f t="shared" si="23"/>
        <v/>
      </c>
      <c r="Q255" s="3" t="str">
        <f t="shared" si="24"/>
        <v/>
      </c>
      <c r="R255" s="3" t="str">
        <f t="shared" si="25"/>
        <v/>
      </c>
      <c r="S255" t="str">
        <f t="shared" si="26"/>
        <v/>
      </c>
      <c r="T255" t="str">
        <f t="shared" si="27"/>
        <v/>
      </c>
    </row>
    <row r="256" spans="1:20" x14ac:dyDescent="0.25">
      <c r="A256" t="str">
        <f>IF('Equipment Information'!A256="","", 'Equipment Information'!A256)</f>
        <v/>
      </c>
      <c r="B256" t="str">
        <f>IF('Equipment Information'!B256="","", 'Equipment Information'!B256)</f>
        <v/>
      </c>
      <c r="C256" t="str">
        <f>IF('Equipment Information'!C256="","", 'Equipment Information'!C256)</f>
        <v/>
      </c>
      <c r="I256" t="str">
        <f t="shared" si="21"/>
        <v/>
      </c>
      <c r="J256" s="3" t="str">
        <f t="shared" si="22"/>
        <v/>
      </c>
      <c r="N256" t="str">
        <f t="shared" si="23"/>
        <v/>
      </c>
      <c r="Q256" s="3" t="str">
        <f t="shared" si="24"/>
        <v/>
      </c>
      <c r="R256" s="3" t="str">
        <f t="shared" si="25"/>
        <v/>
      </c>
      <c r="S256" t="str">
        <f t="shared" si="26"/>
        <v/>
      </c>
      <c r="T256" t="str">
        <f t="shared" si="27"/>
        <v/>
      </c>
    </row>
    <row r="257" spans="1:20" x14ac:dyDescent="0.25">
      <c r="A257" t="str">
        <f>IF('Equipment Information'!A257="","", 'Equipment Information'!A257)</f>
        <v/>
      </c>
      <c r="B257" t="str">
        <f>IF('Equipment Information'!B257="","", 'Equipment Information'!B257)</f>
        <v/>
      </c>
      <c r="C257" t="str">
        <f>IF('Equipment Information'!C257="","", 'Equipment Information'!C257)</f>
        <v/>
      </c>
      <c r="I257" t="str">
        <f t="shared" si="21"/>
        <v/>
      </c>
      <c r="J257" s="3" t="str">
        <f t="shared" si="22"/>
        <v/>
      </c>
      <c r="N257" t="str">
        <f t="shared" si="23"/>
        <v/>
      </c>
      <c r="Q257" s="3" t="str">
        <f t="shared" si="24"/>
        <v/>
      </c>
      <c r="R257" s="3" t="str">
        <f t="shared" si="25"/>
        <v/>
      </c>
      <c r="S257" t="str">
        <f t="shared" si="26"/>
        <v/>
      </c>
      <c r="T257" t="str">
        <f t="shared" si="27"/>
        <v/>
      </c>
    </row>
    <row r="258" spans="1:20" x14ac:dyDescent="0.25">
      <c r="A258" t="str">
        <f>IF('Equipment Information'!A258="","", 'Equipment Information'!A258)</f>
        <v/>
      </c>
      <c r="B258" t="str">
        <f>IF('Equipment Information'!B258="","", 'Equipment Information'!B258)</f>
        <v/>
      </c>
      <c r="C258" t="str">
        <f>IF('Equipment Information'!C258="","", 'Equipment Information'!C258)</f>
        <v/>
      </c>
      <c r="I258" t="str">
        <f t="shared" ref="I258:I321" si="28">IF(A258="","",IF(D258="Three Phase",IF(COUNT(F258:H258)&lt;3,"",AVERAGE(F258:H258)),IF(D258="Single Phase",IF(F258="","",F258),"")))</f>
        <v/>
      </c>
      <c r="J258" s="3" t="str">
        <f t="shared" ref="J258:J321" si="29">IF(A258="","",IF(D258="Three Phase",IF(I258="","",MAX(ABS(F258-I258),ABS(G258-I258),ABS(H258-I258))/I258),""))</f>
        <v/>
      </c>
      <c r="N258" t="str">
        <f t="shared" ref="N258:N321" si="30">IF(A258="","",IF(D258="Three Phase",IF(COUNT(K258:M258)&lt;3,"",AVERAGE(K258:M258)),IF(D258="Single Phase",IF(K258="","",K258),"")))</f>
        <v/>
      </c>
      <c r="Q258" s="3" t="str">
        <f t="shared" ref="Q258:Q321" si="31">IF(A258="","",IF(OR(O258="",N258=""),"",N258/O258))</f>
        <v/>
      </c>
      <c r="R258" s="3" t="str">
        <f t="shared" ref="R258:R321" si="32">IF(A258="","",IF(D258="Three Phase",IF(N258="","",MAX(ABS(K258-N258),ABS(L258-N258),ABS(M258-N258))/N258),""))</f>
        <v/>
      </c>
      <c r="S258" t="str">
        <f t="shared" ref="S258:S321" si="33">IF(A258="","",IF(D258="Single Phase",IF(AND(F258="",K258=""),"No Data Entered",IF(Q258="","Reading Recorded - No Load% (Missing Rated Amps)","Reading Recorded - Load: "&amp;TEXT(Q258,"0.0%"))),IF(AND(F258="",K258=""),"N/A",IF(I258="","Insufficient Voltage Data",IF(AND(J258&gt;0.03,R258&gt;0.15),"Voltage &amp; Current Imbalance",IF(J258&gt;0.03,"Voltage Imbalance",IF(R258&gt;0.15,"Current Imbalance","No Imbalances Detected")))))))</f>
        <v/>
      </c>
      <c r="T258" t="str">
        <f t="shared" si="27"/>
        <v/>
      </c>
    </row>
    <row r="259" spans="1:20" x14ac:dyDescent="0.25">
      <c r="A259" t="str">
        <f>IF('Equipment Information'!A259="","", 'Equipment Information'!A259)</f>
        <v/>
      </c>
      <c r="B259" t="str">
        <f>IF('Equipment Information'!B259="","", 'Equipment Information'!B259)</f>
        <v/>
      </c>
      <c r="C259" t="str">
        <f>IF('Equipment Information'!C259="","", 'Equipment Information'!C259)</f>
        <v/>
      </c>
      <c r="I259" t="str">
        <f t="shared" si="28"/>
        <v/>
      </c>
      <c r="J259" s="3" t="str">
        <f t="shared" si="29"/>
        <v/>
      </c>
      <c r="N259" t="str">
        <f t="shared" si="30"/>
        <v/>
      </c>
      <c r="Q259" s="3" t="str">
        <f t="shared" si="31"/>
        <v/>
      </c>
      <c r="R259" s="3" t="str">
        <f t="shared" si="32"/>
        <v/>
      </c>
      <c r="S259" t="str">
        <f t="shared" si="33"/>
        <v/>
      </c>
      <c r="T259" t="str">
        <f t="shared" si="27"/>
        <v/>
      </c>
    </row>
    <row r="260" spans="1:20" x14ac:dyDescent="0.25">
      <c r="A260" t="str">
        <f>IF('Equipment Information'!A260="","", 'Equipment Information'!A260)</f>
        <v/>
      </c>
      <c r="B260" t="str">
        <f>IF('Equipment Information'!B260="","", 'Equipment Information'!B260)</f>
        <v/>
      </c>
      <c r="C260" t="str">
        <f>IF('Equipment Information'!C260="","", 'Equipment Information'!C260)</f>
        <v/>
      </c>
      <c r="I260" t="str">
        <f t="shared" si="28"/>
        <v/>
      </c>
      <c r="J260" s="3" t="str">
        <f t="shared" si="29"/>
        <v/>
      </c>
      <c r="N260" t="str">
        <f t="shared" si="30"/>
        <v/>
      </c>
      <c r="Q260" s="3" t="str">
        <f t="shared" si="31"/>
        <v/>
      </c>
      <c r="R260" s="3" t="str">
        <f t="shared" si="32"/>
        <v/>
      </c>
      <c r="S260" t="str">
        <f t="shared" si="33"/>
        <v/>
      </c>
      <c r="T260" t="str">
        <f t="shared" si="27"/>
        <v/>
      </c>
    </row>
    <row r="261" spans="1:20" x14ac:dyDescent="0.25">
      <c r="A261" t="str">
        <f>IF('Equipment Information'!A261="","", 'Equipment Information'!A261)</f>
        <v/>
      </c>
      <c r="B261" t="str">
        <f>IF('Equipment Information'!B261="","", 'Equipment Information'!B261)</f>
        <v/>
      </c>
      <c r="C261" t="str">
        <f>IF('Equipment Information'!C261="","", 'Equipment Information'!C261)</f>
        <v/>
      </c>
      <c r="I261" t="str">
        <f t="shared" si="28"/>
        <v/>
      </c>
      <c r="J261" s="3" t="str">
        <f t="shared" si="29"/>
        <v/>
      </c>
      <c r="N261" t="str">
        <f t="shared" si="30"/>
        <v/>
      </c>
      <c r="Q261" s="3" t="str">
        <f t="shared" si="31"/>
        <v/>
      </c>
      <c r="R261" s="3" t="str">
        <f t="shared" si="32"/>
        <v/>
      </c>
      <c r="S261" t="str">
        <f t="shared" si="33"/>
        <v/>
      </c>
      <c r="T261" t="str">
        <f t="shared" ref="T261:T324" si="34">IF(A261="","",IF(D261="Single Phase",IF(AND(F261="",K261=""),"N/A","Pass"),IF(AND(F261="",K261=""),"N/A",IF(OR(J261&gt;0.03,R261&gt;0.15),"Imbalance","Pass"))))</f>
        <v/>
      </c>
    </row>
    <row r="262" spans="1:20" x14ac:dyDescent="0.25">
      <c r="A262" t="str">
        <f>IF('Equipment Information'!A262="","", 'Equipment Information'!A262)</f>
        <v/>
      </c>
      <c r="B262" t="str">
        <f>IF('Equipment Information'!B262="","", 'Equipment Information'!B262)</f>
        <v/>
      </c>
      <c r="C262" t="str">
        <f>IF('Equipment Information'!C262="","", 'Equipment Information'!C262)</f>
        <v/>
      </c>
      <c r="I262" t="str">
        <f t="shared" si="28"/>
        <v/>
      </c>
      <c r="J262" s="3" t="str">
        <f t="shared" si="29"/>
        <v/>
      </c>
      <c r="N262" t="str">
        <f t="shared" si="30"/>
        <v/>
      </c>
      <c r="Q262" s="3" t="str">
        <f t="shared" si="31"/>
        <v/>
      </c>
      <c r="R262" s="3" t="str">
        <f t="shared" si="32"/>
        <v/>
      </c>
      <c r="S262" t="str">
        <f t="shared" si="33"/>
        <v/>
      </c>
      <c r="T262" t="str">
        <f t="shared" si="34"/>
        <v/>
      </c>
    </row>
    <row r="263" spans="1:20" x14ac:dyDescent="0.25">
      <c r="A263" t="str">
        <f>IF('Equipment Information'!A263="","", 'Equipment Information'!A263)</f>
        <v/>
      </c>
      <c r="B263" t="str">
        <f>IF('Equipment Information'!B263="","", 'Equipment Information'!B263)</f>
        <v/>
      </c>
      <c r="C263" t="str">
        <f>IF('Equipment Information'!C263="","", 'Equipment Information'!C263)</f>
        <v/>
      </c>
      <c r="I263" t="str">
        <f t="shared" si="28"/>
        <v/>
      </c>
      <c r="J263" s="3" t="str">
        <f t="shared" si="29"/>
        <v/>
      </c>
      <c r="N263" t="str">
        <f t="shared" si="30"/>
        <v/>
      </c>
      <c r="Q263" s="3" t="str">
        <f t="shared" si="31"/>
        <v/>
      </c>
      <c r="R263" s="3" t="str">
        <f t="shared" si="32"/>
        <v/>
      </c>
      <c r="S263" t="str">
        <f t="shared" si="33"/>
        <v/>
      </c>
      <c r="T263" t="str">
        <f t="shared" si="34"/>
        <v/>
      </c>
    </row>
    <row r="264" spans="1:20" x14ac:dyDescent="0.25">
      <c r="A264" t="str">
        <f>IF('Equipment Information'!A264="","", 'Equipment Information'!A264)</f>
        <v/>
      </c>
      <c r="B264" t="str">
        <f>IF('Equipment Information'!B264="","", 'Equipment Information'!B264)</f>
        <v/>
      </c>
      <c r="C264" t="str">
        <f>IF('Equipment Information'!C264="","", 'Equipment Information'!C264)</f>
        <v/>
      </c>
      <c r="I264" t="str">
        <f t="shared" si="28"/>
        <v/>
      </c>
      <c r="J264" s="3" t="str">
        <f t="shared" si="29"/>
        <v/>
      </c>
      <c r="N264" t="str">
        <f t="shared" si="30"/>
        <v/>
      </c>
      <c r="Q264" s="3" t="str">
        <f t="shared" si="31"/>
        <v/>
      </c>
      <c r="R264" s="3" t="str">
        <f t="shared" si="32"/>
        <v/>
      </c>
      <c r="S264" t="str">
        <f t="shared" si="33"/>
        <v/>
      </c>
      <c r="T264" t="str">
        <f t="shared" si="34"/>
        <v/>
      </c>
    </row>
    <row r="265" spans="1:20" x14ac:dyDescent="0.25">
      <c r="A265" t="str">
        <f>IF('Equipment Information'!A265="","", 'Equipment Information'!A265)</f>
        <v/>
      </c>
      <c r="B265" t="str">
        <f>IF('Equipment Information'!B265="","", 'Equipment Information'!B265)</f>
        <v/>
      </c>
      <c r="C265" t="str">
        <f>IF('Equipment Information'!C265="","", 'Equipment Information'!C265)</f>
        <v/>
      </c>
      <c r="I265" t="str">
        <f t="shared" si="28"/>
        <v/>
      </c>
      <c r="J265" s="3" t="str">
        <f t="shared" si="29"/>
        <v/>
      </c>
      <c r="N265" t="str">
        <f t="shared" si="30"/>
        <v/>
      </c>
      <c r="Q265" s="3" t="str">
        <f t="shared" si="31"/>
        <v/>
      </c>
      <c r="R265" s="3" t="str">
        <f t="shared" si="32"/>
        <v/>
      </c>
      <c r="S265" t="str">
        <f t="shared" si="33"/>
        <v/>
      </c>
      <c r="T265" t="str">
        <f t="shared" si="34"/>
        <v/>
      </c>
    </row>
    <row r="266" spans="1:20" x14ac:dyDescent="0.25">
      <c r="A266" t="str">
        <f>IF('Equipment Information'!A266="","", 'Equipment Information'!A266)</f>
        <v/>
      </c>
      <c r="B266" t="str">
        <f>IF('Equipment Information'!B266="","", 'Equipment Information'!B266)</f>
        <v/>
      </c>
      <c r="C266" t="str">
        <f>IF('Equipment Information'!C266="","", 'Equipment Information'!C266)</f>
        <v/>
      </c>
      <c r="I266" t="str">
        <f t="shared" si="28"/>
        <v/>
      </c>
      <c r="J266" s="3" t="str">
        <f t="shared" si="29"/>
        <v/>
      </c>
      <c r="N266" t="str">
        <f t="shared" si="30"/>
        <v/>
      </c>
      <c r="Q266" s="3" t="str">
        <f t="shared" si="31"/>
        <v/>
      </c>
      <c r="R266" s="3" t="str">
        <f t="shared" si="32"/>
        <v/>
      </c>
      <c r="S266" t="str">
        <f t="shared" si="33"/>
        <v/>
      </c>
      <c r="T266" t="str">
        <f t="shared" si="34"/>
        <v/>
      </c>
    </row>
    <row r="267" spans="1:20" x14ac:dyDescent="0.25">
      <c r="A267" t="str">
        <f>IF('Equipment Information'!A267="","", 'Equipment Information'!A267)</f>
        <v/>
      </c>
      <c r="B267" t="str">
        <f>IF('Equipment Information'!B267="","", 'Equipment Information'!B267)</f>
        <v/>
      </c>
      <c r="C267" t="str">
        <f>IF('Equipment Information'!C267="","", 'Equipment Information'!C267)</f>
        <v/>
      </c>
      <c r="I267" t="str">
        <f t="shared" si="28"/>
        <v/>
      </c>
      <c r="J267" s="3" t="str">
        <f t="shared" si="29"/>
        <v/>
      </c>
      <c r="N267" t="str">
        <f t="shared" si="30"/>
        <v/>
      </c>
      <c r="Q267" s="3" t="str">
        <f t="shared" si="31"/>
        <v/>
      </c>
      <c r="R267" s="3" t="str">
        <f t="shared" si="32"/>
        <v/>
      </c>
      <c r="S267" t="str">
        <f t="shared" si="33"/>
        <v/>
      </c>
      <c r="T267" t="str">
        <f t="shared" si="34"/>
        <v/>
      </c>
    </row>
    <row r="268" spans="1:20" x14ac:dyDescent="0.25">
      <c r="A268" t="str">
        <f>IF('Equipment Information'!A268="","", 'Equipment Information'!A268)</f>
        <v/>
      </c>
      <c r="B268" t="str">
        <f>IF('Equipment Information'!B268="","", 'Equipment Information'!B268)</f>
        <v/>
      </c>
      <c r="C268" t="str">
        <f>IF('Equipment Information'!C268="","", 'Equipment Information'!C268)</f>
        <v/>
      </c>
      <c r="I268" t="str">
        <f t="shared" si="28"/>
        <v/>
      </c>
      <c r="J268" s="3" t="str">
        <f t="shared" si="29"/>
        <v/>
      </c>
      <c r="N268" t="str">
        <f t="shared" si="30"/>
        <v/>
      </c>
      <c r="Q268" s="3" t="str">
        <f t="shared" si="31"/>
        <v/>
      </c>
      <c r="R268" s="3" t="str">
        <f t="shared" si="32"/>
        <v/>
      </c>
      <c r="S268" t="str">
        <f t="shared" si="33"/>
        <v/>
      </c>
      <c r="T268" t="str">
        <f t="shared" si="34"/>
        <v/>
      </c>
    </row>
    <row r="269" spans="1:20" x14ac:dyDescent="0.25">
      <c r="A269" t="str">
        <f>IF('Equipment Information'!A269="","", 'Equipment Information'!A269)</f>
        <v/>
      </c>
      <c r="B269" t="str">
        <f>IF('Equipment Information'!B269="","", 'Equipment Information'!B269)</f>
        <v/>
      </c>
      <c r="C269" t="str">
        <f>IF('Equipment Information'!C269="","", 'Equipment Information'!C269)</f>
        <v/>
      </c>
      <c r="I269" t="str">
        <f t="shared" si="28"/>
        <v/>
      </c>
      <c r="J269" s="3" t="str">
        <f t="shared" si="29"/>
        <v/>
      </c>
      <c r="N269" t="str">
        <f t="shared" si="30"/>
        <v/>
      </c>
      <c r="Q269" s="3" t="str">
        <f t="shared" si="31"/>
        <v/>
      </c>
      <c r="R269" s="3" t="str">
        <f t="shared" si="32"/>
        <v/>
      </c>
      <c r="S269" t="str">
        <f t="shared" si="33"/>
        <v/>
      </c>
      <c r="T269" t="str">
        <f t="shared" si="34"/>
        <v/>
      </c>
    </row>
    <row r="270" spans="1:20" x14ac:dyDescent="0.25">
      <c r="A270" t="str">
        <f>IF('Equipment Information'!A270="","", 'Equipment Information'!A270)</f>
        <v/>
      </c>
      <c r="B270" t="str">
        <f>IF('Equipment Information'!B270="","", 'Equipment Information'!B270)</f>
        <v/>
      </c>
      <c r="C270" t="str">
        <f>IF('Equipment Information'!C270="","", 'Equipment Information'!C270)</f>
        <v/>
      </c>
      <c r="I270" t="str">
        <f t="shared" si="28"/>
        <v/>
      </c>
      <c r="J270" s="3" t="str">
        <f t="shared" si="29"/>
        <v/>
      </c>
      <c r="N270" t="str">
        <f t="shared" si="30"/>
        <v/>
      </c>
      <c r="Q270" s="3" t="str">
        <f t="shared" si="31"/>
        <v/>
      </c>
      <c r="R270" s="3" t="str">
        <f t="shared" si="32"/>
        <v/>
      </c>
      <c r="S270" t="str">
        <f t="shared" si="33"/>
        <v/>
      </c>
      <c r="T270" t="str">
        <f t="shared" si="34"/>
        <v/>
      </c>
    </row>
    <row r="271" spans="1:20" x14ac:dyDescent="0.25">
      <c r="A271" t="str">
        <f>IF('Equipment Information'!A271="","", 'Equipment Information'!A271)</f>
        <v/>
      </c>
      <c r="B271" t="str">
        <f>IF('Equipment Information'!B271="","", 'Equipment Information'!B271)</f>
        <v/>
      </c>
      <c r="C271" t="str">
        <f>IF('Equipment Information'!C271="","", 'Equipment Information'!C271)</f>
        <v/>
      </c>
      <c r="I271" t="str">
        <f t="shared" si="28"/>
        <v/>
      </c>
      <c r="J271" s="3" t="str">
        <f t="shared" si="29"/>
        <v/>
      </c>
      <c r="N271" t="str">
        <f t="shared" si="30"/>
        <v/>
      </c>
      <c r="Q271" s="3" t="str">
        <f t="shared" si="31"/>
        <v/>
      </c>
      <c r="R271" s="3" t="str">
        <f t="shared" si="32"/>
        <v/>
      </c>
      <c r="S271" t="str">
        <f t="shared" si="33"/>
        <v/>
      </c>
      <c r="T271" t="str">
        <f t="shared" si="34"/>
        <v/>
      </c>
    </row>
    <row r="272" spans="1:20" x14ac:dyDescent="0.25">
      <c r="A272" t="str">
        <f>IF('Equipment Information'!A272="","", 'Equipment Information'!A272)</f>
        <v/>
      </c>
      <c r="B272" t="str">
        <f>IF('Equipment Information'!B272="","", 'Equipment Information'!B272)</f>
        <v/>
      </c>
      <c r="C272" t="str">
        <f>IF('Equipment Information'!C272="","", 'Equipment Information'!C272)</f>
        <v/>
      </c>
      <c r="I272" t="str">
        <f t="shared" si="28"/>
        <v/>
      </c>
      <c r="J272" s="3" t="str">
        <f t="shared" si="29"/>
        <v/>
      </c>
      <c r="N272" t="str">
        <f t="shared" si="30"/>
        <v/>
      </c>
      <c r="Q272" s="3" t="str">
        <f t="shared" si="31"/>
        <v/>
      </c>
      <c r="R272" s="3" t="str">
        <f t="shared" si="32"/>
        <v/>
      </c>
      <c r="S272" t="str">
        <f t="shared" si="33"/>
        <v/>
      </c>
      <c r="T272" t="str">
        <f t="shared" si="34"/>
        <v/>
      </c>
    </row>
    <row r="273" spans="1:20" x14ac:dyDescent="0.25">
      <c r="A273" t="str">
        <f>IF('Equipment Information'!A273="","", 'Equipment Information'!A273)</f>
        <v/>
      </c>
      <c r="B273" t="str">
        <f>IF('Equipment Information'!B273="","", 'Equipment Information'!B273)</f>
        <v/>
      </c>
      <c r="C273" t="str">
        <f>IF('Equipment Information'!C273="","", 'Equipment Information'!C273)</f>
        <v/>
      </c>
      <c r="I273" t="str">
        <f t="shared" si="28"/>
        <v/>
      </c>
      <c r="J273" s="3" t="str">
        <f t="shared" si="29"/>
        <v/>
      </c>
      <c r="N273" t="str">
        <f t="shared" si="30"/>
        <v/>
      </c>
      <c r="Q273" s="3" t="str">
        <f t="shared" si="31"/>
        <v/>
      </c>
      <c r="R273" s="3" t="str">
        <f t="shared" si="32"/>
        <v/>
      </c>
      <c r="S273" t="str">
        <f t="shared" si="33"/>
        <v/>
      </c>
      <c r="T273" t="str">
        <f t="shared" si="34"/>
        <v/>
      </c>
    </row>
    <row r="274" spans="1:20" x14ac:dyDescent="0.25">
      <c r="A274" t="str">
        <f>IF('Equipment Information'!A274="","", 'Equipment Information'!A274)</f>
        <v/>
      </c>
      <c r="B274" t="str">
        <f>IF('Equipment Information'!B274="","", 'Equipment Information'!B274)</f>
        <v/>
      </c>
      <c r="C274" t="str">
        <f>IF('Equipment Information'!C274="","", 'Equipment Information'!C274)</f>
        <v/>
      </c>
      <c r="I274" t="str">
        <f t="shared" si="28"/>
        <v/>
      </c>
      <c r="J274" s="3" t="str">
        <f t="shared" si="29"/>
        <v/>
      </c>
      <c r="N274" t="str">
        <f t="shared" si="30"/>
        <v/>
      </c>
      <c r="Q274" s="3" t="str">
        <f t="shared" si="31"/>
        <v/>
      </c>
      <c r="R274" s="3" t="str">
        <f t="shared" si="32"/>
        <v/>
      </c>
      <c r="S274" t="str">
        <f t="shared" si="33"/>
        <v/>
      </c>
      <c r="T274" t="str">
        <f t="shared" si="34"/>
        <v/>
      </c>
    </row>
    <row r="275" spans="1:20" x14ac:dyDescent="0.25">
      <c r="A275" t="str">
        <f>IF('Equipment Information'!A275="","", 'Equipment Information'!A275)</f>
        <v/>
      </c>
      <c r="B275" t="str">
        <f>IF('Equipment Information'!B275="","", 'Equipment Information'!B275)</f>
        <v/>
      </c>
      <c r="C275" t="str">
        <f>IF('Equipment Information'!C275="","", 'Equipment Information'!C275)</f>
        <v/>
      </c>
      <c r="I275" t="str">
        <f t="shared" si="28"/>
        <v/>
      </c>
      <c r="J275" s="3" t="str">
        <f t="shared" si="29"/>
        <v/>
      </c>
      <c r="N275" t="str">
        <f t="shared" si="30"/>
        <v/>
      </c>
      <c r="Q275" s="3" t="str">
        <f t="shared" si="31"/>
        <v/>
      </c>
      <c r="R275" s="3" t="str">
        <f t="shared" si="32"/>
        <v/>
      </c>
      <c r="S275" t="str">
        <f t="shared" si="33"/>
        <v/>
      </c>
      <c r="T275" t="str">
        <f t="shared" si="34"/>
        <v/>
      </c>
    </row>
    <row r="276" spans="1:20" x14ac:dyDescent="0.25">
      <c r="A276" t="str">
        <f>IF('Equipment Information'!A276="","", 'Equipment Information'!A276)</f>
        <v/>
      </c>
      <c r="B276" t="str">
        <f>IF('Equipment Information'!B276="","", 'Equipment Information'!B276)</f>
        <v/>
      </c>
      <c r="C276" t="str">
        <f>IF('Equipment Information'!C276="","", 'Equipment Information'!C276)</f>
        <v/>
      </c>
      <c r="I276" t="str">
        <f t="shared" si="28"/>
        <v/>
      </c>
      <c r="J276" s="3" t="str">
        <f t="shared" si="29"/>
        <v/>
      </c>
      <c r="N276" t="str">
        <f t="shared" si="30"/>
        <v/>
      </c>
      <c r="Q276" s="3" t="str">
        <f t="shared" si="31"/>
        <v/>
      </c>
      <c r="R276" s="3" t="str">
        <f t="shared" si="32"/>
        <v/>
      </c>
      <c r="S276" t="str">
        <f t="shared" si="33"/>
        <v/>
      </c>
      <c r="T276" t="str">
        <f t="shared" si="34"/>
        <v/>
      </c>
    </row>
    <row r="277" spans="1:20" x14ac:dyDescent="0.25">
      <c r="A277" t="str">
        <f>IF('Equipment Information'!A277="","", 'Equipment Information'!A277)</f>
        <v/>
      </c>
      <c r="B277" t="str">
        <f>IF('Equipment Information'!B277="","", 'Equipment Information'!B277)</f>
        <v/>
      </c>
      <c r="C277" t="str">
        <f>IF('Equipment Information'!C277="","", 'Equipment Information'!C277)</f>
        <v/>
      </c>
      <c r="I277" t="str">
        <f t="shared" si="28"/>
        <v/>
      </c>
      <c r="J277" s="3" t="str">
        <f t="shared" si="29"/>
        <v/>
      </c>
      <c r="N277" t="str">
        <f t="shared" si="30"/>
        <v/>
      </c>
      <c r="Q277" s="3" t="str">
        <f t="shared" si="31"/>
        <v/>
      </c>
      <c r="R277" s="3" t="str">
        <f t="shared" si="32"/>
        <v/>
      </c>
      <c r="S277" t="str">
        <f t="shared" si="33"/>
        <v/>
      </c>
      <c r="T277" t="str">
        <f t="shared" si="34"/>
        <v/>
      </c>
    </row>
    <row r="278" spans="1:20" x14ac:dyDescent="0.25">
      <c r="A278" t="str">
        <f>IF('Equipment Information'!A278="","", 'Equipment Information'!A278)</f>
        <v/>
      </c>
      <c r="B278" t="str">
        <f>IF('Equipment Information'!B278="","", 'Equipment Information'!B278)</f>
        <v/>
      </c>
      <c r="C278" t="str">
        <f>IF('Equipment Information'!C278="","", 'Equipment Information'!C278)</f>
        <v/>
      </c>
      <c r="I278" t="str">
        <f t="shared" si="28"/>
        <v/>
      </c>
      <c r="J278" s="3" t="str">
        <f t="shared" si="29"/>
        <v/>
      </c>
      <c r="N278" t="str">
        <f t="shared" si="30"/>
        <v/>
      </c>
      <c r="Q278" s="3" t="str">
        <f t="shared" si="31"/>
        <v/>
      </c>
      <c r="R278" s="3" t="str">
        <f t="shared" si="32"/>
        <v/>
      </c>
      <c r="S278" t="str">
        <f t="shared" si="33"/>
        <v/>
      </c>
      <c r="T278" t="str">
        <f t="shared" si="34"/>
        <v/>
      </c>
    </row>
    <row r="279" spans="1:20" x14ac:dyDescent="0.25">
      <c r="A279" t="str">
        <f>IF('Equipment Information'!A279="","", 'Equipment Information'!A279)</f>
        <v/>
      </c>
      <c r="B279" t="str">
        <f>IF('Equipment Information'!B279="","", 'Equipment Information'!B279)</f>
        <v/>
      </c>
      <c r="C279" t="str">
        <f>IF('Equipment Information'!C279="","", 'Equipment Information'!C279)</f>
        <v/>
      </c>
      <c r="I279" t="str">
        <f t="shared" si="28"/>
        <v/>
      </c>
      <c r="J279" s="3" t="str">
        <f t="shared" si="29"/>
        <v/>
      </c>
      <c r="N279" t="str">
        <f t="shared" si="30"/>
        <v/>
      </c>
      <c r="Q279" s="3" t="str">
        <f t="shared" si="31"/>
        <v/>
      </c>
      <c r="R279" s="3" t="str">
        <f t="shared" si="32"/>
        <v/>
      </c>
      <c r="S279" t="str">
        <f t="shared" si="33"/>
        <v/>
      </c>
      <c r="T279" t="str">
        <f t="shared" si="34"/>
        <v/>
      </c>
    </row>
    <row r="280" spans="1:20" x14ac:dyDescent="0.25">
      <c r="A280" t="str">
        <f>IF('Equipment Information'!A280="","", 'Equipment Information'!A280)</f>
        <v/>
      </c>
      <c r="B280" t="str">
        <f>IF('Equipment Information'!B280="","", 'Equipment Information'!B280)</f>
        <v/>
      </c>
      <c r="C280" t="str">
        <f>IF('Equipment Information'!C280="","", 'Equipment Information'!C280)</f>
        <v/>
      </c>
      <c r="I280" t="str">
        <f t="shared" si="28"/>
        <v/>
      </c>
      <c r="J280" s="3" t="str">
        <f t="shared" si="29"/>
        <v/>
      </c>
      <c r="N280" t="str">
        <f t="shared" si="30"/>
        <v/>
      </c>
      <c r="Q280" s="3" t="str">
        <f t="shared" si="31"/>
        <v/>
      </c>
      <c r="R280" s="3" t="str">
        <f t="shared" si="32"/>
        <v/>
      </c>
      <c r="S280" t="str">
        <f t="shared" si="33"/>
        <v/>
      </c>
      <c r="T280" t="str">
        <f t="shared" si="34"/>
        <v/>
      </c>
    </row>
    <row r="281" spans="1:20" x14ac:dyDescent="0.25">
      <c r="A281" t="str">
        <f>IF('Equipment Information'!A281="","", 'Equipment Information'!A281)</f>
        <v/>
      </c>
      <c r="B281" t="str">
        <f>IF('Equipment Information'!B281="","", 'Equipment Information'!B281)</f>
        <v/>
      </c>
      <c r="C281" t="str">
        <f>IF('Equipment Information'!C281="","", 'Equipment Information'!C281)</f>
        <v/>
      </c>
      <c r="I281" t="str">
        <f t="shared" si="28"/>
        <v/>
      </c>
      <c r="J281" s="3" t="str">
        <f t="shared" si="29"/>
        <v/>
      </c>
      <c r="N281" t="str">
        <f t="shared" si="30"/>
        <v/>
      </c>
      <c r="Q281" s="3" t="str">
        <f t="shared" si="31"/>
        <v/>
      </c>
      <c r="R281" s="3" t="str">
        <f t="shared" si="32"/>
        <v/>
      </c>
      <c r="S281" t="str">
        <f t="shared" si="33"/>
        <v/>
      </c>
      <c r="T281" t="str">
        <f t="shared" si="34"/>
        <v/>
      </c>
    </row>
    <row r="282" spans="1:20" x14ac:dyDescent="0.25">
      <c r="A282" t="str">
        <f>IF('Equipment Information'!A282="","", 'Equipment Information'!A282)</f>
        <v/>
      </c>
      <c r="B282" t="str">
        <f>IF('Equipment Information'!B282="","", 'Equipment Information'!B282)</f>
        <v/>
      </c>
      <c r="C282" t="str">
        <f>IF('Equipment Information'!C282="","", 'Equipment Information'!C282)</f>
        <v/>
      </c>
      <c r="I282" t="str">
        <f t="shared" si="28"/>
        <v/>
      </c>
      <c r="J282" s="3" t="str">
        <f t="shared" si="29"/>
        <v/>
      </c>
      <c r="N282" t="str">
        <f t="shared" si="30"/>
        <v/>
      </c>
      <c r="Q282" s="3" t="str">
        <f t="shared" si="31"/>
        <v/>
      </c>
      <c r="R282" s="3" t="str">
        <f t="shared" si="32"/>
        <v/>
      </c>
      <c r="S282" t="str">
        <f t="shared" si="33"/>
        <v/>
      </c>
      <c r="T282" t="str">
        <f t="shared" si="34"/>
        <v/>
      </c>
    </row>
    <row r="283" spans="1:20" x14ac:dyDescent="0.25">
      <c r="A283" t="str">
        <f>IF('Equipment Information'!A283="","", 'Equipment Information'!A283)</f>
        <v/>
      </c>
      <c r="B283" t="str">
        <f>IF('Equipment Information'!B283="","", 'Equipment Information'!B283)</f>
        <v/>
      </c>
      <c r="C283" t="str">
        <f>IF('Equipment Information'!C283="","", 'Equipment Information'!C283)</f>
        <v/>
      </c>
      <c r="I283" t="str">
        <f t="shared" si="28"/>
        <v/>
      </c>
      <c r="J283" s="3" t="str">
        <f t="shared" si="29"/>
        <v/>
      </c>
      <c r="N283" t="str">
        <f t="shared" si="30"/>
        <v/>
      </c>
      <c r="Q283" s="3" t="str">
        <f t="shared" si="31"/>
        <v/>
      </c>
      <c r="R283" s="3" t="str">
        <f t="shared" si="32"/>
        <v/>
      </c>
      <c r="S283" t="str">
        <f t="shared" si="33"/>
        <v/>
      </c>
      <c r="T283" t="str">
        <f t="shared" si="34"/>
        <v/>
      </c>
    </row>
    <row r="284" spans="1:20" x14ac:dyDescent="0.25">
      <c r="A284" t="str">
        <f>IF('Equipment Information'!A284="","", 'Equipment Information'!A284)</f>
        <v/>
      </c>
      <c r="B284" t="str">
        <f>IF('Equipment Information'!B284="","", 'Equipment Information'!B284)</f>
        <v/>
      </c>
      <c r="C284" t="str">
        <f>IF('Equipment Information'!C284="","", 'Equipment Information'!C284)</f>
        <v/>
      </c>
      <c r="I284" t="str">
        <f t="shared" si="28"/>
        <v/>
      </c>
      <c r="J284" s="3" t="str">
        <f t="shared" si="29"/>
        <v/>
      </c>
      <c r="N284" t="str">
        <f t="shared" si="30"/>
        <v/>
      </c>
      <c r="Q284" s="3" t="str">
        <f t="shared" si="31"/>
        <v/>
      </c>
      <c r="R284" s="3" t="str">
        <f t="shared" si="32"/>
        <v/>
      </c>
      <c r="S284" t="str">
        <f t="shared" si="33"/>
        <v/>
      </c>
      <c r="T284" t="str">
        <f t="shared" si="34"/>
        <v/>
      </c>
    </row>
    <row r="285" spans="1:20" x14ac:dyDescent="0.25">
      <c r="A285" t="str">
        <f>IF('Equipment Information'!A285="","", 'Equipment Information'!A285)</f>
        <v/>
      </c>
      <c r="B285" t="str">
        <f>IF('Equipment Information'!B285="","", 'Equipment Information'!B285)</f>
        <v/>
      </c>
      <c r="C285" t="str">
        <f>IF('Equipment Information'!C285="","", 'Equipment Information'!C285)</f>
        <v/>
      </c>
      <c r="I285" t="str">
        <f t="shared" si="28"/>
        <v/>
      </c>
      <c r="J285" s="3" t="str">
        <f t="shared" si="29"/>
        <v/>
      </c>
      <c r="N285" t="str">
        <f t="shared" si="30"/>
        <v/>
      </c>
      <c r="Q285" s="3" t="str">
        <f t="shared" si="31"/>
        <v/>
      </c>
      <c r="R285" s="3" t="str">
        <f t="shared" si="32"/>
        <v/>
      </c>
      <c r="S285" t="str">
        <f t="shared" si="33"/>
        <v/>
      </c>
      <c r="T285" t="str">
        <f t="shared" si="34"/>
        <v/>
      </c>
    </row>
    <row r="286" spans="1:20" x14ac:dyDescent="0.25">
      <c r="A286" t="str">
        <f>IF('Equipment Information'!A286="","", 'Equipment Information'!A286)</f>
        <v/>
      </c>
      <c r="B286" t="str">
        <f>IF('Equipment Information'!B286="","", 'Equipment Information'!B286)</f>
        <v/>
      </c>
      <c r="C286" t="str">
        <f>IF('Equipment Information'!C286="","", 'Equipment Information'!C286)</f>
        <v/>
      </c>
      <c r="I286" t="str">
        <f t="shared" si="28"/>
        <v/>
      </c>
      <c r="J286" s="3" t="str">
        <f t="shared" si="29"/>
        <v/>
      </c>
      <c r="N286" t="str">
        <f t="shared" si="30"/>
        <v/>
      </c>
      <c r="Q286" s="3" t="str">
        <f t="shared" si="31"/>
        <v/>
      </c>
      <c r="R286" s="3" t="str">
        <f t="shared" si="32"/>
        <v/>
      </c>
      <c r="S286" t="str">
        <f t="shared" si="33"/>
        <v/>
      </c>
      <c r="T286" t="str">
        <f t="shared" si="34"/>
        <v/>
      </c>
    </row>
    <row r="287" spans="1:20" x14ac:dyDescent="0.25">
      <c r="A287" t="str">
        <f>IF('Equipment Information'!A287="","", 'Equipment Information'!A287)</f>
        <v/>
      </c>
      <c r="B287" t="str">
        <f>IF('Equipment Information'!B287="","", 'Equipment Information'!B287)</f>
        <v/>
      </c>
      <c r="C287" t="str">
        <f>IF('Equipment Information'!C287="","", 'Equipment Information'!C287)</f>
        <v/>
      </c>
      <c r="I287" t="str">
        <f t="shared" si="28"/>
        <v/>
      </c>
      <c r="J287" s="3" t="str">
        <f t="shared" si="29"/>
        <v/>
      </c>
      <c r="N287" t="str">
        <f t="shared" si="30"/>
        <v/>
      </c>
      <c r="Q287" s="3" t="str">
        <f t="shared" si="31"/>
        <v/>
      </c>
      <c r="R287" s="3" t="str">
        <f t="shared" si="32"/>
        <v/>
      </c>
      <c r="S287" t="str">
        <f t="shared" si="33"/>
        <v/>
      </c>
      <c r="T287" t="str">
        <f t="shared" si="34"/>
        <v/>
      </c>
    </row>
    <row r="288" spans="1:20" x14ac:dyDescent="0.25">
      <c r="A288" t="str">
        <f>IF('Equipment Information'!A288="","", 'Equipment Information'!A288)</f>
        <v/>
      </c>
      <c r="B288" t="str">
        <f>IF('Equipment Information'!B288="","", 'Equipment Information'!B288)</f>
        <v/>
      </c>
      <c r="C288" t="str">
        <f>IF('Equipment Information'!C288="","", 'Equipment Information'!C288)</f>
        <v/>
      </c>
      <c r="I288" t="str">
        <f t="shared" si="28"/>
        <v/>
      </c>
      <c r="J288" s="3" t="str">
        <f t="shared" si="29"/>
        <v/>
      </c>
      <c r="N288" t="str">
        <f t="shared" si="30"/>
        <v/>
      </c>
      <c r="Q288" s="3" t="str">
        <f t="shared" si="31"/>
        <v/>
      </c>
      <c r="R288" s="3" t="str">
        <f t="shared" si="32"/>
        <v/>
      </c>
      <c r="S288" t="str">
        <f t="shared" si="33"/>
        <v/>
      </c>
      <c r="T288" t="str">
        <f t="shared" si="34"/>
        <v/>
      </c>
    </row>
    <row r="289" spans="1:20" x14ac:dyDescent="0.25">
      <c r="A289" t="str">
        <f>IF('Equipment Information'!A289="","", 'Equipment Information'!A289)</f>
        <v/>
      </c>
      <c r="B289" t="str">
        <f>IF('Equipment Information'!B289="","", 'Equipment Information'!B289)</f>
        <v/>
      </c>
      <c r="C289" t="str">
        <f>IF('Equipment Information'!C289="","", 'Equipment Information'!C289)</f>
        <v/>
      </c>
      <c r="I289" t="str">
        <f t="shared" si="28"/>
        <v/>
      </c>
      <c r="J289" s="3" t="str">
        <f t="shared" si="29"/>
        <v/>
      </c>
      <c r="N289" t="str">
        <f t="shared" si="30"/>
        <v/>
      </c>
      <c r="Q289" s="3" t="str">
        <f t="shared" si="31"/>
        <v/>
      </c>
      <c r="R289" s="3" t="str">
        <f t="shared" si="32"/>
        <v/>
      </c>
      <c r="S289" t="str">
        <f t="shared" si="33"/>
        <v/>
      </c>
      <c r="T289" t="str">
        <f t="shared" si="34"/>
        <v/>
      </c>
    </row>
    <row r="290" spans="1:20" x14ac:dyDescent="0.25">
      <c r="A290" t="str">
        <f>IF('Equipment Information'!A290="","", 'Equipment Information'!A290)</f>
        <v/>
      </c>
      <c r="B290" t="str">
        <f>IF('Equipment Information'!B290="","", 'Equipment Information'!B290)</f>
        <v/>
      </c>
      <c r="C290" t="str">
        <f>IF('Equipment Information'!C290="","", 'Equipment Information'!C290)</f>
        <v/>
      </c>
      <c r="I290" t="str">
        <f t="shared" si="28"/>
        <v/>
      </c>
      <c r="J290" s="3" t="str">
        <f t="shared" si="29"/>
        <v/>
      </c>
      <c r="N290" t="str">
        <f t="shared" si="30"/>
        <v/>
      </c>
      <c r="Q290" s="3" t="str">
        <f t="shared" si="31"/>
        <v/>
      </c>
      <c r="R290" s="3" t="str">
        <f t="shared" si="32"/>
        <v/>
      </c>
      <c r="S290" t="str">
        <f t="shared" si="33"/>
        <v/>
      </c>
      <c r="T290" t="str">
        <f t="shared" si="34"/>
        <v/>
      </c>
    </row>
    <row r="291" spans="1:20" x14ac:dyDescent="0.25">
      <c r="A291" t="str">
        <f>IF('Equipment Information'!A291="","", 'Equipment Information'!A291)</f>
        <v/>
      </c>
      <c r="B291" t="str">
        <f>IF('Equipment Information'!B291="","", 'Equipment Information'!B291)</f>
        <v/>
      </c>
      <c r="C291" t="str">
        <f>IF('Equipment Information'!C291="","", 'Equipment Information'!C291)</f>
        <v/>
      </c>
      <c r="I291" t="str">
        <f t="shared" si="28"/>
        <v/>
      </c>
      <c r="J291" s="3" t="str">
        <f t="shared" si="29"/>
        <v/>
      </c>
      <c r="N291" t="str">
        <f t="shared" si="30"/>
        <v/>
      </c>
      <c r="Q291" s="3" t="str">
        <f t="shared" si="31"/>
        <v/>
      </c>
      <c r="R291" s="3" t="str">
        <f t="shared" si="32"/>
        <v/>
      </c>
      <c r="S291" t="str">
        <f t="shared" si="33"/>
        <v/>
      </c>
      <c r="T291" t="str">
        <f t="shared" si="34"/>
        <v/>
      </c>
    </row>
    <row r="292" spans="1:20" x14ac:dyDescent="0.25">
      <c r="A292" t="str">
        <f>IF('Equipment Information'!A292="","", 'Equipment Information'!A292)</f>
        <v/>
      </c>
      <c r="B292" t="str">
        <f>IF('Equipment Information'!B292="","", 'Equipment Information'!B292)</f>
        <v/>
      </c>
      <c r="C292" t="str">
        <f>IF('Equipment Information'!C292="","", 'Equipment Information'!C292)</f>
        <v/>
      </c>
      <c r="I292" t="str">
        <f t="shared" si="28"/>
        <v/>
      </c>
      <c r="J292" s="3" t="str">
        <f t="shared" si="29"/>
        <v/>
      </c>
      <c r="N292" t="str">
        <f t="shared" si="30"/>
        <v/>
      </c>
      <c r="Q292" s="3" t="str">
        <f t="shared" si="31"/>
        <v/>
      </c>
      <c r="R292" s="3" t="str">
        <f t="shared" si="32"/>
        <v/>
      </c>
      <c r="S292" t="str">
        <f t="shared" si="33"/>
        <v/>
      </c>
      <c r="T292" t="str">
        <f t="shared" si="34"/>
        <v/>
      </c>
    </row>
    <row r="293" spans="1:20" x14ac:dyDescent="0.25">
      <c r="A293" t="str">
        <f>IF('Equipment Information'!A293="","", 'Equipment Information'!A293)</f>
        <v/>
      </c>
      <c r="B293" t="str">
        <f>IF('Equipment Information'!B293="","", 'Equipment Information'!B293)</f>
        <v/>
      </c>
      <c r="C293" t="str">
        <f>IF('Equipment Information'!C293="","", 'Equipment Information'!C293)</f>
        <v/>
      </c>
      <c r="I293" t="str">
        <f t="shared" si="28"/>
        <v/>
      </c>
      <c r="J293" s="3" t="str">
        <f t="shared" si="29"/>
        <v/>
      </c>
      <c r="N293" t="str">
        <f t="shared" si="30"/>
        <v/>
      </c>
      <c r="Q293" s="3" t="str">
        <f t="shared" si="31"/>
        <v/>
      </c>
      <c r="R293" s="3" t="str">
        <f t="shared" si="32"/>
        <v/>
      </c>
      <c r="S293" t="str">
        <f t="shared" si="33"/>
        <v/>
      </c>
      <c r="T293" t="str">
        <f t="shared" si="34"/>
        <v/>
      </c>
    </row>
    <row r="294" spans="1:20" x14ac:dyDescent="0.25">
      <c r="A294" t="str">
        <f>IF('Equipment Information'!A294="","", 'Equipment Information'!A294)</f>
        <v/>
      </c>
      <c r="B294" t="str">
        <f>IF('Equipment Information'!B294="","", 'Equipment Information'!B294)</f>
        <v/>
      </c>
      <c r="C294" t="str">
        <f>IF('Equipment Information'!C294="","", 'Equipment Information'!C294)</f>
        <v/>
      </c>
      <c r="I294" t="str">
        <f t="shared" si="28"/>
        <v/>
      </c>
      <c r="J294" s="3" t="str">
        <f t="shared" si="29"/>
        <v/>
      </c>
      <c r="N294" t="str">
        <f t="shared" si="30"/>
        <v/>
      </c>
      <c r="Q294" s="3" t="str">
        <f t="shared" si="31"/>
        <v/>
      </c>
      <c r="R294" s="3" t="str">
        <f t="shared" si="32"/>
        <v/>
      </c>
      <c r="S294" t="str">
        <f t="shared" si="33"/>
        <v/>
      </c>
      <c r="T294" t="str">
        <f t="shared" si="34"/>
        <v/>
      </c>
    </row>
    <row r="295" spans="1:20" x14ac:dyDescent="0.25">
      <c r="A295" t="str">
        <f>IF('Equipment Information'!A295="","", 'Equipment Information'!A295)</f>
        <v/>
      </c>
      <c r="B295" t="str">
        <f>IF('Equipment Information'!B295="","", 'Equipment Information'!B295)</f>
        <v/>
      </c>
      <c r="C295" t="str">
        <f>IF('Equipment Information'!C295="","", 'Equipment Information'!C295)</f>
        <v/>
      </c>
      <c r="I295" t="str">
        <f t="shared" si="28"/>
        <v/>
      </c>
      <c r="J295" s="3" t="str">
        <f t="shared" si="29"/>
        <v/>
      </c>
      <c r="N295" t="str">
        <f t="shared" si="30"/>
        <v/>
      </c>
      <c r="Q295" s="3" t="str">
        <f t="shared" si="31"/>
        <v/>
      </c>
      <c r="R295" s="3" t="str">
        <f t="shared" si="32"/>
        <v/>
      </c>
      <c r="S295" t="str">
        <f t="shared" si="33"/>
        <v/>
      </c>
      <c r="T295" t="str">
        <f t="shared" si="34"/>
        <v/>
      </c>
    </row>
    <row r="296" spans="1:20" x14ac:dyDescent="0.25">
      <c r="A296" t="str">
        <f>IF('Equipment Information'!A296="","", 'Equipment Information'!A296)</f>
        <v/>
      </c>
      <c r="B296" t="str">
        <f>IF('Equipment Information'!B296="","", 'Equipment Information'!B296)</f>
        <v/>
      </c>
      <c r="C296" t="str">
        <f>IF('Equipment Information'!C296="","", 'Equipment Information'!C296)</f>
        <v/>
      </c>
      <c r="I296" t="str">
        <f t="shared" si="28"/>
        <v/>
      </c>
      <c r="J296" s="3" t="str">
        <f t="shared" si="29"/>
        <v/>
      </c>
      <c r="N296" t="str">
        <f t="shared" si="30"/>
        <v/>
      </c>
      <c r="Q296" s="3" t="str">
        <f t="shared" si="31"/>
        <v/>
      </c>
      <c r="R296" s="3" t="str">
        <f t="shared" si="32"/>
        <v/>
      </c>
      <c r="S296" t="str">
        <f t="shared" si="33"/>
        <v/>
      </c>
      <c r="T296" t="str">
        <f t="shared" si="34"/>
        <v/>
      </c>
    </row>
    <row r="297" spans="1:20" x14ac:dyDescent="0.25">
      <c r="A297" t="str">
        <f>IF('Equipment Information'!A297="","", 'Equipment Information'!A297)</f>
        <v/>
      </c>
      <c r="B297" t="str">
        <f>IF('Equipment Information'!B297="","", 'Equipment Information'!B297)</f>
        <v/>
      </c>
      <c r="C297" t="str">
        <f>IF('Equipment Information'!C297="","", 'Equipment Information'!C297)</f>
        <v/>
      </c>
      <c r="I297" t="str">
        <f t="shared" si="28"/>
        <v/>
      </c>
      <c r="J297" s="3" t="str">
        <f t="shared" si="29"/>
        <v/>
      </c>
      <c r="N297" t="str">
        <f t="shared" si="30"/>
        <v/>
      </c>
      <c r="Q297" s="3" t="str">
        <f t="shared" si="31"/>
        <v/>
      </c>
      <c r="R297" s="3" t="str">
        <f t="shared" si="32"/>
        <v/>
      </c>
      <c r="S297" t="str">
        <f t="shared" si="33"/>
        <v/>
      </c>
      <c r="T297" t="str">
        <f t="shared" si="34"/>
        <v/>
      </c>
    </row>
    <row r="298" spans="1:20" x14ac:dyDescent="0.25">
      <c r="A298" t="str">
        <f>IF('Equipment Information'!A298="","", 'Equipment Information'!A298)</f>
        <v/>
      </c>
      <c r="B298" t="str">
        <f>IF('Equipment Information'!B298="","", 'Equipment Information'!B298)</f>
        <v/>
      </c>
      <c r="C298" t="str">
        <f>IF('Equipment Information'!C298="","", 'Equipment Information'!C298)</f>
        <v/>
      </c>
      <c r="I298" t="str">
        <f t="shared" si="28"/>
        <v/>
      </c>
      <c r="J298" s="3" t="str">
        <f t="shared" si="29"/>
        <v/>
      </c>
      <c r="N298" t="str">
        <f t="shared" si="30"/>
        <v/>
      </c>
      <c r="Q298" s="3" t="str">
        <f t="shared" si="31"/>
        <v/>
      </c>
      <c r="R298" s="3" t="str">
        <f t="shared" si="32"/>
        <v/>
      </c>
      <c r="S298" t="str">
        <f t="shared" si="33"/>
        <v/>
      </c>
      <c r="T298" t="str">
        <f t="shared" si="34"/>
        <v/>
      </c>
    </row>
    <row r="299" spans="1:20" x14ac:dyDescent="0.25">
      <c r="A299" t="str">
        <f>IF('Equipment Information'!A299="","", 'Equipment Information'!A299)</f>
        <v/>
      </c>
      <c r="B299" t="str">
        <f>IF('Equipment Information'!B299="","", 'Equipment Information'!B299)</f>
        <v/>
      </c>
      <c r="C299" t="str">
        <f>IF('Equipment Information'!C299="","", 'Equipment Information'!C299)</f>
        <v/>
      </c>
      <c r="I299" t="str">
        <f t="shared" si="28"/>
        <v/>
      </c>
      <c r="J299" s="3" t="str">
        <f t="shared" si="29"/>
        <v/>
      </c>
      <c r="N299" t="str">
        <f t="shared" si="30"/>
        <v/>
      </c>
      <c r="Q299" s="3" t="str">
        <f t="shared" si="31"/>
        <v/>
      </c>
      <c r="R299" s="3" t="str">
        <f t="shared" si="32"/>
        <v/>
      </c>
      <c r="S299" t="str">
        <f t="shared" si="33"/>
        <v/>
      </c>
      <c r="T299" t="str">
        <f t="shared" si="34"/>
        <v/>
      </c>
    </row>
    <row r="300" spans="1:20" x14ac:dyDescent="0.25">
      <c r="A300" t="str">
        <f>IF('Equipment Information'!A300="","", 'Equipment Information'!A300)</f>
        <v/>
      </c>
      <c r="B300" t="str">
        <f>IF('Equipment Information'!B300="","", 'Equipment Information'!B300)</f>
        <v/>
      </c>
      <c r="C300" t="str">
        <f>IF('Equipment Information'!C300="","", 'Equipment Information'!C300)</f>
        <v/>
      </c>
      <c r="I300" t="str">
        <f t="shared" si="28"/>
        <v/>
      </c>
      <c r="J300" s="3" t="str">
        <f t="shared" si="29"/>
        <v/>
      </c>
      <c r="N300" t="str">
        <f t="shared" si="30"/>
        <v/>
      </c>
      <c r="Q300" s="3" t="str">
        <f t="shared" si="31"/>
        <v/>
      </c>
      <c r="R300" s="3" t="str">
        <f t="shared" si="32"/>
        <v/>
      </c>
      <c r="S300" t="str">
        <f t="shared" si="33"/>
        <v/>
      </c>
      <c r="T300" t="str">
        <f t="shared" si="34"/>
        <v/>
      </c>
    </row>
    <row r="301" spans="1:20" x14ac:dyDescent="0.25">
      <c r="A301" t="str">
        <f>IF('Equipment Information'!A301="","", 'Equipment Information'!A301)</f>
        <v/>
      </c>
      <c r="B301" t="str">
        <f>IF('Equipment Information'!B301="","", 'Equipment Information'!B301)</f>
        <v/>
      </c>
      <c r="C301" t="str">
        <f>IF('Equipment Information'!C301="","", 'Equipment Information'!C301)</f>
        <v/>
      </c>
      <c r="I301" t="str">
        <f t="shared" si="28"/>
        <v/>
      </c>
      <c r="J301" s="3" t="str">
        <f t="shared" si="29"/>
        <v/>
      </c>
      <c r="N301" t="str">
        <f t="shared" si="30"/>
        <v/>
      </c>
      <c r="Q301" s="3" t="str">
        <f t="shared" si="31"/>
        <v/>
      </c>
      <c r="R301" s="3" t="str">
        <f t="shared" si="32"/>
        <v/>
      </c>
      <c r="S301" t="str">
        <f t="shared" si="33"/>
        <v/>
      </c>
      <c r="T301" t="str">
        <f t="shared" si="34"/>
        <v/>
      </c>
    </row>
    <row r="302" spans="1:20" x14ac:dyDescent="0.25">
      <c r="A302" t="str">
        <f>IF('Equipment Information'!A302="","", 'Equipment Information'!A302)</f>
        <v/>
      </c>
      <c r="B302" t="str">
        <f>IF('Equipment Information'!B302="","", 'Equipment Information'!B302)</f>
        <v/>
      </c>
      <c r="C302" t="str">
        <f>IF('Equipment Information'!C302="","", 'Equipment Information'!C302)</f>
        <v/>
      </c>
      <c r="I302" t="str">
        <f t="shared" si="28"/>
        <v/>
      </c>
      <c r="J302" s="3" t="str">
        <f t="shared" si="29"/>
        <v/>
      </c>
      <c r="N302" t="str">
        <f t="shared" si="30"/>
        <v/>
      </c>
      <c r="Q302" s="3" t="str">
        <f t="shared" si="31"/>
        <v/>
      </c>
      <c r="R302" s="3" t="str">
        <f t="shared" si="32"/>
        <v/>
      </c>
      <c r="S302" t="str">
        <f t="shared" si="33"/>
        <v/>
      </c>
      <c r="T302" t="str">
        <f t="shared" si="34"/>
        <v/>
      </c>
    </row>
    <row r="303" spans="1:20" x14ac:dyDescent="0.25">
      <c r="A303" t="str">
        <f>IF('Equipment Information'!A303="","", 'Equipment Information'!A303)</f>
        <v/>
      </c>
      <c r="B303" t="str">
        <f>IF('Equipment Information'!B303="","", 'Equipment Information'!B303)</f>
        <v/>
      </c>
      <c r="C303" t="str">
        <f>IF('Equipment Information'!C303="","", 'Equipment Information'!C303)</f>
        <v/>
      </c>
      <c r="I303" t="str">
        <f t="shared" si="28"/>
        <v/>
      </c>
      <c r="J303" s="3" t="str">
        <f t="shared" si="29"/>
        <v/>
      </c>
      <c r="N303" t="str">
        <f t="shared" si="30"/>
        <v/>
      </c>
      <c r="Q303" s="3" t="str">
        <f t="shared" si="31"/>
        <v/>
      </c>
      <c r="R303" s="3" t="str">
        <f t="shared" si="32"/>
        <v/>
      </c>
      <c r="S303" t="str">
        <f t="shared" si="33"/>
        <v/>
      </c>
      <c r="T303" t="str">
        <f t="shared" si="34"/>
        <v/>
      </c>
    </row>
    <row r="304" spans="1:20" x14ac:dyDescent="0.25">
      <c r="A304" t="str">
        <f>IF('Equipment Information'!A304="","", 'Equipment Information'!A304)</f>
        <v/>
      </c>
      <c r="B304" t="str">
        <f>IF('Equipment Information'!B304="","", 'Equipment Information'!B304)</f>
        <v/>
      </c>
      <c r="C304" t="str">
        <f>IF('Equipment Information'!C304="","", 'Equipment Information'!C304)</f>
        <v/>
      </c>
      <c r="I304" t="str">
        <f t="shared" si="28"/>
        <v/>
      </c>
      <c r="J304" s="3" t="str">
        <f t="shared" si="29"/>
        <v/>
      </c>
      <c r="N304" t="str">
        <f t="shared" si="30"/>
        <v/>
      </c>
      <c r="Q304" s="3" t="str">
        <f t="shared" si="31"/>
        <v/>
      </c>
      <c r="R304" s="3" t="str">
        <f t="shared" si="32"/>
        <v/>
      </c>
      <c r="S304" t="str">
        <f t="shared" si="33"/>
        <v/>
      </c>
      <c r="T304" t="str">
        <f t="shared" si="34"/>
        <v/>
      </c>
    </row>
    <row r="305" spans="1:20" x14ac:dyDescent="0.25">
      <c r="A305" t="str">
        <f>IF('Equipment Information'!A305="","", 'Equipment Information'!A305)</f>
        <v/>
      </c>
      <c r="B305" t="str">
        <f>IF('Equipment Information'!B305="","", 'Equipment Information'!B305)</f>
        <v/>
      </c>
      <c r="C305" t="str">
        <f>IF('Equipment Information'!C305="","", 'Equipment Information'!C305)</f>
        <v/>
      </c>
      <c r="I305" t="str">
        <f t="shared" si="28"/>
        <v/>
      </c>
      <c r="J305" s="3" t="str">
        <f t="shared" si="29"/>
        <v/>
      </c>
      <c r="N305" t="str">
        <f t="shared" si="30"/>
        <v/>
      </c>
      <c r="Q305" s="3" t="str">
        <f t="shared" si="31"/>
        <v/>
      </c>
      <c r="R305" s="3" t="str">
        <f t="shared" si="32"/>
        <v/>
      </c>
      <c r="S305" t="str">
        <f t="shared" si="33"/>
        <v/>
      </c>
      <c r="T305" t="str">
        <f t="shared" si="34"/>
        <v/>
      </c>
    </row>
    <row r="306" spans="1:20" x14ac:dyDescent="0.25">
      <c r="A306" t="str">
        <f>IF('Equipment Information'!A306="","", 'Equipment Information'!A306)</f>
        <v/>
      </c>
      <c r="B306" t="str">
        <f>IF('Equipment Information'!B306="","", 'Equipment Information'!B306)</f>
        <v/>
      </c>
      <c r="C306" t="str">
        <f>IF('Equipment Information'!C306="","", 'Equipment Information'!C306)</f>
        <v/>
      </c>
      <c r="I306" t="str">
        <f t="shared" si="28"/>
        <v/>
      </c>
      <c r="J306" s="3" t="str">
        <f t="shared" si="29"/>
        <v/>
      </c>
      <c r="N306" t="str">
        <f t="shared" si="30"/>
        <v/>
      </c>
      <c r="Q306" s="3" t="str">
        <f t="shared" si="31"/>
        <v/>
      </c>
      <c r="R306" s="3" t="str">
        <f t="shared" si="32"/>
        <v/>
      </c>
      <c r="S306" t="str">
        <f t="shared" si="33"/>
        <v/>
      </c>
      <c r="T306" t="str">
        <f t="shared" si="34"/>
        <v/>
      </c>
    </row>
    <row r="307" spans="1:20" x14ac:dyDescent="0.25">
      <c r="A307" t="str">
        <f>IF('Equipment Information'!A307="","", 'Equipment Information'!A307)</f>
        <v/>
      </c>
      <c r="B307" t="str">
        <f>IF('Equipment Information'!B307="","", 'Equipment Information'!B307)</f>
        <v/>
      </c>
      <c r="C307" t="str">
        <f>IF('Equipment Information'!C307="","", 'Equipment Information'!C307)</f>
        <v/>
      </c>
      <c r="I307" t="str">
        <f t="shared" si="28"/>
        <v/>
      </c>
      <c r="J307" s="3" t="str">
        <f t="shared" si="29"/>
        <v/>
      </c>
      <c r="N307" t="str">
        <f t="shared" si="30"/>
        <v/>
      </c>
      <c r="Q307" s="3" t="str">
        <f t="shared" si="31"/>
        <v/>
      </c>
      <c r="R307" s="3" t="str">
        <f t="shared" si="32"/>
        <v/>
      </c>
      <c r="S307" t="str">
        <f t="shared" si="33"/>
        <v/>
      </c>
      <c r="T307" t="str">
        <f t="shared" si="34"/>
        <v/>
      </c>
    </row>
    <row r="308" spans="1:20" x14ac:dyDescent="0.25">
      <c r="A308" t="str">
        <f>IF('Equipment Information'!A308="","", 'Equipment Information'!A308)</f>
        <v/>
      </c>
      <c r="B308" t="str">
        <f>IF('Equipment Information'!B308="","", 'Equipment Information'!B308)</f>
        <v/>
      </c>
      <c r="C308" t="str">
        <f>IF('Equipment Information'!C308="","", 'Equipment Information'!C308)</f>
        <v/>
      </c>
      <c r="I308" t="str">
        <f t="shared" si="28"/>
        <v/>
      </c>
      <c r="J308" s="3" t="str">
        <f t="shared" si="29"/>
        <v/>
      </c>
      <c r="N308" t="str">
        <f t="shared" si="30"/>
        <v/>
      </c>
      <c r="Q308" s="3" t="str">
        <f t="shared" si="31"/>
        <v/>
      </c>
      <c r="R308" s="3" t="str">
        <f t="shared" si="32"/>
        <v/>
      </c>
      <c r="S308" t="str">
        <f t="shared" si="33"/>
        <v/>
      </c>
      <c r="T308" t="str">
        <f t="shared" si="34"/>
        <v/>
      </c>
    </row>
    <row r="309" spans="1:20" x14ac:dyDescent="0.25">
      <c r="A309" t="str">
        <f>IF('Equipment Information'!A309="","", 'Equipment Information'!A309)</f>
        <v/>
      </c>
      <c r="B309" t="str">
        <f>IF('Equipment Information'!B309="","", 'Equipment Information'!B309)</f>
        <v/>
      </c>
      <c r="C309" t="str">
        <f>IF('Equipment Information'!C309="","", 'Equipment Information'!C309)</f>
        <v/>
      </c>
      <c r="I309" t="str">
        <f t="shared" si="28"/>
        <v/>
      </c>
      <c r="J309" s="3" t="str">
        <f t="shared" si="29"/>
        <v/>
      </c>
      <c r="N309" t="str">
        <f t="shared" si="30"/>
        <v/>
      </c>
      <c r="Q309" s="3" t="str">
        <f t="shared" si="31"/>
        <v/>
      </c>
      <c r="R309" s="3" t="str">
        <f t="shared" si="32"/>
        <v/>
      </c>
      <c r="S309" t="str">
        <f t="shared" si="33"/>
        <v/>
      </c>
      <c r="T309" t="str">
        <f t="shared" si="34"/>
        <v/>
      </c>
    </row>
    <row r="310" spans="1:20" x14ac:dyDescent="0.25">
      <c r="A310" t="str">
        <f>IF('Equipment Information'!A310="","", 'Equipment Information'!A310)</f>
        <v/>
      </c>
      <c r="B310" t="str">
        <f>IF('Equipment Information'!B310="","", 'Equipment Information'!B310)</f>
        <v/>
      </c>
      <c r="C310" t="str">
        <f>IF('Equipment Information'!C310="","", 'Equipment Information'!C310)</f>
        <v/>
      </c>
      <c r="I310" t="str">
        <f t="shared" si="28"/>
        <v/>
      </c>
      <c r="J310" s="3" t="str">
        <f t="shared" si="29"/>
        <v/>
      </c>
      <c r="N310" t="str">
        <f t="shared" si="30"/>
        <v/>
      </c>
      <c r="Q310" s="3" t="str">
        <f t="shared" si="31"/>
        <v/>
      </c>
      <c r="R310" s="3" t="str">
        <f t="shared" si="32"/>
        <v/>
      </c>
      <c r="S310" t="str">
        <f t="shared" si="33"/>
        <v/>
      </c>
      <c r="T310" t="str">
        <f t="shared" si="34"/>
        <v/>
      </c>
    </row>
    <row r="311" spans="1:20" x14ac:dyDescent="0.25">
      <c r="A311" t="str">
        <f>IF('Equipment Information'!A311="","", 'Equipment Information'!A311)</f>
        <v/>
      </c>
      <c r="B311" t="str">
        <f>IF('Equipment Information'!B311="","", 'Equipment Information'!B311)</f>
        <v/>
      </c>
      <c r="C311" t="str">
        <f>IF('Equipment Information'!C311="","", 'Equipment Information'!C311)</f>
        <v/>
      </c>
      <c r="I311" t="str">
        <f t="shared" si="28"/>
        <v/>
      </c>
      <c r="J311" s="3" t="str">
        <f t="shared" si="29"/>
        <v/>
      </c>
      <c r="N311" t="str">
        <f t="shared" si="30"/>
        <v/>
      </c>
      <c r="Q311" s="3" t="str">
        <f t="shared" si="31"/>
        <v/>
      </c>
      <c r="R311" s="3" t="str">
        <f t="shared" si="32"/>
        <v/>
      </c>
      <c r="S311" t="str">
        <f t="shared" si="33"/>
        <v/>
      </c>
      <c r="T311" t="str">
        <f t="shared" si="34"/>
        <v/>
      </c>
    </row>
    <row r="312" spans="1:20" x14ac:dyDescent="0.25">
      <c r="A312" t="str">
        <f>IF('Equipment Information'!A312="","", 'Equipment Information'!A312)</f>
        <v/>
      </c>
      <c r="B312" t="str">
        <f>IF('Equipment Information'!B312="","", 'Equipment Information'!B312)</f>
        <v/>
      </c>
      <c r="C312" t="str">
        <f>IF('Equipment Information'!C312="","", 'Equipment Information'!C312)</f>
        <v/>
      </c>
      <c r="I312" t="str">
        <f t="shared" si="28"/>
        <v/>
      </c>
      <c r="J312" s="3" t="str">
        <f t="shared" si="29"/>
        <v/>
      </c>
      <c r="N312" t="str">
        <f t="shared" si="30"/>
        <v/>
      </c>
      <c r="Q312" s="3" t="str">
        <f t="shared" si="31"/>
        <v/>
      </c>
      <c r="R312" s="3" t="str">
        <f t="shared" si="32"/>
        <v/>
      </c>
      <c r="S312" t="str">
        <f t="shared" si="33"/>
        <v/>
      </c>
      <c r="T312" t="str">
        <f t="shared" si="34"/>
        <v/>
      </c>
    </row>
    <row r="313" spans="1:20" x14ac:dyDescent="0.25">
      <c r="A313" t="str">
        <f>IF('Equipment Information'!A313="","", 'Equipment Information'!A313)</f>
        <v/>
      </c>
      <c r="B313" t="str">
        <f>IF('Equipment Information'!B313="","", 'Equipment Information'!B313)</f>
        <v/>
      </c>
      <c r="C313" t="str">
        <f>IF('Equipment Information'!C313="","", 'Equipment Information'!C313)</f>
        <v/>
      </c>
      <c r="I313" t="str">
        <f t="shared" si="28"/>
        <v/>
      </c>
      <c r="J313" s="3" t="str">
        <f t="shared" si="29"/>
        <v/>
      </c>
      <c r="N313" t="str">
        <f t="shared" si="30"/>
        <v/>
      </c>
      <c r="Q313" s="3" t="str">
        <f t="shared" si="31"/>
        <v/>
      </c>
      <c r="R313" s="3" t="str">
        <f t="shared" si="32"/>
        <v/>
      </c>
      <c r="S313" t="str">
        <f t="shared" si="33"/>
        <v/>
      </c>
      <c r="T313" t="str">
        <f t="shared" si="34"/>
        <v/>
      </c>
    </row>
    <row r="314" spans="1:20" x14ac:dyDescent="0.25">
      <c r="A314" t="str">
        <f>IF('Equipment Information'!A314="","", 'Equipment Information'!A314)</f>
        <v/>
      </c>
      <c r="B314" t="str">
        <f>IF('Equipment Information'!B314="","", 'Equipment Information'!B314)</f>
        <v/>
      </c>
      <c r="C314" t="str">
        <f>IF('Equipment Information'!C314="","", 'Equipment Information'!C314)</f>
        <v/>
      </c>
      <c r="I314" t="str">
        <f t="shared" si="28"/>
        <v/>
      </c>
      <c r="J314" s="3" t="str">
        <f t="shared" si="29"/>
        <v/>
      </c>
      <c r="N314" t="str">
        <f t="shared" si="30"/>
        <v/>
      </c>
      <c r="Q314" s="3" t="str">
        <f t="shared" si="31"/>
        <v/>
      </c>
      <c r="R314" s="3" t="str">
        <f t="shared" si="32"/>
        <v/>
      </c>
      <c r="S314" t="str">
        <f t="shared" si="33"/>
        <v/>
      </c>
      <c r="T314" t="str">
        <f t="shared" si="34"/>
        <v/>
      </c>
    </row>
    <row r="315" spans="1:20" x14ac:dyDescent="0.25">
      <c r="A315" t="str">
        <f>IF('Equipment Information'!A315="","", 'Equipment Information'!A315)</f>
        <v/>
      </c>
      <c r="B315" t="str">
        <f>IF('Equipment Information'!B315="","", 'Equipment Information'!B315)</f>
        <v/>
      </c>
      <c r="C315" t="str">
        <f>IF('Equipment Information'!C315="","", 'Equipment Information'!C315)</f>
        <v/>
      </c>
      <c r="I315" t="str">
        <f t="shared" si="28"/>
        <v/>
      </c>
      <c r="J315" s="3" t="str">
        <f t="shared" si="29"/>
        <v/>
      </c>
      <c r="N315" t="str">
        <f t="shared" si="30"/>
        <v/>
      </c>
      <c r="Q315" s="3" t="str">
        <f t="shared" si="31"/>
        <v/>
      </c>
      <c r="R315" s="3" t="str">
        <f t="shared" si="32"/>
        <v/>
      </c>
      <c r="S315" t="str">
        <f t="shared" si="33"/>
        <v/>
      </c>
      <c r="T315" t="str">
        <f t="shared" si="34"/>
        <v/>
      </c>
    </row>
    <row r="316" spans="1:20" x14ac:dyDescent="0.25">
      <c r="A316" t="str">
        <f>IF('Equipment Information'!A316="","", 'Equipment Information'!A316)</f>
        <v/>
      </c>
      <c r="B316" t="str">
        <f>IF('Equipment Information'!B316="","", 'Equipment Information'!B316)</f>
        <v/>
      </c>
      <c r="C316" t="str">
        <f>IF('Equipment Information'!C316="","", 'Equipment Information'!C316)</f>
        <v/>
      </c>
      <c r="I316" t="str">
        <f t="shared" si="28"/>
        <v/>
      </c>
      <c r="J316" s="3" t="str">
        <f t="shared" si="29"/>
        <v/>
      </c>
      <c r="N316" t="str">
        <f t="shared" si="30"/>
        <v/>
      </c>
      <c r="Q316" s="3" t="str">
        <f t="shared" si="31"/>
        <v/>
      </c>
      <c r="R316" s="3" t="str">
        <f t="shared" si="32"/>
        <v/>
      </c>
      <c r="S316" t="str">
        <f t="shared" si="33"/>
        <v/>
      </c>
      <c r="T316" t="str">
        <f t="shared" si="34"/>
        <v/>
      </c>
    </row>
    <row r="317" spans="1:20" x14ac:dyDescent="0.25">
      <c r="A317" t="str">
        <f>IF('Equipment Information'!A317="","", 'Equipment Information'!A317)</f>
        <v/>
      </c>
      <c r="B317" t="str">
        <f>IF('Equipment Information'!B317="","", 'Equipment Information'!B317)</f>
        <v/>
      </c>
      <c r="C317" t="str">
        <f>IF('Equipment Information'!C317="","", 'Equipment Information'!C317)</f>
        <v/>
      </c>
      <c r="I317" t="str">
        <f t="shared" si="28"/>
        <v/>
      </c>
      <c r="J317" s="3" t="str">
        <f t="shared" si="29"/>
        <v/>
      </c>
      <c r="N317" t="str">
        <f t="shared" si="30"/>
        <v/>
      </c>
      <c r="Q317" s="3" t="str">
        <f t="shared" si="31"/>
        <v/>
      </c>
      <c r="R317" s="3" t="str">
        <f t="shared" si="32"/>
        <v/>
      </c>
      <c r="S317" t="str">
        <f t="shared" si="33"/>
        <v/>
      </c>
      <c r="T317" t="str">
        <f t="shared" si="34"/>
        <v/>
      </c>
    </row>
    <row r="318" spans="1:20" x14ac:dyDescent="0.25">
      <c r="A318" t="str">
        <f>IF('Equipment Information'!A318="","", 'Equipment Information'!A318)</f>
        <v/>
      </c>
      <c r="B318" t="str">
        <f>IF('Equipment Information'!B318="","", 'Equipment Information'!B318)</f>
        <v/>
      </c>
      <c r="C318" t="str">
        <f>IF('Equipment Information'!C318="","", 'Equipment Information'!C318)</f>
        <v/>
      </c>
      <c r="I318" t="str">
        <f t="shared" si="28"/>
        <v/>
      </c>
      <c r="J318" s="3" t="str">
        <f t="shared" si="29"/>
        <v/>
      </c>
      <c r="N318" t="str">
        <f t="shared" si="30"/>
        <v/>
      </c>
      <c r="Q318" s="3" t="str">
        <f t="shared" si="31"/>
        <v/>
      </c>
      <c r="R318" s="3" t="str">
        <f t="shared" si="32"/>
        <v/>
      </c>
      <c r="S318" t="str">
        <f t="shared" si="33"/>
        <v/>
      </c>
      <c r="T318" t="str">
        <f t="shared" si="34"/>
        <v/>
      </c>
    </row>
    <row r="319" spans="1:20" x14ac:dyDescent="0.25">
      <c r="A319" t="str">
        <f>IF('Equipment Information'!A319="","", 'Equipment Information'!A319)</f>
        <v/>
      </c>
      <c r="B319" t="str">
        <f>IF('Equipment Information'!B319="","", 'Equipment Information'!B319)</f>
        <v/>
      </c>
      <c r="C319" t="str">
        <f>IF('Equipment Information'!C319="","", 'Equipment Information'!C319)</f>
        <v/>
      </c>
      <c r="I319" t="str">
        <f t="shared" si="28"/>
        <v/>
      </c>
      <c r="J319" s="3" t="str">
        <f t="shared" si="29"/>
        <v/>
      </c>
      <c r="N319" t="str">
        <f t="shared" si="30"/>
        <v/>
      </c>
      <c r="Q319" s="3" t="str">
        <f t="shared" si="31"/>
        <v/>
      </c>
      <c r="R319" s="3" t="str">
        <f t="shared" si="32"/>
        <v/>
      </c>
      <c r="S319" t="str">
        <f t="shared" si="33"/>
        <v/>
      </c>
      <c r="T319" t="str">
        <f t="shared" si="34"/>
        <v/>
      </c>
    </row>
    <row r="320" spans="1:20" x14ac:dyDescent="0.25">
      <c r="A320" t="str">
        <f>IF('Equipment Information'!A320="","", 'Equipment Information'!A320)</f>
        <v/>
      </c>
      <c r="B320" t="str">
        <f>IF('Equipment Information'!B320="","", 'Equipment Information'!B320)</f>
        <v/>
      </c>
      <c r="C320" t="str">
        <f>IF('Equipment Information'!C320="","", 'Equipment Information'!C320)</f>
        <v/>
      </c>
      <c r="I320" t="str">
        <f t="shared" si="28"/>
        <v/>
      </c>
      <c r="J320" s="3" t="str">
        <f t="shared" si="29"/>
        <v/>
      </c>
      <c r="N320" t="str">
        <f t="shared" si="30"/>
        <v/>
      </c>
      <c r="Q320" s="3" t="str">
        <f t="shared" si="31"/>
        <v/>
      </c>
      <c r="R320" s="3" t="str">
        <f t="shared" si="32"/>
        <v/>
      </c>
      <c r="S320" t="str">
        <f t="shared" si="33"/>
        <v/>
      </c>
      <c r="T320" t="str">
        <f t="shared" si="34"/>
        <v/>
      </c>
    </row>
    <row r="321" spans="1:20" x14ac:dyDescent="0.25">
      <c r="A321" t="str">
        <f>IF('Equipment Information'!A321="","", 'Equipment Information'!A321)</f>
        <v/>
      </c>
      <c r="B321" t="str">
        <f>IF('Equipment Information'!B321="","", 'Equipment Information'!B321)</f>
        <v/>
      </c>
      <c r="C321" t="str">
        <f>IF('Equipment Information'!C321="","", 'Equipment Information'!C321)</f>
        <v/>
      </c>
      <c r="I321" t="str">
        <f t="shared" si="28"/>
        <v/>
      </c>
      <c r="J321" s="3" t="str">
        <f t="shared" si="29"/>
        <v/>
      </c>
      <c r="N321" t="str">
        <f t="shared" si="30"/>
        <v/>
      </c>
      <c r="Q321" s="3" t="str">
        <f t="shared" si="31"/>
        <v/>
      </c>
      <c r="R321" s="3" t="str">
        <f t="shared" si="32"/>
        <v/>
      </c>
      <c r="S321" t="str">
        <f t="shared" si="33"/>
        <v/>
      </c>
      <c r="T321" t="str">
        <f t="shared" si="34"/>
        <v/>
      </c>
    </row>
    <row r="322" spans="1:20" x14ac:dyDescent="0.25">
      <c r="A322" t="str">
        <f>IF('Equipment Information'!A322="","", 'Equipment Information'!A322)</f>
        <v/>
      </c>
      <c r="B322" t="str">
        <f>IF('Equipment Information'!B322="","", 'Equipment Information'!B322)</f>
        <v/>
      </c>
      <c r="C322" t="str">
        <f>IF('Equipment Information'!C322="","", 'Equipment Information'!C322)</f>
        <v/>
      </c>
      <c r="I322" t="str">
        <f t="shared" ref="I322:I385" si="35">IF(A322="","",IF(D322="Three Phase",IF(COUNT(F322:H322)&lt;3,"",AVERAGE(F322:H322)),IF(D322="Single Phase",IF(F322="","",F322),"")))</f>
        <v/>
      </c>
      <c r="J322" s="3" t="str">
        <f t="shared" ref="J322:J385" si="36">IF(A322="","",IF(D322="Three Phase",IF(I322="","",MAX(ABS(F322-I322),ABS(G322-I322),ABS(H322-I322))/I322),""))</f>
        <v/>
      </c>
      <c r="N322" t="str">
        <f t="shared" ref="N322:N385" si="37">IF(A322="","",IF(D322="Three Phase",IF(COUNT(K322:M322)&lt;3,"",AVERAGE(K322:M322)),IF(D322="Single Phase",IF(K322="","",K322),"")))</f>
        <v/>
      </c>
      <c r="Q322" s="3" t="str">
        <f t="shared" ref="Q322:Q385" si="38">IF(A322="","",IF(OR(O322="",N322=""),"",N322/O322))</f>
        <v/>
      </c>
      <c r="R322" s="3" t="str">
        <f t="shared" ref="R322:R385" si="39">IF(A322="","",IF(D322="Three Phase",IF(N322="","",MAX(ABS(K322-N322),ABS(L322-N322),ABS(M322-N322))/N322),""))</f>
        <v/>
      </c>
      <c r="S322" t="str">
        <f t="shared" ref="S322:S385" si="40">IF(A322="","",IF(D322="Single Phase",IF(AND(F322="",K322=""),"No Data Entered",IF(Q322="","Reading Recorded - No Load% (Missing Rated Amps)","Reading Recorded - Load: "&amp;TEXT(Q322,"0.0%"))),IF(AND(F322="",K322=""),"N/A",IF(I322="","Insufficient Voltage Data",IF(AND(J322&gt;0.03,R322&gt;0.15),"Voltage &amp; Current Imbalance",IF(J322&gt;0.03,"Voltage Imbalance",IF(R322&gt;0.15,"Current Imbalance","No Imbalances Detected")))))))</f>
        <v/>
      </c>
      <c r="T322" t="str">
        <f t="shared" si="34"/>
        <v/>
      </c>
    </row>
    <row r="323" spans="1:20" x14ac:dyDescent="0.25">
      <c r="A323" t="str">
        <f>IF('Equipment Information'!A323="","", 'Equipment Information'!A323)</f>
        <v/>
      </c>
      <c r="B323" t="str">
        <f>IF('Equipment Information'!B323="","", 'Equipment Information'!B323)</f>
        <v/>
      </c>
      <c r="C323" t="str">
        <f>IF('Equipment Information'!C323="","", 'Equipment Information'!C323)</f>
        <v/>
      </c>
      <c r="I323" t="str">
        <f t="shared" si="35"/>
        <v/>
      </c>
      <c r="J323" s="3" t="str">
        <f t="shared" si="36"/>
        <v/>
      </c>
      <c r="N323" t="str">
        <f t="shared" si="37"/>
        <v/>
      </c>
      <c r="Q323" s="3" t="str">
        <f t="shared" si="38"/>
        <v/>
      </c>
      <c r="R323" s="3" t="str">
        <f t="shared" si="39"/>
        <v/>
      </c>
      <c r="S323" t="str">
        <f t="shared" si="40"/>
        <v/>
      </c>
      <c r="T323" t="str">
        <f t="shared" si="34"/>
        <v/>
      </c>
    </row>
    <row r="324" spans="1:20" x14ac:dyDescent="0.25">
      <c r="A324" t="str">
        <f>IF('Equipment Information'!A324="","", 'Equipment Information'!A324)</f>
        <v/>
      </c>
      <c r="B324" t="str">
        <f>IF('Equipment Information'!B324="","", 'Equipment Information'!B324)</f>
        <v/>
      </c>
      <c r="C324" t="str">
        <f>IF('Equipment Information'!C324="","", 'Equipment Information'!C324)</f>
        <v/>
      </c>
      <c r="I324" t="str">
        <f t="shared" si="35"/>
        <v/>
      </c>
      <c r="J324" s="3" t="str">
        <f t="shared" si="36"/>
        <v/>
      </c>
      <c r="N324" t="str">
        <f t="shared" si="37"/>
        <v/>
      </c>
      <c r="Q324" s="3" t="str">
        <f t="shared" si="38"/>
        <v/>
      </c>
      <c r="R324" s="3" t="str">
        <f t="shared" si="39"/>
        <v/>
      </c>
      <c r="S324" t="str">
        <f t="shared" si="40"/>
        <v/>
      </c>
      <c r="T324" t="str">
        <f t="shared" si="34"/>
        <v/>
      </c>
    </row>
    <row r="325" spans="1:20" x14ac:dyDescent="0.25">
      <c r="A325" t="str">
        <f>IF('Equipment Information'!A325="","", 'Equipment Information'!A325)</f>
        <v/>
      </c>
      <c r="B325" t="str">
        <f>IF('Equipment Information'!B325="","", 'Equipment Information'!B325)</f>
        <v/>
      </c>
      <c r="C325" t="str">
        <f>IF('Equipment Information'!C325="","", 'Equipment Information'!C325)</f>
        <v/>
      </c>
      <c r="I325" t="str">
        <f t="shared" si="35"/>
        <v/>
      </c>
      <c r="J325" s="3" t="str">
        <f t="shared" si="36"/>
        <v/>
      </c>
      <c r="N325" t="str">
        <f t="shared" si="37"/>
        <v/>
      </c>
      <c r="Q325" s="3" t="str">
        <f t="shared" si="38"/>
        <v/>
      </c>
      <c r="R325" s="3" t="str">
        <f t="shared" si="39"/>
        <v/>
      </c>
      <c r="S325" t="str">
        <f t="shared" si="40"/>
        <v/>
      </c>
      <c r="T325" t="str">
        <f t="shared" ref="T325:T388" si="41">IF(A325="","",IF(D325="Single Phase",IF(AND(F325="",K325=""),"N/A","Pass"),IF(AND(F325="",K325=""),"N/A",IF(OR(J325&gt;0.03,R325&gt;0.15),"Imbalance","Pass"))))</f>
        <v/>
      </c>
    </row>
    <row r="326" spans="1:20" x14ac:dyDescent="0.25">
      <c r="A326" t="str">
        <f>IF('Equipment Information'!A326="","", 'Equipment Information'!A326)</f>
        <v/>
      </c>
      <c r="B326" t="str">
        <f>IF('Equipment Information'!B326="","", 'Equipment Information'!B326)</f>
        <v/>
      </c>
      <c r="C326" t="str">
        <f>IF('Equipment Information'!C326="","", 'Equipment Information'!C326)</f>
        <v/>
      </c>
      <c r="I326" t="str">
        <f t="shared" si="35"/>
        <v/>
      </c>
      <c r="J326" s="3" t="str">
        <f t="shared" si="36"/>
        <v/>
      </c>
      <c r="N326" t="str">
        <f t="shared" si="37"/>
        <v/>
      </c>
      <c r="Q326" s="3" t="str">
        <f t="shared" si="38"/>
        <v/>
      </c>
      <c r="R326" s="3" t="str">
        <f t="shared" si="39"/>
        <v/>
      </c>
      <c r="S326" t="str">
        <f t="shared" si="40"/>
        <v/>
      </c>
      <c r="T326" t="str">
        <f t="shared" si="41"/>
        <v/>
      </c>
    </row>
    <row r="327" spans="1:20" x14ac:dyDescent="0.25">
      <c r="A327" t="str">
        <f>IF('Equipment Information'!A327="","", 'Equipment Information'!A327)</f>
        <v/>
      </c>
      <c r="B327" t="str">
        <f>IF('Equipment Information'!B327="","", 'Equipment Information'!B327)</f>
        <v/>
      </c>
      <c r="C327" t="str">
        <f>IF('Equipment Information'!C327="","", 'Equipment Information'!C327)</f>
        <v/>
      </c>
      <c r="I327" t="str">
        <f t="shared" si="35"/>
        <v/>
      </c>
      <c r="J327" s="3" t="str">
        <f t="shared" si="36"/>
        <v/>
      </c>
      <c r="N327" t="str">
        <f t="shared" si="37"/>
        <v/>
      </c>
      <c r="Q327" s="3" t="str">
        <f t="shared" si="38"/>
        <v/>
      </c>
      <c r="R327" s="3" t="str">
        <f t="shared" si="39"/>
        <v/>
      </c>
      <c r="S327" t="str">
        <f t="shared" si="40"/>
        <v/>
      </c>
      <c r="T327" t="str">
        <f t="shared" si="41"/>
        <v/>
      </c>
    </row>
    <row r="328" spans="1:20" x14ac:dyDescent="0.25">
      <c r="A328" t="str">
        <f>IF('Equipment Information'!A328="","", 'Equipment Information'!A328)</f>
        <v/>
      </c>
      <c r="B328" t="str">
        <f>IF('Equipment Information'!B328="","", 'Equipment Information'!B328)</f>
        <v/>
      </c>
      <c r="C328" t="str">
        <f>IF('Equipment Information'!C328="","", 'Equipment Information'!C328)</f>
        <v/>
      </c>
      <c r="I328" t="str">
        <f t="shared" si="35"/>
        <v/>
      </c>
      <c r="J328" s="3" t="str">
        <f t="shared" si="36"/>
        <v/>
      </c>
      <c r="N328" t="str">
        <f t="shared" si="37"/>
        <v/>
      </c>
      <c r="Q328" s="3" t="str">
        <f t="shared" si="38"/>
        <v/>
      </c>
      <c r="R328" s="3" t="str">
        <f t="shared" si="39"/>
        <v/>
      </c>
      <c r="S328" t="str">
        <f t="shared" si="40"/>
        <v/>
      </c>
      <c r="T328" t="str">
        <f t="shared" si="41"/>
        <v/>
      </c>
    </row>
    <row r="329" spans="1:20" x14ac:dyDescent="0.25">
      <c r="A329" t="str">
        <f>IF('Equipment Information'!A329="","", 'Equipment Information'!A329)</f>
        <v/>
      </c>
      <c r="B329" t="str">
        <f>IF('Equipment Information'!B329="","", 'Equipment Information'!B329)</f>
        <v/>
      </c>
      <c r="C329" t="str">
        <f>IF('Equipment Information'!C329="","", 'Equipment Information'!C329)</f>
        <v/>
      </c>
      <c r="I329" t="str">
        <f t="shared" si="35"/>
        <v/>
      </c>
      <c r="J329" s="3" t="str">
        <f t="shared" si="36"/>
        <v/>
      </c>
      <c r="N329" t="str">
        <f t="shared" si="37"/>
        <v/>
      </c>
      <c r="Q329" s="3" t="str">
        <f t="shared" si="38"/>
        <v/>
      </c>
      <c r="R329" s="3" t="str">
        <f t="shared" si="39"/>
        <v/>
      </c>
      <c r="S329" t="str">
        <f t="shared" si="40"/>
        <v/>
      </c>
      <c r="T329" t="str">
        <f t="shared" si="41"/>
        <v/>
      </c>
    </row>
    <row r="330" spans="1:20" x14ac:dyDescent="0.25">
      <c r="A330" t="str">
        <f>IF('Equipment Information'!A330="","", 'Equipment Information'!A330)</f>
        <v/>
      </c>
      <c r="B330" t="str">
        <f>IF('Equipment Information'!B330="","", 'Equipment Information'!B330)</f>
        <v/>
      </c>
      <c r="C330" t="str">
        <f>IF('Equipment Information'!C330="","", 'Equipment Information'!C330)</f>
        <v/>
      </c>
      <c r="I330" t="str">
        <f t="shared" si="35"/>
        <v/>
      </c>
      <c r="J330" s="3" t="str">
        <f t="shared" si="36"/>
        <v/>
      </c>
      <c r="N330" t="str">
        <f t="shared" si="37"/>
        <v/>
      </c>
      <c r="Q330" s="3" t="str">
        <f t="shared" si="38"/>
        <v/>
      </c>
      <c r="R330" s="3" t="str">
        <f t="shared" si="39"/>
        <v/>
      </c>
      <c r="S330" t="str">
        <f t="shared" si="40"/>
        <v/>
      </c>
      <c r="T330" t="str">
        <f t="shared" si="41"/>
        <v/>
      </c>
    </row>
    <row r="331" spans="1:20" x14ac:dyDescent="0.25">
      <c r="A331" t="str">
        <f>IF('Equipment Information'!A331="","", 'Equipment Information'!A331)</f>
        <v/>
      </c>
      <c r="B331" t="str">
        <f>IF('Equipment Information'!B331="","", 'Equipment Information'!B331)</f>
        <v/>
      </c>
      <c r="C331" t="str">
        <f>IF('Equipment Information'!C331="","", 'Equipment Information'!C331)</f>
        <v/>
      </c>
      <c r="I331" t="str">
        <f t="shared" si="35"/>
        <v/>
      </c>
      <c r="J331" s="3" t="str">
        <f t="shared" si="36"/>
        <v/>
      </c>
      <c r="N331" t="str">
        <f t="shared" si="37"/>
        <v/>
      </c>
      <c r="Q331" s="3" t="str">
        <f t="shared" si="38"/>
        <v/>
      </c>
      <c r="R331" s="3" t="str">
        <f t="shared" si="39"/>
        <v/>
      </c>
      <c r="S331" t="str">
        <f t="shared" si="40"/>
        <v/>
      </c>
      <c r="T331" t="str">
        <f t="shared" si="41"/>
        <v/>
      </c>
    </row>
    <row r="332" spans="1:20" x14ac:dyDescent="0.25">
      <c r="A332" t="str">
        <f>IF('Equipment Information'!A332="","", 'Equipment Information'!A332)</f>
        <v/>
      </c>
      <c r="B332" t="str">
        <f>IF('Equipment Information'!B332="","", 'Equipment Information'!B332)</f>
        <v/>
      </c>
      <c r="C332" t="str">
        <f>IF('Equipment Information'!C332="","", 'Equipment Information'!C332)</f>
        <v/>
      </c>
      <c r="I332" t="str">
        <f t="shared" si="35"/>
        <v/>
      </c>
      <c r="J332" s="3" t="str">
        <f t="shared" si="36"/>
        <v/>
      </c>
      <c r="N332" t="str">
        <f t="shared" si="37"/>
        <v/>
      </c>
      <c r="Q332" s="3" t="str">
        <f t="shared" si="38"/>
        <v/>
      </c>
      <c r="R332" s="3" t="str">
        <f t="shared" si="39"/>
        <v/>
      </c>
      <c r="S332" t="str">
        <f t="shared" si="40"/>
        <v/>
      </c>
      <c r="T332" t="str">
        <f t="shared" si="41"/>
        <v/>
      </c>
    </row>
    <row r="333" spans="1:20" x14ac:dyDescent="0.25">
      <c r="A333" t="str">
        <f>IF('Equipment Information'!A333="","", 'Equipment Information'!A333)</f>
        <v/>
      </c>
      <c r="B333" t="str">
        <f>IF('Equipment Information'!B333="","", 'Equipment Information'!B333)</f>
        <v/>
      </c>
      <c r="C333" t="str">
        <f>IF('Equipment Information'!C333="","", 'Equipment Information'!C333)</f>
        <v/>
      </c>
      <c r="I333" t="str">
        <f t="shared" si="35"/>
        <v/>
      </c>
      <c r="J333" s="3" t="str">
        <f t="shared" si="36"/>
        <v/>
      </c>
      <c r="N333" t="str">
        <f t="shared" si="37"/>
        <v/>
      </c>
      <c r="Q333" s="3" t="str">
        <f t="shared" si="38"/>
        <v/>
      </c>
      <c r="R333" s="3" t="str">
        <f t="shared" si="39"/>
        <v/>
      </c>
      <c r="S333" t="str">
        <f t="shared" si="40"/>
        <v/>
      </c>
      <c r="T333" t="str">
        <f t="shared" si="41"/>
        <v/>
      </c>
    </row>
    <row r="334" spans="1:20" x14ac:dyDescent="0.25">
      <c r="A334" t="str">
        <f>IF('Equipment Information'!A334="","", 'Equipment Information'!A334)</f>
        <v/>
      </c>
      <c r="B334" t="str">
        <f>IF('Equipment Information'!B334="","", 'Equipment Information'!B334)</f>
        <v/>
      </c>
      <c r="C334" t="str">
        <f>IF('Equipment Information'!C334="","", 'Equipment Information'!C334)</f>
        <v/>
      </c>
      <c r="I334" t="str">
        <f t="shared" si="35"/>
        <v/>
      </c>
      <c r="J334" s="3" t="str">
        <f t="shared" si="36"/>
        <v/>
      </c>
      <c r="N334" t="str">
        <f t="shared" si="37"/>
        <v/>
      </c>
      <c r="Q334" s="3" t="str">
        <f t="shared" si="38"/>
        <v/>
      </c>
      <c r="R334" s="3" t="str">
        <f t="shared" si="39"/>
        <v/>
      </c>
      <c r="S334" t="str">
        <f t="shared" si="40"/>
        <v/>
      </c>
      <c r="T334" t="str">
        <f t="shared" si="41"/>
        <v/>
      </c>
    </row>
    <row r="335" spans="1:20" x14ac:dyDescent="0.25">
      <c r="A335" t="str">
        <f>IF('Equipment Information'!A335="","", 'Equipment Information'!A335)</f>
        <v/>
      </c>
      <c r="B335" t="str">
        <f>IF('Equipment Information'!B335="","", 'Equipment Information'!B335)</f>
        <v/>
      </c>
      <c r="C335" t="str">
        <f>IF('Equipment Information'!C335="","", 'Equipment Information'!C335)</f>
        <v/>
      </c>
      <c r="I335" t="str">
        <f t="shared" si="35"/>
        <v/>
      </c>
      <c r="J335" s="3" t="str">
        <f t="shared" si="36"/>
        <v/>
      </c>
      <c r="N335" t="str">
        <f t="shared" si="37"/>
        <v/>
      </c>
      <c r="Q335" s="3" t="str">
        <f t="shared" si="38"/>
        <v/>
      </c>
      <c r="R335" s="3" t="str">
        <f t="shared" si="39"/>
        <v/>
      </c>
      <c r="S335" t="str">
        <f t="shared" si="40"/>
        <v/>
      </c>
      <c r="T335" t="str">
        <f t="shared" si="41"/>
        <v/>
      </c>
    </row>
    <row r="336" spans="1:20" x14ac:dyDescent="0.25">
      <c r="A336" t="str">
        <f>IF('Equipment Information'!A336="","", 'Equipment Information'!A336)</f>
        <v/>
      </c>
      <c r="B336" t="str">
        <f>IF('Equipment Information'!B336="","", 'Equipment Information'!B336)</f>
        <v/>
      </c>
      <c r="C336" t="str">
        <f>IF('Equipment Information'!C336="","", 'Equipment Information'!C336)</f>
        <v/>
      </c>
      <c r="I336" t="str">
        <f t="shared" si="35"/>
        <v/>
      </c>
      <c r="J336" s="3" t="str">
        <f t="shared" si="36"/>
        <v/>
      </c>
      <c r="N336" t="str">
        <f t="shared" si="37"/>
        <v/>
      </c>
      <c r="Q336" s="3" t="str">
        <f t="shared" si="38"/>
        <v/>
      </c>
      <c r="R336" s="3" t="str">
        <f t="shared" si="39"/>
        <v/>
      </c>
      <c r="S336" t="str">
        <f t="shared" si="40"/>
        <v/>
      </c>
      <c r="T336" t="str">
        <f t="shared" si="41"/>
        <v/>
      </c>
    </row>
    <row r="337" spans="1:20" x14ac:dyDescent="0.25">
      <c r="A337" t="str">
        <f>IF('Equipment Information'!A337="","", 'Equipment Information'!A337)</f>
        <v/>
      </c>
      <c r="B337" t="str">
        <f>IF('Equipment Information'!B337="","", 'Equipment Information'!B337)</f>
        <v/>
      </c>
      <c r="C337" t="str">
        <f>IF('Equipment Information'!C337="","", 'Equipment Information'!C337)</f>
        <v/>
      </c>
      <c r="I337" t="str">
        <f t="shared" si="35"/>
        <v/>
      </c>
      <c r="J337" s="3" t="str">
        <f t="shared" si="36"/>
        <v/>
      </c>
      <c r="N337" t="str">
        <f t="shared" si="37"/>
        <v/>
      </c>
      <c r="Q337" s="3" t="str">
        <f t="shared" si="38"/>
        <v/>
      </c>
      <c r="R337" s="3" t="str">
        <f t="shared" si="39"/>
        <v/>
      </c>
      <c r="S337" t="str">
        <f t="shared" si="40"/>
        <v/>
      </c>
      <c r="T337" t="str">
        <f t="shared" si="41"/>
        <v/>
      </c>
    </row>
    <row r="338" spans="1:20" x14ac:dyDescent="0.25">
      <c r="A338" t="str">
        <f>IF('Equipment Information'!A338="","", 'Equipment Information'!A338)</f>
        <v/>
      </c>
      <c r="B338" t="str">
        <f>IF('Equipment Information'!B338="","", 'Equipment Information'!B338)</f>
        <v/>
      </c>
      <c r="C338" t="str">
        <f>IF('Equipment Information'!C338="","", 'Equipment Information'!C338)</f>
        <v/>
      </c>
      <c r="I338" t="str">
        <f t="shared" si="35"/>
        <v/>
      </c>
      <c r="J338" s="3" t="str">
        <f t="shared" si="36"/>
        <v/>
      </c>
      <c r="N338" t="str">
        <f t="shared" si="37"/>
        <v/>
      </c>
      <c r="Q338" s="3" t="str">
        <f t="shared" si="38"/>
        <v/>
      </c>
      <c r="R338" s="3" t="str">
        <f t="shared" si="39"/>
        <v/>
      </c>
      <c r="S338" t="str">
        <f t="shared" si="40"/>
        <v/>
      </c>
      <c r="T338" t="str">
        <f t="shared" si="41"/>
        <v/>
      </c>
    </row>
    <row r="339" spans="1:20" x14ac:dyDescent="0.25">
      <c r="A339" t="str">
        <f>IF('Equipment Information'!A339="","", 'Equipment Information'!A339)</f>
        <v/>
      </c>
      <c r="B339" t="str">
        <f>IF('Equipment Information'!B339="","", 'Equipment Information'!B339)</f>
        <v/>
      </c>
      <c r="C339" t="str">
        <f>IF('Equipment Information'!C339="","", 'Equipment Information'!C339)</f>
        <v/>
      </c>
      <c r="I339" t="str">
        <f t="shared" si="35"/>
        <v/>
      </c>
      <c r="J339" s="3" t="str">
        <f t="shared" si="36"/>
        <v/>
      </c>
      <c r="N339" t="str">
        <f t="shared" si="37"/>
        <v/>
      </c>
      <c r="Q339" s="3" t="str">
        <f t="shared" si="38"/>
        <v/>
      </c>
      <c r="R339" s="3" t="str">
        <f t="shared" si="39"/>
        <v/>
      </c>
      <c r="S339" t="str">
        <f t="shared" si="40"/>
        <v/>
      </c>
      <c r="T339" t="str">
        <f t="shared" si="41"/>
        <v/>
      </c>
    </row>
    <row r="340" spans="1:20" x14ac:dyDescent="0.25">
      <c r="A340" t="str">
        <f>IF('Equipment Information'!A340="","", 'Equipment Information'!A340)</f>
        <v/>
      </c>
      <c r="B340" t="str">
        <f>IF('Equipment Information'!B340="","", 'Equipment Information'!B340)</f>
        <v/>
      </c>
      <c r="C340" t="str">
        <f>IF('Equipment Information'!C340="","", 'Equipment Information'!C340)</f>
        <v/>
      </c>
      <c r="I340" t="str">
        <f t="shared" si="35"/>
        <v/>
      </c>
      <c r="J340" s="3" t="str">
        <f t="shared" si="36"/>
        <v/>
      </c>
      <c r="N340" t="str">
        <f t="shared" si="37"/>
        <v/>
      </c>
      <c r="Q340" s="3" t="str">
        <f t="shared" si="38"/>
        <v/>
      </c>
      <c r="R340" s="3" t="str">
        <f t="shared" si="39"/>
        <v/>
      </c>
      <c r="S340" t="str">
        <f t="shared" si="40"/>
        <v/>
      </c>
      <c r="T340" t="str">
        <f t="shared" si="41"/>
        <v/>
      </c>
    </row>
    <row r="341" spans="1:20" x14ac:dyDescent="0.25">
      <c r="A341" t="str">
        <f>IF('Equipment Information'!A341="","", 'Equipment Information'!A341)</f>
        <v/>
      </c>
      <c r="B341" t="str">
        <f>IF('Equipment Information'!B341="","", 'Equipment Information'!B341)</f>
        <v/>
      </c>
      <c r="C341" t="str">
        <f>IF('Equipment Information'!C341="","", 'Equipment Information'!C341)</f>
        <v/>
      </c>
      <c r="I341" t="str">
        <f t="shared" si="35"/>
        <v/>
      </c>
      <c r="J341" s="3" t="str">
        <f t="shared" si="36"/>
        <v/>
      </c>
      <c r="N341" t="str">
        <f t="shared" si="37"/>
        <v/>
      </c>
      <c r="Q341" s="3" t="str">
        <f t="shared" si="38"/>
        <v/>
      </c>
      <c r="R341" s="3" t="str">
        <f t="shared" si="39"/>
        <v/>
      </c>
      <c r="S341" t="str">
        <f t="shared" si="40"/>
        <v/>
      </c>
      <c r="T341" t="str">
        <f t="shared" si="41"/>
        <v/>
      </c>
    </row>
    <row r="342" spans="1:20" x14ac:dyDescent="0.25">
      <c r="A342" t="str">
        <f>IF('Equipment Information'!A342="","", 'Equipment Information'!A342)</f>
        <v/>
      </c>
      <c r="B342" t="str">
        <f>IF('Equipment Information'!B342="","", 'Equipment Information'!B342)</f>
        <v/>
      </c>
      <c r="C342" t="str">
        <f>IF('Equipment Information'!C342="","", 'Equipment Information'!C342)</f>
        <v/>
      </c>
      <c r="I342" t="str">
        <f t="shared" si="35"/>
        <v/>
      </c>
      <c r="J342" s="3" t="str">
        <f t="shared" si="36"/>
        <v/>
      </c>
      <c r="N342" t="str">
        <f t="shared" si="37"/>
        <v/>
      </c>
      <c r="Q342" s="3" t="str">
        <f t="shared" si="38"/>
        <v/>
      </c>
      <c r="R342" s="3" t="str">
        <f t="shared" si="39"/>
        <v/>
      </c>
      <c r="S342" t="str">
        <f t="shared" si="40"/>
        <v/>
      </c>
      <c r="T342" t="str">
        <f t="shared" si="41"/>
        <v/>
      </c>
    </row>
    <row r="343" spans="1:20" x14ac:dyDescent="0.25">
      <c r="A343" t="str">
        <f>IF('Equipment Information'!A343="","", 'Equipment Information'!A343)</f>
        <v/>
      </c>
      <c r="B343" t="str">
        <f>IF('Equipment Information'!B343="","", 'Equipment Information'!B343)</f>
        <v/>
      </c>
      <c r="C343" t="str">
        <f>IF('Equipment Information'!C343="","", 'Equipment Information'!C343)</f>
        <v/>
      </c>
      <c r="I343" t="str">
        <f t="shared" si="35"/>
        <v/>
      </c>
      <c r="J343" s="3" t="str">
        <f t="shared" si="36"/>
        <v/>
      </c>
      <c r="N343" t="str">
        <f t="shared" si="37"/>
        <v/>
      </c>
      <c r="Q343" s="3" t="str">
        <f t="shared" si="38"/>
        <v/>
      </c>
      <c r="R343" s="3" t="str">
        <f t="shared" si="39"/>
        <v/>
      </c>
      <c r="S343" t="str">
        <f t="shared" si="40"/>
        <v/>
      </c>
      <c r="T343" t="str">
        <f t="shared" si="41"/>
        <v/>
      </c>
    </row>
    <row r="344" spans="1:20" x14ac:dyDescent="0.25">
      <c r="A344" t="str">
        <f>IF('Equipment Information'!A344="","", 'Equipment Information'!A344)</f>
        <v/>
      </c>
      <c r="B344" t="str">
        <f>IF('Equipment Information'!B344="","", 'Equipment Information'!B344)</f>
        <v/>
      </c>
      <c r="C344" t="str">
        <f>IF('Equipment Information'!C344="","", 'Equipment Information'!C344)</f>
        <v/>
      </c>
      <c r="I344" t="str">
        <f t="shared" si="35"/>
        <v/>
      </c>
      <c r="J344" s="3" t="str">
        <f t="shared" si="36"/>
        <v/>
      </c>
      <c r="N344" t="str">
        <f t="shared" si="37"/>
        <v/>
      </c>
      <c r="Q344" s="3" t="str">
        <f t="shared" si="38"/>
        <v/>
      </c>
      <c r="R344" s="3" t="str">
        <f t="shared" si="39"/>
        <v/>
      </c>
      <c r="S344" t="str">
        <f t="shared" si="40"/>
        <v/>
      </c>
      <c r="T344" t="str">
        <f t="shared" si="41"/>
        <v/>
      </c>
    </row>
    <row r="345" spans="1:20" x14ac:dyDescent="0.25">
      <c r="A345" t="str">
        <f>IF('Equipment Information'!A345="","", 'Equipment Information'!A345)</f>
        <v/>
      </c>
      <c r="B345" t="str">
        <f>IF('Equipment Information'!B345="","", 'Equipment Information'!B345)</f>
        <v/>
      </c>
      <c r="C345" t="str">
        <f>IF('Equipment Information'!C345="","", 'Equipment Information'!C345)</f>
        <v/>
      </c>
      <c r="I345" t="str">
        <f t="shared" si="35"/>
        <v/>
      </c>
      <c r="J345" s="3" t="str">
        <f t="shared" si="36"/>
        <v/>
      </c>
      <c r="N345" t="str">
        <f t="shared" si="37"/>
        <v/>
      </c>
      <c r="Q345" s="3" t="str">
        <f t="shared" si="38"/>
        <v/>
      </c>
      <c r="R345" s="3" t="str">
        <f t="shared" si="39"/>
        <v/>
      </c>
      <c r="S345" t="str">
        <f t="shared" si="40"/>
        <v/>
      </c>
      <c r="T345" t="str">
        <f t="shared" si="41"/>
        <v/>
      </c>
    </row>
    <row r="346" spans="1:20" x14ac:dyDescent="0.25">
      <c r="A346" t="str">
        <f>IF('Equipment Information'!A346="","", 'Equipment Information'!A346)</f>
        <v/>
      </c>
      <c r="B346" t="str">
        <f>IF('Equipment Information'!B346="","", 'Equipment Information'!B346)</f>
        <v/>
      </c>
      <c r="C346" t="str">
        <f>IF('Equipment Information'!C346="","", 'Equipment Information'!C346)</f>
        <v/>
      </c>
      <c r="I346" t="str">
        <f t="shared" si="35"/>
        <v/>
      </c>
      <c r="J346" s="3" t="str">
        <f t="shared" si="36"/>
        <v/>
      </c>
      <c r="N346" t="str">
        <f t="shared" si="37"/>
        <v/>
      </c>
      <c r="Q346" s="3" t="str">
        <f t="shared" si="38"/>
        <v/>
      </c>
      <c r="R346" s="3" t="str">
        <f t="shared" si="39"/>
        <v/>
      </c>
      <c r="S346" t="str">
        <f t="shared" si="40"/>
        <v/>
      </c>
      <c r="T346" t="str">
        <f t="shared" si="41"/>
        <v/>
      </c>
    </row>
    <row r="347" spans="1:20" x14ac:dyDescent="0.25">
      <c r="A347" t="str">
        <f>IF('Equipment Information'!A347="","", 'Equipment Information'!A347)</f>
        <v/>
      </c>
      <c r="B347" t="str">
        <f>IF('Equipment Information'!B347="","", 'Equipment Information'!B347)</f>
        <v/>
      </c>
      <c r="C347" t="str">
        <f>IF('Equipment Information'!C347="","", 'Equipment Information'!C347)</f>
        <v/>
      </c>
      <c r="I347" t="str">
        <f t="shared" si="35"/>
        <v/>
      </c>
      <c r="J347" s="3" t="str">
        <f t="shared" si="36"/>
        <v/>
      </c>
      <c r="N347" t="str">
        <f t="shared" si="37"/>
        <v/>
      </c>
      <c r="Q347" s="3" t="str">
        <f t="shared" si="38"/>
        <v/>
      </c>
      <c r="R347" s="3" t="str">
        <f t="shared" si="39"/>
        <v/>
      </c>
      <c r="S347" t="str">
        <f t="shared" si="40"/>
        <v/>
      </c>
      <c r="T347" t="str">
        <f t="shared" si="41"/>
        <v/>
      </c>
    </row>
    <row r="348" spans="1:20" x14ac:dyDescent="0.25">
      <c r="A348" t="str">
        <f>IF('Equipment Information'!A348="","", 'Equipment Information'!A348)</f>
        <v/>
      </c>
      <c r="B348" t="str">
        <f>IF('Equipment Information'!B348="","", 'Equipment Information'!B348)</f>
        <v/>
      </c>
      <c r="C348" t="str">
        <f>IF('Equipment Information'!C348="","", 'Equipment Information'!C348)</f>
        <v/>
      </c>
      <c r="I348" t="str">
        <f t="shared" si="35"/>
        <v/>
      </c>
      <c r="J348" s="3" t="str">
        <f t="shared" si="36"/>
        <v/>
      </c>
      <c r="N348" t="str">
        <f t="shared" si="37"/>
        <v/>
      </c>
      <c r="Q348" s="3" t="str">
        <f t="shared" si="38"/>
        <v/>
      </c>
      <c r="R348" s="3" t="str">
        <f t="shared" si="39"/>
        <v/>
      </c>
      <c r="S348" t="str">
        <f t="shared" si="40"/>
        <v/>
      </c>
      <c r="T348" t="str">
        <f t="shared" si="41"/>
        <v/>
      </c>
    </row>
    <row r="349" spans="1:20" x14ac:dyDescent="0.25">
      <c r="A349" t="str">
        <f>IF('Equipment Information'!A349="","", 'Equipment Information'!A349)</f>
        <v/>
      </c>
      <c r="B349" t="str">
        <f>IF('Equipment Information'!B349="","", 'Equipment Information'!B349)</f>
        <v/>
      </c>
      <c r="C349" t="str">
        <f>IF('Equipment Information'!C349="","", 'Equipment Information'!C349)</f>
        <v/>
      </c>
      <c r="I349" t="str">
        <f t="shared" si="35"/>
        <v/>
      </c>
      <c r="J349" s="3" t="str">
        <f t="shared" si="36"/>
        <v/>
      </c>
      <c r="N349" t="str">
        <f t="shared" si="37"/>
        <v/>
      </c>
      <c r="Q349" s="3" t="str">
        <f t="shared" si="38"/>
        <v/>
      </c>
      <c r="R349" s="3" t="str">
        <f t="shared" si="39"/>
        <v/>
      </c>
      <c r="S349" t="str">
        <f t="shared" si="40"/>
        <v/>
      </c>
      <c r="T349" t="str">
        <f t="shared" si="41"/>
        <v/>
      </c>
    </row>
    <row r="350" spans="1:20" x14ac:dyDescent="0.25">
      <c r="A350" t="str">
        <f>IF('Equipment Information'!A350="","", 'Equipment Information'!A350)</f>
        <v/>
      </c>
      <c r="B350" t="str">
        <f>IF('Equipment Information'!B350="","", 'Equipment Information'!B350)</f>
        <v/>
      </c>
      <c r="C350" t="str">
        <f>IF('Equipment Information'!C350="","", 'Equipment Information'!C350)</f>
        <v/>
      </c>
      <c r="I350" t="str">
        <f t="shared" si="35"/>
        <v/>
      </c>
      <c r="J350" s="3" t="str">
        <f t="shared" si="36"/>
        <v/>
      </c>
      <c r="N350" t="str">
        <f t="shared" si="37"/>
        <v/>
      </c>
      <c r="Q350" s="3" t="str">
        <f t="shared" si="38"/>
        <v/>
      </c>
      <c r="R350" s="3" t="str">
        <f t="shared" si="39"/>
        <v/>
      </c>
      <c r="S350" t="str">
        <f t="shared" si="40"/>
        <v/>
      </c>
      <c r="T350" t="str">
        <f t="shared" si="41"/>
        <v/>
      </c>
    </row>
    <row r="351" spans="1:20" x14ac:dyDescent="0.25">
      <c r="A351" t="str">
        <f>IF('Equipment Information'!A351="","", 'Equipment Information'!A351)</f>
        <v/>
      </c>
      <c r="B351" t="str">
        <f>IF('Equipment Information'!B351="","", 'Equipment Information'!B351)</f>
        <v/>
      </c>
      <c r="C351" t="str">
        <f>IF('Equipment Information'!C351="","", 'Equipment Information'!C351)</f>
        <v/>
      </c>
      <c r="I351" t="str">
        <f t="shared" si="35"/>
        <v/>
      </c>
      <c r="J351" s="3" t="str">
        <f t="shared" si="36"/>
        <v/>
      </c>
      <c r="N351" t="str">
        <f t="shared" si="37"/>
        <v/>
      </c>
      <c r="Q351" s="3" t="str">
        <f t="shared" si="38"/>
        <v/>
      </c>
      <c r="R351" s="3" t="str">
        <f t="shared" si="39"/>
        <v/>
      </c>
      <c r="S351" t="str">
        <f t="shared" si="40"/>
        <v/>
      </c>
      <c r="T351" t="str">
        <f t="shared" si="41"/>
        <v/>
      </c>
    </row>
    <row r="352" spans="1:20" x14ac:dyDescent="0.25">
      <c r="A352" t="str">
        <f>IF('Equipment Information'!A352="","", 'Equipment Information'!A352)</f>
        <v/>
      </c>
      <c r="B352" t="str">
        <f>IF('Equipment Information'!B352="","", 'Equipment Information'!B352)</f>
        <v/>
      </c>
      <c r="C352" t="str">
        <f>IF('Equipment Information'!C352="","", 'Equipment Information'!C352)</f>
        <v/>
      </c>
      <c r="I352" t="str">
        <f t="shared" si="35"/>
        <v/>
      </c>
      <c r="J352" s="3" t="str">
        <f t="shared" si="36"/>
        <v/>
      </c>
      <c r="N352" t="str">
        <f t="shared" si="37"/>
        <v/>
      </c>
      <c r="Q352" s="3" t="str">
        <f t="shared" si="38"/>
        <v/>
      </c>
      <c r="R352" s="3" t="str">
        <f t="shared" si="39"/>
        <v/>
      </c>
      <c r="S352" t="str">
        <f t="shared" si="40"/>
        <v/>
      </c>
      <c r="T352" t="str">
        <f t="shared" si="41"/>
        <v/>
      </c>
    </row>
    <row r="353" spans="1:20" x14ac:dyDescent="0.25">
      <c r="A353" t="str">
        <f>IF('Equipment Information'!A353="","", 'Equipment Information'!A353)</f>
        <v/>
      </c>
      <c r="B353" t="str">
        <f>IF('Equipment Information'!B353="","", 'Equipment Information'!B353)</f>
        <v/>
      </c>
      <c r="C353" t="str">
        <f>IF('Equipment Information'!C353="","", 'Equipment Information'!C353)</f>
        <v/>
      </c>
      <c r="I353" t="str">
        <f t="shared" si="35"/>
        <v/>
      </c>
      <c r="J353" s="3" t="str">
        <f t="shared" si="36"/>
        <v/>
      </c>
      <c r="N353" t="str">
        <f t="shared" si="37"/>
        <v/>
      </c>
      <c r="Q353" s="3" t="str">
        <f t="shared" si="38"/>
        <v/>
      </c>
      <c r="R353" s="3" t="str">
        <f t="shared" si="39"/>
        <v/>
      </c>
      <c r="S353" t="str">
        <f t="shared" si="40"/>
        <v/>
      </c>
      <c r="T353" t="str">
        <f t="shared" si="41"/>
        <v/>
      </c>
    </row>
    <row r="354" spans="1:20" x14ac:dyDescent="0.25">
      <c r="A354" t="str">
        <f>IF('Equipment Information'!A354="","", 'Equipment Information'!A354)</f>
        <v/>
      </c>
      <c r="B354" t="str">
        <f>IF('Equipment Information'!B354="","", 'Equipment Information'!B354)</f>
        <v/>
      </c>
      <c r="C354" t="str">
        <f>IF('Equipment Information'!C354="","", 'Equipment Information'!C354)</f>
        <v/>
      </c>
      <c r="I354" t="str">
        <f t="shared" si="35"/>
        <v/>
      </c>
      <c r="J354" s="3" t="str">
        <f t="shared" si="36"/>
        <v/>
      </c>
      <c r="N354" t="str">
        <f t="shared" si="37"/>
        <v/>
      </c>
      <c r="Q354" s="3" t="str">
        <f t="shared" si="38"/>
        <v/>
      </c>
      <c r="R354" s="3" t="str">
        <f t="shared" si="39"/>
        <v/>
      </c>
      <c r="S354" t="str">
        <f t="shared" si="40"/>
        <v/>
      </c>
      <c r="T354" t="str">
        <f t="shared" si="41"/>
        <v/>
      </c>
    </row>
    <row r="355" spans="1:20" x14ac:dyDescent="0.25">
      <c r="A355" t="str">
        <f>IF('Equipment Information'!A355="","", 'Equipment Information'!A355)</f>
        <v/>
      </c>
      <c r="B355" t="str">
        <f>IF('Equipment Information'!B355="","", 'Equipment Information'!B355)</f>
        <v/>
      </c>
      <c r="C355" t="str">
        <f>IF('Equipment Information'!C355="","", 'Equipment Information'!C355)</f>
        <v/>
      </c>
      <c r="I355" t="str">
        <f t="shared" si="35"/>
        <v/>
      </c>
      <c r="J355" s="3" t="str">
        <f t="shared" si="36"/>
        <v/>
      </c>
      <c r="N355" t="str">
        <f t="shared" si="37"/>
        <v/>
      </c>
      <c r="Q355" s="3" t="str">
        <f t="shared" si="38"/>
        <v/>
      </c>
      <c r="R355" s="3" t="str">
        <f t="shared" si="39"/>
        <v/>
      </c>
      <c r="S355" t="str">
        <f t="shared" si="40"/>
        <v/>
      </c>
      <c r="T355" t="str">
        <f t="shared" si="41"/>
        <v/>
      </c>
    </row>
    <row r="356" spans="1:20" x14ac:dyDescent="0.25">
      <c r="A356" t="str">
        <f>IF('Equipment Information'!A356="","", 'Equipment Information'!A356)</f>
        <v/>
      </c>
      <c r="B356" t="str">
        <f>IF('Equipment Information'!B356="","", 'Equipment Information'!B356)</f>
        <v/>
      </c>
      <c r="C356" t="str">
        <f>IF('Equipment Information'!C356="","", 'Equipment Information'!C356)</f>
        <v/>
      </c>
      <c r="I356" t="str">
        <f t="shared" si="35"/>
        <v/>
      </c>
      <c r="J356" s="3" t="str">
        <f t="shared" si="36"/>
        <v/>
      </c>
      <c r="N356" t="str">
        <f t="shared" si="37"/>
        <v/>
      </c>
      <c r="Q356" s="3" t="str">
        <f t="shared" si="38"/>
        <v/>
      </c>
      <c r="R356" s="3" t="str">
        <f t="shared" si="39"/>
        <v/>
      </c>
      <c r="S356" t="str">
        <f t="shared" si="40"/>
        <v/>
      </c>
      <c r="T356" t="str">
        <f t="shared" si="41"/>
        <v/>
      </c>
    </row>
    <row r="357" spans="1:20" x14ac:dyDescent="0.25">
      <c r="A357" t="str">
        <f>IF('Equipment Information'!A357="","", 'Equipment Information'!A357)</f>
        <v/>
      </c>
      <c r="B357" t="str">
        <f>IF('Equipment Information'!B357="","", 'Equipment Information'!B357)</f>
        <v/>
      </c>
      <c r="C357" t="str">
        <f>IF('Equipment Information'!C357="","", 'Equipment Information'!C357)</f>
        <v/>
      </c>
      <c r="I357" t="str">
        <f t="shared" si="35"/>
        <v/>
      </c>
      <c r="J357" s="3" t="str">
        <f t="shared" si="36"/>
        <v/>
      </c>
      <c r="N357" t="str">
        <f t="shared" si="37"/>
        <v/>
      </c>
      <c r="Q357" s="3" t="str">
        <f t="shared" si="38"/>
        <v/>
      </c>
      <c r="R357" s="3" t="str">
        <f t="shared" si="39"/>
        <v/>
      </c>
      <c r="S357" t="str">
        <f t="shared" si="40"/>
        <v/>
      </c>
      <c r="T357" t="str">
        <f t="shared" si="41"/>
        <v/>
      </c>
    </row>
    <row r="358" spans="1:20" x14ac:dyDescent="0.25">
      <c r="A358" t="str">
        <f>IF('Equipment Information'!A358="","", 'Equipment Information'!A358)</f>
        <v/>
      </c>
      <c r="B358" t="str">
        <f>IF('Equipment Information'!B358="","", 'Equipment Information'!B358)</f>
        <v/>
      </c>
      <c r="C358" t="str">
        <f>IF('Equipment Information'!C358="","", 'Equipment Information'!C358)</f>
        <v/>
      </c>
      <c r="I358" t="str">
        <f t="shared" si="35"/>
        <v/>
      </c>
      <c r="J358" s="3" t="str">
        <f t="shared" si="36"/>
        <v/>
      </c>
      <c r="N358" t="str">
        <f t="shared" si="37"/>
        <v/>
      </c>
      <c r="Q358" s="3" t="str">
        <f t="shared" si="38"/>
        <v/>
      </c>
      <c r="R358" s="3" t="str">
        <f t="shared" si="39"/>
        <v/>
      </c>
      <c r="S358" t="str">
        <f t="shared" si="40"/>
        <v/>
      </c>
      <c r="T358" t="str">
        <f t="shared" si="41"/>
        <v/>
      </c>
    </row>
    <row r="359" spans="1:20" x14ac:dyDescent="0.25">
      <c r="A359" t="str">
        <f>IF('Equipment Information'!A359="","", 'Equipment Information'!A359)</f>
        <v/>
      </c>
      <c r="B359" t="str">
        <f>IF('Equipment Information'!B359="","", 'Equipment Information'!B359)</f>
        <v/>
      </c>
      <c r="C359" t="str">
        <f>IF('Equipment Information'!C359="","", 'Equipment Information'!C359)</f>
        <v/>
      </c>
      <c r="I359" t="str">
        <f t="shared" si="35"/>
        <v/>
      </c>
      <c r="J359" s="3" t="str">
        <f t="shared" si="36"/>
        <v/>
      </c>
      <c r="N359" t="str">
        <f t="shared" si="37"/>
        <v/>
      </c>
      <c r="Q359" s="3" t="str">
        <f t="shared" si="38"/>
        <v/>
      </c>
      <c r="R359" s="3" t="str">
        <f t="shared" si="39"/>
        <v/>
      </c>
      <c r="S359" t="str">
        <f t="shared" si="40"/>
        <v/>
      </c>
      <c r="T359" t="str">
        <f t="shared" si="41"/>
        <v/>
      </c>
    </row>
    <row r="360" spans="1:20" x14ac:dyDescent="0.25">
      <c r="A360" t="str">
        <f>IF('Equipment Information'!A360="","", 'Equipment Information'!A360)</f>
        <v/>
      </c>
      <c r="B360" t="str">
        <f>IF('Equipment Information'!B360="","", 'Equipment Information'!B360)</f>
        <v/>
      </c>
      <c r="C360" t="str">
        <f>IF('Equipment Information'!C360="","", 'Equipment Information'!C360)</f>
        <v/>
      </c>
      <c r="I360" t="str">
        <f t="shared" si="35"/>
        <v/>
      </c>
      <c r="J360" s="3" t="str">
        <f t="shared" si="36"/>
        <v/>
      </c>
      <c r="N360" t="str">
        <f t="shared" si="37"/>
        <v/>
      </c>
      <c r="Q360" s="3" t="str">
        <f t="shared" si="38"/>
        <v/>
      </c>
      <c r="R360" s="3" t="str">
        <f t="shared" si="39"/>
        <v/>
      </c>
      <c r="S360" t="str">
        <f t="shared" si="40"/>
        <v/>
      </c>
      <c r="T360" t="str">
        <f t="shared" si="41"/>
        <v/>
      </c>
    </row>
    <row r="361" spans="1:20" x14ac:dyDescent="0.25">
      <c r="A361" t="str">
        <f>IF('Equipment Information'!A361="","", 'Equipment Information'!A361)</f>
        <v/>
      </c>
      <c r="B361" t="str">
        <f>IF('Equipment Information'!B361="","", 'Equipment Information'!B361)</f>
        <v/>
      </c>
      <c r="C361" t="str">
        <f>IF('Equipment Information'!C361="","", 'Equipment Information'!C361)</f>
        <v/>
      </c>
      <c r="I361" t="str">
        <f t="shared" si="35"/>
        <v/>
      </c>
      <c r="J361" s="3" t="str">
        <f t="shared" si="36"/>
        <v/>
      </c>
      <c r="N361" t="str">
        <f t="shared" si="37"/>
        <v/>
      </c>
      <c r="Q361" s="3" t="str">
        <f t="shared" si="38"/>
        <v/>
      </c>
      <c r="R361" s="3" t="str">
        <f t="shared" si="39"/>
        <v/>
      </c>
      <c r="S361" t="str">
        <f t="shared" si="40"/>
        <v/>
      </c>
      <c r="T361" t="str">
        <f t="shared" si="41"/>
        <v/>
      </c>
    </row>
    <row r="362" spans="1:20" x14ac:dyDescent="0.25">
      <c r="A362" t="str">
        <f>IF('Equipment Information'!A362="","", 'Equipment Information'!A362)</f>
        <v/>
      </c>
      <c r="B362" t="str">
        <f>IF('Equipment Information'!B362="","", 'Equipment Information'!B362)</f>
        <v/>
      </c>
      <c r="C362" t="str">
        <f>IF('Equipment Information'!C362="","", 'Equipment Information'!C362)</f>
        <v/>
      </c>
      <c r="I362" t="str">
        <f t="shared" si="35"/>
        <v/>
      </c>
      <c r="J362" s="3" t="str">
        <f t="shared" si="36"/>
        <v/>
      </c>
      <c r="N362" t="str">
        <f t="shared" si="37"/>
        <v/>
      </c>
      <c r="Q362" s="3" t="str">
        <f t="shared" si="38"/>
        <v/>
      </c>
      <c r="R362" s="3" t="str">
        <f t="shared" si="39"/>
        <v/>
      </c>
      <c r="S362" t="str">
        <f t="shared" si="40"/>
        <v/>
      </c>
      <c r="T362" t="str">
        <f t="shared" si="41"/>
        <v/>
      </c>
    </row>
    <row r="363" spans="1:20" x14ac:dyDescent="0.25">
      <c r="A363" t="str">
        <f>IF('Equipment Information'!A363="","", 'Equipment Information'!A363)</f>
        <v/>
      </c>
      <c r="B363" t="str">
        <f>IF('Equipment Information'!B363="","", 'Equipment Information'!B363)</f>
        <v/>
      </c>
      <c r="C363" t="str">
        <f>IF('Equipment Information'!C363="","", 'Equipment Information'!C363)</f>
        <v/>
      </c>
      <c r="I363" t="str">
        <f t="shared" si="35"/>
        <v/>
      </c>
      <c r="J363" s="3" t="str">
        <f t="shared" si="36"/>
        <v/>
      </c>
      <c r="N363" t="str">
        <f t="shared" si="37"/>
        <v/>
      </c>
      <c r="Q363" s="3" t="str">
        <f t="shared" si="38"/>
        <v/>
      </c>
      <c r="R363" s="3" t="str">
        <f t="shared" si="39"/>
        <v/>
      </c>
      <c r="S363" t="str">
        <f t="shared" si="40"/>
        <v/>
      </c>
      <c r="T363" t="str">
        <f t="shared" si="41"/>
        <v/>
      </c>
    </row>
    <row r="364" spans="1:20" x14ac:dyDescent="0.25">
      <c r="A364" t="str">
        <f>IF('Equipment Information'!A364="","", 'Equipment Information'!A364)</f>
        <v/>
      </c>
      <c r="B364" t="str">
        <f>IF('Equipment Information'!B364="","", 'Equipment Information'!B364)</f>
        <v/>
      </c>
      <c r="C364" t="str">
        <f>IF('Equipment Information'!C364="","", 'Equipment Information'!C364)</f>
        <v/>
      </c>
      <c r="I364" t="str">
        <f t="shared" si="35"/>
        <v/>
      </c>
      <c r="J364" s="3" t="str">
        <f t="shared" si="36"/>
        <v/>
      </c>
      <c r="N364" t="str">
        <f t="shared" si="37"/>
        <v/>
      </c>
      <c r="Q364" s="3" t="str">
        <f t="shared" si="38"/>
        <v/>
      </c>
      <c r="R364" s="3" t="str">
        <f t="shared" si="39"/>
        <v/>
      </c>
      <c r="S364" t="str">
        <f t="shared" si="40"/>
        <v/>
      </c>
      <c r="T364" t="str">
        <f t="shared" si="41"/>
        <v/>
      </c>
    </row>
    <row r="365" spans="1:20" x14ac:dyDescent="0.25">
      <c r="A365" t="str">
        <f>IF('Equipment Information'!A365="","", 'Equipment Information'!A365)</f>
        <v/>
      </c>
      <c r="B365" t="str">
        <f>IF('Equipment Information'!B365="","", 'Equipment Information'!B365)</f>
        <v/>
      </c>
      <c r="C365" t="str">
        <f>IF('Equipment Information'!C365="","", 'Equipment Information'!C365)</f>
        <v/>
      </c>
      <c r="I365" t="str">
        <f t="shared" si="35"/>
        <v/>
      </c>
      <c r="J365" s="3" t="str">
        <f t="shared" si="36"/>
        <v/>
      </c>
      <c r="N365" t="str">
        <f t="shared" si="37"/>
        <v/>
      </c>
      <c r="Q365" s="3" t="str">
        <f t="shared" si="38"/>
        <v/>
      </c>
      <c r="R365" s="3" t="str">
        <f t="shared" si="39"/>
        <v/>
      </c>
      <c r="S365" t="str">
        <f t="shared" si="40"/>
        <v/>
      </c>
      <c r="T365" t="str">
        <f t="shared" si="41"/>
        <v/>
      </c>
    </row>
    <row r="366" spans="1:20" x14ac:dyDescent="0.25">
      <c r="A366" t="str">
        <f>IF('Equipment Information'!A366="","", 'Equipment Information'!A366)</f>
        <v/>
      </c>
      <c r="B366" t="str">
        <f>IF('Equipment Information'!B366="","", 'Equipment Information'!B366)</f>
        <v/>
      </c>
      <c r="C366" t="str">
        <f>IF('Equipment Information'!C366="","", 'Equipment Information'!C366)</f>
        <v/>
      </c>
      <c r="I366" t="str">
        <f t="shared" si="35"/>
        <v/>
      </c>
      <c r="J366" s="3" t="str">
        <f t="shared" si="36"/>
        <v/>
      </c>
      <c r="N366" t="str">
        <f t="shared" si="37"/>
        <v/>
      </c>
      <c r="Q366" s="3" t="str">
        <f t="shared" si="38"/>
        <v/>
      </c>
      <c r="R366" s="3" t="str">
        <f t="shared" si="39"/>
        <v/>
      </c>
      <c r="S366" t="str">
        <f t="shared" si="40"/>
        <v/>
      </c>
      <c r="T366" t="str">
        <f t="shared" si="41"/>
        <v/>
      </c>
    </row>
    <row r="367" spans="1:20" x14ac:dyDescent="0.25">
      <c r="A367" t="str">
        <f>IF('Equipment Information'!A367="","", 'Equipment Information'!A367)</f>
        <v/>
      </c>
      <c r="B367" t="str">
        <f>IF('Equipment Information'!B367="","", 'Equipment Information'!B367)</f>
        <v/>
      </c>
      <c r="C367" t="str">
        <f>IF('Equipment Information'!C367="","", 'Equipment Information'!C367)</f>
        <v/>
      </c>
      <c r="I367" t="str">
        <f t="shared" si="35"/>
        <v/>
      </c>
      <c r="J367" s="3" t="str">
        <f t="shared" si="36"/>
        <v/>
      </c>
      <c r="N367" t="str">
        <f t="shared" si="37"/>
        <v/>
      </c>
      <c r="Q367" s="3" t="str">
        <f t="shared" si="38"/>
        <v/>
      </c>
      <c r="R367" s="3" t="str">
        <f t="shared" si="39"/>
        <v/>
      </c>
      <c r="S367" t="str">
        <f t="shared" si="40"/>
        <v/>
      </c>
      <c r="T367" t="str">
        <f t="shared" si="41"/>
        <v/>
      </c>
    </row>
    <row r="368" spans="1:20" x14ac:dyDescent="0.25">
      <c r="A368" t="str">
        <f>IF('Equipment Information'!A368="","", 'Equipment Information'!A368)</f>
        <v/>
      </c>
      <c r="B368" t="str">
        <f>IF('Equipment Information'!B368="","", 'Equipment Information'!B368)</f>
        <v/>
      </c>
      <c r="C368" t="str">
        <f>IF('Equipment Information'!C368="","", 'Equipment Information'!C368)</f>
        <v/>
      </c>
      <c r="I368" t="str">
        <f t="shared" si="35"/>
        <v/>
      </c>
      <c r="J368" s="3" t="str">
        <f t="shared" si="36"/>
        <v/>
      </c>
      <c r="N368" t="str">
        <f t="shared" si="37"/>
        <v/>
      </c>
      <c r="Q368" s="3" t="str">
        <f t="shared" si="38"/>
        <v/>
      </c>
      <c r="R368" s="3" t="str">
        <f t="shared" si="39"/>
        <v/>
      </c>
      <c r="S368" t="str">
        <f t="shared" si="40"/>
        <v/>
      </c>
      <c r="T368" t="str">
        <f t="shared" si="41"/>
        <v/>
      </c>
    </row>
    <row r="369" spans="1:20" x14ac:dyDescent="0.25">
      <c r="A369" t="str">
        <f>IF('Equipment Information'!A369="","", 'Equipment Information'!A369)</f>
        <v/>
      </c>
      <c r="B369" t="str">
        <f>IF('Equipment Information'!B369="","", 'Equipment Information'!B369)</f>
        <v/>
      </c>
      <c r="C369" t="str">
        <f>IF('Equipment Information'!C369="","", 'Equipment Information'!C369)</f>
        <v/>
      </c>
      <c r="I369" t="str">
        <f t="shared" si="35"/>
        <v/>
      </c>
      <c r="J369" s="3" t="str">
        <f t="shared" si="36"/>
        <v/>
      </c>
      <c r="N369" t="str">
        <f t="shared" si="37"/>
        <v/>
      </c>
      <c r="Q369" s="3" t="str">
        <f t="shared" si="38"/>
        <v/>
      </c>
      <c r="R369" s="3" t="str">
        <f t="shared" si="39"/>
        <v/>
      </c>
      <c r="S369" t="str">
        <f t="shared" si="40"/>
        <v/>
      </c>
      <c r="T369" t="str">
        <f t="shared" si="41"/>
        <v/>
      </c>
    </row>
    <row r="370" spans="1:20" x14ac:dyDescent="0.25">
      <c r="A370" t="str">
        <f>IF('Equipment Information'!A370="","", 'Equipment Information'!A370)</f>
        <v/>
      </c>
      <c r="B370" t="str">
        <f>IF('Equipment Information'!B370="","", 'Equipment Information'!B370)</f>
        <v/>
      </c>
      <c r="C370" t="str">
        <f>IF('Equipment Information'!C370="","", 'Equipment Information'!C370)</f>
        <v/>
      </c>
      <c r="I370" t="str">
        <f t="shared" si="35"/>
        <v/>
      </c>
      <c r="J370" s="3" t="str">
        <f t="shared" si="36"/>
        <v/>
      </c>
      <c r="N370" t="str">
        <f t="shared" si="37"/>
        <v/>
      </c>
      <c r="Q370" s="3" t="str">
        <f t="shared" si="38"/>
        <v/>
      </c>
      <c r="R370" s="3" t="str">
        <f t="shared" si="39"/>
        <v/>
      </c>
      <c r="S370" t="str">
        <f t="shared" si="40"/>
        <v/>
      </c>
      <c r="T370" t="str">
        <f t="shared" si="41"/>
        <v/>
      </c>
    </row>
    <row r="371" spans="1:20" x14ac:dyDescent="0.25">
      <c r="A371" t="str">
        <f>IF('Equipment Information'!A371="","", 'Equipment Information'!A371)</f>
        <v/>
      </c>
      <c r="B371" t="str">
        <f>IF('Equipment Information'!B371="","", 'Equipment Information'!B371)</f>
        <v/>
      </c>
      <c r="C371" t="str">
        <f>IF('Equipment Information'!C371="","", 'Equipment Information'!C371)</f>
        <v/>
      </c>
      <c r="I371" t="str">
        <f t="shared" si="35"/>
        <v/>
      </c>
      <c r="J371" s="3" t="str">
        <f t="shared" si="36"/>
        <v/>
      </c>
      <c r="N371" t="str">
        <f t="shared" si="37"/>
        <v/>
      </c>
      <c r="Q371" s="3" t="str">
        <f t="shared" si="38"/>
        <v/>
      </c>
      <c r="R371" s="3" t="str">
        <f t="shared" si="39"/>
        <v/>
      </c>
      <c r="S371" t="str">
        <f t="shared" si="40"/>
        <v/>
      </c>
      <c r="T371" t="str">
        <f t="shared" si="41"/>
        <v/>
      </c>
    </row>
    <row r="372" spans="1:20" x14ac:dyDescent="0.25">
      <c r="A372" t="str">
        <f>IF('Equipment Information'!A372="","", 'Equipment Information'!A372)</f>
        <v/>
      </c>
      <c r="B372" t="str">
        <f>IF('Equipment Information'!B372="","", 'Equipment Information'!B372)</f>
        <v/>
      </c>
      <c r="C372" t="str">
        <f>IF('Equipment Information'!C372="","", 'Equipment Information'!C372)</f>
        <v/>
      </c>
      <c r="I372" t="str">
        <f t="shared" si="35"/>
        <v/>
      </c>
      <c r="J372" s="3" t="str">
        <f t="shared" si="36"/>
        <v/>
      </c>
      <c r="N372" t="str">
        <f t="shared" si="37"/>
        <v/>
      </c>
      <c r="Q372" s="3" t="str">
        <f t="shared" si="38"/>
        <v/>
      </c>
      <c r="R372" s="3" t="str">
        <f t="shared" si="39"/>
        <v/>
      </c>
      <c r="S372" t="str">
        <f t="shared" si="40"/>
        <v/>
      </c>
      <c r="T372" t="str">
        <f t="shared" si="41"/>
        <v/>
      </c>
    </row>
    <row r="373" spans="1:20" x14ac:dyDescent="0.25">
      <c r="A373" t="str">
        <f>IF('Equipment Information'!A373="","", 'Equipment Information'!A373)</f>
        <v/>
      </c>
      <c r="B373" t="str">
        <f>IF('Equipment Information'!B373="","", 'Equipment Information'!B373)</f>
        <v/>
      </c>
      <c r="C373" t="str">
        <f>IF('Equipment Information'!C373="","", 'Equipment Information'!C373)</f>
        <v/>
      </c>
      <c r="I373" t="str">
        <f t="shared" si="35"/>
        <v/>
      </c>
      <c r="J373" s="3" t="str">
        <f t="shared" si="36"/>
        <v/>
      </c>
      <c r="N373" t="str">
        <f t="shared" si="37"/>
        <v/>
      </c>
      <c r="Q373" s="3" t="str">
        <f t="shared" si="38"/>
        <v/>
      </c>
      <c r="R373" s="3" t="str">
        <f t="shared" si="39"/>
        <v/>
      </c>
      <c r="S373" t="str">
        <f t="shared" si="40"/>
        <v/>
      </c>
      <c r="T373" t="str">
        <f t="shared" si="41"/>
        <v/>
      </c>
    </row>
    <row r="374" spans="1:20" x14ac:dyDescent="0.25">
      <c r="A374" t="str">
        <f>IF('Equipment Information'!A374="","", 'Equipment Information'!A374)</f>
        <v/>
      </c>
      <c r="B374" t="str">
        <f>IF('Equipment Information'!B374="","", 'Equipment Information'!B374)</f>
        <v/>
      </c>
      <c r="C374" t="str">
        <f>IF('Equipment Information'!C374="","", 'Equipment Information'!C374)</f>
        <v/>
      </c>
      <c r="I374" t="str">
        <f t="shared" si="35"/>
        <v/>
      </c>
      <c r="J374" s="3" t="str">
        <f t="shared" si="36"/>
        <v/>
      </c>
      <c r="N374" t="str">
        <f t="shared" si="37"/>
        <v/>
      </c>
      <c r="Q374" s="3" t="str">
        <f t="shared" si="38"/>
        <v/>
      </c>
      <c r="R374" s="3" t="str">
        <f t="shared" si="39"/>
        <v/>
      </c>
      <c r="S374" t="str">
        <f t="shared" si="40"/>
        <v/>
      </c>
      <c r="T374" t="str">
        <f t="shared" si="41"/>
        <v/>
      </c>
    </row>
    <row r="375" spans="1:20" x14ac:dyDescent="0.25">
      <c r="A375" t="str">
        <f>IF('Equipment Information'!A375="","", 'Equipment Information'!A375)</f>
        <v/>
      </c>
      <c r="B375" t="str">
        <f>IF('Equipment Information'!B375="","", 'Equipment Information'!B375)</f>
        <v/>
      </c>
      <c r="C375" t="str">
        <f>IF('Equipment Information'!C375="","", 'Equipment Information'!C375)</f>
        <v/>
      </c>
      <c r="I375" t="str">
        <f t="shared" si="35"/>
        <v/>
      </c>
      <c r="J375" s="3" t="str">
        <f t="shared" si="36"/>
        <v/>
      </c>
      <c r="N375" t="str">
        <f t="shared" si="37"/>
        <v/>
      </c>
      <c r="Q375" s="3" t="str">
        <f t="shared" si="38"/>
        <v/>
      </c>
      <c r="R375" s="3" t="str">
        <f t="shared" si="39"/>
        <v/>
      </c>
      <c r="S375" t="str">
        <f t="shared" si="40"/>
        <v/>
      </c>
      <c r="T375" t="str">
        <f t="shared" si="41"/>
        <v/>
      </c>
    </row>
    <row r="376" spans="1:20" x14ac:dyDescent="0.25">
      <c r="A376" t="str">
        <f>IF('Equipment Information'!A376="","", 'Equipment Information'!A376)</f>
        <v/>
      </c>
      <c r="B376" t="str">
        <f>IF('Equipment Information'!B376="","", 'Equipment Information'!B376)</f>
        <v/>
      </c>
      <c r="C376" t="str">
        <f>IF('Equipment Information'!C376="","", 'Equipment Information'!C376)</f>
        <v/>
      </c>
      <c r="I376" t="str">
        <f t="shared" si="35"/>
        <v/>
      </c>
      <c r="J376" s="3" t="str">
        <f t="shared" si="36"/>
        <v/>
      </c>
      <c r="N376" t="str">
        <f t="shared" si="37"/>
        <v/>
      </c>
      <c r="Q376" s="3" t="str">
        <f t="shared" si="38"/>
        <v/>
      </c>
      <c r="R376" s="3" t="str">
        <f t="shared" si="39"/>
        <v/>
      </c>
      <c r="S376" t="str">
        <f t="shared" si="40"/>
        <v/>
      </c>
      <c r="T376" t="str">
        <f t="shared" si="41"/>
        <v/>
      </c>
    </row>
    <row r="377" spans="1:20" x14ac:dyDescent="0.25">
      <c r="A377" t="str">
        <f>IF('Equipment Information'!A377="","", 'Equipment Information'!A377)</f>
        <v/>
      </c>
      <c r="B377" t="str">
        <f>IF('Equipment Information'!B377="","", 'Equipment Information'!B377)</f>
        <v/>
      </c>
      <c r="C377" t="str">
        <f>IF('Equipment Information'!C377="","", 'Equipment Information'!C377)</f>
        <v/>
      </c>
      <c r="I377" t="str">
        <f t="shared" si="35"/>
        <v/>
      </c>
      <c r="J377" s="3" t="str">
        <f t="shared" si="36"/>
        <v/>
      </c>
      <c r="N377" t="str">
        <f t="shared" si="37"/>
        <v/>
      </c>
      <c r="Q377" s="3" t="str">
        <f t="shared" si="38"/>
        <v/>
      </c>
      <c r="R377" s="3" t="str">
        <f t="shared" si="39"/>
        <v/>
      </c>
      <c r="S377" t="str">
        <f t="shared" si="40"/>
        <v/>
      </c>
      <c r="T377" t="str">
        <f t="shared" si="41"/>
        <v/>
      </c>
    </row>
    <row r="378" spans="1:20" x14ac:dyDescent="0.25">
      <c r="A378" t="str">
        <f>IF('Equipment Information'!A378="","", 'Equipment Information'!A378)</f>
        <v/>
      </c>
      <c r="B378" t="str">
        <f>IF('Equipment Information'!B378="","", 'Equipment Information'!B378)</f>
        <v/>
      </c>
      <c r="C378" t="str">
        <f>IF('Equipment Information'!C378="","", 'Equipment Information'!C378)</f>
        <v/>
      </c>
      <c r="I378" t="str">
        <f t="shared" si="35"/>
        <v/>
      </c>
      <c r="J378" s="3" t="str">
        <f t="shared" si="36"/>
        <v/>
      </c>
      <c r="N378" t="str">
        <f t="shared" si="37"/>
        <v/>
      </c>
      <c r="Q378" s="3" t="str">
        <f t="shared" si="38"/>
        <v/>
      </c>
      <c r="R378" s="3" t="str">
        <f t="shared" si="39"/>
        <v/>
      </c>
      <c r="S378" t="str">
        <f t="shared" si="40"/>
        <v/>
      </c>
      <c r="T378" t="str">
        <f t="shared" si="41"/>
        <v/>
      </c>
    </row>
    <row r="379" spans="1:20" x14ac:dyDescent="0.25">
      <c r="A379" t="str">
        <f>IF('Equipment Information'!A379="","", 'Equipment Information'!A379)</f>
        <v/>
      </c>
      <c r="B379" t="str">
        <f>IF('Equipment Information'!B379="","", 'Equipment Information'!B379)</f>
        <v/>
      </c>
      <c r="C379" t="str">
        <f>IF('Equipment Information'!C379="","", 'Equipment Information'!C379)</f>
        <v/>
      </c>
      <c r="I379" t="str">
        <f t="shared" si="35"/>
        <v/>
      </c>
      <c r="J379" s="3" t="str">
        <f t="shared" si="36"/>
        <v/>
      </c>
      <c r="N379" t="str">
        <f t="shared" si="37"/>
        <v/>
      </c>
      <c r="Q379" s="3" t="str">
        <f t="shared" si="38"/>
        <v/>
      </c>
      <c r="R379" s="3" t="str">
        <f t="shared" si="39"/>
        <v/>
      </c>
      <c r="S379" t="str">
        <f t="shared" si="40"/>
        <v/>
      </c>
      <c r="T379" t="str">
        <f t="shared" si="41"/>
        <v/>
      </c>
    </row>
    <row r="380" spans="1:20" x14ac:dyDescent="0.25">
      <c r="A380" t="str">
        <f>IF('Equipment Information'!A380="","", 'Equipment Information'!A380)</f>
        <v/>
      </c>
      <c r="B380" t="str">
        <f>IF('Equipment Information'!B380="","", 'Equipment Information'!B380)</f>
        <v/>
      </c>
      <c r="C380" t="str">
        <f>IF('Equipment Information'!C380="","", 'Equipment Information'!C380)</f>
        <v/>
      </c>
      <c r="I380" t="str">
        <f t="shared" si="35"/>
        <v/>
      </c>
      <c r="J380" s="3" t="str">
        <f t="shared" si="36"/>
        <v/>
      </c>
      <c r="N380" t="str">
        <f t="shared" si="37"/>
        <v/>
      </c>
      <c r="Q380" s="3" t="str">
        <f t="shared" si="38"/>
        <v/>
      </c>
      <c r="R380" s="3" t="str">
        <f t="shared" si="39"/>
        <v/>
      </c>
      <c r="S380" t="str">
        <f t="shared" si="40"/>
        <v/>
      </c>
      <c r="T380" t="str">
        <f t="shared" si="41"/>
        <v/>
      </c>
    </row>
    <row r="381" spans="1:20" x14ac:dyDescent="0.25">
      <c r="A381" t="str">
        <f>IF('Equipment Information'!A381="","", 'Equipment Information'!A381)</f>
        <v/>
      </c>
      <c r="B381" t="str">
        <f>IF('Equipment Information'!B381="","", 'Equipment Information'!B381)</f>
        <v/>
      </c>
      <c r="C381" t="str">
        <f>IF('Equipment Information'!C381="","", 'Equipment Information'!C381)</f>
        <v/>
      </c>
      <c r="I381" t="str">
        <f t="shared" si="35"/>
        <v/>
      </c>
      <c r="J381" s="3" t="str">
        <f t="shared" si="36"/>
        <v/>
      </c>
      <c r="N381" t="str">
        <f t="shared" si="37"/>
        <v/>
      </c>
      <c r="Q381" s="3" t="str">
        <f t="shared" si="38"/>
        <v/>
      </c>
      <c r="R381" s="3" t="str">
        <f t="shared" si="39"/>
        <v/>
      </c>
      <c r="S381" t="str">
        <f t="shared" si="40"/>
        <v/>
      </c>
      <c r="T381" t="str">
        <f t="shared" si="41"/>
        <v/>
      </c>
    </row>
    <row r="382" spans="1:20" x14ac:dyDescent="0.25">
      <c r="A382" t="str">
        <f>IF('Equipment Information'!A382="","", 'Equipment Information'!A382)</f>
        <v/>
      </c>
      <c r="B382" t="str">
        <f>IF('Equipment Information'!B382="","", 'Equipment Information'!B382)</f>
        <v/>
      </c>
      <c r="C382" t="str">
        <f>IF('Equipment Information'!C382="","", 'Equipment Information'!C382)</f>
        <v/>
      </c>
      <c r="I382" t="str">
        <f t="shared" si="35"/>
        <v/>
      </c>
      <c r="J382" s="3" t="str">
        <f t="shared" si="36"/>
        <v/>
      </c>
      <c r="N382" t="str">
        <f t="shared" si="37"/>
        <v/>
      </c>
      <c r="Q382" s="3" t="str">
        <f t="shared" si="38"/>
        <v/>
      </c>
      <c r="R382" s="3" t="str">
        <f t="shared" si="39"/>
        <v/>
      </c>
      <c r="S382" t="str">
        <f t="shared" si="40"/>
        <v/>
      </c>
      <c r="T382" t="str">
        <f t="shared" si="41"/>
        <v/>
      </c>
    </row>
    <row r="383" spans="1:20" x14ac:dyDescent="0.25">
      <c r="A383" t="str">
        <f>IF('Equipment Information'!A383="","", 'Equipment Information'!A383)</f>
        <v/>
      </c>
      <c r="B383" t="str">
        <f>IF('Equipment Information'!B383="","", 'Equipment Information'!B383)</f>
        <v/>
      </c>
      <c r="C383" t="str">
        <f>IF('Equipment Information'!C383="","", 'Equipment Information'!C383)</f>
        <v/>
      </c>
      <c r="I383" t="str">
        <f t="shared" si="35"/>
        <v/>
      </c>
      <c r="J383" s="3" t="str">
        <f t="shared" si="36"/>
        <v/>
      </c>
      <c r="N383" t="str">
        <f t="shared" si="37"/>
        <v/>
      </c>
      <c r="Q383" s="3" t="str">
        <f t="shared" si="38"/>
        <v/>
      </c>
      <c r="R383" s="3" t="str">
        <f t="shared" si="39"/>
        <v/>
      </c>
      <c r="S383" t="str">
        <f t="shared" si="40"/>
        <v/>
      </c>
      <c r="T383" t="str">
        <f t="shared" si="41"/>
        <v/>
      </c>
    </row>
    <row r="384" spans="1:20" x14ac:dyDescent="0.25">
      <c r="A384" t="str">
        <f>IF('Equipment Information'!A384="","", 'Equipment Information'!A384)</f>
        <v/>
      </c>
      <c r="B384" t="str">
        <f>IF('Equipment Information'!B384="","", 'Equipment Information'!B384)</f>
        <v/>
      </c>
      <c r="C384" t="str">
        <f>IF('Equipment Information'!C384="","", 'Equipment Information'!C384)</f>
        <v/>
      </c>
      <c r="I384" t="str">
        <f t="shared" si="35"/>
        <v/>
      </c>
      <c r="J384" s="3" t="str">
        <f t="shared" si="36"/>
        <v/>
      </c>
      <c r="N384" t="str">
        <f t="shared" si="37"/>
        <v/>
      </c>
      <c r="Q384" s="3" t="str">
        <f t="shared" si="38"/>
        <v/>
      </c>
      <c r="R384" s="3" t="str">
        <f t="shared" si="39"/>
        <v/>
      </c>
      <c r="S384" t="str">
        <f t="shared" si="40"/>
        <v/>
      </c>
      <c r="T384" t="str">
        <f t="shared" si="41"/>
        <v/>
      </c>
    </row>
    <row r="385" spans="1:20" x14ac:dyDescent="0.25">
      <c r="A385" t="str">
        <f>IF('Equipment Information'!A385="","", 'Equipment Information'!A385)</f>
        <v/>
      </c>
      <c r="B385" t="str">
        <f>IF('Equipment Information'!B385="","", 'Equipment Information'!B385)</f>
        <v/>
      </c>
      <c r="C385" t="str">
        <f>IF('Equipment Information'!C385="","", 'Equipment Information'!C385)</f>
        <v/>
      </c>
      <c r="I385" t="str">
        <f t="shared" si="35"/>
        <v/>
      </c>
      <c r="J385" s="3" t="str">
        <f t="shared" si="36"/>
        <v/>
      </c>
      <c r="N385" t="str">
        <f t="shared" si="37"/>
        <v/>
      </c>
      <c r="Q385" s="3" t="str">
        <f t="shared" si="38"/>
        <v/>
      </c>
      <c r="R385" s="3" t="str">
        <f t="shared" si="39"/>
        <v/>
      </c>
      <c r="S385" t="str">
        <f t="shared" si="40"/>
        <v/>
      </c>
      <c r="T385" t="str">
        <f t="shared" si="41"/>
        <v/>
      </c>
    </row>
    <row r="386" spans="1:20" x14ac:dyDescent="0.25">
      <c r="A386" t="str">
        <f>IF('Equipment Information'!A386="","", 'Equipment Information'!A386)</f>
        <v/>
      </c>
      <c r="B386" t="str">
        <f>IF('Equipment Information'!B386="","", 'Equipment Information'!B386)</f>
        <v/>
      </c>
      <c r="C386" t="str">
        <f>IF('Equipment Information'!C386="","", 'Equipment Information'!C386)</f>
        <v/>
      </c>
      <c r="I386" t="str">
        <f t="shared" ref="I386:I449" si="42">IF(A386="","",IF(D386="Three Phase",IF(COUNT(F386:H386)&lt;3,"",AVERAGE(F386:H386)),IF(D386="Single Phase",IF(F386="","",F386),"")))</f>
        <v/>
      </c>
      <c r="J386" s="3" t="str">
        <f t="shared" ref="J386:J449" si="43">IF(A386="","",IF(D386="Three Phase",IF(I386="","",MAX(ABS(F386-I386),ABS(G386-I386),ABS(H386-I386))/I386),""))</f>
        <v/>
      </c>
      <c r="N386" t="str">
        <f t="shared" ref="N386:N449" si="44">IF(A386="","",IF(D386="Three Phase",IF(COUNT(K386:M386)&lt;3,"",AVERAGE(K386:M386)),IF(D386="Single Phase",IF(K386="","",K386),"")))</f>
        <v/>
      </c>
      <c r="Q386" s="3" t="str">
        <f t="shared" ref="Q386:Q449" si="45">IF(A386="","",IF(OR(O386="",N386=""),"",N386/O386))</f>
        <v/>
      </c>
      <c r="R386" s="3" t="str">
        <f t="shared" ref="R386:R449" si="46">IF(A386="","",IF(D386="Three Phase",IF(N386="","",MAX(ABS(K386-N386),ABS(L386-N386),ABS(M386-N386))/N386),""))</f>
        <v/>
      </c>
      <c r="S386" t="str">
        <f t="shared" ref="S386:S449" si="47">IF(A386="","",IF(D386="Single Phase",IF(AND(F386="",K386=""),"No Data Entered",IF(Q386="","Reading Recorded - No Load% (Missing Rated Amps)","Reading Recorded - Load: "&amp;TEXT(Q386,"0.0%"))),IF(AND(F386="",K386=""),"N/A",IF(I386="","Insufficient Voltage Data",IF(AND(J386&gt;0.03,R386&gt;0.15),"Voltage &amp; Current Imbalance",IF(J386&gt;0.03,"Voltage Imbalance",IF(R386&gt;0.15,"Current Imbalance","No Imbalances Detected")))))))</f>
        <v/>
      </c>
      <c r="T386" t="str">
        <f t="shared" si="41"/>
        <v/>
      </c>
    </row>
    <row r="387" spans="1:20" x14ac:dyDescent="0.25">
      <c r="A387" t="str">
        <f>IF('Equipment Information'!A387="","", 'Equipment Information'!A387)</f>
        <v/>
      </c>
      <c r="B387" t="str">
        <f>IF('Equipment Information'!B387="","", 'Equipment Information'!B387)</f>
        <v/>
      </c>
      <c r="C387" t="str">
        <f>IF('Equipment Information'!C387="","", 'Equipment Information'!C387)</f>
        <v/>
      </c>
      <c r="I387" t="str">
        <f t="shared" si="42"/>
        <v/>
      </c>
      <c r="J387" s="3" t="str">
        <f t="shared" si="43"/>
        <v/>
      </c>
      <c r="N387" t="str">
        <f t="shared" si="44"/>
        <v/>
      </c>
      <c r="Q387" s="3" t="str">
        <f t="shared" si="45"/>
        <v/>
      </c>
      <c r="R387" s="3" t="str">
        <f t="shared" si="46"/>
        <v/>
      </c>
      <c r="S387" t="str">
        <f t="shared" si="47"/>
        <v/>
      </c>
      <c r="T387" t="str">
        <f t="shared" si="41"/>
        <v/>
      </c>
    </row>
    <row r="388" spans="1:20" x14ac:dyDescent="0.25">
      <c r="A388" t="str">
        <f>IF('Equipment Information'!A388="","", 'Equipment Information'!A388)</f>
        <v/>
      </c>
      <c r="B388" t="str">
        <f>IF('Equipment Information'!B388="","", 'Equipment Information'!B388)</f>
        <v/>
      </c>
      <c r="C388" t="str">
        <f>IF('Equipment Information'!C388="","", 'Equipment Information'!C388)</f>
        <v/>
      </c>
      <c r="I388" t="str">
        <f t="shared" si="42"/>
        <v/>
      </c>
      <c r="J388" s="3" t="str">
        <f t="shared" si="43"/>
        <v/>
      </c>
      <c r="N388" t="str">
        <f t="shared" si="44"/>
        <v/>
      </c>
      <c r="Q388" s="3" t="str">
        <f t="shared" si="45"/>
        <v/>
      </c>
      <c r="R388" s="3" t="str">
        <f t="shared" si="46"/>
        <v/>
      </c>
      <c r="S388" t="str">
        <f t="shared" si="47"/>
        <v/>
      </c>
      <c r="T388" t="str">
        <f t="shared" si="41"/>
        <v/>
      </c>
    </row>
    <row r="389" spans="1:20" x14ac:dyDescent="0.25">
      <c r="A389" t="str">
        <f>IF('Equipment Information'!A389="","", 'Equipment Information'!A389)</f>
        <v/>
      </c>
      <c r="B389" t="str">
        <f>IF('Equipment Information'!B389="","", 'Equipment Information'!B389)</f>
        <v/>
      </c>
      <c r="C389" t="str">
        <f>IF('Equipment Information'!C389="","", 'Equipment Information'!C389)</f>
        <v/>
      </c>
      <c r="I389" t="str">
        <f t="shared" si="42"/>
        <v/>
      </c>
      <c r="J389" s="3" t="str">
        <f t="shared" si="43"/>
        <v/>
      </c>
      <c r="N389" t="str">
        <f t="shared" si="44"/>
        <v/>
      </c>
      <c r="Q389" s="3" t="str">
        <f t="shared" si="45"/>
        <v/>
      </c>
      <c r="R389" s="3" t="str">
        <f t="shared" si="46"/>
        <v/>
      </c>
      <c r="S389" t="str">
        <f t="shared" si="47"/>
        <v/>
      </c>
      <c r="T389" t="str">
        <f t="shared" ref="T389:T452" si="48">IF(A389="","",IF(D389="Single Phase",IF(AND(F389="",K389=""),"N/A","Pass"),IF(AND(F389="",K389=""),"N/A",IF(OR(J389&gt;0.03,R389&gt;0.15),"Imbalance","Pass"))))</f>
        <v/>
      </c>
    </row>
    <row r="390" spans="1:20" x14ac:dyDescent="0.25">
      <c r="A390" t="str">
        <f>IF('Equipment Information'!A390="","", 'Equipment Information'!A390)</f>
        <v/>
      </c>
      <c r="B390" t="str">
        <f>IF('Equipment Information'!B390="","", 'Equipment Information'!B390)</f>
        <v/>
      </c>
      <c r="C390" t="str">
        <f>IF('Equipment Information'!C390="","", 'Equipment Information'!C390)</f>
        <v/>
      </c>
      <c r="I390" t="str">
        <f t="shared" si="42"/>
        <v/>
      </c>
      <c r="J390" s="3" t="str">
        <f t="shared" si="43"/>
        <v/>
      </c>
      <c r="N390" t="str">
        <f t="shared" si="44"/>
        <v/>
      </c>
      <c r="Q390" s="3" t="str">
        <f t="shared" si="45"/>
        <v/>
      </c>
      <c r="R390" s="3" t="str">
        <f t="shared" si="46"/>
        <v/>
      </c>
      <c r="S390" t="str">
        <f t="shared" si="47"/>
        <v/>
      </c>
      <c r="T390" t="str">
        <f t="shared" si="48"/>
        <v/>
      </c>
    </row>
    <row r="391" spans="1:20" x14ac:dyDescent="0.25">
      <c r="A391" t="str">
        <f>IF('Equipment Information'!A391="","", 'Equipment Information'!A391)</f>
        <v/>
      </c>
      <c r="B391" t="str">
        <f>IF('Equipment Information'!B391="","", 'Equipment Information'!B391)</f>
        <v/>
      </c>
      <c r="C391" t="str">
        <f>IF('Equipment Information'!C391="","", 'Equipment Information'!C391)</f>
        <v/>
      </c>
      <c r="I391" t="str">
        <f t="shared" si="42"/>
        <v/>
      </c>
      <c r="J391" s="3" t="str">
        <f t="shared" si="43"/>
        <v/>
      </c>
      <c r="N391" t="str">
        <f t="shared" si="44"/>
        <v/>
      </c>
      <c r="Q391" s="3" t="str">
        <f t="shared" si="45"/>
        <v/>
      </c>
      <c r="R391" s="3" t="str">
        <f t="shared" si="46"/>
        <v/>
      </c>
      <c r="S391" t="str">
        <f t="shared" si="47"/>
        <v/>
      </c>
      <c r="T391" t="str">
        <f t="shared" si="48"/>
        <v/>
      </c>
    </row>
    <row r="392" spans="1:20" x14ac:dyDescent="0.25">
      <c r="A392" t="str">
        <f>IF('Equipment Information'!A392="","", 'Equipment Information'!A392)</f>
        <v/>
      </c>
      <c r="B392" t="str">
        <f>IF('Equipment Information'!B392="","", 'Equipment Information'!B392)</f>
        <v/>
      </c>
      <c r="C392" t="str">
        <f>IF('Equipment Information'!C392="","", 'Equipment Information'!C392)</f>
        <v/>
      </c>
      <c r="I392" t="str">
        <f t="shared" si="42"/>
        <v/>
      </c>
      <c r="J392" s="3" t="str">
        <f t="shared" si="43"/>
        <v/>
      </c>
      <c r="N392" t="str">
        <f t="shared" si="44"/>
        <v/>
      </c>
      <c r="Q392" s="3" t="str">
        <f t="shared" si="45"/>
        <v/>
      </c>
      <c r="R392" s="3" t="str">
        <f t="shared" si="46"/>
        <v/>
      </c>
      <c r="S392" t="str">
        <f t="shared" si="47"/>
        <v/>
      </c>
      <c r="T392" t="str">
        <f t="shared" si="48"/>
        <v/>
      </c>
    </row>
    <row r="393" spans="1:20" x14ac:dyDescent="0.25">
      <c r="A393" t="str">
        <f>IF('Equipment Information'!A393="","", 'Equipment Information'!A393)</f>
        <v/>
      </c>
      <c r="B393" t="str">
        <f>IF('Equipment Information'!B393="","", 'Equipment Information'!B393)</f>
        <v/>
      </c>
      <c r="C393" t="str">
        <f>IF('Equipment Information'!C393="","", 'Equipment Information'!C393)</f>
        <v/>
      </c>
      <c r="I393" t="str">
        <f t="shared" si="42"/>
        <v/>
      </c>
      <c r="J393" s="3" t="str">
        <f t="shared" si="43"/>
        <v/>
      </c>
      <c r="N393" t="str">
        <f t="shared" si="44"/>
        <v/>
      </c>
      <c r="Q393" s="3" t="str">
        <f t="shared" si="45"/>
        <v/>
      </c>
      <c r="R393" s="3" t="str">
        <f t="shared" si="46"/>
        <v/>
      </c>
      <c r="S393" t="str">
        <f t="shared" si="47"/>
        <v/>
      </c>
      <c r="T393" t="str">
        <f t="shared" si="48"/>
        <v/>
      </c>
    </row>
    <row r="394" spans="1:20" x14ac:dyDescent="0.25">
      <c r="A394" t="str">
        <f>IF('Equipment Information'!A394="","", 'Equipment Information'!A394)</f>
        <v/>
      </c>
      <c r="B394" t="str">
        <f>IF('Equipment Information'!B394="","", 'Equipment Information'!B394)</f>
        <v/>
      </c>
      <c r="C394" t="str">
        <f>IF('Equipment Information'!C394="","", 'Equipment Information'!C394)</f>
        <v/>
      </c>
      <c r="I394" t="str">
        <f t="shared" si="42"/>
        <v/>
      </c>
      <c r="J394" s="3" t="str">
        <f t="shared" si="43"/>
        <v/>
      </c>
      <c r="N394" t="str">
        <f t="shared" si="44"/>
        <v/>
      </c>
      <c r="Q394" s="3" t="str">
        <f t="shared" si="45"/>
        <v/>
      </c>
      <c r="R394" s="3" t="str">
        <f t="shared" si="46"/>
        <v/>
      </c>
      <c r="S394" t="str">
        <f t="shared" si="47"/>
        <v/>
      </c>
      <c r="T394" t="str">
        <f t="shared" si="48"/>
        <v/>
      </c>
    </row>
    <row r="395" spans="1:20" x14ac:dyDescent="0.25">
      <c r="A395" t="str">
        <f>IF('Equipment Information'!A395="","", 'Equipment Information'!A395)</f>
        <v/>
      </c>
      <c r="B395" t="str">
        <f>IF('Equipment Information'!B395="","", 'Equipment Information'!B395)</f>
        <v/>
      </c>
      <c r="C395" t="str">
        <f>IF('Equipment Information'!C395="","", 'Equipment Information'!C395)</f>
        <v/>
      </c>
      <c r="I395" t="str">
        <f t="shared" si="42"/>
        <v/>
      </c>
      <c r="J395" s="3" t="str">
        <f t="shared" si="43"/>
        <v/>
      </c>
      <c r="N395" t="str">
        <f t="shared" si="44"/>
        <v/>
      </c>
      <c r="Q395" s="3" t="str">
        <f t="shared" si="45"/>
        <v/>
      </c>
      <c r="R395" s="3" t="str">
        <f t="shared" si="46"/>
        <v/>
      </c>
      <c r="S395" t="str">
        <f t="shared" si="47"/>
        <v/>
      </c>
      <c r="T395" t="str">
        <f t="shared" si="48"/>
        <v/>
      </c>
    </row>
    <row r="396" spans="1:20" x14ac:dyDescent="0.25">
      <c r="A396" t="str">
        <f>IF('Equipment Information'!A396="","", 'Equipment Information'!A396)</f>
        <v/>
      </c>
      <c r="B396" t="str">
        <f>IF('Equipment Information'!B396="","", 'Equipment Information'!B396)</f>
        <v/>
      </c>
      <c r="C396" t="str">
        <f>IF('Equipment Information'!C396="","", 'Equipment Information'!C396)</f>
        <v/>
      </c>
      <c r="I396" t="str">
        <f t="shared" si="42"/>
        <v/>
      </c>
      <c r="J396" s="3" t="str">
        <f t="shared" si="43"/>
        <v/>
      </c>
      <c r="N396" t="str">
        <f t="shared" si="44"/>
        <v/>
      </c>
      <c r="Q396" s="3" t="str">
        <f t="shared" si="45"/>
        <v/>
      </c>
      <c r="R396" s="3" t="str">
        <f t="shared" si="46"/>
        <v/>
      </c>
      <c r="S396" t="str">
        <f t="shared" si="47"/>
        <v/>
      </c>
      <c r="T396" t="str">
        <f t="shared" si="48"/>
        <v/>
      </c>
    </row>
    <row r="397" spans="1:20" x14ac:dyDescent="0.25">
      <c r="A397" t="str">
        <f>IF('Equipment Information'!A397="","", 'Equipment Information'!A397)</f>
        <v/>
      </c>
      <c r="B397" t="str">
        <f>IF('Equipment Information'!B397="","", 'Equipment Information'!B397)</f>
        <v/>
      </c>
      <c r="C397" t="str">
        <f>IF('Equipment Information'!C397="","", 'Equipment Information'!C397)</f>
        <v/>
      </c>
      <c r="I397" t="str">
        <f t="shared" si="42"/>
        <v/>
      </c>
      <c r="J397" s="3" t="str">
        <f t="shared" si="43"/>
        <v/>
      </c>
      <c r="N397" t="str">
        <f t="shared" si="44"/>
        <v/>
      </c>
      <c r="Q397" s="3" t="str">
        <f t="shared" si="45"/>
        <v/>
      </c>
      <c r="R397" s="3" t="str">
        <f t="shared" si="46"/>
        <v/>
      </c>
      <c r="S397" t="str">
        <f t="shared" si="47"/>
        <v/>
      </c>
      <c r="T397" t="str">
        <f t="shared" si="48"/>
        <v/>
      </c>
    </row>
    <row r="398" spans="1:20" x14ac:dyDescent="0.25">
      <c r="A398" t="str">
        <f>IF('Equipment Information'!A398="","", 'Equipment Information'!A398)</f>
        <v/>
      </c>
      <c r="B398" t="str">
        <f>IF('Equipment Information'!B398="","", 'Equipment Information'!B398)</f>
        <v/>
      </c>
      <c r="C398" t="str">
        <f>IF('Equipment Information'!C398="","", 'Equipment Information'!C398)</f>
        <v/>
      </c>
      <c r="I398" t="str">
        <f t="shared" si="42"/>
        <v/>
      </c>
      <c r="J398" s="3" t="str">
        <f t="shared" si="43"/>
        <v/>
      </c>
      <c r="N398" t="str">
        <f t="shared" si="44"/>
        <v/>
      </c>
      <c r="Q398" s="3" t="str">
        <f t="shared" si="45"/>
        <v/>
      </c>
      <c r="R398" s="3" t="str">
        <f t="shared" si="46"/>
        <v/>
      </c>
      <c r="S398" t="str">
        <f t="shared" si="47"/>
        <v/>
      </c>
      <c r="T398" t="str">
        <f t="shared" si="48"/>
        <v/>
      </c>
    </row>
    <row r="399" spans="1:20" x14ac:dyDescent="0.25">
      <c r="A399" t="str">
        <f>IF('Equipment Information'!A399="","", 'Equipment Information'!A399)</f>
        <v/>
      </c>
      <c r="B399" t="str">
        <f>IF('Equipment Information'!B399="","", 'Equipment Information'!B399)</f>
        <v/>
      </c>
      <c r="C399" t="str">
        <f>IF('Equipment Information'!C399="","", 'Equipment Information'!C399)</f>
        <v/>
      </c>
      <c r="I399" t="str">
        <f t="shared" si="42"/>
        <v/>
      </c>
      <c r="J399" s="3" t="str">
        <f t="shared" si="43"/>
        <v/>
      </c>
      <c r="N399" t="str">
        <f t="shared" si="44"/>
        <v/>
      </c>
      <c r="Q399" s="3" t="str">
        <f t="shared" si="45"/>
        <v/>
      </c>
      <c r="R399" s="3" t="str">
        <f t="shared" si="46"/>
        <v/>
      </c>
      <c r="S399" t="str">
        <f t="shared" si="47"/>
        <v/>
      </c>
      <c r="T399" t="str">
        <f t="shared" si="48"/>
        <v/>
      </c>
    </row>
    <row r="400" spans="1:20" x14ac:dyDescent="0.25">
      <c r="A400" t="str">
        <f>IF('Equipment Information'!A400="","", 'Equipment Information'!A400)</f>
        <v/>
      </c>
      <c r="B400" t="str">
        <f>IF('Equipment Information'!B400="","", 'Equipment Information'!B400)</f>
        <v/>
      </c>
      <c r="C400" t="str">
        <f>IF('Equipment Information'!C400="","", 'Equipment Information'!C400)</f>
        <v/>
      </c>
      <c r="I400" t="str">
        <f t="shared" si="42"/>
        <v/>
      </c>
      <c r="J400" s="3" t="str">
        <f t="shared" si="43"/>
        <v/>
      </c>
      <c r="N400" t="str">
        <f t="shared" si="44"/>
        <v/>
      </c>
      <c r="Q400" s="3" t="str">
        <f t="shared" si="45"/>
        <v/>
      </c>
      <c r="R400" s="3" t="str">
        <f t="shared" si="46"/>
        <v/>
      </c>
      <c r="S400" t="str">
        <f t="shared" si="47"/>
        <v/>
      </c>
      <c r="T400" t="str">
        <f t="shared" si="48"/>
        <v/>
      </c>
    </row>
    <row r="401" spans="1:20" x14ac:dyDescent="0.25">
      <c r="A401" t="str">
        <f>IF('Equipment Information'!A401="","", 'Equipment Information'!A401)</f>
        <v/>
      </c>
      <c r="B401" t="str">
        <f>IF('Equipment Information'!B401="","", 'Equipment Information'!B401)</f>
        <v/>
      </c>
      <c r="C401" t="str">
        <f>IF('Equipment Information'!C401="","", 'Equipment Information'!C401)</f>
        <v/>
      </c>
      <c r="I401" t="str">
        <f t="shared" si="42"/>
        <v/>
      </c>
      <c r="J401" s="3" t="str">
        <f t="shared" si="43"/>
        <v/>
      </c>
      <c r="N401" t="str">
        <f t="shared" si="44"/>
        <v/>
      </c>
      <c r="Q401" s="3" t="str">
        <f t="shared" si="45"/>
        <v/>
      </c>
      <c r="R401" s="3" t="str">
        <f t="shared" si="46"/>
        <v/>
      </c>
      <c r="S401" t="str">
        <f t="shared" si="47"/>
        <v/>
      </c>
      <c r="T401" t="str">
        <f t="shared" si="48"/>
        <v/>
      </c>
    </row>
    <row r="402" spans="1:20" x14ac:dyDescent="0.25">
      <c r="A402" t="str">
        <f>IF('Equipment Information'!A402="","", 'Equipment Information'!A402)</f>
        <v/>
      </c>
      <c r="B402" t="str">
        <f>IF('Equipment Information'!B402="","", 'Equipment Information'!B402)</f>
        <v/>
      </c>
      <c r="C402" t="str">
        <f>IF('Equipment Information'!C402="","", 'Equipment Information'!C402)</f>
        <v/>
      </c>
      <c r="I402" t="str">
        <f t="shared" si="42"/>
        <v/>
      </c>
      <c r="J402" s="3" t="str">
        <f t="shared" si="43"/>
        <v/>
      </c>
      <c r="N402" t="str">
        <f t="shared" si="44"/>
        <v/>
      </c>
      <c r="Q402" s="3" t="str">
        <f t="shared" si="45"/>
        <v/>
      </c>
      <c r="R402" s="3" t="str">
        <f t="shared" si="46"/>
        <v/>
      </c>
      <c r="S402" t="str">
        <f t="shared" si="47"/>
        <v/>
      </c>
      <c r="T402" t="str">
        <f t="shared" si="48"/>
        <v/>
      </c>
    </row>
    <row r="403" spans="1:20" x14ac:dyDescent="0.25">
      <c r="A403" t="str">
        <f>IF('Equipment Information'!A403="","", 'Equipment Information'!A403)</f>
        <v/>
      </c>
      <c r="B403" t="str">
        <f>IF('Equipment Information'!B403="","", 'Equipment Information'!B403)</f>
        <v/>
      </c>
      <c r="C403" t="str">
        <f>IF('Equipment Information'!C403="","", 'Equipment Information'!C403)</f>
        <v/>
      </c>
      <c r="I403" t="str">
        <f t="shared" si="42"/>
        <v/>
      </c>
      <c r="J403" s="3" t="str">
        <f t="shared" si="43"/>
        <v/>
      </c>
      <c r="N403" t="str">
        <f t="shared" si="44"/>
        <v/>
      </c>
      <c r="Q403" s="3" t="str">
        <f t="shared" si="45"/>
        <v/>
      </c>
      <c r="R403" s="3" t="str">
        <f t="shared" si="46"/>
        <v/>
      </c>
      <c r="S403" t="str">
        <f t="shared" si="47"/>
        <v/>
      </c>
      <c r="T403" t="str">
        <f t="shared" si="48"/>
        <v/>
      </c>
    </row>
    <row r="404" spans="1:20" x14ac:dyDescent="0.25">
      <c r="A404" t="str">
        <f>IF('Equipment Information'!A404="","", 'Equipment Information'!A404)</f>
        <v/>
      </c>
      <c r="B404" t="str">
        <f>IF('Equipment Information'!B404="","", 'Equipment Information'!B404)</f>
        <v/>
      </c>
      <c r="C404" t="str">
        <f>IF('Equipment Information'!C404="","", 'Equipment Information'!C404)</f>
        <v/>
      </c>
      <c r="I404" t="str">
        <f t="shared" si="42"/>
        <v/>
      </c>
      <c r="J404" s="3" t="str">
        <f t="shared" si="43"/>
        <v/>
      </c>
      <c r="N404" t="str">
        <f t="shared" si="44"/>
        <v/>
      </c>
      <c r="Q404" s="3" t="str">
        <f t="shared" si="45"/>
        <v/>
      </c>
      <c r="R404" s="3" t="str">
        <f t="shared" si="46"/>
        <v/>
      </c>
      <c r="S404" t="str">
        <f t="shared" si="47"/>
        <v/>
      </c>
      <c r="T404" t="str">
        <f t="shared" si="48"/>
        <v/>
      </c>
    </row>
    <row r="405" spans="1:20" x14ac:dyDescent="0.25">
      <c r="A405" t="str">
        <f>IF('Equipment Information'!A405="","", 'Equipment Information'!A405)</f>
        <v/>
      </c>
      <c r="B405" t="str">
        <f>IF('Equipment Information'!B405="","", 'Equipment Information'!B405)</f>
        <v/>
      </c>
      <c r="C405" t="str">
        <f>IF('Equipment Information'!C405="","", 'Equipment Information'!C405)</f>
        <v/>
      </c>
      <c r="I405" t="str">
        <f t="shared" si="42"/>
        <v/>
      </c>
      <c r="J405" s="3" t="str">
        <f t="shared" si="43"/>
        <v/>
      </c>
      <c r="N405" t="str">
        <f t="shared" si="44"/>
        <v/>
      </c>
      <c r="Q405" s="3" t="str">
        <f t="shared" si="45"/>
        <v/>
      </c>
      <c r="R405" s="3" t="str">
        <f t="shared" si="46"/>
        <v/>
      </c>
      <c r="S405" t="str">
        <f t="shared" si="47"/>
        <v/>
      </c>
      <c r="T405" t="str">
        <f t="shared" si="48"/>
        <v/>
      </c>
    </row>
    <row r="406" spans="1:20" x14ac:dyDescent="0.25">
      <c r="A406" t="str">
        <f>IF('Equipment Information'!A406="","", 'Equipment Information'!A406)</f>
        <v/>
      </c>
      <c r="B406" t="str">
        <f>IF('Equipment Information'!B406="","", 'Equipment Information'!B406)</f>
        <v/>
      </c>
      <c r="C406" t="str">
        <f>IF('Equipment Information'!C406="","", 'Equipment Information'!C406)</f>
        <v/>
      </c>
      <c r="I406" t="str">
        <f t="shared" si="42"/>
        <v/>
      </c>
      <c r="J406" s="3" t="str">
        <f t="shared" si="43"/>
        <v/>
      </c>
      <c r="N406" t="str">
        <f t="shared" si="44"/>
        <v/>
      </c>
      <c r="Q406" s="3" t="str">
        <f t="shared" si="45"/>
        <v/>
      </c>
      <c r="R406" s="3" t="str">
        <f t="shared" si="46"/>
        <v/>
      </c>
      <c r="S406" t="str">
        <f t="shared" si="47"/>
        <v/>
      </c>
      <c r="T406" t="str">
        <f t="shared" si="48"/>
        <v/>
      </c>
    </row>
    <row r="407" spans="1:20" x14ac:dyDescent="0.25">
      <c r="A407" t="str">
        <f>IF('Equipment Information'!A407="","", 'Equipment Information'!A407)</f>
        <v/>
      </c>
      <c r="B407" t="str">
        <f>IF('Equipment Information'!B407="","", 'Equipment Information'!B407)</f>
        <v/>
      </c>
      <c r="C407" t="str">
        <f>IF('Equipment Information'!C407="","", 'Equipment Information'!C407)</f>
        <v/>
      </c>
      <c r="I407" t="str">
        <f t="shared" si="42"/>
        <v/>
      </c>
      <c r="J407" s="3" t="str">
        <f t="shared" si="43"/>
        <v/>
      </c>
      <c r="N407" t="str">
        <f t="shared" si="44"/>
        <v/>
      </c>
      <c r="Q407" s="3" t="str">
        <f t="shared" si="45"/>
        <v/>
      </c>
      <c r="R407" s="3" t="str">
        <f t="shared" si="46"/>
        <v/>
      </c>
      <c r="S407" t="str">
        <f t="shared" si="47"/>
        <v/>
      </c>
      <c r="T407" t="str">
        <f t="shared" si="48"/>
        <v/>
      </c>
    </row>
    <row r="408" spans="1:20" x14ac:dyDescent="0.25">
      <c r="A408" t="str">
        <f>IF('Equipment Information'!A408="","", 'Equipment Information'!A408)</f>
        <v/>
      </c>
      <c r="B408" t="str">
        <f>IF('Equipment Information'!B408="","", 'Equipment Information'!B408)</f>
        <v/>
      </c>
      <c r="C408" t="str">
        <f>IF('Equipment Information'!C408="","", 'Equipment Information'!C408)</f>
        <v/>
      </c>
      <c r="I408" t="str">
        <f t="shared" si="42"/>
        <v/>
      </c>
      <c r="J408" s="3" t="str">
        <f t="shared" si="43"/>
        <v/>
      </c>
      <c r="N408" t="str">
        <f t="shared" si="44"/>
        <v/>
      </c>
      <c r="Q408" s="3" t="str">
        <f t="shared" si="45"/>
        <v/>
      </c>
      <c r="R408" s="3" t="str">
        <f t="shared" si="46"/>
        <v/>
      </c>
      <c r="S408" t="str">
        <f t="shared" si="47"/>
        <v/>
      </c>
      <c r="T408" t="str">
        <f t="shared" si="48"/>
        <v/>
      </c>
    </row>
    <row r="409" spans="1:20" x14ac:dyDescent="0.25">
      <c r="A409" t="str">
        <f>IF('Equipment Information'!A409="","", 'Equipment Information'!A409)</f>
        <v/>
      </c>
      <c r="B409" t="str">
        <f>IF('Equipment Information'!B409="","", 'Equipment Information'!B409)</f>
        <v/>
      </c>
      <c r="C409" t="str">
        <f>IF('Equipment Information'!C409="","", 'Equipment Information'!C409)</f>
        <v/>
      </c>
      <c r="I409" t="str">
        <f t="shared" si="42"/>
        <v/>
      </c>
      <c r="J409" s="3" t="str">
        <f t="shared" si="43"/>
        <v/>
      </c>
      <c r="N409" t="str">
        <f t="shared" si="44"/>
        <v/>
      </c>
      <c r="Q409" s="3" t="str">
        <f t="shared" si="45"/>
        <v/>
      </c>
      <c r="R409" s="3" t="str">
        <f t="shared" si="46"/>
        <v/>
      </c>
      <c r="S409" t="str">
        <f t="shared" si="47"/>
        <v/>
      </c>
      <c r="T409" t="str">
        <f t="shared" si="48"/>
        <v/>
      </c>
    </row>
    <row r="410" spans="1:20" x14ac:dyDescent="0.25">
      <c r="A410" t="str">
        <f>IF('Equipment Information'!A410="","", 'Equipment Information'!A410)</f>
        <v/>
      </c>
      <c r="B410" t="str">
        <f>IF('Equipment Information'!B410="","", 'Equipment Information'!B410)</f>
        <v/>
      </c>
      <c r="C410" t="str">
        <f>IF('Equipment Information'!C410="","", 'Equipment Information'!C410)</f>
        <v/>
      </c>
      <c r="I410" t="str">
        <f t="shared" si="42"/>
        <v/>
      </c>
      <c r="J410" s="3" t="str">
        <f t="shared" si="43"/>
        <v/>
      </c>
      <c r="N410" t="str">
        <f t="shared" si="44"/>
        <v/>
      </c>
      <c r="Q410" s="3" t="str">
        <f t="shared" si="45"/>
        <v/>
      </c>
      <c r="R410" s="3" t="str">
        <f t="shared" si="46"/>
        <v/>
      </c>
      <c r="S410" t="str">
        <f t="shared" si="47"/>
        <v/>
      </c>
      <c r="T410" t="str">
        <f t="shared" si="48"/>
        <v/>
      </c>
    </row>
    <row r="411" spans="1:20" x14ac:dyDescent="0.25">
      <c r="A411" t="str">
        <f>IF('Equipment Information'!A411="","", 'Equipment Information'!A411)</f>
        <v/>
      </c>
      <c r="B411" t="str">
        <f>IF('Equipment Information'!B411="","", 'Equipment Information'!B411)</f>
        <v/>
      </c>
      <c r="C411" t="str">
        <f>IF('Equipment Information'!C411="","", 'Equipment Information'!C411)</f>
        <v/>
      </c>
      <c r="I411" t="str">
        <f t="shared" si="42"/>
        <v/>
      </c>
      <c r="J411" s="3" t="str">
        <f t="shared" si="43"/>
        <v/>
      </c>
      <c r="N411" t="str">
        <f t="shared" si="44"/>
        <v/>
      </c>
      <c r="Q411" s="3" t="str">
        <f t="shared" si="45"/>
        <v/>
      </c>
      <c r="R411" s="3" t="str">
        <f t="shared" si="46"/>
        <v/>
      </c>
      <c r="S411" t="str">
        <f t="shared" si="47"/>
        <v/>
      </c>
      <c r="T411" t="str">
        <f t="shared" si="48"/>
        <v/>
      </c>
    </row>
    <row r="412" spans="1:20" x14ac:dyDescent="0.25">
      <c r="A412" t="str">
        <f>IF('Equipment Information'!A412="","", 'Equipment Information'!A412)</f>
        <v/>
      </c>
      <c r="B412" t="str">
        <f>IF('Equipment Information'!B412="","", 'Equipment Information'!B412)</f>
        <v/>
      </c>
      <c r="C412" t="str">
        <f>IF('Equipment Information'!C412="","", 'Equipment Information'!C412)</f>
        <v/>
      </c>
      <c r="I412" t="str">
        <f t="shared" si="42"/>
        <v/>
      </c>
      <c r="J412" s="3" t="str">
        <f t="shared" si="43"/>
        <v/>
      </c>
      <c r="N412" t="str">
        <f t="shared" si="44"/>
        <v/>
      </c>
      <c r="Q412" s="3" t="str">
        <f t="shared" si="45"/>
        <v/>
      </c>
      <c r="R412" s="3" t="str">
        <f t="shared" si="46"/>
        <v/>
      </c>
      <c r="S412" t="str">
        <f t="shared" si="47"/>
        <v/>
      </c>
      <c r="T412" t="str">
        <f t="shared" si="48"/>
        <v/>
      </c>
    </row>
    <row r="413" spans="1:20" x14ac:dyDescent="0.25">
      <c r="A413" t="str">
        <f>IF('Equipment Information'!A413="","", 'Equipment Information'!A413)</f>
        <v/>
      </c>
      <c r="B413" t="str">
        <f>IF('Equipment Information'!B413="","", 'Equipment Information'!B413)</f>
        <v/>
      </c>
      <c r="C413" t="str">
        <f>IF('Equipment Information'!C413="","", 'Equipment Information'!C413)</f>
        <v/>
      </c>
      <c r="I413" t="str">
        <f t="shared" si="42"/>
        <v/>
      </c>
      <c r="J413" s="3" t="str">
        <f t="shared" si="43"/>
        <v/>
      </c>
      <c r="N413" t="str">
        <f t="shared" si="44"/>
        <v/>
      </c>
      <c r="Q413" s="3" t="str">
        <f t="shared" si="45"/>
        <v/>
      </c>
      <c r="R413" s="3" t="str">
        <f t="shared" si="46"/>
        <v/>
      </c>
      <c r="S413" t="str">
        <f t="shared" si="47"/>
        <v/>
      </c>
      <c r="T413" t="str">
        <f t="shared" si="48"/>
        <v/>
      </c>
    </row>
    <row r="414" spans="1:20" x14ac:dyDescent="0.25">
      <c r="A414" t="str">
        <f>IF('Equipment Information'!A414="","", 'Equipment Information'!A414)</f>
        <v/>
      </c>
      <c r="B414" t="str">
        <f>IF('Equipment Information'!B414="","", 'Equipment Information'!B414)</f>
        <v/>
      </c>
      <c r="C414" t="str">
        <f>IF('Equipment Information'!C414="","", 'Equipment Information'!C414)</f>
        <v/>
      </c>
      <c r="I414" t="str">
        <f t="shared" si="42"/>
        <v/>
      </c>
      <c r="J414" s="3" t="str">
        <f t="shared" si="43"/>
        <v/>
      </c>
      <c r="N414" t="str">
        <f t="shared" si="44"/>
        <v/>
      </c>
      <c r="Q414" s="3" t="str">
        <f t="shared" si="45"/>
        <v/>
      </c>
      <c r="R414" s="3" t="str">
        <f t="shared" si="46"/>
        <v/>
      </c>
      <c r="S414" t="str">
        <f t="shared" si="47"/>
        <v/>
      </c>
      <c r="T414" t="str">
        <f t="shared" si="48"/>
        <v/>
      </c>
    </row>
    <row r="415" spans="1:20" x14ac:dyDescent="0.25">
      <c r="A415" t="str">
        <f>IF('Equipment Information'!A415="","", 'Equipment Information'!A415)</f>
        <v/>
      </c>
      <c r="B415" t="str">
        <f>IF('Equipment Information'!B415="","", 'Equipment Information'!B415)</f>
        <v/>
      </c>
      <c r="C415" t="str">
        <f>IF('Equipment Information'!C415="","", 'Equipment Information'!C415)</f>
        <v/>
      </c>
      <c r="I415" t="str">
        <f t="shared" si="42"/>
        <v/>
      </c>
      <c r="J415" s="3" t="str">
        <f t="shared" si="43"/>
        <v/>
      </c>
      <c r="N415" t="str">
        <f t="shared" si="44"/>
        <v/>
      </c>
      <c r="Q415" s="3" t="str">
        <f t="shared" si="45"/>
        <v/>
      </c>
      <c r="R415" s="3" t="str">
        <f t="shared" si="46"/>
        <v/>
      </c>
      <c r="S415" t="str">
        <f t="shared" si="47"/>
        <v/>
      </c>
      <c r="T415" t="str">
        <f t="shared" si="48"/>
        <v/>
      </c>
    </row>
    <row r="416" spans="1:20" x14ac:dyDescent="0.25">
      <c r="A416" t="str">
        <f>IF('Equipment Information'!A416="","", 'Equipment Information'!A416)</f>
        <v/>
      </c>
      <c r="B416" t="str">
        <f>IF('Equipment Information'!B416="","", 'Equipment Information'!B416)</f>
        <v/>
      </c>
      <c r="C416" t="str">
        <f>IF('Equipment Information'!C416="","", 'Equipment Information'!C416)</f>
        <v/>
      </c>
      <c r="I416" t="str">
        <f t="shared" si="42"/>
        <v/>
      </c>
      <c r="J416" s="3" t="str">
        <f t="shared" si="43"/>
        <v/>
      </c>
      <c r="N416" t="str">
        <f t="shared" si="44"/>
        <v/>
      </c>
      <c r="Q416" s="3" t="str">
        <f t="shared" si="45"/>
        <v/>
      </c>
      <c r="R416" s="3" t="str">
        <f t="shared" si="46"/>
        <v/>
      </c>
      <c r="S416" t="str">
        <f t="shared" si="47"/>
        <v/>
      </c>
      <c r="T416" t="str">
        <f t="shared" si="48"/>
        <v/>
      </c>
    </row>
    <row r="417" spans="1:20" x14ac:dyDescent="0.25">
      <c r="A417" t="str">
        <f>IF('Equipment Information'!A417="","", 'Equipment Information'!A417)</f>
        <v/>
      </c>
      <c r="B417" t="str">
        <f>IF('Equipment Information'!B417="","", 'Equipment Information'!B417)</f>
        <v/>
      </c>
      <c r="C417" t="str">
        <f>IF('Equipment Information'!C417="","", 'Equipment Information'!C417)</f>
        <v/>
      </c>
      <c r="I417" t="str">
        <f t="shared" si="42"/>
        <v/>
      </c>
      <c r="J417" s="3" t="str">
        <f t="shared" si="43"/>
        <v/>
      </c>
      <c r="N417" t="str">
        <f t="shared" si="44"/>
        <v/>
      </c>
      <c r="Q417" s="3" t="str">
        <f t="shared" si="45"/>
        <v/>
      </c>
      <c r="R417" s="3" t="str">
        <f t="shared" si="46"/>
        <v/>
      </c>
      <c r="S417" t="str">
        <f t="shared" si="47"/>
        <v/>
      </c>
      <c r="T417" t="str">
        <f t="shared" si="48"/>
        <v/>
      </c>
    </row>
    <row r="418" spans="1:20" x14ac:dyDescent="0.25">
      <c r="A418" t="str">
        <f>IF('Equipment Information'!A418="","", 'Equipment Information'!A418)</f>
        <v/>
      </c>
      <c r="B418" t="str">
        <f>IF('Equipment Information'!B418="","", 'Equipment Information'!B418)</f>
        <v/>
      </c>
      <c r="C418" t="str">
        <f>IF('Equipment Information'!C418="","", 'Equipment Information'!C418)</f>
        <v/>
      </c>
      <c r="I418" t="str">
        <f t="shared" si="42"/>
        <v/>
      </c>
      <c r="J418" s="3" t="str">
        <f t="shared" si="43"/>
        <v/>
      </c>
      <c r="N418" t="str">
        <f t="shared" si="44"/>
        <v/>
      </c>
      <c r="Q418" s="3" t="str">
        <f t="shared" si="45"/>
        <v/>
      </c>
      <c r="R418" s="3" t="str">
        <f t="shared" si="46"/>
        <v/>
      </c>
      <c r="S418" t="str">
        <f t="shared" si="47"/>
        <v/>
      </c>
      <c r="T418" t="str">
        <f t="shared" si="48"/>
        <v/>
      </c>
    </row>
    <row r="419" spans="1:20" x14ac:dyDescent="0.25">
      <c r="A419" t="str">
        <f>IF('Equipment Information'!A419="","", 'Equipment Information'!A419)</f>
        <v/>
      </c>
      <c r="B419" t="str">
        <f>IF('Equipment Information'!B419="","", 'Equipment Information'!B419)</f>
        <v/>
      </c>
      <c r="C419" t="str">
        <f>IF('Equipment Information'!C419="","", 'Equipment Information'!C419)</f>
        <v/>
      </c>
      <c r="I419" t="str">
        <f t="shared" si="42"/>
        <v/>
      </c>
      <c r="J419" s="3" t="str">
        <f t="shared" si="43"/>
        <v/>
      </c>
      <c r="N419" t="str">
        <f t="shared" si="44"/>
        <v/>
      </c>
      <c r="Q419" s="3" t="str">
        <f t="shared" si="45"/>
        <v/>
      </c>
      <c r="R419" s="3" t="str">
        <f t="shared" si="46"/>
        <v/>
      </c>
      <c r="S419" t="str">
        <f t="shared" si="47"/>
        <v/>
      </c>
      <c r="T419" t="str">
        <f t="shared" si="48"/>
        <v/>
      </c>
    </row>
    <row r="420" spans="1:20" x14ac:dyDescent="0.25">
      <c r="A420" t="str">
        <f>IF('Equipment Information'!A420="","", 'Equipment Information'!A420)</f>
        <v/>
      </c>
      <c r="B420" t="str">
        <f>IF('Equipment Information'!B420="","", 'Equipment Information'!B420)</f>
        <v/>
      </c>
      <c r="C420" t="str">
        <f>IF('Equipment Information'!C420="","", 'Equipment Information'!C420)</f>
        <v/>
      </c>
      <c r="I420" t="str">
        <f t="shared" si="42"/>
        <v/>
      </c>
      <c r="J420" s="3" t="str">
        <f t="shared" si="43"/>
        <v/>
      </c>
      <c r="N420" t="str">
        <f t="shared" si="44"/>
        <v/>
      </c>
      <c r="Q420" s="3" t="str">
        <f t="shared" si="45"/>
        <v/>
      </c>
      <c r="R420" s="3" t="str">
        <f t="shared" si="46"/>
        <v/>
      </c>
      <c r="S420" t="str">
        <f t="shared" si="47"/>
        <v/>
      </c>
      <c r="T420" t="str">
        <f t="shared" si="48"/>
        <v/>
      </c>
    </row>
    <row r="421" spans="1:20" x14ac:dyDescent="0.25">
      <c r="A421" t="str">
        <f>IF('Equipment Information'!A421="","", 'Equipment Information'!A421)</f>
        <v/>
      </c>
      <c r="B421" t="str">
        <f>IF('Equipment Information'!B421="","", 'Equipment Information'!B421)</f>
        <v/>
      </c>
      <c r="C421" t="str">
        <f>IF('Equipment Information'!C421="","", 'Equipment Information'!C421)</f>
        <v/>
      </c>
      <c r="I421" t="str">
        <f t="shared" si="42"/>
        <v/>
      </c>
      <c r="J421" s="3" t="str">
        <f t="shared" si="43"/>
        <v/>
      </c>
      <c r="N421" t="str">
        <f t="shared" si="44"/>
        <v/>
      </c>
      <c r="Q421" s="3" t="str">
        <f t="shared" si="45"/>
        <v/>
      </c>
      <c r="R421" s="3" t="str">
        <f t="shared" si="46"/>
        <v/>
      </c>
      <c r="S421" t="str">
        <f t="shared" si="47"/>
        <v/>
      </c>
      <c r="T421" t="str">
        <f t="shared" si="48"/>
        <v/>
      </c>
    </row>
    <row r="422" spans="1:20" x14ac:dyDescent="0.25">
      <c r="A422" t="str">
        <f>IF('Equipment Information'!A422="","", 'Equipment Information'!A422)</f>
        <v/>
      </c>
      <c r="B422" t="str">
        <f>IF('Equipment Information'!B422="","", 'Equipment Information'!B422)</f>
        <v/>
      </c>
      <c r="C422" t="str">
        <f>IF('Equipment Information'!C422="","", 'Equipment Information'!C422)</f>
        <v/>
      </c>
      <c r="I422" t="str">
        <f t="shared" si="42"/>
        <v/>
      </c>
      <c r="J422" s="3" t="str">
        <f t="shared" si="43"/>
        <v/>
      </c>
      <c r="N422" t="str">
        <f t="shared" si="44"/>
        <v/>
      </c>
      <c r="Q422" s="3" t="str">
        <f t="shared" si="45"/>
        <v/>
      </c>
      <c r="R422" s="3" t="str">
        <f t="shared" si="46"/>
        <v/>
      </c>
      <c r="S422" t="str">
        <f t="shared" si="47"/>
        <v/>
      </c>
      <c r="T422" t="str">
        <f t="shared" si="48"/>
        <v/>
      </c>
    </row>
    <row r="423" spans="1:20" x14ac:dyDescent="0.25">
      <c r="A423" t="str">
        <f>IF('Equipment Information'!A423="","", 'Equipment Information'!A423)</f>
        <v/>
      </c>
      <c r="B423" t="str">
        <f>IF('Equipment Information'!B423="","", 'Equipment Information'!B423)</f>
        <v/>
      </c>
      <c r="C423" t="str">
        <f>IF('Equipment Information'!C423="","", 'Equipment Information'!C423)</f>
        <v/>
      </c>
      <c r="I423" t="str">
        <f t="shared" si="42"/>
        <v/>
      </c>
      <c r="J423" s="3" t="str">
        <f t="shared" si="43"/>
        <v/>
      </c>
      <c r="N423" t="str">
        <f t="shared" si="44"/>
        <v/>
      </c>
      <c r="Q423" s="3" t="str">
        <f t="shared" si="45"/>
        <v/>
      </c>
      <c r="R423" s="3" t="str">
        <f t="shared" si="46"/>
        <v/>
      </c>
      <c r="S423" t="str">
        <f t="shared" si="47"/>
        <v/>
      </c>
      <c r="T423" t="str">
        <f t="shared" si="48"/>
        <v/>
      </c>
    </row>
    <row r="424" spans="1:20" x14ac:dyDescent="0.25">
      <c r="A424" t="str">
        <f>IF('Equipment Information'!A424="","", 'Equipment Information'!A424)</f>
        <v/>
      </c>
      <c r="B424" t="str">
        <f>IF('Equipment Information'!B424="","", 'Equipment Information'!B424)</f>
        <v/>
      </c>
      <c r="C424" t="str">
        <f>IF('Equipment Information'!C424="","", 'Equipment Information'!C424)</f>
        <v/>
      </c>
      <c r="I424" t="str">
        <f t="shared" si="42"/>
        <v/>
      </c>
      <c r="J424" s="3" t="str">
        <f t="shared" si="43"/>
        <v/>
      </c>
      <c r="N424" t="str">
        <f t="shared" si="44"/>
        <v/>
      </c>
      <c r="Q424" s="3" t="str">
        <f t="shared" si="45"/>
        <v/>
      </c>
      <c r="R424" s="3" t="str">
        <f t="shared" si="46"/>
        <v/>
      </c>
      <c r="S424" t="str">
        <f t="shared" si="47"/>
        <v/>
      </c>
      <c r="T424" t="str">
        <f t="shared" si="48"/>
        <v/>
      </c>
    </row>
    <row r="425" spans="1:20" x14ac:dyDescent="0.25">
      <c r="A425" t="str">
        <f>IF('Equipment Information'!A425="","", 'Equipment Information'!A425)</f>
        <v/>
      </c>
      <c r="B425" t="str">
        <f>IF('Equipment Information'!B425="","", 'Equipment Information'!B425)</f>
        <v/>
      </c>
      <c r="C425" t="str">
        <f>IF('Equipment Information'!C425="","", 'Equipment Information'!C425)</f>
        <v/>
      </c>
      <c r="I425" t="str">
        <f t="shared" si="42"/>
        <v/>
      </c>
      <c r="J425" s="3" t="str">
        <f t="shared" si="43"/>
        <v/>
      </c>
      <c r="N425" t="str">
        <f t="shared" si="44"/>
        <v/>
      </c>
      <c r="Q425" s="3" t="str">
        <f t="shared" si="45"/>
        <v/>
      </c>
      <c r="R425" s="3" t="str">
        <f t="shared" si="46"/>
        <v/>
      </c>
      <c r="S425" t="str">
        <f t="shared" si="47"/>
        <v/>
      </c>
      <c r="T425" t="str">
        <f t="shared" si="48"/>
        <v/>
      </c>
    </row>
    <row r="426" spans="1:20" x14ac:dyDescent="0.25">
      <c r="A426" t="str">
        <f>IF('Equipment Information'!A426="","", 'Equipment Information'!A426)</f>
        <v/>
      </c>
      <c r="B426" t="str">
        <f>IF('Equipment Information'!B426="","", 'Equipment Information'!B426)</f>
        <v/>
      </c>
      <c r="C426" t="str">
        <f>IF('Equipment Information'!C426="","", 'Equipment Information'!C426)</f>
        <v/>
      </c>
      <c r="I426" t="str">
        <f t="shared" si="42"/>
        <v/>
      </c>
      <c r="J426" s="3" t="str">
        <f t="shared" si="43"/>
        <v/>
      </c>
      <c r="N426" t="str">
        <f t="shared" si="44"/>
        <v/>
      </c>
      <c r="Q426" s="3" t="str">
        <f t="shared" si="45"/>
        <v/>
      </c>
      <c r="R426" s="3" t="str">
        <f t="shared" si="46"/>
        <v/>
      </c>
      <c r="S426" t="str">
        <f t="shared" si="47"/>
        <v/>
      </c>
      <c r="T426" t="str">
        <f t="shared" si="48"/>
        <v/>
      </c>
    </row>
    <row r="427" spans="1:20" x14ac:dyDescent="0.25">
      <c r="A427" t="str">
        <f>IF('Equipment Information'!A427="","", 'Equipment Information'!A427)</f>
        <v/>
      </c>
      <c r="B427" t="str">
        <f>IF('Equipment Information'!B427="","", 'Equipment Information'!B427)</f>
        <v/>
      </c>
      <c r="C427" t="str">
        <f>IF('Equipment Information'!C427="","", 'Equipment Information'!C427)</f>
        <v/>
      </c>
      <c r="I427" t="str">
        <f t="shared" si="42"/>
        <v/>
      </c>
      <c r="J427" s="3" t="str">
        <f t="shared" si="43"/>
        <v/>
      </c>
      <c r="N427" t="str">
        <f t="shared" si="44"/>
        <v/>
      </c>
      <c r="Q427" s="3" t="str">
        <f t="shared" si="45"/>
        <v/>
      </c>
      <c r="R427" s="3" t="str">
        <f t="shared" si="46"/>
        <v/>
      </c>
      <c r="S427" t="str">
        <f t="shared" si="47"/>
        <v/>
      </c>
      <c r="T427" t="str">
        <f t="shared" si="48"/>
        <v/>
      </c>
    </row>
    <row r="428" spans="1:20" x14ac:dyDescent="0.25">
      <c r="A428" t="str">
        <f>IF('Equipment Information'!A428="","", 'Equipment Information'!A428)</f>
        <v/>
      </c>
      <c r="B428" t="str">
        <f>IF('Equipment Information'!B428="","", 'Equipment Information'!B428)</f>
        <v/>
      </c>
      <c r="C428" t="str">
        <f>IF('Equipment Information'!C428="","", 'Equipment Information'!C428)</f>
        <v/>
      </c>
      <c r="I428" t="str">
        <f t="shared" si="42"/>
        <v/>
      </c>
      <c r="J428" s="3" t="str">
        <f t="shared" si="43"/>
        <v/>
      </c>
      <c r="N428" t="str">
        <f t="shared" si="44"/>
        <v/>
      </c>
      <c r="Q428" s="3" t="str">
        <f t="shared" si="45"/>
        <v/>
      </c>
      <c r="R428" s="3" t="str">
        <f t="shared" si="46"/>
        <v/>
      </c>
      <c r="S428" t="str">
        <f t="shared" si="47"/>
        <v/>
      </c>
      <c r="T428" t="str">
        <f t="shared" si="48"/>
        <v/>
      </c>
    </row>
    <row r="429" spans="1:20" x14ac:dyDescent="0.25">
      <c r="A429" t="str">
        <f>IF('Equipment Information'!A429="","", 'Equipment Information'!A429)</f>
        <v/>
      </c>
      <c r="B429" t="str">
        <f>IF('Equipment Information'!B429="","", 'Equipment Information'!B429)</f>
        <v/>
      </c>
      <c r="C429" t="str">
        <f>IF('Equipment Information'!C429="","", 'Equipment Information'!C429)</f>
        <v/>
      </c>
      <c r="I429" t="str">
        <f t="shared" si="42"/>
        <v/>
      </c>
      <c r="J429" s="3" t="str">
        <f t="shared" si="43"/>
        <v/>
      </c>
      <c r="N429" t="str">
        <f t="shared" si="44"/>
        <v/>
      </c>
      <c r="Q429" s="3" t="str">
        <f t="shared" si="45"/>
        <v/>
      </c>
      <c r="R429" s="3" t="str">
        <f t="shared" si="46"/>
        <v/>
      </c>
      <c r="S429" t="str">
        <f t="shared" si="47"/>
        <v/>
      </c>
      <c r="T429" t="str">
        <f t="shared" si="48"/>
        <v/>
      </c>
    </row>
    <row r="430" spans="1:20" x14ac:dyDescent="0.25">
      <c r="A430" t="str">
        <f>IF('Equipment Information'!A430="","", 'Equipment Information'!A430)</f>
        <v/>
      </c>
      <c r="B430" t="str">
        <f>IF('Equipment Information'!B430="","", 'Equipment Information'!B430)</f>
        <v/>
      </c>
      <c r="C430" t="str">
        <f>IF('Equipment Information'!C430="","", 'Equipment Information'!C430)</f>
        <v/>
      </c>
      <c r="I430" t="str">
        <f t="shared" si="42"/>
        <v/>
      </c>
      <c r="J430" s="3" t="str">
        <f t="shared" si="43"/>
        <v/>
      </c>
      <c r="N430" t="str">
        <f t="shared" si="44"/>
        <v/>
      </c>
      <c r="Q430" s="3" t="str">
        <f t="shared" si="45"/>
        <v/>
      </c>
      <c r="R430" s="3" t="str">
        <f t="shared" si="46"/>
        <v/>
      </c>
      <c r="S430" t="str">
        <f t="shared" si="47"/>
        <v/>
      </c>
      <c r="T430" t="str">
        <f t="shared" si="48"/>
        <v/>
      </c>
    </row>
    <row r="431" spans="1:20" x14ac:dyDescent="0.25">
      <c r="A431" t="str">
        <f>IF('Equipment Information'!A431="","", 'Equipment Information'!A431)</f>
        <v/>
      </c>
      <c r="B431" t="str">
        <f>IF('Equipment Information'!B431="","", 'Equipment Information'!B431)</f>
        <v/>
      </c>
      <c r="C431" t="str">
        <f>IF('Equipment Information'!C431="","", 'Equipment Information'!C431)</f>
        <v/>
      </c>
      <c r="I431" t="str">
        <f t="shared" si="42"/>
        <v/>
      </c>
      <c r="J431" s="3" t="str">
        <f t="shared" si="43"/>
        <v/>
      </c>
      <c r="N431" t="str">
        <f t="shared" si="44"/>
        <v/>
      </c>
      <c r="Q431" s="3" t="str">
        <f t="shared" si="45"/>
        <v/>
      </c>
      <c r="R431" s="3" t="str">
        <f t="shared" si="46"/>
        <v/>
      </c>
      <c r="S431" t="str">
        <f t="shared" si="47"/>
        <v/>
      </c>
      <c r="T431" t="str">
        <f t="shared" si="48"/>
        <v/>
      </c>
    </row>
    <row r="432" spans="1:20" x14ac:dyDescent="0.25">
      <c r="A432" t="str">
        <f>IF('Equipment Information'!A432="","", 'Equipment Information'!A432)</f>
        <v/>
      </c>
      <c r="B432" t="str">
        <f>IF('Equipment Information'!B432="","", 'Equipment Information'!B432)</f>
        <v/>
      </c>
      <c r="C432" t="str">
        <f>IF('Equipment Information'!C432="","", 'Equipment Information'!C432)</f>
        <v/>
      </c>
      <c r="I432" t="str">
        <f t="shared" si="42"/>
        <v/>
      </c>
      <c r="J432" s="3" t="str">
        <f t="shared" si="43"/>
        <v/>
      </c>
      <c r="N432" t="str">
        <f t="shared" si="44"/>
        <v/>
      </c>
      <c r="Q432" s="3" t="str">
        <f t="shared" si="45"/>
        <v/>
      </c>
      <c r="R432" s="3" t="str">
        <f t="shared" si="46"/>
        <v/>
      </c>
      <c r="S432" t="str">
        <f t="shared" si="47"/>
        <v/>
      </c>
      <c r="T432" t="str">
        <f t="shared" si="48"/>
        <v/>
      </c>
    </row>
    <row r="433" spans="1:20" x14ac:dyDescent="0.25">
      <c r="A433" t="str">
        <f>IF('Equipment Information'!A433="","", 'Equipment Information'!A433)</f>
        <v/>
      </c>
      <c r="B433" t="str">
        <f>IF('Equipment Information'!B433="","", 'Equipment Information'!B433)</f>
        <v/>
      </c>
      <c r="C433" t="str">
        <f>IF('Equipment Information'!C433="","", 'Equipment Information'!C433)</f>
        <v/>
      </c>
      <c r="I433" t="str">
        <f t="shared" si="42"/>
        <v/>
      </c>
      <c r="J433" s="3" t="str">
        <f t="shared" si="43"/>
        <v/>
      </c>
      <c r="N433" t="str">
        <f t="shared" si="44"/>
        <v/>
      </c>
      <c r="Q433" s="3" t="str">
        <f t="shared" si="45"/>
        <v/>
      </c>
      <c r="R433" s="3" t="str">
        <f t="shared" si="46"/>
        <v/>
      </c>
      <c r="S433" t="str">
        <f t="shared" si="47"/>
        <v/>
      </c>
      <c r="T433" t="str">
        <f t="shared" si="48"/>
        <v/>
      </c>
    </row>
    <row r="434" spans="1:20" x14ac:dyDescent="0.25">
      <c r="A434" t="str">
        <f>IF('Equipment Information'!A434="","", 'Equipment Information'!A434)</f>
        <v/>
      </c>
      <c r="B434" t="str">
        <f>IF('Equipment Information'!B434="","", 'Equipment Information'!B434)</f>
        <v/>
      </c>
      <c r="C434" t="str">
        <f>IF('Equipment Information'!C434="","", 'Equipment Information'!C434)</f>
        <v/>
      </c>
      <c r="I434" t="str">
        <f t="shared" si="42"/>
        <v/>
      </c>
      <c r="J434" s="3" t="str">
        <f t="shared" si="43"/>
        <v/>
      </c>
      <c r="N434" t="str">
        <f t="shared" si="44"/>
        <v/>
      </c>
      <c r="Q434" s="3" t="str">
        <f t="shared" si="45"/>
        <v/>
      </c>
      <c r="R434" s="3" t="str">
        <f t="shared" si="46"/>
        <v/>
      </c>
      <c r="S434" t="str">
        <f t="shared" si="47"/>
        <v/>
      </c>
      <c r="T434" t="str">
        <f t="shared" si="48"/>
        <v/>
      </c>
    </row>
    <row r="435" spans="1:20" x14ac:dyDescent="0.25">
      <c r="A435" t="str">
        <f>IF('Equipment Information'!A435="","", 'Equipment Information'!A435)</f>
        <v/>
      </c>
      <c r="B435" t="str">
        <f>IF('Equipment Information'!B435="","", 'Equipment Information'!B435)</f>
        <v/>
      </c>
      <c r="C435" t="str">
        <f>IF('Equipment Information'!C435="","", 'Equipment Information'!C435)</f>
        <v/>
      </c>
      <c r="I435" t="str">
        <f t="shared" si="42"/>
        <v/>
      </c>
      <c r="J435" s="3" t="str">
        <f t="shared" si="43"/>
        <v/>
      </c>
      <c r="N435" t="str">
        <f t="shared" si="44"/>
        <v/>
      </c>
      <c r="Q435" s="3" t="str">
        <f t="shared" si="45"/>
        <v/>
      </c>
      <c r="R435" s="3" t="str">
        <f t="shared" si="46"/>
        <v/>
      </c>
      <c r="S435" t="str">
        <f t="shared" si="47"/>
        <v/>
      </c>
      <c r="T435" t="str">
        <f t="shared" si="48"/>
        <v/>
      </c>
    </row>
    <row r="436" spans="1:20" x14ac:dyDescent="0.25">
      <c r="A436" t="str">
        <f>IF('Equipment Information'!A436="","", 'Equipment Information'!A436)</f>
        <v/>
      </c>
      <c r="B436" t="str">
        <f>IF('Equipment Information'!B436="","", 'Equipment Information'!B436)</f>
        <v/>
      </c>
      <c r="C436" t="str">
        <f>IF('Equipment Information'!C436="","", 'Equipment Information'!C436)</f>
        <v/>
      </c>
      <c r="I436" t="str">
        <f t="shared" si="42"/>
        <v/>
      </c>
      <c r="J436" s="3" t="str">
        <f t="shared" si="43"/>
        <v/>
      </c>
      <c r="N436" t="str">
        <f t="shared" si="44"/>
        <v/>
      </c>
      <c r="Q436" s="3" t="str">
        <f t="shared" si="45"/>
        <v/>
      </c>
      <c r="R436" s="3" t="str">
        <f t="shared" si="46"/>
        <v/>
      </c>
      <c r="S436" t="str">
        <f t="shared" si="47"/>
        <v/>
      </c>
      <c r="T436" t="str">
        <f t="shared" si="48"/>
        <v/>
      </c>
    </row>
    <row r="437" spans="1:20" x14ac:dyDescent="0.25">
      <c r="A437" t="str">
        <f>IF('Equipment Information'!A437="","", 'Equipment Information'!A437)</f>
        <v/>
      </c>
      <c r="B437" t="str">
        <f>IF('Equipment Information'!B437="","", 'Equipment Information'!B437)</f>
        <v/>
      </c>
      <c r="C437" t="str">
        <f>IF('Equipment Information'!C437="","", 'Equipment Information'!C437)</f>
        <v/>
      </c>
      <c r="I437" t="str">
        <f t="shared" si="42"/>
        <v/>
      </c>
      <c r="J437" s="3" t="str">
        <f t="shared" si="43"/>
        <v/>
      </c>
      <c r="N437" t="str">
        <f t="shared" si="44"/>
        <v/>
      </c>
      <c r="Q437" s="3" t="str">
        <f t="shared" si="45"/>
        <v/>
      </c>
      <c r="R437" s="3" t="str">
        <f t="shared" si="46"/>
        <v/>
      </c>
      <c r="S437" t="str">
        <f t="shared" si="47"/>
        <v/>
      </c>
      <c r="T437" t="str">
        <f t="shared" si="48"/>
        <v/>
      </c>
    </row>
    <row r="438" spans="1:20" x14ac:dyDescent="0.25">
      <c r="A438" t="str">
        <f>IF('Equipment Information'!A438="","", 'Equipment Information'!A438)</f>
        <v/>
      </c>
      <c r="B438" t="str">
        <f>IF('Equipment Information'!B438="","", 'Equipment Information'!B438)</f>
        <v/>
      </c>
      <c r="C438" t="str">
        <f>IF('Equipment Information'!C438="","", 'Equipment Information'!C438)</f>
        <v/>
      </c>
      <c r="I438" t="str">
        <f t="shared" si="42"/>
        <v/>
      </c>
      <c r="J438" s="3" t="str">
        <f t="shared" si="43"/>
        <v/>
      </c>
      <c r="N438" t="str">
        <f t="shared" si="44"/>
        <v/>
      </c>
      <c r="Q438" s="3" t="str">
        <f t="shared" si="45"/>
        <v/>
      </c>
      <c r="R438" s="3" t="str">
        <f t="shared" si="46"/>
        <v/>
      </c>
      <c r="S438" t="str">
        <f t="shared" si="47"/>
        <v/>
      </c>
      <c r="T438" t="str">
        <f t="shared" si="48"/>
        <v/>
      </c>
    </row>
    <row r="439" spans="1:20" x14ac:dyDescent="0.25">
      <c r="A439" t="str">
        <f>IF('Equipment Information'!A439="","", 'Equipment Information'!A439)</f>
        <v/>
      </c>
      <c r="B439" t="str">
        <f>IF('Equipment Information'!B439="","", 'Equipment Information'!B439)</f>
        <v/>
      </c>
      <c r="C439" t="str">
        <f>IF('Equipment Information'!C439="","", 'Equipment Information'!C439)</f>
        <v/>
      </c>
      <c r="I439" t="str">
        <f t="shared" si="42"/>
        <v/>
      </c>
      <c r="J439" s="3" t="str">
        <f t="shared" si="43"/>
        <v/>
      </c>
      <c r="N439" t="str">
        <f t="shared" si="44"/>
        <v/>
      </c>
      <c r="Q439" s="3" t="str">
        <f t="shared" si="45"/>
        <v/>
      </c>
      <c r="R439" s="3" t="str">
        <f t="shared" si="46"/>
        <v/>
      </c>
      <c r="S439" t="str">
        <f t="shared" si="47"/>
        <v/>
      </c>
      <c r="T439" t="str">
        <f t="shared" si="48"/>
        <v/>
      </c>
    </row>
    <row r="440" spans="1:20" x14ac:dyDescent="0.25">
      <c r="A440" t="str">
        <f>IF('Equipment Information'!A440="","", 'Equipment Information'!A440)</f>
        <v/>
      </c>
      <c r="B440" t="str">
        <f>IF('Equipment Information'!B440="","", 'Equipment Information'!B440)</f>
        <v/>
      </c>
      <c r="C440" t="str">
        <f>IF('Equipment Information'!C440="","", 'Equipment Information'!C440)</f>
        <v/>
      </c>
      <c r="I440" t="str">
        <f t="shared" si="42"/>
        <v/>
      </c>
      <c r="J440" s="3" t="str">
        <f t="shared" si="43"/>
        <v/>
      </c>
      <c r="N440" t="str">
        <f t="shared" si="44"/>
        <v/>
      </c>
      <c r="Q440" s="3" t="str">
        <f t="shared" si="45"/>
        <v/>
      </c>
      <c r="R440" s="3" t="str">
        <f t="shared" si="46"/>
        <v/>
      </c>
      <c r="S440" t="str">
        <f t="shared" si="47"/>
        <v/>
      </c>
      <c r="T440" t="str">
        <f t="shared" si="48"/>
        <v/>
      </c>
    </row>
    <row r="441" spans="1:20" x14ac:dyDescent="0.25">
      <c r="A441" t="str">
        <f>IF('Equipment Information'!A441="","", 'Equipment Information'!A441)</f>
        <v/>
      </c>
      <c r="B441" t="str">
        <f>IF('Equipment Information'!B441="","", 'Equipment Information'!B441)</f>
        <v/>
      </c>
      <c r="C441" t="str">
        <f>IF('Equipment Information'!C441="","", 'Equipment Information'!C441)</f>
        <v/>
      </c>
      <c r="I441" t="str">
        <f t="shared" si="42"/>
        <v/>
      </c>
      <c r="J441" s="3" t="str">
        <f t="shared" si="43"/>
        <v/>
      </c>
      <c r="N441" t="str">
        <f t="shared" si="44"/>
        <v/>
      </c>
      <c r="Q441" s="3" t="str">
        <f t="shared" si="45"/>
        <v/>
      </c>
      <c r="R441" s="3" t="str">
        <f t="shared" si="46"/>
        <v/>
      </c>
      <c r="S441" t="str">
        <f t="shared" si="47"/>
        <v/>
      </c>
      <c r="T441" t="str">
        <f t="shared" si="48"/>
        <v/>
      </c>
    </row>
    <row r="442" spans="1:20" x14ac:dyDescent="0.25">
      <c r="A442" t="str">
        <f>IF('Equipment Information'!A442="","", 'Equipment Information'!A442)</f>
        <v/>
      </c>
      <c r="B442" t="str">
        <f>IF('Equipment Information'!B442="","", 'Equipment Information'!B442)</f>
        <v/>
      </c>
      <c r="C442" t="str">
        <f>IF('Equipment Information'!C442="","", 'Equipment Information'!C442)</f>
        <v/>
      </c>
      <c r="I442" t="str">
        <f t="shared" si="42"/>
        <v/>
      </c>
      <c r="J442" s="3" t="str">
        <f t="shared" si="43"/>
        <v/>
      </c>
      <c r="N442" t="str">
        <f t="shared" si="44"/>
        <v/>
      </c>
      <c r="Q442" s="3" t="str">
        <f t="shared" si="45"/>
        <v/>
      </c>
      <c r="R442" s="3" t="str">
        <f t="shared" si="46"/>
        <v/>
      </c>
      <c r="S442" t="str">
        <f t="shared" si="47"/>
        <v/>
      </c>
      <c r="T442" t="str">
        <f t="shared" si="48"/>
        <v/>
      </c>
    </row>
    <row r="443" spans="1:20" x14ac:dyDescent="0.25">
      <c r="A443" t="str">
        <f>IF('Equipment Information'!A443="","", 'Equipment Information'!A443)</f>
        <v/>
      </c>
      <c r="B443" t="str">
        <f>IF('Equipment Information'!B443="","", 'Equipment Information'!B443)</f>
        <v/>
      </c>
      <c r="C443" t="str">
        <f>IF('Equipment Information'!C443="","", 'Equipment Information'!C443)</f>
        <v/>
      </c>
      <c r="I443" t="str">
        <f t="shared" si="42"/>
        <v/>
      </c>
      <c r="J443" s="3" t="str">
        <f t="shared" si="43"/>
        <v/>
      </c>
      <c r="N443" t="str">
        <f t="shared" si="44"/>
        <v/>
      </c>
      <c r="Q443" s="3" t="str">
        <f t="shared" si="45"/>
        <v/>
      </c>
      <c r="R443" s="3" t="str">
        <f t="shared" si="46"/>
        <v/>
      </c>
      <c r="S443" t="str">
        <f t="shared" si="47"/>
        <v/>
      </c>
      <c r="T443" t="str">
        <f t="shared" si="48"/>
        <v/>
      </c>
    </row>
    <row r="444" spans="1:20" x14ac:dyDescent="0.25">
      <c r="A444" t="str">
        <f>IF('Equipment Information'!A444="","", 'Equipment Information'!A444)</f>
        <v/>
      </c>
      <c r="B444" t="str">
        <f>IF('Equipment Information'!B444="","", 'Equipment Information'!B444)</f>
        <v/>
      </c>
      <c r="C444" t="str">
        <f>IF('Equipment Information'!C444="","", 'Equipment Information'!C444)</f>
        <v/>
      </c>
      <c r="I444" t="str">
        <f t="shared" si="42"/>
        <v/>
      </c>
      <c r="J444" s="3" t="str">
        <f t="shared" si="43"/>
        <v/>
      </c>
      <c r="N444" t="str">
        <f t="shared" si="44"/>
        <v/>
      </c>
      <c r="Q444" s="3" t="str">
        <f t="shared" si="45"/>
        <v/>
      </c>
      <c r="R444" s="3" t="str">
        <f t="shared" si="46"/>
        <v/>
      </c>
      <c r="S444" t="str">
        <f t="shared" si="47"/>
        <v/>
      </c>
      <c r="T444" t="str">
        <f t="shared" si="48"/>
        <v/>
      </c>
    </row>
    <row r="445" spans="1:20" x14ac:dyDescent="0.25">
      <c r="A445" t="str">
        <f>IF('Equipment Information'!A445="","", 'Equipment Information'!A445)</f>
        <v/>
      </c>
      <c r="B445" t="str">
        <f>IF('Equipment Information'!B445="","", 'Equipment Information'!B445)</f>
        <v/>
      </c>
      <c r="C445" t="str">
        <f>IF('Equipment Information'!C445="","", 'Equipment Information'!C445)</f>
        <v/>
      </c>
      <c r="I445" t="str">
        <f t="shared" si="42"/>
        <v/>
      </c>
      <c r="J445" s="3" t="str">
        <f t="shared" si="43"/>
        <v/>
      </c>
      <c r="N445" t="str">
        <f t="shared" si="44"/>
        <v/>
      </c>
      <c r="Q445" s="3" t="str">
        <f t="shared" si="45"/>
        <v/>
      </c>
      <c r="R445" s="3" t="str">
        <f t="shared" si="46"/>
        <v/>
      </c>
      <c r="S445" t="str">
        <f t="shared" si="47"/>
        <v/>
      </c>
      <c r="T445" t="str">
        <f t="shared" si="48"/>
        <v/>
      </c>
    </row>
    <row r="446" spans="1:20" x14ac:dyDescent="0.25">
      <c r="A446" t="str">
        <f>IF('Equipment Information'!A446="","", 'Equipment Information'!A446)</f>
        <v/>
      </c>
      <c r="B446" t="str">
        <f>IF('Equipment Information'!B446="","", 'Equipment Information'!B446)</f>
        <v/>
      </c>
      <c r="C446" t="str">
        <f>IF('Equipment Information'!C446="","", 'Equipment Information'!C446)</f>
        <v/>
      </c>
      <c r="I446" t="str">
        <f t="shared" si="42"/>
        <v/>
      </c>
      <c r="J446" s="3" t="str">
        <f t="shared" si="43"/>
        <v/>
      </c>
      <c r="N446" t="str">
        <f t="shared" si="44"/>
        <v/>
      </c>
      <c r="Q446" s="3" t="str">
        <f t="shared" si="45"/>
        <v/>
      </c>
      <c r="R446" s="3" t="str">
        <f t="shared" si="46"/>
        <v/>
      </c>
      <c r="S446" t="str">
        <f t="shared" si="47"/>
        <v/>
      </c>
      <c r="T446" t="str">
        <f t="shared" si="48"/>
        <v/>
      </c>
    </row>
    <row r="447" spans="1:20" x14ac:dyDescent="0.25">
      <c r="A447" t="str">
        <f>IF('Equipment Information'!A447="","", 'Equipment Information'!A447)</f>
        <v/>
      </c>
      <c r="B447" t="str">
        <f>IF('Equipment Information'!B447="","", 'Equipment Information'!B447)</f>
        <v/>
      </c>
      <c r="C447" t="str">
        <f>IF('Equipment Information'!C447="","", 'Equipment Information'!C447)</f>
        <v/>
      </c>
      <c r="I447" t="str">
        <f t="shared" si="42"/>
        <v/>
      </c>
      <c r="J447" s="3" t="str">
        <f t="shared" si="43"/>
        <v/>
      </c>
      <c r="N447" t="str">
        <f t="shared" si="44"/>
        <v/>
      </c>
      <c r="Q447" s="3" t="str">
        <f t="shared" si="45"/>
        <v/>
      </c>
      <c r="R447" s="3" t="str">
        <f t="shared" si="46"/>
        <v/>
      </c>
      <c r="S447" t="str">
        <f t="shared" si="47"/>
        <v/>
      </c>
      <c r="T447" t="str">
        <f t="shared" si="48"/>
        <v/>
      </c>
    </row>
    <row r="448" spans="1:20" x14ac:dyDescent="0.25">
      <c r="A448" t="str">
        <f>IF('Equipment Information'!A448="","", 'Equipment Information'!A448)</f>
        <v/>
      </c>
      <c r="B448" t="str">
        <f>IF('Equipment Information'!B448="","", 'Equipment Information'!B448)</f>
        <v/>
      </c>
      <c r="C448" t="str">
        <f>IF('Equipment Information'!C448="","", 'Equipment Information'!C448)</f>
        <v/>
      </c>
      <c r="I448" t="str">
        <f t="shared" si="42"/>
        <v/>
      </c>
      <c r="J448" s="3" t="str">
        <f t="shared" si="43"/>
        <v/>
      </c>
      <c r="N448" t="str">
        <f t="shared" si="44"/>
        <v/>
      </c>
      <c r="Q448" s="3" t="str">
        <f t="shared" si="45"/>
        <v/>
      </c>
      <c r="R448" s="3" t="str">
        <f t="shared" si="46"/>
        <v/>
      </c>
      <c r="S448" t="str">
        <f t="shared" si="47"/>
        <v/>
      </c>
      <c r="T448" t="str">
        <f t="shared" si="48"/>
        <v/>
      </c>
    </row>
    <row r="449" spans="1:20" x14ac:dyDescent="0.25">
      <c r="A449" t="str">
        <f>IF('Equipment Information'!A449="","", 'Equipment Information'!A449)</f>
        <v/>
      </c>
      <c r="B449" t="str">
        <f>IF('Equipment Information'!B449="","", 'Equipment Information'!B449)</f>
        <v/>
      </c>
      <c r="C449" t="str">
        <f>IF('Equipment Information'!C449="","", 'Equipment Information'!C449)</f>
        <v/>
      </c>
      <c r="I449" t="str">
        <f t="shared" si="42"/>
        <v/>
      </c>
      <c r="J449" s="3" t="str">
        <f t="shared" si="43"/>
        <v/>
      </c>
      <c r="N449" t="str">
        <f t="shared" si="44"/>
        <v/>
      </c>
      <c r="Q449" s="3" t="str">
        <f t="shared" si="45"/>
        <v/>
      </c>
      <c r="R449" s="3" t="str">
        <f t="shared" si="46"/>
        <v/>
      </c>
      <c r="S449" t="str">
        <f t="shared" si="47"/>
        <v/>
      </c>
      <c r="T449" t="str">
        <f t="shared" si="48"/>
        <v/>
      </c>
    </row>
    <row r="450" spans="1:20" x14ac:dyDescent="0.25">
      <c r="A450" t="str">
        <f>IF('Equipment Information'!A450="","", 'Equipment Information'!A450)</f>
        <v/>
      </c>
      <c r="B450" t="str">
        <f>IF('Equipment Information'!B450="","", 'Equipment Information'!B450)</f>
        <v/>
      </c>
      <c r="C450" t="str">
        <f>IF('Equipment Information'!C450="","", 'Equipment Information'!C450)</f>
        <v/>
      </c>
      <c r="I450" t="str">
        <f t="shared" ref="I450:I513" si="49">IF(A450="","",IF(D450="Three Phase",IF(COUNT(F450:H450)&lt;3,"",AVERAGE(F450:H450)),IF(D450="Single Phase",IF(F450="","",F450),"")))</f>
        <v/>
      </c>
      <c r="J450" s="3" t="str">
        <f t="shared" ref="J450:J513" si="50">IF(A450="","",IF(D450="Three Phase",IF(I450="","",MAX(ABS(F450-I450),ABS(G450-I450),ABS(H450-I450))/I450),""))</f>
        <v/>
      </c>
      <c r="N450" t="str">
        <f t="shared" ref="N450:N513" si="51">IF(A450="","",IF(D450="Three Phase",IF(COUNT(K450:M450)&lt;3,"",AVERAGE(K450:M450)),IF(D450="Single Phase",IF(K450="","",K450),"")))</f>
        <v/>
      </c>
      <c r="Q450" s="3" t="str">
        <f t="shared" ref="Q450:Q499" si="52">IF(A450="","",IF(OR(O450="",N450=""),"",N450/O450))</f>
        <v/>
      </c>
      <c r="R450" s="3" t="str">
        <f t="shared" ref="R450:R499" si="53">IF(A450="","",IF(D450="Three Phase",IF(N450="","",MAX(ABS(K450-N450),ABS(L450-N450),ABS(M450-N450))/N450),""))</f>
        <v/>
      </c>
      <c r="S450" t="str">
        <f t="shared" ref="S450:S513" si="54">IF(A450="","",IF(D450="Single Phase",IF(AND(F450="",K450=""),"No Data Entered",IF(Q450="","Reading Recorded - No Load% (Missing Rated Amps)","Reading Recorded - Load: "&amp;TEXT(Q450,"0.0%"))),IF(AND(F450="",K450=""),"N/A",IF(I450="","Insufficient Voltage Data",IF(AND(J450&gt;0.03,R450&gt;0.15),"Voltage &amp; Current Imbalance",IF(J450&gt;0.03,"Voltage Imbalance",IF(R450&gt;0.15,"Current Imbalance","No Imbalances Detected")))))))</f>
        <v/>
      </c>
      <c r="T450" t="str">
        <f t="shared" si="48"/>
        <v/>
      </c>
    </row>
    <row r="451" spans="1:20" x14ac:dyDescent="0.25">
      <c r="A451" t="str">
        <f>IF('Equipment Information'!A451="","", 'Equipment Information'!A451)</f>
        <v/>
      </c>
      <c r="B451" t="str">
        <f>IF('Equipment Information'!B451="","", 'Equipment Information'!B451)</f>
        <v/>
      </c>
      <c r="C451" t="str">
        <f>IF('Equipment Information'!C451="","", 'Equipment Information'!C451)</f>
        <v/>
      </c>
      <c r="I451" t="str">
        <f t="shared" si="49"/>
        <v/>
      </c>
      <c r="J451" s="3" t="str">
        <f t="shared" si="50"/>
        <v/>
      </c>
      <c r="N451" t="str">
        <f t="shared" si="51"/>
        <v/>
      </c>
      <c r="Q451" s="3" t="str">
        <f t="shared" si="52"/>
        <v/>
      </c>
      <c r="R451" s="3" t="str">
        <f t="shared" si="53"/>
        <v/>
      </c>
      <c r="S451" t="str">
        <f t="shared" si="54"/>
        <v/>
      </c>
      <c r="T451" t="str">
        <f t="shared" si="48"/>
        <v/>
      </c>
    </row>
    <row r="452" spans="1:20" x14ac:dyDescent="0.25">
      <c r="A452" t="str">
        <f>IF('Equipment Information'!A452="","", 'Equipment Information'!A452)</f>
        <v/>
      </c>
      <c r="B452" t="str">
        <f>IF('Equipment Information'!B452="","", 'Equipment Information'!B452)</f>
        <v/>
      </c>
      <c r="C452" t="str">
        <f>IF('Equipment Information'!C452="","", 'Equipment Information'!C452)</f>
        <v/>
      </c>
      <c r="I452" t="str">
        <f t="shared" si="49"/>
        <v/>
      </c>
      <c r="J452" s="3" t="str">
        <f t="shared" si="50"/>
        <v/>
      </c>
      <c r="N452" t="str">
        <f t="shared" si="51"/>
        <v/>
      </c>
      <c r="Q452" s="3" t="str">
        <f t="shared" si="52"/>
        <v/>
      </c>
      <c r="R452" s="3" t="str">
        <f t="shared" si="53"/>
        <v/>
      </c>
      <c r="S452" t="str">
        <f t="shared" si="54"/>
        <v/>
      </c>
      <c r="T452" t="str">
        <f t="shared" si="48"/>
        <v/>
      </c>
    </row>
    <row r="453" spans="1:20" x14ac:dyDescent="0.25">
      <c r="A453" t="str">
        <f>IF('Equipment Information'!A453="","", 'Equipment Information'!A453)</f>
        <v/>
      </c>
      <c r="B453" t="str">
        <f>IF('Equipment Information'!B453="","", 'Equipment Information'!B453)</f>
        <v/>
      </c>
      <c r="C453" t="str">
        <f>IF('Equipment Information'!C453="","", 'Equipment Information'!C453)</f>
        <v/>
      </c>
      <c r="I453" t="str">
        <f t="shared" si="49"/>
        <v/>
      </c>
      <c r="J453" s="3" t="str">
        <f t="shared" si="50"/>
        <v/>
      </c>
      <c r="N453" t="str">
        <f t="shared" si="51"/>
        <v/>
      </c>
      <c r="Q453" s="3" t="str">
        <f t="shared" si="52"/>
        <v/>
      </c>
      <c r="R453" s="3" t="str">
        <f t="shared" si="53"/>
        <v/>
      </c>
      <c r="S453" t="str">
        <f t="shared" si="54"/>
        <v/>
      </c>
      <c r="T453" t="str">
        <f t="shared" ref="T453:T499" si="55">IF(A453="","",IF(D453="Single Phase",IF(AND(F453="",K453=""),"N/A","Pass"),IF(AND(F453="",K453=""),"N/A",IF(OR(J453&gt;0.03,R453&gt;0.15),"Imbalance","Pass"))))</f>
        <v/>
      </c>
    </row>
    <row r="454" spans="1:20" x14ac:dyDescent="0.25">
      <c r="A454" t="str">
        <f>IF('Equipment Information'!A454="","", 'Equipment Information'!A454)</f>
        <v/>
      </c>
      <c r="B454" t="str">
        <f>IF('Equipment Information'!B454="","", 'Equipment Information'!B454)</f>
        <v/>
      </c>
      <c r="C454" t="str">
        <f>IF('Equipment Information'!C454="","", 'Equipment Information'!C454)</f>
        <v/>
      </c>
      <c r="I454" t="str">
        <f t="shared" si="49"/>
        <v/>
      </c>
      <c r="J454" s="3" t="str">
        <f t="shared" si="50"/>
        <v/>
      </c>
      <c r="N454" t="str">
        <f t="shared" si="51"/>
        <v/>
      </c>
      <c r="Q454" s="3" t="str">
        <f t="shared" si="52"/>
        <v/>
      </c>
      <c r="R454" s="3" t="str">
        <f t="shared" si="53"/>
        <v/>
      </c>
      <c r="S454" t="str">
        <f t="shared" si="54"/>
        <v/>
      </c>
      <c r="T454" t="str">
        <f t="shared" si="55"/>
        <v/>
      </c>
    </row>
    <row r="455" spans="1:20" x14ac:dyDescent="0.25">
      <c r="A455" t="str">
        <f>IF('Equipment Information'!A455="","", 'Equipment Information'!A455)</f>
        <v/>
      </c>
      <c r="B455" t="str">
        <f>IF('Equipment Information'!B455="","", 'Equipment Information'!B455)</f>
        <v/>
      </c>
      <c r="C455" t="str">
        <f>IF('Equipment Information'!C455="","", 'Equipment Information'!C455)</f>
        <v/>
      </c>
      <c r="I455" t="str">
        <f t="shared" si="49"/>
        <v/>
      </c>
      <c r="J455" s="3" t="str">
        <f t="shared" si="50"/>
        <v/>
      </c>
      <c r="N455" t="str">
        <f t="shared" si="51"/>
        <v/>
      </c>
      <c r="Q455" s="3" t="str">
        <f t="shared" si="52"/>
        <v/>
      </c>
      <c r="R455" s="3" t="str">
        <f t="shared" si="53"/>
        <v/>
      </c>
      <c r="S455" t="str">
        <f t="shared" si="54"/>
        <v/>
      </c>
      <c r="T455" t="str">
        <f t="shared" si="55"/>
        <v/>
      </c>
    </row>
    <row r="456" spans="1:20" x14ac:dyDescent="0.25">
      <c r="A456" t="str">
        <f>IF('Equipment Information'!A456="","", 'Equipment Information'!A456)</f>
        <v/>
      </c>
      <c r="B456" t="str">
        <f>IF('Equipment Information'!B456="","", 'Equipment Information'!B456)</f>
        <v/>
      </c>
      <c r="C456" t="str">
        <f>IF('Equipment Information'!C456="","", 'Equipment Information'!C456)</f>
        <v/>
      </c>
      <c r="I456" t="str">
        <f t="shared" si="49"/>
        <v/>
      </c>
      <c r="J456" s="3" t="str">
        <f t="shared" si="50"/>
        <v/>
      </c>
      <c r="N456" t="str">
        <f t="shared" si="51"/>
        <v/>
      </c>
      <c r="Q456" s="3" t="str">
        <f t="shared" si="52"/>
        <v/>
      </c>
      <c r="R456" s="3" t="str">
        <f t="shared" si="53"/>
        <v/>
      </c>
      <c r="S456" t="str">
        <f t="shared" si="54"/>
        <v/>
      </c>
      <c r="T456" t="str">
        <f t="shared" si="55"/>
        <v/>
      </c>
    </row>
    <row r="457" spans="1:20" x14ac:dyDescent="0.25">
      <c r="A457" t="str">
        <f>IF('Equipment Information'!A457="","", 'Equipment Information'!A457)</f>
        <v/>
      </c>
      <c r="B457" t="str">
        <f>IF('Equipment Information'!B457="","", 'Equipment Information'!B457)</f>
        <v/>
      </c>
      <c r="C457" t="str">
        <f>IF('Equipment Information'!C457="","", 'Equipment Information'!C457)</f>
        <v/>
      </c>
      <c r="I457" t="str">
        <f t="shared" si="49"/>
        <v/>
      </c>
      <c r="J457" s="3" t="str">
        <f t="shared" si="50"/>
        <v/>
      </c>
      <c r="N457" t="str">
        <f t="shared" si="51"/>
        <v/>
      </c>
      <c r="Q457" s="3" t="str">
        <f t="shared" si="52"/>
        <v/>
      </c>
      <c r="R457" s="3" t="str">
        <f t="shared" si="53"/>
        <v/>
      </c>
      <c r="S457" t="str">
        <f t="shared" si="54"/>
        <v/>
      </c>
      <c r="T457" t="str">
        <f t="shared" si="55"/>
        <v/>
      </c>
    </row>
    <row r="458" spans="1:20" x14ac:dyDescent="0.25">
      <c r="A458" t="str">
        <f>IF('Equipment Information'!A458="","", 'Equipment Information'!A458)</f>
        <v/>
      </c>
      <c r="B458" t="str">
        <f>IF('Equipment Information'!B458="","", 'Equipment Information'!B458)</f>
        <v/>
      </c>
      <c r="C458" t="str">
        <f>IF('Equipment Information'!C458="","", 'Equipment Information'!C458)</f>
        <v/>
      </c>
      <c r="I458" t="str">
        <f t="shared" si="49"/>
        <v/>
      </c>
      <c r="J458" s="3" t="str">
        <f t="shared" si="50"/>
        <v/>
      </c>
      <c r="N458" t="str">
        <f t="shared" si="51"/>
        <v/>
      </c>
      <c r="Q458" s="3" t="str">
        <f t="shared" si="52"/>
        <v/>
      </c>
      <c r="R458" s="3" t="str">
        <f t="shared" si="53"/>
        <v/>
      </c>
      <c r="S458" t="str">
        <f t="shared" si="54"/>
        <v/>
      </c>
      <c r="T458" t="str">
        <f t="shared" si="55"/>
        <v/>
      </c>
    </row>
    <row r="459" spans="1:20" x14ac:dyDescent="0.25">
      <c r="A459" t="str">
        <f>IF('Equipment Information'!A459="","", 'Equipment Information'!A459)</f>
        <v/>
      </c>
      <c r="B459" t="str">
        <f>IF('Equipment Information'!B459="","", 'Equipment Information'!B459)</f>
        <v/>
      </c>
      <c r="C459" t="str">
        <f>IF('Equipment Information'!C459="","", 'Equipment Information'!C459)</f>
        <v/>
      </c>
      <c r="I459" t="str">
        <f t="shared" si="49"/>
        <v/>
      </c>
      <c r="J459" s="3" t="str">
        <f t="shared" si="50"/>
        <v/>
      </c>
      <c r="N459" t="str">
        <f t="shared" si="51"/>
        <v/>
      </c>
      <c r="Q459" s="3" t="str">
        <f t="shared" si="52"/>
        <v/>
      </c>
      <c r="R459" s="3" t="str">
        <f t="shared" si="53"/>
        <v/>
      </c>
      <c r="S459" t="str">
        <f t="shared" si="54"/>
        <v/>
      </c>
      <c r="T459" t="str">
        <f t="shared" si="55"/>
        <v/>
      </c>
    </row>
    <row r="460" spans="1:20" x14ac:dyDescent="0.25">
      <c r="A460" t="str">
        <f>IF('Equipment Information'!A460="","", 'Equipment Information'!A460)</f>
        <v/>
      </c>
      <c r="B460" t="str">
        <f>IF('Equipment Information'!B460="","", 'Equipment Information'!B460)</f>
        <v/>
      </c>
      <c r="C460" t="str">
        <f>IF('Equipment Information'!C460="","", 'Equipment Information'!C460)</f>
        <v/>
      </c>
      <c r="I460" t="str">
        <f t="shared" si="49"/>
        <v/>
      </c>
      <c r="J460" s="3" t="str">
        <f t="shared" si="50"/>
        <v/>
      </c>
      <c r="N460" t="str">
        <f t="shared" si="51"/>
        <v/>
      </c>
      <c r="Q460" s="3" t="str">
        <f t="shared" si="52"/>
        <v/>
      </c>
      <c r="R460" s="3" t="str">
        <f t="shared" si="53"/>
        <v/>
      </c>
      <c r="S460" t="str">
        <f t="shared" si="54"/>
        <v/>
      </c>
      <c r="T460" t="str">
        <f t="shared" si="55"/>
        <v/>
      </c>
    </row>
    <row r="461" spans="1:20" x14ac:dyDescent="0.25">
      <c r="A461" t="str">
        <f>IF('Equipment Information'!A461="","", 'Equipment Information'!A461)</f>
        <v/>
      </c>
      <c r="B461" t="str">
        <f>IF('Equipment Information'!B461="","", 'Equipment Information'!B461)</f>
        <v/>
      </c>
      <c r="C461" t="str">
        <f>IF('Equipment Information'!C461="","", 'Equipment Information'!C461)</f>
        <v/>
      </c>
      <c r="I461" t="str">
        <f t="shared" si="49"/>
        <v/>
      </c>
      <c r="J461" s="3" t="str">
        <f t="shared" si="50"/>
        <v/>
      </c>
      <c r="N461" t="str">
        <f t="shared" si="51"/>
        <v/>
      </c>
      <c r="Q461" s="3" t="str">
        <f t="shared" si="52"/>
        <v/>
      </c>
      <c r="R461" s="3" t="str">
        <f t="shared" si="53"/>
        <v/>
      </c>
      <c r="S461" t="str">
        <f t="shared" si="54"/>
        <v/>
      </c>
      <c r="T461" t="str">
        <f t="shared" si="55"/>
        <v/>
      </c>
    </row>
    <row r="462" spans="1:20" x14ac:dyDescent="0.25">
      <c r="A462" t="str">
        <f>IF('Equipment Information'!A462="","", 'Equipment Information'!A462)</f>
        <v/>
      </c>
      <c r="B462" t="str">
        <f>IF('Equipment Information'!B462="","", 'Equipment Information'!B462)</f>
        <v/>
      </c>
      <c r="C462" t="str">
        <f>IF('Equipment Information'!C462="","", 'Equipment Information'!C462)</f>
        <v/>
      </c>
      <c r="I462" t="str">
        <f t="shared" si="49"/>
        <v/>
      </c>
      <c r="J462" s="3" t="str">
        <f t="shared" si="50"/>
        <v/>
      </c>
      <c r="N462" t="str">
        <f t="shared" si="51"/>
        <v/>
      </c>
      <c r="Q462" s="3" t="str">
        <f t="shared" si="52"/>
        <v/>
      </c>
      <c r="R462" s="3" t="str">
        <f t="shared" si="53"/>
        <v/>
      </c>
      <c r="S462" t="str">
        <f t="shared" si="54"/>
        <v/>
      </c>
      <c r="T462" t="str">
        <f t="shared" si="55"/>
        <v/>
      </c>
    </row>
    <row r="463" spans="1:20" x14ac:dyDescent="0.25">
      <c r="A463" t="str">
        <f>IF('Equipment Information'!A463="","", 'Equipment Information'!A463)</f>
        <v/>
      </c>
      <c r="B463" t="str">
        <f>IF('Equipment Information'!B463="","", 'Equipment Information'!B463)</f>
        <v/>
      </c>
      <c r="C463" t="str">
        <f>IF('Equipment Information'!C463="","", 'Equipment Information'!C463)</f>
        <v/>
      </c>
      <c r="I463" t="str">
        <f t="shared" si="49"/>
        <v/>
      </c>
      <c r="J463" s="3" t="str">
        <f t="shared" si="50"/>
        <v/>
      </c>
      <c r="N463" t="str">
        <f t="shared" si="51"/>
        <v/>
      </c>
      <c r="Q463" s="3" t="str">
        <f t="shared" si="52"/>
        <v/>
      </c>
      <c r="R463" s="3" t="str">
        <f t="shared" si="53"/>
        <v/>
      </c>
      <c r="S463" t="str">
        <f t="shared" si="54"/>
        <v/>
      </c>
      <c r="T463" t="str">
        <f t="shared" si="55"/>
        <v/>
      </c>
    </row>
    <row r="464" spans="1:20" x14ac:dyDescent="0.25">
      <c r="A464" t="str">
        <f>IF('Equipment Information'!A464="","", 'Equipment Information'!A464)</f>
        <v/>
      </c>
      <c r="B464" t="str">
        <f>IF('Equipment Information'!B464="","", 'Equipment Information'!B464)</f>
        <v/>
      </c>
      <c r="C464" t="str">
        <f>IF('Equipment Information'!C464="","", 'Equipment Information'!C464)</f>
        <v/>
      </c>
      <c r="I464" t="str">
        <f t="shared" si="49"/>
        <v/>
      </c>
      <c r="J464" s="3" t="str">
        <f t="shared" si="50"/>
        <v/>
      </c>
      <c r="N464" t="str">
        <f t="shared" si="51"/>
        <v/>
      </c>
      <c r="Q464" s="3" t="str">
        <f t="shared" si="52"/>
        <v/>
      </c>
      <c r="R464" s="3" t="str">
        <f t="shared" si="53"/>
        <v/>
      </c>
      <c r="S464" t="str">
        <f t="shared" si="54"/>
        <v/>
      </c>
      <c r="T464" t="str">
        <f t="shared" si="55"/>
        <v/>
      </c>
    </row>
    <row r="465" spans="1:20" x14ac:dyDescent="0.25">
      <c r="A465" t="str">
        <f>IF('Equipment Information'!A465="","", 'Equipment Information'!A465)</f>
        <v/>
      </c>
      <c r="B465" t="str">
        <f>IF('Equipment Information'!B465="","", 'Equipment Information'!B465)</f>
        <v/>
      </c>
      <c r="C465" t="str">
        <f>IF('Equipment Information'!C465="","", 'Equipment Information'!C465)</f>
        <v/>
      </c>
      <c r="I465" t="str">
        <f t="shared" si="49"/>
        <v/>
      </c>
      <c r="J465" s="3" t="str">
        <f t="shared" si="50"/>
        <v/>
      </c>
      <c r="N465" t="str">
        <f t="shared" si="51"/>
        <v/>
      </c>
      <c r="Q465" s="3" t="str">
        <f t="shared" si="52"/>
        <v/>
      </c>
      <c r="R465" s="3" t="str">
        <f t="shared" si="53"/>
        <v/>
      </c>
      <c r="S465" t="str">
        <f t="shared" si="54"/>
        <v/>
      </c>
      <c r="T465" t="str">
        <f t="shared" si="55"/>
        <v/>
      </c>
    </row>
    <row r="466" spans="1:20" x14ac:dyDescent="0.25">
      <c r="A466" t="str">
        <f>IF('Equipment Information'!A466="","", 'Equipment Information'!A466)</f>
        <v/>
      </c>
      <c r="B466" t="str">
        <f>IF('Equipment Information'!B466="","", 'Equipment Information'!B466)</f>
        <v/>
      </c>
      <c r="C466" t="str">
        <f>IF('Equipment Information'!C466="","", 'Equipment Information'!C466)</f>
        <v/>
      </c>
      <c r="I466" t="str">
        <f t="shared" si="49"/>
        <v/>
      </c>
      <c r="J466" s="3" t="str">
        <f t="shared" si="50"/>
        <v/>
      </c>
      <c r="N466" t="str">
        <f t="shared" si="51"/>
        <v/>
      </c>
      <c r="Q466" s="3" t="str">
        <f t="shared" si="52"/>
        <v/>
      </c>
      <c r="R466" s="3" t="str">
        <f t="shared" si="53"/>
        <v/>
      </c>
      <c r="S466" t="str">
        <f t="shared" si="54"/>
        <v/>
      </c>
      <c r="T466" t="str">
        <f t="shared" si="55"/>
        <v/>
      </c>
    </row>
    <row r="467" spans="1:20" x14ac:dyDescent="0.25">
      <c r="A467" t="str">
        <f>IF('Equipment Information'!A467="","", 'Equipment Information'!A467)</f>
        <v/>
      </c>
      <c r="B467" t="str">
        <f>IF('Equipment Information'!B467="","", 'Equipment Information'!B467)</f>
        <v/>
      </c>
      <c r="C467" t="str">
        <f>IF('Equipment Information'!C467="","", 'Equipment Information'!C467)</f>
        <v/>
      </c>
      <c r="I467" t="str">
        <f t="shared" si="49"/>
        <v/>
      </c>
      <c r="J467" s="3" t="str">
        <f t="shared" si="50"/>
        <v/>
      </c>
      <c r="N467" t="str">
        <f t="shared" si="51"/>
        <v/>
      </c>
      <c r="Q467" s="3" t="str">
        <f t="shared" si="52"/>
        <v/>
      </c>
      <c r="R467" s="3" t="str">
        <f t="shared" si="53"/>
        <v/>
      </c>
      <c r="S467" t="str">
        <f t="shared" si="54"/>
        <v/>
      </c>
      <c r="T467" t="str">
        <f t="shared" si="55"/>
        <v/>
      </c>
    </row>
    <row r="468" spans="1:20" x14ac:dyDescent="0.25">
      <c r="A468" t="str">
        <f>IF('Equipment Information'!A468="","", 'Equipment Information'!A468)</f>
        <v/>
      </c>
      <c r="B468" t="str">
        <f>IF('Equipment Information'!B468="","", 'Equipment Information'!B468)</f>
        <v/>
      </c>
      <c r="C468" t="str">
        <f>IF('Equipment Information'!C468="","", 'Equipment Information'!C468)</f>
        <v/>
      </c>
      <c r="I468" t="str">
        <f t="shared" si="49"/>
        <v/>
      </c>
      <c r="J468" s="3" t="str">
        <f t="shared" si="50"/>
        <v/>
      </c>
      <c r="N468" t="str">
        <f t="shared" si="51"/>
        <v/>
      </c>
      <c r="Q468" s="3" t="str">
        <f t="shared" si="52"/>
        <v/>
      </c>
      <c r="R468" s="3" t="str">
        <f t="shared" si="53"/>
        <v/>
      </c>
      <c r="S468" t="str">
        <f t="shared" si="54"/>
        <v/>
      </c>
      <c r="T468" t="str">
        <f t="shared" si="55"/>
        <v/>
      </c>
    </row>
    <row r="469" spans="1:20" x14ac:dyDescent="0.25">
      <c r="A469" t="str">
        <f>IF('Equipment Information'!A469="","", 'Equipment Information'!A469)</f>
        <v/>
      </c>
      <c r="B469" t="str">
        <f>IF('Equipment Information'!B469="","", 'Equipment Information'!B469)</f>
        <v/>
      </c>
      <c r="C469" t="str">
        <f>IF('Equipment Information'!C469="","", 'Equipment Information'!C469)</f>
        <v/>
      </c>
      <c r="I469" t="str">
        <f t="shared" si="49"/>
        <v/>
      </c>
      <c r="J469" s="3" t="str">
        <f t="shared" si="50"/>
        <v/>
      </c>
      <c r="N469" t="str">
        <f t="shared" si="51"/>
        <v/>
      </c>
      <c r="Q469" s="3" t="str">
        <f t="shared" si="52"/>
        <v/>
      </c>
      <c r="R469" s="3" t="str">
        <f t="shared" si="53"/>
        <v/>
      </c>
      <c r="S469" t="str">
        <f t="shared" si="54"/>
        <v/>
      </c>
      <c r="T469" t="str">
        <f t="shared" si="55"/>
        <v/>
      </c>
    </row>
    <row r="470" spans="1:20" x14ac:dyDescent="0.25">
      <c r="A470" t="str">
        <f>IF('Equipment Information'!A470="","", 'Equipment Information'!A470)</f>
        <v/>
      </c>
      <c r="B470" t="str">
        <f>IF('Equipment Information'!B470="","", 'Equipment Information'!B470)</f>
        <v/>
      </c>
      <c r="C470" t="str">
        <f>IF('Equipment Information'!C470="","", 'Equipment Information'!C470)</f>
        <v/>
      </c>
      <c r="I470" t="str">
        <f t="shared" si="49"/>
        <v/>
      </c>
      <c r="J470" s="3" t="str">
        <f t="shared" si="50"/>
        <v/>
      </c>
      <c r="N470" t="str">
        <f t="shared" si="51"/>
        <v/>
      </c>
      <c r="Q470" s="3" t="str">
        <f t="shared" si="52"/>
        <v/>
      </c>
      <c r="R470" s="3" t="str">
        <f t="shared" si="53"/>
        <v/>
      </c>
      <c r="S470" t="str">
        <f t="shared" si="54"/>
        <v/>
      </c>
      <c r="T470" t="str">
        <f t="shared" si="55"/>
        <v/>
      </c>
    </row>
    <row r="471" spans="1:20" x14ac:dyDescent="0.25">
      <c r="A471" t="str">
        <f>IF('Equipment Information'!A471="","", 'Equipment Information'!A471)</f>
        <v/>
      </c>
      <c r="B471" t="str">
        <f>IF('Equipment Information'!B471="","", 'Equipment Information'!B471)</f>
        <v/>
      </c>
      <c r="C471" t="str">
        <f>IF('Equipment Information'!C471="","", 'Equipment Information'!C471)</f>
        <v/>
      </c>
      <c r="I471" t="str">
        <f t="shared" si="49"/>
        <v/>
      </c>
      <c r="J471" s="3" t="str">
        <f t="shared" si="50"/>
        <v/>
      </c>
      <c r="N471" t="str">
        <f t="shared" si="51"/>
        <v/>
      </c>
      <c r="Q471" s="3" t="str">
        <f t="shared" si="52"/>
        <v/>
      </c>
      <c r="R471" s="3" t="str">
        <f t="shared" si="53"/>
        <v/>
      </c>
      <c r="S471" t="str">
        <f t="shared" si="54"/>
        <v/>
      </c>
      <c r="T471" t="str">
        <f t="shared" si="55"/>
        <v/>
      </c>
    </row>
    <row r="472" spans="1:20" x14ac:dyDescent="0.25">
      <c r="A472" t="str">
        <f>IF('Equipment Information'!A472="","", 'Equipment Information'!A472)</f>
        <v/>
      </c>
      <c r="B472" t="str">
        <f>IF('Equipment Information'!B472="","", 'Equipment Information'!B472)</f>
        <v/>
      </c>
      <c r="C472" t="str">
        <f>IF('Equipment Information'!C472="","", 'Equipment Information'!C472)</f>
        <v/>
      </c>
      <c r="I472" t="str">
        <f t="shared" si="49"/>
        <v/>
      </c>
      <c r="J472" s="3" t="str">
        <f t="shared" si="50"/>
        <v/>
      </c>
      <c r="N472" t="str">
        <f t="shared" si="51"/>
        <v/>
      </c>
      <c r="Q472" s="3" t="str">
        <f t="shared" si="52"/>
        <v/>
      </c>
      <c r="R472" s="3" t="str">
        <f t="shared" si="53"/>
        <v/>
      </c>
      <c r="S472" t="str">
        <f t="shared" si="54"/>
        <v/>
      </c>
      <c r="T472" t="str">
        <f t="shared" si="55"/>
        <v/>
      </c>
    </row>
    <row r="473" spans="1:20" x14ac:dyDescent="0.25">
      <c r="A473" t="str">
        <f>IF('Equipment Information'!A473="","", 'Equipment Information'!A473)</f>
        <v/>
      </c>
      <c r="B473" t="str">
        <f>IF('Equipment Information'!B473="","", 'Equipment Information'!B473)</f>
        <v/>
      </c>
      <c r="C473" t="str">
        <f>IF('Equipment Information'!C473="","", 'Equipment Information'!C473)</f>
        <v/>
      </c>
      <c r="I473" t="str">
        <f t="shared" si="49"/>
        <v/>
      </c>
      <c r="J473" s="3" t="str">
        <f t="shared" si="50"/>
        <v/>
      </c>
      <c r="N473" t="str">
        <f t="shared" si="51"/>
        <v/>
      </c>
      <c r="Q473" s="3" t="str">
        <f t="shared" si="52"/>
        <v/>
      </c>
      <c r="R473" s="3" t="str">
        <f t="shared" si="53"/>
        <v/>
      </c>
      <c r="S473" t="str">
        <f t="shared" si="54"/>
        <v/>
      </c>
      <c r="T473" t="str">
        <f t="shared" si="55"/>
        <v/>
      </c>
    </row>
    <row r="474" spans="1:20" x14ac:dyDescent="0.25">
      <c r="A474" t="str">
        <f>IF('Equipment Information'!A474="","", 'Equipment Information'!A474)</f>
        <v/>
      </c>
      <c r="B474" t="str">
        <f>IF('Equipment Information'!B474="","", 'Equipment Information'!B474)</f>
        <v/>
      </c>
      <c r="C474" t="str">
        <f>IF('Equipment Information'!C474="","", 'Equipment Information'!C474)</f>
        <v/>
      </c>
      <c r="I474" t="str">
        <f t="shared" si="49"/>
        <v/>
      </c>
      <c r="J474" s="3" t="str">
        <f t="shared" si="50"/>
        <v/>
      </c>
      <c r="N474" t="str">
        <f t="shared" si="51"/>
        <v/>
      </c>
      <c r="Q474" s="3" t="str">
        <f t="shared" si="52"/>
        <v/>
      </c>
      <c r="R474" s="3" t="str">
        <f t="shared" si="53"/>
        <v/>
      </c>
      <c r="S474" t="str">
        <f t="shared" si="54"/>
        <v/>
      </c>
      <c r="T474" t="str">
        <f t="shared" si="55"/>
        <v/>
      </c>
    </row>
    <row r="475" spans="1:20" x14ac:dyDescent="0.25">
      <c r="A475" t="str">
        <f>IF('Equipment Information'!A475="","", 'Equipment Information'!A475)</f>
        <v/>
      </c>
      <c r="B475" t="str">
        <f>IF('Equipment Information'!B475="","", 'Equipment Information'!B475)</f>
        <v/>
      </c>
      <c r="C475" t="str">
        <f>IF('Equipment Information'!C475="","", 'Equipment Information'!C475)</f>
        <v/>
      </c>
      <c r="I475" t="str">
        <f t="shared" si="49"/>
        <v/>
      </c>
      <c r="J475" s="3" t="str">
        <f t="shared" si="50"/>
        <v/>
      </c>
      <c r="N475" t="str">
        <f t="shared" si="51"/>
        <v/>
      </c>
      <c r="Q475" s="3" t="str">
        <f t="shared" si="52"/>
        <v/>
      </c>
      <c r="R475" s="3" t="str">
        <f t="shared" si="53"/>
        <v/>
      </c>
      <c r="S475" t="str">
        <f t="shared" si="54"/>
        <v/>
      </c>
      <c r="T475" t="str">
        <f t="shared" si="55"/>
        <v/>
      </c>
    </row>
    <row r="476" spans="1:20" x14ac:dyDescent="0.25">
      <c r="A476" t="str">
        <f>IF('Equipment Information'!A476="","", 'Equipment Information'!A476)</f>
        <v/>
      </c>
      <c r="B476" t="str">
        <f>IF('Equipment Information'!B476="","", 'Equipment Information'!B476)</f>
        <v/>
      </c>
      <c r="C476" t="str">
        <f>IF('Equipment Information'!C476="","", 'Equipment Information'!C476)</f>
        <v/>
      </c>
      <c r="I476" t="str">
        <f t="shared" si="49"/>
        <v/>
      </c>
      <c r="J476" s="3" t="str">
        <f t="shared" si="50"/>
        <v/>
      </c>
      <c r="N476" t="str">
        <f t="shared" si="51"/>
        <v/>
      </c>
      <c r="Q476" s="3" t="str">
        <f t="shared" si="52"/>
        <v/>
      </c>
      <c r="R476" s="3" t="str">
        <f t="shared" si="53"/>
        <v/>
      </c>
      <c r="S476" t="str">
        <f t="shared" si="54"/>
        <v/>
      </c>
      <c r="T476" t="str">
        <f t="shared" si="55"/>
        <v/>
      </c>
    </row>
    <row r="477" spans="1:20" x14ac:dyDescent="0.25">
      <c r="A477" t="str">
        <f>IF('Equipment Information'!A477="","", 'Equipment Information'!A477)</f>
        <v/>
      </c>
      <c r="B477" t="str">
        <f>IF('Equipment Information'!B477="","", 'Equipment Information'!B477)</f>
        <v/>
      </c>
      <c r="C477" t="str">
        <f>IF('Equipment Information'!C477="","", 'Equipment Information'!C477)</f>
        <v/>
      </c>
      <c r="I477" t="str">
        <f t="shared" si="49"/>
        <v/>
      </c>
      <c r="J477" s="3" t="str">
        <f t="shared" si="50"/>
        <v/>
      </c>
      <c r="N477" t="str">
        <f t="shared" si="51"/>
        <v/>
      </c>
      <c r="Q477" s="3" t="str">
        <f t="shared" si="52"/>
        <v/>
      </c>
      <c r="R477" s="3" t="str">
        <f t="shared" si="53"/>
        <v/>
      </c>
      <c r="S477" t="str">
        <f t="shared" si="54"/>
        <v/>
      </c>
      <c r="T477" t="str">
        <f t="shared" si="55"/>
        <v/>
      </c>
    </row>
    <row r="478" spans="1:20" x14ac:dyDescent="0.25">
      <c r="A478" t="str">
        <f>IF('Equipment Information'!A478="","", 'Equipment Information'!A478)</f>
        <v/>
      </c>
      <c r="B478" t="str">
        <f>IF('Equipment Information'!B478="","", 'Equipment Information'!B478)</f>
        <v/>
      </c>
      <c r="C478" t="str">
        <f>IF('Equipment Information'!C478="","", 'Equipment Information'!C478)</f>
        <v/>
      </c>
      <c r="I478" t="str">
        <f t="shared" si="49"/>
        <v/>
      </c>
      <c r="J478" s="3" t="str">
        <f t="shared" si="50"/>
        <v/>
      </c>
      <c r="N478" t="str">
        <f t="shared" si="51"/>
        <v/>
      </c>
      <c r="Q478" s="3" t="str">
        <f t="shared" si="52"/>
        <v/>
      </c>
      <c r="R478" s="3" t="str">
        <f t="shared" si="53"/>
        <v/>
      </c>
      <c r="S478" t="str">
        <f t="shared" si="54"/>
        <v/>
      </c>
      <c r="T478" t="str">
        <f t="shared" si="55"/>
        <v/>
      </c>
    </row>
    <row r="479" spans="1:20" x14ac:dyDescent="0.25">
      <c r="A479" t="str">
        <f>IF('Equipment Information'!A479="","", 'Equipment Information'!A479)</f>
        <v/>
      </c>
      <c r="B479" t="str">
        <f>IF('Equipment Information'!B479="","", 'Equipment Information'!B479)</f>
        <v/>
      </c>
      <c r="C479" t="str">
        <f>IF('Equipment Information'!C479="","", 'Equipment Information'!C479)</f>
        <v/>
      </c>
      <c r="I479" t="str">
        <f t="shared" si="49"/>
        <v/>
      </c>
      <c r="J479" s="3" t="str">
        <f t="shared" si="50"/>
        <v/>
      </c>
      <c r="N479" t="str">
        <f t="shared" si="51"/>
        <v/>
      </c>
      <c r="Q479" s="3" t="str">
        <f t="shared" si="52"/>
        <v/>
      </c>
      <c r="R479" s="3" t="str">
        <f t="shared" si="53"/>
        <v/>
      </c>
      <c r="S479" t="str">
        <f t="shared" si="54"/>
        <v/>
      </c>
      <c r="T479" t="str">
        <f t="shared" si="55"/>
        <v/>
      </c>
    </row>
    <row r="480" spans="1:20" x14ac:dyDescent="0.25">
      <c r="A480" t="str">
        <f>IF('Equipment Information'!A480="","", 'Equipment Information'!A480)</f>
        <v/>
      </c>
      <c r="B480" t="str">
        <f>IF('Equipment Information'!B480="","", 'Equipment Information'!B480)</f>
        <v/>
      </c>
      <c r="C480" t="str">
        <f>IF('Equipment Information'!C480="","", 'Equipment Information'!C480)</f>
        <v/>
      </c>
      <c r="I480" t="str">
        <f t="shared" si="49"/>
        <v/>
      </c>
      <c r="J480" s="3" t="str">
        <f t="shared" si="50"/>
        <v/>
      </c>
      <c r="N480" t="str">
        <f t="shared" si="51"/>
        <v/>
      </c>
      <c r="Q480" s="3" t="str">
        <f t="shared" si="52"/>
        <v/>
      </c>
      <c r="R480" s="3" t="str">
        <f t="shared" si="53"/>
        <v/>
      </c>
      <c r="S480" t="str">
        <f t="shared" si="54"/>
        <v/>
      </c>
      <c r="T480" t="str">
        <f t="shared" si="55"/>
        <v/>
      </c>
    </row>
    <row r="481" spans="1:20" x14ac:dyDescent="0.25">
      <c r="A481" t="str">
        <f>IF('Equipment Information'!A481="","", 'Equipment Information'!A481)</f>
        <v/>
      </c>
      <c r="B481" t="str">
        <f>IF('Equipment Information'!B481="","", 'Equipment Information'!B481)</f>
        <v/>
      </c>
      <c r="C481" t="str">
        <f>IF('Equipment Information'!C481="","", 'Equipment Information'!C481)</f>
        <v/>
      </c>
      <c r="I481" t="str">
        <f t="shared" si="49"/>
        <v/>
      </c>
      <c r="J481" s="3" t="str">
        <f t="shared" si="50"/>
        <v/>
      </c>
      <c r="N481" t="str">
        <f t="shared" si="51"/>
        <v/>
      </c>
      <c r="Q481" s="3" t="str">
        <f t="shared" si="52"/>
        <v/>
      </c>
      <c r="R481" s="3" t="str">
        <f t="shared" si="53"/>
        <v/>
      </c>
      <c r="S481" t="str">
        <f t="shared" si="54"/>
        <v/>
      </c>
      <c r="T481" t="str">
        <f t="shared" si="55"/>
        <v/>
      </c>
    </row>
    <row r="482" spans="1:20" x14ac:dyDescent="0.25">
      <c r="A482" t="str">
        <f>IF('Equipment Information'!A482="","", 'Equipment Information'!A482)</f>
        <v/>
      </c>
      <c r="B482" t="str">
        <f>IF('Equipment Information'!B482="","", 'Equipment Information'!B482)</f>
        <v/>
      </c>
      <c r="C482" t="str">
        <f>IF('Equipment Information'!C482="","", 'Equipment Information'!C482)</f>
        <v/>
      </c>
      <c r="I482" t="str">
        <f t="shared" si="49"/>
        <v/>
      </c>
      <c r="J482" s="3" t="str">
        <f t="shared" si="50"/>
        <v/>
      </c>
      <c r="N482" t="str">
        <f t="shared" si="51"/>
        <v/>
      </c>
      <c r="Q482" s="3" t="str">
        <f t="shared" si="52"/>
        <v/>
      </c>
      <c r="R482" s="3" t="str">
        <f t="shared" si="53"/>
        <v/>
      </c>
      <c r="S482" t="str">
        <f t="shared" si="54"/>
        <v/>
      </c>
      <c r="T482" t="str">
        <f t="shared" si="55"/>
        <v/>
      </c>
    </row>
    <row r="483" spans="1:20" x14ac:dyDescent="0.25">
      <c r="A483" t="str">
        <f>IF('Equipment Information'!A483="","", 'Equipment Information'!A483)</f>
        <v/>
      </c>
      <c r="B483" t="str">
        <f>IF('Equipment Information'!B483="","", 'Equipment Information'!B483)</f>
        <v/>
      </c>
      <c r="C483" t="str">
        <f>IF('Equipment Information'!C483="","", 'Equipment Information'!C483)</f>
        <v/>
      </c>
      <c r="I483" t="str">
        <f t="shared" si="49"/>
        <v/>
      </c>
      <c r="J483" s="3" t="str">
        <f t="shared" si="50"/>
        <v/>
      </c>
      <c r="N483" t="str">
        <f t="shared" si="51"/>
        <v/>
      </c>
      <c r="Q483" s="3" t="str">
        <f t="shared" si="52"/>
        <v/>
      </c>
      <c r="R483" s="3" t="str">
        <f t="shared" si="53"/>
        <v/>
      </c>
      <c r="S483" t="str">
        <f t="shared" si="54"/>
        <v/>
      </c>
      <c r="T483" t="str">
        <f t="shared" si="55"/>
        <v/>
      </c>
    </row>
    <row r="484" spans="1:20" x14ac:dyDescent="0.25">
      <c r="A484" t="str">
        <f>IF('Equipment Information'!A484="","", 'Equipment Information'!A484)</f>
        <v/>
      </c>
      <c r="B484" t="str">
        <f>IF('Equipment Information'!B484="","", 'Equipment Information'!B484)</f>
        <v/>
      </c>
      <c r="C484" t="str">
        <f>IF('Equipment Information'!C484="","", 'Equipment Information'!C484)</f>
        <v/>
      </c>
      <c r="I484" t="str">
        <f t="shared" si="49"/>
        <v/>
      </c>
      <c r="J484" s="3" t="str">
        <f t="shared" si="50"/>
        <v/>
      </c>
      <c r="N484" t="str">
        <f t="shared" si="51"/>
        <v/>
      </c>
      <c r="Q484" s="3" t="str">
        <f t="shared" si="52"/>
        <v/>
      </c>
      <c r="R484" s="3" t="str">
        <f t="shared" si="53"/>
        <v/>
      </c>
      <c r="S484" t="str">
        <f t="shared" si="54"/>
        <v/>
      </c>
      <c r="T484" t="str">
        <f t="shared" si="55"/>
        <v/>
      </c>
    </row>
    <row r="485" spans="1:20" x14ac:dyDescent="0.25">
      <c r="A485" t="str">
        <f>IF('Equipment Information'!A485="","", 'Equipment Information'!A485)</f>
        <v/>
      </c>
      <c r="B485" t="str">
        <f>IF('Equipment Information'!B485="","", 'Equipment Information'!B485)</f>
        <v/>
      </c>
      <c r="C485" t="str">
        <f>IF('Equipment Information'!C485="","", 'Equipment Information'!C485)</f>
        <v/>
      </c>
      <c r="I485" t="str">
        <f t="shared" si="49"/>
        <v/>
      </c>
      <c r="J485" s="3" t="str">
        <f t="shared" si="50"/>
        <v/>
      </c>
      <c r="N485" t="str">
        <f t="shared" si="51"/>
        <v/>
      </c>
      <c r="Q485" s="3" t="str">
        <f t="shared" si="52"/>
        <v/>
      </c>
      <c r="R485" s="3" t="str">
        <f t="shared" si="53"/>
        <v/>
      </c>
      <c r="S485" t="str">
        <f t="shared" si="54"/>
        <v/>
      </c>
      <c r="T485" t="str">
        <f t="shared" si="55"/>
        <v/>
      </c>
    </row>
    <row r="486" spans="1:20" x14ac:dyDescent="0.25">
      <c r="A486" t="str">
        <f>IF('Equipment Information'!A486="","", 'Equipment Information'!A486)</f>
        <v/>
      </c>
      <c r="B486" t="str">
        <f>IF('Equipment Information'!B486="","", 'Equipment Information'!B486)</f>
        <v/>
      </c>
      <c r="C486" t="str">
        <f>IF('Equipment Information'!C486="","", 'Equipment Information'!C486)</f>
        <v/>
      </c>
      <c r="I486" t="str">
        <f t="shared" si="49"/>
        <v/>
      </c>
      <c r="J486" s="3" t="str">
        <f t="shared" si="50"/>
        <v/>
      </c>
      <c r="N486" t="str">
        <f t="shared" si="51"/>
        <v/>
      </c>
      <c r="Q486" s="3" t="str">
        <f t="shared" si="52"/>
        <v/>
      </c>
      <c r="R486" s="3" t="str">
        <f t="shared" si="53"/>
        <v/>
      </c>
      <c r="S486" t="str">
        <f t="shared" si="54"/>
        <v/>
      </c>
      <c r="T486" t="str">
        <f t="shared" si="55"/>
        <v/>
      </c>
    </row>
    <row r="487" spans="1:20" x14ac:dyDescent="0.25">
      <c r="A487" t="str">
        <f>IF('Equipment Information'!A487="","", 'Equipment Information'!A487)</f>
        <v/>
      </c>
      <c r="B487" t="str">
        <f>IF('Equipment Information'!B487="","", 'Equipment Information'!B487)</f>
        <v/>
      </c>
      <c r="C487" t="str">
        <f>IF('Equipment Information'!C487="","", 'Equipment Information'!C487)</f>
        <v/>
      </c>
      <c r="I487" t="str">
        <f t="shared" si="49"/>
        <v/>
      </c>
      <c r="J487" s="3" t="str">
        <f t="shared" si="50"/>
        <v/>
      </c>
      <c r="N487" t="str">
        <f t="shared" si="51"/>
        <v/>
      </c>
      <c r="Q487" s="3" t="str">
        <f t="shared" si="52"/>
        <v/>
      </c>
      <c r="R487" s="3" t="str">
        <f t="shared" si="53"/>
        <v/>
      </c>
      <c r="S487" t="str">
        <f t="shared" si="54"/>
        <v/>
      </c>
      <c r="T487" t="str">
        <f t="shared" si="55"/>
        <v/>
      </c>
    </row>
    <row r="488" spans="1:20" x14ac:dyDescent="0.25">
      <c r="A488" t="str">
        <f>IF('Equipment Information'!A488="","", 'Equipment Information'!A488)</f>
        <v/>
      </c>
      <c r="B488" t="str">
        <f>IF('Equipment Information'!B488="","", 'Equipment Information'!B488)</f>
        <v/>
      </c>
      <c r="C488" t="str">
        <f>IF('Equipment Information'!C488="","", 'Equipment Information'!C488)</f>
        <v/>
      </c>
      <c r="I488" t="str">
        <f t="shared" si="49"/>
        <v/>
      </c>
      <c r="J488" s="3" t="str">
        <f t="shared" si="50"/>
        <v/>
      </c>
      <c r="N488" t="str">
        <f t="shared" si="51"/>
        <v/>
      </c>
      <c r="Q488" s="3" t="str">
        <f t="shared" si="52"/>
        <v/>
      </c>
      <c r="R488" s="3" t="str">
        <f t="shared" si="53"/>
        <v/>
      </c>
      <c r="S488" t="str">
        <f t="shared" si="54"/>
        <v/>
      </c>
      <c r="T488" t="str">
        <f t="shared" si="55"/>
        <v/>
      </c>
    </row>
    <row r="489" spans="1:20" x14ac:dyDescent="0.25">
      <c r="A489" t="str">
        <f>IF('Equipment Information'!A489="","", 'Equipment Information'!A489)</f>
        <v/>
      </c>
      <c r="B489" t="str">
        <f>IF('Equipment Information'!B489="","", 'Equipment Information'!B489)</f>
        <v/>
      </c>
      <c r="C489" t="str">
        <f>IF('Equipment Information'!C489="","", 'Equipment Information'!C489)</f>
        <v/>
      </c>
      <c r="I489" t="str">
        <f t="shared" si="49"/>
        <v/>
      </c>
      <c r="J489" s="3" t="str">
        <f t="shared" si="50"/>
        <v/>
      </c>
      <c r="N489" t="str">
        <f t="shared" si="51"/>
        <v/>
      </c>
      <c r="Q489" s="3" t="str">
        <f t="shared" si="52"/>
        <v/>
      </c>
      <c r="R489" s="3" t="str">
        <f t="shared" si="53"/>
        <v/>
      </c>
      <c r="S489" t="str">
        <f t="shared" si="54"/>
        <v/>
      </c>
      <c r="T489" t="str">
        <f t="shared" si="55"/>
        <v/>
      </c>
    </row>
    <row r="490" spans="1:20" x14ac:dyDescent="0.25">
      <c r="A490" t="str">
        <f>IF('Equipment Information'!A490="","", 'Equipment Information'!A490)</f>
        <v/>
      </c>
      <c r="B490" t="str">
        <f>IF('Equipment Information'!B490="","", 'Equipment Information'!B490)</f>
        <v/>
      </c>
      <c r="C490" t="str">
        <f>IF('Equipment Information'!C490="","", 'Equipment Information'!C490)</f>
        <v/>
      </c>
      <c r="I490" t="str">
        <f t="shared" si="49"/>
        <v/>
      </c>
      <c r="J490" s="3" t="str">
        <f t="shared" si="50"/>
        <v/>
      </c>
      <c r="N490" t="str">
        <f t="shared" si="51"/>
        <v/>
      </c>
      <c r="Q490" s="3" t="str">
        <f t="shared" si="52"/>
        <v/>
      </c>
      <c r="R490" s="3" t="str">
        <f t="shared" si="53"/>
        <v/>
      </c>
      <c r="S490" t="str">
        <f t="shared" si="54"/>
        <v/>
      </c>
      <c r="T490" t="str">
        <f t="shared" si="55"/>
        <v/>
      </c>
    </row>
    <row r="491" spans="1:20" x14ac:dyDescent="0.25">
      <c r="A491" t="str">
        <f>IF('Equipment Information'!A491="","", 'Equipment Information'!A491)</f>
        <v/>
      </c>
      <c r="B491" t="str">
        <f>IF('Equipment Information'!B491="","", 'Equipment Information'!B491)</f>
        <v/>
      </c>
      <c r="C491" t="str">
        <f>IF('Equipment Information'!C491="","", 'Equipment Information'!C491)</f>
        <v/>
      </c>
      <c r="I491" t="str">
        <f t="shared" si="49"/>
        <v/>
      </c>
      <c r="J491" s="3" t="str">
        <f t="shared" si="50"/>
        <v/>
      </c>
      <c r="N491" t="str">
        <f t="shared" si="51"/>
        <v/>
      </c>
      <c r="Q491" s="3" t="str">
        <f t="shared" si="52"/>
        <v/>
      </c>
      <c r="R491" s="3" t="str">
        <f t="shared" si="53"/>
        <v/>
      </c>
      <c r="S491" t="str">
        <f t="shared" si="54"/>
        <v/>
      </c>
      <c r="T491" t="str">
        <f t="shared" si="55"/>
        <v/>
      </c>
    </row>
    <row r="492" spans="1:20" x14ac:dyDescent="0.25">
      <c r="A492" t="str">
        <f>IF('Equipment Information'!A492="","", 'Equipment Information'!A492)</f>
        <v/>
      </c>
      <c r="B492" t="str">
        <f>IF('Equipment Information'!B492="","", 'Equipment Information'!B492)</f>
        <v/>
      </c>
      <c r="C492" t="str">
        <f>IF('Equipment Information'!C492="","", 'Equipment Information'!C492)</f>
        <v/>
      </c>
      <c r="I492" t="str">
        <f t="shared" si="49"/>
        <v/>
      </c>
      <c r="J492" s="3" t="str">
        <f t="shared" si="50"/>
        <v/>
      </c>
      <c r="N492" t="str">
        <f t="shared" si="51"/>
        <v/>
      </c>
      <c r="Q492" s="3" t="str">
        <f t="shared" si="52"/>
        <v/>
      </c>
      <c r="R492" s="3" t="str">
        <f t="shared" si="53"/>
        <v/>
      </c>
      <c r="S492" t="str">
        <f t="shared" si="54"/>
        <v/>
      </c>
      <c r="T492" t="str">
        <f t="shared" si="55"/>
        <v/>
      </c>
    </row>
    <row r="493" spans="1:20" x14ac:dyDescent="0.25">
      <c r="A493" t="str">
        <f>IF('Equipment Information'!A493="","", 'Equipment Information'!A493)</f>
        <v/>
      </c>
      <c r="B493" t="str">
        <f>IF('Equipment Information'!B493="","", 'Equipment Information'!B493)</f>
        <v/>
      </c>
      <c r="C493" t="str">
        <f>IF('Equipment Information'!C493="","", 'Equipment Information'!C493)</f>
        <v/>
      </c>
      <c r="I493" t="str">
        <f t="shared" si="49"/>
        <v/>
      </c>
      <c r="J493" s="3" t="str">
        <f t="shared" si="50"/>
        <v/>
      </c>
      <c r="N493" t="str">
        <f t="shared" si="51"/>
        <v/>
      </c>
      <c r="Q493" s="3" t="str">
        <f t="shared" si="52"/>
        <v/>
      </c>
      <c r="R493" s="3" t="str">
        <f t="shared" si="53"/>
        <v/>
      </c>
      <c r="S493" t="str">
        <f t="shared" si="54"/>
        <v/>
      </c>
      <c r="T493" t="str">
        <f t="shared" si="55"/>
        <v/>
      </c>
    </row>
    <row r="494" spans="1:20" x14ac:dyDescent="0.25">
      <c r="A494" t="str">
        <f>IF('Equipment Information'!A494="","", 'Equipment Information'!A494)</f>
        <v/>
      </c>
      <c r="B494" t="str">
        <f>IF('Equipment Information'!B494="","", 'Equipment Information'!B494)</f>
        <v/>
      </c>
      <c r="C494" t="str">
        <f>IF('Equipment Information'!C494="","", 'Equipment Information'!C494)</f>
        <v/>
      </c>
      <c r="I494" t="str">
        <f t="shared" si="49"/>
        <v/>
      </c>
      <c r="J494" s="3" t="str">
        <f t="shared" si="50"/>
        <v/>
      </c>
      <c r="N494" t="str">
        <f t="shared" si="51"/>
        <v/>
      </c>
      <c r="Q494" s="3" t="str">
        <f t="shared" si="52"/>
        <v/>
      </c>
      <c r="R494" s="3" t="str">
        <f t="shared" si="53"/>
        <v/>
      </c>
      <c r="S494" t="str">
        <f t="shared" si="54"/>
        <v/>
      </c>
      <c r="T494" t="str">
        <f t="shared" si="55"/>
        <v/>
      </c>
    </row>
    <row r="495" spans="1:20" x14ac:dyDescent="0.25">
      <c r="A495" t="str">
        <f>IF('Equipment Information'!A495="","", 'Equipment Information'!A495)</f>
        <v/>
      </c>
      <c r="B495" t="str">
        <f>IF('Equipment Information'!B495="","", 'Equipment Information'!B495)</f>
        <v/>
      </c>
      <c r="C495" t="str">
        <f>IF('Equipment Information'!C495="","", 'Equipment Information'!C495)</f>
        <v/>
      </c>
      <c r="I495" t="str">
        <f t="shared" si="49"/>
        <v/>
      </c>
      <c r="J495" s="3" t="str">
        <f t="shared" si="50"/>
        <v/>
      </c>
      <c r="N495" t="str">
        <f t="shared" si="51"/>
        <v/>
      </c>
      <c r="Q495" s="3" t="str">
        <f t="shared" si="52"/>
        <v/>
      </c>
      <c r="R495" s="3" t="str">
        <f t="shared" si="53"/>
        <v/>
      </c>
      <c r="S495" t="str">
        <f t="shared" si="54"/>
        <v/>
      </c>
      <c r="T495" t="str">
        <f t="shared" si="55"/>
        <v/>
      </c>
    </row>
    <row r="496" spans="1:20" x14ac:dyDescent="0.25">
      <c r="A496" t="str">
        <f>IF('Equipment Information'!A496="","", 'Equipment Information'!A496)</f>
        <v/>
      </c>
      <c r="B496" t="str">
        <f>IF('Equipment Information'!B496="","", 'Equipment Information'!B496)</f>
        <v/>
      </c>
      <c r="C496" t="str">
        <f>IF('Equipment Information'!C496="","", 'Equipment Information'!C496)</f>
        <v/>
      </c>
      <c r="I496" t="str">
        <f t="shared" si="49"/>
        <v/>
      </c>
      <c r="J496" s="3" t="str">
        <f t="shared" si="50"/>
        <v/>
      </c>
      <c r="N496" t="str">
        <f t="shared" si="51"/>
        <v/>
      </c>
      <c r="Q496" s="3" t="str">
        <f t="shared" si="52"/>
        <v/>
      </c>
      <c r="R496" s="3" t="str">
        <f t="shared" si="53"/>
        <v/>
      </c>
      <c r="S496" t="str">
        <f t="shared" si="54"/>
        <v/>
      </c>
      <c r="T496" t="str">
        <f t="shared" si="55"/>
        <v/>
      </c>
    </row>
    <row r="497" spans="1:20" x14ac:dyDescent="0.25">
      <c r="A497" t="str">
        <f>IF('Equipment Information'!A497="","", 'Equipment Information'!A497)</f>
        <v/>
      </c>
      <c r="B497" t="str">
        <f>IF('Equipment Information'!B497="","", 'Equipment Information'!B497)</f>
        <v/>
      </c>
      <c r="C497" t="str">
        <f>IF('Equipment Information'!C497="","", 'Equipment Information'!C497)</f>
        <v/>
      </c>
      <c r="I497" t="str">
        <f t="shared" si="49"/>
        <v/>
      </c>
      <c r="J497" s="3" t="str">
        <f t="shared" si="50"/>
        <v/>
      </c>
      <c r="N497" t="str">
        <f t="shared" si="51"/>
        <v/>
      </c>
      <c r="Q497" s="3" t="str">
        <f t="shared" si="52"/>
        <v/>
      </c>
      <c r="R497" s="3" t="str">
        <f t="shared" si="53"/>
        <v/>
      </c>
      <c r="S497" t="str">
        <f t="shared" si="54"/>
        <v/>
      </c>
      <c r="T497" t="str">
        <f t="shared" si="55"/>
        <v/>
      </c>
    </row>
    <row r="498" spans="1:20" x14ac:dyDescent="0.25">
      <c r="A498" t="str">
        <f>IF('Equipment Information'!A498="","", 'Equipment Information'!A498)</f>
        <v/>
      </c>
      <c r="B498" t="str">
        <f>IF('Equipment Information'!B498="","", 'Equipment Information'!B498)</f>
        <v/>
      </c>
      <c r="C498" t="str">
        <f>IF('Equipment Information'!C498="","", 'Equipment Information'!C498)</f>
        <v/>
      </c>
      <c r="I498" t="str">
        <f t="shared" si="49"/>
        <v/>
      </c>
      <c r="J498" s="3" t="str">
        <f t="shared" si="50"/>
        <v/>
      </c>
      <c r="N498" t="str">
        <f t="shared" si="51"/>
        <v/>
      </c>
      <c r="Q498" s="3" t="str">
        <f t="shared" si="52"/>
        <v/>
      </c>
      <c r="R498" s="3" t="str">
        <f t="shared" si="53"/>
        <v/>
      </c>
      <c r="S498" t="str">
        <f t="shared" si="54"/>
        <v/>
      </c>
      <c r="T498" t="str">
        <f t="shared" si="55"/>
        <v/>
      </c>
    </row>
    <row r="499" spans="1:20" x14ac:dyDescent="0.25">
      <c r="A499" t="str">
        <f>IF('Equipment Information'!A499="","", 'Equipment Information'!A499)</f>
        <v/>
      </c>
      <c r="B499" t="str">
        <f>IF('Equipment Information'!B499="","", 'Equipment Information'!B499)</f>
        <v/>
      </c>
      <c r="C499" t="str">
        <f>IF('Equipment Information'!C499="","", 'Equipment Information'!C499)</f>
        <v/>
      </c>
      <c r="I499" t="str">
        <f t="shared" si="49"/>
        <v/>
      </c>
      <c r="J499" s="3" t="str">
        <f t="shared" si="50"/>
        <v/>
      </c>
      <c r="N499" t="str">
        <f t="shared" si="51"/>
        <v/>
      </c>
      <c r="Q499" s="3" t="str">
        <f t="shared" si="52"/>
        <v/>
      </c>
      <c r="R499" s="3" t="str">
        <f t="shared" si="53"/>
        <v/>
      </c>
      <c r="S499" t="str">
        <f t="shared" si="54"/>
        <v/>
      </c>
      <c r="T499" t="str">
        <f t="shared" si="55"/>
        <v/>
      </c>
    </row>
  </sheetData>
  <dataValidations disablePrompts="1" count="2">
    <dataValidation type="list" allowBlank="1" sqref="D2:D500" xr:uid="{00000000-0002-0000-0500-000000000000}">
      <formula1>List_Phase</formula1>
    </dataValidation>
    <dataValidation type="list" allowBlank="1" sqref="E2:E500" xr:uid="{00000000-0002-0000-0500-000001000000}">
      <formula1>List_Wire</formula1>
    </dataValidation>
  </dataValidations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71"/>
  <sheetViews>
    <sheetView workbookViewId="0">
      <selection activeCell="A29" sqref="A29"/>
    </sheetView>
  </sheetViews>
  <sheetFormatPr defaultRowHeight="15" x14ac:dyDescent="0.25"/>
  <cols>
    <col min="1" max="1" width="49.140625" customWidth="1"/>
  </cols>
  <sheetData>
    <row r="1" spans="1:14" x14ac:dyDescent="0.25">
      <c r="A1" t="s">
        <v>414</v>
      </c>
      <c r="B1" t="s">
        <v>425</v>
      </c>
      <c r="C1" t="s">
        <v>35</v>
      </c>
      <c r="D1" t="s">
        <v>459</v>
      </c>
      <c r="E1" t="s">
        <v>110</v>
      </c>
      <c r="H1" t="s">
        <v>460</v>
      </c>
      <c r="I1" t="s">
        <v>461</v>
      </c>
      <c r="J1" t="s">
        <v>462</v>
      </c>
      <c r="K1" t="s">
        <v>463</v>
      </c>
      <c r="L1" t="s">
        <v>427</v>
      </c>
      <c r="M1" t="s">
        <v>44</v>
      </c>
      <c r="N1" t="s">
        <v>464</v>
      </c>
    </row>
    <row r="2" spans="1:14" x14ac:dyDescent="0.25">
      <c r="A2" t="s">
        <v>104</v>
      </c>
      <c r="B2" t="s">
        <v>429</v>
      </c>
      <c r="C2" t="s">
        <v>23</v>
      </c>
      <c r="D2" t="s">
        <v>74</v>
      </c>
      <c r="E2" t="s">
        <v>75</v>
      </c>
      <c r="H2" t="s">
        <v>465</v>
      </c>
      <c r="I2" t="s">
        <v>466</v>
      </c>
      <c r="J2" t="s">
        <v>467</v>
      </c>
      <c r="K2" t="s">
        <v>468</v>
      </c>
      <c r="L2" t="s">
        <v>469</v>
      </c>
      <c r="M2" t="s">
        <v>34</v>
      </c>
      <c r="N2" t="s">
        <v>464</v>
      </c>
    </row>
    <row r="3" spans="1:14" x14ac:dyDescent="0.25">
      <c r="A3" t="s">
        <v>470</v>
      </c>
      <c r="B3" t="s">
        <v>471</v>
      </c>
      <c r="D3" t="s">
        <v>472</v>
      </c>
      <c r="E3" t="s">
        <v>473</v>
      </c>
      <c r="H3" t="s">
        <v>474</v>
      </c>
      <c r="I3" t="s">
        <v>475</v>
      </c>
      <c r="J3" t="s">
        <v>476</v>
      </c>
      <c r="K3" t="s">
        <v>477</v>
      </c>
      <c r="L3" t="s">
        <v>436</v>
      </c>
      <c r="M3" t="s">
        <v>478</v>
      </c>
      <c r="N3" t="s">
        <v>464</v>
      </c>
    </row>
    <row r="4" spans="1:14" x14ac:dyDescent="0.25">
      <c r="A4" t="s">
        <v>393</v>
      </c>
      <c r="B4" t="s">
        <v>479</v>
      </c>
      <c r="D4" t="s">
        <v>83</v>
      </c>
      <c r="J4" t="s">
        <v>428</v>
      </c>
      <c r="K4" t="s">
        <v>480</v>
      </c>
      <c r="L4" t="s">
        <v>481</v>
      </c>
      <c r="M4" t="s">
        <v>33</v>
      </c>
      <c r="N4" t="s">
        <v>52</v>
      </c>
    </row>
    <row r="5" spans="1:14" x14ac:dyDescent="0.25">
      <c r="A5" t="s">
        <v>482</v>
      </c>
      <c r="D5" t="s">
        <v>483</v>
      </c>
      <c r="J5" t="s">
        <v>438</v>
      </c>
      <c r="K5" t="s">
        <v>484</v>
      </c>
      <c r="L5" t="s">
        <v>485</v>
      </c>
      <c r="M5" t="s">
        <v>486</v>
      </c>
      <c r="N5" t="s">
        <v>487</v>
      </c>
    </row>
    <row r="6" spans="1:14" x14ac:dyDescent="0.25">
      <c r="A6" t="s">
        <v>88</v>
      </c>
      <c r="J6" t="s">
        <v>433</v>
      </c>
      <c r="K6" t="s">
        <v>488</v>
      </c>
      <c r="L6" t="s">
        <v>489</v>
      </c>
      <c r="M6" t="s">
        <v>45</v>
      </c>
      <c r="N6" t="s">
        <v>487</v>
      </c>
    </row>
    <row r="7" spans="1:14" x14ac:dyDescent="0.25">
      <c r="A7" t="s">
        <v>490</v>
      </c>
      <c r="J7" t="s">
        <v>491</v>
      </c>
      <c r="M7" t="s">
        <v>49</v>
      </c>
      <c r="N7" t="s">
        <v>52</v>
      </c>
    </row>
    <row r="8" spans="1:14" x14ac:dyDescent="0.25">
      <c r="A8" t="s">
        <v>101</v>
      </c>
      <c r="J8" t="s">
        <v>492</v>
      </c>
      <c r="M8" t="s">
        <v>493</v>
      </c>
      <c r="N8" t="s">
        <v>487</v>
      </c>
    </row>
    <row r="9" spans="1:14" x14ac:dyDescent="0.25">
      <c r="A9" t="s">
        <v>72</v>
      </c>
      <c r="J9" t="s">
        <v>494</v>
      </c>
      <c r="M9" t="s">
        <v>495</v>
      </c>
      <c r="N9" t="s">
        <v>52</v>
      </c>
    </row>
    <row r="10" spans="1:14" x14ac:dyDescent="0.25">
      <c r="A10" t="s">
        <v>119</v>
      </c>
      <c r="M10" t="s">
        <v>43</v>
      </c>
      <c r="N10" t="s">
        <v>464</v>
      </c>
    </row>
    <row r="11" spans="1:14" x14ac:dyDescent="0.25">
      <c r="A11" t="s">
        <v>346</v>
      </c>
      <c r="M11" t="s">
        <v>496</v>
      </c>
      <c r="N11" t="s">
        <v>52</v>
      </c>
    </row>
    <row r="12" spans="1:14" x14ac:dyDescent="0.25">
      <c r="A12" t="s">
        <v>82</v>
      </c>
      <c r="M12" t="s">
        <v>497</v>
      </c>
      <c r="N12" t="s">
        <v>487</v>
      </c>
    </row>
    <row r="13" spans="1:14" x14ac:dyDescent="0.25">
      <c r="A13" t="s">
        <v>175</v>
      </c>
      <c r="M13" t="s">
        <v>498</v>
      </c>
      <c r="N13" t="s">
        <v>487</v>
      </c>
    </row>
    <row r="14" spans="1:14" x14ac:dyDescent="0.25">
      <c r="A14" t="s">
        <v>217</v>
      </c>
      <c r="M14" t="s">
        <v>499</v>
      </c>
      <c r="N14" t="s">
        <v>52</v>
      </c>
    </row>
    <row r="15" spans="1:14" x14ac:dyDescent="0.25">
      <c r="A15" t="s">
        <v>500</v>
      </c>
      <c r="M15" t="s">
        <v>32</v>
      </c>
      <c r="N15" t="s">
        <v>464</v>
      </c>
    </row>
    <row r="16" spans="1:14" x14ac:dyDescent="0.25">
      <c r="A16" t="s">
        <v>186</v>
      </c>
      <c r="M16" t="s">
        <v>501</v>
      </c>
      <c r="N16" t="s">
        <v>464</v>
      </c>
    </row>
    <row r="17" spans="1:14" x14ac:dyDescent="0.25">
      <c r="A17" t="s">
        <v>502</v>
      </c>
      <c r="M17" t="s">
        <v>503</v>
      </c>
      <c r="N17" t="s">
        <v>52</v>
      </c>
    </row>
    <row r="18" spans="1:14" x14ac:dyDescent="0.25">
      <c r="A18" t="s">
        <v>504</v>
      </c>
      <c r="M18" t="s">
        <v>22</v>
      </c>
      <c r="N18" t="s">
        <v>464</v>
      </c>
    </row>
    <row r="19" spans="1:14" x14ac:dyDescent="0.25">
      <c r="A19" t="s">
        <v>273</v>
      </c>
      <c r="M19" t="s">
        <v>505</v>
      </c>
      <c r="N19" t="s">
        <v>52</v>
      </c>
    </row>
    <row r="20" spans="1:14" x14ac:dyDescent="0.25">
      <c r="A20" t="s">
        <v>506</v>
      </c>
      <c r="M20" t="s">
        <v>42</v>
      </c>
      <c r="N20" t="s">
        <v>464</v>
      </c>
    </row>
    <row r="21" spans="1:14" x14ac:dyDescent="0.25">
      <c r="A21" t="s">
        <v>507</v>
      </c>
      <c r="M21" t="s">
        <v>37</v>
      </c>
      <c r="N21" t="s">
        <v>464</v>
      </c>
    </row>
    <row r="22" spans="1:14" x14ac:dyDescent="0.25">
      <c r="A22" t="s">
        <v>508</v>
      </c>
      <c r="M22" t="s">
        <v>509</v>
      </c>
      <c r="N22" t="s">
        <v>52</v>
      </c>
    </row>
    <row r="23" spans="1:14" x14ac:dyDescent="0.25">
      <c r="A23" t="s">
        <v>510</v>
      </c>
      <c r="M23" t="s">
        <v>511</v>
      </c>
      <c r="N23" t="s">
        <v>52</v>
      </c>
    </row>
    <row r="24" spans="1:14" x14ac:dyDescent="0.25">
      <c r="A24" t="s">
        <v>512</v>
      </c>
      <c r="M24" t="s">
        <v>513</v>
      </c>
      <c r="N24" t="s">
        <v>464</v>
      </c>
    </row>
    <row r="25" spans="1:14" x14ac:dyDescent="0.25">
      <c r="A25" t="s">
        <v>514</v>
      </c>
      <c r="M25" t="s">
        <v>515</v>
      </c>
      <c r="N25" t="s">
        <v>464</v>
      </c>
    </row>
    <row r="26" spans="1:14" x14ac:dyDescent="0.25">
      <c r="A26" t="s">
        <v>516</v>
      </c>
      <c r="M26" t="s">
        <v>517</v>
      </c>
      <c r="N26" t="s">
        <v>52</v>
      </c>
    </row>
    <row r="27" spans="1:14" x14ac:dyDescent="0.25">
      <c r="A27" t="s">
        <v>518</v>
      </c>
      <c r="M27" t="s">
        <v>519</v>
      </c>
      <c r="N27" t="s">
        <v>52</v>
      </c>
    </row>
    <row r="28" spans="1:14" x14ac:dyDescent="0.25">
      <c r="A28" t="s">
        <v>160</v>
      </c>
      <c r="M28" t="s">
        <v>520</v>
      </c>
      <c r="N28" t="s">
        <v>52</v>
      </c>
    </row>
    <row r="29" spans="1:14" x14ac:dyDescent="0.25">
      <c r="A29" t="s">
        <v>521</v>
      </c>
      <c r="M29" t="s">
        <v>522</v>
      </c>
      <c r="N29" t="s">
        <v>52</v>
      </c>
    </row>
    <row r="30" spans="1:14" x14ac:dyDescent="0.25">
      <c r="A30" t="s">
        <v>523</v>
      </c>
      <c r="M30" t="s">
        <v>50</v>
      </c>
      <c r="N30" t="s">
        <v>487</v>
      </c>
    </row>
    <row r="31" spans="1:14" x14ac:dyDescent="0.25">
      <c r="A31" t="s">
        <v>524</v>
      </c>
      <c r="M31" t="s">
        <v>525</v>
      </c>
      <c r="N31" t="s">
        <v>487</v>
      </c>
    </row>
    <row r="32" spans="1:14" x14ac:dyDescent="0.25">
      <c r="A32" t="s">
        <v>370</v>
      </c>
      <c r="M32" t="s">
        <v>526</v>
      </c>
      <c r="N32" t="s">
        <v>52</v>
      </c>
    </row>
    <row r="33" spans="1:14" x14ac:dyDescent="0.25">
      <c r="A33" t="s">
        <v>389</v>
      </c>
      <c r="M33" t="s">
        <v>527</v>
      </c>
      <c r="N33" t="s">
        <v>52</v>
      </c>
    </row>
    <row r="34" spans="1:14" x14ac:dyDescent="0.25">
      <c r="A34" t="s">
        <v>528</v>
      </c>
      <c r="M34" t="s">
        <v>529</v>
      </c>
      <c r="N34" t="s">
        <v>487</v>
      </c>
    </row>
    <row r="35" spans="1:14" x14ac:dyDescent="0.25">
      <c r="M35" t="s">
        <v>530</v>
      </c>
      <c r="N35" t="s">
        <v>487</v>
      </c>
    </row>
    <row r="36" spans="1:14" x14ac:dyDescent="0.25">
      <c r="M36" t="s">
        <v>531</v>
      </c>
      <c r="N36" t="s">
        <v>487</v>
      </c>
    </row>
    <row r="37" spans="1:14" x14ac:dyDescent="0.25">
      <c r="M37" t="s">
        <v>532</v>
      </c>
      <c r="N37" t="s">
        <v>52</v>
      </c>
    </row>
    <row r="38" spans="1:14" x14ac:dyDescent="0.25">
      <c r="M38" t="s">
        <v>533</v>
      </c>
      <c r="N38" t="s">
        <v>487</v>
      </c>
    </row>
    <row r="39" spans="1:14" x14ac:dyDescent="0.25">
      <c r="M39" t="s">
        <v>30</v>
      </c>
      <c r="N39" t="s">
        <v>487</v>
      </c>
    </row>
    <row r="40" spans="1:14" x14ac:dyDescent="0.25">
      <c r="M40" t="s">
        <v>29</v>
      </c>
      <c r="N40" t="s">
        <v>52</v>
      </c>
    </row>
    <row r="41" spans="1:14" x14ac:dyDescent="0.25">
      <c r="M41" t="s">
        <v>534</v>
      </c>
      <c r="N41" t="s">
        <v>464</v>
      </c>
    </row>
    <row r="42" spans="1:14" x14ac:dyDescent="0.25">
      <c r="M42" t="s">
        <v>535</v>
      </c>
      <c r="N42" t="s">
        <v>487</v>
      </c>
    </row>
    <row r="43" spans="1:14" x14ac:dyDescent="0.25">
      <c r="M43" t="s">
        <v>536</v>
      </c>
      <c r="N43" t="s">
        <v>487</v>
      </c>
    </row>
    <row r="44" spans="1:14" x14ac:dyDescent="0.25">
      <c r="M44" t="s">
        <v>537</v>
      </c>
      <c r="N44" t="s">
        <v>464</v>
      </c>
    </row>
    <row r="45" spans="1:14" x14ac:dyDescent="0.25">
      <c r="M45" t="s">
        <v>538</v>
      </c>
      <c r="N45" t="s">
        <v>52</v>
      </c>
    </row>
    <row r="46" spans="1:14" x14ac:dyDescent="0.25">
      <c r="M46" t="s">
        <v>539</v>
      </c>
      <c r="N46" t="s">
        <v>52</v>
      </c>
    </row>
    <row r="47" spans="1:14" x14ac:dyDescent="0.25">
      <c r="M47" t="s">
        <v>540</v>
      </c>
      <c r="N47" t="s">
        <v>52</v>
      </c>
    </row>
    <row r="48" spans="1:14" x14ac:dyDescent="0.25">
      <c r="M48" t="s">
        <v>541</v>
      </c>
      <c r="N48" t="s">
        <v>464</v>
      </c>
    </row>
    <row r="49" spans="13:14" x14ac:dyDescent="0.25">
      <c r="M49" t="s">
        <v>542</v>
      </c>
      <c r="N49" t="s">
        <v>52</v>
      </c>
    </row>
    <row r="50" spans="13:14" x14ac:dyDescent="0.25">
      <c r="M50" t="s">
        <v>543</v>
      </c>
      <c r="N50" t="s">
        <v>464</v>
      </c>
    </row>
    <row r="51" spans="13:14" x14ac:dyDescent="0.25">
      <c r="M51" t="s">
        <v>544</v>
      </c>
      <c r="N51" t="s">
        <v>464</v>
      </c>
    </row>
    <row r="52" spans="13:14" x14ac:dyDescent="0.25">
      <c r="M52" t="s">
        <v>545</v>
      </c>
      <c r="N52" t="s">
        <v>52</v>
      </c>
    </row>
    <row r="53" spans="13:14" x14ac:dyDescent="0.25">
      <c r="M53" t="s">
        <v>27</v>
      </c>
      <c r="N53" t="s">
        <v>464</v>
      </c>
    </row>
    <row r="54" spans="13:14" x14ac:dyDescent="0.25">
      <c r="M54" t="s">
        <v>546</v>
      </c>
      <c r="N54" t="s">
        <v>464</v>
      </c>
    </row>
    <row r="55" spans="13:14" x14ac:dyDescent="0.25">
      <c r="M55" t="s">
        <v>547</v>
      </c>
      <c r="N55" t="s">
        <v>52</v>
      </c>
    </row>
    <row r="56" spans="13:14" x14ac:dyDescent="0.25">
      <c r="M56" t="s">
        <v>548</v>
      </c>
      <c r="N56" t="s">
        <v>464</v>
      </c>
    </row>
    <row r="57" spans="13:14" x14ac:dyDescent="0.25">
      <c r="M57" t="s">
        <v>549</v>
      </c>
      <c r="N57" t="s">
        <v>464</v>
      </c>
    </row>
    <row r="58" spans="13:14" x14ac:dyDescent="0.25">
      <c r="M58" t="s">
        <v>24</v>
      </c>
      <c r="N58" t="s">
        <v>464</v>
      </c>
    </row>
    <row r="59" spans="13:14" x14ac:dyDescent="0.25">
      <c r="M59" t="s">
        <v>550</v>
      </c>
      <c r="N59" t="s">
        <v>52</v>
      </c>
    </row>
    <row r="60" spans="13:14" x14ac:dyDescent="0.25">
      <c r="M60" t="s">
        <v>551</v>
      </c>
      <c r="N60" t="s">
        <v>52</v>
      </c>
    </row>
    <row r="61" spans="13:14" x14ac:dyDescent="0.25">
      <c r="M61" t="s">
        <v>25</v>
      </c>
      <c r="N61" t="s">
        <v>52</v>
      </c>
    </row>
    <row r="62" spans="13:14" x14ac:dyDescent="0.25">
      <c r="M62" t="s">
        <v>552</v>
      </c>
      <c r="N62" t="s">
        <v>464</v>
      </c>
    </row>
    <row r="63" spans="13:14" x14ac:dyDescent="0.25">
      <c r="M63" t="s">
        <v>553</v>
      </c>
      <c r="N63" t="s">
        <v>464</v>
      </c>
    </row>
    <row r="64" spans="13:14" x14ac:dyDescent="0.25">
      <c r="M64" t="s">
        <v>554</v>
      </c>
      <c r="N64" t="s">
        <v>464</v>
      </c>
    </row>
    <row r="65" spans="13:14" x14ac:dyDescent="0.25">
      <c r="M65" t="s">
        <v>555</v>
      </c>
      <c r="N65" t="s">
        <v>464</v>
      </c>
    </row>
    <row r="66" spans="13:14" x14ac:dyDescent="0.25">
      <c r="M66" t="s">
        <v>556</v>
      </c>
      <c r="N66" t="s">
        <v>52</v>
      </c>
    </row>
    <row r="67" spans="13:14" x14ac:dyDescent="0.25">
      <c r="M67" t="s">
        <v>557</v>
      </c>
      <c r="N67" t="s">
        <v>52</v>
      </c>
    </row>
    <row r="68" spans="13:14" x14ac:dyDescent="0.25">
      <c r="M68" t="s">
        <v>558</v>
      </c>
      <c r="N68" t="s">
        <v>464</v>
      </c>
    </row>
    <row r="69" spans="13:14" x14ac:dyDescent="0.25">
      <c r="M69" t="s">
        <v>559</v>
      </c>
      <c r="N69" t="s">
        <v>464</v>
      </c>
    </row>
    <row r="70" spans="13:14" x14ac:dyDescent="0.25">
      <c r="M70" t="s">
        <v>560</v>
      </c>
      <c r="N70" t="s">
        <v>464</v>
      </c>
    </row>
    <row r="71" spans="13:14" x14ac:dyDescent="0.25">
      <c r="M71" t="s">
        <v>54</v>
      </c>
      <c r="N71" t="s">
        <v>52</v>
      </c>
    </row>
    <row r="72" spans="13:14" x14ac:dyDescent="0.25">
      <c r="M72" t="s">
        <v>561</v>
      </c>
      <c r="N72" t="s">
        <v>52</v>
      </c>
    </row>
    <row r="73" spans="13:14" x14ac:dyDescent="0.25">
      <c r="M73" t="s">
        <v>562</v>
      </c>
      <c r="N73" t="s">
        <v>52</v>
      </c>
    </row>
    <row r="74" spans="13:14" x14ac:dyDescent="0.25">
      <c r="M74" t="s">
        <v>563</v>
      </c>
      <c r="N74" t="s">
        <v>52</v>
      </c>
    </row>
    <row r="75" spans="13:14" x14ac:dyDescent="0.25">
      <c r="M75" t="s">
        <v>564</v>
      </c>
      <c r="N75" t="s">
        <v>52</v>
      </c>
    </row>
    <row r="76" spans="13:14" x14ac:dyDescent="0.25">
      <c r="M76" t="s">
        <v>565</v>
      </c>
      <c r="N76" t="s">
        <v>52</v>
      </c>
    </row>
    <row r="77" spans="13:14" x14ac:dyDescent="0.25">
      <c r="M77" t="s">
        <v>48</v>
      </c>
      <c r="N77" t="s">
        <v>487</v>
      </c>
    </row>
    <row r="78" spans="13:14" x14ac:dyDescent="0.25">
      <c r="M78" t="s">
        <v>566</v>
      </c>
      <c r="N78" t="s">
        <v>52</v>
      </c>
    </row>
    <row r="79" spans="13:14" x14ac:dyDescent="0.25">
      <c r="M79" t="s">
        <v>567</v>
      </c>
      <c r="N79" t="s">
        <v>464</v>
      </c>
    </row>
    <row r="80" spans="13:14" x14ac:dyDescent="0.25">
      <c r="M80" t="s">
        <v>568</v>
      </c>
      <c r="N80" t="s">
        <v>464</v>
      </c>
    </row>
    <row r="81" spans="13:14" x14ac:dyDescent="0.25">
      <c r="M81" t="s">
        <v>569</v>
      </c>
      <c r="N81" t="s">
        <v>52</v>
      </c>
    </row>
    <row r="82" spans="13:14" x14ac:dyDescent="0.25">
      <c r="M82" t="s">
        <v>570</v>
      </c>
      <c r="N82" t="s">
        <v>52</v>
      </c>
    </row>
    <row r="83" spans="13:14" x14ac:dyDescent="0.25">
      <c r="M83" t="s">
        <v>571</v>
      </c>
      <c r="N83" t="s">
        <v>52</v>
      </c>
    </row>
    <row r="84" spans="13:14" x14ac:dyDescent="0.25">
      <c r="M84" t="s">
        <v>572</v>
      </c>
      <c r="N84" t="s">
        <v>52</v>
      </c>
    </row>
    <row r="85" spans="13:14" x14ac:dyDescent="0.25">
      <c r="M85" t="s">
        <v>36</v>
      </c>
      <c r="N85" t="s">
        <v>487</v>
      </c>
    </row>
    <row r="86" spans="13:14" x14ac:dyDescent="0.25">
      <c r="M86" t="s">
        <v>573</v>
      </c>
      <c r="N86" t="s">
        <v>464</v>
      </c>
    </row>
    <row r="87" spans="13:14" x14ac:dyDescent="0.25">
      <c r="M87" t="s">
        <v>574</v>
      </c>
      <c r="N87" t="s">
        <v>52</v>
      </c>
    </row>
    <row r="88" spans="13:14" x14ac:dyDescent="0.25">
      <c r="M88" t="s">
        <v>575</v>
      </c>
      <c r="N88" t="s">
        <v>464</v>
      </c>
    </row>
    <row r="89" spans="13:14" x14ac:dyDescent="0.25">
      <c r="M89" t="s">
        <v>576</v>
      </c>
      <c r="N89" t="s">
        <v>464</v>
      </c>
    </row>
    <row r="90" spans="13:14" x14ac:dyDescent="0.25">
      <c r="M90" t="s">
        <v>577</v>
      </c>
      <c r="N90" t="s">
        <v>464</v>
      </c>
    </row>
    <row r="91" spans="13:14" x14ac:dyDescent="0.25">
      <c r="M91" t="s">
        <v>578</v>
      </c>
      <c r="N91" t="s">
        <v>52</v>
      </c>
    </row>
    <row r="92" spans="13:14" x14ac:dyDescent="0.25">
      <c r="M92" t="s">
        <v>579</v>
      </c>
      <c r="N92" t="s">
        <v>464</v>
      </c>
    </row>
    <row r="93" spans="13:14" x14ac:dyDescent="0.25">
      <c r="M93" t="s">
        <v>580</v>
      </c>
      <c r="N93" t="s">
        <v>487</v>
      </c>
    </row>
    <row r="94" spans="13:14" x14ac:dyDescent="0.25">
      <c r="M94" t="s">
        <v>581</v>
      </c>
      <c r="N94" t="s">
        <v>52</v>
      </c>
    </row>
    <row r="95" spans="13:14" x14ac:dyDescent="0.25">
      <c r="M95" t="s">
        <v>582</v>
      </c>
      <c r="N95" t="s">
        <v>464</v>
      </c>
    </row>
    <row r="96" spans="13:14" x14ac:dyDescent="0.25">
      <c r="M96" t="s">
        <v>583</v>
      </c>
      <c r="N96" t="s">
        <v>52</v>
      </c>
    </row>
    <row r="97" spans="13:14" x14ac:dyDescent="0.25">
      <c r="M97" t="s">
        <v>584</v>
      </c>
      <c r="N97" t="s">
        <v>487</v>
      </c>
    </row>
    <row r="98" spans="13:14" x14ac:dyDescent="0.25">
      <c r="M98" t="s">
        <v>585</v>
      </c>
      <c r="N98" t="s">
        <v>464</v>
      </c>
    </row>
    <row r="99" spans="13:14" x14ac:dyDescent="0.25">
      <c r="M99" t="s">
        <v>586</v>
      </c>
      <c r="N99" t="s">
        <v>464</v>
      </c>
    </row>
    <row r="100" spans="13:14" x14ac:dyDescent="0.25">
      <c r="M100" t="s">
        <v>587</v>
      </c>
      <c r="N100" t="s">
        <v>52</v>
      </c>
    </row>
    <row r="101" spans="13:14" x14ac:dyDescent="0.25">
      <c r="M101" t="s">
        <v>588</v>
      </c>
      <c r="N101" t="s">
        <v>52</v>
      </c>
    </row>
    <row r="102" spans="13:14" x14ac:dyDescent="0.25">
      <c r="M102" t="s">
        <v>589</v>
      </c>
      <c r="N102" t="s">
        <v>487</v>
      </c>
    </row>
    <row r="103" spans="13:14" x14ac:dyDescent="0.25">
      <c r="M103" t="s">
        <v>590</v>
      </c>
      <c r="N103" t="s">
        <v>52</v>
      </c>
    </row>
    <row r="104" spans="13:14" x14ac:dyDescent="0.25">
      <c r="M104" t="s">
        <v>38</v>
      </c>
      <c r="N104" t="s">
        <v>464</v>
      </c>
    </row>
    <row r="105" spans="13:14" x14ac:dyDescent="0.25">
      <c r="M105" t="s">
        <v>591</v>
      </c>
      <c r="N105" t="s">
        <v>464</v>
      </c>
    </row>
    <row r="106" spans="13:14" x14ac:dyDescent="0.25">
      <c r="M106" t="s">
        <v>592</v>
      </c>
      <c r="N106" t="s">
        <v>52</v>
      </c>
    </row>
    <row r="107" spans="13:14" x14ac:dyDescent="0.25">
      <c r="M107" t="s">
        <v>593</v>
      </c>
      <c r="N107" t="s">
        <v>464</v>
      </c>
    </row>
    <row r="108" spans="13:14" x14ac:dyDescent="0.25">
      <c r="M108" t="s">
        <v>594</v>
      </c>
      <c r="N108" t="s">
        <v>464</v>
      </c>
    </row>
    <row r="109" spans="13:14" x14ac:dyDescent="0.25">
      <c r="M109" t="s">
        <v>595</v>
      </c>
      <c r="N109" t="s">
        <v>52</v>
      </c>
    </row>
    <row r="110" spans="13:14" x14ac:dyDescent="0.25">
      <c r="M110" t="s">
        <v>46</v>
      </c>
      <c r="N110" t="s">
        <v>464</v>
      </c>
    </row>
    <row r="111" spans="13:14" x14ac:dyDescent="0.25">
      <c r="M111" t="s">
        <v>596</v>
      </c>
      <c r="N111" t="s">
        <v>464</v>
      </c>
    </row>
    <row r="112" spans="13:14" x14ac:dyDescent="0.25">
      <c r="M112" t="s">
        <v>597</v>
      </c>
      <c r="N112" t="s">
        <v>464</v>
      </c>
    </row>
    <row r="113" spans="13:14" x14ac:dyDescent="0.25">
      <c r="M113" t="s">
        <v>598</v>
      </c>
      <c r="N113" t="s">
        <v>52</v>
      </c>
    </row>
    <row r="114" spans="13:14" x14ac:dyDescent="0.25">
      <c r="M114" t="s">
        <v>599</v>
      </c>
      <c r="N114" t="s">
        <v>52</v>
      </c>
    </row>
    <row r="115" spans="13:14" x14ac:dyDescent="0.25">
      <c r="M115" t="s">
        <v>600</v>
      </c>
      <c r="N115" t="s">
        <v>52</v>
      </c>
    </row>
    <row r="116" spans="13:14" x14ac:dyDescent="0.25">
      <c r="M116" t="s">
        <v>601</v>
      </c>
      <c r="N116" t="s">
        <v>52</v>
      </c>
    </row>
    <row r="117" spans="13:14" x14ac:dyDescent="0.25">
      <c r="M117" t="s">
        <v>602</v>
      </c>
      <c r="N117" t="s">
        <v>52</v>
      </c>
    </row>
    <row r="118" spans="13:14" x14ac:dyDescent="0.25">
      <c r="M118" t="s">
        <v>603</v>
      </c>
      <c r="N118" t="s">
        <v>464</v>
      </c>
    </row>
    <row r="119" spans="13:14" x14ac:dyDescent="0.25">
      <c r="M119" t="s">
        <v>604</v>
      </c>
      <c r="N119" t="s">
        <v>52</v>
      </c>
    </row>
    <row r="120" spans="13:14" x14ac:dyDescent="0.25">
      <c r="M120" t="s">
        <v>605</v>
      </c>
      <c r="N120" t="s">
        <v>464</v>
      </c>
    </row>
    <row r="121" spans="13:14" x14ac:dyDescent="0.25">
      <c r="M121" t="s">
        <v>606</v>
      </c>
      <c r="N121" t="s">
        <v>52</v>
      </c>
    </row>
    <row r="122" spans="13:14" x14ac:dyDescent="0.25">
      <c r="M122" t="s">
        <v>607</v>
      </c>
      <c r="N122" t="s">
        <v>487</v>
      </c>
    </row>
    <row r="123" spans="13:14" x14ac:dyDescent="0.25">
      <c r="M123" t="s">
        <v>608</v>
      </c>
      <c r="N123" t="s">
        <v>52</v>
      </c>
    </row>
    <row r="124" spans="13:14" x14ac:dyDescent="0.25">
      <c r="M124" t="s">
        <v>609</v>
      </c>
      <c r="N124" t="s">
        <v>464</v>
      </c>
    </row>
    <row r="125" spans="13:14" x14ac:dyDescent="0.25">
      <c r="M125" t="s">
        <v>610</v>
      </c>
      <c r="N125" t="s">
        <v>464</v>
      </c>
    </row>
    <row r="126" spans="13:14" x14ac:dyDescent="0.25">
      <c r="M126" t="s">
        <v>611</v>
      </c>
      <c r="N126" t="s">
        <v>464</v>
      </c>
    </row>
    <row r="127" spans="13:14" x14ac:dyDescent="0.25">
      <c r="M127" t="s">
        <v>612</v>
      </c>
      <c r="N127" t="s">
        <v>464</v>
      </c>
    </row>
    <row r="128" spans="13:14" x14ac:dyDescent="0.25">
      <c r="M128" t="s">
        <v>613</v>
      </c>
      <c r="N128" t="s">
        <v>487</v>
      </c>
    </row>
    <row r="129" spans="13:14" x14ac:dyDescent="0.25">
      <c r="M129" t="s">
        <v>614</v>
      </c>
      <c r="N129" t="s">
        <v>52</v>
      </c>
    </row>
    <row r="130" spans="13:14" x14ac:dyDescent="0.25">
      <c r="M130" t="s">
        <v>615</v>
      </c>
      <c r="N130" t="s">
        <v>52</v>
      </c>
    </row>
    <row r="131" spans="13:14" x14ac:dyDescent="0.25">
      <c r="M131" t="s">
        <v>616</v>
      </c>
      <c r="N131" t="s">
        <v>52</v>
      </c>
    </row>
    <row r="132" spans="13:14" x14ac:dyDescent="0.25">
      <c r="M132" t="s">
        <v>617</v>
      </c>
      <c r="N132" t="s">
        <v>52</v>
      </c>
    </row>
    <row r="133" spans="13:14" x14ac:dyDescent="0.25">
      <c r="M133" t="s">
        <v>618</v>
      </c>
      <c r="N133" t="s">
        <v>464</v>
      </c>
    </row>
    <row r="134" spans="13:14" x14ac:dyDescent="0.25">
      <c r="M134" t="s">
        <v>619</v>
      </c>
      <c r="N134" t="s">
        <v>52</v>
      </c>
    </row>
    <row r="135" spans="13:14" x14ac:dyDescent="0.25">
      <c r="M135" t="s">
        <v>620</v>
      </c>
      <c r="N135" t="s">
        <v>52</v>
      </c>
    </row>
    <row r="136" spans="13:14" x14ac:dyDescent="0.25">
      <c r="M136" t="s">
        <v>621</v>
      </c>
      <c r="N136" t="s">
        <v>464</v>
      </c>
    </row>
    <row r="137" spans="13:14" x14ac:dyDescent="0.25">
      <c r="M137" t="s">
        <v>622</v>
      </c>
      <c r="N137" t="s">
        <v>464</v>
      </c>
    </row>
    <row r="138" spans="13:14" x14ac:dyDescent="0.25">
      <c r="M138" t="s">
        <v>623</v>
      </c>
      <c r="N138" t="s">
        <v>464</v>
      </c>
    </row>
    <row r="139" spans="13:14" x14ac:dyDescent="0.25">
      <c r="M139" t="s">
        <v>624</v>
      </c>
      <c r="N139" t="s">
        <v>464</v>
      </c>
    </row>
    <row r="140" spans="13:14" x14ac:dyDescent="0.25">
      <c r="M140" t="s">
        <v>625</v>
      </c>
      <c r="N140" t="s">
        <v>52</v>
      </c>
    </row>
    <row r="141" spans="13:14" x14ac:dyDescent="0.25">
      <c r="M141" t="s">
        <v>626</v>
      </c>
      <c r="N141" t="s">
        <v>52</v>
      </c>
    </row>
    <row r="142" spans="13:14" x14ac:dyDescent="0.25">
      <c r="M142" t="s">
        <v>627</v>
      </c>
      <c r="N142" t="s">
        <v>52</v>
      </c>
    </row>
    <row r="143" spans="13:14" x14ac:dyDescent="0.25">
      <c r="M143" t="s">
        <v>628</v>
      </c>
      <c r="N143" t="s">
        <v>52</v>
      </c>
    </row>
    <row r="144" spans="13:14" x14ac:dyDescent="0.25">
      <c r="M144" t="s">
        <v>41</v>
      </c>
      <c r="N144" t="s">
        <v>52</v>
      </c>
    </row>
    <row r="145" spans="13:14" x14ac:dyDescent="0.25">
      <c r="M145" t="s">
        <v>629</v>
      </c>
      <c r="N145" t="s">
        <v>52</v>
      </c>
    </row>
    <row r="146" spans="13:14" x14ac:dyDescent="0.25">
      <c r="M146" t="s">
        <v>630</v>
      </c>
      <c r="N146" t="s">
        <v>52</v>
      </c>
    </row>
    <row r="147" spans="13:14" x14ac:dyDescent="0.25">
      <c r="M147" t="s">
        <v>631</v>
      </c>
      <c r="N147" t="s">
        <v>464</v>
      </c>
    </row>
    <row r="148" spans="13:14" x14ac:dyDescent="0.25">
      <c r="M148" t="s">
        <v>632</v>
      </c>
      <c r="N148" t="s">
        <v>52</v>
      </c>
    </row>
    <row r="149" spans="13:14" x14ac:dyDescent="0.25">
      <c r="M149" t="s">
        <v>633</v>
      </c>
      <c r="N149" t="s">
        <v>52</v>
      </c>
    </row>
    <row r="150" spans="13:14" x14ac:dyDescent="0.25">
      <c r="M150" t="s">
        <v>634</v>
      </c>
      <c r="N150" t="s">
        <v>487</v>
      </c>
    </row>
    <row r="151" spans="13:14" x14ac:dyDescent="0.25">
      <c r="M151" t="s">
        <v>635</v>
      </c>
      <c r="N151" t="s">
        <v>52</v>
      </c>
    </row>
    <row r="152" spans="13:14" x14ac:dyDescent="0.25">
      <c r="M152" t="s">
        <v>636</v>
      </c>
      <c r="N152" t="s">
        <v>52</v>
      </c>
    </row>
    <row r="153" spans="13:14" x14ac:dyDescent="0.25">
      <c r="M153" t="s">
        <v>637</v>
      </c>
      <c r="N153" t="s">
        <v>52</v>
      </c>
    </row>
    <row r="154" spans="13:14" x14ac:dyDescent="0.25">
      <c r="M154" t="s">
        <v>638</v>
      </c>
      <c r="N154" t="s">
        <v>464</v>
      </c>
    </row>
    <row r="155" spans="13:14" x14ac:dyDescent="0.25">
      <c r="M155" t="s">
        <v>639</v>
      </c>
      <c r="N155" t="s">
        <v>464</v>
      </c>
    </row>
    <row r="156" spans="13:14" x14ac:dyDescent="0.25">
      <c r="M156" t="s">
        <v>640</v>
      </c>
      <c r="N156" t="s">
        <v>52</v>
      </c>
    </row>
    <row r="157" spans="13:14" x14ac:dyDescent="0.25">
      <c r="M157" t="s">
        <v>641</v>
      </c>
      <c r="N157" t="s">
        <v>464</v>
      </c>
    </row>
    <row r="158" spans="13:14" x14ac:dyDescent="0.25">
      <c r="M158" t="s">
        <v>642</v>
      </c>
      <c r="N158" t="s">
        <v>464</v>
      </c>
    </row>
    <row r="159" spans="13:14" x14ac:dyDescent="0.25">
      <c r="M159" t="s">
        <v>643</v>
      </c>
      <c r="N159" t="s">
        <v>52</v>
      </c>
    </row>
    <row r="160" spans="13:14" x14ac:dyDescent="0.25">
      <c r="M160" t="s">
        <v>644</v>
      </c>
      <c r="N160" t="s">
        <v>464</v>
      </c>
    </row>
    <row r="161" spans="13:14" x14ac:dyDescent="0.25">
      <c r="M161" t="s">
        <v>645</v>
      </c>
      <c r="N161" t="s">
        <v>464</v>
      </c>
    </row>
    <row r="162" spans="13:14" x14ac:dyDescent="0.25">
      <c r="M162" t="s">
        <v>646</v>
      </c>
      <c r="N162" t="s">
        <v>464</v>
      </c>
    </row>
    <row r="163" spans="13:14" x14ac:dyDescent="0.25">
      <c r="M163" t="s">
        <v>647</v>
      </c>
      <c r="N163" t="s">
        <v>464</v>
      </c>
    </row>
    <row r="164" spans="13:14" x14ac:dyDescent="0.25">
      <c r="M164" t="s">
        <v>648</v>
      </c>
      <c r="N164" t="s">
        <v>464</v>
      </c>
    </row>
    <row r="165" spans="13:14" x14ac:dyDescent="0.25">
      <c r="M165" t="s">
        <v>649</v>
      </c>
      <c r="N165" t="s">
        <v>464</v>
      </c>
    </row>
    <row r="166" spans="13:14" x14ac:dyDescent="0.25">
      <c r="M166" t="s">
        <v>650</v>
      </c>
      <c r="N166" t="s">
        <v>464</v>
      </c>
    </row>
    <row r="167" spans="13:14" x14ac:dyDescent="0.25">
      <c r="M167" t="s">
        <v>651</v>
      </c>
      <c r="N167" t="s">
        <v>464</v>
      </c>
    </row>
    <row r="168" spans="13:14" x14ac:dyDescent="0.25">
      <c r="M168" t="s">
        <v>652</v>
      </c>
      <c r="N168" t="s">
        <v>52</v>
      </c>
    </row>
    <row r="169" spans="13:14" x14ac:dyDescent="0.25">
      <c r="M169" t="s">
        <v>653</v>
      </c>
      <c r="N169" t="s">
        <v>52</v>
      </c>
    </row>
    <row r="170" spans="13:14" x14ac:dyDescent="0.25">
      <c r="M170" t="s">
        <v>654</v>
      </c>
      <c r="N170" t="s">
        <v>487</v>
      </c>
    </row>
    <row r="171" spans="13:14" x14ac:dyDescent="0.25">
      <c r="M171" t="s">
        <v>655</v>
      </c>
      <c r="N171" t="s">
        <v>52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499"/>
  <sheetViews>
    <sheetView zoomScale="115" workbookViewId="0">
      <pane ySplit="1" topLeftCell="A2" activePane="bottomLeft" state="frozen"/>
      <selection pane="bottomLeft" activeCell="I2" sqref="I2"/>
    </sheetView>
  </sheetViews>
  <sheetFormatPr defaultRowHeight="15" x14ac:dyDescent="0.25"/>
  <cols>
    <col min="1" max="10" width="20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656</v>
      </c>
      <c r="E1" s="1" t="s">
        <v>657</v>
      </c>
      <c r="F1" s="1" t="s">
        <v>658</v>
      </c>
      <c r="G1" s="1" t="s">
        <v>659</v>
      </c>
      <c r="H1" s="1" t="s">
        <v>660</v>
      </c>
      <c r="I1" s="1" t="s">
        <v>21</v>
      </c>
      <c r="J1" s="1" t="s">
        <v>18</v>
      </c>
    </row>
    <row r="2" spans="1:10" x14ac:dyDescent="0.25">
      <c r="A2" t="str">
        <f>IF('Equipment Information'!A2="","", 'Equipment Information'!A2)</f>
        <v>20260648</v>
      </c>
      <c r="B2" t="str">
        <f>IF('Equipment Information'!B2="","", 'Equipment Information'!B2)</f>
        <v>Main Building Disconnect (Sec 1 of 3)</v>
      </c>
      <c r="C2" t="str">
        <f>IF('Equipment Information'!C2="","", 'Equipment Information'!C2)</f>
        <v>Electrical Room #2</v>
      </c>
      <c r="I2" t="str">
        <f t="shared" ref="I2:I65" si="0">IF(A2="","","N/A")</f>
        <v>N/A</v>
      </c>
    </row>
    <row r="3" spans="1:10" x14ac:dyDescent="0.25">
      <c r="A3" t="str">
        <f>IF('Equipment Information'!A3="","", 'Equipment Information'!A3)</f>
        <v>20260649</v>
      </c>
      <c r="B3" t="str">
        <f>IF('Equipment Information'!B3="","", 'Equipment Information'!B3)</f>
        <v>Main Building Disconnect (Sec 2 of 3)</v>
      </c>
      <c r="C3" t="str">
        <f>IF('Equipment Information'!C3="","", 'Equipment Information'!C3)</f>
        <v>Electrical Room #2</v>
      </c>
      <c r="I3" t="str">
        <f t="shared" si="0"/>
        <v>N/A</v>
      </c>
    </row>
    <row r="4" spans="1:10" x14ac:dyDescent="0.25">
      <c r="A4" t="str">
        <f>IF('Equipment Information'!A4="","", 'Equipment Information'!A4)</f>
        <v>20260650</v>
      </c>
      <c r="B4" t="str">
        <f>IF('Equipment Information'!B4="","", 'Equipment Information'!B4)</f>
        <v>Main Building Disconnect (Sec 3 of 3)</v>
      </c>
      <c r="C4" t="str">
        <f>IF('Equipment Information'!C4="","", 'Equipment Information'!C4)</f>
        <v>Electrical Room #2</v>
      </c>
      <c r="I4" t="str">
        <f t="shared" si="0"/>
        <v>N/A</v>
      </c>
    </row>
    <row r="5" spans="1:10" x14ac:dyDescent="0.25">
      <c r="A5" t="str">
        <f>IF('Equipment Information'!A5="","", 'Equipment Information'!A5)</f>
        <v>20260651</v>
      </c>
      <c r="B5" t="str">
        <f>IF('Equipment Information'!B5="","", 'Equipment Information'!B5)</f>
        <v>Power Cond. #1 Disconnect</v>
      </c>
      <c r="C5" t="str">
        <f>IF('Equipment Information'!C5="","", 'Equipment Information'!C5)</f>
        <v>Electrical Room #2</v>
      </c>
      <c r="I5" t="str">
        <f t="shared" si="0"/>
        <v>N/A</v>
      </c>
    </row>
    <row r="6" spans="1:10" x14ac:dyDescent="0.25">
      <c r="A6" t="str">
        <f>IF('Equipment Information'!A6="","", 'Equipment Information'!A6)</f>
        <v>20260652</v>
      </c>
      <c r="B6" t="str">
        <f>IF('Equipment Information'!B6="","", 'Equipment Information'!B6)</f>
        <v>Power Cond. #2 Disconnect</v>
      </c>
      <c r="C6" t="str">
        <f>IF('Equipment Information'!C6="","", 'Equipment Information'!C6)</f>
        <v>Electrical Room #2</v>
      </c>
      <c r="I6" t="str">
        <f t="shared" si="0"/>
        <v>N/A</v>
      </c>
    </row>
    <row r="7" spans="1:10" x14ac:dyDescent="0.25">
      <c r="A7" t="str">
        <f>IF('Equipment Information'!A7="","", 'Equipment Information'!A7)</f>
        <v>20260653</v>
      </c>
      <c r="B7" t="str">
        <f>IF('Equipment Information'!B7="","", 'Equipment Information'!B7)</f>
        <v>LP #1</v>
      </c>
      <c r="C7" t="str">
        <f>IF('Equipment Information'!C7="","", 'Equipment Information'!C7)</f>
        <v>Electrical Room #2</v>
      </c>
      <c r="I7" t="str">
        <f t="shared" si="0"/>
        <v>N/A</v>
      </c>
    </row>
    <row r="8" spans="1:10" x14ac:dyDescent="0.25">
      <c r="A8" t="str">
        <f>IF('Equipment Information'!A8="","", 'Equipment Information'!A8)</f>
        <v>20260654</v>
      </c>
      <c r="B8" t="str">
        <f>IF('Equipment Information'!B8="","", 'Equipment Information'!B8)</f>
        <v>P-1</v>
      </c>
      <c r="C8" t="str">
        <f>IF('Equipment Information'!C8="","", 'Equipment Information'!C8)</f>
        <v>Electrical Room #2</v>
      </c>
      <c r="I8" t="str">
        <f t="shared" si="0"/>
        <v>N/A</v>
      </c>
    </row>
    <row r="9" spans="1:10" x14ac:dyDescent="0.25">
      <c r="A9" t="str">
        <f>IF('Equipment Information'!A9="","", 'Equipment Information'!A9)</f>
        <v>20260655</v>
      </c>
      <c r="B9" t="str">
        <f>IF('Equipment Information'!B9="","", 'Equipment Information'!B9)</f>
        <v>P-2</v>
      </c>
      <c r="C9" t="str">
        <f>IF('Equipment Information'!C9="","", 'Equipment Information'!C9)</f>
        <v>Electrical Room #2</v>
      </c>
      <c r="I9" t="str">
        <f t="shared" si="0"/>
        <v>N/A</v>
      </c>
    </row>
    <row r="10" spans="1:10" x14ac:dyDescent="0.25">
      <c r="A10" t="str">
        <f>IF('Equipment Information'!A10="","", 'Equipment Information'!A10)</f>
        <v>20260656</v>
      </c>
      <c r="B10" t="str">
        <f>IF('Equipment Information'!B10="","", 'Equipment Information'!B10)</f>
        <v>DP #4</v>
      </c>
      <c r="C10" t="str">
        <f>IF('Equipment Information'!C10="","", 'Equipment Information'!C10)</f>
        <v>Electrical Room #2</v>
      </c>
      <c r="I10" t="str">
        <f t="shared" si="0"/>
        <v>N/A</v>
      </c>
    </row>
    <row r="11" spans="1:10" x14ac:dyDescent="0.25">
      <c r="A11" t="str">
        <f>IF('Equipment Information'!A11="","", 'Equipment Information'!A11)</f>
        <v>20260657</v>
      </c>
      <c r="B11" t="str">
        <f>IF('Equipment Information'!B11="","", 'Equipment Information'!B11)</f>
        <v>DP #5</v>
      </c>
      <c r="C11" t="str">
        <f>IF('Equipment Information'!C11="","", 'Equipment Information'!C11)</f>
        <v>Electrical Room #2</v>
      </c>
      <c r="I11" t="str">
        <f t="shared" si="0"/>
        <v>N/A</v>
      </c>
    </row>
    <row r="12" spans="1:10" x14ac:dyDescent="0.25">
      <c r="A12" t="str">
        <f>IF('Equipment Information'!A12="","", 'Equipment Information'!A12)</f>
        <v>20260658</v>
      </c>
      <c r="B12" t="str">
        <f>IF('Equipment Information'!B12="","", 'Equipment Information'!B12)</f>
        <v>DP #6</v>
      </c>
      <c r="C12" t="str">
        <f>IF('Equipment Information'!C12="","", 'Equipment Information'!C12)</f>
        <v>Electrical Room #2</v>
      </c>
      <c r="I12" t="str">
        <f t="shared" si="0"/>
        <v>N/A</v>
      </c>
    </row>
    <row r="13" spans="1:10" x14ac:dyDescent="0.25">
      <c r="A13" t="str">
        <f>IF('Equipment Information'!A13="","", 'Equipment Information'!A13)</f>
        <v>20260659</v>
      </c>
      <c r="B13" t="str">
        <f>IF('Equipment Information'!B13="","", 'Equipment Information'!B13)</f>
        <v>PDP</v>
      </c>
      <c r="C13" t="str">
        <f>IF('Equipment Information'!C13="","", 'Equipment Information'!C13)</f>
        <v>Electrical Room #2</v>
      </c>
      <c r="I13" t="str">
        <f t="shared" si="0"/>
        <v>N/A</v>
      </c>
    </row>
    <row r="14" spans="1:10" x14ac:dyDescent="0.25">
      <c r="A14" t="str">
        <f>IF('Equipment Information'!A14="","", 'Equipment Information'!A14)</f>
        <v>20260660</v>
      </c>
      <c r="B14" t="str">
        <f>IF('Equipment Information'!B14="","", 'Equipment Information'!B14)</f>
        <v>T-2</v>
      </c>
      <c r="C14" t="str">
        <f>IF('Equipment Information'!C14="","", 'Equipment Information'!C14)</f>
        <v>Electrical Room #2</v>
      </c>
      <c r="I14" t="str">
        <f t="shared" si="0"/>
        <v>N/A</v>
      </c>
    </row>
    <row r="15" spans="1:10" x14ac:dyDescent="0.25">
      <c r="A15" t="str">
        <f>IF('Equipment Information'!A15="","", 'Equipment Information'!A15)</f>
        <v>20260661</v>
      </c>
      <c r="B15" t="str">
        <f>IF('Equipment Information'!B15="","", 'Equipment Information'!B15)</f>
        <v>OH XFMR</v>
      </c>
      <c r="C15" t="str">
        <f>IF('Equipment Information'!C15="","", 'Equipment Information'!C15)</f>
        <v>Electrical Room #2</v>
      </c>
      <c r="I15" t="str">
        <f t="shared" si="0"/>
        <v>N/A</v>
      </c>
    </row>
    <row r="16" spans="1:10" x14ac:dyDescent="0.25">
      <c r="A16" t="str">
        <f>IF('Equipment Information'!A16="","", 'Equipment Information'!A16)</f>
        <v>20260662</v>
      </c>
      <c r="B16" t="str">
        <f>IF('Equipment Information'!B16="","", 'Equipment Information'!B16)</f>
        <v>DP7 Freezer</v>
      </c>
      <c r="C16" t="str">
        <f>IF('Equipment Information'!C16="","", 'Equipment Information'!C16)</f>
        <v>Electrical Room #3</v>
      </c>
      <c r="I16" t="str">
        <f t="shared" si="0"/>
        <v>N/A</v>
      </c>
    </row>
    <row r="17" spans="1:9" x14ac:dyDescent="0.25">
      <c r="A17" t="str">
        <f>IF('Equipment Information'!A17="","", 'Equipment Information'!A17)</f>
        <v>20260663</v>
      </c>
      <c r="B17" t="str">
        <f>IF('Equipment Information'!B17="","", 'Equipment Information'!B17)</f>
        <v>(N/A 75 KVA XFMR)</v>
      </c>
      <c r="C17" t="str">
        <f>IF('Equipment Information'!C17="","", 'Equipment Information'!C17)</f>
        <v>Electrical Room #3</v>
      </c>
      <c r="I17" t="str">
        <f t="shared" si="0"/>
        <v>N/A</v>
      </c>
    </row>
    <row r="18" spans="1:9" x14ac:dyDescent="0.25">
      <c r="A18" t="str">
        <f>IF('Equipment Information'!A18="","", 'Equipment Information'!A18)</f>
        <v>20260664</v>
      </c>
      <c r="B18" t="str">
        <f>IF('Equipment Information'!B18="","", 'Equipment Information'!B18)</f>
        <v>(N/A PNL)</v>
      </c>
      <c r="C18" t="str">
        <f>IF('Equipment Information'!C18="","", 'Equipment Information'!C18)</f>
        <v>Electrical Room #3</v>
      </c>
      <c r="I18" t="str">
        <f t="shared" si="0"/>
        <v>N/A</v>
      </c>
    </row>
    <row r="19" spans="1:9" x14ac:dyDescent="0.25">
      <c r="A19" t="str">
        <f>IF('Equipment Information'!A19="","", 'Equipment Information'!A19)</f>
        <v>20260665</v>
      </c>
      <c r="B19" t="str">
        <f>IF('Equipment Information'!B19="","", 'Equipment Information'!B19)</f>
        <v>USES</v>
      </c>
      <c r="C19" t="str">
        <f>IF('Equipment Information'!C19="","", 'Equipment Information'!C19)</f>
        <v>Electrical Room #3</v>
      </c>
      <c r="I19" t="str">
        <f t="shared" si="0"/>
        <v>N/A</v>
      </c>
    </row>
    <row r="20" spans="1:9" x14ac:dyDescent="0.25">
      <c r="A20" t="str">
        <f>IF('Equipment Information'!A20="","", 'Equipment Information'!A20)</f>
        <v>20260666</v>
      </c>
      <c r="B20" t="str">
        <f>IF('Equipment Information'!B20="","", 'Equipment Information'!B20)</f>
        <v>Fan (P3-4/6/8)</v>
      </c>
      <c r="C20" t="str">
        <f>IF('Equipment Information'!C20="","", 'Equipment Information'!C20)</f>
        <v>Electrical Room #3</v>
      </c>
      <c r="I20" t="str">
        <f t="shared" si="0"/>
        <v>N/A</v>
      </c>
    </row>
    <row r="21" spans="1:9" x14ac:dyDescent="0.25">
      <c r="A21" t="str">
        <f>IF('Equipment Information'!A21="","", 'Equipment Information'!A21)</f>
        <v>20260667</v>
      </c>
      <c r="B21" t="str">
        <f>IF('Equipment Information'!B21="","", 'Equipment Information'!B21)</f>
        <v>Fan (P3-4/6/8)</v>
      </c>
      <c r="C21" t="str">
        <f>IF('Equipment Information'!C21="","", 'Equipment Information'!C21)</f>
        <v>Electrical Room #3</v>
      </c>
      <c r="I21" t="str">
        <f t="shared" si="0"/>
        <v>N/A</v>
      </c>
    </row>
    <row r="22" spans="1:9" x14ac:dyDescent="0.25">
      <c r="A22" t="str">
        <f>IF('Equipment Information'!A22="","", 'Equipment Information'!A22)</f>
        <v>20260668</v>
      </c>
      <c r="B22" t="str">
        <f>IF('Equipment Information'!B22="","", 'Equipment Information'!B22)</f>
        <v>P3</v>
      </c>
      <c r="C22" t="str">
        <f>IF('Equipment Information'!C22="","", 'Equipment Information'!C22)</f>
        <v>Electrical Room #3</v>
      </c>
      <c r="I22" t="str">
        <f t="shared" si="0"/>
        <v>N/A</v>
      </c>
    </row>
    <row r="23" spans="1:9" x14ac:dyDescent="0.25">
      <c r="A23" t="str">
        <f>IF('Equipment Information'!A23="","", 'Equipment Information'!A23)</f>
        <v>20260669</v>
      </c>
      <c r="B23" t="str">
        <f>IF('Equipment Information'!B23="","", 'Equipment Information'!B23)</f>
        <v>DP7</v>
      </c>
      <c r="C23" t="str">
        <f>IF('Equipment Information'!C23="","", 'Equipment Information'!C23)</f>
        <v>Electrical Room #3</v>
      </c>
      <c r="I23" t="str">
        <f t="shared" si="0"/>
        <v>N/A</v>
      </c>
    </row>
    <row r="24" spans="1:9" x14ac:dyDescent="0.25">
      <c r="A24" t="str">
        <f>IF('Equipment Information'!A24="","", 'Equipment Information'!A24)</f>
        <v>20260670</v>
      </c>
      <c r="B24" t="str">
        <f>IF('Equipment Information'!B24="","", 'Equipment Information'!B24)</f>
        <v>CP-DP7 [Sec. 1]</v>
      </c>
      <c r="C24" t="str">
        <f>IF('Equipment Information'!C24="","", 'Equipment Information'!C24)</f>
        <v>Electrical Room #3</v>
      </c>
      <c r="I24" t="str">
        <f t="shared" si="0"/>
        <v>N/A</v>
      </c>
    </row>
    <row r="25" spans="1:9" x14ac:dyDescent="0.25">
      <c r="A25" t="str">
        <f>IF('Equipment Information'!A25="","", 'Equipment Information'!A25)</f>
        <v>20260671</v>
      </c>
      <c r="B25" t="str">
        <f>IF('Equipment Information'!B25="","", 'Equipment Information'!B25)</f>
        <v>CP-DP7 [Sec. 2]</v>
      </c>
      <c r="C25" t="str">
        <f>IF('Equipment Information'!C25="","", 'Equipment Information'!C25)</f>
        <v>Electrical Room #3</v>
      </c>
      <c r="I25" t="str">
        <f t="shared" si="0"/>
        <v>N/A</v>
      </c>
    </row>
    <row r="26" spans="1:9" x14ac:dyDescent="0.25">
      <c r="A26" t="str">
        <f>IF('Equipment Information'!A26="","", 'Equipment Information'!A26)</f>
        <v>20260672</v>
      </c>
      <c r="B26" t="str">
        <f>IF('Equipment Information'!B26="","", 'Equipment Information'!B26)</f>
        <v>CP-DP7 [Sec. 3]</v>
      </c>
      <c r="C26" t="str">
        <f>IF('Equipment Information'!C26="","", 'Equipment Information'!C26)</f>
        <v>Electrical Room #3</v>
      </c>
      <c r="I26" t="str">
        <f t="shared" si="0"/>
        <v>N/A</v>
      </c>
    </row>
    <row r="27" spans="1:9" x14ac:dyDescent="0.25">
      <c r="A27" t="str">
        <f>IF('Equipment Information'!A27="","", 'Equipment Information'!A27)</f>
        <v>20260673</v>
      </c>
      <c r="B27" t="str">
        <f>IF('Equipment Information'!B27="","", 'Equipment Information'!B27)</f>
        <v>OH XFMR</v>
      </c>
      <c r="C27" t="str">
        <f>IF('Equipment Information'!C27="","", 'Equipment Information'!C27)</f>
        <v>Electrical Room #3</v>
      </c>
      <c r="I27" t="str">
        <f t="shared" si="0"/>
        <v>N/A</v>
      </c>
    </row>
    <row r="28" spans="1:9" x14ac:dyDescent="0.25">
      <c r="A28" t="str">
        <f>IF('Equipment Information'!A28="","", 'Equipment Information'!A28)</f>
        <v>20260674</v>
      </c>
      <c r="B28" t="str">
        <f>IF('Equipment Information'!B28="","", 'Equipment Information'!B28)</f>
        <v>MDP-2 [Sec. 1]</v>
      </c>
      <c r="C28" t="str">
        <f>IF('Equipment Information'!C28="","", 'Equipment Information'!C28)</f>
        <v>Electrical Room #1</v>
      </c>
      <c r="I28" t="str">
        <f t="shared" si="0"/>
        <v>N/A</v>
      </c>
    </row>
    <row r="29" spans="1:9" x14ac:dyDescent="0.25">
      <c r="A29" t="str">
        <f>IF('Equipment Information'!A29="","", 'Equipment Information'!A29)</f>
        <v>20260675</v>
      </c>
      <c r="B29" t="str">
        <f>IF('Equipment Information'!B29="","", 'Equipment Information'!B29)</f>
        <v>MDP-2 [Sec. 2]</v>
      </c>
      <c r="C29" t="str">
        <f>IF('Equipment Information'!C29="","", 'Equipment Information'!C29)</f>
        <v>Electrical Room #1</v>
      </c>
      <c r="I29" t="str">
        <f t="shared" si="0"/>
        <v>N/A</v>
      </c>
    </row>
    <row r="30" spans="1:9" x14ac:dyDescent="0.25">
      <c r="A30" t="str">
        <f>IF('Equipment Information'!A30="","", 'Equipment Information'!A30)</f>
        <v>20260676</v>
      </c>
      <c r="B30" t="str">
        <f>IF('Equipment Information'!B30="","", 'Equipment Information'!B30)</f>
        <v>Vacuum Exhaust</v>
      </c>
      <c r="C30" t="str">
        <f>IF('Equipment Information'!C30="","", 'Equipment Information'!C30)</f>
        <v>Electrical Room #1</v>
      </c>
      <c r="I30" t="str">
        <f t="shared" si="0"/>
        <v>N/A</v>
      </c>
    </row>
    <row r="31" spans="1:9" x14ac:dyDescent="0.25">
      <c r="A31" t="str">
        <f>IF('Equipment Information'!A31="","", 'Equipment Information'!A31)</f>
        <v>20260677</v>
      </c>
      <c r="B31" t="str">
        <f>IF('Equipment Information'!B31="","", 'Equipment Information'!B31)</f>
        <v>Air Knife</v>
      </c>
      <c r="C31" t="str">
        <f>IF('Equipment Information'!C31="","", 'Equipment Information'!C31)</f>
        <v>Electrical Room #1</v>
      </c>
      <c r="I31" t="str">
        <f t="shared" si="0"/>
        <v>N/A</v>
      </c>
    </row>
    <row r="32" spans="1:9" x14ac:dyDescent="0.25">
      <c r="A32" t="str">
        <f>IF('Equipment Information'!A32="","", 'Equipment Information'!A32)</f>
        <v>20260678</v>
      </c>
      <c r="B32" t="str">
        <f>IF('Equipment Information'!B32="","", 'Equipment Information'!B32)</f>
        <v>CP-Dryer #2</v>
      </c>
      <c r="C32" t="str">
        <f>IF('Equipment Information'!C32="","", 'Equipment Information'!C32)</f>
        <v>Electrical Room #4</v>
      </c>
      <c r="I32" t="str">
        <f t="shared" si="0"/>
        <v>N/A</v>
      </c>
    </row>
    <row r="33" spans="1:9" x14ac:dyDescent="0.25">
      <c r="A33" t="str">
        <f>IF('Equipment Information'!A33="","", 'Equipment Information'!A33)</f>
        <v>20260679</v>
      </c>
      <c r="B33" t="str">
        <f>IF('Equipment Information'!B33="","", 'Equipment Information'!B33)</f>
        <v>CP-Silo Alley</v>
      </c>
      <c r="C33" t="str">
        <f>IF('Equipment Information'!C33="","", 'Equipment Information'!C33)</f>
        <v>Electrical Room #4</v>
      </c>
      <c r="I33" t="str">
        <f t="shared" si="0"/>
        <v>N/A</v>
      </c>
    </row>
    <row r="34" spans="1:9" x14ac:dyDescent="0.25">
      <c r="A34" t="str">
        <f>IF('Equipment Information'!A34="","", 'Equipment Information'!A34)</f>
        <v>20260680</v>
      </c>
      <c r="B34" t="str">
        <f>IF('Equipment Information'!B34="","", 'Equipment Information'!B34)</f>
        <v>Machine Control</v>
      </c>
      <c r="C34" t="str">
        <f>IF('Equipment Information'!C34="","", 'Equipment Information'!C34)</f>
        <v>Electrical Room #4</v>
      </c>
      <c r="I34" t="str">
        <f t="shared" si="0"/>
        <v>N/A</v>
      </c>
    </row>
    <row r="35" spans="1:9" x14ac:dyDescent="0.25">
      <c r="A35" t="str">
        <f>IF('Equipment Information'!A35="","", 'Equipment Information'!A35)</f>
        <v>20260681</v>
      </c>
      <c r="B35" t="str">
        <f>IF('Equipment Information'!B35="","", 'Equipment Information'!B35)</f>
        <v>CP-Dryer #1 [Sec. 1]</v>
      </c>
      <c r="C35" t="str">
        <f>IF('Equipment Information'!C35="","", 'Equipment Information'!C35)</f>
        <v>Electrical Room #4</v>
      </c>
      <c r="I35" t="str">
        <f t="shared" si="0"/>
        <v>N/A</v>
      </c>
    </row>
    <row r="36" spans="1:9" x14ac:dyDescent="0.25">
      <c r="A36" t="str">
        <f>IF('Equipment Information'!A36="","", 'Equipment Information'!A36)</f>
        <v>20260682</v>
      </c>
      <c r="B36" t="str">
        <f>IF('Equipment Information'!B36="","", 'Equipment Information'!B36)</f>
        <v>CP-Dryer #1 [Sec. 2]</v>
      </c>
      <c r="C36" t="str">
        <f>IF('Equipment Information'!C36="","", 'Equipment Information'!C36)</f>
        <v>Electrical Room #4</v>
      </c>
      <c r="I36" t="str">
        <f t="shared" si="0"/>
        <v>N/A</v>
      </c>
    </row>
    <row r="37" spans="1:9" x14ac:dyDescent="0.25">
      <c r="A37" t="str">
        <f>IF('Equipment Information'!A37="","", 'Equipment Information'!A37)</f>
        <v>20260683</v>
      </c>
      <c r="B37" t="str">
        <f>IF('Equipment Information'!B37="","", 'Equipment Information'!B37)</f>
        <v>CP-Packout [Sec. 1]</v>
      </c>
      <c r="C37" t="str">
        <f>IF('Equipment Information'!C37="","", 'Equipment Information'!C37)</f>
        <v>Electrical Room #4</v>
      </c>
      <c r="I37" t="str">
        <f t="shared" si="0"/>
        <v>N/A</v>
      </c>
    </row>
    <row r="38" spans="1:9" x14ac:dyDescent="0.25">
      <c r="A38" t="str">
        <f>IF('Equipment Information'!A38="","", 'Equipment Information'!A38)</f>
        <v>20260684</v>
      </c>
      <c r="B38" t="str">
        <f>IF('Equipment Information'!B38="","", 'Equipment Information'!B38)</f>
        <v>CP-Packout [Sec. 2]</v>
      </c>
      <c r="C38" t="str">
        <f>IF('Equipment Information'!C38="","", 'Equipment Information'!C38)</f>
        <v>Electrical Room #4</v>
      </c>
      <c r="I38" t="str">
        <f t="shared" si="0"/>
        <v>N/A</v>
      </c>
    </row>
    <row r="39" spans="1:9" x14ac:dyDescent="0.25">
      <c r="A39" t="str">
        <f>IF('Equipment Information'!A39="","", 'Equipment Information'!A39)</f>
        <v>20260685</v>
      </c>
      <c r="B39" t="str">
        <f>IF('Equipment Information'!B39="","", 'Equipment Information'!B39)</f>
        <v>CP-Packout [Sec. 3]</v>
      </c>
      <c r="C39" t="str">
        <f>IF('Equipment Information'!C39="","", 'Equipment Information'!C39)</f>
        <v>Electrical Room #4</v>
      </c>
      <c r="I39" t="str">
        <f t="shared" si="0"/>
        <v>N/A</v>
      </c>
    </row>
    <row r="40" spans="1:9" x14ac:dyDescent="0.25">
      <c r="A40" t="str">
        <f>IF('Equipment Information'!A40="","", 'Equipment Information'!A40)</f>
        <v>20260686</v>
      </c>
      <c r="B40" t="str">
        <f>IF('Equipment Information'!B40="","", 'Equipment Information'!B40)</f>
        <v>CP-5110</v>
      </c>
      <c r="C40" t="str">
        <f>IF('Equipment Information'!C40="","", 'Equipment Information'!C40)</f>
        <v>Electrical Room #4</v>
      </c>
      <c r="I40" t="str">
        <f t="shared" si="0"/>
        <v>N/A</v>
      </c>
    </row>
    <row r="41" spans="1:9" x14ac:dyDescent="0.25">
      <c r="A41" t="str">
        <f>IF('Equipment Information'!A41="","", 'Equipment Information'!A41)</f>
        <v>20260687</v>
      </c>
      <c r="B41" t="str">
        <f>IF('Equipment Information'!B41="","", 'Equipment Information'!B41)</f>
        <v>CP-5120</v>
      </c>
      <c r="C41" t="str">
        <f>IF('Equipment Information'!C41="","", 'Equipment Information'!C41)</f>
        <v>Electrical Room #4</v>
      </c>
      <c r="I41" t="str">
        <f t="shared" si="0"/>
        <v>N/A</v>
      </c>
    </row>
    <row r="42" spans="1:9" x14ac:dyDescent="0.25">
      <c r="A42" t="str">
        <f>IF('Equipment Information'!A42="","", 'Equipment Information'!A42)</f>
        <v>20260688</v>
      </c>
      <c r="B42" t="str">
        <f>IF('Equipment Information'!B42="","", 'Equipment Information'!B42)</f>
        <v>RF-7101</v>
      </c>
      <c r="C42" t="str">
        <f>IF('Equipment Information'!C42="","", 'Equipment Information'!C42)</f>
        <v>Electrical Room #4</v>
      </c>
      <c r="I42" t="str">
        <f t="shared" si="0"/>
        <v>N/A</v>
      </c>
    </row>
    <row r="43" spans="1:9" x14ac:dyDescent="0.25">
      <c r="A43" t="str">
        <f>IF('Equipment Information'!A43="","", 'Equipment Information'!A43)</f>
        <v>20260689</v>
      </c>
      <c r="B43" t="str">
        <f>IF('Equipment Information'!B43="","", 'Equipment Information'!B43)</f>
        <v>RF-7102</v>
      </c>
      <c r="C43" t="str">
        <f>IF('Equipment Information'!C43="","", 'Equipment Information'!C43)</f>
        <v>Electrical Room #4</v>
      </c>
      <c r="I43" t="str">
        <f t="shared" si="0"/>
        <v>N/A</v>
      </c>
    </row>
    <row r="44" spans="1:9" x14ac:dyDescent="0.25">
      <c r="A44" t="str">
        <f>IF('Equipment Information'!A44="","", 'Equipment Information'!A44)</f>
        <v>20260690</v>
      </c>
      <c r="B44" t="str">
        <f>IF('Equipment Information'!B44="","", 'Equipment Information'!B44)</f>
        <v>RF-7103</v>
      </c>
      <c r="C44" t="str">
        <f>IF('Equipment Information'!C44="","", 'Equipment Information'!C44)</f>
        <v>Electrical Room #4</v>
      </c>
      <c r="I44" t="str">
        <f t="shared" si="0"/>
        <v>N/A</v>
      </c>
    </row>
    <row r="45" spans="1:9" x14ac:dyDescent="0.25">
      <c r="A45" t="str">
        <f>IF('Equipment Information'!A45="","", 'Equipment Information'!A45)</f>
        <v>20260691</v>
      </c>
      <c r="B45" t="str">
        <f>IF('Equipment Information'!B45="","", 'Equipment Information'!B45)</f>
        <v>RF-7104</v>
      </c>
      <c r="C45" t="str">
        <f>IF('Equipment Information'!C45="","", 'Equipment Information'!C45)</f>
        <v>Electrical Room #4</v>
      </c>
      <c r="I45" t="str">
        <f t="shared" si="0"/>
        <v>N/A</v>
      </c>
    </row>
    <row r="46" spans="1:9" x14ac:dyDescent="0.25">
      <c r="A46" t="str">
        <f>IF('Equipment Information'!A46="","", 'Equipment Information'!A46)</f>
        <v>20260692</v>
      </c>
      <c r="B46" t="str">
        <f>IF('Equipment Information'!B46="","", 'Equipment Information'!B46)</f>
        <v>DP-10</v>
      </c>
      <c r="C46" t="str">
        <f>IF('Equipment Information'!C46="","", 'Equipment Information'!C46)</f>
        <v>Electrical Room #4</v>
      </c>
      <c r="I46" t="str">
        <f t="shared" si="0"/>
        <v>N/A</v>
      </c>
    </row>
    <row r="47" spans="1:9" x14ac:dyDescent="0.25">
      <c r="A47" t="str">
        <f>IF('Equipment Information'!A47="","", 'Equipment Information'!A47)</f>
        <v>20260693</v>
      </c>
      <c r="B47" t="str">
        <f>IF('Equipment Information'!B47="","", 'Equipment Information'!B47)</f>
        <v>Cooling Towers</v>
      </c>
      <c r="C47" t="str">
        <f>IF('Equipment Information'!C47="","", 'Equipment Information'!C47)</f>
        <v>Electrical Room #4</v>
      </c>
      <c r="I47" t="str">
        <f t="shared" si="0"/>
        <v>N/A</v>
      </c>
    </row>
    <row r="48" spans="1:9" x14ac:dyDescent="0.25">
      <c r="A48" t="str">
        <f>IF('Equipment Information'!A48="","", 'Equipment Information'!A48)</f>
        <v>20260694</v>
      </c>
      <c r="B48" t="str">
        <f>IF('Equipment Information'!B48="","", 'Equipment Information'!B48)</f>
        <v>PP FF-2</v>
      </c>
      <c r="C48" t="str">
        <f>IF('Equipment Information'!C48="","", 'Equipment Information'!C48)</f>
        <v>Electrical Room #4</v>
      </c>
      <c r="I48" t="str">
        <f t="shared" si="0"/>
        <v>N/A</v>
      </c>
    </row>
    <row r="49" spans="1:9" x14ac:dyDescent="0.25">
      <c r="A49" t="str">
        <f>IF('Equipment Information'!A49="","", 'Equipment Information'!A49)</f>
        <v>20260695</v>
      </c>
      <c r="B49" t="str">
        <f>IF('Equipment Information'!B49="","", 'Equipment Information'!B49)</f>
        <v>LP FF-1</v>
      </c>
      <c r="C49" t="str">
        <f>IF('Equipment Information'!C49="","", 'Equipment Information'!C49)</f>
        <v>Electrical Room #4</v>
      </c>
      <c r="I49" t="str">
        <f t="shared" si="0"/>
        <v>N/A</v>
      </c>
    </row>
    <row r="50" spans="1:9" x14ac:dyDescent="0.25">
      <c r="A50" t="str">
        <f>IF('Equipment Information'!A50="","", 'Equipment Information'!A50)</f>
        <v>20260696</v>
      </c>
      <c r="B50" t="str">
        <f>IF('Equipment Information'!B50="","", 'Equipment Information'!B50)</f>
        <v>PP FF-1</v>
      </c>
      <c r="C50" t="str">
        <f>IF('Equipment Information'!C50="","", 'Equipment Information'!C50)</f>
        <v>Electrical Room #4</v>
      </c>
      <c r="I50" t="str">
        <f t="shared" si="0"/>
        <v>N/A</v>
      </c>
    </row>
    <row r="51" spans="1:9" x14ac:dyDescent="0.25">
      <c r="A51" t="str">
        <f>IF('Equipment Information'!A51="","", 'Equipment Information'!A51)</f>
        <v>20260697</v>
      </c>
      <c r="B51" t="str">
        <f>IF('Equipment Information'!B51="","", 'Equipment Information'!B51)</f>
        <v>PP FF-1A</v>
      </c>
      <c r="C51" t="str">
        <f>IF('Equipment Information'!C51="","", 'Equipment Information'!C51)</f>
        <v>Electrical Room #4</v>
      </c>
      <c r="I51" t="str">
        <f t="shared" si="0"/>
        <v>N/A</v>
      </c>
    </row>
    <row r="52" spans="1:9" x14ac:dyDescent="0.25">
      <c r="A52" t="str">
        <f>IF('Equipment Information'!A52="","", 'Equipment Information'!A52)</f>
        <v>20260698</v>
      </c>
      <c r="B52" t="str">
        <f>IF('Equipment Information'!B52="","", 'Equipment Information'!B52)</f>
        <v>CP-5110 &amp; CP-5120</v>
      </c>
      <c r="C52" t="str">
        <f>IF('Equipment Information'!C52="","", 'Equipment Information'!C52)</f>
        <v>Electrical Room #4</v>
      </c>
      <c r="I52" t="str">
        <f t="shared" si="0"/>
        <v>N/A</v>
      </c>
    </row>
    <row r="53" spans="1:9" x14ac:dyDescent="0.25">
      <c r="A53" t="str">
        <f>IF('Equipment Information'!A53="","", 'Equipment Information'!A53)</f>
        <v>20260699</v>
      </c>
      <c r="B53" t="str">
        <f>IF('Equipment Information'!B53="","", 'Equipment Information'!B53)</f>
        <v/>
      </c>
      <c r="C53" t="str">
        <f>IF('Equipment Information'!C53="","", 'Equipment Information'!C53)</f>
        <v>Electrical Room #4 Mezzanine</v>
      </c>
      <c r="I53" t="str">
        <f t="shared" si="0"/>
        <v>N/A</v>
      </c>
    </row>
    <row r="54" spans="1:9" x14ac:dyDescent="0.25">
      <c r="A54" t="str">
        <f>IF('Equipment Information'!A54="","", 'Equipment Information'!A54)</f>
        <v>20260700</v>
      </c>
      <c r="B54" t="str">
        <f>IF('Equipment Information'!B54="","", 'Equipment Information'!B54)</f>
        <v/>
      </c>
      <c r="C54" t="str">
        <f>IF('Equipment Information'!C54="","", 'Equipment Information'!C54)</f>
        <v>Electrical Room #4 Mezzanine</v>
      </c>
      <c r="I54" t="str">
        <f t="shared" si="0"/>
        <v>N/A</v>
      </c>
    </row>
    <row r="55" spans="1:9" x14ac:dyDescent="0.25">
      <c r="A55" t="str">
        <f>IF('Equipment Information'!A55="","", 'Equipment Information'!A55)</f>
        <v>20260701</v>
      </c>
      <c r="B55" t="str">
        <f>IF('Equipment Information'!B55="","", 'Equipment Information'!B55)</f>
        <v/>
      </c>
      <c r="C55" t="str">
        <f>IF('Equipment Information'!C55="","", 'Equipment Information'!C55)</f>
        <v>Electrical Room #4 Mezzanine</v>
      </c>
      <c r="I55" t="str">
        <f t="shared" si="0"/>
        <v>N/A</v>
      </c>
    </row>
    <row r="56" spans="1:9" x14ac:dyDescent="0.25">
      <c r="A56" t="str">
        <f>IF('Equipment Information'!A56="","", 'Equipment Information'!A56)</f>
        <v>20260702</v>
      </c>
      <c r="B56" t="str">
        <f>IF('Equipment Information'!B56="","", 'Equipment Information'!B56)</f>
        <v/>
      </c>
      <c r="C56" t="str">
        <f>IF('Equipment Information'!C56="","", 'Equipment Information'!C56)</f>
        <v>Electrical Room #4 Mezzanine</v>
      </c>
      <c r="I56" t="str">
        <f t="shared" si="0"/>
        <v>N/A</v>
      </c>
    </row>
    <row r="57" spans="1:9" x14ac:dyDescent="0.25">
      <c r="A57" t="str">
        <f>IF('Equipment Information'!A57="","", 'Equipment Information'!A57)</f>
        <v>20260703</v>
      </c>
      <c r="B57" t="str">
        <f>IF('Equipment Information'!B57="","", 'Equipment Information'!B57)</f>
        <v/>
      </c>
      <c r="C57" t="str">
        <f>IF('Equipment Information'!C57="","", 'Equipment Information'!C57)</f>
        <v>Electrical Room #4 Mezzanine</v>
      </c>
      <c r="I57" t="str">
        <f t="shared" si="0"/>
        <v>N/A</v>
      </c>
    </row>
    <row r="58" spans="1:9" x14ac:dyDescent="0.25">
      <c r="A58" t="str">
        <f>IF('Equipment Information'!A58="","", 'Equipment Information'!A58)</f>
        <v>20260704</v>
      </c>
      <c r="B58" t="str">
        <f>IF('Equipment Information'!B58="","", 'Equipment Information'!B58)</f>
        <v/>
      </c>
      <c r="C58" t="str">
        <f>IF('Equipment Information'!C58="","", 'Equipment Information'!C58)</f>
        <v>Electrical Room #4 Mezzanine</v>
      </c>
      <c r="I58" t="str">
        <f t="shared" si="0"/>
        <v>N/A</v>
      </c>
    </row>
    <row r="59" spans="1:9" x14ac:dyDescent="0.25">
      <c r="A59" t="str">
        <f>IF('Equipment Information'!A59="","", 'Equipment Information'!A59)</f>
        <v>20260705</v>
      </c>
      <c r="B59" t="str">
        <f>IF('Equipment Information'!B59="","", 'Equipment Information'!B59)</f>
        <v>15 kVa Transformer</v>
      </c>
      <c r="C59" t="str">
        <f>IF('Equipment Information'!C59="","", 'Equipment Information'!C59)</f>
        <v>Packaging</v>
      </c>
      <c r="I59" t="str">
        <f t="shared" si="0"/>
        <v>N/A</v>
      </c>
    </row>
    <row r="60" spans="1:9" x14ac:dyDescent="0.25">
      <c r="A60" t="str">
        <f>IF('Equipment Information'!A60="","", 'Equipment Information'!A60)</f>
        <v>20260706</v>
      </c>
      <c r="B60" t="str">
        <f>IF('Equipment Information'!B60="","", 'Equipment Information'!B60)</f>
        <v>Color Sorter Transformer</v>
      </c>
      <c r="C60" t="str">
        <f>IF('Equipment Information'!C60="","", 'Equipment Information'!C60)</f>
        <v>Packaging</v>
      </c>
      <c r="I60" t="str">
        <f t="shared" si="0"/>
        <v>N/A</v>
      </c>
    </row>
    <row r="61" spans="1:9" x14ac:dyDescent="0.25">
      <c r="A61" t="str">
        <f>IF('Equipment Information'!A61="","", 'Equipment Information'!A61)</f>
        <v>20260707</v>
      </c>
      <c r="B61" t="str">
        <f>IF('Equipment Information'!B61="","", 'Equipment Information'!B61)</f>
        <v>LP3 Sub-Panel</v>
      </c>
      <c r="C61" t="str">
        <f>IF('Equipment Information'!C61="","", 'Equipment Information'!C61)</f>
        <v>Packaging</v>
      </c>
      <c r="I61" t="str">
        <f t="shared" si="0"/>
        <v>N/A</v>
      </c>
    </row>
    <row r="62" spans="1:9" x14ac:dyDescent="0.25">
      <c r="A62" t="str">
        <f>IF('Equipment Information'!A62="","", 'Equipment Information'!A62)</f>
        <v>20260708</v>
      </c>
      <c r="B62" t="str">
        <f>IF('Equipment Information'!B62="","", 'Equipment Information'!B62)</f>
        <v>LP3</v>
      </c>
      <c r="C62" t="str">
        <f>IF('Equipment Information'!C62="","", 'Equipment Information'!C62)</f>
        <v>Packaging</v>
      </c>
      <c r="I62" t="str">
        <f t="shared" si="0"/>
        <v>N/A</v>
      </c>
    </row>
    <row r="63" spans="1:9" x14ac:dyDescent="0.25">
      <c r="A63" t="str">
        <f>IF('Equipment Information'!A63="","", 'Equipment Information'!A63)</f>
        <v>20260709</v>
      </c>
      <c r="B63" t="str">
        <f>IF('Equipment Information'!B63="","", 'Equipment Information'!B63)</f>
        <v>Color Sorter Supply</v>
      </c>
      <c r="C63" t="str">
        <f>IF('Equipment Information'!C63="","", 'Equipment Information'!C63)</f>
        <v>Packaging</v>
      </c>
      <c r="I63" t="str">
        <f t="shared" si="0"/>
        <v>N/A</v>
      </c>
    </row>
    <row r="64" spans="1:9" x14ac:dyDescent="0.25">
      <c r="A64" t="str">
        <f>IF('Equipment Information'!A64="","", 'Equipment Information'!A64)</f>
        <v>20260710</v>
      </c>
      <c r="B64" t="str">
        <f>IF('Equipment Information'!B64="","", 'Equipment Information'!B64)</f>
        <v>HP3</v>
      </c>
      <c r="C64" t="str">
        <f>IF('Equipment Information'!C64="","", 'Equipment Information'!C64)</f>
        <v>Packaging</v>
      </c>
      <c r="I64" t="str">
        <f t="shared" si="0"/>
        <v>N/A</v>
      </c>
    </row>
    <row r="65" spans="1:9" x14ac:dyDescent="0.25">
      <c r="A65" t="str">
        <f>IF('Equipment Information'!A65="","", 'Equipment Information'!A65)</f>
        <v>20260711</v>
      </c>
      <c r="B65" t="str">
        <f>IF('Equipment Information'!B65="","", 'Equipment Information'!B65)</f>
        <v>HP3-1</v>
      </c>
      <c r="C65" t="str">
        <f>IF('Equipment Information'!C65="","", 'Equipment Information'!C65)</f>
        <v>Packaging</v>
      </c>
      <c r="I65" t="str">
        <f t="shared" si="0"/>
        <v>N/A</v>
      </c>
    </row>
    <row r="66" spans="1:9" x14ac:dyDescent="0.25">
      <c r="A66" t="str">
        <f>IF('Equipment Information'!A66="","", 'Equipment Information'!A66)</f>
        <v>20260712</v>
      </c>
      <c r="B66" t="str">
        <f>IF('Equipment Information'!B66="","", 'Equipment Information'!B66)</f>
        <v>SW 2</v>
      </c>
      <c r="C66" t="str">
        <f>IF('Equipment Information'!C66="","", 'Equipment Information'!C66)</f>
        <v>Packaging</v>
      </c>
      <c r="I66" t="str">
        <f t="shared" ref="I66:I129" si="1">IF(A66="","","N/A")</f>
        <v>N/A</v>
      </c>
    </row>
    <row r="67" spans="1:9" x14ac:dyDescent="0.25">
      <c r="A67" t="str">
        <f>IF('Equipment Information'!A67="","", 'Equipment Information'!A67)</f>
        <v>20260713</v>
      </c>
      <c r="B67" t="str">
        <f>IF('Equipment Information'!B67="","", 'Equipment Information'!B67)</f>
        <v/>
      </c>
      <c r="C67" t="str">
        <f>IF('Equipment Information'!C67="","", 'Equipment Information'!C67)</f>
        <v>Packaging</v>
      </c>
      <c r="I67" t="str">
        <f t="shared" si="1"/>
        <v>N/A</v>
      </c>
    </row>
    <row r="68" spans="1:9" x14ac:dyDescent="0.25">
      <c r="A68" t="str">
        <f>IF('Equipment Information'!A68="","", 'Equipment Information'!A68)</f>
        <v>20260714</v>
      </c>
      <c r="B68" t="str">
        <f>IF('Equipment Information'!B68="","", 'Equipment Information'!B68)</f>
        <v>LP-1</v>
      </c>
      <c r="C68" t="str">
        <f>IF('Equipment Information'!C68="","", 'Equipment Information'!C68)</f>
        <v>Receiving Station</v>
      </c>
      <c r="I68" t="str">
        <f t="shared" si="1"/>
        <v>N/A</v>
      </c>
    </row>
    <row r="69" spans="1:9" x14ac:dyDescent="0.25">
      <c r="A69" t="str">
        <f>IF('Equipment Information'!A69="","", 'Equipment Information'!A69)</f>
        <v>20260715</v>
      </c>
      <c r="B69" t="str">
        <f>IF('Equipment Information'!B69="","", 'Equipment Information'!B69)</f>
        <v>Photo-Eye Ctl'd Contactor</v>
      </c>
      <c r="C69" t="str">
        <f>IF('Equipment Information'!C69="","", 'Equipment Information'!C69)</f>
        <v>Receiving Station</v>
      </c>
      <c r="I69" t="str">
        <f t="shared" si="1"/>
        <v>N/A</v>
      </c>
    </row>
    <row r="70" spans="1:9" x14ac:dyDescent="0.25">
      <c r="A70" t="str">
        <f>IF('Equipment Information'!A70="","", 'Equipment Information'!A70)</f>
        <v>20260716</v>
      </c>
      <c r="B70" t="str">
        <f>IF('Equipment Information'!B70="","", 'Equipment Information'!B70)</f>
        <v>LP1A</v>
      </c>
      <c r="C70" t="str">
        <f>IF('Equipment Information'!C70="","", 'Equipment Information'!C70)</f>
        <v>Receiving Station</v>
      </c>
      <c r="I70" t="str">
        <f t="shared" si="1"/>
        <v>N/A</v>
      </c>
    </row>
    <row r="71" spans="1:9" x14ac:dyDescent="0.25">
      <c r="A71" t="str">
        <f>IF('Equipment Information'!A71="","", 'Equipment Information'!A71)</f>
        <v>20260717</v>
      </c>
      <c r="B71" t="str">
        <f>IF('Equipment Information'!B71="","", 'Equipment Information'!B71)</f>
        <v>Pool Pump #1 Main Disconnect</v>
      </c>
      <c r="C71" t="str">
        <f>IF('Equipment Information'!C71="","", 'Equipment Information'!C71)</f>
        <v>Receiving Station</v>
      </c>
      <c r="I71" t="str">
        <f t="shared" si="1"/>
        <v>N/A</v>
      </c>
    </row>
    <row r="72" spans="1:9" x14ac:dyDescent="0.25">
      <c r="A72" t="str">
        <f>IF('Equipment Information'!A72="","", 'Equipment Information'!A72)</f>
        <v>20260718</v>
      </c>
      <c r="B72" t="str">
        <f>IF('Equipment Information'!B72="","", 'Equipment Information'!B72)</f>
        <v>Pool Pump #2 Main Disconnect</v>
      </c>
      <c r="C72" t="str">
        <f>IF('Equipment Information'!C72="","", 'Equipment Information'!C72)</f>
        <v>Receiving Station</v>
      </c>
      <c r="I72" t="str">
        <f t="shared" si="1"/>
        <v>N/A</v>
      </c>
    </row>
    <row r="73" spans="1:9" x14ac:dyDescent="0.25">
      <c r="A73" t="str">
        <f>IF('Equipment Information'!A73="","", 'Equipment Information'!A73)</f>
        <v>20260719</v>
      </c>
      <c r="B73" t="str">
        <f>IF('Equipment Information'!B73="","", 'Equipment Information'!B73)</f>
        <v>Pool Pump #1 VFD</v>
      </c>
      <c r="C73" t="str">
        <f>IF('Equipment Information'!C73="","", 'Equipment Information'!C73)</f>
        <v>Receiving Station</v>
      </c>
      <c r="I73" t="str">
        <f t="shared" si="1"/>
        <v>N/A</v>
      </c>
    </row>
    <row r="74" spans="1:9" x14ac:dyDescent="0.25">
      <c r="A74" t="str">
        <f>IF('Equipment Information'!A74="","", 'Equipment Information'!A74)</f>
        <v>20260720</v>
      </c>
      <c r="B74" t="str">
        <f>IF('Equipment Information'!B74="","", 'Equipment Information'!B74)</f>
        <v>Pool Pump #2 VFD</v>
      </c>
      <c r="C74" t="str">
        <f>IF('Equipment Information'!C74="","", 'Equipment Information'!C74)</f>
        <v>Receiving Station</v>
      </c>
      <c r="I74" t="str">
        <f t="shared" si="1"/>
        <v>N/A</v>
      </c>
    </row>
    <row r="75" spans="1:9" x14ac:dyDescent="0.25">
      <c r="A75" t="str">
        <f>IF('Equipment Information'!A75="","", 'Equipment Information'!A75)</f>
        <v>20260721</v>
      </c>
      <c r="B75" t="str">
        <f>IF('Equipment Information'!B75="","", 'Equipment Information'!B75)</f>
        <v>45 kVA Transformer</v>
      </c>
      <c r="C75" t="str">
        <f>IF('Equipment Information'!C75="","", 'Equipment Information'!C75)</f>
        <v>Receiving Station</v>
      </c>
      <c r="I75" t="str">
        <f t="shared" si="1"/>
        <v>N/A</v>
      </c>
    </row>
    <row r="76" spans="1:9" x14ac:dyDescent="0.25">
      <c r="A76" t="str">
        <f>IF('Equipment Information'!A76="","", 'Equipment Information'!A76)</f>
        <v>20260722</v>
      </c>
      <c r="B76" t="str">
        <f>IF('Equipment Information'!B76="","", 'Equipment Information'!B76)</f>
        <v>45 kVA Transformer Disconnect</v>
      </c>
      <c r="C76" t="str">
        <f>IF('Equipment Information'!C76="","", 'Equipment Information'!C76)</f>
        <v>Receiving Station</v>
      </c>
      <c r="I76" t="str">
        <f t="shared" si="1"/>
        <v>N/A</v>
      </c>
    </row>
    <row r="77" spans="1:9" x14ac:dyDescent="0.25">
      <c r="A77" t="str">
        <f>IF('Equipment Information'!A77="","", 'Equipment Information'!A77)</f>
        <v>20260723</v>
      </c>
      <c r="B77" t="str">
        <f>IF('Equipment Information'!B77="","", 'Equipment Information'!B77)</f>
        <v>Bay 25 480V Outlet Disconnect</v>
      </c>
      <c r="C77" t="str">
        <f>IF('Equipment Information'!C77="","", 'Equipment Information'!C77)</f>
        <v>Receiving Station</v>
      </c>
      <c r="I77" t="str">
        <f t="shared" si="1"/>
        <v>N/A</v>
      </c>
    </row>
    <row r="78" spans="1:9" x14ac:dyDescent="0.25">
      <c r="A78" t="str">
        <f>IF('Equipment Information'!A78="","", 'Equipment Information'!A78)</f>
        <v>20260724</v>
      </c>
      <c r="B78" t="str">
        <f>IF('Equipment Information'!B78="","", 'Equipment Information'!B78)</f>
        <v>Compressor Disconnect</v>
      </c>
      <c r="C78" t="str">
        <f>IF('Equipment Information'!C78="","", 'Equipment Information'!C78)</f>
        <v>Receiving Station</v>
      </c>
      <c r="I78" t="str">
        <f t="shared" si="1"/>
        <v>N/A</v>
      </c>
    </row>
    <row r="79" spans="1:9" x14ac:dyDescent="0.25">
      <c r="A79" t="str">
        <f>IF('Equipment Information'!A79="","", 'Equipment Information'!A79)</f>
        <v>20260725</v>
      </c>
      <c r="B79" t="str">
        <f>IF('Equipment Information'!B79="","", 'Equipment Information'!B79)</f>
        <v>PP1 Transformer Disconnect</v>
      </c>
      <c r="C79" t="str">
        <f>IF('Equipment Information'!C79="","", 'Equipment Information'!C79)</f>
        <v>Receiving Station</v>
      </c>
      <c r="I79" t="str">
        <f t="shared" si="1"/>
        <v>N/A</v>
      </c>
    </row>
    <row r="80" spans="1:9" x14ac:dyDescent="0.25">
      <c r="A80" t="str">
        <f>IF('Equipment Information'!A80="","", 'Equipment Information'!A80)</f>
        <v>20260726</v>
      </c>
      <c r="B80" t="str">
        <f>IF('Equipment Information'!B80="","", 'Equipment Information'!B80)</f>
        <v>PP1 Welding Recept. Disconnect</v>
      </c>
      <c r="C80" t="str">
        <f>IF('Equipment Information'!C80="","", 'Equipment Information'!C80)</f>
        <v>Receiving Station</v>
      </c>
      <c r="I80" t="str">
        <f t="shared" si="1"/>
        <v>N/A</v>
      </c>
    </row>
    <row r="81" spans="1:9" x14ac:dyDescent="0.25">
      <c r="A81" t="str">
        <f>IF('Equipment Information'!A81="","", 'Equipment Information'!A81)</f>
        <v>20260727</v>
      </c>
      <c r="B81" t="str">
        <f>IF('Equipment Information'!B81="","", 'Equipment Information'!B81)</f>
        <v>PP-1</v>
      </c>
      <c r="C81" t="str">
        <f>IF('Equipment Information'!C81="","", 'Equipment Information'!C81)</f>
        <v>Receiving Station</v>
      </c>
      <c r="I81" t="str">
        <f t="shared" si="1"/>
        <v>N/A</v>
      </c>
    </row>
    <row r="82" spans="1:9" x14ac:dyDescent="0.25">
      <c r="A82" t="str">
        <f>IF('Equipment Information'!A82="","", 'Equipment Information'!A82)</f>
        <v>20260728</v>
      </c>
      <c r="B82" t="str">
        <f>IF('Equipment Information'!B82="","", 'Equipment Information'!B82)</f>
        <v>OH XFMR</v>
      </c>
      <c r="C82" t="str">
        <f>IF('Equipment Information'!C82="","", 'Equipment Information'!C82)</f>
        <v>Receiving Station</v>
      </c>
      <c r="I82" t="str">
        <f t="shared" si="1"/>
        <v>N/A</v>
      </c>
    </row>
    <row r="83" spans="1:9" x14ac:dyDescent="0.25">
      <c r="A83" t="str">
        <f>IF('Equipment Information'!A83="","", 'Equipment Information'!A83)</f>
        <v>20260729</v>
      </c>
      <c r="B83" t="str">
        <f>IF('Equipment Information'!B83="","", 'Equipment Information'!B83)</f>
        <v>LP-2</v>
      </c>
      <c r="C83" t="str">
        <f>IF('Equipment Information'!C83="","", 'Equipment Information'!C83)</f>
        <v>Receiving Station</v>
      </c>
      <c r="I83" t="str">
        <f t="shared" si="1"/>
        <v>N/A</v>
      </c>
    </row>
    <row r="84" spans="1:9" x14ac:dyDescent="0.25">
      <c r="A84" t="str">
        <f>IF('Equipment Information'!A84="","", 'Equipment Information'!A84)</f>
        <v>20260730</v>
      </c>
      <c r="B84" t="str">
        <f>IF('Equipment Information'!B84="","", 'Equipment Information'!B84)</f>
        <v>Weld Gutter Disconnect</v>
      </c>
      <c r="C84" t="str">
        <f>IF('Equipment Information'!C84="","", 'Equipment Information'!C84)</f>
        <v>Receiving Station</v>
      </c>
      <c r="I84" t="str">
        <f t="shared" si="1"/>
        <v>N/A</v>
      </c>
    </row>
    <row r="85" spans="1:9" x14ac:dyDescent="0.25">
      <c r="A85" t="str">
        <f>IF('Equipment Information'!A85="","", 'Equipment Information'!A85)</f>
        <v>20260731</v>
      </c>
      <c r="B85" t="str">
        <f>IF('Equipment Information'!B85="","", 'Equipment Information'!B85)</f>
        <v>OH XFMR</v>
      </c>
      <c r="C85" t="str">
        <f>IF('Equipment Information'!C85="","", 'Equipment Information'!C85)</f>
        <v>Receiving Station</v>
      </c>
      <c r="I85" t="str">
        <f t="shared" si="1"/>
        <v>N/A</v>
      </c>
    </row>
    <row r="86" spans="1:9" x14ac:dyDescent="0.25">
      <c r="A86" t="str">
        <f>IF('Equipment Information'!A86="","", 'Equipment Information'!A86)</f>
        <v>20260732</v>
      </c>
      <c r="B86" t="str">
        <f>IF('Equipment Information'!B86="","", 'Equipment Information'!B86)</f>
        <v>Lighting XFMR Disconnect</v>
      </c>
      <c r="C86" t="str">
        <f>IF('Equipment Information'!C86="","", 'Equipment Information'!C86)</f>
        <v>Receiving Station</v>
      </c>
      <c r="I86" t="str">
        <f t="shared" si="1"/>
        <v>N/A</v>
      </c>
    </row>
    <row r="87" spans="1:9" x14ac:dyDescent="0.25">
      <c r="A87" t="str">
        <f>IF('Equipment Information'!A87="","", 'Equipment Information'!A87)</f>
        <v>20260733</v>
      </c>
      <c r="B87" t="str">
        <f>IF('Equipment Information'!B87="","", 'Equipment Information'!B87)</f>
        <v>Pool Pump #6/7 Disconnect</v>
      </c>
      <c r="C87" t="str">
        <f>IF('Equipment Information'!C87="","", 'Equipment Information'!C87)</f>
        <v>Receiving Station</v>
      </c>
      <c r="I87" t="str">
        <f t="shared" si="1"/>
        <v>N/A</v>
      </c>
    </row>
    <row r="88" spans="1:9" x14ac:dyDescent="0.25">
      <c r="A88" t="str">
        <f>IF('Equipment Information'!A88="","", 'Equipment Information'!A88)</f>
        <v>20260734</v>
      </c>
      <c r="B88" t="str">
        <f>IF('Equipment Information'!B88="","", 'Equipment Information'!B88)</f>
        <v>Trash Conveyor Disconnect</v>
      </c>
      <c r="C88" t="str">
        <f>IF('Equipment Information'!C88="","", 'Equipment Information'!C88)</f>
        <v>Receiving Station</v>
      </c>
      <c r="I88" t="str">
        <f t="shared" si="1"/>
        <v>N/A</v>
      </c>
    </row>
    <row r="89" spans="1:9" x14ac:dyDescent="0.25">
      <c r="A89" t="str">
        <f>IF('Equipment Information'!A89="","", 'Equipment Information'!A89)</f>
        <v>20260735</v>
      </c>
      <c r="B89" t="str">
        <f>IF('Equipment Information'!B89="","", 'Equipment Information'!B89)</f>
        <v>Dewatering Table Disconnect</v>
      </c>
      <c r="C89" t="str">
        <f>IF('Equipment Information'!C89="","", 'Equipment Information'!C89)</f>
        <v>Receiving Station</v>
      </c>
      <c r="I89" t="str">
        <f t="shared" si="1"/>
        <v>N/A</v>
      </c>
    </row>
    <row r="90" spans="1:9" x14ac:dyDescent="0.25">
      <c r="A90" t="str">
        <f>IF('Equipment Information'!A90="","", 'Equipment Information'!A90)</f>
        <v>20260736</v>
      </c>
      <c r="B90" t="str">
        <f>IF('Equipment Information'!B90="","", 'Equipment Information'!B90)</f>
        <v>Recycling Pump Disconnect</v>
      </c>
      <c r="C90" t="str">
        <f>IF('Equipment Information'!C90="","", 'Equipment Information'!C90)</f>
        <v>Receiving Station</v>
      </c>
      <c r="I90" t="str">
        <f t="shared" si="1"/>
        <v>N/A</v>
      </c>
    </row>
    <row r="91" spans="1:9" x14ac:dyDescent="0.25">
      <c r="A91" t="str">
        <f>IF('Equipment Information'!A91="","", 'Equipment Information'!A91)</f>
        <v>20260737</v>
      </c>
      <c r="B91" t="str">
        <f>IF('Equipment Information'!B91="","", 'Equipment Information'!B91)</f>
        <v>Trash Conveyor Starter</v>
      </c>
      <c r="C91" t="str">
        <f>IF('Equipment Information'!C91="","", 'Equipment Information'!C91)</f>
        <v>Receiving Station</v>
      </c>
      <c r="I91" t="str">
        <f t="shared" si="1"/>
        <v>N/A</v>
      </c>
    </row>
    <row r="92" spans="1:9" x14ac:dyDescent="0.25">
      <c r="A92" t="str">
        <f>IF('Equipment Information'!A92="","", 'Equipment Information'!A92)</f>
        <v>20260738</v>
      </c>
      <c r="B92" t="str">
        <f>IF('Equipment Information'!B92="","", 'Equipment Information'!B92)</f>
        <v>Dewatering Table Starter</v>
      </c>
      <c r="C92" t="str">
        <f>IF('Equipment Information'!C92="","", 'Equipment Information'!C92)</f>
        <v>Receiving Station</v>
      </c>
      <c r="I92" t="str">
        <f t="shared" si="1"/>
        <v>N/A</v>
      </c>
    </row>
    <row r="93" spans="1:9" x14ac:dyDescent="0.25">
      <c r="A93" t="str">
        <f>IF('Equipment Information'!A93="","", 'Equipment Information'!A93)</f>
        <v>20260739</v>
      </c>
      <c r="B93" t="str">
        <f>IF('Equipment Information'!B93="","", 'Equipment Information'!B93)</f>
        <v>CIP System #2</v>
      </c>
      <c r="C93" t="str">
        <f>IF('Equipment Information'!C93="","", 'Equipment Information'!C93)</f>
        <v>Production Area</v>
      </c>
      <c r="I93" t="str">
        <f t="shared" si="1"/>
        <v>N/A</v>
      </c>
    </row>
    <row r="94" spans="1:9" x14ac:dyDescent="0.25">
      <c r="A94" t="str">
        <f>IF('Equipment Information'!A94="","", 'Equipment Information'!A94)</f>
        <v>20260740</v>
      </c>
      <c r="B94" t="str">
        <f>IF('Equipment Information'!B94="","", 'Equipment Information'!B94)</f>
        <v>BD1</v>
      </c>
      <c r="C94" t="str">
        <f>IF('Equipment Information'!C94="","", 'Equipment Information'!C94)</f>
        <v>Production Area</v>
      </c>
      <c r="I94" t="str">
        <f t="shared" si="1"/>
        <v>N/A</v>
      </c>
    </row>
    <row r="95" spans="1:9" x14ac:dyDescent="0.25">
      <c r="A95" t="str">
        <f>IF('Equipment Information'!A95="","", 'Equipment Information'!A95)</f>
        <v>20260741</v>
      </c>
      <c r="B95" t="str">
        <f>IF('Equipment Information'!B95="","", 'Equipment Information'!B95)</f>
        <v>SLS-19</v>
      </c>
      <c r="C95" t="str">
        <f>IF('Equipment Information'!C95="","", 'Equipment Information'!C95)</f>
        <v>Production Area</v>
      </c>
      <c r="I95" t="str">
        <f t="shared" si="1"/>
        <v>N/A</v>
      </c>
    </row>
    <row r="96" spans="1:9" x14ac:dyDescent="0.25">
      <c r="A96" t="str">
        <f>IF('Equipment Information'!A96="","", 'Equipment Information'!A96)</f>
        <v>20260742</v>
      </c>
      <c r="B96" t="str">
        <f>IF('Equipment Information'!B96="","", 'Equipment Information'!B96)</f>
        <v>SPX</v>
      </c>
      <c r="C96" t="str">
        <f>IF('Equipment Information'!C96="","", 'Equipment Information'!C96)</f>
        <v>Production Area</v>
      </c>
      <c r="I96" t="str">
        <f t="shared" si="1"/>
        <v>N/A</v>
      </c>
    </row>
    <row r="97" spans="1:9" x14ac:dyDescent="0.25">
      <c r="A97" t="str">
        <f>IF('Equipment Information'!A97="","", 'Equipment Information'!A97)</f>
        <v>20260743</v>
      </c>
      <c r="B97" t="str">
        <f>IF('Equipment Information'!B97="","", 'Equipment Information'!B97)</f>
        <v>MCC #4 [Sec.1]</v>
      </c>
      <c r="C97" t="str">
        <f>IF('Equipment Information'!C97="","", 'Equipment Information'!C97)</f>
        <v>Production Area</v>
      </c>
      <c r="I97" t="str">
        <f t="shared" si="1"/>
        <v>N/A</v>
      </c>
    </row>
    <row r="98" spans="1:9" x14ac:dyDescent="0.25">
      <c r="A98" t="str">
        <f>IF('Equipment Information'!A98="","", 'Equipment Information'!A98)</f>
        <v>20260744</v>
      </c>
      <c r="B98" t="str">
        <f>IF('Equipment Information'!B98="","", 'Equipment Information'!B98)</f>
        <v>MCC #4 [Sec.2]</v>
      </c>
      <c r="C98" t="str">
        <f>IF('Equipment Information'!C98="","", 'Equipment Information'!C98)</f>
        <v>Production Area</v>
      </c>
      <c r="I98" t="str">
        <f t="shared" si="1"/>
        <v>N/A</v>
      </c>
    </row>
    <row r="99" spans="1:9" x14ac:dyDescent="0.25">
      <c r="A99" t="str">
        <f>IF('Equipment Information'!A99="","", 'Equipment Information'!A99)</f>
        <v>20260745</v>
      </c>
      <c r="B99" t="str">
        <f>IF('Equipment Information'!B99="","", 'Equipment Information'!B99)</f>
        <v>MCC #4 [Sec.3]</v>
      </c>
      <c r="C99" t="str">
        <f>IF('Equipment Information'!C99="","", 'Equipment Information'!C99)</f>
        <v>Production Area</v>
      </c>
      <c r="I99" t="str">
        <f t="shared" si="1"/>
        <v>N/A</v>
      </c>
    </row>
    <row r="100" spans="1:9" x14ac:dyDescent="0.25">
      <c r="A100" t="str">
        <f>IF('Equipment Information'!A100="","", 'Equipment Information'!A100)</f>
        <v>20260746</v>
      </c>
      <c r="B100" t="str">
        <f>IF('Equipment Information'!B100="","", 'Equipment Information'!B100)</f>
        <v>CP-Evap. #1 Disconnect</v>
      </c>
      <c r="C100" t="str">
        <f>IF('Equipment Information'!C100="","", 'Equipment Information'!C100)</f>
        <v>Production Area</v>
      </c>
      <c r="I100" t="str">
        <f t="shared" si="1"/>
        <v>N/A</v>
      </c>
    </row>
    <row r="101" spans="1:9" x14ac:dyDescent="0.25">
      <c r="A101" t="str">
        <f>IF('Equipment Information'!A101="","", 'Equipment Information'!A101)</f>
        <v>20260747</v>
      </c>
      <c r="B101" t="str">
        <f>IF('Equipment Information'!B101="","", 'Equipment Information'!B101)</f>
        <v>Evaporator #1 [Sec. 1]</v>
      </c>
      <c r="C101" t="str">
        <f>IF('Equipment Information'!C101="","", 'Equipment Information'!C101)</f>
        <v>Production Area</v>
      </c>
      <c r="I101" t="str">
        <f t="shared" si="1"/>
        <v>N/A</v>
      </c>
    </row>
    <row r="102" spans="1:9" x14ac:dyDescent="0.25">
      <c r="A102" t="str">
        <f>IF('Equipment Information'!A102="","", 'Equipment Information'!A102)</f>
        <v>20260748</v>
      </c>
      <c r="B102" t="str">
        <f>IF('Equipment Information'!B102="","", 'Equipment Information'!B102)</f>
        <v>Evaporator #1 [Sec. 2]</v>
      </c>
      <c r="C102" t="str">
        <f>IF('Equipment Information'!C102="","", 'Equipment Information'!C102)</f>
        <v>Production Area</v>
      </c>
      <c r="I102" t="str">
        <f t="shared" si="1"/>
        <v>N/A</v>
      </c>
    </row>
    <row r="103" spans="1:9" x14ac:dyDescent="0.25">
      <c r="A103" t="str">
        <f>IF('Equipment Information'!A103="","", 'Equipment Information'!A103)</f>
        <v>20260749</v>
      </c>
      <c r="B103" t="str">
        <f>IF('Equipment Information'!B103="","", 'Equipment Information'!B103)</f>
        <v xml:space="preserve">Pig Systems </v>
      </c>
      <c r="C103" t="str">
        <f>IF('Equipment Information'!C103="","", 'Equipment Information'!C103)</f>
        <v>Production Area</v>
      </c>
      <c r="I103" t="str">
        <f t="shared" si="1"/>
        <v>N/A</v>
      </c>
    </row>
    <row r="104" spans="1:9" x14ac:dyDescent="0.25">
      <c r="A104" t="str">
        <f>IF('Equipment Information'!A104="","", 'Equipment Information'!A104)</f>
        <v>20260750</v>
      </c>
      <c r="B104" t="str">
        <f>IF('Equipment Information'!B104="","", 'Equipment Information'!B104)</f>
        <v>CP-Silo Alley</v>
      </c>
      <c r="C104" t="str">
        <f>IF('Equipment Information'!C104="","", 'Equipment Information'!C104)</f>
        <v>Production Area</v>
      </c>
      <c r="I104" t="str">
        <f t="shared" si="1"/>
        <v>N/A</v>
      </c>
    </row>
    <row r="105" spans="1:9" x14ac:dyDescent="0.25">
      <c r="A105" t="str">
        <f>IF('Equipment Information'!A105="","", 'Equipment Information'!A105)</f>
        <v>20260751</v>
      </c>
      <c r="B105" t="str">
        <f>IF('Equipment Information'!B105="","", 'Equipment Information'!B105)</f>
        <v>RO-1</v>
      </c>
      <c r="C105" t="str">
        <f>IF('Equipment Information'!C105="","", 'Equipment Information'!C105)</f>
        <v>Production Area</v>
      </c>
      <c r="I105" t="str">
        <f t="shared" si="1"/>
        <v>N/A</v>
      </c>
    </row>
    <row r="106" spans="1:9" x14ac:dyDescent="0.25">
      <c r="A106" t="str">
        <f>IF('Equipment Information'!A106="","", 'Equipment Information'!A106)</f>
        <v>20260752</v>
      </c>
      <c r="B106" t="str">
        <f>IF('Equipment Information'!B106="","", 'Equipment Information'!B106)</f>
        <v>KOCH Sytems Controller</v>
      </c>
      <c r="C106" t="str">
        <f>IF('Equipment Information'!C106="","", 'Equipment Information'!C106)</f>
        <v>Production Area</v>
      </c>
      <c r="I106" t="str">
        <f t="shared" si="1"/>
        <v>N/A</v>
      </c>
    </row>
    <row r="107" spans="1:9" x14ac:dyDescent="0.25">
      <c r="A107" t="str">
        <f>IF('Equipment Information'!A107="","", 'Equipment Information'!A107)</f>
        <v>20260753</v>
      </c>
      <c r="B107" t="str">
        <f>IF('Equipment Information'!B107="","", 'Equipment Information'!B107)</f>
        <v>KOCH Sytems Controls</v>
      </c>
      <c r="C107" t="str">
        <f>IF('Equipment Information'!C107="","", 'Equipment Information'!C107)</f>
        <v>Production Area</v>
      </c>
      <c r="I107" t="str">
        <f t="shared" si="1"/>
        <v>N/A</v>
      </c>
    </row>
    <row r="108" spans="1:9" x14ac:dyDescent="0.25">
      <c r="A108" t="str">
        <f>IF('Equipment Information'!A108="","", 'Equipment Information'!A108)</f>
        <v>20260754</v>
      </c>
      <c r="B108" t="str">
        <f>IF('Equipment Information'!B108="","", 'Equipment Information'!B108)</f>
        <v>Evaporator #3</v>
      </c>
      <c r="C108" t="str">
        <f>IF('Equipment Information'!C108="","", 'Equipment Information'!C108)</f>
        <v>Production Area</v>
      </c>
      <c r="I108" t="str">
        <f t="shared" si="1"/>
        <v>N/A</v>
      </c>
    </row>
    <row r="109" spans="1:9" x14ac:dyDescent="0.25">
      <c r="A109" t="str">
        <f>IF('Equipment Information'!A109="","", 'Equipment Information'!A109)</f>
        <v>20260755</v>
      </c>
      <c r="B109" t="str">
        <f>IF('Equipment Information'!B109="","", 'Equipment Information'!B109)</f>
        <v>CP-Evap. #3 Disconnect</v>
      </c>
      <c r="C109" t="str">
        <f>IF('Equipment Information'!C109="","", 'Equipment Information'!C109)</f>
        <v>Production Area</v>
      </c>
      <c r="I109" t="str">
        <f t="shared" si="1"/>
        <v>N/A</v>
      </c>
    </row>
    <row r="110" spans="1:9" x14ac:dyDescent="0.25">
      <c r="A110" t="str">
        <f>IF('Equipment Information'!A110="","", 'Equipment Information'!A110)</f>
        <v>20260756</v>
      </c>
      <c r="B110" t="str">
        <f>IF('Equipment Information'!B110="","", 'Equipment Information'!B110)</f>
        <v>CP-DTS Sub Line #1 [Sec. 1]</v>
      </c>
      <c r="C110" t="str">
        <f>IF('Equipment Information'!C110="","", 'Equipment Information'!C110)</f>
        <v>Production Area</v>
      </c>
      <c r="I110" t="str">
        <f t="shared" si="1"/>
        <v>N/A</v>
      </c>
    </row>
    <row r="111" spans="1:9" x14ac:dyDescent="0.25">
      <c r="A111" t="str">
        <f>IF('Equipment Information'!A111="","", 'Equipment Information'!A111)</f>
        <v>20260757</v>
      </c>
      <c r="B111" t="str">
        <f>IF('Equipment Information'!B111="","", 'Equipment Information'!B111)</f>
        <v>CP-DTS Sub Line #1 [Sec. 2]</v>
      </c>
      <c r="C111" t="str">
        <f>IF('Equipment Information'!C111="","", 'Equipment Information'!C111)</f>
        <v>Production Area</v>
      </c>
      <c r="I111" t="str">
        <f t="shared" si="1"/>
        <v>N/A</v>
      </c>
    </row>
    <row r="112" spans="1:9" x14ac:dyDescent="0.25">
      <c r="A112" t="str">
        <f>IF('Equipment Information'!A112="","", 'Equipment Information'!A112)</f>
        <v>20260758</v>
      </c>
      <c r="B112" t="str">
        <f>IF('Equipment Information'!B112="","", 'Equipment Information'!B112)</f>
        <v>CP-DTS Sub Line #1 [Sec. 3]</v>
      </c>
      <c r="C112" t="str">
        <f>IF('Equipment Information'!C112="","", 'Equipment Information'!C112)</f>
        <v>Production Area</v>
      </c>
      <c r="I112" t="str">
        <f t="shared" si="1"/>
        <v>N/A</v>
      </c>
    </row>
    <row r="113" spans="1:9" x14ac:dyDescent="0.25">
      <c r="A113" t="str">
        <f>IF('Equipment Information'!A113="","", 'Equipment Information'!A113)</f>
        <v>20260759</v>
      </c>
      <c r="B113" t="str">
        <f>IF('Equipment Information'!B113="","", 'Equipment Information'!B113)</f>
        <v>DP-1</v>
      </c>
      <c r="C113" t="str">
        <f>IF('Equipment Information'!C113="","", 'Equipment Information'!C113)</f>
        <v>Production Area</v>
      </c>
      <c r="I113" t="str">
        <f t="shared" si="1"/>
        <v>N/A</v>
      </c>
    </row>
    <row r="114" spans="1:9" x14ac:dyDescent="0.25">
      <c r="A114" t="str">
        <f>IF('Equipment Information'!A114="","", 'Equipment Information'!A114)</f>
        <v>20260760</v>
      </c>
      <c r="B114" t="str">
        <f>IF('Equipment Information'!B114="","", 'Equipment Information'!B114)</f>
        <v>P-1</v>
      </c>
      <c r="C114" t="str">
        <f>IF('Equipment Information'!C114="","", 'Equipment Information'!C114)</f>
        <v>Production Area</v>
      </c>
      <c r="I114" t="str">
        <f t="shared" si="1"/>
        <v>N/A</v>
      </c>
    </row>
    <row r="115" spans="1:9" x14ac:dyDescent="0.25">
      <c r="A115" t="str">
        <f>IF('Equipment Information'!A115="","", 'Equipment Information'!A115)</f>
        <v>20260761</v>
      </c>
      <c r="B115" t="str">
        <f>IF('Equipment Information'!B115="","", 'Equipment Information'!B115)</f>
        <v>FS-Slice Line</v>
      </c>
      <c r="C115" t="str">
        <f>IF('Equipment Information'!C115="","", 'Equipment Information'!C115)</f>
        <v>Production Area</v>
      </c>
      <c r="I115" t="str">
        <f t="shared" si="1"/>
        <v>N/A</v>
      </c>
    </row>
    <row r="116" spans="1:9" x14ac:dyDescent="0.25">
      <c r="A116" t="str">
        <f>IF('Equipment Information'!A116="","", 'Equipment Information'!A116)</f>
        <v>20260762</v>
      </c>
      <c r="B116" t="str">
        <f>IF('Equipment Information'!B116="","", 'Equipment Information'!B116)</f>
        <v>OH XFMR</v>
      </c>
      <c r="C116" t="str">
        <f>IF('Equipment Information'!C116="","", 'Equipment Information'!C116)</f>
        <v>Production Area</v>
      </c>
      <c r="I116" t="str">
        <f t="shared" si="1"/>
        <v>N/A</v>
      </c>
    </row>
    <row r="117" spans="1:9" x14ac:dyDescent="0.25">
      <c r="A117" t="str">
        <f>IF('Equipment Information'!A117="","", 'Equipment Information'!A117)</f>
        <v>20260763</v>
      </c>
      <c r="B117" t="str">
        <f>IF('Equipment Information'!B117="","", 'Equipment Information'!B117)</f>
        <v>CP-1 [Sec. 1]</v>
      </c>
      <c r="C117" t="str">
        <f>IF('Equipment Information'!C117="","", 'Equipment Information'!C117)</f>
        <v>Production Area</v>
      </c>
      <c r="I117" t="str">
        <f t="shared" si="1"/>
        <v>N/A</v>
      </c>
    </row>
    <row r="118" spans="1:9" x14ac:dyDescent="0.25">
      <c r="A118" t="str">
        <f>IF('Equipment Information'!A118="","", 'Equipment Information'!A118)</f>
        <v>20260764</v>
      </c>
      <c r="B118" t="str">
        <f>IF('Equipment Information'!B118="","", 'Equipment Information'!B118)</f>
        <v>CP-1 [Sec. 2]</v>
      </c>
      <c r="C118" t="str">
        <f>IF('Equipment Information'!C118="","", 'Equipment Information'!C118)</f>
        <v>Production Area</v>
      </c>
      <c r="I118" t="str">
        <f t="shared" si="1"/>
        <v>N/A</v>
      </c>
    </row>
    <row r="119" spans="1:9" x14ac:dyDescent="0.25">
      <c r="A119" t="str">
        <f>IF('Equipment Information'!A119="","", 'Equipment Information'!A119)</f>
        <v>20260765</v>
      </c>
      <c r="B119" t="str">
        <f>IF('Equipment Information'!B119="","", 'Equipment Information'!B119)</f>
        <v>CP-1 [Sec. 3]</v>
      </c>
      <c r="C119" t="str">
        <f>IF('Equipment Information'!C119="","", 'Equipment Information'!C119)</f>
        <v>Production Area</v>
      </c>
      <c r="I119" t="str">
        <f t="shared" si="1"/>
        <v>N/A</v>
      </c>
    </row>
    <row r="120" spans="1:9" x14ac:dyDescent="0.25">
      <c r="A120" t="str">
        <f>IF('Equipment Information'!A120="","", 'Equipment Information'!A120)</f>
        <v>20260766</v>
      </c>
      <c r="B120" t="str">
        <f>IF('Equipment Information'!B120="","", 'Equipment Information'!B120)</f>
        <v>CP-DTS Sub Line #2 [Sec. 1]</v>
      </c>
      <c r="C120" t="str">
        <f>IF('Equipment Information'!C120="","", 'Equipment Information'!C120)</f>
        <v>Production Area</v>
      </c>
      <c r="I120" t="str">
        <f t="shared" si="1"/>
        <v>N/A</v>
      </c>
    </row>
    <row r="121" spans="1:9" x14ac:dyDescent="0.25">
      <c r="A121" t="str">
        <f>IF('Equipment Information'!A121="","", 'Equipment Information'!A121)</f>
        <v>20260767</v>
      </c>
      <c r="B121" t="str">
        <f>IF('Equipment Information'!B121="","", 'Equipment Information'!B121)</f>
        <v>CP-DTS Sub Line #2 [Sec. 2]</v>
      </c>
      <c r="C121" t="str">
        <f>IF('Equipment Information'!C121="","", 'Equipment Information'!C121)</f>
        <v>Production Area</v>
      </c>
      <c r="I121" t="str">
        <f t="shared" si="1"/>
        <v>N/A</v>
      </c>
    </row>
    <row r="122" spans="1:9" x14ac:dyDescent="0.25">
      <c r="A122" t="str">
        <f>IF('Equipment Information'!A122="","", 'Equipment Information'!A122)</f>
        <v>20260768</v>
      </c>
      <c r="B122" t="str">
        <f>IF('Equipment Information'!B122="","", 'Equipment Information'!B122)</f>
        <v>CP-DTS Sub Line #2 [Sec.3]</v>
      </c>
      <c r="C122" t="str">
        <f>IF('Equipment Information'!C122="","", 'Equipment Information'!C122)</f>
        <v>Production Area</v>
      </c>
      <c r="I122" t="str">
        <f t="shared" si="1"/>
        <v>N/A</v>
      </c>
    </row>
    <row r="123" spans="1:9" x14ac:dyDescent="0.25">
      <c r="A123" t="str">
        <f>IF('Equipment Information'!A123="","", 'Equipment Information'!A123)</f>
        <v>20260769</v>
      </c>
      <c r="B123" t="str">
        <f>IF('Equipment Information'!B123="","", 'Equipment Information'!B123)</f>
        <v>DP-2</v>
      </c>
      <c r="C123" t="str">
        <f>IF('Equipment Information'!C123="","", 'Equipment Information'!C123)</f>
        <v>Production Area</v>
      </c>
      <c r="I123" t="str">
        <f t="shared" si="1"/>
        <v>N/A</v>
      </c>
    </row>
    <row r="124" spans="1:9" x14ac:dyDescent="0.25">
      <c r="A124" t="str">
        <f>IF('Equipment Information'!A124="","", 'Equipment Information'!A124)</f>
        <v>20260770</v>
      </c>
      <c r="B124" t="str">
        <f>IF('Equipment Information'!B124="","", 'Equipment Information'!B124)</f>
        <v>Exhasut Fan Cabinet</v>
      </c>
      <c r="C124" t="str">
        <f>IF('Equipment Information'!C124="","", 'Equipment Information'!C124)</f>
        <v>Production Area</v>
      </c>
      <c r="I124" t="str">
        <f t="shared" si="1"/>
        <v>N/A</v>
      </c>
    </row>
    <row r="125" spans="1:9" x14ac:dyDescent="0.25">
      <c r="A125" t="str">
        <f>IF('Equipment Information'!A125="","", 'Equipment Information'!A125)</f>
        <v>20260771</v>
      </c>
      <c r="B125" t="str">
        <f>IF('Equipment Information'!B125="","", 'Equipment Information'!B125)</f>
        <v>Processing Controls</v>
      </c>
      <c r="C125" t="str">
        <f>IF('Equipment Information'!C125="","", 'Equipment Information'!C125)</f>
        <v>Production Area</v>
      </c>
      <c r="I125" t="str">
        <f t="shared" si="1"/>
        <v>N/A</v>
      </c>
    </row>
    <row r="126" spans="1:9" x14ac:dyDescent="0.25">
      <c r="A126" t="str">
        <f>IF('Equipment Information'!A126="","", 'Equipment Information'!A126)</f>
        <v>20260772</v>
      </c>
      <c r="B126" t="str">
        <f>IF('Equipment Information'!B126="","", 'Equipment Information'!B126)</f>
        <v>Welding Receptacle</v>
      </c>
      <c r="C126" t="str">
        <f>IF('Equipment Information'!C126="","", 'Equipment Information'!C126)</f>
        <v>Production Area</v>
      </c>
      <c r="I126" t="str">
        <f t="shared" si="1"/>
        <v>N/A</v>
      </c>
    </row>
    <row r="127" spans="1:9" x14ac:dyDescent="0.25">
      <c r="A127" t="str">
        <f>IF('Equipment Information'!A127="","", 'Equipment Information'!A127)</f>
        <v>20260773</v>
      </c>
      <c r="B127" t="str">
        <f>IF('Equipment Information'!B127="","", 'Equipment Information'!B127)</f>
        <v>Drum Oiler #2</v>
      </c>
      <c r="C127" t="str">
        <f>IF('Equipment Information'!C127="","", 'Equipment Information'!C127)</f>
        <v>Production Area</v>
      </c>
      <c r="I127" t="str">
        <f t="shared" si="1"/>
        <v>N/A</v>
      </c>
    </row>
    <row r="128" spans="1:9" x14ac:dyDescent="0.25">
      <c r="A128" t="str">
        <f>IF('Equipment Information'!A128="","", 'Equipment Information'!A128)</f>
        <v>20260774</v>
      </c>
      <c r="B128" t="str">
        <f>IF('Equipment Information'!B128="","", 'Equipment Information'!B128)</f>
        <v>Zone A/B/C Controls</v>
      </c>
      <c r="C128" t="str">
        <f>IF('Equipment Information'!C128="","", 'Equipment Information'!C128)</f>
        <v>Processing Area</v>
      </c>
      <c r="I128" t="str">
        <f t="shared" si="1"/>
        <v>N/A</v>
      </c>
    </row>
    <row r="129" spans="1:9" x14ac:dyDescent="0.25">
      <c r="A129" t="str">
        <f>IF('Equipment Information'!A129="","", 'Equipment Information'!A129)</f>
        <v>20260775</v>
      </c>
      <c r="B129" t="str">
        <f>IF('Equipment Information'!B129="","", 'Equipment Information'!B129)</f>
        <v>Baler Disconnect</v>
      </c>
      <c r="C129" t="str">
        <f>IF('Equipment Information'!C129="","", 'Equipment Information'!C129)</f>
        <v>Packaging</v>
      </c>
      <c r="I129" t="str">
        <f t="shared" si="1"/>
        <v>N/A</v>
      </c>
    </row>
    <row r="130" spans="1:9" x14ac:dyDescent="0.25">
      <c r="A130" t="str">
        <f>IF('Equipment Information'!A130="","", 'Equipment Information'!A130)</f>
        <v>20260776</v>
      </c>
      <c r="B130" t="str">
        <f>IF('Equipment Information'!B130="","", 'Equipment Information'!B130)</f>
        <v>Baler Controller</v>
      </c>
      <c r="C130" t="str">
        <f>IF('Equipment Information'!C130="","", 'Equipment Information'!C130)</f>
        <v>Packaging</v>
      </c>
      <c r="I130" t="str">
        <f t="shared" ref="I130:I193" si="2">IF(A130="","","N/A")</f>
        <v>N/A</v>
      </c>
    </row>
    <row r="131" spans="1:9" x14ac:dyDescent="0.25">
      <c r="A131" t="str">
        <f>IF('Equipment Information'!A131="","", 'Equipment Information'!A131)</f>
        <v>20260777</v>
      </c>
      <c r="B131" t="str">
        <f>IF('Equipment Information'!B131="","", 'Equipment Information'!B131)</f>
        <v>Three-Phase Outlet Disconnect</v>
      </c>
      <c r="C131" t="str">
        <f>IF('Equipment Information'!C131="","", 'Equipment Information'!C131)</f>
        <v>Warehouse</v>
      </c>
      <c r="I131" t="str">
        <f t="shared" si="2"/>
        <v>N/A</v>
      </c>
    </row>
    <row r="132" spans="1:9" x14ac:dyDescent="0.25">
      <c r="A132" t="str">
        <f>IF('Equipment Information'!A132="","", 'Equipment Information'!A132)</f>
        <v>20260778</v>
      </c>
      <c r="B132" t="str">
        <f>IF('Equipment Information'!B132="","", 'Equipment Information'!B132)</f>
        <v>New Addition Panel</v>
      </c>
      <c r="C132" t="str">
        <f>IF('Equipment Information'!C132="","", 'Equipment Information'!C132)</f>
        <v>Warehouse</v>
      </c>
      <c r="I132" t="str">
        <f t="shared" si="2"/>
        <v>N/A</v>
      </c>
    </row>
    <row r="133" spans="1:9" x14ac:dyDescent="0.25">
      <c r="A133" t="str">
        <f>IF('Equipment Information'!A133="","", 'Equipment Information'!A133)</f>
        <v>20260779</v>
      </c>
      <c r="B133" t="str">
        <f>IF('Equipment Information'!B133="","", 'Equipment Information'!B133)</f>
        <v>AGT - R&amp;D</v>
      </c>
      <c r="C133" t="str">
        <f>IF('Equipment Information'!C133="","", 'Equipment Information'!C133)</f>
        <v>Boiler Room</v>
      </c>
      <c r="I133" t="str">
        <f t="shared" si="2"/>
        <v>N/A</v>
      </c>
    </row>
    <row r="134" spans="1:9" x14ac:dyDescent="0.25">
      <c r="A134" t="str">
        <f>IF('Equipment Information'!A134="","", 'Equipment Information'!A134)</f>
        <v>20260780</v>
      </c>
      <c r="B134" t="str">
        <f>IF('Equipment Information'!B134="","", 'Equipment Information'!B134)</f>
        <v>VS - R&amp;D</v>
      </c>
      <c r="C134" t="str">
        <f>IF('Equipment Information'!C134="","", 'Equipment Information'!C134)</f>
        <v>Boiler Room</v>
      </c>
      <c r="I134" t="str">
        <f t="shared" si="2"/>
        <v>N/A</v>
      </c>
    </row>
    <row r="135" spans="1:9" x14ac:dyDescent="0.25">
      <c r="A135" t="str">
        <f>IF('Equipment Information'!A135="","", 'Equipment Information'!A135)</f>
        <v>20260781</v>
      </c>
      <c r="B135" t="str">
        <f>IF('Equipment Information'!B135="","", 'Equipment Information'!B135)</f>
        <v>RED PP-1</v>
      </c>
      <c r="C135" t="str">
        <f>IF('Equipment Information'!C135="","", 'Equipment Information'!C135)</f>
        <v>Boiler Room</v>
      </c>
      <c r="I135" t="str">
        <f t="shared" si="2"/>
        <v>N/A</v>
      </c>
    </row>
    <row r="136" spans="1:9" x14ac:dyDescent="0.25">
      <c r="A136" t="str">
        <f>IF('Equipment Information'!A136="","", 'Equipment Information'!A136)</f>
        <v>20260782</v>
      </c>
      <c r="B136" t="str">
        <f>IF('Equipment Information'!B136="","", 'Equipment Information'!B136)</f>
        <v>RED PP-2</v>
      </c>
      <c r="C136" t="str">
        <f>IF('Equipment Information'!C136="","", 'Equipment Information'!C136)</f>
        <v>Boiler Room</v>
      </c>
      <c r="I136" t="str">
        <f t="shared" si="2"/>
        <v>N/A</v>
      </c>
    </row>
    <row r="137" spans="1:9" x14ac:dyDescent="0.25">
      <c r="A137" t="str">
        <f>IF('Equipment Information'!A137="","", 'Equipment Information'!A137)</f>
        <v>20260783</v>
      </c>
      <c r="B137" t="str">
        <f>IF('Equipment Information'!B137="","", 'Equipment Information'!B137)</f>
        <v>CP-Boiler #1 Disconnect</v>
      </c>
      <c r="C137" t="str">
        <f>IF('Equipment Information'!C137="","", 'Equipment Information'!C137)</f>
        <v>Boiler Room</v>
      </c>
      <c r="I137" t="str">
        <f t="shared" si="2"/>
        <v>N/A</v>
      </c>
    </row>
    <row r="138" spans="1:9" x14ac:dyDescent="0.25">
      <c r="A138" t="str">
        <f>IF('Equipment Information'!A138="","", 'Equipment Information'!A138)</f>
        <v>20260784</v>
      </c>
      <c r="B138" t="str">
        <f>IF('Equipment Information'!B138="","", 'Equipment Information'!B138)</f>
        <v>CP-Boiler #1</v>
      </c>
      <c r="C138" t="str">
        <f>IF('Equipment Information'!C138="","", 'Equipment Information'!C138)</f>
        <v>Boiler Room</v>
      </c>
      <c r="I138" t="str">
        <f t="shared" si="2"/>
        <v>N/A</v>
      </c>
    </row>
    <row r="139" spans="1:9" x14ac:dyDescent="0.25">
      <c r="A139" t="str">
        <f>IF('Equipment Information'!A139="","", 'Equipment Information'!A139)</f>
        <v>20260785</v>
      </c>
      <c r="B139" t="str">
        <f>IF('Equipment Information'!B139="","", 'Equipment Information'!B139)</f>
        <v>-</v>
      </c>
      <c r="C139" t="str">
        <f>IF('Equipment Information'!C139="","", 'Equipment Information'!C139)</f>
        <v>Boiler Room</v>
      </c>
      <c r="I139" t="str">
        <f t="shared" si="2"/>
        <v>N/A</v>
      </c>
    </row>
    <row r="140" spans="1:9" x14ac:dyDescent="0.25">
      <c r="A140" t="str">
        <f>IF('Equipment Information'!A140="","", 'Equipment Information'!A140)</f>
        <v>20260786</v>
      </c>
      <c r="B140" t="str">
        <f>IF('Equipment Information'!B140="","", 'Equipment Information'!B140)</f>
        <v>-</v>
      </c>
      <c r="C140" t="str">
        <f>IF('Equipment Information'!C140="","", 'Equipment Information'!C140)</f>
        <v>Boiler Room</v>
      </c>
      <c r="I140" t="str">
        <f t="shared" si="2"/>
        <v>N/A</v>
      </c>
    </row>
    <row r="141" spans="1:9" x14ac:dyDescent="0.25">
      <c r="A141" t="str">
        <f>IF('Equipment Information'!A141="","", 'Equipment Information'!A141)</f>
        <v>20260787</v>
      </c>
      <c r="B141" t="str">
        <f>IF('Equipment Information'!B141="","", 'Equipment Information'!B141)</f>
        <v>-</v>
      </c>
      <c r="C141" t="str">
        <f>IF('Equipment Information'!C141="","", 'Equipment Information'!C141)</f>
        <v>Boiler Mechanical Room</v>
      </c>
      <c r="I141" t="str">
        <f t="shared" si="2"/>
        <v>N/A</v>
      </c>
    </row>
    <row r="142" spans="1:9" x14ac:dyDescent="0.25">
      <c r="A142" t="str">
        <f>IF('Equipment Information'!A142="","", 'Equipment Information'!A142)</f>
        <v>20260788</v>
      </c>
      <c r="B142" t="str">
        <f>IF('Equipment Information'!B142="","", 'Equipment Information'!B142)</f>
        <v>-</v>
      </c>
      <c r="C142" t="str">
        <f>IF('Equipment Information'!C142="","", 'Equipment Information'!C142)</f>
        <v>Boiler Mechanical Room</v>
      </c>
      <c r="I142" t="str">
        <f t="shared" si="2"/>
        <v>N/A</v>
      </c>
    </row>
    <row r="143" spans="1:9" x14ac:dyDescent="0.25">
      <c r="A143" t="str">
        <f>IF('Equipment Information'!A143="","", 'Equipment Information'!A143)</f>
        <v>20260789</v>
      </c>
      <c r="B143" t="str">
        <f>IF('Equipment Information'!B143="","", 'Equipment Information'!B143)</f>
        <v/>
      </c>
      <c r="C143" t="str">
        <f>IF('Equipment Information'!C143="","", 'Equipment Information'!C143)</f>
        <v>Boiler Mechanical Room</v>
      </c>
      <c r="I143" t="str">
        <f t="shared" si="2"/>
        <v>N/A</v>
      </c>
    </row>
    <row r="144" spans="1:9" x14ac:dyDescent="0.25">
      <c r="A144" t="str">
        <f>IF('Equipment Information'!A144="","", 'Equipment Information'!A144)</f>
        <v>20260790</v>
      </c>
      <c r="B144" t="str">
        <f>IF('Equipment Information'!B144="","", 'Equipment Information'!B144)</f>
        <v/>
      </c>
      <c r="C144" t="str">
        <f>IF('Equipment Information'!C144="","", 'Equipment Information'!C144)</f>
        <v>Boiler Mechanical Room</v>
      </c>
      <c r="I144" t="str">
        <f t="shared" si="2"/>
        <v>N/A</v>
      </c>
    </row>
    <row r="145" spans="1:9" x14ac:dyDescent="0.25">
      <c r="A145" t="str">
        <f>IF('Equipment Information'!A145="","", 'Equipment Information'!A145)</f>
        <v>20260791</v>
      </c>
      <c r="B145" t="str">
        <f>IF('Equipment Information'!B145="","", 'Equipment Information'!B145)</f>
        <v>100 HP Compressor Disconnect</v>
      </c>
      <c r="C145" t="str">
        <f>IF('Equipment Information'!C145="","", 'Equipment Information'!C145)</f>
        <v>Compressor Room</v>
      </c>
      <c r="I145" t="str">
        <f t="shared" si="2"/>
        <v>N/A</v>
      </c>
    </row>
    <row r="146" spans="1:9" x14ac:dyDescent="0.25">
      <c r="A146" t="str">
        <f>IF('Equipment Information'!A146="","", 'Equipment Information'!A146)</f>
        <v>20260792</v>
      </c>
      <c r="B146" t="str">
        <f>IF('Equipment Information'!B146="","", 'Equipment Information'!B146)</f>
        <v>100 HP Compressor</v>
      </c>
      <c r="C146" t="str">
        <f>IF('Equipment Information'!C146="","", 'Equipment Information'!C146)</f>
        <v>Compressor Room</v>
      </c>
      <c r="I146" t="str">
        <f t="shared" si="2"/>
        <v>N/A</v>
      </c>
    </row>
    <row r="147" spans="1:9" x14ac:dyDescent="0.25">
      <c r="A147" t="str">
        <f>IF('Equipment Information'!A147="","", 'Equipment Information'!A147)</f>
        <v>20260793</v>
      </c>
      <c r="B147" t="str">
        <f>IF('Equipment Information'!B147="","", 'Equipment Information'!B147)</f>
        <v>150 HP Compressor</v>
      </c>
      <c r="C147" t="str">
        <f>IF('Equipment Information'!C147="","", 'Equipment Information'!C147)</f>
        <v>Compressor Room</v>
      </c>
      <c r="I147" t="str">
        <f t="shared" si="2"/>
        <v>N/A</v>
      </c>
    </row>
    <row r="148" spans="1:9" x14ac:dyDescent="0.25">
      <c r="A148" t="str">
        <f>IF('Equipment Information'!A148="","", 'Equipment Information'!A148)</f>
        <v>20260794</v>
      </c>
      <c r="B148" t="str">
        <f>IF('Equipment Information'!B148="","", 'Equipment Information'!B148)</f>
        <v>Exhasut Fan Cabinet</v>
      </c>
      <c r="C148" t="str">
        <f>IF('Equipment Information'!C148="","", 'Equipment Information'!C148)</f>
        <v>Compressor Room</v>
      </c>
      <c r="I148" t="str">
        <f t="shared" si="2"/>
        <v>N/A</v>
      </c>
    </row>
    <row r="149" spans="1:9" x14ac:dyDescent="0.25">
      <c r="A149" t="str">
        <f>IF('Equipment Information'!A149="","", 'Equipment Information'!A149)</f>
        <v>20260795</v>
      </c>
      <c r="B149" t="str">
        <f>IF('Equipment Information'!B149="","", 'Equipment Information'!B149)</f>
        <v>Air Dryer Disconnect</v>
      </c>
      <c r="C149" t="str">
        <f>IF('Equipment Information'!C149="","", 'Equipment Information'!C149)</f>
        <v>Compressor Room</v>
      </c>
      <c r="I149" t="str">
        <f t="shared" si="2"/>
        <v>N/A</v>
      </c>
    </row>
    <row r="150" spans="1:9" x14ac:dyDescent="0.25">
      <c r="A150" t="str">
        <f>IF('Equipment Information'!A150="","", 'Equipment Information'!A150)</f>
        <v>20260796</v>
      </c>
      <c r="B150" t="str">
        <f>IF('Equipment Information'!B150="","", 'Equipment Information'!B150)</f>
        <v>Air Dryer</v>
      </c>
      <c r="C150" t="str">
        <f>IF('Equipment Information'!C150="","", 'Equipment Information'!C150)</f>
        <v>Compressor Room</v>
      </c>
      <c r="I150" t="str">
        <f t="shared" si="2"/>
        <v>N/A</v>
      </c>
    </row>
    <row r="151" spans="1:9" x14ac:dyDescent="0.25">
      <c r="A151" t="str">
        <f>IF('Equipment Information'!A151="","", 'Equipment Information'!A151)</f>
        <v>20260797</v>
      </c>
      <c r="B151" t="str">
        <f>IF('Equipment Information'!B151="","", 'Equipment Information'!B151)</f>
        <v>150 HP Compressor Disconnect</v>
      </c>
      <c r="C151" t="str">
        <f>IF('Equipment Information'!C151="","", 'Equipment Information'!C151)</f>
        <v>Maintenance Area</v>
      </c>
      <c r="I151" t="str">
        <f t="shared" si="2"/>
        <v>N/A</v>
      </c>
    </row>
    <row r="152" spans="1:9" x14ac:dyDescent="0.25">
      <c r="A152" t="str">
        <f>IF('Equipment Information'!A152="","", 'Equipment Information'!A152)</f>
        <v>20260798</v>
      </c>
      <c r="B152" t="str">
        <f>IF('Equipment Information'!B152="","", 'Equipment Information'!B152)</f>
        <v>Maintenance PP-1</v>
      </c>
      <c r="C152" t="str">
        <f>IF('Equipment Information'!C152="","", 'Equipment Information'!C152)</f>
        <v>Maintenance Area</v>
      </c>
      <c r="I152" t="str">
        <f t="shared" si="2"/>
        <v>N/A</v>
      </c>
    </row>
    <row r="153" spans="1:9" x14ac:dyDescent="0.25">
      <c r="A153" t="str">
        <f>IF('Equipment Information'!A153="","", 'Equipment Information'!A153)</f>
        <v>20260799</v>
      </c>
      <c r="B153" t="str">
        <f>IF('Equipment Information'!B153="","", 'Equipment Information'!B153)</f>
        <v/>
      </c>
      <c r="C153" t="str">
        <f>IF('Equipment Information'!C153="","", 'Equipment Information'!C153)</f>
        <v>Maintenance Area</v>
      </c>
      <c r="I153" t="str">
        <f t="shared" si="2"/>
        <v>N/A</v>
      </c>
    </row>
    <row r="154" spans="1:9" x14ac:dyDescent="0.25">
      <c r="A154" t="str">
        <f>IF('Equipment Information'!A154="","", 'Equipment Information'!A154)</f>
        <v>20260800</v>
      </c>
      <c r="B154" t="str">
        <f>IF('Equipment Information'!B154="","", 'Equipment Information'!B154)</f>
        <v/>
      </c>
      <c r="C154" t="str">
        <f>IF('Equipment Information'!C154="","", 'Equipment Information'!C154)</f>
        <v>Maintenance Area</v>
      </c>
      <c r="I154" t="str">
        <f t="shared" si="2"/>
        <v>N/A</v>
      </c>
    </row>
    <row r="155" spans="1:9" x14ac:dyDescent="0.25">
      <c r="A155" t="str">
        <f>IF('Equipment Information'!A155="","", 'Equipment Information'!A155)</f>
        <v>20260801</v>
      </c>
      <c r="B155" t="str">
        <f>IF('Equipment Information'!B155="","", 'Equipment Information'!B155)</f>
        <v/>
      </c>
      <c r="C155" t="str">
        <f>IF('Equipment Information'!C155="","", 'Equipment Information'!C155)</f>
        <v>Maintenance Area</v>
      </c>
      <c r="I155" t="str">
        <f t="shared" si="2"/>
        <v>N/A</v>
      </c>
    </row>
    <row r="156" spans="1:9" x14ac:dyDescent="0.25">
      <c r="A156" t="str">
        <f>IF('Equipment Information'!A156="","", 'Equipment Information'!A156)</f>
        <v>20260802</v>
      </c>
      <c r="B156" t="str">
        <f>IF('Equipment Information'!B156="","", 'Equipment Information'!B156)</f>
        <v/>
      </c>
      <c r="C156" t="str">
        <f>IF('Equipment Information'!C156="","", 'Equipment Information'!C156)</f>
        <v>Outside of Maintenance Area</v>
      </c>
      <c r="I156" t="str">
        <f t="shared" si="2"/>
        <v>N/A</v>
      </c>
    </row>
    <row r="157" spans="1:9" x14ac:dyDescent="0.25">
      <c r="A157" t="str">
        <f>IF('Equipment Information'!A157="","", 'Equipment Information'!A157)</f>
        <v>20260803</v>
      </c>
      <c r="B157" t="str">
        <f>IF('Equipment Information'!B157="","", 'Equipment Information'!B157)</f>
        <v/>
      </c>
      <c r="C157" t="str">
        <f>IF('Equipment Information'!C157="","", 'Equipment Information'!C157)</f>
        <v>Outside of Maintenance Area</v>
      </c>
      <c r="I157" t="str">
        <f t="shared" si="2"/>
        <v>N/A</v>
      </c>
    </row>
    <row r="158" spans="1:9" x14ac:dyDescent="0.25">
      <c r="A158" t="str">
        <f>IF('Equipment Information'!A158="","", 'Equipment Information'!A158)</f>
        <v>20260804</v>
      </c>
      <c r="B158" t="str">
        <f>IF('Equipment Information'!B158="","", 'Equipment Information'!B158)</f>
        <v>ATS #1</v>
      </c>
      <c r="C158" t="str">
        <f>IF('Equipment Information'!C158="","", 'Equipment Information'!C158)</f>
        <v>Basement</v>
      </c>
      <c r="I158" t="str">
        <f t="shared" si="2"/>
        <v>N/A</v>
      </c>
    </row>
    <row r="159" spans="1:9" x14ac:dyDescent="0.25">
      <c r="A159" t="str">
        <f>IF('Equipment Information'!A159="","", 'Equipment Information'!A159)</f>
        <v>20260805</v>
      </c>
      <c r="B159" t="str">
        <f>IF('Equipment Information'!B159="","", 'Equipment Information'!B159)</f>
        <v>Panel #3 Main Disconnect</v>
      </c>
      <c r="C159" t="str">
        <f>IF('Equipment Information'!C159="","", 'Equipment Information'!C159)</f>
        <v>Basement</v>
      </c>
      <c r="I159" t="str">
        <f t="shared" si="2"/>
        <v>N/A</v>
      </c>
    </row>
    <row r="160" spans="1:9" x14ac:dyDescent="0.25">
      <c r="A160" t="str">
        <f>IF('Equipment Information'!A160="","", 'Equipment Information'!A160)</f>
        <v>20260806</v>
      </c>
      <c r="B160" t="str">
        <f>IF('Equipment Information'!B160="","", 'Equipment Information'!B160)</f>
        <v>Transformer #2 Disconnect</v>
      </c>
      <c r="C160" t="str">
        <f>IF('Equipment Information'!C160="","", 'Equipment Information'!C160)</f>
        <v>Basement</v>
      </c>
      <c r="I160" t="str">
        <f t="shared" si="2"/>
        <v>N/A</v>
      </c>
    </row>
    <row r="161" spans="1:9" x14ac:dyDescent="0.25">
      <c r="A161" t="str">
        <f>IF('Equipment Information'!A161="","", 'Equipment Information'!A161)</f>
        <v>20260807</v>
      </c>
      <c r="B161" t="str">
        <f>IF('Equipment Information'!B161="","", 'Equipment Information'!B161)</f>
        <v>LP-1 Main Disconnect</v>
      </c>
      <c r="C161" t="str">
        <f>IF('Equipment Information'!C161="","", 'Equipment Information'!C161)</f>
        <v>Basement</v>
      </c>
      <c r="I161" t="str">
        <f t="shared" si="2"/>
        <v>N/A</v>
      </c>
    </row>
    <row r="162" spans="1:9" x14ac:dyDescent="0.25">
      <c r="A162" t="str">
        <f>IF('Equipment Information'!A162="","", 'Equipment Information'!A162)</f>
        <v>20260808</v>
      </c>
      <c r="B162" t="str">
        <f>IF('Equipment Information'!B162="","", 'Equipment Information'!B162)</f>
        <v>Panel #1</v>
      </c>
      <c r="C162" t="str">
        <f>IF('Equipment Information'!C162="","", 'Equipment Information'!C162)</f>
        <v>Basement</v>
      </c>
      <c r="I162" t="str">
        <f t="shared" si="2"/>
        <v>N/A</v>
      </c>
    </row>
    <row r="163" spans="1:9" x14ac:dyDescent="0.25">
      <c r="A163" t="str">
        <f>IF('Equipment Information'!A163="","", 'Equipment Information'!A163)</f>
        <v>20260809</v>
      </c>
      <c r="B163" t="str">
        <f>IF('Equipment Information'!B163="","", 'Equipment Information'!B163)</f>
        <v>Panel #4</v>
      </c>
      <c r="C163" t="str">
        <f>IF('Equipment Information'!C163="","", 'Equipment Information'!C163)</f>
        <v>Basement</v>
      </c>
      <c r="I163" t="str">
        <f t="shared" si="2"/>
        <v>N/A</v>
      </c>
    </row>
    <row r="164" spans="1:9" x14ac:dyDescent="0.25">
      <c r="A164" t="str">
        <f>IF('Equipment Information'!A164="","", 'Equipment Information'!A164)</f>
        <v>20260810</v>
      </c>
      <c r="B164" t="str">
        <f>IF('Equipment Information'!B164="","", 'Equipment Information'!B164)</f>
        <v>Panel #2</v>
      </c>
      <c r="C164" t="str">
        <f>IF('Equipment Information'!C164="","", 'Equipment Information'!C164)</f>
        <v>Basement</v>
      </c>
      <c r="I164" t="str">
        <f t="shared" si="2"/>
        <v>N/A</v>
      </c>
    </row>
    <row r="165" spans="1:9" x14ac:dyDescent="0.25">
      <c r="A165" t="str">
        <f>IF('Equipment Information'!A165="","", 'Equipment Information'!A165)</f>
        <v>20260811</v>
      </c>
      <c r="B165" t="str">
        <f>IF('Equipment Information'!B165="","", 'Equipment Information'!B165)</f>
        <v>Transformer #1</v>
      </c>
      <c r="C165" t="str">
        <f>IF('Equipment Information'!C165="","", 'Equipment Information'!C165)</f>
        <v>Basement</v>
      </c>
      <c r="I165" t="str">
        <f t="shared" si="2"/>
        <v>N/A</v>
      </c>
    </row>
    <row r="166" spans="1:9" x14ac:dyDescent="0.25">
      <c r="A166" t="str">
        <f>IF('Equipment Information'!A166="","", 'Equipment Information'!A166)</f>
        <v>20260812</v>
      </c>
      <c r="B166" t="str">
        <f>IF('Equipment Information'!B166="","", 'Equipment Information'!B166)</f>
        <v>Transformer #2</v>
      </c>
      <c r="C166" t="str">
        <f>IF('Equipment Information'!C166="","", 'Equipment Information'!C166)</f>
        <v>Basement</v>
      </c>
      <c r="I166" t="str">
        <f t="shared" si="2"/>
        <v>N/A</v>
      </c>
    </row>
    <row r="167" spans="1:9" x14ac:dyDescent="0.25">
      <c r="A167" t="str">
        <f>IF('Equipment Information'!A167="","", 'Equipment Information'!A167)</f>
        <v>20260813</v>
      </c>
      <c r="B167" t="str">
        <f>IF('Equipment Information'!B167="","", 'Equipment Information'!B167)</f>
        <v>Panel #3</v>
      </c>
      <c r="C167" t="str">
        <f>IF('Equipment Information'!C167="","", 'Equipment Information'!C167)</f>
        <v>Basement</v>
      </c>
      <c r="I167" t="str">
        <f t="shared" si="2"/>
        <v>N/A</v>
      </c>
    </row>
    <row r="168" spans="1:9" x14ac:dyDescent="0.25">
      <c r="A168" t="str">
        <f>IF('Equipment Information'!A168="","", 'Equipment Information'!A168)</f>
        <v>20260814</v>
      </c>
      <c r="B168" t="str">
        <f>IF('Equipment Information'!B168="","", 'Equipment Information'!B168)</f>
        <v/>
      </c>
      <c r="C168" t="str">
        <f>IF('Equipment Information'!C168="","", 'Equipment Information'!C168)</f>
        <v>Hallway</v>
      </c>
      <c r="I168" t="str">
        <f t="shared" si="2"/>
        <v>N/A</v>
      </c>
    </row>
    <row r="169" spans="1:9" x14ac:dyDescent="0.25">
      <c r="A169" t="str">
        <f>IF('Equipment Information'!A169="","", 'Equipment Information'!A169)</f>
        <v/>
      </c>
      <c r="B169" t="str">
        <f>IF('Equipment Information'!B169="","", 'Equipment Information'!B169)</f>
        <v/>
      </c>
      <c r="C169" t="str">
        <f>IF('Equipment Information'!C169="","", 'Equipment Information'!C169)</f>
        <v/>
      </c>
      <c r="I169" t="str">
        <f t="shared" si="2"/>
        <v/>
      </c>
    </row>
    <row r="170" spans="1:9" x14ac:dyDescent="0.25">
      <c r="A170" t="str">
        <f>IF('Equipment Information'!A170="","", 'Equipment Information'!A170)</f>
        <v/>
      </c>
      <c r="B170" t="str">
        <f>IF('Equipment Information'!B170="","", 'Equipment Information'!B170)</f>
        <v/>
      </c>
      <c r="C170" t="str">
        <f>IF('Equipment Information'!C170="","", 'Equipment Information'!C170)</f>
        <v/>
      </c>
      <c r="I170" t="str">
        <f t="shared" si="2"/>
        <v/>
      </c>
    </row>
    <row r="171" spans="1:9" x14ac:dyDescent="0.25">
      <c r="A171" t="str">
        <f>IF('Equipment Information'!A171="","", 'Equipment Information'!A171)</f>
        <v/>
      </c>
      <c r="B171" t="str">
        <f>IF('Equipment Information'!B171="","", 'Equipment Information'!B171)</f>
        <v/>
      </c>
      <c r="C171" t="str">
        <f>IF('Equipment Information'!C171="","", 'Equipment Information'!C171)</f>
        <v/>
      </c>
      <c r="I171" t="str">
        <f t="shared" si="2"/>
        <v/>
      </c>
    </row>
    <row r="172" spans="1:9" x14ac:dyDescent="0.25">
      <c r="A172" t="str">
        <f>IF('Equipment Information'!A172="","", 'Equipment Information'!A172)</f>
        <v/>
      </c>
      <c r="B172" t="str">
        <f>IF('Equipment Information'!B172="","", 'Equipment Information'!B172)</f>
        <v/>
      </c>
      <c r="C172" t="str">
        <f>IF('Equipment Information'!C172="","", 'Equipment Information'!C172)</f>
        <v/>
      </c>
      <c r="I172" t="str">
        <f t="shared" si="2"/>
        <v/>
      </c>
    </row>
    <row r="173" spans="1:9" x14ac:dyDescent="0.25">
      <c r="A173" t="str">
        <f>IF('Equipment Information'!A173="","", 'Equipment Information'!A173)</f>
        <v/>
      </c>
      <c r="B173" t="str">
        <f>IF('Equipment Information'!B173="","", 'Equipment Information'!B173)</f>
        <v/>
      </c>
      <c r="C173" t="str">
        <f>IF('Equipment Information'!C173="","", 'Equipment Information'!C173)</f>
        <v/>
      </c>
      <c r="I173" t="str">
        <f t="shared" si="2"/>
        <v/>
      </c>
    </row>
    <row r="174" spans="1:9" x14ac:dyDescent="0.25">
      <c r="A174" t="str">
        <f>IF('Equipment Information'!A174="","", 'Equipment Information'!A174)</f>
        <v/>
      </c>
      <c r="B174" t="str">
        <f>IF('Equipment Information'!B174="","", 'Equipment Information'!B174)</f>
        <v/>
      </c>
      <c r="C174" t="str">
        <f>IF('Equipment Information'!C174="","", 'Equipment Information'!C174)</f>
        <v/>
      </c>
      <c r="I174" t="str">
        <f t="shared" si="2"/>
        <v/>
      </c>
    </row>
    <row r="175" spans="1:9" x14ac:dyDescent="0.25">
      <c r="A175" t="str">
        <f>IF('Equipment Information'!A175="","", 'Equipment Information'!A175)</f>
        <v/>
      </c>
      <c r="B175" t="str">
        <f>IF('Equipment Information'!B175="","", 'Equipment Information'!B175)</f>
        <v/>
      </c>
      <c r="C175" t="str">
        <f>IF('Equipment Information'!C175="","", 'Equipment Information'!C175)</f>
        <v/>
      </c>
      <c r="I175" t="str">
        <f t="shared" si="2"/>
        <v/>
      </c>
    </row>
    <row r="176" spans="1:9" x14ac:dyDescent="0.25">
      <c r="A176" t="str">
        <f>IF('Equipment Information'!A176="","", 'Equipment Information'!A176)</f>
        <v/>
      </c>
      <c r="B176" t="str">
        <f>IF('Equipment Information'!B176="","", 'Equipment Information'!B176)</f>
        <v/>
      </c>
      <c r="C176" t="str">
        <f>IF('Equipment Information'!C176="","", 'Equipment Information'!C176)</f>
        <v/>
      </c>
      <c r="I176" t="str">
        <f t="shared" si="2"/>
        <v/>
      </c>
    </row>
    <row r="177" spans="1:9" x14ac:dyDescent="0.25">
      <c r="A177" t="str">
        <f>IF('Equipment Information'!A177="","", 'Equipment Information'!A177)</f>
        <v/>
      </c>
      <c r="B177" t="str">
        <f>IF('Equipment Information'!B177="","", 'Equipment Information'!B177)</f>
        <v/>
      </c>
      <c r="C177" t="str">
        <f>IF('Equipment Information'!C177="","", 'Equipment Information'!C177)</f>
        <v/>
      </c>
      <c r="I177" t="str">
        <f t="shared" si="2"/>
        <v/>
      </c>
    </row>
    <row r="178" spans="1:9" x14ac:dyDescent="0.25">
      <c r="A178" t="str">
        <f>IF('Equipment Information'!A178="","", 'Equipment Information'!A178)</f>
        <v/>
      </c>
      <c r="B178" t="str">
        <f>IF('Equipment Information'!B178="","", 'Equipment Information'!B178)</f>
        <v/>
      </c>
      <c r="C178" t="str">
        <f>IF('Equipment Information'!C178="","", 'Equipment Information'!C178)</f>
        <v/>
      </c>
      <c r="I178" t="str">
        <f t="shared" si="2"/>
        <v/>
      </c>
    </row>
    <row r="179" spans="1:9" x14ac:dyDescent="0.25">
      <c r="A179" t="str">
        <f>IF('Equipment Information'!A179="","", 'Equipment Information'!A179)</f>
        <v/>
      </c>
      <c r="B179" t="str">
        <f>IF('Equipment Information'!B179="","", 'Equipment Information'!B179)</f>
        <v/>
      </c>
      <c r="C179" t="str">
        <f>IF('Equipment Information'!C179="","", 'Equipment Information'!C179)</f>
        <v/>
      </c>
      <c r="I179" t="str">
        <f t="shared" si="2"/>
        <v/>
      </c>
    </row>
    <row r="180" spans="1:9" x14ac:dyDescent="0.25">
      <c r="A180" t="str">
        <f>IF('Equipment Information'!A180="","", 'Equipment Information'!A180)</f>
        <v/>
      </c>
      <c r="B180" t="str">
        <f>IF('Equipment Information'!B180="","", 'Equipment Information'!B180)</f>
        <v/>
      </c>
      <c r="C180" t="str">
        <f>IF('Equipment Information'!C180="","", 'Equipment Information'!C180)</f>
        <v/>
      </c>
      <c r="I180" t="str">
        <f t="shared" si="2"/>
        <v/>
      </c>
    </row>
    <row r="181" spans="1:9" x14ac:dyDescent="0.25">
      <c r="A181" t="str">
        <f>IF('Equipment Information'!A181="","", 'Equipment Information'!A181)</f>
        <v/>
      </c>
      <c r="B181" t="str">
        <f>IF('Equipment Information'!B181="","", 'Equipment Information'!B181)</f>
        <v/>
      </c>
      <c r="C181" t="str">
        <f>IF('Equipment Information'!C181="","", 'Equipment Information'!C181)</f>
        <v/>
      </c>
      <c r="I181" t="str">
        <f t="shared" si="2"/>
        <v/>
      </c>
    </row>
    <row r="182" spans="1:9" x14ac:dyDescent="0.25">
      <c r="A182" t="str">
        <f>IF('Equipment Information'!A182="","", 'Equipment Information'!A182)</f>
        <v/>
      </c>
      <c r="B182" t="str">
        <f>IF('Equipment Information'!B182="","", 'Equipment Information'!B182)</f>
        <v/>
      </c>
      <c r="C182" t="str">
        <f>IF('Equipment Information'!C182="","", 'Equipment Information'!C182)</f>
        <v/>
      </c>
      <c r="I182" t="str">
        <f t="shared" si="2"/>
        <v/>
      </c>
    </row>
    <row r="183" spans="1:9" x14ac:dyDescent="0.25">
      <c r="A183" t="str">
        <f>IF('Equipment Information'!A183="","", 'Equipment Information'!A183)</f>
        <v/>
      </c>
      <c r="B183" t="str">
        <f>IF('Equipment Information'!B183="","", 'Equipment Information'!B183)</f>
        <v/>
      </c>
      <c r="C183" t="str">
        <f>IF('Equipment Information'!C183="","", 'Equipment Information'!C183)</f>
        <v/>
      </c>
      <c r="I183" t="str">
        <f t="shared" si="2"/>
        <v/>
      </c>
    </row>
    <row r="184" spans="1:9" x14ac:dyDescent="0.25">
      <c r="A184" t="str">
        <f>IF('Equipment Information'!A184="","", 'Equipment Information'!A184)</f>
        <v/>
      </c>
      <c r="B184" t="str">
        <f>IF('Equipment Information'!B184="","", 'Equipment Information'!B184)</f>
        <v/>
      </c>
      <c r="C184" t="str">
        <f>IF('Equipment Information'!C184="","", 'Equipment Information'!C184)</f>
        <v/>
      </c>
      <c r="I184" t="str">
        <f t="shared" si="2"/>
        <v/>
      </c>
    </row>
    <row r="185" spans="1:9" x14ac:dyDescent="0.25">
      <c r="A185" t="str">
        <f>IF('Equipment Information'!A185="","", 'Equipment Information'!A185)</f>
        <v/>
      </c>
      <c r="B185" t="str">
        <f>IF('Equipment Information'!B185="","", 'Equipment Information'!B185)</f>
        <v/>
      </c>
      <c r="C185" t="str">
        <f>IF('Equipment Information'!C185="","", 'Equipment Information'!C185)</f>
        <v/>
      </c>
      <c r="I185" t="str">
        <f t="shared" si="2"/>
        <v/>
      </c>
    </row>
    <row r="186" spans="1:9" x14ac:dyDescent="0.25">
      <c r="A186" t="str">
        <f>IF('Equipment Information'!A186="","", 'Equipment Information'!A186)</f>
        <v/>
      </c>
      <c r="B186" t="str">
        <f>IF('Equipment Information'!B186="","", 'Equipment Information'!B186)</f>
        <v/>
      </c>
      <c r="C186" t="str">
        <f>IF('Equipment Information'!C186="","", 'Equipment Information'!C186)</f>
        <v/>
      </c>
      <c r="I186" t="str">
        <f t="shared" si="2"/>
        <v/>
      </c>
    </row>
    <row r="187" spans="1:9" x14ac:dyDescent="0.25">
      <c r="A187" t="str">
        <f>IF('Equipment Information'!A187="","", 'Equipment Information'!A187)</f>
        <v/>
      </c>
      <c r="B187" t="str">
        <f>IF('Equipment Information'!B187="","", 'Equipment Information'!B187)</f>
        <v/>
      </c>
      <c r="C187" t="str">
        <f>IF('Equipment Information'!C187="","", 'Equipment Information'!C187)</f>
        <v/>
      </c>
      <c r="I187" t="str">
        <f t="shared" si="2"/>
        <v/>
      </c>
    </row>
    <row r="188" spans="1:9" x14ac:dyDescent="0.25">
      <c r="A188" t="str">
        <f>IF('Equipment Information'!A188="","", 'Equipment Information'!A188)</f>
        <v/>
      </c>
      <c r="B188" t="str">
        <f>IF('Equipment Information'!B188="","", 'Equipment Information'!B188)</f>
        <v/>
      </c>
      <c r="C188" t="str">
        <f>IF('Equipment Information'!C188="","", 'Equipment Information'!C188)</f>
        <v/>
      </c>
      <c r="I188" t="str">
        <f t="shared" si="2"/>
        <v/>
      </c>
    </row>
    <row r="189" spans="1:9" x14ac:dyDescent="0.25">
      <c r="A189" t="str">
        <f>IF('Equipment Information'!A189="","", 'Equipment Information'!A189)</f>
        <v/>
      </c>
      <c r="B189" t="str">
        <f>IF('Equipment Information'!B189="","", 'Equipment Information'!B189)</f>
        <v/>
      </c>
      <c r="C189" t="str">
        <f>IF('Equipment Information'!C189="","", 'Equipment Information'!C189)</f>
        <v/>
      </c>
      <c r="I189" t="str">
        <f t="shared" si="2"/>
        <v/>
      </c>
    </row>
    <row r="190" spans="1:9" x14ac:dyDescent="0.25">
      <c r="A190" t="str">
        <f>IF('Equipment Information'!A190="","", 'Equipment Information'!A190)</f>
        <v/>
      </c>
      <c r="B190" t="str">
        <f>IF('Equipment Information'!B190="","", 'Equipment Information'!B190)</f>
        <v/>
      </c>
      <c r="C190" t="str">
        <f>IF('Equipment Information'!C190="","", 'Equipment Information'!C190)</f>
        <v/>
      </c>
      <c r="I190" t="str">
        <f t="shared" si="2"/>
        <v/>
      </c>
    </row>
    <row r="191" spans="1:9" x14ac:dyDescent="0.25">
      <c r="A191" t="str">
        <f>IF('Equipment Information'!A191="","", 'Equipment Information'!A191)</f>
        <v/>
      </c>
      <c r="B191" t="str">
        <f>IF('Equipment Information'!B191="","", 'Equipment Information'!B191)</f>
        <v/>
      </c>
      <c r="C191" t="str">
        <f>IF('Equipment Information'!C191="","", 'Equipment Information'!C191)</f>
        <v/>
      </c>
      <c r="I191" t="str">
        <f t="shared" si="2"/>
        <v/>
      </c>
    </row>
    <row r="192" spans="1:9" x14ac:dyDescent="0.25">
      <c r="A192" t="str">
        <f>IF('Equipment Information'!A192="","", 'Equipment Information'!A192)</f>
        <v/>
      </c>
      <c r="B192" t="str">
        <f>IF('Equipment Information'!B192="","", 'Equipment Information'!B192)</f>
        <v/>
      </c>
      <c r="C192" t="str">
        <f>IF('Equipment Information'!C192="","", 'Equipment Information'!C192)</f>
        <v/>
      </c>
      <c r="I192" t="str">
        <f t="shared" si="2"/>
        <v/>
      </c>
    </row>
    <row r="193" spans="1:9" x14ac:dyDescent="0.25">
      <c r="A193" t="str">
        <f>IF('Equipment Information'!A193="","", 'Equipment Information'!A193)</f>
        <v/>
      </c>
      <c r="B193" t="str">
        <f>IF('Equipment Information'!B193="","", 'Equipment Information'!B193)</f>
        <v/>
      </c>
      <c r="C193" t="str">
        <f>IF('Equipment Information'!C193="","", 'Equipment Information'!C193)</f>
        <v/>
      </c>
      <c r="I193" t="str">
        <f t="shared" si="2"/>
        <v/>
      </c>
    </row>
    <row r="194" spans="1:9" x14ac:dyDescent="0.25">
      <c r="A194" t="str">
        <f>IF('Equipment Information'!A194="","", 'Equipment Information'!A194)</f>
        <v/>
      </c>
      <c r="B194" t="str">
        <f>IF('Equipment Information'!B194="","", 'Equipment Information'!B194)</f>
        <v/>
      </c>
      <c r="C194" t="str">
        <f>IF('Equipment Information'!C194="","", 'Equipment Information'!C194)</f>
        <v/>
      </c>
      <c r="I194" t="str">
        <f t="shared" ref="I194:I257" si="3">IF(A194="","","N/A")</f>
        <v/>
      </c>
    </row>
    <row r="195" spans="1:9" x14ac:dyDescent="0.25">
      <c r="A195" t="str">
        <f>IF('Equipment Information'!A195="","", 'Equipment Information'!A195)</f>
        <v/>
      </c>
      <c r="B195" t="str">
        <f>IF('Equipment Information'!B195="","", 'Equipment Information'!B195)</f>
        <v/>
      </c>
      <c r="C195" t="str">
        <f>IF('Equipment Information'!C195="","", 'Equipment Information'!C195)</f>
        <v/>
      </c>
      <c r="I195" t="str">
        <f t="shared" si="3"/>
        <v/>
      </c>
    </row>
    <row r="196" spans="1:9" x14ac:dyDescent="0.25">
      <c r="A196" t="str">
        <f>IF('Equipment Information'!A196="","", 'Equipment Information'!A196)</f>
        <v/>
      </c>
      <c r="B196" t="str">
        <f>IF('Equipment Information'!B196="","", 'Equipment Information'!B196)</f>
        <v/>
      </c>
      <c r="C196" t="str">
        <f>IF('Equipment Information'!C196="","", 'Equipment Information'!C196)</f>
        <v/>
      </c>
      <c r="I196" t="str">
        <f t="shared" si="3"/>
        <v/>
      </c>
    </row>
    <row r="197" spans="1:9" x14ac:dyDescent="0.25">
      <c r="A197" t="str">
        <f>IF('Equipment Information'!A197="","", 'Equipment Information'!A197)</f>
        <v/>
      </c>
      <c r="B197" t="str">
        <f>IF('Equipment Information'!B197="","", 'Equipment Information'!B197)</f>
        <v/>
      </c>
      <c r="C197" t="str">
        <f>IF('Equipment Information'!C197="","", 'Equipment Information'!C197)</f>
        <v/>
      </c>
      <c r="I197" t="str">
        <f t="shared" si="3"/>
        <v/>
      </c>
    </row>
    <row r="198" spans="1:9" x14ac:dyDescent="0.25">
      <c r="A198" t="str">
        <f>IF('Equipment Information'!A198="","", 'Equipment Information'!A198)</f>
        <v/>
      </c>
      <c r="B198" t="str">
        <f>IF('Equipment Information'!B198="","", 'Equipment Information'!B198)</f>
        <v/>
      </c>
      <c r="C198" t="str">
        <f>IF('Equipment Information'!C198="","", 'Equipment Information'!C198)</f>
        <v/>
      </c>
      <c r="I198" t="str">
        <f t="shared" si="3"/>
        <v/>
      </c>
    </row>
    <row r="199" spans="1:9" x14ac:dyDescent="0.25">
      <c r="A199" t="str">
        <f>IF('Equipment Information'!A199="","", 'Equipment Information'!A199)</f>
        <v/>
      </c>
      <c r="B199" t="str">
        <f>IF('Equipment Information'!B199="","", 'Equipment Information'!B199)</f>
        <v/>
      </c>
      <c r="C199" t="str">
        <f>IF('Equipment Information'!C199="","", 'Equipment Information'!C199)</f>
        <v/>
      </c>
      <c r="I199" t="str">
        <f t="shared" si="3"/>
        <v/>
      </c>
    </row>
    <row r="200" spans="1:9" x14ac:dyDescent="0.25">
      <c r="A200" t="str">
        <f>IF('Equipment Information'!A200="","", 'Equipment Information'!A200)</f>
        <v/>
      </c>
      <c r="B200" t="str">
        <f>IF('Equipment Information'!B200="","", 'Equipment Information'!B200)</f>
        <v/>
      </c>
      <c r="C200" t="str">
        <f>IF('Equipment Information'!C200="","", 'Equipment Information'!C200)</f>
        <v/>
      </c>
      <c r="I200" t="str">
        <f t="shared" si="3"/>
        <v/>
      </c>
    </row>
    <row r="201" spans="1:9" x14ac:dyDescent="0.25">
      <c r="A201" t="str">
        <f>IF('Equipment Information'!A201="","", 'Equipment Information'!A201)</f>
        <v/>
      </c>
      <c r="B201" t="str">
        <f>IF('Equipment Information'!B201="","", 'Equipment Information'!B201)</f>
        <v/>
      </c>
      <c r="C201" t="str">
        <f>IF('Equipment Information'!C201="","", 'Equipment Information'!C201)</f>
        <v/>
      </c>
      <c r="I201" t="str">
        <f t="shared" si="3"/>
        <v/>
      </c>
    </row>
    <row r="202" spans="1:9" x14ac:dyDescent="0.25">
      <c r="A202" t="str">
        <f>IF('Equipment Information'!A202="","", 'Equipment Information'!A202)</f>
        <v/>
      </c>
      <c r="B202" t="str">
        <f>IF('Equipment Information'!B202="","", 'Equipment Information'!B202)</f>
        <v/>
      </c>
      <c r="C202" t="str">
        <f>IF('Equipment Information'!C202="","", 'Equipment Information'!C202)</f>
        <v/>
      </c>
      <c r="I202" t="str">
        <f t="shared" si="3"/>
        <v/>
      </c>
    </row>
    <row r="203" spans="1:9" x14ac:dyDescent="0.25">
      <c r="A203" t="str">
        <f>IF('Equipment Information'!A203="","", 'Equipment Information'!A203)</f>
        <v/>
      </c>
      <c r="B203" t="str">
        <f>IF('Equipment Information'!B203="","", 'Equipment Information'!B203)</f>
        <v/>
      </c>
      <c r="C203" t="str">
        <f>IF('Equipment Information'!C203="","", 'Equipment Information'!C203)</f>
        <v/>
      </c>
      <c r="I203" t="str">
        <f t="shared" si="3"/>
        <v/>
      </c>
    </row>
    <row r="204" spans="1:9" x14ac:dyDescent="0.25">
      <c r="A204" t="str">
        <f>IF('Equipment Information'!A204="","", 'Equipment Information'!A204)</f>
        <v/>
      </c>
      <c r="B204" t="str">
        <f>IF('Equipment Information'!B204="","", 'Equipment Information'!B204)</f>
        <v/>
      </c>
      <c r="C204" t="str">
        <f>IF('Equipment Information'!C204="","", 'Equipment Information'!C204)</f>
        <v/>
      </c>
      <c r="I204" t="str">
        <f t="shared" si="3"/>
        <v/>
      </c>
    </row>
    <row r="205" spans="1:9" x14ac:dyDescent="0.25">
      <c r="A205" t="str">
        <f>IF('Equipment Information'!A205="","", 'Equipment Information'!A205)</f>
        <v/>
      </c>
      <c r="B205" t="str">
        <f>IF('Equipment Information'!B205="","", 'Equipment Information'!B205)</f>
        <v/>
      </c>
      <c r="C205" t="str">
        <f>IF('Equipment Information'!C205="","", 'Equipment Information'!C205)</f>
        <v/>
      </c>
      <c r="I205" t="str">
        <f t="shared" si="3"/>
        <v/>
      </c>
    </row>
    <row r="206" spans="1:9" x14ac:dyDescent="0.25">
      <c r="A206" t="str">
        <f>IF('Equipment Information'!A206="","", 'Equipment Information'!A206)</f>
        <v/>
      </c>
      <c r="B206" t="str">
        <f>IF('Equipment Information'!B206="","", 'Equipment Information'!B206)</f>
        <v/>
      </c>
      <c r="C206" t="str">
        <f>IF('Equipment Information'!C206="","", 'Equipment Information'!C206)</f>
        <v/>
      </c>
      <c r="I206" t="str">
        <f t="shared" si="3"/>
        <v/>
      </c>
    </row>
    <row r="207" spans="1:9" x14ac:dyDescent="0.25">
      <c r="A207" t="str">
        <f>IF('Equipment Information'!A207="","", 'Equipment Information'!A207)</f>
        <v/>
      </c>
      <c r="B207" t="str">
        <f>IF('Equipment Information'!B207="","", 'Equipment Information'!B207)</f>
        <v/>
      </c>
      <c r="C207" t="str">
        <f>IF('Equipment Information'!C207="","", 'Equipment Information'!C207)</f>
        <v/>
      </c>
      <c r="I207" t="str">
        <f t="shared" si="3"/>
        <v/>
      </c>
    </row>
    <row r="208" spans="1:9" x14ac:dyDescent="0.25">
      <c r="A208" t="str">
        <f>IF('Equipment Information'!A208="","", 'Equipment Information'!A208)</f>
        <v/>
      </c>
      <c r="B208" t="str">
        <f>IF('Equipment Information'!B208="","", 'Equipment Information'!B208)</f>
        <v/>
      </c>
      <c r="C208" t="str">
        <f>IF('Equipment Information'!C208="","", 'Equipment Information'!C208)</f>
        <v/>
      </c>
      <c r="I208" t="str">
        <f t="shared" si="3"/>
        <v/>
      </c>
    </row>
    <row r="209" spans="1:9" x14ac:dyDescent="0.25">
      <c r="A209" t="str">
        <f>IF('Equipment Information'!A209="","", 'Equipment Information'!A209)</f>
        <v/>
      </c>
      <c r="B209" t="str">
        <f>IF('Equipment Information'!B209="","", 'Equipment Information'!B209)</f>
        <v/>
      </c>
      <c r="C209" t="str">
        <f>IF('Equipment Information'!C209="","", 'Equipment Information'!C209)</f>
        <v/>
      </c>
      <c r="I209" t="str">
        <f t="shared" si="3"/>
        <v/>
      </c>
    </row>
    <row r="210" spans="1:9" x14ac:dyDescent="0.25">
      <c r="A210" t="str">
        <f>IF('Equipment Information'!A210="","", 'Equipment Information'!A210)</f>
        <v/>
      </c>
      <c r="B210" t="str">
        <f>IF('Equipment Information'!B210="","", 'Equipment Information'!B210)</f>
        <v/>
      </c>
      <c r="C210" t="str">
        <f>IF('Equipment Information'!C210="","", 'Equipment Information'!C210)</f>
        <v/>
      </c>
      <c r="I210" t="str">
        <f t="shared" si="3"/>
        <v/>
      </c>
    </row>
    <row r="211" spans="1:9" x14ac:dyDescent="0.25">
      <c r="A211" t="str">
        <f>IF('Equipment Information'!A211="","", 'Equipment Information'!A211)</f>
        <v/>
      </c>
      <c r="B211" t="str">
        <f>IF('Equipment Information'!B211="","", 'Equipment Information'!B211)</f>
        <v/>
      </c>
      <c r="C211" t="str">
        <f>IF('Equipment Information'!C211="","", 'Equipment Information'!C211)</f>
        <v/>
      </c>
      <c r="I211" t="str">
        <f t="shared" si="3"/>
        <v/>
      </c>
    </row>
    <row r="212" spans="1:9" x14ac:dyDescent="0.25">
      <c r="A212" t="str">
        <f>IF('Equipment Information'!A212="","", 'Equipment Information'!A212)</f>
        <v/>
      </c>
      <c r="B212" t="str">
        <f>IF('Equipment Information'!B212="","", 'Equipment Information'!B212)</f>
        <v/>
      </c>
      <c r="C212" t="str">
        <f>IF('Equipment Information'!C212="","", 'Equipment Information'!C212)</f>
        <v/>
      </c>
      <c r="I212" t="str">
        <f t="shared" si="3"/>
        <v/>
      </c>
    </row>
    <row r="213" spans="1:9" x14ac:dyDescent="0.25">
      <c r="A213" t="str">
        <f>IF('Equipment Information'!A213="","", 'Equipment Information'!A213)</f>
        <v/>
      </c>
      <c r="B213" t="str">
        <f>IF('Equipment Information'!B213="","", 'Equipment Information'!B213)</f>
        <v/>
      </c>
      <c r="C213" t="str">
        <f>IF('Equipment Information'!C213="","", 'Equipment Information'!C213)</f>
        <v/>
      </c>
      <c r="I213" t="str">
        <f t="shared" si="3"/>
        <v/>
      </c>
    </row>
    <row r="214" spans="1:9" x14ac:dyDescent="0.25">
      <c r="A214" t="str">
        <f>IF('Equipment Information'!A214="","", 'Equipment Information'!A214)</f>
        <v/>
      </c>
      <c r="B214" t="str">
        <f>IF('Equipment Information'!B214="","", 'Equipment Information'!B214)</f>
        <v/>
      </c>
      <c r="C214" t="str">
        <f>IF('Equipment Information'!C214="","", 'Equipment Information'!C214)</f>
        <v/>
      </c>
      <c r="I214" t="str">
        <f t="shared" si="3"/>
        <v/>
      </c>
    </row>
    <row r="215" spans="1:9" x14ac:dyDescent="0.25">
      <c r="A215" t="str">
        <f>IF('Equipment Information'!A215="","", 'Equipment Information'!A215)</f>
        <v/>
      </c>
      <c r="B215" t="str">
        <f>IF('Equipment Information'!B215="","", 'Equipment Information'!B215)</f>
        <v/>
      </c>
      <c r="C215" t="str">
        <f>IF('Equipment Information'!C215="","", 'Equipment Information'!C215)</f>
        <v/>
      </c>
      <c r="I215" t="str">
        <f t="shared" si="3"/>
        <v/>
      </c>
    </row>
    <row r="216" spans="1:9" x14ac:dyDescent="0.25">
      <c r="A216" t="str">
        <f>IF('Equipment Information'!A216="","", 'Equipment Information'!A216)</f>
        <v/>
      </c>
      <c r="B216" t="str">
        <f>IF('Equipment Information'!B216="","", 'Equipment Information'!B216)</f>
        <v/>
      </c>
      <c r="C216" t="str">
        <f>IF('Equipment Information'!C216="","", 'Equipment Information'!C216)</f>
        <v/>
      </c>
      <c r="I216" t="str">
        <f t="shared" si="3"/>
        <v/>
      </c>
    </row>
    <row r="217" spans="1:9" x14ac:dyDescent="0.25">
      <c r="A217" t="str">
        <f>IF('Equipment Information'!A217="","", 'Equipment Information'!A217)</f>
        <v/>
      </c>
      <c r="B217" t="str">
        <f>IF('Equipment Information'!B217="","", 'Equipment Information'!B217)</f>
        <v/>
      </c>
      <c r="C217" t="str">
        <f>IF('Equipment Information'!C217="","", 'Equipment Information'!C217)</f>
        <v/>
      </c>
      <c r="I217" t="str">
        <f t="shared" si="3"/>
        <v/>
      </c>
    </row>
    <row r="218" spans="1:9" x14ac:dyDescent="0.25">
      <c r="A218" t="str">
        <f>IF('Equipment Information'!A218="","", 'Equipment Information'!A218)</f>
        <v/>
      </c>
      <c r="B218" t="str">
        <f>IF('Equipment Information'!B218="","", 'Equipment Information'!B218)</f>
        <v/>
      </c>
      <c r="C218" t="str">
        <f>IF('Equipment Information'!C218="","", 'Equipment Information'!C218)</f>
        <v/>
      </c>
      <c r="I218" t="str">
        <f t="shared" si="3"/>
        <v/>
      </c>
    </row>
    <row r="219" spans="1:9" x14ac:dyDescent="0.25">
      <c r="A219" t="str">
        <f>IF('Equipment Information'!A219="","", 'Equipment Information'!A219)</f>
        <v/>
      </c>
      <c r="B219" t="str">
        <f>IF('Equipment Information'!B219="","", 'Equipment Information'!B219)</f>
        <v/>
      </c>
      <c r="C219" t="str">
        <f>IF('Equipment Information'!C219="","", 'Equipment Information'!C219)</f>
        <v/>
      </c>
      <c r="I219" t="str">
        <f t="shared" si="3"/>
        <v/>
      </c>
    </row>
    <row r="220" spans="1:9" x14ac:dyDescent="0.25">
      <c r="A220" t="str">
        <f>IF('Equipment Information'!A220="","", 'Equipment Information'!A220)</f>
        <v/>
      </c>
      <c r="B220" t="str">
        <f>IF('Equipment Information'!B220="","", 'Equipment Information'!B220)</f>
        <v/>
      </c>
      <c r="C220" t="str">
        <f>IF('Equipment Information'!C220="","", 'Equipment Information'!C220)</f>
        <v/>
      </c>
      <c r="I220" t="str">
        <f t="shared" si="3"/>
        <v/>
      </c>
    </row>
    <row r="221" spans="1:9" x14ac:dyDescent="0.25">
      <c r="A221" t="str">
        <f>IF('Equipment Information'!A221="","", 'Equipment Information'!A221)</f>
        <v/>
      </c>
      <c r="B221" t="str">
        <f>IF('Equipment Information'!B221="","", 'Equipment Information'!B221)</f>
        <v/>
      </c>
      <c r="C221" t="str">
        <f>IF('Equipment Information'!C221="","", 'Equipment Information'!C221)</f>
        <v/>
      </c>
      <c r="I221" t="str">
        <f t="shared" si="3"/>
        <v/>
      </c>
    </row>
    <row r="222" spans="1:9" x14ac:dyDescent="0.25">
      <c r="A222" t="str">
        <f>IF('Equipment Information'!A222="","", 'Equipment Information'!A222)</f>
        <v/>
      </c>
      <c r="B222" t="str">
        <f>IF('Equipment Information'!B222="","", 'Equipment Information'!B222)</f>
        <v/>
      </c>
      <c r="C222" t="str">
        <f>IF('Equipment Information'!C222="","", 'Equipment Information'!C222)</f>
        <v/>
      </c>
      <c r="I222" t="str">
        <f t="shared" si="3"/>
        <v/>
      </c>
    </row>
    <row r="223" spans="1:9" x14ac:dyDescent="0.25">
      <c r="A223" t="str">
        <f>IF('Equipment Information'!A223="","", 'Equipment Information'!A223)</f>
        <v/>
      </c>
      <c r="B223" t="str">
        <f>IF('Equipment Information'!B223="","", 'Equipment Information'!B223)</f>
        <v/>
      </c>
      <c r="C223" t="str">
        <f>IF('Equipment Information'!C223="","", 'Equipment Information'!C223)</f>
        <v/>
      </c>
      <c r="I223" t="str">
        <f t="shared" si="3"/>
        <v/>
      </c>
    </row>
    <row r="224" spans="1:9" x14ac:dyDescent="0.25">
      <c r="A224" t="str">
        <f>IF('Equipment Information'!A224="","", 'Equipment Information'!A224)</f>
        <v/>
      </c>
      <c r="B224" t="str">
        <f>IF('Equipment Information'!B224="","", 'Equipment Information'!B224)</f>
        <v/>
      </c>
      <c r="C224" t="str">
        <f>IF('Equipment Information'!C224="","", 'Equipment Information'!C224)</f>
        <v/>
      </c>
      <c r="I224" t="str">
        <f t="shared" si="3"/>
        <v/>
      </c>
    </row>
    <row r="225" spans="1:9" x14ac:dyDescent="0.25">
      <c r="A225" t="str">
        <f>IF('Equipment Information'!A225="","", 'Equipment Information'!A225)</f>
        <v/>
      </c>
      <c r="B225" t="str">
        <f>IF('Equipment Information'!B225="","", 'Equipment Information'!B225)</f>
        <v/>
      </c>
      <c r="C225" t="str">
        <f>IF('Equipment Information'!C225="","", 'Equipment Information'!C225)</f>
        <v/>
      </c>
      <c r="I225" t="str">
        <f t="shared" si="3"/>
        <v/>
      </c>
    </row>
    <row r="226" spans="1:9" x14ac:dyDescent="0.25">
      <c r="A226" t="str">
        <f>IF('Equipment Information'!A226="","", 'Equipment Information'!A226)</f>
        <v/>
      </c>
      <c r="B226" t="str">
        <f>IF('Equipment Information'!B226="","", 'Equipment Information'!B226)</f>
        <v/>
      </c>
      <c r="C226" t="str">
        <f>IF('Equipment Information'!C226="","", 'Equipment Information'!C226)</f>
        <v/>
      </c>
      <c r="I226" t="str">
        <f t="shared" si="3"/>
        <v/>
      </c>
    </row>
    <row r="227" spans="1:9" x14ac:dyDescent="0.25">
      <c r="A227" t="str">
        <f>IF('Equipment Information'!A227="","", 'Equipment Information'!A227)</f>
        <v/>
      </c>
      <c r="B227" t="str">
        <f>IF('Equipment Information'!B227="","", 'Equipment Information'!B227)</f>
        <v/>
      </c>
      <c r="C227" t="str">
        <f>IF('Equipment Information'!C227="","", 'Equipment Information'!C227)</f>
        <v/>
      </c>
      <c r="I227" t="str">
        <f t="shared" si="3"/>
        <v/>
      </c>
    </row>
    <row r="228" spans="1:9" x14ac:dyDescent="0.25">
      <c r="A228" t="str">
        <f>IF('Equipment Information'!A228="","", 'Equipment Information'!A228)</f>
        <v/>
      </c>
      <c r="B228" t="str">
        <f>IF('Equipment Information'!B228="","", 'Equipment Information'!B228)</f>
        <v/>
      </c>
      <c r="C228" t="str">
        <f>IF('Equipment Information'!C228="","", 'Equipment Information'!C228)</f>
        <v/>
      </c>
      <c r="I228" t="str">
        <f t="shared" si="3"/>
        <v/>
      </c>
    </row>
    <row r="229" spans="1:9" x14ac:dyDescent="0.25">
      <c r="A229" t="str">
        <f>IF('Equipment Information'!A229="","", 'Equipment Information'!A229)</f>
        <v/>
      </c>
      <c r="B229" t="str">
        <f>IF('Equipment Information'!B229="","", 'Equipment Information'!B229)</f>
        <v/>
      </c>
      <c r="C229" t="str">
        <f>IF('Equipment Information'!C229="","", 'Equipment Information'!C229)</f>
        <v/>
      </c>
      <c r="I229" t="str">
        <f t="shared" si="3"/>
        <v/>
      </c>
    </row>
    <row r="230" spans="1:9" x14ac:dyDescent="0.25">
      <c r="A230" t="str">
        <f>IF('Equipment Information'!A230="","", 'Equipment Information'!A230)</f>
        <v/>
      </c>
      <c r="B230" t="str">
        <f>IF('Equipment Information'!B230="","", 'Equipment Information'!B230)</f>
        <v/>
      </c>
      <c r="C230" t="str">
        <f>IF('Equipment Information'!C230="","", 'Equipment Information'!C230)</f>
        <v/>
      </c>
      <c r="I230" t="str">
        <f t="shared" si="3"/>
        <v/>
      </c>
    </row>
    <row r="231" spans="1:9" x14ac:dyDescent="0.25">
      <c r="A231" t="str">
        <f>IF('Equipment Information'!A231="","", 'Equipment Information'!A231)</f>
        <v/>
      </c>
      <c r="B231" t="str">
        <f>IF('Equipment Information'!B231="","", 'Equipment Information'!B231)</f>
        <v/>
      </c>
      <c r="C231" t="str">
        <f>IF('Equipment Information'!C231="","", 'Equipment Information'!C231)</f>
        <v/>
      </c>
      <c r="I231" t="str">
        <f t="shared" si="3"/>
        <v/>
      </c>
    </row>
    <row r="232" spans="1:9" x14ac:dyDescent="0.25">
      <c r="A232" t="str">
        <f>IF('Equipment Information'!A232="","", 'Equipment Information'!A232)</f>
        <v/>
      </c>
      <c r="B232" t="str">
        <f>IF('Equipment Information'!B232="","", 'Equipment Information'!B232)</f>
        <v/>
      </c>
      <c r="C232" t="str">
        <f>IF('Equipment Information'!C232="","", 'Equipment Information'!C232)</f>
        <v/>
      </c>
      <c r="I232" t="str">
        <f t="shared" si="3"/>
        <v/>
      </c>
    </row>
    <row r="233" spans="1:9" x14ac:dyDescent="0.25">
      <c r="A233" t="str">
        <f>IF('Equipment Information'!A233="","", 'Equipment Information'!A233)</f>
        <v/>
      </c>
      <c r="B233" t="str">
        <f>IF('Equipment Information'!B233="","", 'Equipment Information'!B233)</f>
        <v/>
      </c>
      <c r="C233" t="str">
        <f>IF('Equipment Information'!C233="","", 'Equipment Information'!C233)</f>
        <v/>
      </c>
      <c r="I233" t="str">
        <f t="shared" si="3"/>
        <v/>
      </c>
    </row>
    <row r="234" spans="1:9" x14ac:dyDescent="0.25">
      <c r="A234" t="str">
        <f>IF('Equipment Information'!A234="","", 'Equipment Information'!A234)</f>
        <v/>
      </c>
      <c r="B234" t="str">
        <f>IF('Equipment Information'!B234="","", 'Equipment Information'!B234)</f>
        <v/>
      </c>
      <c r="C234" t="str">
        <f>IF('Equipment Information'!C234="","", 'Equipment Information'!C234)</f>
        <v/>
      </c>
      <c r="I234" t="str">
        <f t="shared" si="3"/>
        <v/>
      </c>
    </row>
    <row r="235" spans="1:9" x14ac:dyDescent="0.25">
      <c r="A235" t="str">
        <f>IF('Equipment Information'!A235="","", 'Equipment Information'!A235)</f>
        <v/>
      </c>
      <c r="B235" t="str">
        <f>IF('Equipment Information'!B235="","", 'Equipment Information'!B235)</f>
        <v/>
      </c>
      <c r="C235" t="str">
        <f>IF('Equipment Information'!C235="","", 'Equipment Information'!C235)</f>
        <v/>
      </c>
      <c r="I235" t="str">
        <f t="shared" si="3"/>
        <v/>
      </c>
    </row>
    <row r="236" spans="1:9" x14ac:dyDescent="0.25">
      <c r="A236" t="str">
        <f>IF('Equipment Information'!A236="","", 'Equipment Information'!A236)</f>
        <v/>
      </c>
      <c r="B236" t="str">
        <f>IF('Equipment Information'!B236="","", 'Equipment Information'!B236)</f>
        <v/>
      </c>
      <c r="C236" t="str">
        <f>IF('Equipment Information'!C236="","", 'Equipment Information'!C236)</f>
        <v/>
      </c>
      <c r="I236" t="str">
        <f t="shared" si="3"/>
        <v/>
      </c>
    </row>
    <row r="237" spans="1:9" x14ac:dyDescent="0.25">
      <c r="A237" t="str">
        <f>IF('Equipment Information'!A237="","", 'Equipment Information'!A237)</f>
        <v/>
      </c>
      <c r="B237" t="str">
        <f>IF('Equipment Information'!B237="","", 'Equipment Information'!B237)</f>
        <v/>
      </c>
      <c r="C237" t="str">
        <f>IF('Equipment Information'!C237="","", 'Equipment Information'!C237)</f>
        <v/>
      </c>
      <c r="I237" t="str">
        <f t="shared" si="3"/>
        <v/>
      </c>
    </row>
    <row r="238" spans="1:9" x14ac:dyDescent="0.25">
      <c r="A238" t="str">
        <f>IF('Equipment Information'!A238="","", 'Equipment Information'!A238)</f>
        <v/>
      </c>
      <c r="B238" t="str">
        <f>IF('Equipment Information'!B238="","", 'Equipment Information'!B238)</f>
        <v/>
      </c>
      <c r="C238" t="str">
        <f>IF('Equipment Information'!C238="","", 'Equipment Information'!C238)</f>
        <v/>
      </c>
      <c r="I238" t="str">
        <f t="shared" si="3"/>
        <v/>
      </c>
    </row>
    <row r="239" spans="1:9" x14ac:dyDescent="0.25">
      <c r="A239" t="str">
        <f>IF('Equipment Information'!A239="","", 'Equipment Information'!A239)</f>
        <v/>
      </c>
      <c r="B239" t="str">
        <f>IF('Equipment Information'!B239="","", 'Equipment Information'!B239)</f>
        <v/>
      </c>
      <c r="C239" t="str">
        <f>IF('Equipment Information'!C239="","", 'Equipment Information'!C239)</f>
        <v/>
      </c>
      <c r="I239" t="str">
        <f t="shared" si="3"/>
        <v/>
      </c>
    </row>
    <row r="240" spans="1:9" x14ac:dyDescent="0.25">
      <c r="A240" t="str">
        <f>IF('Equipment Information'!A240="","", 'Equipment Information'!A240)</f>
        <v/>
      </c>
      <c r="B240" t="str">
        <f>IF('Equipment Information'!B240="","", 'Equipment Information'!B240)</f>
        <v/>
      </c>
      <c r="C240" t="str">
        <f>IF('Equipment Information'!C240="","", 'Equipment Information'!C240)</f>
        <v/>
      </c>
      <c r="I240" t="str">
        <f t="shared" si="3"/>
        <v/>
      </c>
    </row>
    <row r="241" spans="1:9" x14ac:dyDescent="0.25">
      <c r="A241" t="str">
        <f>IF('Equipment Information'!A241="","", 'Equipment Information'!A241)</f>
        <v/>
      </c>
      <c r="B241" t="str">
        <f>IF('Equipment Information'!B241="","", 'Equipment Information'!B241)</f>
        <v/>
      </c>
      <c r="C241" t="str">
        <f>IF('Equipment Information'!C241="","", 'Equipment Information'!C241)</f>
        <v/>
      </c>
      <c r="I241" t="str">
        <f t="shared" si="3"/>
        <v/>
      </c>
    </row>
    <row r="242" spans="1:9" x14ac:dyDescent="0.25">
      <c r="A242" t="str">
        <f>IF('Equipment Information'!A242="","", 'Equipment Information'!A242)</f>
        <v/>
      </c>
      <c r="B242" t="str">
        <f>IF('Equipment Information'!B242="","", 'Equipment Information'!B242)</f>
        <v/>
      </c>
      <c r="C242" t="str">
        <f>IF('Equipment Information'!C242="","", 'Equipment Information'!C242)</f>
        <v/>
      </c>
      <c r="I242" t="str">
        <f t="shared" si="3"/>
        <v/>
      </c>
    </row>
    <row r="243" spans="1:9" x14ac:dyDescent="0.25">
      <c r="A243" t="str">
        <f>IF('Equipment Information'!A243="","", 'Equipment Information'!A243)</f>
        <v/>
      </c>
      <c r="B243" t="str">
        <f>IF('Equipment Information'!B243="","", 'Equipment Information'!B243)</f>
        <v/>
      </c>
      <c r="C243" t="str">
        <f>IF('Equipment Information'!C243="","", 'Equipment Information'!C243)</f>
        <v/>
      </c>
      <c r="I243" t="str">
        <f t="shared" si="3"/>
        <v/>
      </c>
    </row>
    <row r="244" spans="1:9" x14ac:dyDescent="0.25">
      <c r="A244" t="str">
        <f>IF('Equipment Information'!A244="","", 'Equipment Information'!A244)</f>
        <v/>
      </c>
      <c r="B244" t="str">
        <f>IF('Equipment Information'!B244="","", 'Equipment Information'!B244)</f>
        <v/>
      </c>
      <c r="C244" t="str">
        <f>IF('Equipment Information'!C244="","", 'Equipment Information'!C244)</f>
        <v/>
      </c>
      <c r="I244" t="str">
        <f t="shared" si="3"/>
        <v/>
      </c>
    </row>
    <row r="245" spans="1:9" x14ac:dyDescent="0.25">
      <c r="A245" t="str">
        <f>IF('Equipment Information'!A245="","", 'Equipment Information'!A245)</f>
        <v/>
      </c>
      <c r="B245" t="str">
        <f>IF('Equipment Information'!B245="","", 'Equipment Information'!B245)</f>
        <v/>
      </c>
      <c r="C245" t="str">
        <f>IF('Equipment Information'!C245="","", 'Equipment Information'!C245)</f>
        <v/>
      </c>
      <c r="I245" t="str">
        <f t="shared" si="3"/>
        <v/>
      </c>
    </row>
    <row r="246" spans="1:9" x14ac:dyDescent="0.25">
      <c r="A246" t="str">
        <f>IF('Equipment Information'!A246="","", 'Equipment Information'!A246)</f>
        <v/>
      </c>
      <c r="B246" t="str">
        <f>IF('Equipment Information'!B246="","", 'Equipment Information'!B246)</f>
        <v/>
      </c>
      <c r="C246" t="str">
        <f>IF('Equipment Information'!C246="","", 'Equipment Information'!C246)</f>
        <v/>
      </c>
      <c r="I246" t="str">
        <f t="shared" si="3"/>
        <v/>
      </c>
    </row>
    <row r="247" spans="1:9" x14ac:dyDescent="0.25">
      <c r="A247" t="str">
        <f>IF('Equipment Information'!A247="","", 'Equipment Information'!A247)</f>
        <v/>
      </c>
      <c r="B247" t="str">
        <f>IF('Equipment Information'!B247="","", 'Equipment Information'!B247)</f>
        <v/>
      </c>
      <c r="C247" t="str">
        <f>IF('Equipment Information'!C247="","", 'Equipment Information'!C247)</f>
        <v/>
      </c>
      <c r="I247" t="str">
        <f t="shared" si="3"/>
        <v/>
      </c>
    </row>
    <row r="248" spans="1:9" x14ac:dyDescent="0.25">
      <c r="A248" t="str">
        <f>IF('Equipment Information'!A248="","", 'Equipment Information'!A248)</f>
        <v/>
      </c>
      <c r="B248" t="str">
        <f>IF('Equipment Information'!B248="","", 'Equipment Information'!B248)</f>
        <v/>
      </c>
      <c r="C248" t="str">
        <f>IF('Equipment Information'!C248="","", 'Equipment Information'!C248)</f>
        <v/>
      </c>
      <c r="I248" t="str">
        <f t="shared" si="3"/>
        <v/>
      </c>
    </row>
    <row r="249" spans="1:9" x14ac:dyDescent="0.25">
      <c r="A249" t="str">
        <f>IF('Equipment Information'!A249="","", 'Equipment Information'!A249)</f>
        <v/>
      </c>
      <c r="B249" t="str">
        <f>IF('Equipment Information'!B249="","", 'Equipment Information'!B249)</f>
        <v/>
      </c>
      <c r="C249" t="str">
        <f>IF('Equipment Information'!C249="","", 'Equipment Information'!C249)</f>
        <v/>
      </c>
      <c r="I249" t="str">
        <f t="shared" si="3"/>
        <v/>
      </c>
    </row>
    <row r="250" spans="1:9" x14ac:dyDescent="0.25">
      <c r="A250" t="str">
        <f>IF('Equipment Information'!A250="","", 'Equipment Information'!A250)</f>
        <v/>
      </c>
      <c r="B250" t="str">
        <f>IF('Equipment Information'!B250="","", 'Equipment Information'!B250)</f>
        <v/>
      </c>
      <c r="C250" t="str">
        <f>IF('Equipment Information'!C250="","", 'Equipment Information'!C250)</f>
        <v/>
      </c>
      <c r="I250" t="str">
        <f t="shared" si="3"/>
        <v/>
      </c>
    </row>
    <row r="251" spans="1:9" x14ac:dyDescent="0.25">
      <c r="A251" t="str">
        <f>IF('Equipment Information'!A251="","", 'Equipment Information'!A251)</f>
        <v/>
      </c>
      <c r="B251" t="str">
        <f>IF('Equipment Information'!B251="","", 'Equipment Information'!B251)</f>
        <v/>
      </c>
      <c r="C251" t="str">
        <f>IF('Equipment Information'!C251="","", 'Equipment Information'!C251)</f>
        <v/>
      </c>
      <c r="I251" t="str">
        <f t="shared" si="3"/>
        <v/>
      </c>
    </row>
    <row r="252" spans="1:9" x14ac:dyDescent="0.25">
      <c r="A252" t="str">
        <f>IF('Equipment Information'!A252="","", 'Equipment Information'!A252)</f>
        <v/>
      </c>
      <c r="B252" t="str">
        <f>IF('Equipment Information'!B252="","", 'Equipment Information'!B252)</f>
        <v/>
      </c>
      <c r="C252" t="str">
        <f>IF('Equipment Information'!C252="","", 'Equipment Information'!C252)</f>
        <v/>
      </c>
      <c r="I252" t="str">
        <f t="shared" si="3"/>
        <v/>
      </c>
    </row>
    <row r="253" spans="1:9" x14ac:dyDescent="0.25">
      <c r="A253" t="str">
        <f>IF('Equipment Information'!A253="","", 'Equipment Information'!A253)</f>
        <v/>
      </c>
      <c r="B253" t="str">
        <f>IF('Equipment Information'!B253="","", 'Equipment Information'!B253)</f>
        <v/>
      </c>
      <c r="C253" t="str">
        <f>IF('Equipment Information'!C253="","", 'Equipment Information'!C253)</f>
        <v/>
      </c>
      <c r="I253" t="str">
        <f t="shared" si="3"/>
        <v/>
      </c>
    </row>
    <row r="254" spans="1:9" x14ac:dyDescent="0.25">
      <c r="A254" t="str">
        <f>IF('Equipment Information'!A254="","", 'Equipment Information'!A254)</f>
        <v/>
      </c>
      <c r="B254" t="str">
        <f>IF('Equipment Information'!B254="","", 'Equipment Information'!B254)</f>
        <v/>
      </c>
      <c r="C254" t="str">
        <f>IF('Equipment Information'!C254="","", 'Equipment Information'!C254)</f>
        <v/>
      </c>
      <c r="I254" t="str">
        <f t="shared" si="3"/>
        <v/>
      </c>
    </row>
    <row r="255" spans="1:9" x14ac:dyDescent="0.25">
      <c r="A255" t="str">
        <f>IF('Equipment Information'!A255="","", 'Equipment Information'!A255)</f>
        <v/>
      </c>
      <c r="B255" t="str">
        <f>IF('Equipment Information'!B255="","", 'Equipment Information'!B255)</f>
        <v/>
      </c>
      <c r="C255" t="str">
        <f>IF('Equipment Information'!C255="","", 'Equipment Information'!C255)</f>
        <v/>
      </c>
      <c r="I255" t="str">
        <f t="shared" si="3"/>
        <v/>
      </c>
    </row>
    <row r="256" spans="1:9" x14ac:dyDescent="0.25">
      <c r="A256" t="str">
        <f>IF('Equipment Information'!A256="","", 'Equipment Information'!A256)</f>
        <v/>
      </c>
      <c r="B256" t="str">
        <f>IF('Equipment Information'!B256="","", 'Equipment Information'!B256)</f>
        <v/>
      </c>
      <c r="C256" t="str">
        <f>IF('Equipment Information'!C256="","", 'Equipment Information'!C256)</f>
        <v/>
      </c>
      <c r="I256" t="str">
        <f t="shared" si="3"/>
        <v/>
      </c>
    </row>
    <row r="257" spans="1:9" x14ac:dyDescent="0.25">
      <c r="A257" t="str">
        <f>IF('Equipment Information'!A257="","", 'Equipment Information'!A257)</f>
        <v/>
      </c>
      <c r="B257" t="str">
        <f>IF('Equipment Information'!B257="","", 'Equipment Information'!B257)</f>
        <v/>
      </c>
      <c r="C257" t="str">
        <f>IF('Equipment Information'!C257="","", 'Equipment Information'!C257)</f>
        <v/>
      </c>
      <c r="I257" t="str">
        <f t="shared" si="3"/>
        <v/>
      </c>
    </row>
    <row r="258" spans="1:9" x14ac:dyDescent="0.25">
      <c r="A258" t="str">
        <f>IF('Equipment Information'!A258="","", 'Equipment Information'!A258)</f>
        <v/>
      </c>
      <c r="B258" t="str">
        <f>IF('Equipment Information'!B258="","", 'Equipment Information'!B258)</f>
        <v/>
      </c>
      <c r="C258" t="str">
        <f>IF('Equipment Information'!C258="","", 'Equipment Information'!C258)</f>
        <v/>
      </c>
      <c r="I258" t="str">
        <f t="shared" ref="I258:I321" si="4">IF(A258="","","N/A")</f>
        <v/>
      </c>
    </row>
    <row r="259" spans="1:9" x14ac:dyDescent="0.25">
      <c r="A259" t="str">
        <f>IF('Equipment Information'!A259="","", 'Equipment Information'!A259)</f>
        <v/>
      </c>
      <c r="B259" t="str">
        <f>IF('Equipment Information'!B259="","", 'Equipment Information'!B259)</f>
        <v/>
      </c>
      <c r="C259" t="str">
        <f>IF('Equipment Information'!C259="","", 'Equipment Information'!C259)</f>
        <v/>
      </c>
      <c r="I259" t="str">
        <f t="shared" si="4"/>
        <v/>
      </c>
    </row>
    <row r="260" spans="1:9" x14ac:dyDescent="0.25">
      <c r="A260" t="str">
        <f>IF('Equipment Information'!A260="","", 'Equipment Information'!A260)</f>
        <v/>
      </c>
      <c r="B260" t="str">
        <f>IF('Equipment Information'!B260="","", 'Equipment Information'!B260)</f>
        <v/>
      </c>
      <c r="C260" t="str">
        <f>IF('Equipment Information'!C260="","", 'Equipment Information'!C260)</f>
        <v/>
      </c>
      <c r="I260" t="str">
        <f t="shared" si="4"/>
        <v/>
      </c>
    </row>
    <row r="261" spans="1:9" x14ac:dyDescent="0.25">
      <c r="A261" t="str">
        <f>IF('Equipment Information'!A261="","", 'Equipment Information'!A261)</f>
        <v/>
      </c>
      <c r="B261" t="str">
        <f>IF('Equipment Information'!B261="","", 'Equipment Information'!B261)</f>
        <v/>
      </c>
      <c r="C261" t="str">
        <f>IF('Equipment Information'!C261="","", 'Equipment Information'!C261)</f>
        <v/>
      </c>
      <c r="I261" t="str">
        <f t="shared" si="4"/>
        <v/>
      </c>
    </row>
    <row r="262" spans="1:9" x14ac:dyDescent="0.25">
      <c r="A262" t="str">
        <f>IF('Equipment Information'!A262="","", 'Equipment Information'!A262)</f>
        <v/>
      </c>
      <c r="B262" t="str">
        <f>IF('Equipment Information'!B262="","", 'Equipment Information'!B262)</f>
        <v/>
      </c>
      <c r="C262" t="str">
        <f>IF('Equipment Information'!C262="","", 'Equipment Information'!C262)</f>
        <v/>
      </c>
      <c r="I262" t="str">
        <f t="shared" si="4"/>
        <v/>
      </c>
    </row>
    <row r="263" spans="1:9" x14ac:dyDescent="0.25">
      <c r="A263" t="str">
        <f>IF('Equipment Information'!A263="","", 'Equipment Information'!A263)</f>
        <v/>
      </c>
      <c r="B263" t="str">
        <f>IF('Equipment Information'!B263="","", 'Equipment Information'!B263)</f>
        <v/>
      </c>
      <c r="C263" t="str">
        <f>IF('Equipment Information'!C263="","", 'Equipment Information'!C263)</f>
        <v/>
      </c>
      <c r="I263" t="str">
        <f t="shared" si="4"/>
        <v/>
      </c>
    </row>
    <row r="264" spans="1:9" x14ac:dyDescent="0.25">
      <c r="A264" t="str">
        <f>IF('Equipment Information'!A264="","", 'Equipment Information'!A264)</f>
        <v/>
      </c>
      <c r="B264" t="str">
        <f>IF('Equipment Information'!B264="","", 'Equipment Information'!B264)</f>
        <v/>
      </c>
      <c r="C264" t="str">
        <f>IF('Equipment Information'!C264="","", 'Equipment Information'!C264)</f>
        <v/>
      </c>
      <c r="I264" t="str">
        <f t="shared" si="4"/>
        <v/>
      </c>
    </row>
    <row r="265" spans="1:9" x14ac:dyDescent="0.25">
      <c r="A265" t="str">
        <f>IF('Equipment Information'!A265="","", 'Equipment Information'!A265)</f>
        <v/>
      </c>
      <c r="B265" t="str">
        <f>IF('Equipment Information'!B265="","", 'Equipment Information'!B265)</f>
        <v/>
      </c>
      <c r="C265" t="str">
        <f>IF('Equipment Information'!C265="","", 'Equipment Information'!C265)</f>
        <v/>
      </c>
      <c r="I265" t="str">
        <f t="shared" si="4"/>
        <v/>
      </c>
    </row>
    <row r="266" spans="1:9" x14ac:dyDescent="0.25">
      <c r="A266" t="str">
        <f>IF('Equipment Information'!A266="","", 'Equipment Information'!A266)</f>
        <v/>
      </c>
      <c r="B266" t="str">
        <f>IF('Equipment Information'!B266="","", 'Equipment Information'!B266)</f>
        <v/>
      </c>
      <c r="C266" t="str">
        <f>IF('Equipment Information'!C266="","", 'Equipment Information'!C266)</f>
        <v/>
      </c>
      <c r="I266" t="str">
        <f t="shared" si="4"/>
        <v/>
      </c>
    </row>
    <row r="267" spans="1:9" x14ac:dyDescent="0.25">
      <c r="A267" t="str">
        <f>IF('Equipment Information'!A267="","", 'Equipment Information'!A267)</f>
        <v/>
      </c>
      <c r="B267" t="str">
        <f>IF('Equipment Information'!B267="","", 'Equipment Information'!B267)</f>
        <v/>
      </c>
      <c r="C267" t="str">
        <f>IF('Equipment Information'!C267="","", 'Equipment Information'!C267)</f>
        <v/>
      </c>
      <c r="I267" t="str">
        <f t="shared" si="4"/>
        <v/>
      </c>
    </row>
    <row r="268" spans="1:9" x14ac:dyDescent="0.25">
      <c r="A268" t="str">
        <f>IF('Equipment Information'!A268="","", 'Equipment Information'!A268)</f>
        <v/>
      </c>
      <c r="B268" t="str">
        <f>IF('Equipment Information'!B268="","", 'Equipment Information'!B268)</f>
        <v/>
      </c>
      <c r="C268" t="str">
        <f>IF('Equipment Information'!C268="","", 'Equipment Information'!C268)</f>
        <v/>
      </c>
      <c r="I268" t="str">
        <f t="shared" si="4"/>
        <v/>
      </c>
    </row>
    <row r="269" spans="1:9" x14ac:dyDescent="0.25">
      <c r="A269" t="str">
        <f>IF('Equipment Information'!A269="","", 'Equipment Information'!A269)</f>
        <v/>
      </c>
      <c r="B269" t="str">
        <f>IF('Equipment Information'!B269="","", 'Equipment Information'!B269)</f>
        <v/>
      </c>
      <c r="C269" t="str">
        <f>IF('Equipment Information'!C269="","", 'Equipment Information'!C269)</f>
        <v/>
      </c>
      <c r="I269" t="str">
        <f t="shared" si="4"/>
        <v/>
      </c>
    </row>
    <row r="270" spans="1:9" x14ac:dyDescent="0.25">
      <c r="A270" t="str">
        <f>IF('Equipment Information'!A270="","", 'Equipment Information'!A270)</f>
        <v/>
      </c>
      <c r="B270" t="str">
        <f>IF('Equipment Information'!B270="","", 'Equipment Information'!B270)</f>
        <v/>
      </c>
      <c r="C270" t="str">
        <f>IF('Equipment Information'!C270="","", 'Equipment Information'!C270)</f>
        <v/>
      </c>
      <c r="I270" t="str">
        <f t="shared" si="4"/>
        <v/>
      </c>
    </row>
    <row r="271" spans="1:9" x14ac:dyDescent="0.25">
      <c r="A271" t="str">
        <f>IF('Equipment Information'!A271="","", 'Equipment Information'!A271)</f>
        <v/>
      </c>
      <c r="B271" t="str">
        <f>IF('Equipment Information'!B271="","", 'Equipment Information'!B271)</f>
        <v/>
      </c>
      <c r="C271" t="str">
        <f>IF('Equipment Information'!C271="","", 'Equipment Information'!C271)</f>
        <v/>
      </c>
      <c r="I271" t="str">
        <f t="shared" si="4"/>
        <v/>
      </c>
    </row>
    <row r="272" spans="1:9" x14ac:dyDescent="0.25">
      <c r="A272" t="str">
        <f>IF('Equipment Information'!A272="","", 'Equipment Information'!A272)</f>
        <v/>
      </c>
      <c r="B272" t="str">
        <f>IF('Equipment Information'!B272="","", 'Equipment Information'!B272)</f>
        <v/>
      </c>
      <c r="C272" t="str">
        <f>IF('Equipment Information'!C272="","", 'Equipment Information'!C272)</f>
        <v/>
      </c>
      <c r="I272" t="str">
        <f t="shared" si="4"/>
        <v/>
      </c>
    </row>
    <row r="273" spans="1:9" x14ac:dyDescent="0.25">
      <c r="A273" t="str">
        <f>IF('Equipment Information'!A273="","", 'Equipment Information'!A273)</f>
        <v/>
      </c>
      <c r="B273" t="str">
        <f>IF('Equipment Information'!B273="","", 'Equipment Information'!B273)</f>
        <v/>
      </c>
      <c r="C273" t="str">
        <f>IF('Equipment Information'!C273="","", 'Equipment Information'!C273)</f>
        <v/>
      </c>
      <c r="I273" t="str">
        <f t="shared" si="4"/>
        <v/>
      </c>
    </row>
    <row r="274" spans="1:9" x14ac:dyDescent="0.25">
      <c r="A274" t="str">
        <f>IF('Equipment Information'!A274="","", 'Equipment Information'!A274)</f>
        <v/>
      </c>
      <c r="B274" t="str">
        <f>IF('Equipment Information'!B274="","", 'Equipment Information'!B274)</f>
        <v/>
      </c>
      <c r="C274" t="str">
        <f>IF('Equipment Information'!C274="","", 'Equipment Information'!C274)</f>
        <v/>
      </c>
      <c r="I274" t="str">
        <f t="shared" si="4"/>
        <v/>
      </c>
    </row>
    <row r="275" spans="1:9" x14ac:dyDescent="0.25">
      <c r="A275" t="str">
        <f>IF('Equipment Information'!A275="","", 'Equipment Information'!A275)</f>
        <v/>
      </c>
      <c r="B275" t="str">
        <f>IF('Equipment Information'!B275="","", 'Equipment Information'!B275)</f>
        <v/>
      </c>
      <c r="C275" t="str">
        <f>IF('Equipment Information'!C275="","", 'Equipment Information'!C275)</f>
        <v/>
      </c>
      <c r="I275" t="str">
        <f t="shared" si="4"/>
        <v/>
      </c>
    </row>
    <row r="276" spans="1:9" x14ac:dyDescent="0.25">
      <c r="A276" t="str">
        <f>IF('Equipment Information'!A276="","", 'Equipment Information'!A276)</f>
        <v/>
      </c>
      <c r="B276" t="str">
        <f>IF('Equipment Information'!B276="","", 'Equipment Information'!B276)</f>
        <v/>
      </c>
      <c r="C276" t="str">
        <f>IF('Equipment Information'!C276="","", 'Equipment Information'!C276)</f>
        <v/>
      </c>
      <c r="I276" t="str">
        <f t="shared" si="4"/>
        <v/>
      </c>
    </row>
    <row r="277" spans="1:9" x14ac:dyDescent="0.25">
      <c r="A277" t="str">
        <f>IF('Equipment Information'!A277="","", 'Equipment Information'!A277)</f>
        <v/>
      </c>
      <c r="B277" t="str">
        <f>IF('Equipment Information'!B277="","", 'Equipment Information'!B277)</f>
        <v/>
      </c>
      <c r="C277" t="str">
        <f>IF('Equipment Information'!C277="","", 'Equipment Information'!C277)</f>
        <v/>
      </c>
      <c r="I277" t="str">
        <f t="shared" si="4"/>
        <v/>
      </c>
    </row>
    <row r="278" spans="1:9" x14ac:dyDescent="0.25">
      <c r="A278" t="str">
        <f>IF('Equipment Information'!A278="","", 'Equipment Information'!A278)</f>
        <v/>
      </c>
      <c r="B278" t="str">
        <f>IF('Equipment Information'!B278="","", 'Equipment Information'!B278)</f>
        <v/>
      </c>
      <c r="C278" t="str">
        <f>IF('Equipment Information'!C278="","", 'Equipment Information'!C278)</f>
        <v/>
      </c>
      <c r="I278" t="str">
        <f t="shared" si="4"/>
        <v/>
      </c>
    </row>
    <row r="279" spans="1:9" x14ac:dyDescent="0.25">
      <c r="A279" t="str">
        <f>IF('Equipment Information'!A279="","", 'Equipment Information'!A279)</f>
        <v/>
      </c>
      <c r="B279" t="str">
        <f>IF('Equipment Information'!B279="","", 'Equipment Information'!B279)</f>
        <v/>
      </c>
      <c r="C279" t="str">
        <f>IF('Equipment Information'!C279="","", 'Equipment Information'!C279)</f>
        <v/>
      </c>
      <c r="I279" t="str">
        <f t="shared" si="4"/>
        <v/>
      </c>
    </row>
    <row r="280" spans="1:9" x14ac:dyDescent="0.25">
      <c r="A280" t="str">
        <f>IF('Equipment Information'!A280="","", 'Equipment Information'!A280)</f>
        <v/>
      </c>
      <c r="B280" t="str">
        <f>IF('Equipment Information'!B280="","", 'Equipment Information'!B280)</f>
        <v/>
      </c>
      <c r="C280" t="str">
        <f>IF('Equipment Information'!C280="","", 'Equipment Information'!C280)</f>
        <v/>
      </c>
      <c r="I280" t="str">
        <f t="shared" si="4"/>
        <v/>
      </c>
    </row>
    <row r="281" spans="1:9" x14ac:dyDescent="0.25">
      <c r="A281" t="str">
        <f>IF('Equipment Information'!A281="","", 'Equipment Information'!A281)</f>
        <v/>
      </c>
      <c r="B281" t="str">
        <f>IF('Equipment Information'!B281="","", 'Equipment Information'!B281)</f>
        <v/>
      </c>
      <c r="C281" t="str">
        <f>IF('Equipment Information'!C281="","", 'Equipment Information'!C281)</f>
        <v/>
      </c>
      <c r="I281" t="str">
        <f t="shared" si="4"/>
        <v/>
      </c>
    </row>
    <row r="282" spans="1:9" x14ac:dyDescent="0.25">
      <c r="A282" t="str">
        <f>IF('Equipment Information'!A282="","", 'Equipment Information'!A282)</f>
        <v/>
      </c>
      <c r="B282" t="str">
        <f>IF('Equipment Information'!B282="","", 'Equipment Information'!B282)</f>
        <v/>
      </c>
      <c r="C282" t="str">
        <f>IF('Equipment Information'!C282="","", 'Equipment Information'!C282)</f>
        <v/>
      </c>
      <c r="I282" t="str">
        <f t="shared" si="4"/>
        <v/>
      </c>
    </row>
    <row r="283" spans="1:9" x14ac:dyDescent="0.25">
      <c r="A283" t="str">
        <f>IF('Equipment Information'!A283="","", 'Equipment Information'!A283)</f>
        <v/>
      </c>
      <c r="B283" t="str">
        <f>IF('Equipment Information'!B283="","", 'Equipment Information'!B283)</f>
        <v/>
      </c>
      <c r="C283" t="str">
        <f>IF('Equipment Information'!C283="","", 'Equipment Information'!C283)</f>
        <v/>
      </c>
      <c r="I283" t="str">
        <f t="shared" si="4"/>
        <v/>
      </c>
    </row>
    <row r="284" spans="1:9" x14ac:dyDescent="0.25">
      <c r="A284" t="str">
        <f>IF('Equipment Information'!A284="","", 'Equipment Information'!A284)</f>
        <v/>
      </c>
      <c r="B284" t="str">
        <f>IF('Equipment Information'!B284="","", 'Equipment Information'!B284)</f>
        <v/>
      </c>
      <c r="C284" t="str">
        <f>IF('Equipment Information'!C284="","", 'Equipment Information'!C284)</f>
        <v/>
      </c>
      <c r="I284" t="str">
        <f t="shared" si="4"/>
        <v/>
      </c>
    </row>
    <row r="285" spans="1:9" x14ac:dyDescent="0.25">
      <c r="A285" t="str">
        <f>IF('Equipment Information'!A285="","", 'Equipment Information'!A285)</f>
        <v/>
      </c>
      <c r="B285" t="str">
        <f>IF('Equipment Information'!B285="","", 'Equipment Information'!B285)</f>
        <v/>
      </c>
      <c r="C285" t="str">
        <f>IF('Equipment Information'!C285="","", 'Equipment Information'!C285)</f>
        <v/>
      </c>
      <c r="I285" t="str">
        <f t="shared" si="4"/>
        <v/>
      </c>
    </row>
    <row r="286" spans="1:9" x14ac:dyDescent="0.25">
      <c r="A286" t="str">
        <f>IF('Equipment Information'!A286="","", 'Equipment Information'!A286)</f>
        <v/>
      </c>
      <c r="B286" t="str">
        <f>IF('Equipment Information'!B286="","", 'Equipment Information'!B286)</f>
        <v/>
      </c>
      <c r="C286" t="str">
        <f>IF('Equipment Information'!C286="","", 'Equipment Information'!C286)</f>
        <v/>
      </c>
      <c r="I286" t="str">
        <f t="shared" si="4"/>
        <v/>
      </c>
    </row>
    <row r="287" spans="1:9" x14ac:dyDescent="0.25">
      <c r="A287" t="str">
        <f>IF('Equipment Information'!A287="","", 'Equipment Information'!A287)</f>
        <v/>
      </c>
      <c r="B287" t="str">
        <f>IF('Equipment Information'!B287="","", 'Equipment Information'!B287)</f>
        <v/>
      </c>
      <c r="C287" t="str">
        <f>IF('Equipment Information'!C287="","", 'Equipment Information'!C287)</f>
        <v/>
      </c>
      <c r="I287" t="str">
        <f t="shared" si="4"/>
        <v/>
      </c>
    </row>
    <row r="288" spans="1:9" x14ac:dyDescent="0.25">
      <c r="A288" t="str">
        <f>IF('Equipment Information'!A288="","", 'Equipment Information'!A288)</f>
        <v/>
      </c>
      <c r="B288" t="str">
        <f>IF('Equipment Information'!B288="","", 'Equipment Information'!B288)</f>
        <v/>
      </c>
      <c r="C288" t="str">
        <f>IF('Equipment Information'!C288="","", 'Equipment Information'!C288)</f>
        <v/>
      </c>
      <c r="I288" t="str">
        <f t="shared" si="4"/>
        <v/>
      </c>
    </row>
    <row r="289" spans="1:9" x14ac:dyDescent="0.25">
      <c r="A289" t="str">
        <f>IF('Equipment Information'!A289="","", 'Equipment Information'!A289)</f>
        <v/>
      </c>
      <c r="B289" t="str">
        <f>IF('Equipment Information'!B289="","", 'Equipment Information'!B289)</f>
        <v/>
      </c>
      <c r="C289" t="str">
        <f>IF('Equipment Information'!C289="","", 'Equipment Information'!C289)</f>
        <v/>
      </c>
      <c r="I289" t="str">
        <f t="shared" si="4"/>
        <v/>
      </c>
    </row>
    <row r="290" spans="1:9" x14ac:dyDescent="0.25">
      <c r="A290" t="str">
        <f>IF('Equipment Information'!A290="","", 'Equipment Information'!A290)</f>
        <v/>
      </c>
      <c r="B290" t="str">
        <f>IF('Equipment Information'!B290="","", 'Equipment Information'!B290)</f>
        <v/>
      </c>
      <c r="C290" t="str">
        <f>IF('Equipment Information'!C290="","", 'Equipment Information'!C290)</f>
        <v/>
      </c>
      <c r="I290" t="str">
        <f t="shared" si="4"/>
        <v/>
      </c>
    </row>
    <row r="291" spans="1:9" x14ac:dyDescent="0.25">
      <c r="A291" t="str">
        <f>IF('Equipment Information'!A291="","", 'Equipment Information'!A291)</f>
        <v/>
      </c>
      <c r="B291" t="str">
        <f>IF('Equipment Information'!B291="","", 'Equipment Information'!B291)</f>
        <v/>
      </c>
      <c r="C291" t="str">
        <f>IF('Equipment Information'!C291="","", 'Equipment Information'!C291)</f>
        <v/>
      </c>
      <c r="I291" t="str">
        <f t="shared" si="4"/>
        <v/>
      </c>
    </row>
    <row r="292" spans="1:9" x14ac:dyDescent="0.25">
      <c r="A292" t="str">
        <f>IF('Equipment Information'!A292="","", 'Equipment Information'!A292)</f>
        <v/>
      </c>
      <c r="B292" t="str">
        <f>IF('Equipment Information'!B292="","", 'Equipment Information'!B292)</f>
        <v/>
      </c>
      <c r="C292" t="str">
        <f>IF('Equipment Information'!C292="","", 'Equipment Information'!C292)</f>
        <v/>
      </c>
      <c r="I292" t="str">
        <f t="shared" si="4"/>
        <v/>
      </c>
    </row>
    <row r="293" spans="1:9" x14ac:dyDescent="0.25">
      <c r="A293" t="str">
        <f>IF('Equipment Information'!A293="","", 'Equipment Information'!A293)</f>
        <v/>
      </c>
      <c r="B293" t="str">
        <f>IF('Equipment Information'!B293="","", 'Equipment Information'!B293)</f>
        <v/>
      </c>
      <c r="C293" t="str">
        <f>IF('Equipment Information'!C293="","", 'Equipment Information'!C293)</f>
        <v/>
      </c>
      <c r="I293" t="str">
        <f t="shared" si="4"/>
        <v/>
      </c>
    </row>
    <row r="294" spans="1:9" x14ac:dyDescent="0.25">
      <c r="A294" t="str">
        <f>IF('Equipment Information'!A294="","", 'Equipment Information'!A294)</f>
        <v/>
      </c>
      <c r="B294" t="str">
        <f>IF('Equipment Information'!B294="","", 'Equipment Information'!B294)</f>
        <v/>
      </c>
      <c r="C294" t="str">
        <f>IF('Equipment Information'!C294="","", 'Equipment Information'!C294)</f>
        <v/>
      </c>
      <c r="I294" t="str">
        <f t="shared" si="4"/>
        <v/>
      </c>
    </row>
    <row r="295" spans="1:9" x14ac:dyDescent="0.25">
      <c r="A295" t="str">
        <f>IF('Equipment Information'!A295="","", 'Equipment Information'!A295)</f>
        <v/>
      </c>
      <c r="B295" t="str">
        <f>IF('Equipment Information'!B295="","", 'Equipment Information'!B295)</f>
        <v/>
      </c>
      <c r="C295" t="str">
        <f>IF('Equipment Information'!C295="","", 'Equipment Information'!C295)</f>
        <v/>
      </c>
      <c r="I295" t="str">
        <f t="shared" si="4"/>
        <v/>
      </c>
    </row>
    <row r="296" spans="1:9" x14ac:dyDescent="0.25">
      <c r="A296" t="str">
        <f>IF('Equipment Information'!A296="","", 'Equipment Information'!A296)</f>
        <v/>
      </c>
      <c r="B296" t="str">
        <f>IF('Equipment Information'!B296="","", 'Equipment Information'!B296)</f>
        <v/>
      </c>
      <c r="C296" t="str">
        <f>IF('Equipment Information'!C296="","", 'Equipment Information'!C296)</f>
        <v/>
      </c>
      <c r="I296" t="str">
        <f t="shared" si="4"/>
        <v/>
      </c>
    </row>
    <row r="297" spans="1:9" x14ac:dyDescent="0.25">
      <c r="A297" t="str">
        <f>IF('Equipment Information'!A297="","", 'Equipment Information'!A297)</f>
        <v/>
      </c>
      <c r="B297" t="str">
        <f>IF('Equipment Information'!B297="","", 'Equipment Information'!B297)</f>
        <v/>
      </c>
      <c r="C297" t="str">
        <f>IF('Equipment Information'!C297="","", 'Equipment Information'!C297)</f>
        <v/>
      </c>
      <c r="I297" t="str">
        <f t="shared" si="4"/>
        <v/>
      </c>
    </row>
    <row r="298" spans="1:9" x14ac:dyDescent="0.25">
      <c r="A298" t="str">
        <f>IF('Equipment Information'!A298="","", 'Equipment Information'!A298)</f>
        <v/>
      </c>
      <c r="B298" t="str">
        <f>IF('Equipment Information'!B298="","", 'Equipment Information'!B298)</f>
        <v/>
      </c>
      <c r="C298" t="str">
        <f>IF('Equipment Information'!C298="","", 'Equipment Information'!C298)</f>
        <v/>
      </c>
      <c r="I298" t="str">
        <f t="shared" si="4"/>
        <v/>
      </c>
    </row>
    <row r="299" spans="1:9" x14ac:dyDescent="0.25">
      <c r="A299" t="str">
        <f>IF('Equipment Information'!A299="","", 'Equipment Information'!A299)</f>
        <v/>
      </c>
      <c r="B299" t="str">
        <f>IF('Equipment Information'!B299="","", 'Equipment Information'!B299)</f>
        <v/>
      </c>
      <c r="C299" t="str">
        <f>IF('Equipment Information'!C299="","", 'Equipment Information'!C299)</f>
        <v/>
      </c>
      <c r="I299" t="str">
        <f t="shared" si="4"/>
        <v/>
      </c>
    </row>
    <row r="300" spans="1:9" x14ac:dyDescent="0.25">
      <c r="A300" t="str">
        <f>IF('Equipment Information'!A300="","", 'Equipment Information'!A300)</f>
        <v/>
      </c>
      <c r="B300" t="str">
        <f>IF('Equipment Information'!B300="","", 'Equipment Information'!B300)</f>
        <v/>
      </c>
      <c r="C300" t="str">
        <f>IF('Equipment Information'!C300="","", 'Equipment Information'!C300)</f>
        <v/>
      </c>
      <c r="I300" t="str">
        <f t="shared" si="4"/>
        <v/>
      </c>
    </row>
    <row r="301" spans="1:9" x14ac:dyDescent="0.25">
      <c r="A301" t="str">
        <f>IF('Equipment Information'!A301="","", 'Equipment Information'!A301)</f>
        <v/>
      </c>
      <c r="B301" t="str">
        <f>IF('Equipment Information'!B301="","", 'Equipment Information'!B301)</f>
        <v/>
      </c>
      <c r="C301" t="str">
        <f>IF('Equipment Information'!C301="","", 'Equipment Information'!C301)</f>
        <v/>
      </c>
      <c r="I301" t="str">
        <f t="shared" si="4"/>
        <v/>
      </c>
    </row>
    <row r="302" spans="1:9" x14ac:dyDescent="0.25">
      <c r="A302" t="str">
        <f>IF('Equipment Information'!A302="","", 'Equipment Information'!A302)</f>
        <v/>
      </c>
      <c r="B302" t="str">
        <f>IF('Equipment Information'!B302="","", 'Equipment Information'!B302)</f>
        <v/>
      </c>
      <c r="C302" t="str">
        <f>IF('Equipment Information'!C302="","", 'Equipment Information'!C302)</f>
        <v/>
      </c>
      <c r="I302" t="str">
        <f t="shared" si="4"/>
        <v/>
      </c>
    </row>
    <row r="303" spans="1:9" x14ac:dyDescent="0.25">
      <c r="A303" t="str">
        <f>IF('Equipment Information'!A303="","", 'Equipment Information'!A303)</f>
        <v/>
      </c>
      <c r="B303" t="str">
        <f>IF('Equipment Information'!B303="","", 'Equipment Information'!B303)</f>
        <v/>
      </c>
      <c r="C303" t="str">
        <f>IF('Equipment Information'!C303="","", 'Equipment Information'!C303)</f>
        <v/>
      </c>
      <c r="I303" t="str">
        <f t="shared" si="4"/>
        <v/>
      </c>
    </row>
    <row r="304" spans="1:9" x14ac:dyDescent="0.25">
      <c r="A304" t="str">
        <f>IF('Equipment Information'!A304="","", 'Equipment Information'!A304)</f>
        <v/>
      </c>
      <c r="B304" t="str">
        <f>IF('Equipment Information'!B304="","", 'Equipment Information'!B304)</f>
        <v/>
      </c>
      <c r="C304" t="str">
        <f>IF('Equipment Information'!C304="","", 'Equipment Information'!C304)</f>
        <v/>
      </c>
      <c r="I304" t="str">
        <f t="shared" si="4"/>
        <v/>
      </c>
    </row>
    <row r="305" spans="1:9" x14ac:dyDescent="0.25">
      <c r="A305" t="str">
        <f>IF('Equipment Information'!A305="","", 'Equipment Information'!A305)</f>
        <v/>
      </c>
      <c r="B305" t="str">
        <f>IF('Equipment Information'!B305="","", 'Equipment Information'!B305)</f>
        <v/>
      </c>
      <c r="C305" t="str">
        <f>IF('Equipment Information'!C305="","", 'Equipment Information'!C305)</f>
        <v/>
      </c>
      <c r="I305" t="str">
        <f t="shared" si="4"/>
        <v/>
      </c>
    </row>
    <row r="306" spans="1:9" x14ac:dyDescent="0.25">
      <c r="A306" t="str">
        <f>IF('Equipment Information'!A306="","", 'Equipment Information'!A306)</f>
        <v/>
      </c>
      <c r="B306" t="str">
        <f>IF('Equipment Information'!B306="","", 'Equipment Information'!B306)</f>
        <v/>
      </c>
      <c r="C306" t="str">
        <f>IF('Equipment Information'!C306="","", 'Equipment Information'!C306)</f>
        <v/>
      </c>
      <c r="I306" t="str">
        <f t="shared" si="4"/>
        <v/>
      </c>
    </row>
    <row r="307" spans="1:9" x14ac:dyDescent="0.25">
      <c r="A307" t="str">
        <f>IF('Equipment Information'!A307="","", 'Equipment Information'!A307)</f>
        <v/>
      </c>
      <c r="B307" t="str">
        <f>IF('Equipment Information'!B307="","", 'Equipment Information'!B307)</f>
        <v/>
      </c>
      <c r="C307" t="str">
        <f>IF('Equipment Information'!C307="","", 'Equipment Information'!C307)</f>
        <v/>
      </c>
      <c r="I307" t="str">
        <f t="shared" si="4"/>
        <v/>
      </c>
    </row>
    <row r="308" spans="1:9" x14ac:dyDescent="0.25">
      <c r="A308" t="str">
        <f>IF('Equipment Information'!A308="","", 'Equipment Information'!A308)</f>
        <v/>
      </c>
      <c r="B308" t="str">
        <f>IF('Equipment Information'!B308="","", 'Equipment Information'!B308)</f>
        <v/>
      </c>
      <c r="C308" t="str">
        <f>IF('Equipment Information'!C308="","", 'Equipment Information'!C308)</f>
        <v/>
      </c>
      <c r="I308" t="str">
        <f t="shared" si="4"/>
        <v/>
      </c>
    </row>
    <row r="309" spans="1:9" x14ac:dyDescent="0.25">
      <c r="A309" t="str">
        <f>IF('Equipment Information'!A309="","", 'Equipment Information'!A309)</f>
        <v/>
      </c>
      <c r="B309" t="str">
        <f>IF('Equipment Information'!B309="","", 'Equipment Information'!B309)</f>
        <v/>
      </c>
      <c r="C309" t="str">
        <f>IF('Equipment Information'!C309="","", 'Equipment Information'!C309)</f>
        <v/>
      </c>
      <c r="I309" t="str">
        <f t="shared" si="4"/>
        <v/>
      </c>
    </row>
    <row r="310" spans="1:9" x14ac:dyDescent="0.25">
      <c r="A310" t="str">
        <f>IF('Equipment Information'!A310="","", 'Equipment Information'!A310)</f>
        <v/>
      </c>
      <c r="B310" t="str">
        <f>IF('Equipment Information'!B310="","", 'Equipment Information'!B310)</f>
        <v/>
      </c>
      <c r="C310" t="str">
        <f>IF('Equipment Information'!C310="","", 'Equipment Information'!C310)</f>
        <v/>
      </c>
      <c r="I310" t="str">
        <f t="shared" si="4"/>
        <v/>
      </c>
    </row>
    <row r="311" spans="1:9" x14ac:dyDescent="0.25">
      <c r="A311" t="str">
        <f>IF('Equipment Information'!A311="","", 'Equipment Information'!A311)</f>
        <v/>
      </c>
      <c r="B311" t="str">
        <f>IF('Equipment Information'!B311="","", 'Equipment Information'!B311)</f>
        <v/>
      </c>
      <c r="C311" t="str">
        <f>IF('Equipment Information'!C311="","", 'Equipment Information'!C311)</f>
        <v/>
      </c>
      <c r="I311" t="str">
        <f t="shared" si="4"/>
        <v/>
      </c>
    </row>
    <row r="312" spans="1:9" x14ac:dyDescent="0.25">
      <c r="A312" t="str">
        <f>IF('Equipment Information'!A312="","", 'Equipment Information'!A312)</f>
        <v/>
      </c>
      <c r="B312" t="str">
        <f>IF('Equipment Information'!B312="","", 'Equipment Information'!B312)</f>
        <v/>
      </c>
      <c r="C312" t="str">
        <f>IF('Equipment Information'!C312="","", 'Equipment Information'!C312)</f>
        <v/>
      </c>
      <c r="I312" t="str">
        <f t="shared" si="4"/>
        <v/>
      </c>
    </row>
    <row r="313" spans="1:9" x14ac:dyDescent="0.25">
      <c r="A313" t="str">
        <f>IF('Equipment Information'!A313="","", 'Equipment Information'!A313)</f>
        <v/>
      </c>
      <c r="B313" t="str">
        <f>IF('Equipment Information'!B313="","", 'Equipment Information'!B313)</f>
        <v/>
      </c>
      <c r="C313" t="str">
        <f>IF('Equipment Information'!C313="","", 'Equipment Information'!C313)</f>
        <v/>
      </c>
      <c r="I313" t="str">
        <f t="shared" si="4"/>
        <v/>
      </c>
    </row>
    <row r="314" spans="1:9" x14ac:dyDescent="0.25">
      <c r="A314" t="str">
        <f>IF('Equipment Information'!A314="","", 'Equipment Information'!A314)</f>
        <v/>
      </c>
      <c r="B314" t="str">
        <f>IF('Equipment Information'!B314="","", 'Equipment Information'!B314)</f>
        <v/>
      </c>
      <c r="C314" t="str">
        <f>IF('Equipment Information'!C314="","", 'Equipment Information'!C314)</f>
        <v/>
      </c>
      <c r="I314" t="str">
        <f t="shared" si="4"/>
        <v/>
      </c>
    </row>
    <row r="315" spans="1:9" x14ac:dyDescent="0.25">
      <c r="A315" t="str">
        <f>IF('Equipment Information'!A315="","", 'Equipment Information'!A315)</f>
        <v/>
      </c>
      <c r="B315" t="str">
        <f>IF('Equipment Information'!B315="","", 'Equipment Information'!B315)</f>
        <v/>
      </c>
      <c r="C315" t="str">
        <f>IF('Equipment Information'!C315="","", 'Equipment Information'!C315)</f>
        <v/>
      </c>
      <c r="I315" t="str">
        <f t="shared" si="4"/>
        <v/>
      </c>
    </row>
    <row r="316" spans="1:9" x14ac:dyDescent="0.25">
      <c r="A316" t="str">
        <f>IF('Equipment Information'!A316="","", 'Equipment Information'!A316)</f>
        <v/>
      </c>
      <c r="B316" t="str">
        <f>IF('Equipment Information'!B316="","", 'Equipment Information'!B316)</f>
        <v/>
      </c>
      <c r="C316" t="str">
        <f>IF('Equipment Information'!C316="","", 'Equipment Information'!C316)</f>
        <v/>
      </c>
      <c r="I316" t="str">
        <f t="shared" si="4"/>
        <v/>
      </c>
    </row>
    <row r="317" spans="1:9" x14ac:dyDescent="0.25">
      <c r="A317" t="str">
        <f>IF('Equipment Information'!A317="","", 'Equipment Information'!A317)</f>
        <v/>
      </c>
      <c r="B317" t="str">
        <f>IF('Equipment Information'!B317="","", 'Equipment Information'!B317)</f>
        <v/>
      </c>
      <c r="C317" t="str">
        <f>IF('Equipment Information'!C317="","", 'Equipment Information'!C317)</f>
        <v/>
      </c>
      <c r="I317" t="str">
        <f t="shared" si="4"/>
        <v/>
      </c>
    </row>
    <row r="318" spans="1:9" x14ac:dyDescent="0.25">
      <c r="A318" t="str">
        <f>IF('Equipment Information'!A318="","", 'Equipment Information'!A318)</f>
        <v/>
      </c>
      <c r="B318" t="str">
        <f>IF('Equipment Information'!B318="","", 'Equipment Information'!B318)</f>
        <v/>
      </c>
      <c r="C318" t="str">
        <f>IF('Equipment Information'!C318="","", 'Equipment Information'!C318)</f>
        <v/>
      </c>
      <c r="I318" t="str">
        <f t="shared" si="4"/>
        <v/>
      </c>
    </row>
    <row r="319" spans="1:9" x14ac:dyDescent="0.25">
      <c r="A319" t="str">
        <f>IF('Equipment Information'!A319="","", 'Equipment Information'!A319)</f>
        <v/>
      </c>
      <c r="B319" t="str">
        <f>IF('Equipment Information'!B319="","", 'Equipment Information'!B319)</f>
        <v/>
      </c>
      <c r="C319" t="str">
        <f>IF('Equipment Information'!C319="","", 'Equipment Information'!C319)</f>
        <v/>
      </c>
      <c r="I319" t="str">
        <f t="shared" si="4"/>
        <v/>
      </c>
    </row>
    <row r="320" spans="1:9" x14ac:dyDescent="0.25">
      <c r="A320" t="str">
        <f>IF('Equipment Information'!A320="","", 'Equipment Information'!A320)</f>
        <v/>
      </c>
      <c r="B320" t="str">
        <f>IF('Equipment Information'!B320="","", 'Equipment Information'!B320)</f>
        <v/>
      </c>
      <c r="C320" t="str">
        <f>IF('Equipment Information'!C320="","", 'Equipment Information'!C320)</f>
        <v/>
      </c>
      <c r="I320" t="str">
        <f t="shared" si="4"/>
        <v/>
      </c>
    </row>
    <row r="321" spans="1:9" x14ac:dyDescent="0.25">
      <c r="A321" t="str">
        <f>IF('Equipment Information'!A321="","", 'Equipment Information'!A321)</f>
        <v/>
      </c>
      <c r="B321" t="str">
        <f>IF('Equipment Information'!B321="","", 'Equipment Information'!B321)</f>
        <v/>
      </c>
      <c r="C321" t="str">
        <f>IF('Equipment Information'!C321="","", 'Equipment Information'!C321)</f>
        <v/>
      </c>
      <c r="I321" t="str">
        <f t="shared" si="4"/>
        <v/>
      </c>
    </row>
    <row r="322" spans="1:9" x14ac:dyDescent="0.25">
      <c r="A322" t="str">
        <f>IF('Equipment Information'!A322="","", 'Equipment Information'!A322)</f>
        <v/>
      </c>
      <c r="B322" t="str">
        <f>IF('Equipment Information'!B322="","", 'Equipment Information'!B322)</f>
        <v/>
      </c>
      <c r="C322" t="str">
        <f>IF('Equipment Information'!C322="","", 'Equipment Information'!C322)</f>
        <v/>
      </c>
      <c r="I322" t="str">
        <f t="shared" ref="I322:I385" si="5">IF(A322="","","N/A")</f>
        <v/>
      </c>
    </row>
    <row r="323" spans="1:9" x14ac:dyDescent="0.25">
      <c r="A323" t="str">
        <f>IF('Equipment Information'!A323="","", 'Equipment Information'!A323)</f>
        <v/>
      </c>
      <c r="B323" t="str">
        <f>IF('Equipment Information'!B323="","", 'Equipment Information'!B323)</f>
        <v/>
      </c>
      <c r="C323" t="str">
        <f>IF('Equipment Information'!C323="","", 'Equipment Information'!C323)</f>
        <v/>
      </c>
      <c r="I323" t="str">
        <f t="shared" si="5"/>
        <v/>
      </c>
    </row>
    <row r="324" spans="1:9" x14ac:dyDescent="0.25">
      <c r="A324" t="str">
        <f>IF('Equipment Information'!A324="","", 'Equipment Information'!A324)</f>
        <v/>
      </c>
      <c r="B324" t="str">
        <f>IF('Equipment Information'!B324="","", 'Equipment Information'!B324)</f>
        <v/>
      </c>
      <c r="C324" t="str">
        <f>IF('Equipment Information'!C324="","", 'Equipment Information'!C324)</f>
        <v/>
      </c>
      <c r="I324" t="str">
        <f t="shared" si="5"/>
        <v/>
      </c>
    </row>
    <row r="325" spans="1:9" x14ac:dyDescent="0.25">
      <c r="A325" t="str">
        <f>IF('Equipment Information'!A325="","", 'Equipment Information'!A325)</f>
        <v/>
      </c>
      <c r="B325" t="str">
        <f>IF('Equipment Information'!B325="","", 'Equipment Information'!B325)</f>
        <v/>
      </c>
      <c r="C325" t="str">
        <f>IF('Equipment Information'!C325="","", 'Equipment Information'!C325)</f>
        <v/>
      </c>
      <c r="I325" t="str">
        <f t="shared" si="5"/>
        <v/>
      </c>
    </row>
    <row r="326" spans="1:9" x14ac:dyDescent="0.25">
      <c r="A326" t="str">
        <f>IF('Equipment Information'!A326="","", 'Equipment Information'!A326)</f>
        <v/>
      </c>
      <c r="B326" t="str">
        <f>IF('Equipment Information'!B326="","", 'Equipment Information'!B326)</f>
        <v/>
      </c>
      <c r="C326" t="str">
        <f>IF('Equipment Information'!C326="","", 'Equipment Information'!C326)</f>
        <v/>
      </c>
      <c r="I326" t="str">
        <f t="shared" si="5"/>
        <v/>
      </c>
    </row>
    <row r="327" spans="1:9" x14ac:dyDescent="0.25">
      <c r="A327" t="str">
        <f>IF('Equipment Information'!A327="","", 'Equipment Information'!A327)</f>
        <v/>
      </c>
      <c r="B327" t="str">
        <f>IF('Equipment Information'!B327="","", 'Equipment Information'!B327)</f>
        <v/>
      </c>
      <c r="C327" t="str">
        <f>IF('Equipment Information'!C327="","", 'Equipment Information'!C327)</f>
        <v/>
      </c>
      <c r="I327" t="str">
        <f t="shared" si="5"/>
        <v/>
      </c>
    </row>
    <row r="328" spans="1:9" x14ac:dyDescent="0.25">
      <c r="A328" t="str">
        <f>IF('Equipment Information'!A328="","", 'Equipment Information'!A328)</f>
        <v/>
      </c>
      <c r="B328" t="str">
        <f>IF('Equipment Information'!B328="","", 'Equipment Information'!B328)</f>
        <v/>
      </c>
      <c r="C328" t="str">
        <f>IF('Equipment Information'!C328="","", 'Equipment Information'!C328)</f>
        <v/>
      </c>
      <c r="I328" t="str">
        <f t="shared" si="5"/>
        <v/>
      </c>
    </row>
    <row r="329" spans="1:9" x14ac:dyDescent="0.25">
      <c r="A329" t="str">
        <f>IF('Equipment Information'!A329="","", 'Equipment Information'!A329)</f>
        <v/>
      </c>
      <c r="B329" t="str">
        <f>IF('Equipment Information'!B329="","", 'Equipment Information'!B329)</f>
        <v/>
      </c>
      <c r="C329" t="str">
        <f>IF('Equipment Information'!C329="","", 'Equipment Information'!C329)</f>
        <v/>
      </c>
      <c r="I329" t="str">
        <f t="shared" si="5"/>
        <v/>
      </c>
    </row>
    <row r="330" spans="1:9" x14ac:dyDescent="0.25">
      <c r="A330" t="str">
        <f>IF('Equipment Information'!A330="","", 'Equipment Information'!A330)</f>
        <v/>
      </c>
      <c r="B330" t="str">
        <f>IF('Equipment Information'!B330="","", 'Equipment Information'!B330)</f>
        <v/>
      </c>
      <c r="C330" t="str">
        <f>IF('Equipment Information'!C330="","", 'Equipment Information'!C330)</f>
        <v/>
      </c>
      <c r="I330" t="str">
        <f t="shared" si="5"/>
        <v/>
      </c>
    </row>
    <row r="331" spans="1:9" x14ac:dyDescent="0.25">
      <c r="A331" t="str">
        <f>IF('Equipment Information'!A331="","", 'Equipment Information'!A331)</f>
        <v/>
      </c>
      <c r="B331" t="str">
        <f>IF('Equipment Information'!B331="","", 'Equipment Information'!B331)</f>
        <v/>
      </c>
      <c r="C331" t="str">
        <f>IF('Equipment Information'!C331="","", 'Equipment Information'!C331)</f>
        <v/>
      </c>
      <c r="I331" t="str">
        <f t="shared" si="5"/>
        <v/>
      </c>
    </row>
    <row r="332" spans="1:9" x14ac:dyDescent="0.25">
      <c r="A332" t="str">
        <f>IF('Equipment Information'!A332="","", 'Equipment Information'!A332)</f>
        <v/>
      </c>
      <c r="B332" t="str">
        <f>IF('Equipment Information'!B332="","", 'Equipment Information'!B332)</f>
        <v/>
      </c>
      <c r="C332" t="str">
        <f>IF('Equipment Information'!C332="","", 'Equipment Information'!C332)</f>
        <v/>
      </c>
      <c r="I332" t="str">
        <f t="shared" si="5"/>
        <v/>
      </c>
    </row>
    <row r="333" spans="1:9" x14ac:dyDescent="0.25">
      <c r="A333" t="str">
        <f>IF('Equipment Information'!A333="","", 'Equipment Information'!A333)</f>
        <v/>
      </c>
      <c r="B333" t="str">
        <f>IF('Equipment Information'!B333="","", 'Equipment Information'!B333)</f>
        <v/>
      </c>
      <c r="C333" t="str">
        <f>IF('Equipment Information'!C333="","", 'Equipment Information'!C333)</f>
        <v/>
      </c>
      <c r="I333" t="str">
        <f t="shared" si="5"/>
        <v/>
      </c>
    </row>
    <row r="334" spans="1:9" x14ac:dyDescent="0.25">
      <c r="A334" t="str">
        <f>IF('Equipment Information'!A334="","", 'Equipment Information'!A334)</f>
        <v/>
      </c>
      <c r="B334" t="str">
        <f>IF('Equipment Information'!B334="","", 'Equipment Information'!B334)</f>
        <v/>
      </c>
      <c r="C334" t="str">
        <f>IF('Equipment Information'!C334="","", 'Equipment Information'!C334)</f>
        <v/>
      </c>
      <c r="I334" t="str">
        <f t="shared" si="5"/>
        <v/>
      </c>
    </row>
    <row r="335" spans="1:9" x14ac:dyDescent="0.25">
      <c r="A335" t="str">
        <f>IF('Equipment Information'!A335="","", 'Equipment Information'!A335)</f>
        <v/>
      </c>
      <c r="B335" t="str">
        <f>IF('Equipment Information'!B335="","", 'Equipment Information'!B335)</f>
        <v/>
      </c>
      <c r="C335" t="str">
        <f>IF('Equipment Information'!C335="","", 'Equipment Information'!C335)</f>
        <v/>
      </c>
      <c r="I335" t="str">
        <f t="shared" si="5"/>
        <v/>
      </c>
    </row>
    <row r="336" spans="1:9" x14ac:dyDescent="0.25">
      <c r="A336" t="str">
        <f>IF('Equipment Information'!A336="","", 'Equipment Information'!A336)</f>
        <v/>
      </c>
      <c r="B336" t="str">
        <f>IF('Equipment Information'!B336="","", 'Equipment Information'!B336)</f>
        <v/>
      </c>
      <c r="C336" t="str">
        <f>IF('Equipment Information'!C336="","", 'Equipment Information'!C336)</f>
        <v/>
      </c>
      <c r="I336" t="str">
        <f t="shared" si="5"/>
        <v/>
      </c>
    </row>
    <row r="337" spans="1:9" x14ac:dyDescent="0.25">
      <c r="A337" t="str">
        <f>IF('Equipment Information'!A337="","", 'Equipment Information'!A337)</f>
        <v/>
      </c>
      <c r="B337" t="str">
        <f>IF('Equipment Information'!B337="","", 'Equipment Information'!B337)</f>
        <v/>
      </c>
      <c r="C337" t="str">
        <f>IF('Equipment Information'!C337="","", 'Equipment Information'!C337)</f>
        <v/>
      </c>
      <c r="I337" t="str">
        <f t="shared" si="5"/>
        <v/>
      </c>
    </row>
    <row r="338" spans="1:9" x14ac:dyDescent="0.25">
      <c r="A338" t="str">
        <f>IF('Equipment Information'!A338="","", 'Equipment Information'!A338)</f>
        <v/>
      </c>
      <c r="B338" t="str">
        <f>IF('Equipment Information'!B338="","", 'Equipment Information'!B338)</f>
        <v/>
      </c>
      <c r="C338" t="str">
        <f>IF('Equipment Information'!C338="","", 'Equipment Information'!C338)</f>
        <v/>
      </c>
      <c r="I338" t="str">
        <f t="shared" si="5"/>
        <v/>
      </c>
    </row>
    <row r="339" spans="1:9" x14ac:dyDescent="0.25">
      <c r="A339" t="str">
        <f>IF('Equipment Information'!A339="","", 'Equipment Information'!A339)</f>
        <v/>
      </c>
      <c r="B339" t="str">
        <f>IF('Equipment Information'!B339="","", 'Equipment Information'!B339)</f>
        <v/>
      </c>
      <c r="C339" t="str">
        <f>IF('Equipment Information'!C339="","", 'Equipment Information'!C339)</f>
        <v/>
      </c>
      <c r="I339" t="str">
        <f t="shared" si="5"/>
        <v/>
      </c>
    </row>
    <row r="340" spans="1:9" x14ac:dyDescent="0.25">
      <c r="A340" t="str">
        <f>IF('Equipment Information'!A340="","", 'Equipment Information'!A340)</f>
        <v/>
      </c>
      <c r="B340" t="str">
        <f>IF('Equipment Information'!B340="","", 'Equipment Information'!B340)</f>
        <v/>
      </c>
      <c r="C340" t="str">
        <f>IF('Equipment Information'!C340="","", 'Equipment Information'!C340)</f>
        <v/>
      </c>
      <c r="I340" t="str">
        <f t="shared" si="5"/>
        <v/>
      </c>
    </row>
    <row r="341" spans="1:9" x14ac:dyDescent="0.25">
      <c r="A341" t="str">
        <f>IF('Equipment Information'!A341="","", 'Equipment Information'!A341)</f>
        <v/>
      </c>
      <c r="B341" t="str">
        <f>IF('Equipment Information'!B341="","", 'Equipment Information'!B341)</f>
        <v/>
      </c>
      <c r="C341" t="str">
        <f>IF('Equipment Information'!C341="","", 'Equipment Information'!C341)</f>
        <v/>
      </c>
      <c r="I341" t="str">
        <f t="shared" si="5"/>
        <v/>
      </c>
    </row>
    <row r="342" spans="1:9" x14ac:dyDescent="0.25">
      <c r="A342" t="str">
        <f>IF('Equipment Information'!A342="","", 'Equipment Information'!A342)</f>
        <v/>
      </c>
      <c r="B342" t="str">
        <f>IF('Equipment Information'!B342="","", 'Equipment Information'!B342)</f>
        <v/>
      </c>
      <c r="C342" t="str">
        <f>IF('Equipment Information'!C342="","", 'Equipment Information'!C342)</f>
        <v/>
      </c>
      <c r="I342" t="str">
        <f t="shared" si="5"/>
        <v/>
      </c>
    </row>
    <row r="343" spans="1:9" x14ac:dyDescent="0.25">
      <c r="A343" t="str">
        <f>IF('Equipment Information'!A343="","", 'Equipment Information'!A343)</f>
        <v/>
      </c>
      <c r="B343" t="str">
        <f>IF('Equipment Information'!B343="","", 'Equipment Information'!B343)</f>
        <v/>
      </c>
      <c r="C343" t="str">
        <f>IF('Equipment Information'!C343="","", 'Equipment Information'!C343)</f>
        <v/>
      </c>
      <c r="I343" t="str">
        <f t="shared" si="5"/>
        <v/>
      </c>
    </row>
    <row r="344" spans="1:9" x14ac:dyDescent="0.25">
      <c r="A344" t="str">
        <f>IF('Equipment Information'!A344="","", 'Equipment Information'!A344)</f>
        <v/>
      </c>
      <c r="B344" t="str">
        <f>IF('Equipment Information'!B344="","", 'Equipment Information'!B344)</f>
        <v/>
      </c>
      <c r="C344" t="str">
        <f>IF('Equipment Information'!C344="","", 'Equipment Information'!C344)</f>
        <v/>
      </c>
      <c r="I344" t="str">
        <f t="shared" si="5"/>
        <v/>
      </c>
    </row>
    <row r="345" spans="1:9" x14ac:dyDescent="0.25">
      <c r="A345" t="str">
        <f>IF('Equipment Information'!A345="","", 'Equipment Information'!A345)</f>
        <v/>
      </c>
      <c r="B345" t="str">
        <f>IF('Equipment Information'!B345="","", 'Equipment Information'!B345)</f>
        <v/>
      </c>
      <c r="C345" t="str">
        <f>IF('Equipment Information'!C345="","", 'Equipment Information'!C345)</f>
        <v/>
      </c>
      <c r="I345" t="str">
        <f t="shared" si="5"/>
        <v/>
      </c>
    </row>
    <row r="346" spans="1:9" x14ac:dyDescent="0.25">
      <c r="A346" t="str">
        <f>IF('Equipment Information'!A346="","", 'Equipment Information'!A346)</f>
        <v/>
      </c>
      <c r="B346" t="str">
        <f>IF('Equipment Information'!B346="","", 'Equipment Information'!B346)</f>
        <v/>
      </c>
      <c r="C346" t="str">
        <f>IF('Equipment Information'!C346="","", 'Equipment Information'!C346)</f>
        <v/>
      </c>
      <c r="I346" t="str">
        <f t="shared" si="5"/>
        <v/>
      </c>
    </row>
    <row r="347" spans="1:9" x14ac:dyDescent="0.25">
      <c r="A347" t="str">
        <f>IF('Equipment Information'!A347="","", 'Equipment Information'!A347)</f>
        <v/>
      </c>
      <c r="B347" t="str">
        <f>IF('Equipment Information'!B347="","", 'Equipment Information'!B347)</f>
        <v/>
      </c>
      <c r="C347" t="str">
        <f>IF('Equipment Information'!C347="","", 'Equipment Information'!C347)</f>
        <v/>
      </c>
      <c r="I347" t="str">
        <f t="shared" si="5"/>
        <v/>
      </c>
    </row>
    <row r="348" spans="1:9" x14ac:dyDescent="0.25">
      <c r="A348" t="str">
        <f>IF('Equipment Information'!A348="","", 'Equipment Information'!A348)</f>
        <v/>
      </c>
      <c r="B348" t="str">
        <f>IF('Equipment Information'!B348="","", 'Equipment Information'!B348)</f>
        <v/>
      </c>
      <c r="C348" t="str">
        <f>IF('Equipment Information'!C348="","", 'Equipment Information'!C348)</f>
        <v/>
      </c>
      <c r="I348" t="str">
        <f t="shared" si="5"/>
        <v/>
      </c>
    </row>
    <row r="349" spans="1:9" x14ac:dyDescent="0.25">
      <c r="A349" t="str">
        <f>IF('Equipment Information'!A349="","", 'Equipment Information'!A349)</f>
        <v/>
      </c>
      <c r="B349" t="str">
        <f>IF('Equipment Information'!B349="","", 'Equipment Information'!B349)</f>
        <v/>
      </c>
      <c r="C349" t="str">
        <f>IF('Equipment Information'!C349="","", 'Equipment Information'!C349)</f>
        <v/>
      </c>
      <c r="I349" t="str">
        <f t="shared" si="5"/>
        <v/>
      </c>
    </row>
    <row r="350" spans="1:9" x14ac:dyDescent="0.25">
      <c r="A350" t="str">
        <f>IF('Equipment Information'!A350="","", 'Equipment Information'!A350)</f>
        <v/>
      </c>
      <c r="B350" t="str">
        <f>IF('Equipment Information'!B350="","", 'Equipment Information'!B350)</f>
        <v/>
      </c>
      <c r="C350" t="str">
        <f>IF('Equipment Information'!C350="","", 'Equipment Information'!C350)</f>
        <v/>
      </c>
      <c r="I350" t="str">
        <f t="shared" si="5"/>
        <v/>
      </c>
    </row>
    <row r="351" spans="1:9" x14ac:dyDescent="0.25">
      <c r="A351" t="str">
        <f>IF('Equipment Information'!A351="","", 'Equipment Information'!A351)</f>
        <v/>
      </c>
      <c r="B351" t="str">
        <f>IF('Equipment Information'!B351="","", 'Equipment Information'!B351)</f>
        <v/>
      </c>
      <c r="C351" t="str">
        <f>IF('Equipment Information'!C351="","", 'Equipment Information'!C351)</f>
        <v/>
      </c>
      <c r="I351" t="str">
        <f t="shared" si="5"/>
        <v/>
      </c>
    </row>
    <row r="352" spans="1:9" x14ac:dyDescent="0.25">
      <c r="A352" t="str">
        <f>IF('Equipment Information'!A352="","", 'Equipment Information'!A352)</f>
        <v/>
      </c>
      <c r="B352" t="str">
        <f>IF('Equipment Information'!B352="","", 'Equipment Information'!B352)</f>
        <v/>
      </c>
      <c r="C352" t="str">
        <f>IF('Equipment Information'!C352="","", 'Equipment Information'!C352)</f>
        <v/>
      </c>
      <c r="I352" t="str">
        <f t="shared" si="5"/>
        <v/>
      </c>
    </row>
    <row r="353" spans="1:9" x14ac:dyDescent="0.25">
      <c r="A353" t="str">
        <f>IF('Equipment Information'!A353="","", 'Equipment Information'!A353)</f>
        <v/>
      </c>
      <c r="B353" t="str">
        <f>IF('Equipment Information'!B353="","", 'Equipment Information'!B353)</f>
        <v/>
      </c>
      <c r="C353" t="str">
        <f>IF('Equipment Information'!C353="","", 'Equipment Information'!C353)</f>
        <v/>
      </c>
      <c r="I353" t="str">
        <f t="shared" si="5"/>
        <v/>
      </c>
    </row>
    <row r="354" spans="1:9" x14ac:dyDescent="0.25">
      <c r="A354" t="str">
        <f>IF('Equipment Information'!A354="","", 'Equipment Information'!A354)</f>
        <v/>
      </c>
      <c r="B354" t="str">
        <f>IF('Equipment Information'!B354="","", 'Equipment Information'!B354)</f>
        <v/>
      </c>
      <c r="C354" t="str">
        <f>IF('Equipment Information'!C354="","", 'Equipment Information'!C354)</f>
        <v/>
      </c>
      <c r="I354" t="str">
        <f t="shared" si="5"/>
        <v/>
      </c>
    </row>
    <row r="355" spans="1:9" x14ac:dyDescent="0.25">
      <c r="A355" t="str">
        <f>IF('Equipment Information'!A355="","", 'Equipment Information'!A355)</f>
        <v/>
      </c>
      <c r="B355" t="str">
        <f>IF('Equipment Information'!B355="","", 'Equipment Information'!B355)</f>
        <v/>
      </c>
      <c r="C355" t="str">
        <f>IF('Equipment Information'!C355="","", 'Equipment Information'!C355)</f>
        <v/>
      </c>
      <c r="I355" t="str">
        <f t="shared" si="5"/>
        <v/>
      </c>
    </row>
    <row r="356" spans="1:9" x14ac:dyDescent="0.25">
      <c r="A356" t="str">
        <f>IF('Equipment Information'!A356="","", 'Equipment Information'!A356)</f>
        <v/>
      </c>
      <c r="B356" t="str">
        <f>IF('Equipment Information'!B356="","", 'Equipment Information'!B356)</f>
        <v/>
      </c>
      <c r="C356" t="str">
        <f>IF('Equipment Information'!C356="","", 'Equipment Information'!C356)</f>
        <v/>
      </c>
      <c r="I356" t="str">
        <f t="shared" si="5"/>
        <v/>
      </c>
    </row>
    <row r="357" spans="1:9" x14ac:dyDescent="0.25">
      <c r="A357" t="str">
        <f>IF('Equipment Information'!A357="","", 'Equipment Information'!A357)</f>
        <v/>
      </c>
      <c r="B357" t="str">
        <f>IF('Equipment Information'!B357="","", 'Equipment Information'!B357)</f>
        <v/>
      </c>
      <c r="C357" t="str">
        <f>IF('Equipment Information'!C357="","", 'Equipment Information'!C357)</f>
        <v/>
      </c>
      <c r="I357" t="str">
        <f t="shared" si="5"/>
        <v/>
      </c>
    </row>
    <row r="358" spans="1:9" x14ac:dyDescent="0.25">
      <c r="A358" t="str">
        <f>IF('Equipment Information'!A358="","", 'Equipment Information'!A358)</f>
        <v/>
      </c>
      <c r="B358" t="str">
        <f>IF('Equipment Information'!B358="","", 'Equipment Information'!B358)</f>
        <v/>
      </c>
      <c r="C358" t="str">
        <f>IF('Equipment Information'!C358="","", 'Equipment Information'!C358)</f>
        <v/>
      </c>
      <c r="I358" t="str">
        <f t="shared" si="5"/>
        <v/>
      </c>
    </row>
    <row r="359" spans="1:9" x14ac:dyDescent="0.25">
      <c r="A359" t="str">
        <f>IF('Equipment Information'!A359="","", 'Equipment Information'!A359)</f>
        <v/>
      </c>
      <c r="B359" t="str">
        <f>IF('Equipment Information'!B359="","", 'Equipment Information'!B359)</f>
        <v/>
      </c>
      <c r="C359" t="str">
        <f>IF('Equipment Information'!C359="","", 'Equipment Information'!C359)</f>
        <v/>
      </c>
      <c r="I359" t="str">
        <f t="shared" si="5"/>
        <v/>
      </c>
    </row>
    <row r="360" spans="1:9" x14ac:dyDescent="0.25">
      <c r="A360" t="str">
        <f>IF('Equipment Information'!A360="","", 'Equipment Information'!A360)</f>
        <v/>
      </c>
      <c r="B360" t="str">
        <f>IF('Equipment Information'!B360="","", 'Equipment Information'!B360)</f>
        <v/>
      </c>
      <c r="C360" t="str">
        <f>IF('Equipment Information'!C360="","", 'Equipment Information'!C360)</f>
        <v/>
      </c>
      <c r="I360" t="str">
        <f t="shared" si="5"/>
        <v/>
      </c>
    </row>
    <row r="361" spans="1:9" x14ac:dyDescent="0.25">
      <c r="A361" t="str">
        <f>IF('Equipment Information'!A361="","", 'Equipment Information'!A361)</f>
        <v/>
      </c>
      <c r="B361" t="str">
        <f>IF('Equipment Information'!B361="","", 'Equipment Information'!B361)</f>
        <v/>
      </c>
      <c r="C361" t="str">
        <f>IF('Equipment Information'!C361="","", 'Equipment Information'!C361)</f>
        <v/>
      </c>
      <c r="I361" t="str">
        <f t="shared" si="5"/>
        <v/>
      </c>
    </row>
    <row r="362" spans="1:9" x14ac:dyDescent="0.25">
      <c r="A362" t="str">
        <f>IF('Equipment Information'!A362="","", 'Equipment Information'!A362)</f>
        <v/>
      </c>
      <c r="B362" t="str">
        <f>IF('Equipment Information'!B362="","", 'Equipment Information'!B362)</f>
        <v/>
      </c>
      <c r="C362" t="str">
        <f>IF('Equipment Information'!C362="","", 'Equipment Information'!C362)</f>
        <v/>
      </c>
      <c r="I362" t="str">
        <f t="shared" si="5"/>
        <v/>
      </c>
    </row>
    <row r="363" spans="1:9" x14ac:dyDescent="0.25">
      <c r="A363" t="str">
        <f>IF('Equipment Information'!A363="","", 'Equipment Information'!A363)</f>
        <v/>
      </c>
      <c r="B363" t="str">
        <f>IF('Equipment Information'!B363="","", 'Equipment Information'!B363)</f>
        <v/>
      </c>
      <c r="C363" t="str">
        <f>IF('Equipment Information'!C363="","", 'Equipment Information'!C363)</f>
        <v/>
      </c>
      <c r="I363" t="str">
        <f t="shared" si="5"/>
        <v/>
      </c>
    </row>
    <row r="364" spans="1:9" x14ac:dyDescent="0.25">
      <c r="A364" t="str">
        <f>IF('Equipment Information'!A364="","", 'Equipment Information'!A364)</f>
        <v/>
      </c>
      <c r="B364" t="str">
        <f>IF('Equipment Information'!B364="","", 'Equipment Information'!B364)</f>
        <v/>
      </c>
      <c r="C364" t="str">
        <f>IF('Equipment Information'!C364="","", 'Equipment Information'!C364)</f>
        <v/>
      </c>
      <c r="I364" t="str">
        <f t="shared" si="5"/>
        <v/>
      </c>
    </row>
    <row r="365" spans="1:9" x14ac:dyDescent="0.25">
      <c r="A365" t="str">
        <f>IF('Equipment Information'!A365="","", 'Equipment Information'!A365)</f>
        <v/>
      </c>
      <c r="B365" t="str">
        <f>IF('Equipment Information'!B365="","", 'Equipment Information'!B365)</f>
        <v/>
      </c>
      <c r="C365" t="str">
        <f>IF('Equipment Information'!C365="","", 'Equipment Information'!C365)</f>
        <v/>
      </c>
      <c r="I365" t="str">
        <f t="shared" si="5"/>
        <v/>
      </c>
    </row>
    <row r="366" spans="1:9" x14ac:dyDescent="0.25">
      <c r="A366" t="str">
        <f>IF('Equipment Information'!A366="","", 'Equipment Information'!A366)</f>
        <v/>
      </c>
      <c r="B366" t="str">
        <f>IF('Equipment Information'!B366="","", 'Equipment Information'!B366)</f>
        <v/>
      </c>
      <c r="C366" t="str">
        <f>IF('Equipment Information'!C366="","", 'Equipment Information'!C366)</f>
        <v/>
      </c>
      <c r="I366" t="str">
        <f t="shared" si="5"/>
        <v/>
      </c>
    </row>
    <row r="367" spans="1:9" x14ac:dyDescent="0.25">
      <c r="A367" t="str">
        <f>IF('Equipment Information'!A367="","", 'Equipment Information'!A367)</f>
        <v/>
      </c>
      <c r="B367" t="str">
        <f>IF('Equipment Information'!B367="","", 'Equipment Information'!B367)</f>
        <v/>
      </c>
      <c r="C367" t="str">
        <f>IF('Equipment Information'!C367="","", 'Equipment Information'!C367)</f>
        <v/>
      </c>
      <c r="I367" t="str">
        <f t="shared" si="5"/>
        <v/>
      </c>
    </row>
    <row r="368" spans="1:9" x14ac:dyDescent="0.25">
      <c r="A368" t="str">
        <f>IF('Equipment Information'!A368="","", 'Equipment Information'!A368)</f>
        <v/>
      </c>
      <c r="B368" t="str">
        <f>IF('Equipment Information'!B368="","", 'Equipment Information'!B368)</f>
        <v/>
      </c>
      <c r="C368" t="str">
        <f>IF('Equipment Information'!C368="","", 'Equipment Information'!C368)</f>
        <v/>
      </c>
      <c r="I368" t="str">
        <f t="shared" si="5"/>
        <v/>
      </c>
    </row>
    <row r="369" spans="1:9" x14ac:dyDescent="0.25">
      <c r="A369" t="str">
        <f>IF('Equipment Information'!A369="","", 'Equipment Information'!A369)</f>
        <v/>
      </c>
      <c r="B369" t="str">
        <f>IF('Equipment Information'!B369="","", 'Equipment Information'!B369)</f>
        <v/>
      </c>
      <c r="C369" t="str">
        <f>IF('Equipment Information'!C369="","", 'Equipment Information'!C369)</f>
        <v/>
      </c>
      <c r="I369" t="str">
        <f t="shared" si="5"/>
        <v/>
      </c>
    </row>
    <row r="370" spans="1:9" x14ac:dyDescent="0.25">
      <c r="A370" t="str">
        <f>IF('Equipment Information'!A370="","", 'Equipment Information'!A370)</f>
        <v/>
      </c>
      <c r="B370" t="str">
        <f>IF('Equipment Information'!B370="","", 'Equipment Information'!B370)</f>
        <v/>
      </c>
      <c r="C370" t="str">
        <f>IF('Equipment Information'!C370="","", 'Equipment Information'!C370)</f>
        <v/>
      </c>
      <c r="I370" t="str">
        <f t="shared" si="5"/>
        <v/>
      </c>
    </row>
    <row r="371" spans="1:9" x14ac:dyDescent="0.25">
      <c r="A371" t="str">
        <f>IF('Equipment Information'!A371="","", 'Equipment Information'!A371)</f>
        <v/>
      </c>
      <c r="B371" t="str">
        <f>IF('Equipment Information'!B371="","", 'Equipment Information'!B371)</f>
        <v/>
      </c>
      <c r="C371" t="str">
        <f>IF('Equipment Information'!C371="","", 'Equipment Information'!C371)</f>
        <v/>
      </c>
      <c r="I371" t="str">
        <f t="shared" si="5"/>
        <v/>
      </c>
    </row>
    <row r="372" spans="1:9" x14ac:dyDescent="0.25">
      <c r="A372" t="str">
        <f>IF('Equipment Information'!A372="","", 'Equipment Information'!A372)</f>
        <v/>
      </c>
      <c r="B372" t="str">
        <f>IF('Equipment Information'!B372="","", 'Equipment Information'!B372)</f>
        <v/>
      </c>
      <c r="C372" t="str">
        <f>IF('Equipment Information'!C372="","", 'Equipment Information'!C372)</f>
        <v/>
      </c>
      <c r="I372" t="str">
        <f t="shared" si="5"/>
        <v/>
      </c>
    </row>
    <row r="373" spans="1:9" x14ac:dyDescent="0.25">
      <c r="A373" t="str">
        <f>IF('Equipment Information'!A373="","", 'Equipment Information'!A373)</f>
        <v/>
      </c>
      <c r="B373" t="str">
        <f>IF('Equipment Information'!B373="","", 'Equipment Information'!B373)</f>
        <v/>
      </c>
      <c r="C373" t="str">
        <f>IF('Equipment Information'!C373="","", 'Equipment Information'!C373)</f>
        <v/>
      </c>
      <c r="I373" t="str">
        <f t="shared" si="5"/>
        <v/>
      </c>
    </row>
    <row r="374" spans="1:9" x14ac:dyDescent="0.25">
      <c r="A374" t="str">
        <f>IF('Equipment Information'!A374="","", 'Equipment Information'!A374)</f>
        <v/>
      </c>
      <c r="B374" t="str">
        <f>IF('Equipment Information'!B374="","", 'Equipment Information'!B374)</f>
        <v/>
      </c>
      <c r="C374" t="str">
        <f>IF('Equipment Information'!C374="","", 'Equipment Information'!C374)</f>
        <v/>
      </c>
      <c r="I374" t="str">
        <f t="shared" si="5"/>
        <v/>
      </c>
    </row>
    <row r="375" spans="1:9" x14ac:dyDescent="0.25">
      <c r="A375" t="str">
        <f>IF('Equipment Information'!A375="","", 'Equipment Information'!A375)</f>
        <v/>
      </c>
      <c r="B375" t="str">
        <f>IF('Equipment Information'!B375="","", 'Equipment Information'!B375)</f>
        <v/>
      </c>
      <c r="C375" t="str">
        <f>IF('Equipment Information'!C375="","", 'Equipment Information'!C375)</f>
        <v/>
      </c>
      <c r="I375" t="str">
        <f t="shared" si="5"/>
        <v/>
      </c>
    </row>
    <row r="376" spans="1:9" x14ac:dyDescent="0.25">
      <c r="A376" t="str">
        <f>IF('Equipment Information'!A376="","", 'Equipment Information'!A376)</f>
        <v/>
      </c>
      <c r="B376" t="str">
        <f>IF('Equipment Information'!B376="","", 'Equipment Information'!B376)</f>
        <v/>
      </c>
      <c r="C376" t="str">
        <f>IF('Equipment Information'!C376="","", 'Equipment Information'!C376)</f>
        <v/>
      </c>
      <c r="I376" t="str">
        <f t="shared" si="5"/>
        <v/>
      </c>
    </row>
    <row r="377" spans="1:9" x14ac:dyDescent="0.25">
      <c r="A377" t="str">
        <f>IF('Equipment Information'!A377="","", 'Equipment Information'!A377)</f>
        <v/>
      </c>
      <c r="B377" t="str">
        <f>IF('Equipment Information'!B377="","", 'Equipment Information'!B377)</f>
        <v/>
      </c>
      <c r="C377" t="str">
        <f>IF('Equipment Information'!C377="","", 'Equipment Information'!C377)</f>
        <v/>
      </c>
      <c r="I377" t="str">
        <f t="shared" si="5"/>
        <v/>
      </c>
    </row>
    <row r="378" spans="1:9" x14ac:dyDescent="0.25">
      <c r="A378" t="str">
        <f>IF('Equipment Information'!A378="","", 'Equipment Information'!A378)</f>
        <v/>
      </c>
      <c r="B378" t="str">
        <f>IF('Equipment Information'!B378="","", 'Equipment Information'!B378)</f>
        <v/>
      </c>
      <c r="C378" t="str">
        <f>IF('Equipment Information'!C378="","", 'Equipment Information'!C378)</f>
        <v/>
      </c>
      <c r="I378" t="str">
        <f t="shared" si="5"/>
        <v/>
      </c>
    </row>
    <row r="379" spans="1:9" x14ac:dyDescent="0.25">
      <c r="A379" t="str">
        <f>IF('Equipment Information'!A379="","", 'Equipment Information'!A379)</f>
        <v/>
      </c>
      <c r="B379" t="str">
        <f>IF('Equipment Information'!B379="","", 'Equipment Information'!B379)</f>
        <v/>
      </c>
      <c r="C379" t="str">
        <f>IF('Equipment Information'!C379="","", 'Equipment Information'!C379)</f>
        <v/>
      </c>
      <c r="I379" t="str">
        <f t="shared" si="5"/>
        <v/>
      </c>
    </row>
    <row r="380" spans="1:9" x14ac:dyDescent="0.25">
      <c r="A380" t="str">
        <f>IF('Equipment Information'!A380="","", 'Equipment Information'!A380)</f>
        <v/>
      </c>
      <c r="B380" t="str">
        <f>IF('Equipment Information'!B380="","", 'Equipment Information'!B380)</f>
        <v/>
      </c>
      <c r="C380" t="str">
        <f>IF('Equipment Information'!C380="","", 'Equipment Information'!C380)</f>
        <v/>
      </c>
      <c r="I380" t="str">
        <f t="shared" si="5"/>
        <v/>
      </c>
    </row>
    <row r="381" spans="1:9" x14ac:dyDescent="0.25">
      <c r="A381" t="str">
        <f>IF('Equipment Information'!A381="","", 'Equipment Information'!A381)</f>
        <v/>
      </c>
      <c r="B381" t="str">
        <f>IF('Equipment Information'!B381="","", 'Equipment Information'!B381)</f>
        <v/>
      </c>
      <c r="C381" t="str">
        <f>IF('Equipment Information'!C381="","", 'Equipment Information'!C381)</f>
        <v/>
      </c>
      <c r="I381" t="str">
        <f t="shared" si="5"/>
        <v/>
      </c>
    </row>
    <row r="382" spans="1:9" x14ac:dyDescent="0.25">
      <c r="A382" t="str">
        <f>IF('Equipment Information'!A382="","", 'Equipment Information'!A382)</f>
        <v/>
      </c>
      <c r="B382" t="str">
        <f>IF('Equipment Information'!B382="","", 'Equipment Information'!B382)</f>
        <v/>
      </c>
      <c r="C382" t="str">
        <f>IF('Equipment Information'!C382="","", 'Equipment Information'!C382)</f>
        <v/>
      </c>
      <c r="I382" t="str">
        <f t="shared" si="5"/>
        <v/>
      </c>
    </row>
    <row r="383" spans="1:9" x14ac:dyDescent="0.25">
      <c r="A383" t="str">
        <f>IF('Equipment Information'!A383="","", 'Equipment Information'!A383)</f>
        <v/>
      </c>
      <c r="B383" t="str">
        <f>IF('Equipment Information'!B383="","", 'Equipment Information'!B383)</f>
        <v/>
      </c>
      <c r="C383" t="str">
        <f>IF('Equipment Information'!C383="","", 'Equipment Information'!C383)</f>
        <v/>
      </c>
      <c r="I383" t="str">
        <f t="shared" si="5"/>
        <v/>
      </c>
    </row>
    <row r="384" spans="1:9" x14ac:dyDescent="0.25">
      <c r="A384" t="str">
        <f>IF('Equipment Information'!A384="","", 'Equipment Information'!A384)</f>
        <v/>
      </c>
      <c r="B384" t="str">
        <f>IF('Equipment Information'!B384="","", 'Equipment Information'!B384)</f>
        <v/>
      </c>
      <c r="C384" t="str">
        <f>IF('Equipment Information'!C384="","", 'Equipment Information'!C384)</f>
        <v/>
      </c>
      <c r="I384" t="str">
        <f t="shared" si="5"/>
        <v/>
      </c>
    </row>
    <row r="385" spans="1:9" x14ac:dyDescent="0.25">
      <c r="A385" t="str">
        <f>IF('Equipment Information'!A385="","", 'Equipment Information'!A385)</f>
        <v/>
      </c>
      <c r="B385" t="str">
        <f>IF('Equipment Information'!B385="","", 'Equipment Information'!B385)</f>
        <v/>
      </c>
      <c r="C385" t="str">
        <f>IF('Equipment Information'!C385="","", 'Equipment Information'!C385)</f>
        <v/>
      </c>
      <c r="I385" t="str">
        <f t="shared" si="5"/>
        <v/>
      </c>
    </row>
    <row r="386" spans="1:9" x14ac:dyDescent="0.25">
      <c r="A386" t="str">
        <f>IF('Equipment Information'!A386="","", 'Equipment Information'!A386)</f>
        <v/>
      </c>
      <c r="B386" t="str">
        <f>IF('Equipment Information'!B386="","", 'Equipment Information'!B386)</f>
        <v/>
      </c>
      <c r="C386" t="str">
        <f>IF('Equipment Information'!C386="","", 'Equipment Information'!C386)</f>
        <v/>
      </c>
      <c r="I386" t="str">
        <f t="shared" ref="I386:I449" si="6">IF(A386="","","N/A")</f>
        <v/>
      </c>
    </row>
    <row r="387" spans="1:9" x14ac:dyDescent="0.25">
      <c r="A387" t="str">
        <f>IF('Equipment Information'!A387="","", 'Equipment Information'!A387)</f>
        <v/>
      </c>
      <c r="B387" t="str">
        <f>IF('Equipment Information'!B387="","", 'Equipment Information'!B387)</f>
        <v/>
      </c>
      <c r="C387" t="str">
        <f>IF('Equipment Information'!C387="","", 'Equipment Information'!C387)</f>
        <v/>
      </c>
      <c r="I387" t="str">
        <f t="shared" si="6"/>
        <v/>
      </c>
    </row>
    <row r="388" spans="1:9" x14ac:dyDescent="0.25">
      <c r="A388" t="str">
        <f>IF('Equipment Information'!A388="","", 'Equipment Information'!A388)</f>
        <v/>
      </c>
      <c r="B388" t="str">
        <f>IF('Equipment Information'!B388="","", 'Equipment Information'!B388)</f>
        <v/>
      </c>
      <c r="C388" t="str">
        <f>IF('Equipment Information'!C388="","", 'Equipment Information'!C388)</f>
        <v/>
      </c>
      <c r="I388" t="str">
        <f t="shared" si="6"/>
        <v/>
      </c>
    </row>
    <row r="389" spans="1:9" x14ac:dyDescent="0.25">
      <c r="A389" t="str">
        <f>IF('Equipment Information'!A389="","", 'Equipment Information'!A389)</f>
        <v/>
      </c>
      <c r="B389" t="str">
        <f>IF('Equipment Information'!B389="","", 'Equipment Information'!B389)</f>
        <v/>
      </c>
      <c r="C389" t="str">
        <f>IF('Equipment Information'!C389="","", 'Equipment Information'!C389)</f>
        <v/>
      </c>
      <c r="I389" t="str">
        <f t="shared" si="6"/>
        <v/>
      </c>
    </row>
    <row r="390" spans="1:9" x14ac:dyDescent="0.25">
      <c r="A390" t="str">
        <f>IF('Equipment Information'!A390="","", 'Equipment Information'!A390)</f>
        <v/>
      </c>
      <c r="B390" t="str">
        <f>IF('Equipment Information'!B390="","", 'Equipment Information'!B390)</f>
        <v/>
      </c>
      <c r="C390" t="str">
        <f>IF('Equipment Information'!C390="","", 'Equipment Information'!C390)</f>
        <v/>
      </c>
      <c r="I390" t="str">
        <f t="shared" si="6"/>
        <v/>
      </c>
    </row>
    <row r="391" spans="1:9" x14ac:dyDescent="0.25">
      <c r="A391" t="str">
        <f>IF('Equipment Information'!A391="","", 'Equipment Information'!A391)</f>
        <v/>
      </c>
      <c r="B391" t="str">
        <f>IF('Equipment Information'!B391="","", 'Equipment Information'!B391)</f>
        <v/>
      </c>
      <c r="C391" t="str">
        <f>IF('Equipment Information'!C391="","", 'Equipment Information'!C391)</f>
        <v/>
      </c>
      <c r="I391" t="str">
        <f t="shared" si="6"/>
        <v/>
      </c>
    </row>
    <row r="392" spans="1:9" x14ac:dyDescent="0.25">
      <c r="A392" t="str">
        <f>IF('Equipment Information'!A392="","", 'Equipment Information'!A392)</f>
        <v/>
      </c>
      <c r="B392" t="str">
        <f>IF('Equipment Information'!B392="","", 'Equipment Information'!B392)</f>
        <v/>
      </c>
      <c r="C392" t="str">
        <f>IF('Equipment Information'!C392="","", 'Equipment Information'!C392)</f>
        <v/>
      </c>
      <c r="I392" t="str">
        <f t="shared" si="6"/>
        <v/>
      </c>
    </row>
    <row r="393" spans="1:9" x14ac:dyDescent="0.25">
      <c r="A393" t="str">
        <f>IF('Equipment Information'!A393="","", 'Equipment Information'!A393)</f>
        <v/>
      </c>
      <c r="B393" t="str">
        <f>IF('Equipment Information'!B393="","", 'Equipment Information'!B393)</f>
        <v/>
      </c>
      <c r="C393" t="str">
        <f>IF('Equipment Information'!C393="","", 'Equipment Information'!C393)</f>
        <v/>
      </c>
      <c r="I393" t="str">
        <f t="shared" si="6"/>
        <v/>
      </c>
    </row>
    <row r="394" spans="1:9" x14ac:dyDescent="0.25">
      <c r="A394" t="str">
        <f>IF('Equipment Information'!A394="","", 'Equipment Information'!A394)</f>
        <v/>
      </c>
      <c r="B394" t="str">
        <f>IF('Equipment Information'!B394="","", 'Equipment Information'!B394)</f>
        <v/>
      </c>
      <c r="C394" t="str">
        <f>IF('Equipment Information'!C394="","", 'Equipment Information'!C394)</f>
        <v/>
      </c>
      <c r="I394" t="str">
        <f t="shared" si="6"/>
        <v/>
      </c>
    </row>
    <row r="395" spans="1:9" x14ac:dyDescent="0.25">
      <c r="A395" t="str">
        <f>IF('Equipment Information'!A395="","", 'Equipment Information'!A395)</f>
        <v/>
      </c>
      <c r="B395" t="str">
        <f>IF('Equipment Information'!B395="","", 'Equipment Information'!B395)</f>
        <v/>
      </c>
      <c r="C395" t="str">
        <f>IF('Equipment Information'!C395="","", 'Equipment Information'!C395)</f>
        <v/>
      </c>
      <c r="I395" t="str">
        <f t="shared" si="6"/>
        <v/>
      </c>
    </row>
    <row r="396" spans="1:9" x14ac:dyDescent="0.25">
      <c r="A396" t="str">
        <f>IF('Equipment Information'!A396="","", 'Equipment Information'!A396)</f>
        <v/>
      </c>
      <c r="B396" t="str">
        <f>IF('Equipment Information'!B396="","", 'Equipment Information'!B396)</f>
        <v/>
      </c>
      <c r="C396" t="str">
        <f>IF('Equipment Information'!C396="","", 'Equipment Information'!C396)</f>
        <v/>
      </c>
      <c r="I396" t="str">
        <f t="shared" si="6"/>
        <v/>
      </c>
    </row>
    <row r="397" spans="1:9" x14ac:dyDescent="0.25">
      <c r="A397" t="str">
        <f>IF('Equipment Information'!A397="","", 'Equipment Information'!A397)</f>
        <v/>
      </c>
      <c r="B397" t="str">
        <f>IF('Equipment Information'!B397="","", 'Equipment Information'!B397)</f>
        <v/>
      </c>
      <c r="C397" t="str">
        <f>IF('Equipment Information'!C397="","", 'Equipment Information'!C397)</f>
        <v/>
      </c>
      <c r="I397" t="str">
        <f t="shared" si="6"/>
        <v/>
      </c>
    </row>
    <row r="398" spans="1:9" x14ac:dyDescent="0.25">
      <c r="A398" t="str">
        <f>IF('Equipment Information'!A398="","", 'Equipment Information'!A398)</f>
        <v/>
      </c>
      <c r="B398" t="str">
        <f>IF('Equipment Information'!B398="","", 'Equipment Information'!B398)</f>
        <v/>
      </c>
      <c r="C398" t="str">
        <f>IF('Equipment Information'!C398="","", 'Equipment Information'!C398)</f>
        <v/>
      </c>
      <c r="I398" t="str">
        <f t="shared" si="6"/>
        <v/>
      </c>
    </row>
    <row r="399" spans="1:9" x14ac:dyDescent="0.25">
      <c r="A399" t="str">
        <f>IF('Equipment Information'!A399="","", 'Equipment Information'!A399)</f>
        <v/>
      </c>
      <c r="B399" t="str">
        <f>IF('Equipment Information'!B399="","", 'Equipment Information'!B399)</f>
        <v/>
      </c>
      <c r="C399" t="str">
        <f>IF('Equipment Information'!C399="","", 'Equipment Information'!C399)</f>
        <v/>
      </c>
      <c r="I399" t="str">
        <f t="shared" si="6"/>
        <v/>
      </c>
    </row>
    <row r="400" spans="1:9" x14ac:dyDescent="0.25">
      <c r="A400" t="str">
        <f>IF('Equipment Information'!A400="","", 'Equipment Information'!A400)</f>
        <v/>
      </c>
      <c r="B400" t="str">
        <f>IF('Equipment Information'!B400="","", 'Equipment Information'!B400)</f>
        <v/>
      </c>
      <c r="C400" t="str">
        <f>IF('Equipment Information'!C400="","", 'Equipment Information'!C400)</f>
        <v/>
      </c>
      <c r="I400" t="str">
        <f t="shared" si="6"/>
        <v/>
      </c>
    </row>
    <row r="401" spans="1:9" x14ac:dyDescent="0.25">
      <c r="A401" t="str">
        <f>IF('Equipment Information'!A401="","", 'Equipment Information'!A401)</f>
        <v/>
      </c>
      <c r="B401" t="str">
        <f>IF('Equipment Information'!B401="","", 'Equipment Information'!B401)</f>
        <v/>
      </c>
      <c r="C401" t="str">
        <f>IF('Equipment Information'!C401="","", 'Equipment Information'!C401)</f>
        <v/>
      </c>
      <c r="I401" t="str">
        <f t="shared" si="6"/>
        <v/>
      </c>
    </row>
    <row r="402" spans="1:9" x14ac:dyDescent="0.25">
      <c r="A402" t="str">
        <f>IF('Equipment Information'!A402="","", 'Equipment Information'!A402)</f>
        <v/>
      </c>
      <c r="B402" t="str">
        <f>IF('Equipment Information'!B402="","", 'Equipment Information'!B402)</f>
        <v/>
      </c>
      <c r="C402" t="str">
        <f>IF('Equipment Information'!C402="","", 'Equipment Information'!C402)</f>
        <v/>
      </c>
      <c r="I402" t="str">
        <f t="shared" si="6"/>
        <v/>
      </c>
    </row>
    <row r="403" spans="1:9" x14ac:dyDescent="0.25">
      <c r="A403" t="str">
        <f>IF('Equipment Information'!A403="","", 'Equipment Information'!A403)</f>
        <v/>
      </c>
      <c r="B403" t="str">
        <f>IF('Equipment Information'!B403="","", 'Equipment Information'!B403)</f>
        <v/>
      </c>
      <c r="C403" t="str">
        <f>IF('Equipment Information'!C403="","", 'Equipment Information'!C403)</f>
        <v/>
      </c>
      <c r="I403" t="str">
        <f t="shared" si="6"/>
        <v/>
      </c>
    </row>
    <row r="404" spans="1:9" x14ac:dyDescent="0.25">
      <c r="A404" t="str">
        <f>IF('Equipment Information'!A404="","", 'Equipment Information'!A404)</f>
        <v/>
      </c>
      <c r="B404" t="str">
        <f>IF('Equipment Information'!B404="","", 'Equipment Information'!B404)</f>
        <v/>
      </c>
      <c r="C404" t="str">
        <f>IF('Equipment Information'!C404="","", 'Equipment Information'!C404)</f>
        <v/>
      </c>
      <c r="I404" t="str">
        <f t="shared" si="6"/>
        <v/>
      </c>
    </row>
    <row r="405" spans="1:9" x14ac:dyDescent="0.25">
      <c r="A405" t="str">
        <f>IF('Equipment Information'!A405="","", 'Equipment Information'!A405)</f>
        <v/>
      </c>
      <c r="B405" t="str">
        <f>IF('Equipment Information'!B405="","", 'Equipment Information'!B405)</f>
        <v/>
      </c>
      <c r="C405" t="str">
        <f>IF('Equipment Information'!C405="","", 'Equipment Information'!C405)</f>
        <v/>
      </c>
      <c r="I405" t="str">
        <f t="shared" si="6"/>
        <v/>
      </c>
    </row>
    <row r="406" spans="1:9" x14ac:dyDescent="0.25">
      <c r="A406" t="str">
        <f>IF('Equipment Information'!A406="","", 'Equipment Information'!A406)</f>
        <v/>
      </c>
      <c r="B406" t="str">
        <f>IF('Equipment Information'!B406="","", 'Equipment Information'!B406)</f>
        <v/>
      </c>
      <c r="C406" t="str">
        <f>IF('Equipment Information'!C406="","", 'Equipment Information'!C406)</f>
        <v/>
      </c>
      <c r="I406" t="str">
        <f t="shared" si="6"/>
        <v/>
      </c>
    </row>
    <row r="407" spans="1:9" x14ac:dyDescent="0.25">
      <c r="A407" t="str">
        <f>IF('Equipment Information'!A407="","", 'Equipment Information'!A407)</f>
        <v/>
      </c>
      <c r="B407" t="str">
        <f>IF('Equipment Information'!B407="","", 'Equipment Information'!B407)</f>
        <v/>
      </c>
      <c r="C407" t="str">
        <f>IF('Equipment Information'!C407="","", 'Equipment Information'!C407)</f>
        <v/>
      </c>
      <c r="I407" t="str">
        <f t="shared" si="6"/>
        <v/>
      </c>
    </row>
    <row r="408" spans="1:9" x14ac:dyDescent="0.25">
      <c r="A408" t="str">
        <f>IF('Equipment Information'!A408="","", 'Equipment Information'!A408)</f>
        <v/>
      </c>
      <c r="B408" t="str">
        <f>IF('Equipment Information'!B408="","", 'Equipment Information'!B408)</f>
        <v/>
      </c>
      <c r="C408" t="str">
        <f>IF('Equipment Information'!C408="","", 'Equipment Information'!C408)</f>
        <v/>
      </c>
      <c r="I408" t="str">
        <f t="shared" si="6"/>
        <v/>
      </c>
    </row>
    <row r="409" spans="1:9" x14ac:dyDescent="0.25">
      <c r="A409" t="str">
        <f>IF('Equipment Information'!A409="","", 'Equipment Information'!A409)</f>
        <v/>
      </c>
      <c r="B409" t="str">
        <f>IF('Equipment Information'!B409="","", 'Equipment Information'!B409)</f>
        <v/>
      </c>
      <c r="C409" t="str">
        <f>IF('Equipment Information'!C409="","", 'Equipment Information'!C409)</f>
        <v/>
      </c>
      <c r="I409" t="str">
        <f t="shared" si="6"/>
        <v/>
      </c>
    </row>
    <row r="410" spans="1:9" x14ac:dyDescent="0.25">
      <c r="A410" t="str">
        <f>IF('Equipment Information'!A410="","", 'Equipment Information'!A410)</f>
        <v/>
      </c>
      <c r="B410" t="str">
        <f>IF('Equipment Information'!B410="","", 'Equipment Information'!B410)</f>
        <v/>
      </c>
      <c r="C410" t="str">
        <f>IF('Equipment Information'!C410="","", 'Equipment Information'!C410)</f>
        <v/>
      </c>
      <c r="I410" t="str">
        <f t="shared" si="6"/>
        <v/>
      </c>
    </row>
    <row r="411" spans="1:9" x14ac:dyDescent="0.25">
      <c r="A411" t="str">
        <f>IF('Equipment Information'!A411="","", 'Equipment Information'!A411)</f>
        <v/>
      </c>
      <c r="B411" t="str">
        <f>IF('Equipment Information'!B411="","", 'Equipment Information'!B411)</f>
        <v/>
      </c>
      <c r="C411" t="str">
        <f>IF('Equipment Information'!C411="","", 'Equipment Information'!C411)</f>
        <v/>
      </c>
      <c r="I411" t="str">
        <f t="shared" si="6"/>
        <v/>
      </c>
    </row>
    <row r="412" spans="1:9" x14ac:dyDescent="0.25">
      <c r="A412" t="str">
        <f>IF('Equipment Information'!A412="","", 'Equipment Information'!A412)</f>
        <v/>
      </c>
      <c r="B412" t="str">
        <f>IF('Equipment Information'!B412="","", 'Equipment Information'!B412)</f>
        <v/>
      </c>
      <c r="C412" t="str">
        <f>IF('Equipment Information'!C412="","", 'Equipment Information'!C412)</f>
        <v/>
      </c>
      <c r="I412" t="str">
        <f t="shared" si="6"/>
        <v/>
      </c>
    </row>
    <row r="413" spans="1:9" x14ac:dyDescent="0.25">
      <c r="A413" t="str">
        <f>IF('Equipment Information'!A413="","", 'Equipment Information'!A413)</f>
        <v/>
      </c>
      <c r="B413" t="str">
        <f>IF('Equipment Information'!B413="","", 'Equipment Information'!B413)</f>
        <v/>
      </c>
      <c r="C413" t="str">
        <f>IF('Equipment Information'!C413="","", 'Equipment Information'!C413)</f>
        <v/>
      </c>
      <c r="I413" t="str">
        <f t="shared" si="6"/>
        <v/>
      </c>
    </row>
    <row r="414" spans="1:9" x14ac:dyDescent="0.25">
      <c r="A414" t="str">
        <f>IF('Equipment Information'!A414="","", 'Equipment Information'!A414)</f>
        <v/>
      </c>
      <c r="B414" t="str">
        <f>IF('Equipment Information'!B414="","", 'Equipment Information'!B414)</f>
        <v/>
      </c>
      <c r="C414" t="str">
        <f>IF('Equipment Information'!C414="","", 'Equipment Information'!C414)</f>
        <v/>
      </c>
      <c r="I414" t="str">
        <f t="shared" si="6"/>
        <v/>
      </c>
    </row>
    <row r="415" spans="1:9" x14ac:dyDescent="0.25">
      <c r="A415" t="str">
        <f>IF('Equipment Information'!A415="","", 'Equipment Information'!A415)</f>
        <v/>
      </c>
      <c r="B415" t="str">
        <f>IF('Equipment Information'!B415="","", 'Equipment Information'!B415)</f>
        <v/>
      </c>
      <c r="C415" t="str">
        <f>IF('Equipment Information'!C415="","", 'Equipment Information'!C415)</f>
        <v/>
      </c>
      <c r="I415" t="str">
        <f t="shared" si="6"/>
        <v/>
      </c>
    </row>
    <row r="416" spans="1:9" x14ac:dyDescent="0.25">
      <c r="A416" t="str">
        <f>IF('Equipment Information'!A416="","", 'Equipment Information'!A416)</f>
        <v/>
      </c>
      <c r="B416" t="str">
        <f>IF('Equipment Information'!B416="","", 'Equipment Information'!B416)</f>
        <v/>
      </c>
      <c r="C416" t="str">
        <f>IF('Equipment Information'!C416="","", 'Equipment Information'!C416)</f>
        <v/>
      </c>
      <c r="I416" t="str">
        <f t="shared" si="6"/>
        <v/>
      </c>
    </row>
    <row r="417" spans="1:9" x14ac:dyDescent="0.25">
      <c r="A417" t="str">
        <f>IF('Equipment Information'!A417="","", 'Equipment Information'!A417)</f>
        <v/>
      </c>
      <c r="B417" t="str">
        <f>IF('Equipment Information'!B417="","", 'Equipment Information'!B417)</f>
        <v/>
      </c>
      <c r="C417" t="str">
        <f>IF('Equipment Information'!C417="","", 'Equipment Information'!C417)</f>
        <v/>
      </c>
      <c r="I417" t="str">
        <f t="shared" si="6"/>
        <v/>
      </c>
    </row>
    <row r="418" spans="1:9" x14ac:dyDescent="0.25">
      <c r="A418" t="str">
        <f>IF('Equipment Information'!A418="","", 'Equipment Information'!A418)</f>
        <v/>
      </c>
      <c r="B418" t="str">
        <f>IF('Equipment Information'!B418="","", 'Equipment Information'!B418)</f>
        <v/>
      </c>
      <c r="C418" t="str">
        <f>IF('Equipment Information'!C418="","", 'Equipment Information'!C418)</f>
        <v/>
      </c>
      <c r="I418" t="str">
        <f t="shared" si="6"/>
        <v/>
      </c>
    </row>
    <row r="419" spans="1:9" x14ac:dyDescent="0.25">
      <c r="A419" t="str">
        <f>IF('Equipment Information'!A419="","", 'Equipment Information'!A419)</f>
        <v/>
      </c>
      <c r="B419" t="str">
        <f>IF('Equipment Information'!B419="","", 'Equipment Information'!B419)</f>
        <v/>
      </c>
      <c r="C419" t="str">
        <f>IF('Equipment Information'!C419="","", 'Equipment Information'!C419)</f>
        <v/>
      </c>
      <c r="I419" t="str">
        <f t="shared" si="6"/>
        <v/>
      </c>
    </row>
    <row r="420" spans="1:9" x14ac:dyDescent="0.25">
      <c r="A420" t="str">
        <f>IF('Equipment Information'!A420="","", 'Equipment Information'!A420)</f>
        <v/>
      </c>
      <c r="B420" t="str">
        <f>IF('Equipment Information'!B420="","", 'Equipment Information'!B420)</f>
        <v/>
      </c>
      <c r="C420" t="str">
        <f>IF('Equipment Information'!C420="","", 'Equipment Information'!C420)</f>
        <v/>
      </c>
      <c r="I420" t="str">
        <f t="shared" si="6"/>
        <v/>
      </c>
    </row>
    <row r="421" spans="1:9" x14ac:dyDescent="0.25">
      <c r="A421" t="str">
        <f>IF('Equipment Information'!A421="","", 'Equipment Information'!A421)</f>
        <v/>
      </c>
      <c r="B421" t="str">
        <f>IF('Equipment Information'!B421="","", 'Equipment Information'!B421)</f>
        <v/>
      </c>
      <c r="C421" t="str">
        <f>IF('Equipment Information'!C421="","", 'Equipment Information'!C421)</f>
        <v/>
      </c>
      <c r="I421" t="str">
        <f t="shared" si="6"/>
        <v/>
      </c>
    </row>
    <row r="422" spans="1:9" x14ac:dyDescent="0.25">
      <c r="A422" t="str">
        <f>IF('Equipment Information'!A422="","", 'Equipment Information'!A422)</f>
        <v/>
      </c>
      <c r="B422" t="str">
        <f>IF('Equipment Information'!B422="","", 'Equipment Information'!B422)</f>
        <v/>
      </c>
      <c r="C422" t="str">
        <f>IF('Equipment Information'!C422="","", 'Equipment Information'!C422)</f>
        <v/>
      </c>
      <c r="I422" t="str">
        <f t="shared" si="6"/>
        <v/>
      </c>
    </row>
    <row r="423" spans="1:9" x14ac:dyDescent="0.25">
      <c r="A423" t="str">
        <f>IF('Equipment Information'!A423="","", 'Equipment Information'!A423)</f>
        <v/>
      </c>
      <c r="B423" t="str">
        <f>IF('Equipment Information'!B423="","", 'Equipment Information'!B423)</f>
        <v/>
      </c>
      <c r="C423" t="str">
        <f>IF('Equipment Information'!C423="","", 'Equipment Information'!C423)</f>
        <v/>
      </c>
      <c r="I423" t="str">
        <f t="shared" si="6"/>
        <v/>
      </c>
    </row>
    <row r="424" spans="1:9" x14ac:dyDescent="0.25">
      <c r="A424" t="str">
        <f>IF('Equipment Information'!A424="","", 'Equipment Information'!A424)</f>
        <v/>
      </c>
      <c r="B424" t="str">
        <f>IF('Equipment Information'!B424="","", 'Equipment Information'!B424)</f>
        <v/>
      </c>
      <c r="C424" t="str">
        <f>IF('Equipment Information'!C424="","", 'Equipment Information'!C424)</f>
        <v/>
      </c>
      <c r="I424" t="str">
        <f t="shared" si="6"/>
        <v/>
      </c>
    </row>
    <row r="425" spans="1:9" x14ac:dyDescent="0.25">
      <c r="A425" t="str">
        <f>IF('Equipment Information'!A425="","", 'Equipment Information'!A425)</f>
        <v/>
      </c>
      <c r="B425" t="str">
        <f>IF('Equipment Information'!B425="","", 'Equipment Information'!B425)</f>
        <v/>
      </c>
      <c r="C425" t="str">
        <f>IF('Equipment Information'!C425="","", 'Equipment Information'!C425)</f>
        <v/>
      </c>
      <c r="I425" t="str">
        <f t="shared" si="6"/>
        <v/>
      </c>
    </row>
    <row r="426" spans="1:9" x14ac:dyDescent="0.25">
      <c r="A426" t="str">
        <f>IF('Equipment Information'!A426="","", 'Equipment Information'!A426)</f>
        <v/>
      </c>
      <c r="B426" t="str">
        <f>IF('Equipment Information'!B426="","", 'Equipment Information'!B426)</f>
        <v/>
      </c>
      <c r="C426" t="str">
        <f>IF('Equipment Information'!C426="","", 'Equipment Information'!C426)</f>
        <v/>
      </c>
      <c r="I426" t="str">
        <f t="shared" si="6"/>
        <v/>
      </c>
    </row>
    <row r="427" spans="1:9" x14ac:dyDescent="0.25">
      <c r="A427" t="str">
        <f>IF('Equipment Information'!A427="","", 'Equipment Information'!A427)</f>
        <v/>
      </c>
      <c r="B427" t="str">
        <f>IF('Equipment Information'!B427="","", 'Equipment Information'!B427)</f>
        <v/>
      </c>
      <c r="C427" t="str">
        <f>IF('Equipment Information'!C427="","", 'Equipment Information'!C427)</f>
        <v/>
      </c>
      <c r="I427" t="str">
        <f t="shared" si="6"/>
        <v/>
      </c>
    </row>
    <row r="428" spans="1:9" x14ac:dyDescent="0.25">
      <c r="A428" t="str">
        <f>IF('Equipment Information'!A428="","", 'Equipment Information'!A428)</f>
        <v/>
      </c>
      <c r="B428" t="str">
        <f>IF('Equipment Information'!B428="","", 'Equipment Information'!B428)</f>
        <v/>
      </c>
      <c r="C428" t="str">
        <f>IF('Equipment Information'!C428="","", 'Equipment Information'!C428)</f>
        <v/>
      </c>
      <c r="I428" t="str">
        <f t="shared" si="6"/>
        <v/>
      </c>
    </row>
    <row r="429" spans="1:9" x14ac:dyDescent="0.25">
      <c r="A429" t="str">
        <f>IF('Equipment Information'!A429="","", 'Equipment Information'!A429)</f>
        <v/>
      </c>
      <c r="B429" t="str">
        <f>IF('Equipment Information'!B429="","", 'Equipment Information'!B429)</f>
        <v/>
      </c>
      <c r="C429" t="str">
        <f>IF('Equipment Information'!C429="","", 'Equipment Information'!C429)</f>
        <v/>
      </c>
      <c r="I429" t="str">
        <f t="shared" si="6"/>
        <v/>
      </c>
    </row>
    <row r="430" spans="1:9" x14ac:dyDescent="0.25">
      <c r="A430" t="str">
        <f>IF('Equipment Information'!A430="","", 'Equipment Information'!A430)</f>
        <v/>
      </c>
      <c r="B430" t="str">
        <f>IF('Equipment Information'!B430="","", 'Equipment Information'!B430)</f>
        <v/>
      </c>
      <c r="C430" t="str">
        <f>IF('Equipment Information'!C430="","", 'Equipment Information'!C430)</f>
        <v/>
      </c>
      <c r="I430" t="str">
        <f t="shared" si="6"/>
        <v/>
      </c>
    </row>
    <row r="431" spans="1:9" x14ac:dyDescent="0.25">
      <c r="A431" t="str">
        <f>IF('Equipment Information'!A431="","", 'Equipment Information'!A431)</f>
        <v/>
      </c>
      <c r="B431" t="str">
        <f>IF('Equipment Information'!B431="","", 'Equipment Information'!B431)</f>
        <v/>
      </c>
      <c r="C431" t="str">
        <f>IF('Equipment Information'!C431="","", 'Equipment Information'!C431)</f>
        <v/>
      </c>
      <c r="I431" t="str">
        <f t="shared" si="6"/>
        <v/>
      </c>
    </row>
    <row r="432" spans="1:9" x14ac:dyDescent="0.25">
      <c r="A432" t="str">
        <f>IF('Equipment Information'!A432="","", 'Equipment Information'!A432)</f>
        <v/>
      </c>
      <c r="B432" t="str">
        <f>IF('Equipment Information'!B432="","", 'Equipment Information'!B432)</f>
        <v/>
      </c>
      <c r="C432" t="str">
        <f>IF('Equipment Information'!C432="","", 'Equipment Information'!C432)</f>
        <v/>
      </c>
      <c r="I432" t="str">
        <f t="shared" si="6"/>
        <v/>
      </c>
    </row>
    <row r="433" spans="1:9" x14ac:dyDescent="0.25">
      <c r="A433" t="str">
        <f>IF('Equipment Information'!A433="","", 'Equipment Information'!A433)</f>
        <v/>
      </c>
      <c r="B433" t="str">
        <f>IF('Equipment Information'!B433="","", 'Equipment Information'!B433)</f>
        <v/>
      </c>
      <c r="C433" t="str">
        <f>IF('Equipment Information'!C433="","", 'Equipment Information'!C433)</f>
        <v/>
      </c>
      <c r="I433" t="str">
        <f t="shared" si="6"/>
        <v/>
      </c>
    </row>
    <row r="434" spans="1:9" x14ac:dyDescent="0.25">
      <c r="A434" t="str">
        <f>IF('Equipment Information'!A434="","", 'Equipment Information'!A434)</f>
        <v/>
      </c>
      <c r="B434" t="str">
        <f>IF('Equipment Information'!B434="","", 'Equipment Information'!B434)</f>
        <v/>
      </c>
      <c r="C434" t="str">
        <f>IF('Equipment Information'!C434="","", 'Equipment Information'!C434)</f>
        <v/>
      </c>
      <c r="I434" t="str">
        <f t="shared" si="6"/>
        <v/>
      </c>
    </row>
    <row r="435" spans="1:9" x14ac:dyDescent="0.25">
      <c r="A435" t="str">
        <f>IF('Equipment Information'!A435="","", 'Equipment Information'!A435)</f>
        <v/>
      </c>
      <c r="B435" t="str">
        <f>IF('Equipment Information'!B435="","", 'Equipment Information'!B435)</f>
        <v/>
      </c>
      <c r="C435" t="str">
        <f>IF('Equipment Information'!C435="","", 'Equipment Information'!C435)</f>
        <v/>
      </c>
      <c r="I435" t="str">
        <f t="shared" si="6"/>
        <v/>
      </c>
    </row>
    <row r="436" spans="1:9" x14ac:dyDescent="0.25">
      <c r="A436" t="str">
        <f>IF('Equipment Information'!A436="","", 'Equipment Information'!A436)</f>
        <v/>
      </c>
      <c r="B436" t="str">
        <f>IF('Equipment Information'!B436="","", 'Equipment Information'!B436)</f>
        <v/>
      </c>
      <c r="C436" t="str">
        <f>IF('Equipment Information'!C436="","", 'Equipment Information'!C436)</f>
        <v/>
      </c>
      <c r="I436" t="str">
        <f t="shared" si="6"/>
        <v/>
      </c>
    </row>
    <row r="437" spans="1:9" x14ac:dyDescent="0.25">
      <c r="A437" t="str">
        <f>IF('Equipment Information'!A437="","", 'Equipment Information'!A437)</f>
        <v/>
      </c>
      <c r="B437" t="str">
        <f>IF('Equipment Information'!B437="","", 'Equipment Information'!B437)</f>
        <v/>
      </c>
      <c r="C437" t="str">
        <f>IF('Equipment Information'!C437="","", 'Equipment Information'!C437)</f>
        <v/>
      </c>
      <c r="I437" t="str">
        <f t="shared" si="6"/>
        <v/>
      </c>
    </row>
    <row r="438" spans="1:9" x14ac:dyDescent="0.25">
      <c r="A438" t="str">
        <f>IF('Equipment Information'!A438="","", 'Equipment Information'!A438)</f>
        <v/>
      </c>
      <c r="B438" t="str">
        <f>IF('Equipment Information'!B438="","", 'Equipment Information'!B438)</f>
        <v/>
      </c>
      <c r="C438" t="str">
        <f>IF('Equipment Information'!C438="","", 'Equipment Information'!C438)</f>
        <v/>
      </c>
      <c r="I438" t="str">
        <f t="shared" si="6"/>
        <v/>
      </c>
    </row>
    <row r="439" spans="1:9" x14ac:dyDescent="0.25">
      <c r="A439" t="str">
        <f>IF('Equipment Information'!A439="","", 'Equipment Information'!A439)</f>
        <v/>
      </c>
      <c r="B439" t="str">
        <f>IF('Equipment Information'!B439="","", 'Equipment Information'!B439)</f>
        <v/>
      </c>
      <c r="C439" t="str">
        <f>IF('Equipment Information'!C439="","", 'Equipment Information'!C439)</f>
        <v/>
      </c>
      <c r="I439" t="str">
        <f t="shared" si="6"/>
        <v/>
      </c>
    </row>
    <row r="440" spans="1:9" x14ac:dyDescent="0.25">
      <c r="A440" t="str">
        <f>IF('Equipment Information'!A440="","", 'Equipment Information'!A440)</f>
        <v/>
      </c>
      <c r="B440" t="str">
        <f>IF('Equipment Information'!B440="","", 'Equipment Information'!B440)</f>
        <v/>
      </c>
      <c r="C440" t="str">
        <f>IF('Equipment Information'!C440="","", 'Equipment Information'!C440)</f>
        <v/>
      </c>
      <c r="I440" t="str">
        <f t="shared" si="6"/>
        <v/>
      </c>
    </row>
    <row r="441" spans="1:9" x14ac:dyDescent="0.25">
      <c r="A441" t="str">
        <f>IF('Equipment Information'!A441="","", 'Equipment Information'!A441)</f>
        <v/>
      </c>
      <c r="B441" t="str">
        <f>IF('Equipment Information'!B441="","", 'Equipment Information'!B441)</f>
        <v/>
      </c>
      <c r="C441" t="str">
        <f>IF('Equipment Information'!C441="","", 'Equipment Information'!C441)</f>
        <v/>
      </c>
      <c r="I441" t="str">
        <f t="shared" si="6"/>
        <v/>
      </c>
    </row>
    <row r="442" spans="1:9" x14ac:dyDescent="0.25">
      <c r="A442" t="str">
        <f>IF('Equipment Information'!A442="","", 'Equipment Information'!A442)</f>
        <v/>
      </c>
      <c r="B442" t="str">
        <f>IF('Equipment Information'!B442="","", 'Equipment Information'!B442)</f>
        <v/>
      </c>
      <c r="C442" t="str">
        <f>IF('Equipment Information'!C442="","", 'Equipment Information'!C442)</f>
        <v/>
      </c>
      <c r="I442" t="str">
        <f t="shared" si="6"/>
        <v/>
      </c>
    </row>
    <row r="443" spans="1:9" x14ac:dyDescent="0.25">
      <c r="A443" t="str">
        <f>IF('Equipment Information'!A443="","", 'Equipment Information'!A443)</f>
        <v/>
      </c>
      <c r="B443" t="str">
        <f>IF('Equipment Information'!B443="","", 'Equipment Information'!B443)</f>
        <v/>
      </c>
      <c r="C443" t="str">
        <f>IF('Equipment Information'!C443="","", 'Equipment Information'!C443)</f>
        <v/>
      </c>
      <c r="I443" t="str">
        <f t="shared" si="6"/>
        <v/>
      </c>
    </row>
    <row r="444" spans="1:9" x14ac:dyDescent="0.25">
      <c r="A444" t="str">
        <f>IF('Equipment Information'!A444="","", 'Equipment Information'!A444)</f>
        <v/>
      </c>
      <c r="B444" t="str">
        <f>IF('Equipment Information'!B444="","", 'Equipment Information'!B444)</f>
        <v/>
      </c>
      <c r="C444" t="str">
        <f>IF('Equipment Information'!C444="","", 'Equipment Information'!C444)</f>
        <v/>
      </c>
      <c r="I444" t="str">
        <f t="shared" si="6"/>
        <v/>
      </c>
    </row>
    <row r="445" spans="1:9" x14ac:dyDescent="0.25">
      <c r="A445" t="str">
        <f>IF('Equipment Information'!A445="","", 'Equipment Information'!A445)</f>
        <v/>
      </c>
      <c r="B445" t="str">
        <f>IF('Equipment Information'!B445="","", 'Equipment Information'!B445)</f>
        <v/>
      </c>
      <c r="C445" t="str">
        <f>IF('Equipment Information'!C445="","", 'Equipment Information'!C445)</f>
        <v/>
      </c>
      <c r="I445" t="str">
        <f t="shared" si="6"/>
        <v/>
      </c>
    </row>
    <row r="446" spans="1:9" x14ac:dyDescent="0.25">
      <c r="A446" t="str">
        <f>IF('Equipment Information'!A446="","", 'Equipment Information'!A446)</f>
        <v/>
      </c>
      <c r="B446" t="str">
        <f>IF('Equipment Information'!B446="","", 'Equipment Information'!B446)</f>
        <v/>
      </c>
      <c r="C446" t="str">
        <f>IF('Equipment Information'!C446="","", 'Equipment Information'!C446)</f>
        <v/>
      </c>
      <c r="I446" t="str">
        <f t="shared" si="6"/>
        <v/>
      </c>
    </row>
    <row r="447" spans="1:9" x14ac:dyDescent="0.25">
      <c r="A447" t="str">
        <f>IF('Equipment Information'!A447="","", 'Equipment Information'!A447)</f>
        <v/>
      </c>
      <c r="B447" t="str">
        <f>IF('Equipment Information'!B447="","", 'Equipment Information'!B447)</f>
        <v/>
      </c>
      <c r="C447" t="str">
        <f>IF('Equipment Information'!C447="","", 'Equipment Information'!C447)</f>
        <v/>
      </c>
      <c r="I447" t="str">
        <f t="shared" si="6"/>
        <v/>
      </c>
    </row>
    <row r="448" spans="1:9" x14ac:dyDescent="0.25">
      <c r="A448" t="str">
        <f>IF('Equipment Information'!A448="","", 'Equipment Information'!A448)</f>
        <v/>
      </c>
      <c r="B448" t="str">
        <f>IF('Equipment Information'!B448="","", 'Equipment Information'!B448)</f>
        <v/>
      </c>
      <c r="C448" t="str">
        <f>IF('Equipment Information'!C448="","", 'Equipment Information'!C448)</f>
        <v/>
      </c>
      <c r="I448" t="str">
        <f t="shared" si="6"/>
        <v/>
      </c>
    </row>
    <row r="449" spans="1:9" x14ac:dyDescent="0.25">
      <c r="A449" t="str">
        <f>IF('Equipment Information'!A449="","", 'Equipment Information'!A449)</f>
        <v/>
      </c>
      <c r="B449" t="str">
        <f>IF('Equipment Information'!B449="","", 'Equipment Information'!B449)</f>
        <v/>
      </c>
      <c r="C449" t="str">
        <f>IF('Equipment Information'!C449="","", 'Equipment Information'!C449)</f>
        <v/>
      </c>
      <c r="I449" t="str">
        <f t="shared" si="6"/>
        <v/>
      </c>
    </row>
    <row r="450" spans="1:9" x14ac:dyDescent="0.25">
      <c r="A450" t="str">
        <f>IF('Equipment Information'!A450="","", 'Equipment Information'!A450)</f>
        <v/>
      </c>
      <c r="B450" t="str">
        <f>IF('Equipment Information'!B450="","", 'Equipment Information'!B450)</f>
        <v/>
      </c>
      <c r="C450" t="str">
        <f>IF('Equipment Information'!C450="","", 'Equipment Information'!C450)</f>
        <v/>
      </c>
      <c r="I450" t="str">
        <f t="shared" ref="I450:I499" si="7">IF(A450="","","N/A")</f>
        <v/>
      </c>
    </row>
    <row r="451" spans="1:9" x14ac:dyDescent="0.25">
      <c r="A451" t="str">
        <f>IF('Equipment Information'!A451="","", 'Equipment Information'!A451)</f>
        <v/>
      </c>
      <c r="B451" t="str">
        <f>IF('Equipment Information'!B451="","", 'Equipment Information'!B451)</f>
        <v/>
      </c>
      <c r="C451" t="str">
        <f>IF('Equipment Information'!C451="","", 'Equipment Information'!C451)</f>
        <v/>
      </c>
      <c r="I451" t="str">
        <f t="shared" si="7"/>
        <v/>
      </c>
    </row>
    <row r="452" spans="1:9" x14ac:dyDescent="0.25">
      <c r="A452" t="str">
        <f>IF('Equipment Information'!A452="","", 'Equipment Information'!A452)</f>
        <v/>
      </c>
      <c r="B452" t="str">
        <f>IF('Equipment Information'!B452="","", 'Equipment Information'!B452)</f>
        <v/>
      </c>
      <c r="C452" t="str">
        <f>IF('Equipment Information'!C452="","", 'Equipment Information'!C452)</f>
        <v/>
      </c>
      <c r="I452" t="str">
        <f t="shared" si="7"/>
        <v/>
      </c>
    </row>
    <row r="453" spans="1:9" x14ac:dyDescent="0.25">
      <c r="A453" t="str">
        <f>IF('Equipment Information'!A453="","", 'Equipment Information'!A453)</f>
        <v/>
      </c>
      <c r="B453" t="str">
        <f>IF('Equipment Information'!B453="","", 'Equipment Information'!B453)</f>
        <v/>
      </c>
      <c r="C453" t="str">
        <f>IF('Equipment Information'!C453="","", 'Equipment Information'!C453)</f>
        <v/>
      </c>
      <c r="I453" t="str">
        <f t="shared" si="7"/>
        <v/>
      </c>
    </row>
    <row r="454" spans="1:9" x14ac:dyDescent="0.25">
      <c r="A454" t="str">
        <f>IF('Equipment Information'!A454="","", 'Equipment Information'!A454)</f>
        <v/>
      </c>
      <c r="B454" t="str">
        <f>IF('Equipment Information'!B454="","", 'Equipment Information'!B454)</f>
        <v/>
      </c>
      <c r="C454" t="str">
        <f>IF('Equipment Information'!C454="","", 'Equipment Information'!C454)</f>
        <v/>
      </c>
      <c r="I454" t="str">
        <f t="shared" si="7"/>
        <v/>
      </c>
    </row>
    <row r="455" spans="1:9" x14ac:dyDescent="0.25">
      <c r="A455" t="str">
        <f>IF('Equipment Information'!A455="","", 'Equipment Information'!A455)</f>
        <v/>
      </c>
      <c r="B455" t="str">
        <f>IF('Equipment Information'!B455="","", 'Equipment Information'!B455)</f>
        <v/>
      </c>
      <c r="C455" t="str">
        <f>IF('Equipment Information'!C455="","", 'Equipment Information'!C455)</f>
        <v/>
      </c>
      <c r="I455" t="str">
        <f t="shared" si="7"/>
        <v/>
      </c>
    </row>
    <row r="456" spans="1:9" x14ac:dyDescent="0.25">
      <c r="A456" t="str">
        <f>IF('Equipment Information'!A456="","", 'Equipment Information'!A456)</f>
        <v/>
      </c>
      <c r="B456" t="str">
        <f>IF('Equipment Information'!B456="","", 'Equipment Information'!B456)</f>
        <v/>
      </c>
      <c r="C456" t="str">
        <f>IF('Equipment Information'!C456="","", 'Equipment Information'!C456)</f>
        <v/>
      </c>
      <c r="I456" t="str">
        <f t="shared" si="7"/>
        <v/>
      </c>
    </row>
    <row r="457" spans="1:9" x14ac:dyDescent="0.25">
      <c r="A457" t="str">
        <f>IF('Equipment Information'!A457="","", 'Equipment Information'!A457)</f>
        <v/>
      </c>
      <c r="B457" t="str">
        <f>IF('Equipment Information'!B457="","", 'Equipment Information'!B457)</f>
        <v/>
      </c>
      <c r="C457" t="str">
        <f>IF('Equipment Information'!C457="","", 'Equipment Information'!C457)</f>
        <v/>
      </c>
      <c r="I457" t="str">
        <f t="shared" si="7"/>
        <v/>
      </c>
    </row>
    <row r="458" spans="1:9" x14ac:dyDescent="0.25">
      <c r="A458" t="str">
        <f>IF('Equipment Information'!A458="","", 'Equipment Information'!A458)</f>
        <v/>
      </c>
      <c r="B458" t="str">
        <f>IF('Equipment Information'!B458="","", 'Equipment Information'!B458)</f>
        <v/>
      </c>
      <c r="C458" t="str">
        <f>IF('Equipment Information'!C458="","", 'Equipment Information'!C458)</f>
        <v/>
      </c>
      <c r="I458" t="str">
        <f t="shared" si="7"/>
        <v/>
      </c>
    </row>
    <row r="459" spans="1:9" x14ac:dyDescent="0.25">
      <c r="A459" t="str">
        <f>IF('Equipment Information'!A459="","", 'Equipment Information'!A459)</f>
        <v/>
      </c>
      <c r="B459" t="str">
        <f>IF('Equipment Information'!B459="","", 'Equipment Information'!B459)</f>
        <v/>
      </c>
      <c r="C459" t="str">
        <f>IF('Equipment Information'!C459="","", 'Equipment Information'!C459)</f>
        <v/>
      </c>
      <c r="I459" t="str">
        <f t="shared" si="7"/>
        <v/>
      </c>
    </row>
    <row r="460" spans="1:9" x14ac:dyDescent="0.25">
      <c r="A460" t="str">
        <f>IF('Equipment Information'!A460="","", 'Equipment Information'!A460)</f>
        <v/>
      </c>
      <c r="B460" t="str">
        <f>IF('Equipment Information'!B460="","", 'Equipment Information'!B460)</f>
        <v/>
      </c>
      <c r="C460" t="str">
        <f>IF('Equipment Information'!C460="","", 'Equipment Information'!C460)</f>
        <v/>
      </c>
      <c r="I460" t="str">
        <f t="shared" si="7"/>
        <v/>
      </c>
    </row>
    <row r="461" spans="1:9" x14ac:dyDescent="0.25">
      <c r="A461" t="str">
        <f>IF('Equipment Information'!A461="","", 'Equipment Information'!A461)</f>
        <v/>
      </c>
      <c r="B461" t="str">
        <f>IF('Equipment Information'!B461="","", 'Equipment Information'!B461)</f>
        <v/>
      </c>
      <c r="C461" t="str">
        <f>IF('Equipment Information'!C461="","", 'Equipment Information'!C461)</f>
        <v/>
      </c>
      <c r="I461" t="str">
        <f t="shared" si="7"/>
        <v/>
      </c>
    </row>
    <row r="462" spans="1:9" x14ac:dyDescent="0.25">
      <c r="A462" t="str">
        <f>IF('Equipment Information'!A462="","", 'Equipment Information'!A462)</f>
        <v/>
      </c>
      <c r="B462" t="str">
        <f>IF('Equipment Information'!B462="","", 'Equipment Information'!B462)</f>
        <v/>
      </c>
      <c r="C462" t="str">
        <f>IF('Equipment Information'!C462="","", 'Equipment Information'!C462)</f>
        <v/>
      </c>
      <c r="I462" t="str">
        <f t="shared" si="7"/>
        <v/>
      </c>
    </row>
    <row r="463" spans="1:9" x14ac:dyDescent="0.25">
      <c r="A463" t="str">
        <f>IF('Equipment Information'!A463="","", 'Equipment Information'!A463)</f>
        <v/>
      </c>
      <c r="B463" t="str">
        <f>IF('Equipment Information'!B463="","", 'Equipment Information'!B463)</f>
        <v/>
      </c>
      <c r="C463" t="str">
        <f>IF('Equipment Information'!C463="","", 'Equipment Information'!C463)</f>
        <v/>
      </c>
      <c r="I463" t="str">
        <f t="shared" si="7"/>
        <v/>
      </c>
    </row>
    <row r="464" spans="1:9" x14ac:dyDescent="0.25">
      <c r="A464" t="str">
        <f>IF('Equipment Information'!A464="","", 'Equipment Information'!A464)</f>
        <v/>
      </c>
      <c r="B464" t="str">
        <f>IF('Equipment Information'!B464="","", 'Equipment Information'!B464)</f>
        <v/>
      </c>
      <c r="C464" t="str">
        <f>IF('Equipment Information'!C464="","", 'Equipment Information'!C464)</f>
        <v/>
      </c>
      <c r="I464" t="str">
        <f t="shared" si="7"/>
        <v/>
      </c>
    </row>
    <row r="465" spans="1:9" x14ac:dyDescent="0.25">
      <c r="A465" t="str">
        <f>IF('Equipment Information'!A465="","", 'Equipment Information'!A465)</f>
        <v/>
      </c>
      <c r="B465" t="str">
        <f>IF('Equipment Information'!B465="","", 'Equipment Information'!B465)</f>
        <v/>
      </c>
      <c r="C465" t="str">
        <f>IF('Equipment Information'!C465="","", 'Equipment Information'!C465)</f>
        <v/>
      </c>
      <c r="I465" t="str">
        <f t="shared" si="7"/>
        <v/>
      </c>
    </row>
    <row r="466" spans="1:9" x14ac:dyDescent="0.25">
      <c r="A466" t="str">
        <f>IF('Equipment Information'!A466="","", 'Equipment Information'!A466)</f>
        <v/>
      </c>
      <c r="B466" t="str">
        <f>IF('Equipment Information'!B466="","", 'Equipment Information'!B466)</f>
        <v/>
      </c>
      <c r="C466" t="str">
        <f>IF('Equipment Information'!C466="","", 'Equipment Information'!C466)</f>
        <v/>
      </c>
      <c r="I466" t="str">
        <f t="shared" si="7"/>
        <v/>
      </c>
    </row>
    <row r="467" spans="1:9" x14ac:dyDescent="0.25">
      <c r="A467" t="str">
        <f>IF('Equipment Information'!A467="","", 'Equipment Information'!A467)</f>
        <v/>
      </c>
      <c r="B467" t="str">
        <f>IF('Equipment Information'!B467="","", 'Equipment Information'!B467)</f>
        <v/>
      </c>
      <c r="C467" t="str">
        <f>IF('Equipment Information'!C467="","", 'Equipment Information'!C467)</f>
        <v/>
      </c>
      <c r="I467" t="str">
        <f t="shared" si="7"/>
        <v/>
      </c>
    </row>
    <row r="468" spans="1:9" x14ac:dyDescent="0.25">
      <c r="A468" t="str">
        <f>IF('Equipment Information'!A468="","", 'Equipment Information'!A468)</f>
        <v/>
      </c>
      <c r="B468" t="str">
        <f>IF('Equipment Information'!B468="","", 'Equipment Information'!B468)</f>
        <v/>
      </c>
      <c r="C468" t="str">
        <f>IF('Equipment Information'!C468="","", 'Equipment Information'!C468)</f>
        <v/>
      </c>
      <c r="I468" t="str">
        <f t="shared" si="7"/>
        <v/>
      </c>
    </row>
    <row r="469" spans="1:9" x14ac:dyDescent="0.25">
      <c r="A469" t="str">
        <f>IF('Equipment Information'!A469="","", 'Equipment Information'!A469)</f>
        <v/>
      </c>
      <c r="B469" t="str">
        <f>IF('Equipment Information'!B469="","", 'Equipment Information'!B469)</f>
        <v/>
      </c>
      <c r="C469" t="str">
        <f>IF('Equipment Information'!C469="","", 'Equipment Information'!C469)</f>
        <v/>
      </c>
      <c r="I469" t="str">
        <f t="shared" si="7"/>
        <v/>
      </c>
    </row>
    <row r="470" spans="1:9" x14ac:dyDescent="0.25">
      <c r="A470" t="str">
        <f>IF('Equipment Information'!A470="","", 'Equipment Information'!A470)</f>
        <v/>
      </c>
      <c r="B470" t="str">
        <f>IF('Equipment Information'!B470="","", 'Equipment Information'!B470)</f>
        <v/>
      </c>
      <c r="C470" t="str">
        <f>IF('Equipment Information'!C470="","", 'Equipment Information'!C470)</f>
        <v/>
      </c>
      <c r="I470" t="str">
        <f t="shared" si="7"/>
        <v/>
      </c>
    </row>
    <row r="471" spans="1:9" x14ac:dyDescent="0.25">
      <c r="A471" t="str">
        <f>IF('Equipment Information'!A471="","", 'Equipment Information'!A471)</f>
        <v/>
      </c>
      <c r="B471" t="str">
        <f>IF('Equipment Information'!B471="","", 'Equipment Information'!B471)</f>
        <v/>
      </c>
      <c r="C471" t="str">
        <f>IF('Equipment Information'!C471="","", 'Equipment Information'!C471)</f>
        <v/>
      </c>
      <c r="I471" t="str">
        <f t="shared" si="7"/>
        <v/>
      </c>
    </row>
    <row r="472" spans="1:9" x14ac:dyDescent="0.25">
      <c r="A472" t="str">
        <f>IF('Equipment Information'!A472="","", 'Equipment Information'!A472)</f>
        <v/>
      </c>
      <c r="B472" t="str">
        <f>IF('Equipment Information'!B472="","", 'Equipment Information'!B472)</f>
        <v/>
      </c>
      <c r="C472" t="str">
        <f>IF('Equipment Information'!C472="","", 'Equipment Information'!C472)</f>
        <v/>
      </c>
      <c r="I472" t="str">
        <f t="shared" si="7"/>
        <v/>
      </c>
    </row>
    <row r="473" spans="1:9" x14ac:dyDescent="0.25">
      <c r="A473" t="str">
        <f>IF('Equipment Information'!A473="","", 'Equipment Information'!A473)</f>
        <v/>
      </c>
      <c r="B473" t="str">
        <f>IF('Equipment Information'!B473="","", 'Equipment Information'!B473)</f>
        <v/>
      </c>
      <c r="C473" t="str">
        <f>IF('Equipment Information'!C473="","", 'Equipment Information'!C473)</f>
        <v/>
      </c>
      <c r="I473" t="str">
        <f t="shared" si="7"/>
        <v/>
      </c>
    </row>
    <row r="474" spans="1:9" x14ac:dyDescent="0.25">
      <c r="A474" t="str">
        <f>IF('Equipment Information'!A474="","", 'Equipment Information'!A474)</f>
        <v/>
      </c>
      <c r="B474" t="str">
        <f>IF('Equipment Information'!B474="","", 'Equipment Information'!B474)</f>
        <v/>
      </c>
      <c r="C474" t="str">
        <f>IF('Equipment Information'!C474="","", 'Equipment Information'!C474)</f>
        <v/>
      </c>
      <c r="I474" t="str">
        <f t="shared" si="7"/>
        <v/>
      </c>
    </row>
    <row r="475" spans="1:9" x14ac:dyDescent="0.25">
      <c r="A475" t="str">
        <f>IF('Equipment Information'!A475="","", 'Equipment Information'!A475)</f>
        <v/>
      </c>
      <c r="B475" t="str">
        <f>IF('Equipment Information'!B475="","", 'Equipment Information'!B475)</f>
        <v/>
      </c>
      <c r="C475" t="str">
        <f>IF('Equipment Information'!C475="","", 'Equipment Information'!C475)</f>
        <v/>
      </c>
      <c r="I475" t="str">
        <f t="shared" si="7"/>
        <v/>
      </c>
    </row>
    <row r="476" spans="1:9" x14ac:dyDescent="0.25">
      <c r="A476" t="str">
        <f>IF('Equipment Information'!A476="","", 'Equipment Information'!A476)</f>
        <v/>
      </c>
      <c r="B476" t="str">
        <f>IF('Equipment Information'!B476="","", 'Equipment Information'!B476)</f>
        <v/>
      </c>
      <c r="C476" t="str">
        <f>IF('Equipment Information'!C476="","", 'Equipment Information'!C476)</f>
        <v/>
      </c>
      <c r="I476" t="str">
        <f t="shared" si="7"/>
        <v/>
      </c>
    </row>
    <row r="477" spans="1:9" x14ac:dyDescent="0.25">
      <c r="A477" t="str">
        <f>IF('Equipment Information'!A477="","", 'Equipment Information'!A477)</f>
        <v/>
      </c>
      <c r="B477" t="str">
        <f>IF('Equipment Information'!B477="","", 'Equipment Information'!B477)</f>
        <v/>
      </c>
      <c r="C477" t="str">
        <f>IF('Equipment Information'!C477="","", 'Equipment Information'!C477)</f>
        <v/>
      </c>
      <c r="I477" t="str">
        <f t="shared" si="7"/>
        <v/>
      </c>
    </row>
    <row r="478" spans="1:9" x14ac:dyDescent="0.25">
      <c r="A478" t="str">
        <f>IF('Equipment Information'!A478="","", 'Equipment Information'!A478)</f>
        <v/>
      </c>
      <c r="B478" t="str">
        <f>IF('Equipment Information'!B478="","", 'Equipment Information'!B478)</f>
        <v/>
      </c>
      <c r="C478" t="str">
        <f>IF('Equipment Information'!C478="","", 'Equipment Information'!C478)</f>
        <v/>
      </c>
      <c r="I478" t="str">
        <f t="shared" si="7"/>
        <v/>
      </c>
    </row>
    <row r="479" spans="1:9" x14ac:dyDescent="0.25">
      <c r="A479" t="str">
        <f>IF('Equipment Information'!A479="","", 'Equipment Information'!A479)</f>
        <v/>
      </c>
      <c r="B479" t="str">
        <f>IF('Equipment Information'!B479="","", 'Equipment Information'!B479)</f>
        <v/>
      </c>
      <c r="C479" t="str">
        <f>IF('Equipment Information'!C479="","", 'Equipment Information'!C479)</f>
        <v/>
      </c>
      <c r="I479" t="str">
        <f t="shared" si="7"/>
        <v/>
      </c>
    </row>
    <row r="480" spans="1:9" x14ac:dyDescent="0.25">
      <c r="A480" t="str">
        <f>IF('Equipment Information'!A480="","", 'Equipment Information'!A480)</f>
        <v/>
      </c>
      <c r="B480" t="str">
        <f>IF('Equipment Information'!B480="","", 'Equipment Information'!B480)</f>
        <v/>
      </c>
      <c r="C480" t="str">
        <f>IF('Equipment Information'!C480="","", 'Equipment Information'!C480)</f>
        <v/>
      </c>
      <c r="I480" t="str">
        <f t="shared" si="7"/>
        <v/>
      </c>
    </row>
    <row r="481" spans="1:9" x14ac:dyDescent="0.25">
      <c r="A481" t="str">
        <f>IF('Equipment Information'!A481="","", 'Equipment Information'!A481)</f>
        <v/>
      </c>
      <c r="B481" t="str">
        <f>IF('Equipment Information'!B481="","", 'Equipment Information'!B481)</f>
        <v/>
      </c>
      <c r="C481" t="str">
        <f>IF('Equipment Information'!C481="","", 'Equipment Information'!C481)</f>
        <v/>
      </c>
      <c r="I481" t="str">
        <f t="shared" si="7"/>
        <v/>
      </c>
    </row>
    <row r="482" spans="1:9" x14ac:dyDescent="0.25">
      <c r="A482" t="str">
        <f>IF('Equipment Information'!A482="","", 'Equipment Information'!A482)</f>
        <v/>
      </c>
      <c r="B482" t="str">
        <f>IF('Equipment Information'!B482="","", 'Equipment Information'!B482)</f>
        <v/>
      </c>
      <c r="C482" t="str">
        <f>IF('Equipment Information'!C482="","", 'Equipment Information'!C482)</f>
        <v/>
      </c>
      <c r="I482" t="str">
        <f t="shared" si="7"/>
        <v/>
      </c>
    </row>
    <row r="483" spans="1:9" x14ac:dyDescent="0.25">
      <c r="A483" t="str">
        <f>IF('Equipment Information'!A483="","", 'Equipment Information'!A483)</f>
        <v/>
      </c>
      <c r="B483" t="str">
        <f>IF('Equipment Information'!B483="","", 'Equipment Information'!B483)</f>
        <v/>
      </c>
      <c r="C483" t="str">
        <f>IF('Equipment Information'!C483="","", 'Equipment Information'!C483)</f>
        <v/>
      </c>
      <c r="I483" t="str">
        <f t="shared" si="7"/>
        <v/>
      </c>
    </row>
    <row r="484" spans="1:9" x14ac:dyDescent="0.25">
      <c r="A484" t="str">
        <f>IF('Equipment Information'!A484="","", 'Equipment Information'!A484)</f>
        <v/>
      </c>
      <c r="B484" t="str">
        <f>IF('Equipment Information'!B484="","", 'Equipment Information'!B484)</f>
        <v/>
      </c>
      <c r="C484" t="str">
        <f>IF('Equipment Information'!C484="","", 'Equipment Information'!C484)</f>
        <v/>
      </c>
      <c r="I484" t="str">
        <f t="shared" si="7"/>
        <v/>
      </c>
    </row>
    <row r="485" spans="1:9" x14ac:dyDescent="0.25">
      <c r="A485" t="str">
        <f>IF('Equipment Information'!A485="","", 'Equipment Information'!A485)</f>
        <v/>
      </c>
      <c r="B485" t="str">
        <f>IF('Equipment Information'!B485="","", 'Equipment Information'!B485)</f>
        <v/>
      </c>
      <c r="C485" t="str">
        <f>IF('Equipment Information'!C485="","", 'Equipment Information'!C485)</f>
        <v/>
      </c>
      <c r="I485" t="str">
        <f t="shared" si="7"/>
        <v/>
      </c>
    </row>
    <row r="486" spans="1:9" x14ac:dyDescent="0.25">
      <c r="A486" t="str">
        <f>IF('Equipment Information'!A486="","", 'Equipment Information'!A486)</f>
        <v/>
      </c>
      <c r="B486" t="str">
        <f>IF('Equipment Information'!B486="","", 'Equipment Information'!B486)</f>
        <v/>
      </c>
      <c r="C486" t="str">
        <f>IF('Equipment Information'!C486="","", 'Equipment Information'!C486)</f>
        <v/>
      </c>
      <c r="I486" t="str">
        <f t="shared" si="7"/>
        <v/>
      </c>
    </row>
    <row r="487" spans="1:9" x14ac:dyDescent="0.25">
      <c r="A487" t="str">
        <f>IF('Equipment Information'!A487="","", 'Equipment Information'!A487)</f>
        <v/>
      </c>
      <c r="B487" t="str">
        <f>IF('Equipment Information'!B487="","", 'Equipment Information'!B487)</f>
        <v/>
      </c>
      <c r="C487" t="str">
        <f>IF('Equipment Information'!C487="","", 'Equipment Information'!C487)</f>
        <v/>
      </c>
      <c r="I487" t="str">
        <f t="shared" si="7"/>
        <v/>
      </c>
    </row>
    <row r="488" spans="1:9" x14ac:dyDescent="0.25">
      <c r="A488" t="str">
        <f>IF('Equipment Information'!A488="","", 'Equipment Information'!A488)</f>
        <v/>
      </c>
      <c r="B488" t="str">
        <f>IF('Equipment Information'!B488="","", 'Equipment Information'!B488)</f>
        <v/>
      </c>
      <c r="C488" t="str">
        <f>IF('Equipment Information'!C488="","", 'Equipment Information'!C488)</f>
        <v/>
      </c>
      <c r="I488" t="str">
        <f t="shared" si="7"/>
        <v/>
      </c>
    </row>
    <row r="489" spans="1:9" x14ac:dyDescent="0.25">
      <c r="A489" t="str">
        <f>IF('Equipment Information'!A489="","", 'Equipment Information'!A489)</f>
        <v/>
      </c>
      <c r="B489" t="str">
        <f>IF('Equipment Information'!B489="","", 'Equipment Information'!B489)</f>
        <v/>
      </c>
      <c r="C489" t="str">
        <f>IF('Equipment Information'!C489="","", 'Equipment Information'!C489)</f>
        <v/>
      </c>
      <c r="I489" t="str">
        <f t="shared" si="7"/>
        <v/>
      </c>
    </row>
    <row r="490" spans="1:9" x14ac:dyDescent="0.25">
      <c r="A490" t="str">
        <f>IF('Equipment Information'!A490="","", 'Equipment Information'!A490)</f>
        <v/>
      </c>
      <c r="B490" t="str">
        <f>IF('Equipment Information'!B490="","", 'Equipment Information'!B490)</f>
        <v/>
      </c>
      <c r="C490" t="str">
        <f>IF('Equipment Information'!C490="","", 'Equipment Information'!C490)</f>
        <v/>
      </c>
      <c r="I490" t="str">
        <f t="shared" si="7"/>
        <v/>
      </c>
    </row>
    <row r="491" spans="1:9" x14ac:dyDescent="0.25">
      <c r="A491" t="str">
        <f>IF('Equipment Information'!A491="","", 'Equipment Information'!A491)</f>
        <v/>
      </c>
      <c r="B491" t="str">
        <f>IF('Equipment Information'!B491="","", 'Equipment Information'!B491)</f>
        <v/>
      </c>
      <c r="C491" t="str">
        <f>IF('Equipment Information'!C491="","", 'Equipment Information'!C491)</f>
        <v/>
      </c>
      <c r="I491" t="str">
        <f t="shared" si="7"/>
        <v/>
      </c>
    </row>
    <row r="492" spans="1:9" x14ac:dyDescent="0.25">
      <c r="A492" t="str">
        <f>IF('Equipment Information'!A492="","", 'Equipment Information'!A492)</f>
        <v/>
      </c>
      <c r="B492" t="str">
        <f>IF('Equipment Information'!B492="","", 'Equipment Information'!B492)</f>
        <v/>
      </c>
      <c r="C492" t="str">
        <f>IF('Equipment Information'!C492="","", 'Equipment Information'!C492)</f>
        <v/>
      </c>
      <c r="I492" t="str">
        <f t="shared" si="7"/>
        <v/>
      </c>
    </row>
    <row r="493" spans="1:9" x14ac:dyDescent="0.25">
      <c r="A493" t="str">
        <f>IF('Equipment Information'!A493="","", 'Equipment Information'!A493)</f>
        <v/>
      </c>
      <c r="B493" t="str">
        <f>IF('Equipment Information'!B493="","", 'Equipment Information'!B493)</f>
        <v/>
      </c>
      <c r="C493" t="str">
        <f>IF('Equipment Information'!C493="","", 'Equipment Information'!C493)</f>
        <v/>
      </c>
      <c r="I493" t="str">
        <f t="shared" si="7"/>
        <v/>
      </c>
    </row>
    <row r="494" spans="1:9" x14ac:dyDescent="0.25">
      <c r="A494" t="str">
        <f>IF('Equipment Information'!A494="","", 'Equipment Information'!A494)</f>
        <v/>
      </c>
      <c r="B494" t="str">
        <f>IF('Equipment Information'!B494="","", 'Equipment Information'!B494)</f>
        <v/>
      </c>
      <c r="C494" t="str">
        <f>IF('Equipment Information'!C494="","", 'Equipment Information'!C494)</f>
        <v/>
      </c>
      <c r="I494" t="str">
        <f t="shared" si="7"/>
        <v/>
      </c>
    </row>
    <row r="495" spans="1:9" x14ac:dyDescent="0.25">
      <c r="A495" t="str">
        <f>IF('Equipment Information'!A495="","", 'Equipment Information'!A495)</f>
        <v/>
      </c>
      <c r="B495" t="str">
        <f>IF('Equipment Information'!B495="","", 'Equipment Information'!B495)</f>
        <v/>
      </c>
      <c r="C495" t="str">
        <f>IF('Equipment Information'!C495="","", 'Equipment Information'!C495)</f>
        <v/>
      </c>
      <c r="I495" t="str">
        <f t="shared" si="7"/>
        <v/>
      </c>
    </row>
    <row r="496" spans="1:9" x14ac:dyDescent="0.25">
      <c r="A496" t="str">
        <f>IF('Equipment Information'!A496="","", 'Equipment Information'!A496)</f>
        <v/>
      </c>
      <c r="B496" t="str">
        <f>IF('Equipment Information'!B496="","", 'Equipment Information'!B496)</f>
        <v/>
      </c>
      <c r="C496" t="str">
        <f>IF('Equipment Information'!C496="","", 'Equipment Information'!C496)</f>
        <v/>
      </c>
      <c r="I496" t="str">
        <f t="shared" si="7"/>
        <v/>
      </c>
    </row>
    <row r="497" spans="1:9" x14ac:dyDescent="0.25">
      <c r="A497" t="str">
        <f>IF('Equipment Information'!A497="","", 'Equipment Information'!A497)</f>
        <v/>
      </c>
      <c r="B497" t="str">
        <f>IF('Equipment Information'!B497="","", 'Equipment Information'!B497)</f>
        <v/>
      </c>
      <c r="C497" t="str">
        <f>IF('Equipment Information'!C497="","", 'Equipment Information'!C497)</f>
        <v/>
      </c>
      <c r="I497" t="str">
        <f t="shared" si="7"/>
        <v/>
      </c>
    </row>
    <row r="498" spans="1:9" x14ac:dyDescent="0.25">
      <c r="A498" t="str">
        <f>IF('Equipment Information'!A498="","", 'Equipment Information'!A498)</f>
        <v/>
      </c>
      <c r="B498" t="str">
        <f>IF('Equipment Information'!B498="","", 'Equipment Information'!B498)</f>
        <v/>
      </c>
      <c r="C498" t="str">
        <f>IF('Equipment Information'!C498="","", 'Equipment Information'!C498)</f>
        <v/>
      </c>
      <c r="I498" t="str">
        <f t="shared" si="7"/>
        <v/>
      </c>
    </row>
    <row r="499" spans="1:9" x14ac:dyDescent="0.25">
      <c r="A499" t="str">
        <f>IF('Equipment Information'!A499="","", 'Equipment Information'!A499)</f>
        <v/>
      </c>
      <c r="B499" t="str">
        <f>IF('Equipment Information'!B499="","", 'Equipment Information'!B499)</f>
        <v/>
      </c>
      <c r="C499" t="str">
        <f>IF('Equipment Information'!C499="","", 'Equipment Information'!C499)</f>
        <v/>
      </c>
      <c r="I499" t="str">
        <f t="shared" si="7"/>
        <v/>
      </c>
    </row>
  </sheetData>
  <dataValidations count="1">
    <dataValidation type="list" allowBlank="1" sqref="I2:I500" xr:uid="{00000000-0002-0000-0700-000000000000}">
      <formula1>List_PF</formula1>
    </dataValidation>
  </dataValidations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9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9" width="20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661</v>
      </c>
      <c r="E1" s="1" t="s">
        <v>662</v>
      </c>
      <c r="F1" s="1" t="s">
        <v>663</v>
      </c>
      <c r="G1" s="1" t="s">
        <v>664</v>
      </c>
      <c r="H1" s="1" t="s">
        <v>21</v>
      </c>
      <c r="I1" s="1" t="s">
        <v>18</v>
      </c>
    </row>
    <row r="2" spans="1:9" x14ac:dyDescent="0.25">
      <c r="A2" t="str">
        <f>IF('Equipment Information'!A2="","", 'Equipment Information'!A2)</f>
        <v>20260648</v>
      </c>
      <c r="B2" t="str">
        <f>IF('Equipment Information'!B2="","", 'Equipment Information'!B2)</f>
        <v>Main Building Disconnect (Sec 1 of 3)</v>
      </c>
      <c r="C2" t="str">
        <f>IF('Equipment Information'!C2="","", 'Equipment Information'!C2)</f>
        <v>Electrical Room #2</v>
      </c>
      <c r="H2" t="str">
        <f t="shared" ref="H2:H65" si="0">IF(A2="","","N/A")</f>
        <v>N/A</v>
      </c>
    </row>
    <row r="3" spans="1:9" x14ac:dyDescent="0.25">
      <c r="A3" t="str">
        <f>IF('Equipment Information'!A3="","", 'Equipment Information'!A3)</f>
        <v>20260649</v>
      </c>
      <c r="B3" t="str">
        <f>IF('Equipment Information'!B3="","", 'Equipment Information'!B3)</f>
        <v>Main Building Disconnect (Sec 2 of 3)</v>
      </c>
      <c r="C3" t="str">
        <f>IF('Equipment Information'!C3="","", 'Equipment Information'!C3)</f>
        <v>Electrical Room #2</v>
      </c>
      <c r="H3" t="str">
        <f t="shared" si="0"/>
        <v>N/A</v>
      </c>
    </row>
    <row r="4" spans="1:9" x14ac:dyDescent="0.25">
      <c r="A4" t="str">
        <f>IF('Equipment Information'!A4="","", 'Equipment Information'!A4)</f>
        <v>20260650</v>
      </c>
      <c r="B4" t="str">
        <f>IF('Equipment Information'!B4="","", 'Equipment Information'!B4)</f>
        <v>Main Building Disconnect (Sec 3 of 3)</v>
      </c>
      <c r="C4" t="str">
        <f>IF('Equipment Information'!C4="","", 'Equipment Information'!C4)</f>
        <v>Electrical Room #2</v>
      </c>
      <c r="H4" t="str">
        <f t="shared" si="0"/>
        <v>N/A</v>
      </c>
    </row>
    <row r="5" spans="1:9" x14ac:dyDescent="0.25">
      <c r="A5" t="str">
        <f>IF('Equipment Information'!A5="","", 'Equipment Information'!A5)</f>
        <v>20260651</v>
      </c>
      <c r="B5" t="str">
        <f>IF('Equipment Information'!B5="","", 'Equipment Information'!B5)</f>
        <v>Power Cond. #1 Disconnect</v>
      </c>
      <c r="C5" t="str">
        <f>IF('Equipment Information'!C5="","", 'Equipment Information'!C5)</f>
        <v>Electrical Room #2</v>
      </c>
      <c r="H5" t="str">
        <f t="shared" si="0"/>
        <v>N/A</v>
      </c>
    </row>
    <row r="6" spans="1:9" x14ac:dyDescent="0.25">
      <c r="A6" t="str">
        <f>IF('Equipment Information'!A6="","", 'Equipment Information'!A6)</f>
        <v>20260652</v>
      </c>
      <c r="B6" t="str">
        <f>IF('Equipment Information'!B6="","", 'Equipment Information'!B6)</f>
        <v>Power Cond. #2 Disconnect</v>
      </c>
      <c r="C6" t="str">
        <f>IF('Equipment Information'!C6="","", 'Equipment Information'!C6)</f>
        <v>Electrical Room #2</v>
      </c>
      <c r="H6" t="str">
        <f t="shared" si="0"/>
        <v>N/A</v>
      </c>
    </row>
    <row r="7" spans="1:9" x14ac:dyDescent="0.25">
      <c r="A7" t="str">
        <f>IF('Equipment Information'!A7="","", 'Equipment Information'!A7)</f>
        <v>20260653</v>
      </c>
      <c r="B7" t="str">
        <f>IF('Equipment Information'!B7="","", 'Equipment Information'!B7)</f>
        <v>LP #1</v>
      </c>
      <c r="C7" t="str">
        <f>IF('Equipment Information'!C7="","", 'Equipment Information'!C7)</f>
        <v>Electrical Room #2</v>
      </c>
      <c r="H7" t="str">
        <f t="shared" si="0"/>
        <v>N/A</v>
      </c>
    </row>
    <row r="8" spans="1:9" x14ac:dyDescent="0.25">
      <c r="A8" t="str">
        <f>IF('Equipment Information'!A8="","", 'Equipment Information'!A8)</f>
        <v>20260654</v>
      </c>
      <c r="B8" t="str">
        <f>IF('Equipment Information'!B8="","", 'Equipment Information'!B8)</f>
        <v>P-1</v>
      </c>
      <c r="C8" t="str">
        <f>IF('Equipment Information'!C8="","", 'Equipment Information'!C8)</f>
        <v>Electrical Room #2</v>
      </c>
      <c r="H8" t="str">
        <f t="shared" si="0"/>
        <v>N/A</v>
      </c>
    </row>
    <row r="9" spans="1:9" x14ac:dyDescent="0.25">
      <c r="A9" t="str">
        <f>IF('Equipment Information'!A9="","", 'Equipment Information'!A9)</f>
        <v>20260655</v>
      </c>
      <c r="B9" t="str">
        <f>IF('Equipment Information'!B9="","", 'Equipment Information'!B9)</f>
        <v>P-2</v>
      </c>
      <c r="C9" t="str">
        <f>IF('Equipment Information'!C9="","", 'Equipment Information'!C9)</f>
        <v>Electrical Room #2</v>
      </c>
      <c r="H9" t="str">
        <f t="shared" si="0"/>
        <v>N/A</v>
      </c>
    </row>
    <row r="10" spans="1:9" x14ac:dyDescent="0.25">
      <c r="A10" t="str">
        <f>IF('Equipment Information'!A10="","", 'Equipment Information'!A10)</f>
        <v>20260656</v>
      </c>
      <c r="B10" t="str">
        <f>IF('Equipment Information'!B10="","", 'Equipment Information'!B10)</f>
        <v>DP #4</v>
      </c>
      <c r="C10" t="str">
        <f>IF('Equipment Information'!C10="","", 'Equipment Information'!C10)</f>
        <v>Electrical Room #2</v>
      </c>
      <c r="H10" t="str">
        <f t="shared" si="0"/>
        <v>N/A</v>
      </c>
    </row>
    <row r="11" spans="1:9" x14ac:dyDescent="0.25">
      <c r="A11" t="str">
        <f>IF('Equipment Information'!A11="","", 'Equipment Information'!A11)</f>
        <v>20260657</v>
      </c>
      <c r="B11" t="str">
        <f>IF('Equipment Information'!B11="","", 'Equipment Information'!B11)</f>
        <v>DP #5</v>
      </c>
      <c r="C11" t="str">
        <f>IF('Equipment Information'!C11="","", 'Equipment Information'!C11)</f>
        <v>Electrical Room #2</v>
      </c>
      <c r="H11" t="str">
        <f t="shared" si="0"/>
        <v>N/A</v>
      </c>
    </row>
    <row r="12" spans="1:9" x14ac:dyDescent="0.25">
      <c r="A12" t="str">
        <f>IF('Equipment Information'!A12="","", 'Equipment Information'!A12)</f>
        <v>20260658</v>
      </c>
      <c r="B12" t="str">
        <f>IF('Equipment Information'!B12="","", 'Equipment Information'!B12)</f>
        <v>DP #6</v>
      </c>
      <c r="C12" t="str">
        <f>IF('Equipment Information'!C12="","", 'Equipment Information'!C12)</f>
        <v>Electrical Room #2</v>
      </c>
      <c r="H12" t="str">
        <f t="shared" si="0"/>
        <v>N/A</v>
      </c>
    </row>
    <row r="13" spans="1:9" x14ac:dyDescent="0.25">
      <c r="A13" t="str">
        <f>IF('Equipment Information'!A13="","", 'Equipment Information'!A13)</f>
        <v>20260659</v>
      </c>
      <c r="B13" t="str">
        <f>IF('Equipment Information'!B13="","", 'Equipment Information'!B13)</f>
        <v>PDP</v>
      </c>
      <c r="C13" t="str">
        <f>IF('Equipment Information'!C13="","", 'Equipment Information'!C13)</f>
        <v>Electrical Room #2</v>
      </c>
      <c r="H13" t="str">
        <f t="shared" si="0"/>
        <v>N/A</v>
      </c>
    </row>
    <row r="14" spans="1:9" x14ac:dyDescent="0.25">
      <c r="A14" t="str">
        <f>IF('Equipment Information'!A14="","", 'Equipment Information'!A14)</f>
        <v>20260660</v>
      </c>
      <c r="B14" t="str">
        <f>IF('Equipment Information'!B14="","", 'Equipment Information'!B14)</f>
        <v>T-2</v>
      </c>
      <c r="C14" t="str">
        <f>IF('Equipment Information'!C14="","", 'Equipment Information'!C14)</f>
        <v>Electrical Room #2</v>
      </c>
      <c r="H14" t="str">
        <f t="shared" si="0"/>
        <v>N/A</v>
      </c>
    </row>
    <row r="15" spans="1:9" x14ac:dyDescent="0.25">
      <c r="A15" t="str">
        <f>IF('Equipment Information'!A15="","", 'Equipment Information'!A15)</f>
        <v>20260661</v>
      </c>
      <c r="B15" t="str">
        <f>IF('Equipment Information'!B15="","", 'Equipment Information'!B15)</f>
        <v>OH XFMR</v>
      </c>
      <c r="C15" t="str">
        <f>IF('Equipment Information'!C15="","", 'Equipment Information'!C15)</f>
        <v>Electrical Room #2</v>
      </c>
      <c r="H15" t="str">
        <f t="shared" si="0"/>
        <v>N/A</v>
      </c>
    </row>
    <row r="16" spans="1:9" x14ac:dyDescent="0.25">
      <c r="A16" t="str">
        <f>IF('Equipment Information'!A16="","", 'Equipment Information'!A16)</f>
        <v>20260662</v>
      </c>
      <c r="B16" t="str">
        <f>IF('Equipment Information'!B16="","", 'Equipment Information'!B16)</f>
        <v>DP7 Freezer</v>
      </c>
      <c r="C16" t="str">
        <f>IF('Equipment Information'!C16="","", 'Equipment Information'!C16)</f>
        <v>Electrical Room #3</v>
      </c>
      <c r="H16" t="str">
        <f t="shared" si="0"/>
        <v>N/A</v>
      </c>
    </row>
    <row r="17" spans="1:8" x14ac:dyDescent="0.25">
      <c r="A17" t="str">
        <f>IF('Equipment Information'!A17="","", 'Equipment Information'!A17)</f>
        <v>20260663</v>
      </c>
      <c r="B17" t="str">
        <f>IF('Equipment Information'!B17="","", 'Equipment Information'!B17)</f>
        <v>(N/A 75 KVA XFMR)</v>
      </c>
      <c r="C17" t="str">
        <f>IF('Equipment Information'!C17="","", 'Equipment Information'!C17)</f>
        <v>Electrical Room #3</v>
      </c>
      <c r="H17" t="str">
        <f t="shared" si="0"/>
        <v>N/A</v>
      </c>
    </row>
    <row r="18" spans="1:8" x14ac:dyDescent="0.25">
      <c r="A18" t="str">
        <f>IF('Equipment Information'!A18="","", 'Equipment Information'!A18)</f>
        <v>20260664</v>
      </c>
      <c r="B18" t="str">
        <f>IF('Equipment Information'!B18="","", 'Equipment Information'!B18)</f>
        <v>(N/A PNL)</v>
      </c>
      <c r="C18" t="str">
        <f>IF('Equipment Information'!C18="","", 'Equipment Information'!C18)</f>
        <v>Electrical Room #3</v>
      </c>
      <c r="H18" t="str">
        <f t="shared" si="0"/>
        <v>N/A</v>
      </c>
    </row>
    <row r="19" spans="1:8" x14ac:dyDescent="0.25">
      <c r="A19" t="str">
        <f>IF('Equipment Information'!A19="","", 'Equipment Information'!A19)</f>
        <v>20260665</v>
      </c>
      <c r="B19" t="str">
        <f>IF('Equipment Information'!B19="","", 'Equipment Information'!B19)</f>
        <v>USES</v>
      </c>
      <c r="C19" t="str">
        <f>IF('Equipment Information'!C19="","", 'Equipment Information'!C19)</f>
        <v>Electrical Room #3</v>
      </c>
      <c r="H19" t="str">
        <f t="shared" si="0"/>
        <v>N/A</v>
      </c>
    </row>
    <row r="20" spans="1:8" x14ac:dyDescent="0.25">
      <c r="A20" t="str">
        <f>IF('Equipment Information'!A20="","", 'Equipment Information'!A20)</f>
        <v>20260666</v>
      </c>
      <c r="B20" t="str">
        <f>IF('Equipment Information'!B20="","", 'Equipment Information'!B20)</f>
        <v>Fan (P3-4/6/8)</v>
      </c>
      <c r="C20" t="str">
        <f>IF('Equipment Information'!C20="","", 'Equipment Information'!C20)</f>
        <v>Electrical Room #3</v>
      </c>
      <c r="H20" t="str">
        <f t="shared" si="0"/>
        <v>N/A</v>
      </c>
    </row>
    <row r="21" spans="1:8" x14ac:dyDescent="0.25">
      <c r="A21" t="str">
        <f>IF('Equipment Information'!A21="","", 'Equipment Information'!A21)</f>
        <v>20260667</v>
      </c>
      <c r="B21" t="str">
        <f>IF('Equipment Information'!B21="","", 'Equipment Information'!B21)</f>
        <v>Fan (P3-4/6/8)</v>
      </c>
      <c r="C21" t="str">
        <f>IF('Equipment Information'!C21="","", 'Equipment Information'!C21)</f>
        <v>Electrical Room #3</v>
      </c>
      <c r="H21" t="str">
        <f t="shared" si="0"/>
        <v>N/A</v>
      </c>
    </row>
    <row r="22" spans="1:8" x14ac:dyDescent="0.25">
      <c r="A22" t="str">
        <f>IF('Equipment Information'!A22="","", 'Equipment Information'!A22)</f>
        <v>20260668</v>
      </c>
      <c r="B22" t="str">
        <f>IF('Equipment Information'!B22="","", 'Equipment Information'!B22)</f>
        <v>P3</v>
      </c>
      <c r="C22" t="str">
        <f>IF('Equipment Information'!C22="","", 'Equipment Information'!C22)</f>
        <v>Electrical Room #3</v>
      </c>
      <c r="H22" t="str">
        <f t="shared" si="0"/>
        <v>N/A</v>
      </c>
    </row>
    <row r="23" spans="1:8" x14ac:dyDescent="0.25">
      <c r="A23" t="str">
        <f>IF('Equipment Information'!A23="","", 'Equipment Information'!A23)</f>
        <v>20260669</v>
      </c>
      <c r="B23" t="str">
        <f>IF('Equipment Information'!B23="","", 'Equipment Information'!B23)</f>
        <v>DP7</v>
      </c>
      <c r="C23" t="str">
        <f>IF('Equipment Information'!C23="","", 'Equipment Information'!C23)</f>
        <v>Electrical Room #3</v>
      </c>
      <c r="H23" t="str">
        <f t="shared" si="0"/>
        <v>N/A</v>
      </c>
    </row>
    <row r="24" spans="1:8" x14ac:dyDescent="0.25">
      <c r="A24" t="str">
        <f>IF('Equipment Information'!A24="","", 'Equipment Information'!A24)</f>
        <v>20260670</v>
      </c>
      <c r="B24" t="str">
        <f>IF('Equipment Information'!B24="","", 'Equipment Information'!B24)</f>
        <v>CP-DP7 [Sec. 1]</v>
      </c>
      <c r="C24" t="str">
        <f>IF('Equipment Information'!C24="","", 'Equipment Information'!C24)</f>
        <v>Electrical Room #3</v>
      </c>
      <c r="H24" t="str">
        <f t="shared" si="0"/>
        <v>N/A</v>
      </c>
    </row>
    <row r="25" spans="1:8" x14ac:dyDescent="0.25">
      <c r="A25" t="str">
        <f>IF('Equipment Information'!A25="","", 'Equipment Information'!A25)</f>
        <v>20260671</v>
      </c>
      <c r="B25" t="str">
        <f>IF('Equipment Information'!B25="","", 'Equipment Information'!B25)</f>
        <v>CP-DP7 [Sec. 2]</v>
      </c>
      <c r="C25" t="str">
        <f>IF('Equipment Information'!C25="","", 'Equipment Information'!C25)</f>
        <v>Electrical Room #3</v>
      </c>
      <c r="H25" t="str">
        <f t="shared" si="0"/>
        <v>N/A</v>
      </c>
    </row>
    <row r="26" spans="1:8" x14ac:dyDescent="0.25">
      <c r="A26" t="str">
        <f>IF('Equipment Information'!A26="","", 'Equipment Information'!A26)</f>
        <v>20260672</v>
      </c>
      <c r="B26" t="str">
        <f>IF('Equipment Information'!B26="","", 'Equipment Information'!B26)</f>
        <v>CP-DP7 [Sec. 3]</v>
      </c>
      <c r="C26" t="str">
        <f>IF('Equipment Information'!C26="","", 'Equipment Information'!C26)</f>
        <v>Electrical Room #3</v>
      </c>
      <c r="H26" t="str">
        <f t="shared" si="0"/>
        <v>N/A</v>
      </c>
    </row>
    <row r="27" spans="1:8" x14ac:dyDescent="0.25">
      <c r="A27" t="str">
        <f>IF('Equipment Information'!A27="","", 'Equipment Information'!A27)</f>
        <v>20260673</v>
      </c>
      <c r="B27" t="str">
        <f>IF('Equipment Information'!B27="","", 'Equipment Information'!B27)</f>
        <v>OH XFMR</v>
      </c>
      <c r="C27" t="str">
        <f>IF('Equipment Information'!C27="","", 'Equipment Information'!C27)</f>
        <v>Electrical Room #3</v>
      </c>
      <c r="H27" t="str">
        <f t="shared" si="0"/>
        <v>N/A</v>
      </c>
    </row>
    <row r="28" spans="1:8" x14ac:dyDescent="0.25">
      <c r="A28" t="str">
        <f>IF('Equipment Information'!A28="","", 'Equipment Information'!A28)</f>
        <v>20260674</v>
      </c>
      <c r="B28" t="str">
        <f>IF('Equipment Information'!B28="","", 'Equipment Information'!B28)</f>
        <v>MDP-2 [Sec. 1]</v>
      </c>
      <c r="C28" t="str">
        <f>IF('Equipment Information'!C28="","", 'Equipment Information'!C28)</f>
        <v>Electrical Room #1</v>
      </c>
      <c r="H28" t="str">
        <f t="shared" si="0"/>
        <v>N/A</v>
      </c>
    </row>
    <row r="29" spans="1:8" x14ac:dyDescent="0.25">
      <c r="A29" t="str">
        <f>IF('Equipment Information'!A29="","", 'Equipment Information'!A29)</f>
        <v>20260675</v>
      </c>
      <c r="B29" t="str">
        <f>IF('Equipment Information'!B29="","", 'Equipment Information'!B29)</f>
        <v>MDP-2 [Sec. 2]</v>
      </c>
      <c r="C29" t="str">
        <f>IF('Equipment Information'!C29="","", 'Equipment Information'!C29)</f>
        <v>Electrical Room #1</v>
      </c>
      <c r="H29" t="str">
        <f t="shared" si="0"/>
        <v>N/A</v>
      </c>
    </row>
    <row r="30" spans="1:8" x14ac:dyDescent="0.25">
      <c r="A30" t="str">
        <f>IF('Equipment Information'!A30="","", 'Equipment Information'!A30)</f>
        <v>20260676</v>
      </c>
      <c r="B30" t="str">
        <f>IF('Equipment Information'!B30="","", 'Equipment Information'!B30)</f>
        <v>Vacuum Exhaust</v>
      </c>
      <c r="C30" t="str">
        <f>IF('Equipment Information'!C30="","", 'Equipment Information'!C30)</f>
        <v>Electrical Room #1</v>
      </c>
      <c r="H30" t="str">
        <f t="shared" si="0"/>
        <v>N/A</v>
      </c>
    </row>
    <row r="31" spans="1:8" x14ac:dyDescent="0.25">
      <c r="A31" t="str">
        <f>IF('Equipment Information'!A31="","", 'Equipment Information'!A31)</f>
        <v>20260677</v>
      </c>
      <c r="B31" t="str">
        <f>IF('Equipment Information'!B31="","", 'Equipment Information'!B31)</f>
        <v>Air Knife</v>
      </c>
      <c r="C31" t="str">
        <f>IF('Equipment Information'!C31="","", 'Equipment Information'!C31)</f>
        <v>Electrical Room #1</v>
      </c>
      <c r="H31" t="str">
        <f t="shared" si="0"/>
        <v>N/A</v>
      </c>
    </row>
    <row r="32" spans="1:8" x14ac:dyDescent="0.25">
      <c r="A32" t="str">
        <f>IF('Equipment Information'!A32="","", 'Equipment Information'!A32)</f>
        <v>20260678</v>
      </c>
      <c r="B32" t="str">
        <f>IF('Equipment Information'!B32="","", 'Equipment Information'!B32)</f>
        <v>CP-Dryer #2</v>
      </c>
      <c r="C32" t="str">
        <f>IF('Equipment Information'!C32="","", 'Equipment Information'!C32)</f>
        <v>Electrical Room #4</v>
      </c>
      <c r="H32" t="str">
        <f t="shared" si="0"/>
        <v>N/A</v>
      </c>
    </row>
    <row r="33" spans="1:8" x14ac:dyDescent="0.25">
      <c r="A33" t="str">
        <f>IF('Equipment Information'!A33="","", 'Equipment Information'!A33)</f>
        <v>20260679</v>
      </c>
      <c r="B33" t="str">
        <f>IF('Equipment Information'!B33="","", 'Equipment Information'!B33)</f>
        <v>CP-Silo Alley</v>
      </c>
      <c r="C33" t="str">
        <f>IF('Equipment Information'!C33="","", 'Equipment Information'!C33)</f>
        <v>Electrical Room #4</v>
      </c>
      <c r="H33" t="str">
        <f t="shared" si="0"/>
        <v>N/A</v>
      </c>
    </row>
    <row r="34" spans="1:8" x14ac:dyDescent="0.25">
      <c r="A34" t="str">
        <f>IF('Equipment Information'!A34="","", 'Equipment Information'!A34)</f>
        <v>20260680</v>
      </c>
      <c r="B34" t="str">
        <f>IF('Equipment Information'!B34="","", 'Equipment Information'!B34)</f>
        <v>Machine Control</v>
      </c>
      <c r="C34" t="str">
        <f>IF('Equipment Information'!C34="","", 'Equipment Information'!C34)</f>
        <v>Electrical Room #4</v>
      </c>
      <c r="H34" t="str">
        <f t="shared" si="0"/>
        <v>N/A</v>
      </c>
    </row>
    <row r="35" spans="1:8" x14ac:dyDescent="0.25">
      <c r="A35" t="str">
        <f>IF('Equipment Information'!A35="","", 'Equipment Information'!A35)</f>
        <v>20260681</v>
      </c>
      <c r="B35" t="str">
        <f>IF('Equipment Information'!B35="","", 'Equipment Information'!B35)</f>
        <v>CP-Dryer #1 [Sec. 1]</v>
      </c>
      <c r="C35" t="str">
        <f>IF('Equipment Information'!C35="","", 'Equipment Information'!C35)</f>
        <v>Electrical Room #4</v>
      </c>
      <c r="H35" t="str">
        <f t="shared" si="0"/>
        <v>N/A</v>
      </c>
    </row>
    <row r="36" spans="1:8" x14ac:dyDescent="0.25">
      <c r="A36" t="str">
        <f>IF('Equipment Information'!A36="","", 'Equipment Information'!A36)</f>
        <v>20260682</v>
      </c>
      <c r="B36" t="str">
        <f>IF('Equipment Information'!B36="","", 'Equipment Information'!B36)</f>
        <v>CP-Dryer #1 [Sec. 2]</v>
      </c>
      <c r="C36" t="str">
        <f>IF('Equipment Information'!C36="","", 'Equipment Information'!C36)</f>
        <v>Electrical Room #4</v>
      </c>
      <c r="H36" t="str">
        <f t="shared" si="0"/>
        <v>N/A</v>
      </c>
    </row>
    <row r="37" spans="1:8" x14ac:dyDescent="0.25">
      <c r="A37" t="str">
        <f>IF('Equipment Information'!A37="","", 'Equipment Information'!A37)</f>
        <v>20260683</v>
      </c>
      <c r="B37" t="str">
        <f>IF('Equipment Information'!B37="","", 'Equipment Information'!B37)</f>
        <v>CP-Packout [Sec. 1]</v>
      </c>
      <c r="C37" t="str">
        <f>IF('Equipment Information'!C37="","", 'Equipment Information'!C37)</f>
        <v>Electrical Room #4</v>
      </c>
      <c r="H37" t="str">
        <f t="shared" si="0"/>
        <v>N/A</v>
      </c>
    </row>
    <row r="38" spans="1:8" x14ac:dyDescent="0.25">
      <c r="A38" t="str">
        <f>IF('Equipment Information'!A38="","", 'Equipment Information'!A38)</f>
        <v>20260684</v>
      </c>
      <c r="B38" t="str">
        <f>IF('Equipment Information'!B38="","", 'Equipment Information'!B38)</f>
        <v>CP-Packout [Sec. 2]</v>
      </c>
      <c r="C38" t="str">
        <f>IF('Equipment Information'!C38="","", 'Equipment Information'!C38)</f>
        <v>Electrical Room #4</v>
      </c>
      <c r="H38" t="str">
        <f t="shared" si="0"/>
        <v>N/A</v>
      </c>
    </row>
    <row r="39" spans="1:8" x14ac:dyDescent="0.25">
      <c r="A39" t="str">
        <f>IF('Equipment Information'!A39="","", 'Equipment Information'!A39)</f>
        <v>20260685</v>
      </c>
      <c r="B39" t="str">
        <f>IF('Equipment Information'!B39="","", 'Equipment Information'!B39)</f>
        <v>CP-Packout [Sec. 3]</v>
      </c>
      <c r="C39" t="str">
        <f>IF('Equipment Information'!C39="","", 'Equipment Information'!C39)</f>
        <v>Electrical Room #4</v>
      </c>
      <c r="H39" t="str">
        <f t="shared" si="0"/>
        <v>N/A</v>
      </c>
    </row>
    <row r="40" spans="1:8" x14ac:dyDescent="0.25">
      <c r="A40" t="str">
        <f>IF('Equipment Information'!A40="","", 'Equipment Information'!A40)</f>
        <v>20260686</v>
      </c>
      <c r="B40" t="str">
        <f>IF('Equipment Information'!B40="","", 'Equipment Information'!B40)</f>
        <v>CP-5110</v>
      </c>
      <c r="C40" t="str">
        <f>IF('Equipment Information'!C40="","", 'Equipment Information'!C40)</f>
        <v>Electrical Room #4</v>
      </c>
      <c r="H40" t="str">
        <f t="shared" si="0"/>
        <v>N/A</v>
      </c>
    </row>
    <row r="41" spans="1:8" x14ac:dyDescent="0.25">
      <c r="A41" t="str">
        <f>IF('Equipment Information'!A41="","", 'Equipment Information'!A41)</f>
        <v>20260687</v>
      </c>
      <c r="B41" t="str">
        <f>IF('Equipment Information'!B41="","", 'Equipment Information'!B41)</f>
        <v>CP-5120</v>
      </c>
      <c r="C41" t="str">
        <f>IF('Equipment Information'!C41="","", 'Equipment Information'!C41)</f>
        <v>Electrical Room #4</v>
      </c>
      <c r="H41" t="str">
        <f t="shared" si="0"/>
        <v>N/A</v>
      </c>
    </row>
    <row r="42" spans="1:8" x14ac:dyDescent="0.25">
      <c r="A42" t="str">
        <f>IF('Equipment Information'!A42="","", 'Equipment Information'!A42)</f>
        <v>20260688</v>
      </c>
      <c r="B42" t="str">
        <f>IF('Equipment Information'!B42="","", 'Equipment Information'!B42)</f>
        <v>RF-7101</v>
      </c>
      <c r="C42" t="str">
        <f>IF('Equipment Information'!C42="","", 'Equipment Information'!C42)</f>
        <v>Electrical Room #4</v>
      </c>
      <c r="H42" t="str">
        <f t="shared" si="0"/>
        <v>N/A</v>
      </c>
    </row>
    <row r="43" spans="1:8" x14ac:dyDescent="0.25">
      <c r="A43" t="str">
        <f>IF('Equipment Information'!A43="","", 'Equipment Information'!A43)</f>
        <v>20260689</v>
      </c>
      <c r="B43" t="str">
        <f>IF('Equipment Information'!B43="","", 'Equipment Information'!B43)</f>
        <v>RF-7102</v>
      </c>
      <c r="C43" t="str">
        <f>IF('Equipment Information'!C43="","", 'Equipment Information'!C43)</f>
        <v>Electrical Room #4</v>
      </c>
      <c r="H43" t="str">
        <f t="shared" si="0"/>
        <v>N/A</v>
      </c>
    </row>
    <row r="44" spans="1:8" x14ac:dyDescent="0.25">
      <c r="A44" t="str">
        <f>IF('Equipment Information'!A44="","", 'Equipment Information'!A44)</f>
        <v>20260690</v>
      </c>
      <c r="B44" t="str">
        <f>IF('Equipment Information'!B44="","", 'Equipment Information'!B44)</f>
        <v>RF-7103</v>
      </c>
      <c r="C44" t="str">
        <f>IF('Equipment Information'!C44="","", 'Equipment Information'!C44)</f>
        <v>Electrical Room #4</v>
      </c>
      <c r="H44" t="str">
        <f t="shared" si="0"/>
        <v>N/A</v>
      </c>
    </row>
    <row r="45" spans="1:8" x14ac:dyDescent="0.25">
      <c r="A45" t="str">
        <f>IF('Equipment Information'!A45="","", 'Equipment Information'!A45)</f>
        <v>20260691</v>
      </c>
      <c r="B45" t="str">
        <f>IF('Equipment Information'!B45="","", 'Equipment Information'!B45)</f>
        <v>RF-7104</v>
      </c>
      <c r="C45" t="str">
        <f>IF('Equipment Information'!C45="","", 'Equipment Information'!C45)</f>
        <v>Electrical Room #4</v>
      </c>
      <c r="H45" t="str">
        <f t="shared" si="0"/>
        <v>N/A</v>
      </c>
    </row>
    <row r="46" spans="1:8" x14ac:dyDescent="0.25">
      <c r="A46" t="str">
        <f>IF('Equipment Information'!A46="","", 'Equipment Information'!A46)</f>
        <v>20260692</v>
      </c>
      <c r="B46" t="str">
        <f>IF('Equipment Information'!B46="","", 'Equipment Information'!B46)</f>
        <v>DP-10</v>
      </c>
      <c r="C46" t="str">
        <f>IF('Equipment Information'!C46="","", 'Equipment Information'!C46)</f>
        <v>Electrical Room #4</v>
      </c>
      <c r="H46" t="str">
        <f t="shared" si="0"/>
        <v>N/A</v>
      </c>
    </row>
    <row r="47" spans="1:8" x14ac:dyDescent="0.25">
      <c r="A47" t="str">
        <f>IF('Equipment Information'!A47="","", 'Equipment Information'!A47)</f>
        <v>20260693</v>
      </c>
      <c r="B47" t="str">
        <f>IF('Equipment Information'!B47="","", 'Equipment Information'!B47)</f>
        <v>Cooling Towers</v>
      </c>
      <c r="C47" t="str">
        <f>IF('Equipment Information'!C47="","", 'Equipment Information'!C47)</f>
        <v>Electrical Room #4</v>
      </c>
      <c r="H47" t="str">
        <f t="shared" si="0"/>
        <v>N/A</v>
      </c>
    </row>
    <row r="48" spans="1:8" x14ac:dyDescent="0.25">
      <c r="A48" t="str">
        <f>IF('Equipment Information'!A48="","", 'Equipment Information'!A48)</f>
        <v>20260694</v>
      </c>
      <c r="B48" t="str">
        <f>IF('Equipment Information'!B48="","", 'Equipment Information'!B48)</f>
        <v>PP FF-2</v>
      </c>
      <c r="C48" t="str">
        <f>IF('Equipment Information'!C48="","", 'Equipment Information'!C48)</f>
        <v>Electrical Room #4</v>
      </c>
      <c r="H48" t="str">
        <f t="shared" si="0"/>
        <v>N/A</v>
      </c>
    </row>
    <row r="49" spans="1:8" x14ac:dyDescent="0.25">
      <c r="A49" t="str">
        <f>IF('Equipment Information'!A49="","", 'Equipment Information'!A49)</f>
        <v>20260695</v>
      </c>
      <c r="B49" t="str">
        <f>IF('Equipment Information'!B49="","", 'Equipment Information'!B49)</f>
        <v>LP FF-1</v>
      </c>
      <c r="C49" t="str">
        <f>IF('Equipment Information'!C49="","", 'Equipment Information'!C49)</f>
        <v>Electrical Room #4</v>
      </c>
      <c r="H49" t="str">
        <f t="shared" si="0"/>
        <v>N/A</v>
      </c>
    </row>
    <row r="50" spans="1:8" x14ac:dyDescent="0.25">
      <c r="A50" t="str">
        <f>IF('Equipment Information'!A50="","", 'Equipment Information'!A50)</f>
        <v>20260696</v>
      </c>
      <c r="B50" t="str">
        <f>IF('Equipment Information'!B50="","", 'Equipment Information'!B50)</f>
        <v>PP FF-1</v>
      </c>
      <c r="C50" t="str">
        <f>IF('Equipment Information'!C50="","", 'Equipment Information'!C50)</f>
        <v>Electrical Room #4</v>
      </c>
      <c r="H50" t="str">
        <f t="shared" si="0"/>
        <v>N/A</v>
      </c>
    </row>
    <row r="51" spans="1:8" x14ac:dyDescent="0.25">
      <c r="A51" t="str">
        <f>IF('Equipment Information'!A51="","", 'Equipment Information'!A51)</f>
        <v>20260697</v>
      </c>
      <c r="B51" t="str">
        <f>IF('Equipment Information'!B51="","", 'Equipment Information'!B51)</f>
        <v>PP FF-1A</v>
      </c>
      <c r="C51" t="str">
        <f>IF('Equipment Information'!C51="","", 'Equipment Information'!C51)</f>
        <v>Electrical Room #4</v>
      </c>
      <c r="H51" t="str">
        <f t="shared" si="0"/>
        <v>N/A</v>
      </c>
    </row>
    <row r="52" spans="1:8" x14ac:dyDescent="0.25">
      <c r="A52" t="str">
        <f>IF('Equipment Information'!A52="","", 'Equipment Information'!A52)</f>
        <v>20260698</v>
      </c>
      <c r="B52" t="str">
        <f>IF('Equipment Information'!B52="","", 'Equipment Information'!B52)</f>
        <v>CP-5110 &amp; CP-5120</v>
      </c>
      <c r="C52" t="str">
        <f>IF('Equipment Information'!C52="","", 'Equipment Information'!C52)</f>
        <v>Electrical Room #4</v>
      </c>
      <c r="H52" t="str">
        <f t="shared" si="0"/>
        <v>N/A</v>
      </c>
    </row>
    <row r="53" spans="1:8" x14ac:dyDescent="0.25">
      <c r="A53" t="str">
        <f>IF('Equipment Information'!A53="","", 'Equipment Information'!A53)</f>
        <v>20260699</v>
      </c>
      <c r="B53" t="str">
        <f>IF('Equipment Information'!B53="","", 'Equipment Information'!B53)</f>
        <v/>
      </c>
      <c r="C53" t="str">
        <f>IF('Equipment Information'!C53="","", 'Equipment Information'!C53)</f>
        <v>Electrical Room #4 Mezzanine</v>
      </c>
      <c r="H53" t="str">
        <f t="shared" si="0"/>
        <v>N/A</v>
      </c>
    </row>
    <row r="54" spans="1:8" x14ac:dyDescent="0.25">
      <c r="A54" t="str">
        <f>IF('Equipment Information'!A54="","", 'Equipment Information'!A54)</f>
        <v>20260700</v>
      </c>
      <c r="B54" t="str">
        <f>IF('Equipment Information'!B54="","", 'Equipment Information'!B54)</f>
        <v/>
      </c>
      <c r="C54" t="str">
        <f>IF('Equipment Information'!C54="","", 'Equipment Information'!C54)</f>
        <v>Electrical Room #4 Mezzanine</v>
      </c>
      <c r="H54" t="str">
        <f t="shared" si="0"/>
        <v>N/A</v>
      </c>
    </row>
    <row r="55" spans="1:8" x14ac:dyDescent="0.25">
      <c r="A55" t="str">
        <f>IF('Equipment Information'!A55="","", 'Equipment Information'!A55)</f>
        <v>20260701</v>
      </c>
      <c r="B55" t="str">
        <f>IF('Equipment Information'!B55="","", 'Equipment Information'!B55)</f>
        <v/>
      </c>
      <c r="C55" t="str">
        <f>IF('Equipment Information'!C55="","", 'Equipment Information'!C55)</f>
        <v>Electrical Room #4 Mezzanine</v>
      </c>
      <c r="H55" t="str">
        <f t="shared" si="0"/>
        <v>N/A</v>
      </c>
    </row>
    <row r="56" spans="1:8" x14ac:dyDescent="0.25">
      <c r="A56" t="str">
        <f>IF('Equipment Information'!A56="","", 'Equipment Information'!A56)</f>
        <v>20260702</v>
      </c>
      <c r="B56" t="str">
        <f>IF('Equipment Information'!B56="","", 'Equipment Information'!B56)</f>
        <v/>
      </c>
      <c r="C56" t="str">
        <f>IF('Equipment Information'!C56="","", 'Equipment Information'!C56)</f>
        <v>Electrical Room #4 Mezzanine</v>
      </c>
      <c r="H56" t="str">
        <f t="shared" si="0"/>
        <v>N/A</v>
      </c>
    </row>
    <row r="57" spans="1:8" x14ac:dyDescent="0.25">
      <c r="A57" t="str">
        <f>IF('Equipment Information'!A57="","", 'Equipment Information'!A57)</f>
        <v>20260703</v>
      </c>
      <c r="B57" t="str">
        <f>IF('Equipment Information'!B57="","", 'Equipment Information'!B57)</f>
        <v/>
      </c>
      <c r="C57" t="str">
        <f>IF('Equipment Information'!C57="","", 'Equipment Information'!C57)</f>
        <v>Electrical Room #4 Mezzanine</v>
      </c>
      <c r="H57" t="str">
        <f t="shared" si="0"/>
        <v>N/A</v>
      </c>
    </row>
    <row r="58" spans="1:8" x14ac:dyDescent="0.25">
      <c r="A58" t="str">
        <f>IF('Equipment Information'!A58="","", 'Equipment Information'!A58)</f>
        <v>20260704</v>
      </c>
      <c r="B58" t="str">
        <f>IF('Equipment Information'!B58="","", 'Equipment Information'!B58)</f>
        <v/>
      </c>
      <c r="C58" t="str">
        <f>IF('Equipment Information'!C58="","", 'Equipment Information'!C58)</f>
        <v>Electrical Room #4 Mezzanine</v>
      </c>
      <c r="H58" t="str">
        <f t="shared" si="0"/>
        <v>N/A</v>
      </c>
    </row>
    <row r="59" spans="1:8" x14ac:dyDescent="0.25">
      <c r="A59" t="str">
        <f>IF('Equipment Information'!A59="","", 'Equipment Information'!A59)</f>
        <v>20260705</v>
      </c>
      <c r="B59" t="str">
        <f>IF('Equipment Information'!B59="","", 'Equipment Information'!B59)</f>
        <v>15 kVa Transformer</v>
      </c>
      <c r="C59" t="str">
        <f>IF('Equipment Information'!C59="","", 'Equipment Information'!C59)</f>
        <v>Packaging</v>
      </c>
      <c r="H59" t="str">
        <f t="shared" si="0"/>
        <v>N/A</v>
      </c>
    </row>
    <row r="60" spans="1:8" x14ac:dyDescent="0.25">
      <c r="A60" t="str">
        <f>IF('Equipment Information'!A60="","", 'Equipment Information'!A60)</f>
        <v>20260706</v>
      </c>
      <c r="B60" t="str">
        <f>IF('Equipment Information'!B60="","", 'Equipment Information'!B60)</f>
        <v>Color Sorter Transformer</v>
      </c>
      <c r="C60" t="str">
        <f>IF('Equipment Information'!C60="","", 'Equipment Information'!C60)</f>
        <v>Packaging</v>
      </c>
      <c r="H60" t="str">
        <f t="shared" si="0"/>
        <v>N/A</v>
      </c>
    </row>
    <row r="61" spans="1:8" x14ac:dyDescent="0.25">
      <c r="A61" t="str">
        <f>IF('Equipment Information'!A61="","", 'Equipment Information'!A61)</f>
        <v>20260707</v>
      </c>
      <c r="B61" t="str">
        <f>IF('Equipment Information'!B61="","", 'Equipment Information'!B61)</f>
        <v>LP3 Sub-Panel</v>
      </c>
      <c r="C61" t="str">
        <f>IF('Equipment Information'!C61="","", 'Equipment Information'!C61)</f>
        <v>Packaging</v>
      </c>
      <c r="H61" t="str">
        <f t="shared" si="0"/>
        <v>N/A</v>
      </c>
    </row>
    <row r="62" spans="1:8" x14ac:dyDescent="0.25">
      <c r="A62" t="str">
        <f>IF('Equipment Information'!A62="","", 'Equipment Information'!A62)</f>
        <v>20260708</v>
      </c>
      <c r="B62" t="str">
        <f>IF('Equipment Information'!B62="","", 'Equipment Information'!B62)</f>
        <v>LP3</v>
      </c>
      <c r="C62" t="str">
        <f>IF('Equipment Information'!C62="","", 'Equipment Information'!C62)</f>
        <v>Packaging</v>
      </c>
      <c r="H62" t="str">
        <f t="shared" si="0"/>
        <v>N/A</v>
      </c>
    </row>
    <row r="63" spans="1:8" x14ac:dyDescent="0.25">
      <c r="A63" t="str">
        <f>IF('Equipment Information'!A63="","", 'Equipment Information'!A63)</f>
        <v>20260709</v>
      </c>
      <c r="B63" t="str">
        <f>IF('Equipment Information'!B63="","", 'Equipment Information'!B63)</f>
        <v>Color Sorter Supply</v>
      </c>
      <c r="C63" t="str">
        <f>IF('Equipment Information'!C63="","", 'Equipment Information'!C63)</f>
        <v>Packaging</v>
      </c>
      <c r="H63" t="str">
        <f t="shared" si="0"/>
        <v>N/A</v>
      </c>
    </row>
    <row r="64" spans="1:8" x14ac:dyDescent="0.25">
      <c r="A64" t="str">
        <f>IF('Equipment Information'!A64="","", 'Equipment Information'!A64)</f>
        <v>20260710</v>
      </c>
      <c r="B64" t="str">
        <f>IF('Equipment Information'!B64="","", 'Equipment Information'!B64)</f>
        <v>HP3</v>
      </c>
      <c r="C64" t="str">
        <f>IF('Equipment Information'!C64="","", 'Equipment Information'!C64)</f>
        <v>Packaging</v>
      </c>
      <c r="H64" t="str">
        <f t="shared" si="0"/>
        <v>N/A</v>
      </c>
    </row>
    <row r="65" spans="1:8" x14ac:dyDescent="0.25">
      <c r="A65" t="str">
        <f>IF('Equipment Information'!A65="","", 'Equipment Information'!A65)</f>
        <v>20260711</v>
      </c>
      <c r="B65" t="str">
        <f>IF('Equipment Information'!B65="","", 'Equipment Information'!B65)</f>
        <v>HP3-1</v>
      </c>
      <c r="C65" t="str">
        <f>IF('Equipment Information'!C65="","", 'Equipment Information'!C65)</f>
        <v>Packaging</v>
      </c>
      <c r="H65" t="str">
        <f t="shared" si="0"/>
        <v>N/A</v>
      </c>
    </row>
    <row r="66" spans="1:8" x14ac:dyDescent="0.25">
      <c r="A66" t="str">
        <f>IF('Equipment Information'!A66="","", 'Equipment Information'!A66)</f>
        <v>20260712</v>
      </c>
      <c r="B66" t="str">
        <f>IF('Equipment Information'!B66="","", 'Equipment Information'!B66)</f>
        <v>SW 2</v>
      </c>
      <c r="C66" t="str">
        <f>IF('Equipment Information'!C66="","", 'Equipment Information'!C66)</f>
        <v>Packaging</v>
      </c>
      <c r="H66" t="str">
        <f t="shared" ref="H66:H129" si="1">IF(A66="","","N/A")</f>
        <v>N/A</v>
      </c>
    </row>
    <row r="67" spans="1:8" x14ac:dyDescent="0.25">
      <c r="A67" t="str">
        <f>IF('Equipment Information'!A67="","", 'Equipment Information'!A67)</f>
        <v>20260713</v>
      </c>
      <c r="B67" t="str">
        <f>IF('Equipment Information'!B67="","", 'Equipment Information'!B67)</f>
        <v/>
      </c>
      <c r="C67" t="str">
        <f>IF('Equipment Information'!C67="","", 'Equipment Information'!C67)</f>
        <v>Packaging</v>
      </c>
      <c r="H67" t="str">
        <f t="shared" si="1"/>
        <v>N/A</v>
      </c>
    </row>
    <row r="68" spans="1:8" x14ac:dyDescent="0.25">
      <c r="A68" t="str">
        <f>IF('Equipment Information'!A68="","", 'Equipment Information'!A68)</f>
        <v>20260714</v>
      </c>
      <c r="B68" t="str">
        <f>IF('Equipment Information'!B68="","", 'Equipment Information'!B68)</f>
        <v>LP-1</v>
      </c>
      <c r="C68" t="str">
        <f>IF('Equipment Information'!C68="","", 'Equipment Information'!C68)</f>
        <v>Receiving Station</v>
      </c>
      <c r="H68" t="str">
        <f t="shared" si="1"/>
        <v>N/A</v>
      </c>
    </row>
    <row r="69" spans="1:8" x14ac:dyDescent="0.25">
      <c r="A69" t="str">
        <f>IF('Equipment Information'!A69="","", 'Equipment Information'!A69)</f>
        <v>20260715</v>
      </c>
      <c r="B69" t="str">
        <f>IF('Equipment Information'!B69="","", 'Equipment Information'!B69)</f>
        <v>Photo-Eye Ctl'd Contactor</v>
      </c>
      <c r="C69" t="str">
        <f>IF('Equipment Information'!C69="","", 'Equipment Information'!C69)</f>
        <v>Receiving Station</v>
      </c>
      <c r="H69" t="str">
        <f t="shared" si="1"/>
        <v>N/A</v>
      </c>
    </row>
    <row r="70" spans="1:8" x14ac:dyDescent="0.25">
      <c r="A70" t="str">
        <f>IF('Equipment Information'!A70="","", 'Equipment Information'!A70)</f>
        <v>20260716</v>
      </c>
      <c r="B70" t="str">
        <f>IF('Equipment Information'!B70="","", 'Equipment Information'!B70)</f>
        <v>LP1A</v>
      </c>
      <c r="C70" t="str">
        <f>IF('Equipment Information'!C70="","", 'Equipment Information'!C70)</f>
        <v>Receiving Station</v>
      </c>
      <c r="H70" t="str">
        <f t="shared" si="1"/>
        <v>N/A</v>
      </c>
    </row>
    <row r="71" spans="1:8" x14ac:dyDescent="0.25">
      <c r="A71" t="str">
        <f>IF('Equipment Information'!A71="","", 'Equipment Information'!A71)</f>
        <v>20260717</v>
      </c>
      <c r="B71" t="str">
        <f>IF('Equipment Information'!B71="","", 'Equipment Information'!B71)</f>
        <v>Pool Pump #1 Main Disconnect</v>
      </c>
      <c r="C71" t="str">
        <f>IF('Equipment Information'!C71="","", 'Equipment Information'!C71)</f>
        <v>Receiving Station</v>
      </c>
      <c r="H71" t="str">
        <f t="shared" si="1"/>
        <v>N/A</v>
      </c>
    </row>
    <row r="72" spans="1:8" x14ac:dyDescent="0.25">
      <c r="A72" t="str">
        <f>IF('Equipment Information'!A72="","", 'Equipment Information'!A72)</f>
        <v>20260718</v>
      </c>
      <c r="B72" t="str">
        <f>IF('Equipment Information'!B72="","", 'Equipment Information'!B72)</f>
        <v>Pool Pump #2 Main Disconnect</v>
      </c>
      <c r="C72" t="str">
        <f>IF('Equipment Information'!C72="","", 'Equipment Information'!C72)</f>
        <v>Receiving Station</v>
      </c>
      <c r="H72" t="str">
        <f t="shared" si="1"/>
        <v>N/A</v>
      </c>
    </row>
    <row r="73" spans="1:8" x14ac:dyDescent="0.25">
      <c r="A73" t="str">
        <f>IF('Equipment Information'!A73="","", 'Equipment Information'!A73)</f>
        <v>20260719</v>
      </c>
      <c r="B73" t="str">
        <f>IF('Equipment Information'!B73="","", 'Equipment Information'!B73)</f>
        <v>Pool Pump #1 VFD</v>
      </c>
      <c r="C73" t="str">
        <f>IF('Equipment Information'!C73="","", 'Equipment Information'!C73)</f>
        <v>Receiving Station</v>
      </c>
      <c r="H73" t="str">
        <f t="shared" si="1"/>
        <v>N/A</v>
      </c>
    </row>
    <row r="74" spans="1:8" x14ac:dyDescent="0.25">
      <c r="A74" t="str">
        <f>IF('Equipment Information'!A74="","", 'Equipment Information'!A74)</f>
        <v>20260720</v>
      </c>
      <c r="B74" t="str">
        <f>IF('Equipment Information'!B74="","", 'Equipment Information'!B74)</f>
        <v>Pool Pump #2 VFD</v>
      </c>
      <c r="C74" t="str">
        <f>IF('Equipment Information'!C74="","", 'Equipment Information'!C74)</f>
        <v>Receiving Station</v>
      </c>
      <c r="H74" t="str">
        <f t="shared" si="1"/>
        <v>N/A</v>
      </c>
    </row>
    <row r="75" spans="1:8" x14ac:dyDescent="0.25">
      <c r="A75" t="str">
        <f>IF('Equipment Information'!A75="","", 'Equipment Information'!A75)</f>
        <v>20260721</v>
      </c>
      <c r="B75" t="str">
        <f>IF('Equipment Information'!B75="","", 'Equipment Information'!B75)</f>
        <v>45 kVA Transformer</v>
      </c>
      <c r="C75" t="str">
        <f>IF('Equipment Information'!C75="","", 'Equipment Information'!C75)</f>
        <v>Receiving Station</v>
      </c>
      <c r="H75" t="str">
        <f t="shared" si="1"/>
        <v>N/A</v>
      </c>
    </row>
    <row r="76" spans="1:8" x14ac:dyDescent="0.25">
      <c r="A76" t="str">
        <f>IF('Equipment Information'!A76="","", 'Equipment Information'!A76)</f>
        <v>20260722</v>
      </c>
      <c r="B76" t="str">
        <f>IF('Equipment Information'!B76="","", 'Equipment Information'!B76)</f>
        <v>45 kVA Transformer Disconnect</v>
      </c>
      <c r="C76" t="str">
        <f>IF('Equipment Information'!C76="","", 'Equipment Information'!C76)</f>
        <v>Receiving Station</v>
      </c>
      <c r="H76" t="str">
        <f t="shared" si="1"/>
        <v>N/A</v>
      </c>
    </row>
    <row r="77" spans="1:8" x14ac:dyDescent="0.25">
      <c r="A77" t="str">
        <f>IF('Equipment Information'!A77="","", 'Equipment Information'!A77)</f>
        <v>20260723</v>
      </c>
      <c r="B77" t="str">
        <f>IF('Equipment Information'!B77="","", 'Equipment Information'!B77)</f>
        <v>Bay 25 480V Outlet Disconnect</v>
      </c>
      <c r="C77" t="str">
        <f>IF('Equipment Information'!C77="","", 'Equipment Information'!C77)</f>
        <v>Receiving Station</v>
      </c>
      <c r="H77" t="str">
        <f t="shared" si="1"/>
        <v>N/A</v>
      </c>
    </row>
    <row r="78" spans="1:8" x14ac:dyDescent="0.25">
      <c r="A78" t="str">
        <f>IF('Equipment Information'!A78="","", 'Equipment Information'!A78)</f>
        <v>20260724</v>
      </c>
      <c r="B78" t="str">
        <f>IF('Equipment Information'!B78="","", 'Equipment Information'!B78)</f>
        <v>Compressor Disconnect</v>
      </c>
      <c r="C78" t="str">
        <f>IF('Equipment Information'!C78="","", 'Equipment Information'!C78)</f>
        <v>Receiving Station</v>
      </c>
      <c r="H78" t="str">
        <f t="shared" si="1"/>
        <v>N/A</v>
      </c>
    </row>
    <row r="79" spans="1:8" x14ac:dyDescent="0.25">
      <c r="A79" t="str">
        <f>IF('Equipment Information'!A79="","", 'Equipment Information'!A79)</f>
        <v>20260725</v>
      </c>
      <c r="B79" t="str">
        <f>IF('Equipment Information'!B79="","", 'Equipment Information'!B79)</f>
        <v>PP1 Transformer Disconnect</v>
      </c>
      <c r="C79" t="str">
        <f>IF('Equipment Information'!C79="","", 'Equipment Information'!C79)</f>
        <v>Receiving Station</v>
      </c>
      <c r="H79" t="str">
        <f t="shared" si="1"/>
        <v>N/A</v>
      </c>
    </row>
    <row r="80" spans="1:8" x14ac:dyDescent="0.25">
      <c r="A80" t="str">
        <f>IF('Equipment Information'!A80="","", 'Equipment Information'!A80)</f>
        <v>20260726</v>
      </c>
      <c r="B80" t="str">
        <f>IF('Equipment Information'!B80="","", 'Equipment Information'!B80)</f>
        <v>PP1 Welding Recept. Disconnect</v>
      </c>
      <c r="C80" t="str">
        <f>IF('Equipment Information'!C80="","", 'Equipment Information'!C80)</f>
        <v>Receiving Station</v>
      </c>
      <c r="H80" t="str">
        <f t="shared" si="1"/>
        <v>N/A</v>
      </c>
    </row>
    <row r="81" spans="1:8" x14ac:dyDescent="0.25">
      <c r="A81" t="str">
        <f>IF('Equipment Information'!A81="","", 'Equipment Information'!A81)</f>
        <v>20260727</v>
      </c>
      <c r="B81" t="str">
        <f>IF('Equipment Information'!B81="","", 'Equipment Information'!B81)</f>
        <v>PP-1</v>
      </c>
      <c r="C81" t="str">
        <f>IF('Equipment Information'!C81="","", 'Equipment Information'!C81)</f>
        <v>Receiving Station</v>
      </c>
      <c r="H81" t="str">
        <f t="shared" si="1"/>
        <v>N/A</v>
      </c>
    </row>
    <row r="82" spans="1:8" x14ac:dyDescent="0.25">
      <c r="A82" t="str">
        <f>IF('Equipment Information'!A82="","", 'Equipment Information'!A82)</f>
        <v>20260728</v>
      </c>
      <c r="B82" t="str">
        <f>IF('Equipment Information'!B82="","", 'Equipment Information'!B82)</f>
        <v>OH XFMR</v>
      </c>
      <c r="C82" t="str">
        <f>IF('Equipment Information'!C82="","", 'Equipment Information'!C82)</f>
        <v>Receiving Station</v>
      </c>
      <c r="H82" t="str">
        <f t="shared" si="1"/>
        <v>N/A</v>
      </c>
    </row>
    <row r="83" spans="1:8" x14ac:dyDescent="0.25">
      <c r="A83" t="str">
        <f>IF('Equipment Information'!A83="","", 'Equipment Information'!A83)</f>
        <v>20260729</v>
      </c>
      <c r="B83" t="str">
        <f>IF('Equipment Information'!B83="","", 'Equipment Information'!B83)</f>
        <v>LP-2</v>
      </c>
      <c r="C83" t="str">
        <f>IF('Equipment Information'!C83="","", 'Equipment Information'!C83)</f>
        <v>Receiving Station</v>
      </c>
      <c r="H83" t="str">
        <f t="shared" si="1"/>
        <v>N/A</v>
      </c>
    </row>
    <row r="84" spans="1:8" x14ac:dyDescent="0.25">
      <c r="A84" t="str">
        <f>IF('Equipment Information'!A84="","", 'Equipment Information'!A84)</f>
        <v>20260730</v>
      </c>
      <c r="B84" t="str">
        <f>IF('Equipment Information'!B84="","", 'Equipment Information'!B84)</f>
        <v>Weld Gutter Disconnect</v>
      </c>
      <c r="C84" t="str">
        <f>IF('Equipment Information'!C84="","", 'Equipment Information'!C84)</f>
        <v>Receiving Station</v>
      </c>
      <c r="H84" t="str">
        <f t="shared" si="1"/>
        <v>N/A</v>
      </c>
    </row>
    <row r="85" spans="1:8" x14ac:dyDescent="0.25">
      <c r="A85" t="str">
        <f>IF('Equipment Information'!A85="","", 'Equipment Information'!A85)</f>
        <v>20260731</v>
      </c>
      <c r="B85" t="str">
        <f>IF('Equipment Information'!B85="","", 'Equipment Information'!B85)</f>
        <v>OH XFMR</v>
      </c>
      <c r="C85" t="str">
        <f>IF('Equipment Information'!C85="","", 'Equipment Information'!C85)</f>
        <v>Receiving Station</v>
      </c>
      <c r="H85" t="str">
        <f t="shared" si="1"/>
        <v>N/A</v>
      </c>
    </row>
    <row r="86" spans="1:8" x14ac:dyDescent="0.25">
      <c r="A86" t="str">
        <f>IF('Equipment Information'!A86="","", 'Equipment Information'!A86)</f>
        <v>20260732</v>
      </c>
      <c r="B86" t="str">
        <f>IF('Equipment Information'!B86="","", 'Equipment Information'!B86)</f>
        <v>Lighting XFMR Disconnect</v>
      </c>
      <c r="C86" t="str">
        <f>IF('Equipment Information'!C86="","", 'Equipment Information'!C86)</f>
        <v>Receiving Station</v>
      </c>
      <c r="H86" t="str">
        <f t="shared" si="1"/>
        <v>N/A</v>
      </c>
    </row>
    <row r="87" spans="1:8" x14ac:dyDescent="0.25">
      <c r="A87" t="str">
        <f>IF('Equipment Information'!A87="","", 'Equipment Information'!A87)</f>
        <v>20260733</v>
      </c>
      <c r="B87" t="str">
        <f>IF('Equipment Information'!B87="","", 'Equipment Information'!B87)</f>
        <v>Pool Pump #6/7 Disconnect</v>
      </c>
      <c r="C87" t="str">
        <f>IF('Equipment Information'!C87="","", 'Equipment Information'!C87)</f>
        <v>Receiving Station</v>
      </c>
      <c r="H87" t="str">
        <f t="shared" si="1"/>
        <v>N/A</v>
      </c>
    </row>
    <row r="88" spans="1:8" x14ac:dyDescent="0.25">
      <c r="A88" t="str">
        <f>IF('Equipment Information'!A88="","", 'Equipment Information'!A88)</f>
        <v>20260734</v>
      </c>
      <c r="B88" t="str">
        <f>IF('Equipment Information'!B88="","", 'Equipment Information'!B88)</f>
        <v>Trash Conveyor Disconnect</v>
      </c>
      <c r="C88" t="str">
        <f>IF('Equipment Information'!C88="","", 'Equipment Information'!C88)</f>
        <v>Receiving Station</v>
      </c>
      <c r="H88" t="str">
        <f t="shared" si="1"/>
        <v>N/A</v>
      </c>
    </row>
    <row r="89" spans="1:8" x14ac:dyDescent="0.25">
      <c r="A89" t="str">
        <f>IF('Equipment Information'!A89="","", 'Equipment Information'!A89)</f>
        <v>20260735</v>
      </c>
      <c r="B89" t="str">
        <f>IF('Equipment Information'!B89="","", 'Equipment Information'!B89)</f>
        <v>Dewatering Table Disconnect</v>
      </c>
      <c r="C89" t="str">
        <f>IF('Equipment Information'!C89="","", 'Equipment Information'!C89)</f>
        <v>Receiving Station</v>
      </c>
      <c r="H89" t="str">
        <f t="shared" si="1"/>
        <v>N/A</v>
      </c>
    </row>
    <row r="90" spans="1:8" x14ac:dyDescent="0.25">
      <c r="A90" t="str">
        <f>IF('Equipment Information'!A90="","", 'Equipment Information'!A90)</f>
        <v>20260736</v>
      </c>
      <c r="B90" t="str">
        <f>IF('Equipment Information'!B90="","", 'Equipment Information'!B90)</f>
        <v>Recycling Pump Disconnect</v>
      </c>
      <c r="C90" t="str">
        <f>IF('Equipment Information'!C90="","", 'Equipment Information'!C90)</f>
        <v>Receiving Station</v>
      </c>
      <c r="H90" t="str">
        <f t="shared" si="1"/>
        <v>N/A</v>
      </c>
    </row>
    <row r="91" spans="1:8" x14ac:dyDescent="0.25">
      <c r="A91" t="str">
        <f>IF('Equipment Information'!A91="","", 'Equipment Information'!A91)</f>
        <v>20260737</v>
      </c>
      <c r="B91" t="str">
        <f>IF('Equipment Information'!B91="","", 'Equipment Information'!B91)</f>
        <v>Trash Conveyor Starter</v>
      </c>
      <c r="C91" t="str">
        <f>IF('Equipment Information'!C91="","", 'Equipment Information'!C91)</f>
        <v>Receiving Station</v>
      </c>
      <c r="H91" t="str">
        <f t="shared" si="1"/>
        <v>N/A</v>
      </c>
    </row>
    <row r="92" spans="1:8" x14ac:dyDescent="0.25">
      <c r="A92" t="str">
        <f>IF('Equipment Information'!A92="","", 'Equipment Information'!A92)</f>
        <v>20260738</v>
      </c>
      <c r="B92" t="str">
        <f>IF('Equipment Information'!B92="","", 'Equipment Information'!B92)</f>
        <v>Dewatering Table Starter</v>
      </c>
      <c r="C92" t="str">
        <f>IF('Equipment Information'!C92="","", 'Equipment Information'!C92)</f>
        <v>Receiving Station</v>
      </c>
      <c r="H92" t="str">
        <f t="shared" si="1"/>
        <v>N/A</v>
      </c>
    </row>
    <row r="93" spans="1:8" x14ac:dyDescent="0.25">
      <c r="A93" t="str">
        <f>IF('Equipment Information'!A93="","", 'Equipment Information'!A93)</f>
        <v>20260739</v>
      </c>
      <c r="B93" t="str">
        <f>IF('Equipment Information'!B93="","", 'Equipment Information'!B93)</f>
        <v>CIP System #2</v>
      </c>
      <c r="C93" t="str">
        <f>IF('Equipment Information'!C93="","", 'Equipment Information'!C93)</f>
        <v>Production Area</v>
      </c>
      <c r="H93" t="str">
        <f t="shared" si="1"/>
        <v>N/A</v>
      </c>
    </row>
    <row r="94" spans="1:8" x14ac:dyDescent="0.25">
      <c r="A94" t="str">
        <f>IF('Equipment Information'!A94="","", 'Equipment Information'!A94)</f>
        <v>20260740</v>
      </c>
      <c r="B94" t="str">
        <f>IF('Equipment Information'!B94="","", 'Equipment Information'!B94)</f>
        <v>BD1</v>
      </c>
      <c r="C94" t="str">
        <f>IF('Equipment Information'!C94="","", 'Equipment Information'!C94)</f>
        <v>Production Area</v>
      </c>
      <c r="H94" t="str">
        <f t="shared" si="1"/>
        <v>N/A</v>
      </c>
    </row>
    <row r="95" spans="1:8" x14ac:dyDescent="0.25">
      <c r="A95" t="str">
        <f>IF('Equipment Information'!A95="","", 'Equipment Information'!A95)</f>
        <v>20260741</v>
      </c>
      <c r="B95" t="str">
        <f>IF('Equipment Information'!B95="","", 'Equipment Information'!B95)</f>
        <v>SLS-19</v>
      </c>
      <c r="C95" t="str">
        <f>IF('Equipment Information'!C95="","", 'Equipment Information'!C95)</f>
        <v>Production Area</v>
      </c>
      <c r="H95" t="str">
        <f t="shared" si="1"/>
        <v>N/A</v>
      </c>
    </row>
    <row r="96" spans="1:8" x14ac:dyDescent="0.25">
      <c r="A96" t="str">
        <f>IF('Equipment Information'!A96="","", 'Equipment Information'!A96)</f>
        <v>20260742</v>
      </c>
      <c r="B96" t="str">
        <f>IF('Equipment Information'!B96="","", 'Equipment Information'!B96)</f>
        <v>SPX</v>
      </c>
      <c r="C96" t="str">
        <f>IF('Equipment Information'!C96="","", 'Equipment Information'!C96)</f>
        <v>Production Area</v>
      </c>
      <c r="H96" t="str">
        <f t="shared" si="1"/>
        <v>N/A</v>
      </c>
    </row>
    <row r="97" spans="1:8" x14ac:dyDescent="0.25">
      <c r="A97" t="str">
        <f>IF('Equipment Information'!A97="","", 'Equipment Information'!A97)</f>
        <v>20260743</v>
      </c>
      <c r="B97" t="str">
        <f>IF('Equipment Information'!B97="","", 'Equipment Information'!B97)</f>
        <v>MCC #4 [Sec.1]</v>
      </c>
      <c r="C97" t="str">
        <f>IF('Equipment Information'!C97="","", 'Equipment Information'!C97)</f>
        <v>Production Area</v>
      </c>
      <c r="H97" t="str">
        <f t="shared" si="1"/>
        <v>N/A</v>
      </c>
    </row>
    <row r="98" spans="1:8" x14ac:dyDescent="0.25">
      <c r="A98" t="str">
        <f>IF('Equipment Information'!A98="","", 'Equipment Information'!A98)</f>
        <v>20260744</v>
      </c>
      <c r="B98" t="str">
        <f>IF('Equipment Information'!B98="","", 'Equipment Information'!B98)</f>
        <v>MCC #4 [Sec.2]</v>
      </c>
      <c r="C98" t="str">
        <f>IF('Equipment Information'!C98="","", 'Equipment Information'!C98)</f>
        <v>Production Area</v>
      </c>
      <c r="H98" t="str">
        <f t="shared" si="1"/>
        <v>N/A</v>
      </c>
    </row>
    <row r="99" spans="1:8" x14ac:dyDescent="0.25">
      <c r="A99" t="str">
        <f>IF('Equipment Information'!A99="","", 'Equipment Information'!A99)</f>
        <v>20260745</v>
      </c>
      <c r="B99" t="str">
        <f>IF('Equipment Information'!B99="","", 'Equipment Information'!B99)</f>
        <v>MCC #4 [Sec.3]</v>
      </c>
      <c r="C99" t="str">
        <f>IF('Equipment Information'!C99="","", 'Equipment Information'!C99)</f>
        <v>Production Area</v>
      </c>
      <c r="H99" t="str">
        <f t="shared" si="1"/>
        <v>N/A</v>
      </c>
    </row>
    <row r="100" spans="1:8" x14ac:dyDescent="0.25">
      <c r="A100" t="str">
        <f>IF('Equipment Information'!A100="","", 'Equipment Information'!A100)</f>
        <v>20260746</v>
      </c>
      <c r="B100" t="str">
        <f>IF('Equipment Information'!B100="","", 'Equipment Information'!B100)</f>
        <v>CP-Evap. #1 Disconnect</v>
      </c>
      <c r="C100" t="str">
        <f>IF('Equipment Information'!C100="","", 'Equipment Information'!C100)</f>
        <v>Production Area</v>
      </c>
      <c r="H100" t="str">
        <f t="shared" si="1"/>
        <v>N/A</v>
      </c>
    </row>
    <row r="101" spans="1:8" x14ac:dyDescent="0.25">
      <c r="A101" t="str">
        <f>IF('Equipment Information'!A101="","", 'Equipment Information'!A101)</f>
        <v>20260747</v>
      </c>
      <c r="B101" t="str">
        <f>IF('Equipment Information'!B101="","", 'Equipment Information'!B101)</f>
        <v>Evaporator #1 [Sec. 1]</v>
      </c>
      <c r="C101" t="str">
        <f>IF('Equipment Information'!C101="","", 'Equipment Information'!C101)</f>
        <v>Production Area</v>
      </c>
      <c r="H101" t="str">
        <f t="shared" si="1"/>
        <v>N/A</v>
      </c>
    </row>
    <row r="102" spans="1:8" x14ac:dyDescent="0.25">
      <c r="A102" t="str">
        <f>IF('Equipment Information'!A102="","", 'Equipment Information'!A102)</f>
        <v>20260748</v>
      </c>
      <c r="B102" t="str">
        <f>IF('Equipment Information'!B102="","", 'Equipment Information'!B102)</f>
        <v>Evaporator #1 [Sec. 2]</v>
      </c>
      <c r="C102" t="str">
        <f>IF('Equipment Information'!C102="","", 'Equipment Information'!C102)</f>
        <v>Production Area</v>
      </c>
      <c r="H102" t="str">
        <f t="shared" si="1"/>
        <v>N/A</v>
      </c>
    </row>
    <row r="103" spans="1:8" x14ac:dyDescent="0.25">
      <c r="A103" t="str">
        <f>IF('Equipment Information'!A103="","", 'Equipment Information'!A103)</f>
        <v>20260749</v>
      </c>
      <c r="B103" t="str">
        <f>IF('Equipment Information'!B103="","", 'Equipment Information'!B103)</f>
        <v xml:space="preserve">Pig Systems </v>
      </c>
      <c r="C103" t="str">
        <f>IF('Equipment Information'!C103="","", 'Equipment Information'!C103)</f>
        <v>Production Area</v>
      </c>
      <c r="H103" t="str">
        <f t="shared" si="1"/>
        <v>N/A</v>
      </c>
    </row>
    <row r="104" spans="1:8" x14ac:dyDescent="0.25">
      <c r="A104" t="str">
        <f>IF('Equipment Information'!A104="","", 'Equipment Information'!A104)</f>
        <v>20260750</v>
      </c>
      <c r="B104" t="str">
        <f>IF('Equipment Information'!B104="","", 'Equipment Information'!B104)</f>
        <v>CP-Silo Alley</v>
      </c>
      <c r="C104" t="str">
        <f>IF('Equipment Information'!C104="","", 'Equipment Information'!C104)</f>
        <v>Production Area</v>
      </c>
      <c r="H104" t="str">
        <f t="shared" si="1"/>
        <v>N/A</v>
      </c>
    </row>
    <row r="105" spans="1:8" x14ac:dyDescent="0.25">
      <c r="A105" t="str">
        <f>IF('Equipment Information'!A105="","", 'Equipment Information'!A105)</f>
        <v>20260751</v>
      </c>
      <c r="B105" t="str">
        <f>IF('Equipment Information'!B105="","", 'Equipment Information'!B105)</f>
        <v>RO-1</v>
      </c>
      <c r="C105" t="str">
        <f>IF('Equipment Information'!C105="","", 'Equipment Information'!C105)</f>
        <v>Production Area</v>
      </c>
      <c r="H105" t="str">
        <f t="shared" si="1"/>
        <v>N/A</v>
      </c>
    </row>
    <row r="106" spans="1:8" x14ac:dyDescent="0.25">
      <c r="A106" t="str">
        <f>IF('Equipment Information'!A106="","", 'Equipment Information'!A106)</f>
        <v>20260752</v>
      </c>
      <c r="B106" t="str">
        <f>IF('Equipment Information'!B106="","", 'Equipment Information'!B106)</f>
        <v>KOCH Sytems Controller</v>
      </c>
      <c r="C106" t="str">
        <f>IF('Equipment Information'!C106="","", 'Equipment Information'!C106)</f>
        <v>Production Area</v>
      </c>
      <c r="H106" t="str">
        <f t="shared" si="1"/>
        <v>N/A</v>
      </c>
    </row>
    <row r="107" spans="1:8" x14ac:dyDescent="0.25">
      <c r="A107" t="str">
        <f>IF('Equipment Information'!A107="","", 'Equipment Information'!A107)</f>
        <v>20260753</v>
      </c>
      <c r="B107" t="str">
        <f>IF('Equipment Information'!B107="","", 'Equipment Information'!B107)</f>
        <v>KOCH Sytems Controls</v>
      </c>
      <c r="C107" t="str">
        <f>IF('Equipment Information'!C107="","", 'Equipment Information'!C107)</f>
        <v>Production Area</v>
      </c>
      <c r="H107" t="str">
        <f t="shared" si="1"/>
        <v>N/A</v>
      </c>
    </row>
    <row r="108" spans="1:8" x14ac:dyDescent="0.25">
      <c r="A108" t="str">
        <f>IF('Equipment Information'!A108="","", 'Equipment Information'!A108)</f>
        <v>20260754</v>
      </c>
      <c r="B108" t="str">
        <f>IF('Equipment Information'!B108="","", 'Equipment Information'!B108)</f>
        <v>Evaporator #3</v>
      </c>
      <c r="C108" t="str">
        <f>IF('Equipment Information'!C108="","", 'Equipment Information'!C108)</f>
        <v>Production Area</v>
      </c>
      <c r="H108" t="str">
        <f t="shared" si="1"/>
        <v>N/A</v>
      </c>
    </row>
    <row r="109" spans="1:8" x14ac:dyDescent="0.25">
      <c r="A109" t="str">
        <f>IF('Equipment Information'!A109="","", 'Equipment Information'!A109)</f>
        <v>20260755</v>
      </c>
      <c r="B109" t="str">
        <f>IF('Equipment Information'!B109="","", 'Equipment Information'!B109)</f>
        <v>CP-Evap. #3 Disconnect</v>
      </c>
      <c r="C109" t="str">
        <f>IF('Equipment Information'!C109="","", 'Equipment Information'!C109)</f>
        <v>Production Area</v>
      </c>
      <c r="H109" t="str">
        <f t="shared" si="1"/>
        <v>N/A</v>
      </c>
    </row>
    <row r="110" spans="1:8" x14ac:dyDescent="0.25">
      <c r="A110" t="str">
        <f>IF('Equipment Information'!A110="","", 'Equipment Information'!A110)</f>
        <v>20260756</v>
      </c>
      <c r="B110" t="str">
        <f>IF('Equipment Information'!B110="","", 'Equipment Information'!B110)</f>
        <v>CP-DTS Sub Line #1 [Sec. 1]</v>
      </c>
      <c r="C110" t="str">
        <f>IF('Equipment Information'!C110="","", 'Equipment Information'!C110)</f>
        <v>Production Area</v>
      </c>
      <c r="H110" t="str">
        <f t="shared" si="1"/>
        <v>N/A</v>
      </c>
    </row>
    <row r="111" spans="1:8" x14ac:dyDescent="0.25">
      <c r="A111" t="str">
        <f>IF('Equipment Information'!A111="","", 'Equipment Information'!A111)</f>
        <v>20260757</v>
      </c>
      <c r="B111" t="str">
        <f>IF('Equipment Information'!B111="","", 'Equipment Information'!B111)</f>
        <v>CP-DTS Sub Line #1 [Sec. 2]</v>
      </c>
      <c r="C111" t="str">
        <f>IF('Equipment Information'!C111="","", 'Equipment Information'!C111)</f>
        <v>Production Area</v>
      </c>
      <c r="H111" t="str">
        <f t="shared" si="1"/>
        <v>N/A</v>
      </c>
    </row>
    <row r="112" spans="1:8" x14ac:dyDescent="0.25">
      <c r="A112" t="str">
        <f>IF('Equipment Information'!A112="","", 'Equipment Information'!A112)</f>
        <v>20260758</v>
      </c>
      <c r="B112" t="str">
        <f>IF('Equipment Information'!B112="","", 'Equipment Information'!B112)</f>
        <v>CP-DTS Sub Line #1 [Sec. 3]</v>
      </c>
      <c r="C112" t="str">
        <f>IF('Equipment Information'!C112="","", 'Equipment Information'!C112)</f>
        <v>Production Area</v>
      </c>
      <c r="H112" t="str">
        <f t="shared" si="1"/>
        <v>N/A</v>
      </c>
    </row>
    <row r="113" spans="1:8" x14ac:dyDescent="0.25">
      <c r="A113" t="str">
        <f>IF('Equipment Information'!A113="","", 'Equipment Information'!A113)</f>
        <v>20260759</v>
      </c>
      <c r="B113" t="str">
        <f>IF('Equipment Information'!B113="","", 'Equipment Information'!B113)</f>
        <v>DP-1</v>
      </c>
      <c r="C113" t="str">
        <f>IF('Equipment Information'!C113="","", 'Equipment Information'!C113)</f>
        <v>Production Area</v>
      </c>
      <c r="H113" t="str">
        <f t="shared" si="1"/>
        <v>N/A</v>
      </c>
    </row>
    <row r="114" spans="1:8" x14ac:dyDescent="0.25">
      <c r="A114" t="str">
        <f>IF('Equipment Information'!A114="","", 'Equipment Information'!A114)</f>
        <v>20260760</v>
      </c>
      <c r="B114" t="str">
        <f>IF('Equipment Information'!B114="","", 'Equipment Information'!B114)</f>
        <v>P-1</v>
      </c>
      <c r="C114" t="str">
        <f>IF('Equipment Information'!C114="","", 'Equipment Information'!C114)</f>
        <v>Production Area</v>
      </c>
      <c r="H114" t="str">
        <f t="shared" si="1"/>
        <v>N/A</v>
      </c>
    </row>
    <row r="115" spans="1:8" x14ac:dyDescent="0.25">
      <c r="A115" t="str">
        <f>IF('Equipment Information'!A115="","", 'Equipment Information'!A115)</f>
        <v>20260761</v>
      </c>
      <c r="B115" t="str">
        <f>IF('Equipment Information'!B115="","", 'Equipment Information'!B115)</f>
        <v>FS-Slice Line</v>
      </c>
      <c r="C115" t="str">
        <f>IF('Equipment Information'!C115="","", 'Equipment Information'!C115)</f>
        <v>Production Area</v>
      </c>
      <c r="H115" t="str">
        <f t="shared" si="1"/>
        <v>N/A</v>
      </c>
    </row>
    <row r="116" spans="1:8" x14ac:dyDescent="0.25">
      <c r="A116" t="str">
        <f>IF('Equipment Information'!A116="","", 'Equipment Information'!A116)</f>
        <v>20260762</v>
      </c>
      <c r="B116" t="str">
        <f>IF('Equipment Information'!B116="","", 'Equipment Information'!B116)</f>
        <v>OH XFMR</v>
      </c>
      <c r="C116" t="str">
        <f>IF('Equipment Information'!C116="","", 'Equipment Information'!C116)</f>
        <v>Production Area</v>
      </c>
      <c r="H116" t="str">
        <f t="shared" si="1"/>
        <v>N/A</v>
      </c>
    </row>
    <row r="117" spans="1:8" x14ac:dyDescent="0.25">
      <c r="A117" t="str">
        <f>IF('Equipment Information'!A117="","", 'Equipment Information'!A117)</f>
        <v>20260763</v>
      </c>
      <c r="B117" t="str">
        <f>IF('Equipment Information'!B117="","", 'Equipment Information'!B117)</f>
        <v>CP-1 [Sec. 1]</v>
      </c>
      <c r="C117" t="str">
        <f>IF('Equipment Information'!C117="","", 'Equipment Information'!C117)</f>
        <v>Production Area</v>
      </c>
      <c r="H117" t="str">
        <f t="shared" si="1"/>
        <v>N/A</v>
      </c>
    </row>
    <row r="118" spans="1:8" x14ac:dyDescent="0.25">
      <c r="A118" t="str">
        <f>IF('Equipment Information'!A118="","", 'Equipment Information'!A118)</f>
        <v>20260764</v>
      </c>
      <c r="B118" t="str">
        <f>IF('Equipment Information'!B118="","", 'Equipment Information'!B118)</f>
        <v>CP-1 [Sec. 2]</v>
      </c>
      <c r="C118" t="str">
        <f>IF('Equipment Information'!C118="","", 'Equipment Information'!C118)</f>
        <v>Production Area</v>
      </c>
      <c r="H118" t="str">
        <f t="shared" si="1"/>
        <v>N/A</v>
      </c>
    </row>
    <row r="119" spans="1:8" x14ac:dyDescent="0.25">
      <c r="A119" t="str">
        <f>IF('Equipment Information'!A119="","", 'Equipment Information'!A119)</f>
        <v>20260765</v>
      </c>
      <c r="B119" t="str">
        <f>IF('Equipment Information'!B119="","", 'Equipment Information'!B119)</f>
        <v>CP-1 [Sec. 3]</v>
      </c>
      <c r="C119" t="str">
        <f>IF('Equipment Information'!C119="","", 'Equipment Information'!C119)</f>
        <v>Production Area</v>
      </c>
      <c r="H119" t="str">
        <f t="shared" si="1"/>
        <v>N/A</v>
      </c>
    </row>
    <row r="120" spans="1:8" x14ac:dyDescent="0.25">
      <c r="A120" t="str">
        <f>IF('Equipment Information'!A120="","", 'Equipment Information'!A120)</f>
        <v>20260766</v>
      </c>
      <c r="B120" t="str">
        <f>IF('Equipment Information'!B120="","", 'Equipment Information'!B120)</f>
        <v>CP-DTS Sub Line #2 [Sec. 1]</v>
      </c>
      <c r="C120" t="str">
        <f>IF('Equipment Information'!C120="","", 'Equipment Information'!C120)</f>
        <v>Production Area</v>
      </c>
      <c r="H120" t="str">
        <f t="shared" si="1"/>
        <v>N/A</v>
      </c>
    </row>
    <row r="121" spans="1:8" x14ac:dyDescent="0.25">
      <c r="A121" t="str">
        <f>IF('Equipment Information'!A121="","", 'Equipment Information'!A121)</f>
        <v>20260767</v>
      </c>
      <c r="B121" t="str">
        <f>IF('Equipment Information'!B121="","", 'Equipment Information'!B121)</f>
        <v>CP-DTS Sub Line #2 [Sec. 2]</v>
      </c>
      <c r="C121" t="str">
        <f>IF('Equipment Information'!C121="","", 'Equipment Information'!C121)</f>
        <v>Production Area</v>
      </c>
      <c r="H121" t="str">
        <f t="shared" si="1"/>
        <v>N/A</v>
      </c>
    </row>
    <row r="122" spans="1:8" x14ac:dyDescent="0.25">
      <c r="A122" t="str">
        <f>IF('Equipment Information'!A122="","", 'Equipment Information'!A122)</f>
        <v>20260768</v>
      </c>
      <c r="B122" t="str">
        <f>IF('Equipment Information'!B122="","", 'Equipment Information'!B122)</f>
        <v>CP-DTS Sub Line #2 [Sec.3]</v>
      </c>
      <c r="C122" t="str">
        <f>IF('Equipment Information'!C122="","", 'Equipment Information'!C122)</f>
        <v>Production Area</v>
      </c>
      <c r="H122" t="str">
        <f t="shared" si="1"/>
        <v>N/A</v>
      </c>
    </row>
    <row r="123" spans="1:8" x14ac:dyDescent="0.25">
      <c r="A123" t="str">
        <f>IF('Equipment Information'!A123="","", 'Equipment Information'!A123)</f>
        <v>20260769</v>
      </c>
      <c r="B123" t="str">
        <f>IF('Equipment Information'!B123="","", 'Equipment Information'!B123)</f>
        <v>DP-2</v>
      </c>
      <c r="C123" t="str">
        <f>IF('Equipment Information'!C123="","", 'Equipment Information'!C123)</f>
        <v>Production Area</v>
      </c>
      <c r="H123" t="str">
        <f t="shared" si="1"/>
        <v>N/A</v>
      </c>
    </row>
    <row r="124" spans="1:8" x14ac:dyDescent="0.25">
      <c r="A124" t="str">
        <f>IF('Equipment Information'!A124="","", 'Equipment Information'!A124)</f>
        <v>20260770</v>
      </c>
      <c r="B124" t="str">
        <f>IF('Equipment Information'!B124="","", 'Equipment Information'!B124)</f>
        <v>Exhasut Fan Cabinet</v>
      </c>
      <c r="C124" t="str">
        <f>IF('Equipment Information'!C124="","", 'Equipment Information'!C124)</f>
        <v>Production Area</v>
      </c>
      <c r="H124" t="str">
        <f t="shared" si="1"/>
        <v>N/A</v>
      </c>
    </row>
    <row r="125" spans="1:8" x14ac:dyDescent="0.25">
      <c r="A125" t="str">
        <f>IF('Equipment Information'!A125="","", 'Equipment Information'!A125)</f>
        <v>20260771</v>
      </c>
      <c r="B125" t="str">
        <f>IF('Equipment Information'!B125="","", 'Equipment Information'!B125)</f>
        <v>Processing Controls</v>
      </c>
      <c r="C125" t="str">
        <f>IF('Equipment Information'!C125="","", 'Equipment Information'!C125)</f>
        <v>Production Area</v>
      </c>
      <c r="H125" t="str">
        <f t="shared" si="1"/>
        <v>N/A</v>
      </c>
    </row>
    <row r="126" spans="1:8" x14ac:dyDescent="0.25">
      <c r="A126" t="str">
        <f>IF('Equipment Information'!A126="","", 'Equipment Information'!A126)</f>
        <v>20260772</v>
      </c>
      <c r="B126" t="str">
        <f>IF('Equipment Information'!B126="","", 'Equipment Information'!B126)</f>
        <v>Welding Receptacle</v>
      </c>
      <c r="C126" t="str">
        <f>IF('Equipment Information'!C126="","", 'Equipment Information'!C126)</f>
        <v>Production Area</v>
      </c>
      <c r="H126" t="str">
        <f t="shared" si="1"/>
        <v>N/A</v>
      </c>
    </row>
    <row r="127" spans="1:8" x14ac:dyDescent="0.25">
      <c r="A127" t="str">
        <f>IF('Equipment Information'!A127="","", 'Equipment Information'!A127)</f>
        <v>20260773</v>
      </c>
      <c r="B127" t="str">
        <f>IF('Equipment Information'!B127="","", 'Equipment Information'!B127)</f>
        <v>Drum Oiler #2</v>
      </c>
      <c r="C127" t="str">
        <f>IF('Equipment Information'!C127="","", 'Equipment Information'!C127)</f>
        <v>Production Area</v>
      </c>
      <c r="H127" t="str">
        <f t="shared" si="1"/>
        <v>N/A</v>
      </c>
    </row>
    <row r="128" spans="1:8" x14ac:dyDescent="0.25">
      <c r="A128" t="str">
        <f>IF('Equipment Information'!A128="","", 'Equipment Information'!A128)</f>
        <v>20260774</v>
      </c>
      <c r="B128" t="str">
        <f>IF('Equipment Information'!B128="","", 'Equipment Information'!B128)</f>
        <v>Zone A/B/C Controls</v>
      </c>
      <c r="C128" t="str">
        <f>IF('Equipment Information'!C128="","", 'Equipment Information'!C128)</f>
        <v>Processing Area</v>
      </c>
      <c r="H128" t="str">
        <f t="shared" si="1"/>
        <v>N/A</v>
      </c>
    </row>
    <row r="129" spans="1:8" x14ac:dyDescent="0.25">
      <c r="A129" t="str">
        <f>IF('Equipment Information'!A129="","", 'Equipment Information'!A129)</f>
        <v>20260775</v>
      </c>
      <c r="B129" t="str">
        <f>IF('Equipment Information'!B129="","", 'Equipment Information'!B129)</f>
        <v>Baler Disconnect</v>
      </c>
      <c r="C129" t="str">
        <f>IF('Equipment Information'!C129="","", 'Equipment Information'!C129)</f>
        <v>Packaging</v>
      </c>
      <c r="H129" t="str">
        <f t="shared" si="1"/>
        <v>N/A</v>
      </c>
    </row>
    <row r="130" spans="1:8" x14ac:dyDescent="0.25">
      <c r="A130" t="str">
        <f>IF('Equipment Information'!A130="","", 'Equipment Information'!A130)</f>
        <v>20260776</v>
      </c>
      <c r="B130" t="str">
        <f>IF('Equipment Information'!B130="","", 'Equipment Information'!B130)</f>
        <v>Baler Controller</v>
      </c>
      <c r="C130" t="str">
        <f>IF('Equipment Information'!C130="","", 'Equipment Information'!C130)</f>
        <v>Packaging</v>
      </c>
      <c r="H130" t="str">
        <f t="shared" ref="H130:H193" si="2">IF(A130="","","N/A")</f>
        <v>N/A</v>
      </c>
    </row>
    <row r="131" spans="1:8" x14ac:dyDescent="0.25">
      <c r="A131" t="str">
        <f>IF('Equipment Information'!A131="","", 'Equipment Information'!A131)</f>
        <v>20260777</v>
      </c>
      <c r="B131" t="str">
        <f>IF('Equipment Information'!B131="","", 'Equipment Information'!B131)</f>
        <v>Three-Phase Outlet Disconnect</v>
      </c>
      <c r="C131" t="str">
        <f>IF('Equipment Information'!C131="","", 'Equipment Information'!C131)</f>
        <v>Warehouse</v>
      </c>
      <c r="H131" t="str">
        <f t="shared" si="2"/>
        <v>N/A</v>
      </c>
    </row>
    <row r="132" spans="1:8" x14ac:dyDescent="0.25">
      <c r="A132" t="str">
        <f>IF('Equipment Information'!A132="","", 'Equipment Information'!A132)</f>
        <v>20260778</v>
      </c>
      <c r="B132" t="str">
        <f>IF('Equipment Information'!B132="","", 'Equipment Information'!B132)</f>
        <v>New Addition Panel</v>
      </c>
      <c r="C132" t="str">
        <f>IF('Equipment Information'!C132="","", 'Equipment Information'!C132)</f>
        <v>Warehouse</v>
      </c>
      <c r="H132" t="str">
        <f t="shared" si="2"/>
        <v>N/A</v>
      </c>
    </row>
    <row r="133" spans="1:8" x14ac:dyDescent="0.25">
      <c r="A133" t="str">
        <f>IF('Equipment Information'!A133="","", 'Equipment Information'!A133)</f>
        <v>20260779</v>
      </c>
      <c r="B133" t="str">
        <f>IF('Equipment Information'!B133="","", 'Equipment Information'!B133)</f>
        <v>AGT - R&amp;D</v>
      </c>
      <c r="C133" t="str">
        <f>IF('Equipment Information'!C133="","", 'Equipment Information'!C133)</f>
        <v>Boiler Room</v>
      </c>
      <c r="H133" t="str">
        <f t="shared" si="2"/>
        <v>N/A</v>
      </c>
    </row>
    <row r="134" spans="1:8" x14ac:dyDescent="0.25">
      <c r="A134" t="str">
        <f>IF('Equipment Information'!A134="","", 'Equipment Information'!A134)</f>
        <v>20260780</v>
      </c>
      <c r="B134" t="str">
        <f>IF('Equipment Information'!B134="","", 'Equipment Information'!B134)</f>
        <v>VS - R&amp;D</v>
      </c>
      <c r="C134" t="str">
        <f>IF('Equipment Information'!C134="","", 'Equipment Information'!C134)</f>
        <v>Boiler Room</v>
      </c>
      <c r="H134" t="str">
        <f t="shared" si="2"/>
        <v>N/A</v>
      </c>
    </row>
    <row r="135" spans="1:8" x14ac:dyDescent="0.25">
      <c r="A135" t="str">
        <f>IF('Equipment Information'!A135="","", 'Equipment Information'!A135)</f>
        <v>20260781</v>
      </c>
      <c r="B135" t="str">
        <f>IF('Equipment Information'!B135="","", 'Equipment Information'!B135)</f>
        <v>RED PP-1</v>
      </c>
      <c r="C135" t="str">
        <f>IF('Equipment Information'!C135="","", 'Equipment Information'!C135)</f>
        <v>Boiler Room</v>
      </c>
      <c r="H135" t="str">
        <f t="shared" si="2"/>
        <v>N/A</v>
      </c>
    </row>
    <row r="136" spans="1:8" x14ac:dyDescent="0.25">
      <c r="A136" t="str">
        <f>IF('Equipment Information'!A136="","", 'Equipment Information'!A136)</f>
        <v>20260782</v>
      </c>
      <c r="B136" t="str">
        <f>IF('Equipment Information'!B136="","", 'Equipment Information'!B136)</f>
        <v>RED PP-2</v>
      </c>
      <c r="C136" t="str">
        <f>IF('Equipment Information'!C136="","", 'Equipment Information'!C136)</f>
        <v>Boiler Room</v>
      </c>
      <c r="H136" t="str">
        <f t="shared" si="2"/>
        <v>N/A</v>
      </c>
    </row>
    <row r="137" spans="1:8" x14ac:dyDescent="0.25">
      <c r="A137" t="str">
        <f>IF('Equipment Information'!A137="","", 'Equipment Information'!A137)</f>
        <v>20260783</v>
      </c>
      <c r="B137" t="str">
        <f>IF('Equipment Information'!B137="","", 'Equipment Information'!B137)</f>
        <v>CP-Boiler #1 Disconnect</v>
      </c>
      <c r="C137" t="str">
        <f>IF('Equipment Information'!C137="","", 'Equipment Information'!C137)</f>
        <v>Boiler Room</v>
      </c>
      <c r="H137" t="str">
        <f t="shared" si="2"/>
        <v>N/A</v>
      </c>
    </row>
    <row r="138" spans="1:8" x14ac:dyDescent="0.25">
      <c r="A138" t="str">
        <f>IF('Equipment Information'!A138="","", 'Equipment Information'!A138)</f>
        <v>20260784</v>
      </c>
      <c r="B138" t="str">
        <f>IF('Equipment Information'!B138="","", 'Equipment Information'!B138)</f>
        <v>CP-Boiler #1</v>
      </c>
      <c r="C138" t="str">
        <f>IF('Equipment Information'!C138="","", 'Equipment Information'!C138)</f>
        <v>Boiler Room</v>
      </c>
      <c r="H138" t="str">
        <f t="shared" si="2"/>
        <v>N/A</v>
      </c>
    </row>
    <row r="139" spans="1:8" x14ac:dyDescent="0.25">
      <c r="A139" t="str">
        <f>IF('Equipment Information'!A139="","", 'Equipment Information'!A139)</f>
        <v>20260785</v>
      </c>
      <c r="B139" t="str">
        <f>IF('Equipment Information'!B139="","", 'Equipment Information'!B139)</f>
        <v>-</v>
      </c>
      <c r="C139" t="str">
        <f>IF('Equipment Information'!C139="","", 'Equipment Information'!C139)</f>
        <v>Boiler Room</v>
      </c>
      <c r="H139" t="str">
        <f t="shared" si="2"/>
        <v>N/A</v>
      </c>
    </row>
    <row r="140" spans="1:8" x14ac:dyDescent="0.25">
      <c r="A140" t="str">
        <f>IF('Equipment Information'!A140="","", 'Equipment Information'!A140)</f>
        <v>20260786</v>
      </c>
      <c r="B140" t="str">
        <f>IF('Equipment Information'!B140="","", 'Equipment Information'!B140)</f>
        <v>-</v>
      </c>
      <c r="C140" t="str">
        <f>IF('Equipment Information'!C140="","", 'Equipment Information'!C140)</f>
        <v>Boiler Room</v>
      </c>
      <c r="H140" t="str">
        <f t="shared" si="2"/>
        <v>N/A</v>
      </c>
    </row>
    <row r="141" spans="1:8" x14ac:dyDescent="0.25">
      <c r="A141" t="str">
        <f>IF('Equipment Information'!A141="","", 'Equipment Information'!A141)</f>
        <v>20260787</v>
      </c>
      <c r="B141" t="str">
        <f>IF('Equipment Information'!B141="","", 'Equipment Information'!B141)</f>
        <v>-</v>
      </c>
      <c r="C141" t="str">
        <f>IF('Equipment Information'!C141="","", 'Equipment Information'!C141)</f>
        <v>Boiler Mechanical Room</v>
      </c>
      <c r="H141" t="str">
        <f t="shared" si="2"/>
        <v>N/A</v>
      </c>
    </row>
    <row r="142" spans="1:8" x14ac:dyDescent="0.25">
      <c r="A142" t="str">
        <f>IF('Equipment Information'!A142="","", 'Equipment Information'!A142)</f>
        <v>20260788</v>
      </c>
      <c r="B142" t="str">
        <f>IF('Equipment Information'!B142="","", 'Equipment Information'!B142)</f>
        <v>-</v>
      </c>
      <c r="C142" t="str">
        <f>IF('Equipment Information'!C142="","", 'Equipment Information'!C142)</f>
        <v>Boiler Mechanical Room</v>
      </c>
      <c r="H142" t="str">
        <f t="shared" si="2"/>
        <v>N/A</v>
      </c>
    </row>
    <row r="143" spans="1:8" x14ac:dyDescent="0.25">
      <c r="A143" t="str">
        <f>IF('Equipment Information'!A143="","", 'Equipment Information'!A143)</f>
        <v>20260789</v>
      </c>
      <c r="B143" t="str">
        <f>IF('Equipment Information'!B143="","", 'Equipment Information'!B143)</f>
        <v/>
      </c>
      <c r="C143" t="str">
        <f>IF('Equipment Information'!C143="","", 'Equipment Information'!C143)</f>
        <v>Boiler Mechanical Room</v>
      </c>
      <c r="H143" t="str">
        <f t="shared" si="2"/>
        <v>N/A</v>
      </c>
    </row>
    <row r="144" spans="1:8" x14ac:dyDescent="0.25">
      <c r="A144" t="str">
        <f>IF('Equipment Information'!A144="","", 'Equipment Information'!A144)</f>
        <v>20260790</v>
      </c>
      <c r="B144" t="str">
        <f>IF('Equipment Information'!B144="","", 'Equipment Information'!B144)</f>
        <v/>
      </c>
      <c r="C144" t="str">
        <f>IF('Equipment Information'!C144="","", 'Equipment Information'!C144)</f>
        <v>Boiler Mechanical Room</v>
      </c>
      <c r="H144" t="str">
        <f t="shared" si="2"/>
        <v>N/A</v>
      </c>
    </row>
    <row r="145" spans="1:8" x14ac:dyDescent="0.25">
      <c r="A145" t="str">
        <f>IF('Equipment Information'!A145="","", 'Equipment Information'!A145)</f>
        <v>20260791</v>
      </c>
      <c r="B145" t="str">
        <f>IF('Equipment Information'!B145="","", 'Equipment Information'!B145)</f>
        <v>100 HP Compressor Disconnect</v>
      </c>
      <c r="C145" t="str">
        <f>IF('Equipment Information'!C145="","", 'Equipment Information'!C145)</f>
        <v>Compressor Room</v>
      </c>
      <c r="H145" t="str">
        <f t="shared" si="2"/>
        <v>N/A</v>
      </c>
    </row>
    <row r="146" spans="1:8" x14ac:dyDescent="0.25">
      <c r="A146" t="str">
        <f>IF('Equipment Information'!A146="","", 'Equipment Information'!A146)</f>
        <v>20260792</v>
      </c>
      <c r="B146" t="str">
        <f>IF('Equipment Information'!B146="","", 'Equipment Information'!B146)</f>
        <v>100 HP Compressor</v>
      </c>
      <c r="C146" t="str">
        <f>IF('Equipment Information'!C146="","", 'Equipment Information'!C146)</f>
        <v>Compressor Room</v>
      </c>
      <c r="H146" t="str">
        <f t="shared" si="2"/>
        <v>N/A</v>
      </c>
    </row>
    <row r="147" spans="1:8" x14ac:dyDescent="0.25">
      <c r="A147" t="str">
        <f>IF('Equipment Information'!A147="","", 'Equipment Information'!A147)</f>
        <v>20260793</v>
      </c>
      <c r="B147" t="str">
        <f>IF('Equipment Information'!B147="","", 'Equipment Information'!B147)</f>
        <v>150 HP Compressor</v>
      </c>
      <c r="C147" t="str">
        <f>IF('Equipment Information'!C147="","", 'Equipment Information'!C147)</f>
        <v>Compressor Room</v>
      </c>
      <c r="H147" t="str">
        <f t="shared" si="2"/>
        <v>N/A</v>
      </c>
    </row>
    <row r="148" spans="1:8" x14ac:dyDescent="0.25">
      <c r="A148" t="str">
        <f>IF('Equipment Information'!A148="","", 'Equipment Information'!A148)</f>
        <v>20260794</v>
      </c>
      <c r="B148" t="str">
        <f>IF('Equipment Information'!B148="","", 'Equipment Information'!B148)</f>
        <v>Exhasut Fan Cabinet</v>
      </c>
      <c r="C148" t="str">
        <f>IF('Equipment Information'!C148="","", 'Equipment Information'!C148)</f>
        <v>Compressor Room</v>
      </c>
      <c r="H148" t="str">
        <f t="shared" si="2"/>
        <v>N/A</v>
      </c>
    </row>
    <row r="149" spans="1:8" x14ac:dyDescent="0.25">
      <c r="A149" t="str">
        <f>IF('Equipment Information'!A149="","", 'Equipment Information'!A149)</f>
        <v>20260795</v>
      </c>
      <c r="B149" t="str">
        <f>IF('Equipment Information'!B149="","", 'Equipment Information'!B149)</f>
        <v>Air Dryer Disconnect</v>
      </c>
      <c r="C149" t="str">
        <f>IF('Equipment Information'!C149="","", 'Equipment Information'!C149)</f>
        <v>Compressor Room</v>
      </c>
      <c r="H149" t="str">
        <f t="shared" si="2"/>
        <v>N/A</v>
      </c>
    </row>
    <row r="150" spans="1:8" x14ac:dyDescent="0.25">
      <c r="A150" t="str">
        <f>IF('Equipment Information'!A150="","", 'Equipment Information'!A150)</f>
        <v>20260796</v>
      </c>
      <c r="B150" t="str">
        <f>IF('Equipment Information'!B150="","", 'Equipment Information'!B150)</f>
        <v>Air Dryer</v>
      </c>
      <c r="C150" t="str">
        <f>IF('Equipment Information'!C150="","", 'Equipment Information'!C150)</f>
        <v>Compressor Room</v>
      </c>
      <c r="H150" t="str">
        <f t="shared" si="2"/>
        <v>N/A</v>
      </c>
    </row>
    <row r="151" spans="1:8" x14ac:dyDescent="0.25">
      <c r="A151" t="str">
        <f>IF('Equipment Information'!A151="","", 'Equipment Information'!A151)</f>
        <v>20260797</v>
      </c>
      <c r="B151" t="str">
        <f>IF('Equipment Information'!B151="","", 'Equipment Information'!B151)</f>
        <v>150 HP Compressor Disconnect</v>
      </c>
      <c r="C151" t="str">
        <f>IF('Equipment Information'!C151="","", 'Equipment Information'!C151)</f>
        <v>Maintenance Area</v>
      </c>
      <c r="H151" t="str">
        <f t="shared" si="2"/>
        <v>N/A</v>
      </c>
    </row>
    <row r="152" spans="1:8" x14ac:dyDescent="0.25">
      <c r="A152" t="str">
        <f>IF('Equipment Information'!A152="","", 'Equipment Information'!A152)</f>
        <v>20260798</v>
      </c>
      <c r="B152" t="str">
        <f>IF('Equipment Information'!B152="","", 'Equipment Information'!B152)</f>
        <v>Maintenance PP-1</v>
      </c>
      <c r="C152" t="str">
        <f>IF('Equipment Information'!C152="","", 'Equipment Information'!C152)</f>
        <v>Maintenance Area</v>
      </c>
      <c r="H152" t="str">
        <f t="shared" si="2"/>
        <v>N/A</v>
      </c>
    </row>
    <row r="153" spans="1:8" x14ac:dyDescent="0.25">
      <c r="A153" t="str">
        <f>IF('Equipment Information'!A153="","", 'Equipment Information'!A153)</f>
        <v>20260799</v>
      </c>
      <c r="B153" t="str">
        <f>IF('Equipment Information'!B153="","", 'Equipment Information'!B153)</f>
        <v/>
      </c>
      <c r="C153" t="str">
        <f>IF('Equipment Information'!C153="","", 'Equipment Information'!C153)</f>
        <v>Maintenance Area</v>
      </c>
      <c r="H153" t="str">
        <f t="shared" si="2"/>
        <v>N/A</v>
      </c>
    </row>
    <row r="154" spans="1:8" x14ac:dyDescent="0.25">
      <c r="A154" t="str">
        <f>IF('Equipment Information'!A154="","", 'Equipment Information'!A154)</f>
        <v>20260800</v>
      </c>
      <c r="B154" t="str">
        <f>IF('Equipment Information'!B154="","", 'Equipment Information'!B154)</f>
        <v/>
      </c>
      <c r="C154" t="str">
        <f>IF('Equipment Information'!C154="","", 'Equipment Information'!C154)</f>
        <v>Maintenance Area</v>
      </c>
      <c r="H154" t="str">
        <f t="shared" si="2"/>
        <v>N/A</v>
      </c>
    </row>
    <row r="155" spans="1:8" x14ac:dyDescent="0.25">
      <c r="A155" t="str">
        <f>IF('Equipment Information'!A155="","", 'Equipment Information'!A155)</f>
        <v>20260801</v>
      </c>
      <c r="B155" t="str">
        <f>IF('Equipment Information'!B155="","", 'Equipment Information'!B155)</f>
        <v/>
      </c>
      <c r="C155" t="str">
        <f>IF('Equipment Information'!C155="","", 'Equipment Information'!C155)</f>
        <v>Maintenance Area</v>
      </c>
      <c r="H155" t="str">
        <f t="shared" si="2"/>
        <v>N/A</v>
      </c>
    </row>
    <row r="156" spans="1:8" x14ac:dyDescent="0.25">
      <c r="A156" t="str">
        <f>IF('Equipment Information'!A156="","", 'Equipment Information'!A156)</f>
        <v>20260802</v>
      </c>
      <c r="B156" t="str">
        <f>IF('Equipment Information'!B156="","", 'Equipment Information'!B156)</f>
        <v/>
      </c>
      <c r="C156" t="str">
        <f>IF('Equipment Information'!C156="","", 'Equipment Information'!C156)</f>
        <v>Outside of Maintenance Area</v>
      </c>
      <c r="H156" t="str">
        <f t="shared" si="2"/>
        <v>N/A</v>
      </c>
    </row>
    <row r="157" spans="1:8" x14ac:dyDescent="0.25">
      <c r="A157" t="str">
        <f>IF('Equipment Information'!A157="","", 'Equipment Information'!A157)</f>
        <v>20260803</v>
      </c>
      <c r="B157" t="str">
        <f>IF('Equipment Information'!B157="","", 'Equipment Information'!B157)</f>
        <v/>
      </c>
      <c r="C157" t="str">
        <f>IF('Equipment Information'!C157="","", 'Equipment Information'!C157)</f>
        <v>Outside of Maintenance Area</v>
      </c>
      <c r="H157" t="str">
        <f t="shared" si="2"/>
        <v>N/A</v>
      </c>
    </row>
    <row r="158" spans="1:8" x14ac:dyDescent="0.25">
      <c r="A158" t="str">
        <f>IF('Equipment Information'!A158="","", 'Equipment Information'!A158)</f>
        <v>20260804</v>
      </c>
      <c r="B158" t="str">
        <f>IF('Equipment Information'!B158="","", 'Equipment Information'!B158)</f>
        <v>ATS #1</v>
      </c>
      <c r="C158" t="str">
        <f>IF('Equipment Information'!C158="","", 'Equipment Information'!C158)</f>
        <v>Basement</v>
      </c>
      <c r="H158" t="str">
        <f t="shared" si="2"/>
        <v>N/A</v>
      </c>
    </row>
    <row r="159" spans="1:8" x14ac:dyDescent="0.25">
      <c r="A159" t="str">
        <f>IF('Equipment Information'!A159="","", 'Equipment Information'!A159)</f>
        <v>20260805</v>
      </c>
      <c r="B159" t="str">
        <f>IF('Equipment Information'!B159="","", 'Equipment Information'!B159)</f>
        <v>Panel #3 Main Disconnect</v>
      </c>
      <c r="C159" t="str">
        <f>IF('Equipment Information'!C159="","", 'Equipment Information'!C159)</f>
        <v>Basement</v>
      </c>
      <c r="H159" t="str">
        <f t="shared" si="2"/>
        <v>N/A</v>
      </c>
    </row>
    <row r="160" spans="1:8" x14ac:dyDescent="0.25">
      <c r="A160" t="str">
        <f>IF('Equipment Information'!A160="","", 'Equipment Information'!A160)</f>
        <v>20260806</v>
      </c>
      <c r="B160" t="str">
        <f>IF('Equipment Information'!B160="","", 'Equipment Information'!B160)</f>
        <v>Transformer #2 Disconnect</v>
      </c>
      <c r="C160" t="str">
        <f>IF('Equipment Information'!C160="","", 'Equipment Information'!C160)</f>
        <v>Basement</v>
      </c>
      <c r="H160" t="str">
        <f t="shared" si="2"/>
        <v>N/A</v>
      </c>
    </row>
    <row r="161" spans="1:8" x14ac:dyDescent="0.25">
      <c r="A161" t="str">
        <f>IF('Equipment Information'!A161="","", 'Equipment Information'!A161)</f>
        <v>20260807</v>
      </c>
      <c r="B161" t="str">
        <f>IF('Equipment Information'!B161="","", 'Equipment Information'!B161)</f>
        <v>LP-1 Main Disconnect</v>
      </c>
      <c r="C161" t="str">
        <f>IF('Equipment Information'!C161="","", 'Equipment Information'!C161)</f>
        <v>Basement</v>
      </c>
      <c r="H161" t="str">
        <f t="shared" si="2"/>
        <v>N/A</v>
      </c>
    </row>
    <row r="162" spans="1:8" x14ac:dyDescent="0.25">
      <c r="A162" t="str">
        <f>IF('Equipment Information'!A162="","", 'Equipment Information'!A162)</f>
        <v>20260808</v>
      </c>
      <c r="B162" t="str">
        <f>IF('Equipment Information'!B162="","", 'Equipment Information'!B162)</f>
        <v>Panel #1</v>
      </c>
      <c r="C162" t="str">
        <f>IF('Equipment Information'!C162="","", 'Equipment Information'!C162)</f>
        <v>Basement</v>
      </c>
      <c r="H162" t="str">
        <f t="shared" si="2"/>
        <v>N/A</v>
      </c>
    </row>
    <row r="163" spans="1:8" x14ac:dyDescent="0.25">
      <c r="A163" t="str">
        <f>IF('Equipment Information'!A163="","", 'Equipment Information'!A163)</f>
        <v>20260809</v>
      </c>
      <c r="B163" t="str">
        <f>IF('Equipment Information'!B163="","", 'Equipment Information'!B163)</f>
        <v>Panel #4</v>
      </c>
      <c r="C163" t="str">
        <f>IF('Equipment Information'!C163="","", 'Equipment Information'!C163)</f>
        <v>Basement</v>
      </c>
      <c r="H163" t="str">
        <f t="shared" si="2"/>
        <v>N/A</v>
      </c>
    </row>
    <row r="164" spans="1:8" x14ac:dyDescent="0.25">
      <c r="A164" t="str">
        <f>IF('Equipment Information'!A164="","", 'Equipment Information'!A164)</f>
        <v>20260810</v>
      </c>
      <c r="B164" t="str">
        <f>IF('Equipment Information'!B164="","", 'Equipment Information'!B164)</f>
        <v>Panel #2</v>
      </c>
      <c r="C164" t="str">
        <f>IF('Equipment Information'!C164="","", 'Equipment Information'!C164)</f>
        <v>Basement</v>
      </c>
      <c r="H164" t="str">
        <f t="shared" si="2"/>
        <v>N/A</v>
      </c>
    </row>
    <row r="165" spans="1:8" x14ac:dyDescent="0.25">
      <c r="A165" t="str">
        <f>IF('Equipment Information'!A165="","", 'Equipment Information'!A165)</f>
        <v>20260811</v>
      </c>
      <c r="B165" t="str">
        <f>IF('Equipment Information'!B165="","", 'Equipment Information'!B165)</f>
        <v>Transformer #1</v>
      </c>
      <c r="C165" t="str">
        <f>IF('Equipment Information'!C165="","", 'Equipment Information'!C165)</f>
        <v>Basement</v>
      </c>
      <c r="H165" t="str">
        <f t="shared" si="2"/>
        <v>N/A</v>
      </c>
    </row>
    <row r="166" spans="1:8" x14ac:dyDescent="0.25">
      <c r="A166" t="str">
        <f>IF('Equipment Information'!A166="","", 'Equipment Information'!A166)</f>
        <v>20260812</v>
      </c>
      <c r="B166" t="str">
        <f>IF('Equipment Information'!B166="","", 'Equipment Information'!B166)</f>
        <v>Transformer #2</v>
      </c>
      <c r="C166" t="str">
        <f>IF('Equipment Information'!C166="","", 'Equipment Information'!C166)</f>
        <v>Basement</v>
      </c>
      <c r="H166" t="str">
        <f t="shared" si="2"/>
        <v>N/A</v>
      </c>
    </row>
    <row r="167" spans="1:8" x14ac:dyDescent="0.25">
      <c r="A167" t="str">
        <f>IF('Equipment Information'!A167="","", 'Equipment Information'!A167)</f>
        <v>20260813</v>
      </c>
      <c r="B167" t="str">
        <f>IF('Equipment Information'!B167="","", 'Equipment Information'!B167)</f>
        <v>Panel #3</v>
      </c>
      <c r="C167" t="str">
        <f>IF('Equipment Information'!C167="","", 'Equipment Information'!C167)</f>
        <v>Basement</v>
      </c>
      <c r="H167" t="str">
        <f t="shared" si="2"/>
        <v>N/A</v>
      </c>
    </row>
    <row r="168" spans="1:8" x14ac:dyDescent="0.25">
      <c r="A168" t="str">
        <f>IF('Equipment Information'!A168="","", 'Equipment Information'!A168)</f>
        <v>20260814</v>
      </c>
      <c r="B168" t="str">
        <f>IF('Equipment Information'!B168="","", 'Equipment Information'!B168)</f>
        <v/>
      </c>
      <c r="C168" t="str">
        <f>IF('Equipment Information'!C168="","", 'Equipment Information'!C168)</f>
        <v>Hallway</v>
      </c>
      <c r="H168" t="str">
        <f t="shared" si="2"/>
        <v>N/A</v>
      </c>
    </row>
    <row r="169" spans="1:8" x14ac:dyDescent="0.25">
      <c r="A169" t="str">
        <f>IF('Equipment Information'!A169="","", 'Equipment Information'!A169)</f>
        <v/>
      </c>
      <c r="B169" t="str">
        <f>IF('Equipment Information'!B169="","", 'Equipment Information'!B169)</f>
        <v/>
      </c>
      <c r="C169" t="str">
        <f>IF('Equipment Information'!C169="","", 'Equipment Information'!C169)</f>
        <v/>
      </c>
      <c r="H169" t="str">
        <f t="shared" si="2"/>
        <v/>
      </c>
    </row>
    <row r="170" spans="1:8" x14ac:dyDescent="0.25">
      <c r="A170" t="str">
        <f>IF('Equipment Information'!A170="","", 'Equipment Information'!A170)</f>
        <v/>
      </c>
      <c r="B170" t="str">
        <f>IF('Equipment Information'!B170="","", 'Equipment Information'!B170)</f>
        <v/>
      </c>
      <c r="C170" t="str">
        <f>IF('Equipment Information'!C170="","", 'Equipment Information'!C170)</f>
        <v/>
      </c>
      <c r="H170" t="str">
        <f t="shared" si="2"/>
        <v/>
      </c>
    </row>
    <row r="171" spans="1:8" x14ac:dyDescent="0.25">
      <c r="A171" t="str">
        <f>IF('Equipment Information'!A171="","", 'Equipment Information'!A171)</f>
        <v/>
      </c>
      <c r="B171" t="str">
        <f>IF('Equipment Information'!B171="","", 'Equipment Information'!B171)</f>
        <v/>
      </c>
      <c r="C171" t="str">
        <f>IF('Equipment Information'!C171="","", 'Equipment Information'!C171)</f>
        <v/>
      </c>
      <c r="H171" t="str">
        <f t="shared" si="2"/>
        <v/>
      </c>
    </row>
    <row r="172" spans="1:8" x14ac:dyDescent="0.25">
      <c r="A172" t="str">
        <f>IF('Equipment Information'!A172="","", 'Equipment Information'!A172)</f>
        <v/>
      </c>
      <c r="B172" t="str">
        <f>IF('Equipment Information'!B172="","", 'Equipment Information'!B172)</f>
        <v/>
      </c>
      <c r="C172" t="str">
        <f>IF('Equipment Information'!C172="","", 'Equipment Information'!C172)</f>
        <v/>
      </c>
      <c r="H172" t="str">
        <f t="shared" si="2"/>
        <v/>
      </c>
    </row>
    <row r="173" spans="1:8" x14ac:dyDescent="0.25">
      <c r="A173" t="str">
        <f>IF('Equipment Information'!A173="","", 'Equipment Information'!A173)</f>
        <v/>
      </c>
      <c r="B173" t="str">
        <f>IF('Equipment Information'!B173="","", 'Equipment Information'!B173)</f>
        <v/>
      </c>
      <c r="C173" t="str">
        <f>IF('Equipment Information'!C173="","", 'Equipment Information'!C173)</f>
        <v/>
      </c>
      <c r="H173" t="str">
        <f t="shared" si="2"/>
        <v/>
      </c>
    </row>
    <row r="174" spans="1:8" x14ac:dyDescent="0.25">
      <c r="A174" t="str">
        <f>IF('Equipment Information'!A174="","", 'Equipment Information'!A174)</f>
        <v/>
      </c>
      <c r="B174" t="str">
        <f>IF('Equipment Information'!B174="","", 'Equipment Information'!B174)</f>
        <v/>
      </c>
      <c r="C174" t="str">
        <f>IF('Equipment Information'!C174="","", 'Equipment Information'!C174)</f>
        <v/>
      </c>
      <c r="H174" t="str">
        <f t="shared" si="2"/>
        <v/>
      </c>
    </row>
    <row r="175" spans="1:8" x14ac:dyDescent="0.25">
      <c r="A175" t="str">
        <f>IF('Equipment Information'!A175="","", 'Equipment Information'!A175)</f>
        <v/>
      </c>
      <c r="B175" t="str">
        <f>IF('Equipment Information'!B175="","", 'Equipment Information'!B175)</f>
        <v/>
      </c>
      <c r="C175" t="str">
        <f>IF('Equipment Information'!C175="","", 'Equipment Information'!C175)</f>
        <v/>
      </c>
      <c r="H175" t="str">
        <f t="shared" si="2"/>
        <v/>
      </c>
    </row>
    <row r="176" spans="1:8" x14ac:dyDescent="0.25">
      <c r="A176" t="str">
        <f>IF('Equipment Information'!A176="","", 'Equipment Information'!A176)</f>
        <v/>
      </c>
      <c r="B176" t="str">
        <f>IF('Equipment Information'!B176="","", 'Equipment Information'!B176)</f>
        <v/>
      </c>
      <c r="C176" t="str">
        <f>IF('Equipment Information'!C176="","", 'Equipment Information'!C176)</f>
        <v/>
      </c>
      <c r="H176" t="str">
        <f t="shared" si="2"/>
        <v/>
      </c>
    </row>
    <row r="177" spans="1:8" x14ac:dyDescent="0.25">
      <c r="A177" t="str">
        <f>IF('Equipment Information'!A177="","", 'Equipment Information'!A177)</f>
        <v/>
      </c>
      <c r="B177" t="str">
        <f>IF('Equipment Information'!B177="","", 'Equipment Information'!B177)</f>
        <v/>
      </c>
      <c r="C177" t="str">
        <f>IF('Equipment Information'!C177="","", 'Equipment Information'!C177)</f>
        <v/>
      </c>
      <c r="H177" t="str">
        <f t="shared" si="2"/>
        <v/>
      </c>
    </row>
    <row r="178" spans="1:8" x14ac:dyDescent="0.25">
      <c r="A178" t="str">
        <f>IF('Equipment Information'!A178="","", 'Equipment Information'!A178)</f>
        <v/>
      </c>
      <c r="B178" t="str">
        <f>IF('Equipment Information'!B178="","", 'Equipment Information'!B178)</f>
        <v/>
      </c>
      <c r="C178" t="str">
        <f>IF('Equipment Information'!C178="","", 'Equipment Information'!C178)</f>
        <v/>
      </c>
      <c r="H178" t="str">
        <f t="shared" si="2"/>
        <v/>
      </c>
    </row>
    <row r="179" spans="1:8" x14ac:dyDescent="0.25">
      <c r="A179" t="str">
        <f>IF('Equipment Information'!A179="","", 'Equipment Information'!A179)</f>
        <v/>
      </c>
      <c r="B179" t="str">
        <f>IF('Equipment Information'!B179="","", 'Equipment Information'!B179)</f>
        <v/>
      </c>
      <c r="C179" t="str">
        <f>IF('Equipment Information'!C179="","", 'Equipment Information'!C179)</f>
        <v/>
      </c>
      <c r="H179" t="str">
        <f t="shared" si="2"/>
        <v/>
      </c>
    </row>
    <row r="180" spans="1:8" x14ac:dyDescent="0.25">
      <c r="A180" t="str">
        <f>IF('Equipment Information'!A180="","", 'Equipment Information'!A180)</f>
        <v/>
      </c>
      <c r="B180" t="str">
        <f>IF('Equipment Information'!B180="","", 'Equipment Information'!B180)</f>
        <v/>
      </c>
      <c r="C180" t="str">
        <f>IF('Equipment Information'!C180="","", 'Equipment Information'!C180)</f>
        <v/>
      </c>
      <c r="H180" t="str">
        <f t="shared" si="2"/>
        <v/>
      </c>
    </row>
    <row r="181" spans="1:8" x14ac:dyDescent="0.25">
      <c r="A181" t="str">
        <f>IF('Equipment Information'!A181="","", 'Equipment Information'!A181)</f>
        <v/>
      </c>
      <c r="B181" t="str">
        <f>IF('Equipment Information'!B181="","", 'Equipment Information'!B181)</f>
        <v/>
      </c>
      <c r="C181" t="str">
        <f>IF('Equipment Information'!C181="","", 'Equipment Information'!C181)</f>
        <v/>
      </c>
      <c r="H181" t="str">
        <f t="shared" si="2"/>
        <v/>
      </c>
    </row>
    <row r="182" spans="1:8" x14ac:dyDescent="0.25">
      <c r="A182" t="str">
        <f>IF('Equipment Information'!A182="","", 'Equipment Information'!A182)</f>
        <v/>
      </c>
      <c r="B182" t="str">
        <f>IF('Equipment Information'!B182="","", 'Equipment Information'!B182)</f>
        <v/>
      </c>
      <c r="C182" t="str">
        <f>IF('Equipment Information'!C182="","", 'Equipment Information'!C182)</f>
        <v/>
      </c>
      <c r="H182" t="str">
        <f t="shared" si="2"/>
        <v/>
      </c>
    </row>
    <row r="183" spans="1:8" x14ac:dyDescent="0.25">
      <c r="A183" t="str">
        <f>IF('Equipment Information'!A183="","", 'Equipment Information'!A183)</f>
        <v/>
      </c>
      <c r="B183" t="str">
        <f>IF('Equipment Information'!B183="","", 'Equipment Information'!B183)</f>
        <v/>
      </c>
      <c r="C183" t="str">
        <f>IF('Equipment Information'!C183="","", 'Equipment Information'!C183)</f>
        <v/>
      </c>
      <c r="H183" t="str">
        <f t="shared" si="2"/>
        <v/>
      </c>
    </row>
    <row r="184" spans="1:8" x14ac:dyDescent="0.25">
      <c r="A184" t="str">
        <f>IF('Equipment Information'!A184="","", 'Equipment Information'!A184)</f>
        <v/>
      </c>
      <c r="B184" t="str">
        <f>IF('Equipment Information'!B184="","", 'Equipment Information'!B184)</f>
        <v/>
      </c>
      <c r="C184" t="str">
        <f>IF('Equipment Information'!C184="","", 'Equipment Information'!C184)</f>
        <v/>
      </c>
      <c r="H184" t="str">
        <f t="shared" si="2"/>
        <v/>
      </c>
    </row>
    <row r="185" spans="1:8" x14ac:dyDescent="0.25">
      <c r="A185" t="str">
        <f>IF('Equipment Information'!A185="","", 'Equipment Information'!A185)</f>
        <v/>
      </c>
      <c r="B185" t="str">
        <f>IF('Equipment Information'!B185="","", 'Equipment Information'!B185)</f>
        <v/>
      </c>
      <c r="C185" t="str">
        <f>IF('Equipment Information'!C185="","", 'Equipment Information'!C185)</f>
        <v/>
      </c>
      <c r="H185" t="str">
        <f t="shared" si="2"/>
        <v/>
      </c>
    </row>
    <row r="186" spans="1:8" x14ac:dyDescent="0.25">
      <c r="A186" t="str">
        <f>IF('Equipment Information'!A186="","", 'Equipment Information'!A186)</f>
        <v/>
      </c>
      <c r="B186" t="str">
        <f>IF('Equipment Information'!B186="","", 'Equipment Information'!B186)</f>
        <v/>
      </c>
      <c r="C186" t="str">
        <f>IF('Equipment Information'!C186="","", 'Equipment Information'!C186)</f>
        <v/>
      </c>
      <c r="H186" t="str">
        <f t="shared" si="2"/>
        <v/>
      </c>
    </row>
    <row r="187" spans="1:8" x14ac:dyDescent="0.25">
      <c r="A187" t="str">
        <f>IF('Equipment Information'!A187="","", 'Equipment Information'!A187)</f>
        <v/>
      </c>
      <c r="B187" t="str">
        <f>IF('Equipment Information'!B187="","", 'Equipment Information'!B187)</f>
        <v/>
      </c>
      <c r="C187" t="str">
        <f>IF('Equipment Information'!C187="","", 'Equipment Information'!C187)</f>
        <v/>
      </c>
      <c r="H187" t="str">
        <f t="shared" si="2"/>
        <v/>
      </c>
    </row>
    <row r="188" spans="1:8" x14ac:dyDescent="0.25">
      <c r="A188" t="str">
        <f>IF('Equipment Information'!A188="","", 'Equipment Information'!A188)</f>
        <v/>
      </c>
      <c r="B188" t="str">
        <f>IF('Equipment Information'!B188="","", 'Equipment Information'!B188)</f>
        <v/>
      </c>
      <c r="C188" t="str">
        <f>IF('Equipment Information'!C188="","", 'Equipment Information'!C188)</f>
        <v/>
      </c>
      <c r="H188" t="str">
        <f t="shared" si="2"/>
        <v/>
      </c>
    </row>
    <row r="189" spans="1:8" x14ac:dyDescent="0.25">
      <c r="A189" t="str">
        <f>IF('Equipment Information'!A189="","", 'Equipment Information'!A189)</f>
        <v/>
      </c>
      <c r="B189" t="str">
        <f>IF('Equipment Information'!B189="","", 'Equipment Information'!B189)</f>
        <v/>
      </c>
      <c r="C189" t="str">
        <f>IF('Equipment Information'!C189="","", 'Equipment Information'!C189)</f>
        <v/>
      </c>
      <c r="H189" t="str">
        <f t="shared" si="2"/>
        <v/>
      </c>
    </row>
    <row r="190" spans="1:8" x14ac:dyDescent="0.25">
      <c r="A190" t="str">
        <f>IF('Equipment Information'!A190="","", 'Equipment Information'!A190)</f>
        <v/>
      </c>
      <c r="B190" t="str">
        <f>IF('Equipment Information'!B190="","", 'Equipment Information'!B190)</f>
        <v/>
      </c>
      <c r="C190" t="str">
        <f>IF('Equipment Information'!C190="","", 'Equipment Information'!C190)</f>
        <v/>
      </c>
      <c r="H190" t="str">
        <f t="shared" si="2"/>
        <v/>
      </c>
    </row>
    <row r="191" spans="1:8" x14ac:dyDescent="0.25">
      <c r="A191" t="str">
        <f>IF('Equipment Information'!A191="","", 'Equipment Information'!A191)</f>
        <v/>
      </c>
      <c r="B191" t="str">
        <f>IF('Equipment Information'!B191="","", 'Equipment Information'!B191)</f>
        <v/>
      </c>
      <c r="C191" t="str">
        <f>IF('Equipment Information'!C191="","", 'Equipment Information'!C191)</f>
        <v/>
      </c>
      <c r="H191" t="str">
        <f t="shared" si="2"/>
        <v/>
      </c>
    </row>
    <row r="192" spans="1:8" x14ac:dyDescent="0.25">
      <c r="A192" t="str">
        <f>IF('Equipment Information'!A192="","", 'Equipment Information'!A192)</f>
        <v/>
      </c>
      <c r="B192" t="str">
        <f>IF('Equipment Information'!B192="","", 'Equipment Information'!B192)</f>
        <v/>
      </c>
      <c r="C192" t="str">
        <f>IF('Equipment Information'!C192="","", 'Equipment Information'!C192)</f>
        <v/>
      </c>
      <c r="H192" t="str">
        <f t="shared" si="2"/>
        <v/>
      </c>
    </row>
    <row r="193" spans="1:8" x14ac:dyDescent="0.25">
      <c r="A193" t="str">
        <f>IF('Equipment Information'!A193="","", 'Equipment Information'!A193)</f>
        <v/>
      </c>
      <c r="B193" t="str">
        <f>IF('Equipment Information'!B193="","", 'Equipment Information'!B193)</f>
        <v/>
      </c>
      <c r="C193" t="str">
        <f>IF('Equipment Information'!C193="","", 'Equipment Information'!C193)</f>
        <v/>
      </c>
      <c r="H193" t="str">
        <f t="shared" si="2"/>
        <v/>
      </c>
    </row>
    <row r="194" spans="1:8" x14ac:dyDescent="0.25">
      <c r="A194" t="str">
        <f>IF('Equipment Information'!A194="","", 'Equipment Information'!A194)</f>
        <v/>
      </c>
      <c r="B194" t="str">
        <f>IF('Equipment Information'!B194="","", 'Equipment Information'!B194)</f>
        <v/>
      </c>
      <c r="C194" t="str">
        <f>IF('Equipment Information'!C194="","", 'Equipment Information'!C194)</f>
        <v/>
      </c>
      <c r="H194" t="str">
        <f t="shared" ref="H194:H257" si="3">IF(A194="","","N/A")</f>
        <v/>
      </c>
    </row>
    <row r="195" spans="1:8" x14ac:dyDescent="0.25">
      <c r="A195" t="str">
        <f>IF('Equipment Information'!A195="","", 'Equipment Information'!A195)</f>
        <v/>
      </c>
      <c r="B195" t="str">
        <f>IF('Equipment Information'!B195="","", 'Equipment Information'!B195)</f>
        <v/>
      </c>
      <c r="C195" t="str">
        <f>IF('Equipment Information'!C195="","", 'Equipment Information'!C195)</f>
        <v/>
      </c>
      <c r="H195" t="str">
        <f t="shared" si="3"/>
        <v/>
      </c>
    </row>
    <row r="196" spans="1:8" x14ac:dyDescent="0.25">
      <c r="A196" t="str">
        <f>IF('Equipment Information'!A196="","", 'Equipment Information'!A196)</f>
        <v/>
      </c>
      <c r="B196" t="str">
        <f>IF('Equipment Information'!B196="","", 'Equipment Information'!B196)</f>
        <v/>
      </c>
      <c r="C196" t="str">
        <f>IF('Equipment Information'!C196="","", 'Equipment Information'!C196)</f>
        <v/>
      </c>
      <c r="H196" t="str">
        <f t="shared" si="3"/>
        <v/>
      </c>
    </row>
    <row r="197" spans="1:8" x14ac:dyDescent="0.25">
      <c r="A197" t="str">
        <f>IF('Equipment Information'!A197="","", 'Equipment Information'!A197)</f>
        <v/>
      </c>
      <c r="B197" t="str">
        <f>IF('Equipment Information'!B197="","", 'Equipment Information'!B197)</f>
        <v/>
      </c>
      <c r="C197" t="str">
        <f>IF('Equipment Information'!C197="","", 'Equipment Information'!C197)</f>
        <v/>
      </c>
      <c r="H197" t="str">
        <f t="shared" si="3"/>
        <v/>
      </c>
    </row>
    <row r="198" spans="1:8" x14ac:dyDescent="0.25">
      <c r="A198" t="str">
        <f>IF('Equipment Information'!A198="","", 'Equipment Information'!A198)</f>
        <v/>
      </c>
      <c r="B198" t="str">
        <f>IF('Equipment Information'!B198="","", 'Equipment Information'!B198)</f>
        <v/>
      </c>
      <c r="C198" t="str">
        <f>IF('Equipment Information'!C198="","", 'Equipment Information'!C198)</f>
        <v/>
      </c>
      <c r="H198" t="str">
        <f t="shared" si="3"/>
        <v/>
      </c>
    </row>
    <row r="199" spans="1:8" x14ac:dyDescent="0.25">
      <c r="A199" t="str">
        <f>IF('Equipment Information'!A199="","", 'Equipment Information'!A199)</f>
        <v/>
      </c>
      <c r="B199" t="str">
        <f>IF('Equipment Information'!B199="","", 'Equipment Information'!B199)</f>
        <v/>
      </c>
      <c r="C199" t="str">
        <f>IF('Equipment Information'!C199="","", 'Equipment Information'!C199)</f>
        <v/>
      </c>
      <c r="H199" t="str">
        <f t="shared" si="3"/>
        <v/>
      </c>
    </row>
    <row r="200" spans="1:8" x14ac:dyDescent="0.25">
      <c r="A200" t="str">
        <f>IF('Equipment Information'!A200="","", 'Equipment Information'!A200)</f>
        <v/>
      </c>
      <c r="B200" t="str">
        <f>IF('Equipment Information'!B200="","", 'Equipment Information'!B200)</f>
        <v/>
      </c>
      <c r="C200" t="str">
        <f>IF('Equipment Information'!C200="","", 'Equipment Information'!C200)</f>
        <v/>
      </c>
      <c r="H200" t="str">
        <f t="shared" si="3"/>
        <v/>
      </c>
    </row>
    <row r="201" spans="1:8" x14ac:dyDescent="0.25">
      <c r="A201" t="str">
        <f>IF('Equipment Information'!A201="","", 'Equipment Information'!A201)</f>
        <v/>
      </c>
      <c r="B201" t="str">
        <f>IF('Equipment Information'!B201="","", 'Equipment Information'!B201)</f>
        <v/>
      </c>
      <c r="C201" t="str">
        <f>IF('Equipment Information'!C201="","", 'Equipment Information'!C201)</f>
        <v/>
      </c>
      <c r="H201" t="str">
        <f t="shared" si="3"/>
        <v/>
      </c>
    </row>
    <row r="202" spans="1:8" x14ac:dyDescent="0.25">
      <c r="A202" t="str">
        <f>IF('Equipment Information'!A202="","", 'Equipment Information'!A202)</f>
        <v/>
      </c>
      <c r="B202" t="str">
        <f>IF('Equipment Information'!B202="","", 'Equipment Information'!B202)</f>
        <v/>
      </c>
      <c r="C202" t="str">
        <f>IF('Equipment Information'!C202="","", 'Equipment Information'!C202)</f>
        <v/>
      </c>
      <c r="H202" t="str">
        <f t="shared" si="3"/>
        <v/>
      </c>
    </row>
    <row r="203" spans="1:8" x14ac:dyDescent="0.25">
      <c r="A203" t="str">
        <f>IF('Equipment Information'!A203="","", 'Equipment Information'!A203)</f>
        <v/>
      </c>
      <c r="B203" t="str">
        <f>IF('Equipment Information'!B203="","", 'Equipment Information'!B203)</f>
        <v/>
      </c>
      <c r="C203" t="str">
        <f>IF('Equipment Information'!C203="","", 'Equipment Information'!C203)</f>
        <v/>
      </c>
      <c r="H203" t="str">
        <f t="shared" si="3"/>
        <v/>
      </c>
    </row>
    <row r="204" spans="1:8" x14ac:dyDescent="0.25">
      <c r="A204" t="str">
        <f>IF('Equipment Information'!A204="","", 'Equipment Information'!A204)</f>
        <v/>
      </c>
      <c r="B204" t="str">
        <f>IF('Equipment Information'!B204="","", 'Equipment Information'!B204)</f>
        <v/>
      </c>
      <c r="C204" t="str">
        <f>IF('Equipment Information'!C204="","", 'Equipment Information'!C204)</f>
        <v/>
      </c>
      <c r="H204" t="str">
        <f t="shared" si="3"/>
        <v/>
      </c>
    </row>
    <row r="205" spans="1:8" x14ac:dyDescent="0.25">
      <c r="A205" t="str">
        <f>IF('Equipment Information'!A205="","", 'Equipment Information'!A205)</f>
        <v/>
      </c>
      <c r="B205" t="str">
        <f>IF('Equipment Information'!B205="","", 'Equipment Information'!B205)</f>
        <v/>
      </c>
      <c r="C205" t="str">
        <f>IF('Equipment Information'!C205="","", 'Equipment Information'!C205)</f>
        <v/>
      </c>
      <c r="H205" t="str">
        <f t="shared" si="3"/>
        <v/>
      </c>
    </row>
    <row r="206" spans="1:8" x14ac:dyDescent="0.25">
      <c r="A206" t="str">
        <f>IF('Equipment Information'!A206="","", 'Equipment Information'!A206)</f>
        <v/>
      </c>
      <c r="B206" t="str">
        <f>IF('Equipment Information'!B206="","", 'Equipment Information'!B206)</f>
        <v/>
      </c>
      <c r="C206" t="str">
        <f>IF('Equipment Information'!C206="","", 'Equipment Information'!C206)</f>
        <v/>
      </c>
      <c r="H206" t="str">
        <f t="shared" si="3"/>
        <v/>
      </c>
    </row>
    <row r="207" spans="1:8" x14ac:dyDescent="0.25">
      <c r="A207" t="str">
        <f>IF('Equipment Information'!A207="","", 'Equipment Information'!A207)</f>
        <v/>
      </c>
      <c r="B207" t="str">
        <f>IF('Equipment Information'!B207="","", 'Equipment Information'!B207)</f>
        <v/>
      </c>
      <c r="C207" t="str">
        <f>IF('Equipment Information'!C207="","", 'Equipment Information'!C207)</f>
        <v/>
      </c>
      <c r="H207" t="str">
        <f t="shared" si="3"/>
        <v/>
      </c>
    </row>
    <row r="208" spans="1:8" x14ac:dyDescent="0.25">
      <c r="A208" t="str">
        <f>IF('Equipment Information'!A208="","", 'Equipment Information'!A208)</f>
        <v/>
      </c>
      <c r="B208" t="str">
        <f>IF('Equipment Information'!B208="","", 'Equipment Information'!B208)</f>
        <v/>
      </c>
      <c r="C208" t="str">
        <f>IF('Equipment Information'!C208="","", 'Equipment Information'!C208)</f>
        <v/>
      </c>
      <c r="H208" t="str">
        <f t="shared" si="3"/>
        <v/>
      </c>
    </row>
    <row r="209" spans="1:8" x14ac:dyDescent="0.25">
      <c r="A209" t="str">
        <f>IF('Equipment Information'!A209="","", 'Equipment Information'!A209)</f>
        <v/>
      </c>
      <c r="B209" t="str">
        <f>IF('Equipment Information'!B209="","", 'Equipment Information'!B209)</f>
        <v/>
      </c>
      <c r="C209" t="str">
        <f>IF('Equipment Information'!C209="","", 'Equipment Information'!C209)</f>
        <v/>
      </c>
      <c r="H209" t="str">
        <f t="shared" si="3"/>
        <v/>
      </c>
    </row>
    <row r="210" spans="1:8" x14ac:dyDescent="0.25">
      <c r="A210" t="str">
        <f>IF('Equipment Information'!A210="","", 'Equipment Information'!A210)</f>
        <v/>
      </c>
      <c r="B210" t="str">
        <f>IF('Equipment Information'!B210="","", 'Equipment Information'!B210)</f>
        <v/>
      </c>
      <c r="C210" t="str">
        <f>IF('Equipment Information'!C210="","", 'Equipment Information'!C210)</f>
        <v/>
      </c>
      <c r="H210" t="str">
        <f t="shared" si="3"/>
        <v/>
      </c>
    </row>
    <row r="211" spans="1:8" x14ac:dyDescent="0.25">
      <c r="A211" t="str">
        <f>IF('Equipment Information'!A211="","", 'Equipment Information'!A211)</f>
        <v/>
      </c>
      <c r="B211" t="str">
        <f>IF('Equipment Information'!B211="","", 'Equipment Information'!B211)</f>
        <v/>
      </c>
      <c r="C211" t="str">
        <f>IF('Equipment Information'!C211="","", 'Equipment Information'!C211)</f>
        <v/>
      </c>
      <c r="H211" t="str">
        <f t="shared" si="3"/>
        <v/>
      </c>
    </row>
    <row r="212" spans="1:8" x14ac:dyDescent="0.25">
      <c r="A212" t="str">
        <f>IF('Equipment Information'!A212="","", 'Equipment Information'!A212)</f>
        <v/>
      </c>
      <c r="B212" t="str">
        <f>IF('Equipment Information'!B212="","", 'Equipment Information'!B212)</f>
        <v/>
      </c>
      <c r="C212" t="str">
        <f>IF('Equipment Information'!C212="","", 'Equipment Information'!C212)</f>
        <v/>
      </c>
      <c r="H212" t="str">
        <f t="shared" si="3"/>
        <v/>
      </c>
    </row>
    <row r="213" spans="1:8" x14ac:dyDescent="0.25">
      <c r="A213" t="str">
        <f>IF('Equipment Information'!A213="","", 'Equipment Information'!A213)</f>
        <v/>
      </c>
      <c r="B213" t="str">
        <f>IF('Equipment Information'!B213="","", 'Equipment Information'!B213)</f>
        <v/>
      </c>
      <c r="C213" t="str">
        <f>IF('Equipment Information'!C213="","", 'Equipment Information'!C213)</f>
        <v/>
      </c>
      <c r="H213" t="str">
        <f t="shared" si="3"/>
        <v/>
      </c>
    </row>
    <row r="214" spans="1:8" x14ac:dyDescent="0.25">
      <c r="A214" t="str">
        <f>IF('Equipment Information'!A214="","", 'Equipment Information'!A214)</f>
        <v/>
      </c>
      <c r="B214" t="str">
        <f>IF('Equipment Information'!B214="","", 'Equipment Information'!B214)</f>
        <v/>
      </c>
      <c r="C214" t="str">
        <f>IF('Equipment Information'!C214="","", 'Equipment Information'!C214)</f>
        <v/>
      </c>
      <c r="H214" t="str">
        <f t="shared" si="3"/>
        <v/>
      </c>
    </row>
    <row r="215" spans="1:8" x14ac:dyDescent="0.25">
      <c r="A215" t="str">
        <f>IF('Equipment Information'!A215="","", 'Equipment Information'!A215)</f>
        <v/>
      </c>
      <c r="B215" t="str">
        <f>IF('Equipment Information'!B215="","", 'Equipment Information'!B215)</f>
        <v/>
      </c>
      <c r="C215" t="str">
        <f>IF('Equipment Information'!C215="","", 'Equipment Information'!C215)</f>
        <v/>
      </c>
      <c r="H215" t="str">
        <f t="shared" si="3"/>
        <v/>
      </c>
    </row>
    <row r="216" spans="1:8" x14ac:dyDescent="0.25">
      <c r="A216" t="str">
        <f>IF('Equipment Information'!A216="","", 'Equipment Information'!A216)</f>
        <v/>
      </c>
      <c r="B216" t="str">
        <f>IF('Equipment Information'!B216="","", 'Equipment Information'!B216)</f>
        <v/>
      </c>
      <c r="C216" t="str">
        <f>IF('Equipment Information'!C216="","", 'Equipment Information'!C216)</f>
        <v/>
      </c>
      <c r="H216" t="str">
        <f t="shared" si="3"/>
        <v/>
      </c>
    </row>
    <row r="217" spans="1:8" x14ac:dyDescent="0.25">
      <c r="A217" t="str">
        <f>IF('Equipment Information'!A217="","", 'Equipment Information'!A217)</f>
        <v/>
      </c>
      <c r="B217" t="str">
        <f>IF('Equipment Information'!B217="","", 'Equipment Information'!B217)</f>
        <v/>
      </c>
      <c r="C217" t="str">
        <f>IF('Equipment Information'!C217="","", 'Equipment Information'!C217)</f>
        <v/>
      </c>
      <c r="H217" t="str">
        <f t="shared" si="3"/>
        <v/>
      </c>
    </row>
    <row r="218" spans="1:8" x14ac:dyDescent="0.25">
      <c r="A218" t="str">
        <f>IF('Equipment Information'!A218="","", 'Equipment Information'!A218)</f>
        <v/>
      </c>
      <c r="B218" t="str">
        <f>IF('Equipment Information'!B218="","", 'Equipment Information'!B218)</f>
        <v/>
      </c>
      <c r="C218" t="str">
        <f>IF('Equipment Information'!C218="","", 'Equipment Information'!C218)</f>
        <v/>
      </c>
      <c r="H218" t="str">
        <f t="shared" si="3"/>
        <v/>
      </c>
    </row>
    <row r="219" spans="1:8" x14ac:dyDescent="0.25">
      <c r="A219" t="str">
        <f>IF('Equipment Information'!A219="","", 'Equipment Information'!A219)</f>
        <v/>
      </c>
      <c r="B219" t="str">
        <f>IF('Equipment Information'!B219="","", 'Equipment Information'!B219)</f>
        <v/>
      </c>
      <c r="C219" t="str">
        <f>IF('Equipment Information'!C219="","", 'Equipment Information'!C219)</f>
        <v/>
      </c>
      <c r="H219" t="str">
        <f t="shared" si="3"/>
        <v/>
      </c>
    </row>
    <row r="220" spans="1:8" x14ac:dyDescent="0.25">
      <c r="A220" t="str">
        <f>IF('Equipment Information'!A220="","", 'Equipment Information'!A220)</f>
        <v/>
      </c>
      <c r="B220" t="str">
        <f>IF('Equipment Information'!B220="","", 'Equipment Information'!B220)</f>
        <v/>
      </c>
      <c r="C220" t="str">
        <f>IF('Equipment Information'!C220="","", 'Equipment Information'!C220)</f>
        <v/>
      </c>
      <c r="H220" t="str">
        <f t="shared" si="3"/>
        <v/>
      </c>
    </row>
    <row r="221" spans="1:8" x14ac:dyDescent="0.25">
      <c r="A221" t="str">
        <f>IF('Equipment Information'!A221="","", 'Equipment Information'!A221)</f>
        <v/>
      </c>
      <c r="B221" t="str">
        <f>IF('Equipment Information'!B221="","", 'Equipment Information'!B221)</f>
        <v/>
      </c>
      <c r="C221" t="str">
        <f>IF('Equipment Information'!C221="","", 'Equipment Information'!C221)</f>
        <v/>
      </c>
      <c r="H221" t="str">
        <f t="shared" si="3"/>
        <v/>
      </c>
    </row>
    <row r="222" spans="1:8" x14ac:dyDescent="0.25">
      <c r="A222" t="str">
        <f>IF('Equipment Information'!A222="","", 'Equipment Information'!A222)</f>
        <v/>
      </c>
      <c r="B222" t="str">
        <f>IF('Equipment Information'!B222="","", 'Equipment Information'!B222)</f>
        <v/>
      </c>
      <c r="C222" t="str">
        <f>IF('Equipment Information'!C222="","", 'Equipment Information'!C222)</f>
        <v/>
      </c>
      <c r="H222" t="str">
        <f t="shared" si="3"/>
        <v/>
      </c>
    </row>
    <row r="223" spans="1:8" x14ac:dyDescent="0.25">
      <c r="A223" t="str">
        <f>IF('Equipment Information'!A223="","", 'Equipment Information'!A223)</f>
        <v/>
      </c>
      <c r="B223" t="str">
        <f>IF('Equipment Information'!B223="","", 'Equipment Information'!B223)</f>
        <v/>
      </c>
      <c r="C223" t="str">
        <f>IF('Equipment Information'!C223="","", 'Equipment Information'!C223)</f>
        <v/>
      </c>
      <c r="H223" t="str">
        <f t="shared" si="3"/>
        <v/>
      </c>
    </row>
    <row r="224" spans="1:8" x14ac:dyDescent="0.25">
      <c r="A224" t="str">
        <f>IF('Equipment Information'!A224="","", 'Equipment Information'!A224)</f>
        <v/>
      </c>
      <c r="B224" t="str">
        <f>IF('Equipment Information'!B224="","", 'Equipment Information'!B224)</f>
        <v/>
      </c>
      <c r="C224" t="str">
        <f>IF('Equipment Information'!C224="","", 'Equipment Information'!C224)</f>
        <v/>
      </c>
      <c r="H224" t="str">
        <f t="shared" si="3"/>
        <v/>
      </c>
    </row>
    <row r="225" spans="1:8" x14ac:dyDescent="0.25">
      <c r="A225" t="str">
        <f>IF('Equipment Information'!A225="","", 'Equipment Information'!A225)</f>
        <v/>
      </c>
      <c r="B225" t="str">
        <f>IF('Equipment Information'!B225="","", 'Equipment Information'!B225)</f>
        <v/>
      </c>
      <c r="C225" t="str">
        <f>IF('Equipment Information'!C225="","", 'Equipment Information'!C225)</f>
        <v/>
      </c>
      <c r="H225" t="str">
        <f t="shared" si="3"/>
        <v/>
      </c>
    </row>
    <row r="226" spans="1:8" x14ac:dyDescent="0.25">
      <c r="A226" t="str">
        <f>IF('Equipment Information'!A226="","", 'Equipment Information'!A226)</f>
        <v/>
      </c>
      <c r="B226" t="str">
        <f>IF('Equipment Information'!B226="","", 'Equipment Information'!B226)</f>
        <v/>
      </c>
      <c r="C226" t="str">
        <f>IF('Equipment Information'!C226="","", 'Equipment Information'!C226)</f>
        <v/>
      </c>
      <c r="H226" t="str">
        <f t="shared" si="3"/>
        <v/>
      </c>
    </row>
    <row r="227" spans="1:8" x14ac:dyDescent="0.25">
      <c r="A227" t="str">
        <f>IF('Equipment Information'!A227="","", 'Equipment Information'!A227)</f>
        <v/>
      </c>
      <c r="B227" t="str">
        <f>IF('Equipment Information'!B227="","", 'Equipment Information'!B227)</f>
        <v/>
      </c>
      <c r="C227" t="str">
        <f>IF('Equipment Information'!C227="","", 'Equipment Information'!C227)</f>
        <v/>
      </c>
      <c r="H227" t="str">
        <f t="shared" si="3"/>
        <v/>
      </c>
    </row>
    <row r="228" spans="1:8" x14ac:dyDescent="0.25">
      <c r="A228" t="str">
        <f>IF('Equipment Information'!A228="","", 'Equipment Information'!A228)</f>
        <v/>
      </c>
      <c r="B228" t="str">
        <f>IF('Equipment Information'!B228="","", 'Equipment Information'!B228)</f>
        <v/>
      </c>
      <c r="C228" t="str">
        <f>IF('Equipment Information'!C228="","", 'Equipment Information'!C228)</f>
        <v/>
      </c>
      <c r="H228" t="str">
        <f t="shared" si="3"/>
        <v/>
      </c>
    </row>
    <row r="229" spans="1:8" x14ac:dyDescent="0.25">
      <c r="A229" t="str">
        <f>IF('Equipment Information'!A229="","", 'Equipment Information'!A229)</f>
        <v/>
      </c>
      <c r="B229" t="str">
        <f>IF('Equipment Information'!B229="","", 'Equipment Information'!B229)</f>
        <v/>
      </c>
      <c r="C229" t="str">
        <f>IF('Equipment Information'!C229="","", 'Equipment Information'!C229)</f>
        <v/>
      </c>
      <c r="H229" t="str">
        <f t="shared" si="3"/>
        <v/>
      </c>
    </row>
    <row r="230" spans="1:8" x14ac:dyDescent="0.25">
      <c r="A230" t="str">
        <f>IF('Equipment Information'!A230="","", 'Equipment Information'!A230)</f>
        <v/>
      </c>
      <c r="B230" t="str">
        <f>IF('Equipment Information'!B230="","", 'Equipment Information'!B230)</f>
        <v/>
      </c>
      <c r="C230" t="str">
        <f>IF('Equipment Information'!C230="","", 'Equipment Information'!C230)</f>
        <v/>
      </c>
      <c r="H230" t="str">
        <f t="shared" si="3"/>
        <v/>
      </c>
    </row>
    <row r="231" spans="1:8" x14ac:dyDescent="0.25">
      <c r="A231" t="str">
        <f>IF('Equipment Information'!A231="","", 'Equipment Information'!A231)</f>
        <v/>
      </c>
      <c r="B231" t="str">
        <f>IF('Equipment Information'!B231="","", 'Equipment Information'!B231)</f>
        <v/>
      </c>
      <c r="C231" t="str">
        <f>IF('Equipment Information'!C231="","", 'Equipment Information'!C231)</f>
        <v/>
      </c>
      <c r="H231" t="str">
        <f t="shared" si="3"/>
        <v/>
      </c>
    </row>
    <row r="232" spans="1:8" x14ac:dyDescent="0.25">
      <c r="A232" t="str">
        <f>IF('Equipment Information'!A232="","", 'Equipment Information'!A232)</f>
        <v/>
      </c>
      <c r="B232" t="str">
        <f>IF('Equipment Information'!B232="","", 'Equipment Information'!B232)</f>
        <v/>
      </c>
      <c r="C232" t="str">
        <f>IF('Equipment Information'!C232="","", 'Equipment Information'!C232)</f>
        <v/>
      </c>
      <c r="H232" t="str">
        <f t="shared" si="3"/>
        <v/>
      </c>
    </row>
    <row r="233" spans="1:8" x14ac:dyDescent="0.25">
      <c r="A233" t="str">
        <f>IF('Equipment Information'!A233="","", 'Equipment Information'!A233)</f>
        <v/>
      </c>
      <c r="B233" t="str">
        <f>IF('Equipment Information'!B233="","", 'Equipment Information'!B233)</f>
        <v/>
      </c>
      <c r="C233" t="str">
        <f>IF('Equipment Information'!C233="","", 'Equipment Information'!C233)</f>
        <v/>
      </c>
      <c r="H233" t="str">
        <f t="shared" si="3"/>
        <v/>
      </c>
    </row>
    <row r="234" spans="1:8" x14ac:dyDescent="0.25">
      <c r="A234" t="str">
        <f>IF('Equipment Information'!A234="","", 'Equipment Information'!A234)</f>
        <v/>
      </c>
      <c r="B234" t="str">
        <f>IF('Equipment Information'!B234="","", 'Equipment Information'!B234)</f>
        <v/>
      </c>
      <c r="C234" t="str">
        <f>IF('Equipment Information'!C234="","", 'Equipment Information'!C234)</f>
        <v/>
      </c>
      <c r="H234" t="str">
        <f t="shared" si="3"/>
        <v/>
      </c>
    </row>
    <row r="235" spans="1:8" x14ac:dyDescent="0.25">
      <c r="A235" t="str">
        <f>IF('Equipment Information'!A235="","", 'Equipment Information'!A235)</f>
        <v/>
      </c>
      <c r="B235" t="str">
        <f>IF('Equipment Information'!B235="","", 'Equipment Information'!B235)</f>
        <v/>
      </c>
      <c r="C235" t="str">
        <f>IF('Equipment Information'!C235="","", 'Equipment Information'!C235)</f>
        <v/>
      </c>
      <c r="H235" t="str">
        <f t="shared" si="3"/>
        <v/>
      </c>
    </row>
    <row r="236" spans="1:8" x14ac:dyDescent="0.25">
      <c r="A236" t="str">
        <f>IF('Equipment Information'!A236="","", 'Equipment Information'!A236)</f>
        <v/>
      </c>
      <c r="B236" t="str">
        <f>IF('Equipment Information'!B236="","", 'Equipment Information'!B236)</f>
        <v/>
      </c>
      <c r="C236" t="str">
        <f>IF('Equipment Information'!C236="","", 'Equipment Information'!C236)</f>
        <v/>
      </c>
      <c r="H236" t="str">
        <f t="shared" si="3"/>
        <v/>
      </c>
    </row>
    <row r="237" spans="1:8" x14ac:dyDescent="0.25">
      <c r="A237" t="str">
        <f>IF('Equipment Information'!A237="","", 'Equipment Information'!A237)</f>
        <v/>
      </c>
      <c r="B237" t="str">
        <f>IF('Equipment Information'!B237="","", 'Equipment Information'!B237)</f>
        <v/>
      </c>
      <c r="C237" t="str">
        <f>IF('Equipment Information'!C237="","", 'Equipment Information'!C237)</f>
        <v/>
      </c>
      <c r="H237" t="str">
        <f t="shared" si="3"/>
        <v/>
      </c>
    </row>
    <row r="238" spans="1:8" x14ac:dyDescent="0.25">
      <c r="A238" t="str">
        <f>IF('Equipment Information'!A238="","", 'Equipment Information'!A238)</f>
        <v/>
      </c>
      <c r="B238" t="str">
        <f>IF('Equipment Information'!B238="","", 'Equipment Information'!B238)</f>
        <v/>
      </c>
      <c r="C238" t="str">
        <f>IF('Equipment Information'!C238="","", 'Equipment Information'!C238)</f>
        <v/>
      </c>
      <c r="H238" t="str">
        <f t="shared" si="3"/>
        <v/>
      </c>
    </row>
    <row r="239" spans="1:8" x14ac:dyDescent="0.25">
      <c r="A239" t="str">
        <f>IF('Equipment Information'!A239="","", 'Equipment Information'!A239)</f>
        <v/>
      </c>
      <c r="B239" t="str">
        <f>IF('Equipment Information'!B239="","", 'Equipment Information'!B239)</f>
        <v/>
      </c>
      <c r="C239" t="str">
        <f>IF('Equipment Information'!C239="","", 'Equipment Information'!C239)</f>
        <v/>
      </c>
      <c r="H239" t="str">
        <f t="shared" si="3"/>
        <v/>
      </c>
    </row>
    <row r="240" spans="1:8" x14ac:dyDescent="0.25">
      <c r="A240" t="str">
        <f>IF('Equipment Information'!A240="","", 'Equipment Information'!A240)</f>
        <v/>
      </c>
      <c r="B240" t="str">
        <f>IF('Equipment Information'!B240="","", 'Equipment Information'!B240)</f>
        <v/>
      </c>
      <c r="C240" t="str">
        <f>IF('Equipment Information'!C240="","", 'Equipment Information'!C240)</f>
        <v/>
      </c>
      <c r="H240" t="str">
        <f t="shared" si="3"/>
        <v/>
      </c>
    </row>
    <row r="241" spans="1:8" x14ac:dyDescent="0.25">
      <c r="A241" t="str">
        <f>IF('Equipment Information'!A241="","", 'Equipment Information'!A241)</f>
        <v/>
      </c>
      <c r="B241" t="str">
        <f>IF('Equipment Information'!B241="","", 'Equipment Information'!B241)</f>
        <v/>
      </c>
      <c r="C241" t="str">
        <f>IF('Equipment Information'!C241="","", 'Equipment Information'!C241)</f>
        <v/>
      </c>
      <c r="H241" t="str">
        <f t="shared" si="3"/>
        <v/>
      </c>
    </row>
    <row r="242" spans="1:8" x14ac:dyDescent="0.25">
      <c r="A242" t="str">
        <f>IF('Equipment Information'!A242="","", 'Equipment Information'!A242)</f>
        <v/>
      </c>
      <c r="B242" t="str">
        <f>IF('Equipment Information'!B242="","", 'Equipment Information'!B242)</f>
        <v/>
      </c>
      <c r="C242" t="str">
        <f>IF('Equipment Information'!C242="","", 'Equipment Information'!C242)</f>
        <v/>
      </c>
      <c r="H242" t="str">
        <f t="shared" si="3"/>
        <v/>
      </c>
    </row>
    <row r="243" spans="1:8" x14ac:dyDescent="0.25">
      <c r="A243" t="str">
        <f>IF('Equipment Information'!A243="","", 'Equipment Information'!A243)</f>
        <v/>
      </c>
      <c r="B243" t="str">
        <f>IF('Equipment Information'!B243="","", 'Equipment Information'!B243)</f>
        <v/>
      </c>
      <c r="C243" t="str">
        <f>IF('Equipment Information'!C243="","", 'Equipment Information'!C243)</f>
        <v/>
      </c>
      <c r="H243" t="str">
        <f t="shared" si="3"/>
        <v/>
      </c>
    </row>
    <row r="244" spans="1:8" x14ac:dyDescent="0.25">
      <c r="A244" t="str">
        <f>IF('Equipment Information'!A244="","", 'Equipment Information'!A244)</f>
        <v/>
      </c>
      <c r="B244" t="str">
        <f>IF('Equipment Information'!B244="","", 'Equipment Information'!B244)</f>
        <v/>
      </c>
      <c r="C244" t="str">
        <f>IF('Equipment Information'!C244="","", 'Equipment Information'!C244)</f>
        <v/>
      </c>
      <c r="H244" t="str">
        <f t="shared" si="3"/>
        <v/>
      </c>
    </row>
    <row r="245" spans="1:8" x14ac:dyDescent="0.25">
      <c r="A245" t="str">
        <f>IF('Equipment Information'!A245="","", 'Equipment Information'!A245)</f>
        <v/>
      </c>
      <c r="B245" t="str">
        <f>IF('Equipment Information'!B245="","", 'Equipment Information'!B245)</f>
        <v/>
      </c>
      <c r="C245" t="str">
        <f>IF('Equipment Information'!C245="","", 'Equipment Information'!C245)</f>
        <v/>
      </c>
      <c r="H245" t="str">
        <f t="shared" si="3"/>
        <v/>
      </c>
    </row>
    <row r="246" spans="1:8" x14ac:dyDescent="0.25">
      <c r="A246" t="str">
        <f>IF('Equipment Information'!A246="","", 'Equipment Information'!A246)</f>
        <v/>
      </c>
      <c r="B246" t="str">
        <f>IF('Equipment Information'!B246="","", 'Equipment Information'!B246)</f>
        <v/>
      </c>
      <c r="C246" t="str">
        <f>IF('Equipment Information'!C246="","", 'Equipment Information'!C246)</f>
        <v/>
      </c>
      <c r="H246" t="str">
        <f t="shared" si="3"/>
        <v/>
      </c>
    </row>
    <row r="247" spans="1:8" x14ac:dyDescent="0.25">
      <c r="A247" t="str">
        <f>IF('Equipment Information'!A247="","", 'Equipment Information'!A247)</f>
        <v/>
      </c>
      <c r="B247" t="str">
        <f>IF('Equipment Information'!B247="","", 'Equipment Information'!B247)</f>
        <v/>
      </c>
      <c r="C247" t="str">
        <f>IF('Equipment Information'!C247="","", 'Equipment Information'!C247)</f>
        <v/>
      </c>
      <c r="H247" t="str">
        <f t="shared" si="3"/>
        <v/>
      </c>
    </row>
    <row r="248" spans="1:8" x14ac:dyDescent="0.25">
      <c r="A248" t="str">
        <f>IF('Equipment Information'!A248="","", 'Equipment Information'!A248)</f>
        <v/>
      </c>
      <c r="B248" t="str">
        <f>IF('Equipment Information'!B248="","", 'Equipment Information'!B248)</f>
        <v/>
      </c>
      <c r="C248" t="str">
        <f>IF('Equipment Information'!C248="","", 'Equipment Information'!C248)</f>
        <v/>
      </c>
      <c r="H248" t="str">
        <f t="shared" si="3"/>
        <v/>
      </c>
    </row>
    <row r="249" spans="1:8" x14ac:dyDescent="0.25">
      <c r="A249" t="str">
        <f>IF('Equipment Information'!A249="","", 'Equipment Information'!A249)</f>
        <v/>
      </c>
      <c r="B249" t="str">
        <f>IF('Equipment Information'!B249="","", 'Equipment Information'!B249)</f>
        <v/>
      </c>
      <c r="C249" t="str">
        <f>IF('Equipment Information'!C249="","", 'Equipment Information'!C249)</f>
        <v/>
      </c>
      <c r="H249" t="str">
        <f t="shared" si="3"/>
        <v/>
      </c>
    </row>
    <row r="250" spans="1:8" x14ac:dyDescent="0.25">
      <c r="A250" t="str">
        <f>IF('Equipment Information'!A250="","", 'Equipment Information'!A250)</f>
        <v/>
      </c>
      <c r="B250" t="str">
        <f>IF('Equipment Information'!B250="","", 'Equipment Information'!B250)</f>
        <v/>
      </c>
      <c r="C250" t="str">
        <f>IF('Equipment Information'!C250="","", 'Equipment Information'!C250)</f>
        <v/>
      </c>
      <c r="H250" t="str">
        <f t="shared" si="3"/>
        <v/>
      </c>
    </row>
    <row r="251" spans="1:8" x14ac:dyDescent="0.25">
      <c r="A251" t="str">
        <f>IF('Equipment Information'!A251="","", 'Equipment Information'!A251)</f>
        <v/>
      </c>
      <c r="B251" t="str">
        <f>IF('Equipment Information'!B251="","", 'Equipment Information'!B251)</f>
        <v/>
      </c>
      <c r="C251" t="str">
        <f>IF('Equipment Information'!C251="","", 'Equipment Information'!C251)</f>
        <v/>
      </c>
      <c r="H251" t="str">
        <f t="shared" si="3"/>
        <v/>
      </c>
    </row>
    <row r="252" spans="1:8" x14ac:dyDescent="0.25">
      <c r="A252" t="str">
        <f>IF('Equipment Information'!A252="","", 'Equipment Information'!A252)</f>
        <v/>
      </c>
      <c r="B252" t="str">
        <f>IF('Equipment Information'!B252="","", 'Equipment Information'!B252)</f>
        <v/>
      </c>
      <c r="C252" t="str">
        <f>IF('Equipment Information'!C252="","", 'Equipment Information'!C252)</f>
        <v/>
      </c>
      <c r="H252" t="str">
        <f t="shared" si="3"/>
        <v/>
      </c>
    </row>
    <row r="253" spans="1:8" x14ac:dyDescent="0.25">
      <c r="A253" t="str">
        <f>IF('Equipment Information'!A253="","", 'Equipment Information'!A253)</f>
        <v/>
      </c>
      <c r="B253" t="str">
        <f>IF('Equipment Information'!B253="","", 'Equipment Information'!B253)</f>
        <v/>
      </c>
      <c r="C253" t="str">
        <f>IF('Equipment Information'!C253="","", 'Equipment Information'!C253)</f>
        <v/>
      </c>
      <c r="H253" t="str">
        <f t="shared" si="3"/>
        <v/>
      </c>
    </row>
    <row r="254" spans="1:8" x14ac:dyDescent="0.25">
      <c r="A254" t="str">
        <f>IF('Equipment Information'!A254="","", 'Equipment Information'!A254)</f>
        <v/>
      </c>
      <c r="B254" t="str">
        <f>IF('Equipment Information'!B254="","", 'Equipment Information'!B254)</f>
        <v/>
      </c>
      <c r="C254" t="str">
        <f>IF('Equipment Information'!C254="","", 'Equipment Information'!C254)</f>
        <v/>
      </c>
      <c r="H254" t="str">
        <f t="shared" si="3"/>
        <v/>
      </c>
    </row>
    <row r="255" spans="1:8" x14ac:dyDescent="0.25">
      <c r="A255" t="str">
        <f>IF('Equipment Information'!A255="","", 'Equipment Information'!A255)</f>
        <v/>
      </c>
      <c r="B255" t="str">
        <f>IF('Equipment Information'!B255="","", 'Equipment Information'!B255)</f>
        <v/>
      </c>
      <c r="C255" t="str">
        <f>IF('Equipment Information'!C255="","", 'Equipment Information'!C255)</f>
        <v/>
      </c>
      <c r="H255" t="str">
        <f t="shared" si="3"/>
        <v/>
      </c>
    </row>
    <row r="256" spans="1:8" x14ac:dyDescent="0.25">
      <c r="A256" t="str">
        <f>IF('Equipment Information'!A256="","", 'Equipment Information'!A256)</f>
        <v/>
      </c>
      <c r="B256" t="str">
        <f>IF('Equipment Information'!B256="","", 'Equipment Information'!B256)</f>
        <v/>
      </c>
      <c r="C256" t="str">
        <f>IF('Equipment Information'!C256="","", 'Equipment Information'!C256)</f>
        <v/>
      </c>
      <c r="H256" t="str">
        <f t="shared" si="3"/>
        <v/>
      </c>
    </row>
    <row r="257" spans="1:8" x14ac:dyDescent="0.25">
      <c r="A257" t="str">
        <f>IF('Equipment Information'!A257="","", 'Equipment Information'!A257)</f>
        <v/>
      </c>
      <c r="B257" t="str">
        <f>IF('Equipment Information'!B257="","", 'Equipment Information'!B257)</f>
        <v/>
      </c>
      <c r="C257" t="str">
        <f>IF('Equipment Information'!C257="","", 'Equipment Information'!C257)</f>
        <v/>
      </c>
      <c r="H257" t="str">
        <f t="shared" si="3"/>
        <v/>
      </c>
    </row>
    <row r="258" spans="1:8" x14ac:dyDescent="0.25">
      <c r="A258" t="str">
        <f>IF('Equipment Information'!A258="","", 'Equipment Information'!A258)</f>
        <v/>
      </c>
      <c r="B258" t="str">
        <f>IF('Equipment Information'!B258="","", 'Equipment Information'!B258)</f>
        <v/>
      </c>
      <c r="C258" t="str">
        <f>IF('Equipment Information'!C258="","", 'Equipment Information'!C258)</f>
        <v/>
      </c>
      <c r="H258" t="str">
        <f t="shared" ref="H258:H321" si="4">IF(A258="","","N/A")</f>
        <v/>
      </c>
    </row>
    <row r="259" spans="1:8" x14ac:dyDescent="0.25">
      <c r="A259" t="str">
        <f>IF('Equipment Information'!A259="","", 'Equipment Information'!A259)</f>
        <v/>
      </c>
      <c r="B259" t="str">
        <f>IF('Equipment Information'!B259="","", 'Equipment Information'!B259)</f>
        <v/>
      </c>
      <c r="C259" t="str">
        <f>IF('Equipment Information'!C259="","", 'Equipment Information'!C259)</f>
        <v/>
      </c>
      <c r="H259" t="str">
        <f t="shared" si="4"/>
        <v/>
      </c>
    </row>
    <row r="260" spans="1:8" x14ac:dyDescent="0.25">
      <c r="A260" t="str">
        <f>IF('Equipment Information'!A260="","", 'Equipment Information'!A260)</f>
        <v/>
      </c>
      <c r="B260" t="str">
        <f>IF('Equipment Information'!B260="","", 'Equipment Information'!B260)</f>
        <v/>
      </c>
      <c r="C260" t="str">
        <f>IF('Equipment Information'!C260="","", 'Equipment Information'!C260)</f>
        <v/>
      </c>
      <c r="H260" t="str">
        <f t="shared" si="4"/>
        <v/>
      </c>
    </row>
    <row r="261" spans="1:8" x14ac:dyDescent="0.25">
      <c r="A261" t="str">
        <f>IF('Equipment Information'!A261="","", 'Equipment Information'!A261)</f>
        <v/>
      </c>
      <c r="B261" t="str">
        <f>IF('Equipment Information'!B261="","", 'Equipment Information'!B261)</f>
        <v/>
      </c>
      <c r="C261" t="str">
        <f>IF('Equipment Information'!C261="","", 'Equipment Information'!C261)</f>
        <v/>
      </c>
      <c r="H261" t="str">
        <f t="shared" si="4"/>
        <v/>
      </c>
    </row>
    <row r="262" spans="1:8" x14ac:dyDescent="0.25">
      <c r="A262" t="str">
        <f>IF('Equipment Information'!A262="","", 'Equipment Information'!A262)</f>
        <v/>
      </c>
      <c r="B262" t="str">
        <f>IF('Equipment Information'!B262="","", 'Equipment Information'!B262)</f>
        <v/>
      </c>
      <c r="C262" t="str">
        <f>IF('Equipment Information'!C262="","", 'Equipment Information'!C262)</f>
        <v/>
      </c>
      <c r="H262" t="str">
        <f t="shared" si="4"/>
        <v/>
      </c>
    </row>
    <row r="263" spans="1:8" x14ac:dyDescent="0.25">
      <c r="A263" t="str">
        <f>IF('Equipment Information'!A263="","", 'Equipment Information'!A263)</f>
        <v/>
      </c>
      <c r="B263" t="str">
        <f>IF('Equipment Information'!B263="","", 'Equipment Information'!B263)</f>
        <v/>
      </c>
      <c r="C263" t="str">
        <f>IF('Equipment Information'!C263="","", 'Equipment Information'!C263)</f>
        <v/>
      </c>
      <c r="H263" t="str">
        <f t="shared" si="4"/>
        <v/>
      </c>
    </row>
    <row r="264" spans="1:8" x14ac:dyDescent="0.25">
      <c r="A264" t="str">
        <f>IF('Equipment Information'!A264="","", 'Equipment Information'!A264)</f>
        <v/>
      </c>
      <c r="B264" t="str">
        <f>IF('Equipment Information'!B264="","", 'Equipment Information'!B264)</f>
        <v/>
      </c>
      <c r="C264" t="str">
        <f>IF('Equipment Information'!C264="","", 'Equipment Information'!C264)</f>
        <v/>
      </c>
      <c r="H264" t="str">
        <f t="shared" si="4"/>
        <v/>
      </c>
    </row>
    <row r="265" spans="1:8" x14ac:dyDescent="0.25">
      <c r="A265" t="str">
        <f>IF('Equipment Information'!A265="","", 'Equipment Information'!A265)</f>
        <v/>
      </c>
      <c r="B265" t="str">
        <f>IF('Equipment Information'!B265="","", 'Equipment Information'!B265)</f>
        <v/>
      </c>
      <c r="C265" t="str">
        <f>IF('Equipment Information'!C265="","", 'Equipment Information'!C265)</f>
        <v/>
      </c>
      <c r="H265" t="str">
        <f t="shared" si="4"/>
        <v/>
      </c>
    </row>
    <row r="266" spans="1:8" x14ac:dyDescent="0.25">
      <c r="A266" t="str">
        <f>IF('Equipment Information'!A266="","", 'Equipment Information'!A266)</f>
        <v/>
      </c>
      <c r="B266" t="str">
        <f>IF('Equipment Information'!B266="","", 'Equipment Information'!B266)</f>
        <v/>
      </c>
      <c r="C266" t="str">
        <f>IF('Equipment Information'!C266="","", 'Equipment Information'!C266)</f>
        <v/>
      </c>
      <c r="H266" t="str">
        <f t="shared" si="4"/>
        <v/>
      </c>
    </row>
    <row r="267" spans="1:8" x14ac:dyDescent="0.25">
      <c r="A267" t="str">
        <f>IF('Equipment Information'!A267="","", 'Equipment Information'!A267)</f>
        <v/>
      </c>
      <c r="B267" t="str">
        <f>IF('Equipment Information'!B267="","", 'Equipment Information'!B267)</f>
        <v/>
      </c>
      <c r="C267" t="str">
        <f>IF('Equipment Information'!C267="","", 'Equipment Information'!C267)</f>
        <v/>
      </c>
      <c r="H267" t="str">
        <f t="shared" si="4"/>
        <v/>
      </c>
    </row>
    <row r="268" spans="1:8" x14ac:dyDescent="0.25">
      <c r="A268" t="str">
        <f>IF('Equipment Information'!A268="","", 'Equipment Information'!A268)</f>
        <v/>
      </c>
      <c r="B268" t="str">
        <f>IF('Equipment Information'!B268="","", 'Equipment Information'!B268)</f>
        <v/>
      </c>
      <c r="C268" t="str">
        <f>IF('Equipment Information'!C268="","", 'Equipment Information'!C268)</f>
        <v/>
      </c>
      <c r="H268" t="str">
        <f t="shared" si="4"/>
        <v/>
      </c>
    </row>
    <row r="269" spans="1:8" x14ac:dyDescent="0.25">
      <c r="A269" t="str">
        <f>IF('Equipment Information'!A269="","", 'Equipment Information'!A269)</f>
        <v/>
      </c>
      <c r="B269" t="str">
        <f>IF('Equipment Information'!B269="","", 'Equipment Information'!B269)</f>
        <v/>
      </c>
      <c r="C269" t="str">
        <f>IF('Equipment Information'!C269="","", 'Equipment Information'!C269)</f>
        <v/>
      </c>
      <c r="H269" t="str">
        <f t="shared" si="4"/>
        <v/>
      </c>
    </row>
    <row r="270" spans="1:8" x14ac:dyDescent="0.25">
      <c r="A270" t="str">
        <f>IF('Equipment Information'!A270="","", 'Equipment Information'!A270)</f>
        <v/>
      </c>
      <c r="B270" t="str">
        <f>IF('Equipment Information'!B270="","", 'Equipment Information'!B270)</f>
        <v/>
      </c>
      <c r="C270" t="str">
        <f>IF('Equipment Information'!C270="","", 'Equipment Information'!C270)</f>
        <v/>
      </c>
      <c r="H270" t="str">
        <f t="shared" si="4"/>
        <v/>
      </c>
    </row>
    <row r="271" spans="1:8" x14ac:dyDescent="0.25">
      <c r="A271" t="str">
        <f>IF('Equipment Information'!A271="","", 'Equipment Information'!A271)</f>
        <v/>
      </c>
      <c r="B271" t="str">
        <f>IF('Equipment Information'!B271="","", 'Equipment Information'!B271)</f>
        <v/>
      </c>
      <c r="C271" t="str">
        <f>IF('Equipment Information'!C271="","", 'Equipment Information'!C271)</f>
        <v/>
      </c>
      <c r="H271" t="str">
        <f t="shared" si="4"/>
        <v/>
      </c>
    </row>
    <row r="272" spans="1:8" x14ac:dyDescent="0.25">
      <c r="A272" t="str">
        <f>IF('Equipment Information'!A272="","", 'Equipment Information'!A272)</f>
        <v/>
      </c>
      <c r="B272" t="str">
        <f>IF('Equipment Information'!B272="","", 'Equipment Information'!B272)</f>
        <v/>
      </c>
      <c r="C272" t="str">
        <f>IF('Equipment Information'!C272="","", 'Equipment Information'!C272)</f>
        <v/>
      </c>
      <c r="H272" t="str">
        <f t="shared" si="4"/>
        <v/>
      </c>
    </row>
    <row r="273" spans="1:8" x14ac:dyDescent="0.25">
      <c r="A273" t="str">
        <f>IF('Equipment Information'!A273="","", 'Equipment Information'!A273)</f>
        <v/>
      </c>
      <c r="B273" t="str">
        <f>IF('Equipment Information'!B273="","", 'Equipment Information'!B273)</f>
        <v/>
      </c>
      <c r="C273" t="str">
        <f>IF('Equipment Information'!C273="","", 'Equipment Information'!C273)</f>
        <v/>
      </c>
      <c r="H273" t="str">
        <f t="shared" si="4"/>
        <v/>
      </c>
    </row>
    <row r="274" spans="1:8" x14ac:dyDescent="0.25">
      <c r="A274" t="str">
        <f>IF('Equipment Information'!A274="","", 'Equipment Information'!A274)</f>
        <v/>
      </c>
      <c r="B274" t="str">
        <f>IF('Equipment Information'!B274="","", 'Equipment Information'!B274)</f>
        <v/>
      </c>
      <c r="C274" t="str">
        <f>IF('Equipment Information'!C274="","", 'Equipment Information'!C274)</f>
        <v/>
      </c>
      <c r="H274" t="str">
        <f t="shared" si="4"/>
        <v/>
      </c>
    </row>
    <row r="275" spans="1:8" x14ac:dyDescent="0.25">
      <c r="A275" t="str">
        <f>IF('Equipment Information'!A275="","", 'Equipment Information'!A275)</f>
        <v/>
      </c>
      <c r="B275" t="str">
        <f>IF('Equipment Information'!B275="","", 'Equipment Information'!B275)</f>
        <v/>
      </c>
      <c r="C275" t="str">
        <f>IF('Equipment Information'!C275="","", 'Equipment Information'!C275)</f>
        <v/>
      </c>
      <c r="H275" t="str">
        <f t="shared" si="4"/>
        <v/>
      </c>
    </row>
    <row r="276" spans="1:8" x14ac:dyDescent="0.25">
      <c r="A276" t="str">
        <f>IF('Equipment Information'!A276="","", 'Equipment Information'!A276)</f>
        <v/>
      </c>
      <c r="B276" t="str">
        <f>IF('Equipment Information'!B276="","", 'Equipment Information'!B276)</f>
        <v/>
      </c>
      <c r="C276" t="str">
        <f>IF('Equipment Information'!C276="","", 'Equipment Information'!C276)</f>
        <v/>
      </c>
      <c r="H276" t="str">
        <f t="shared" si="4"/>
        <v/>
      </c>
    </row>
    <row r="277" spans="1:8" x14ac:dyDescent="0.25">
      <c r="A277" t="str">
        <f>IF('Equipment Information'!A277="","", 'Equipment Information'!A277)</f>
        <v/>
      </c>
      <c r="B277" t="str">
        <f>IF('Equipment Information'!B277="","", 'Equipment Information'!B277)</f>
        <v/>
      </c>
      <c r="C277" t="str">
        <f>IF('Equipment Information'!C277="","", 'Equipment Information'!C277)</f>
        <v/>
      </c>
      <c r="H277" t="str">
        <f t="shared" si="4"/>
        <v/>
      </c>
    </row>
    <row r="278" spans="1:8" x14ac:dyDescent="0.25">
      <c r="A278" t="str">
        <f>IF('Equipment Information'!A278="","", 'Equipment Information'!A278)</f>
        <v/>
      </c>
      <c r="B278" t="str">
        <f>IF('Equipment Information'!B278="","", 'Equipment Information'!B278)</f>
        <v/>
      </c>
      <c r="C278" t="str">
        <f>IF('Equipment Information'!C278="","", 'Equipment Information'!C278)</f>
        <v/>
      </c>
      <c r="H278" t="str">
        <f t="shared" si="4"/>
        <v/>
      </c>
    </row>
    <row r="279" spans="1:8" x14ac:dyDescent="0.25">
      <c r="A279" t="str">
        <f>IF('Equipment Information'!A279="","", 'Equipment Information'!A279)</f>
        <v/>
      </c>
      <c r="B279" t="str">
        <f>IF('Equipment Information'!B279="","", 'Equipment Information'!B279)</f>
        <v/>
      </c>
      <c r="C279" t="str">
        <f>IF('Equipment Information'!C279="","", 'Equipment Information'!C279)</f>
        <v/>
      </c>
      <c r="H279" t="str">
        <f t="shared" si="4"/>
        <v/>
      </c>
    </row>
    <row r="280" spans="1:8" x14ac:dyDescent="0.25">
      <c r="A280" t="str">
        <f>IF('Equipment Information'!A280="","", 'Equipment Information'!A280)</f>
        <v/>
      </c>
      <c r="B280" t="str">
        <f>IF('Equipment Information'!B280="","", 'Equipment Information'!B280)</f>
        <v/>
      </c>
      <c r="C280" t="str">
        <f>IF('Equipment Information'!C280="","", 'Equipment Information'!C280)</f>
        <v/>
      </c>
      <c r="H280" t="str">
        <f t="shared" si="4"/>
        <v/>
      </c>
    </row>
    <row r="281" spans="1:8" x14ac:dyDescent="0.25">
      <c r="A281" t="str">
        <f>IF('Equipment Information'!A281="","", 'Equipment Information'!A281)</f>
        <v/>
      </c>
      <c r="B281" t="str">
        <f>IF('Equipment Information'!B281="","", 'Equipment Information'!B281)</f>
        <v/>
      </c>
      <c r="C281" t="str">
        <f>IF('Equipment Information'!C281="","", 'Equipment Information'!C281)</f>
        <v/>
      </c>
      <c r="H281" t="str">
        <f t="shared" si="4"/>
        <v/>
      </c>
    </row>
    <row r="282" spans="1:8" x14ac:dyDescent="0.25">
      <c r="A282" t="str">
        <f>IF('Equipment Information'!A282="","", 'Equipment Information'!A282)</f>
        <v/>
      </c>
      <c r="B282" t="str">
        <f>IF('Equipment Information'!B282="","", 'Equipment Information'!B282)</f>
        <v/>
      </c>
      <c r="C282" t="str">
        <f>IF('Equipment Information'!C282="","", 'Equipment Information'!C282)</f>
        <v/>
      </c>
      <c r="H282" t="str">
        <f t="shared" si="4"/>
        <v/>
      </c>
    </row>
    <row r="283" spans="1:8" x14ac:dyDescent="0.25">
      <c r="A283" t="str">
        <f>IF('Equipment Information'!A283="","", 'Equipment Information'!A283)</f>
        <v/>
      </c>
      <c r="B283" t="str">
        <f>IF('Equipment Information'!B283="","", 'Equipment Information'!B283)</f>
        <v/>
      </c>
      <c r="C283" t="str">
        <f>IF('Equipment Information'!C283="","", 'Equipment Information'!C283)</f>
        <v/>
      </c>
      <c r="H283" t="str">
        <f t="shared" si="4"/>
        <v/>
      </c>
    </row>
    <row r="284" spans="1:8" x14ac:dyDescent="0.25">
      <c r="A284" t="str">
        <f>IF('Equipment Information'!A284="","", 'Equipment Information'!A284)</f>
        <v/>
      </c>
      <c r="B284" t="str">
        <f>IF('Equipment Information'!B284="","", 'Equipment Information'!B284)</f>
        <v/>
      </c>
      <c r="C284" t="str">
        <f>IF('Equipment Information'!C284="","", 'Equipment Information'!C284)</f>
        <v/>
      </c>
      <c r="H284" t="str">
        <f t="shared" si="4"/>
        <v/>
      </c>
    </row>
    <row r="285" spans="1:8" x14ac:dyDescent="0.25">
      <c r="A285" t="str">
        <f>IF('Equipment Information'!A285="","", 'Equipment Information'!A285)</f>
        <v/>
      </c>
      <c r="B285" t="str">
        <f>IF('Equipment Information'!B285="","", 'Equipment Information'!B285)</f>
        <v/>
      </c>
      <c r="C285" t="str">
        <f>IF('Equipment Information'!C285="","", 'Equipment Information'!C285)</f>
        <v/>
      </c>
      <c r="H285" t="str">
        <f t="shared" si="4"/>
        <v/>
      </c>
    </row>
    <row r="286" spans="1:8" x14ac:dyDescent="0.25">
      <c r="A286" t="str">
        <f>IF('Equipment Information'!A286="","", 'Equipment Information'!A286)</f>
        <v/>
      </c>
      <c r="B286" t="str">
        <f>IF('Equipment Information'!B286="","", 'Equipment Information'!B286)</f>
        <v/>
      </c>
      <c r="C286" t="str">
        <f>IF('Equipment Information'!C286="","", 'Equipment Information'!C286)</f>
        <v/>
      </c>
      <c r="H286" t="str">
        <f t="shared" si="4"/>
        <v/>
      </c>
    </row>
    <row r="287" spans="1:8" x14ac:dyDescent="0.25">
      <c r="A287" t="str">
        <f>IF('Equipment Information'!A287="","", 'Equipment Information'!A287)</f>
        <v/>
      </c>
      <c r="B287" t="str">
        <f>IF('Equipment Information'!B287="","", 'Equipment Information'!B287)</f>
        <v/>
      </c>
      <c r="C287" t="str">
        <f>IF('Equipment Information'!C287="","", 'Equipment Information'!C287)</f>
        <v/>
      </c>
      <c r="H287" t="str">
        <f t="shared" si="4"/>
        <v/>
      </c>
    </row>
    <row r="288" spans="1:8" x14ac:dyDescent="0.25">
      <c r="A288" t="str">
        <f>IF('Equipment Information'!A288="","", 'Equipment Information'!A288)</f>
        <v/>
      </c>
      <c r="B288" t="str">
        <f>IF('Equipment Information'!B288="","", 'Equipment Information'!B288)</f>
        <v/>
      </c>
      <c r="C288" t="str">
        <f>IF('Equipment Information'!C288="","", 'Equipment Information'!C288)</f>
        <v/>
      </c>
      <c r="H288" t="str">
        <f t="shared" si="4"/>
        <v/>
      </c>
    </row>
    <row r="289" spans="1:8" x14ac:dyDescent="0.25">
      <c r="A289" t="str">
        <f>IF('Equipment Information'!A289="","", 'Equipment Information'!A289)</f>
        <v/>
      </c>
      <c r="B289" t="str">
        <f>IF('Equipment Information'!B289="","", 'Equipment Information'!B289)</f>
        <v/>
      </c>
      <c r="C289" t="str">
        <f>IF('Equipment Information'!C289="","", 'Equipment Information'!C289)</f>
        <v/>
      </c>
      <c r="H289" t="str">
        <f t="shared" si="4"/>
        <v/>
      </c>
    </row>
    <row r="290" spans="1:8" x14ac:dyDescent="0.25">
      <c r="A290" t="str">
        <f>IF('Equipment Information'!A290="","", 'Equipment Information'!A290)</f>
        <v/>
      </c>
      <c r="B290" t="str">
        <f>IF('Equipment Information'!B290="","", 'Equipment Information'!B290)</f>
        <v/>
      </c>
      <c r="C290" t="str">
        <f>IF('Equipment Information'!C290="","", 'Equipment Information'!C290)</f>
        <v/>
      </c>
      <c r="H290" t="str">
        <f t="shared" si="4"/>
        <v/>
      </c>
    </row>
    <row r="291" spans="1:8" x14ac:dyDescent="0.25">
      <c r="A291" t="str">
        <f>IF('Equipment Information'!A291="","", 'Equipment Information'!A291)</f>
        <v/>
      </c>
      <c r="B291" t="str">
        <f>IF('Equipment Information'!B291="","", 'Equipment Information'!B291)</f>
        <v/>
      </c>
      <c r="C291" t="str">
        <f>IF('Equipment Information'!C291="","", 'Equipment Information'!C291)</f>
        <v/>
      </c>
      <c r="H291" t="str">
        <f t="shared" si="4"/>
        <v/>
      </c>
    </row>
    <row r="292" spans="1:8" x14ac:dyDescent="0.25">
      <c r="A292" t="str">
        <f>IF('Equipment Information'!A292="","", 'Equipment Information'!A292)</f>
        <v/>
      </c>
      <c r="B292" t="str">
        <f>IF('Equipment Information'!B292="","", 'Equipment Information'!B292)</f>
        <v/>
      </c>
      <c r="C292" t="str">
        <f>IF('Equipment Information'!C292="","", 'Equipment Information'!C292)</f>
        <v/>
      </c>
      <c r="H292" t="str">
        <f t="shared" si="4"/>
        <v/>
      </c>
    </row>
    <row r="293" spans="1:8" x14ac:dyDescent="0.25">
      <c r="A293" t="str">
        <f>IF('Equipment Information'!A293="","", 'Equipment Information'!A293)</f>
        <v/>
      </c>
      <c r="B293" t="str">
        <f>IF('Equipment Information'!B293="","", 'Equipment Information'!B293)</f>
        <v/>
      </c>
      <c r="C293" t="str">
        <f>IF('Equipment Information'!C293="","", 'Equipment Information'!C293)</f>
        <v/>
      </c>
      <c r="H293" t="str">
        <f t="shared" si="4"/>
        <v/>
      </c>
    </row>
    <row r="294" spans="1:8" x14ac:dyDescent="0.25">
      <c r="A294" t="str">
        <f>IF('Equipment Information'!A294="","", 'Equipment Information'!A294)</f>
        <v/>
      </c>
      <c r="B294" t="str">
        <f>IF('Equipment Information'!B294="","", 'Equipment Information'!B294)</f>
        <v/>
      </c>
      <c r="C294" t="str">
        <f>IF('Equipment Information'!C294="","", 'Equipment Information'!C294)</f>
        <v/>
      </c>
      <c r="H294" t="str">
        <f t="shared" si="4"/>
        <v/>
      </c>
    </row>
    <row r="295" spans="1:8" x14ac:dyDescent="0.25">
      <c r="A295" t="str">
        <f>IF('Equipment Information'!A295="","", 'Equipment Information'!A295)</f>
        <v/>
      </c>
      <c r="B295" t="str">
        <f>IF('Equipment Information'!B295="","", 'Equipment Information'!B295)</f>
        <v/>
      </c>
      <c r="C295" t="str">
        <f>IF('Equipment Information'!C295="","", 'Equipment Information'!C295)</f>
        <v/>
      </c>
      <c r="H295" t="str">
        <f t="shared" si="4"/>
        <v/>
      </c>
    </row>
    <row r="296" spans="1:8" x14ac:dyDescent="0.25">
      <c r="A296" t="str">
        <f>IF('Equipment Information'!A296="","", 'Equipment Information'!A296)</f>
        <v/>
      </c>
      <c r="B296" t="str">
        <f>IF('Equipment Information'!B296="","", 'Equipment Information'!B296)</f>
        <v/>
      </c>
      <c r="C296" t="str">
        <f>IF('Equipment Information'!C296="","", 'Equipment Information'!C296)</f>
        <v/>
      </c>
      <c r="H296" t="str">
        <f t="shared" si="4"/>
        <v/>
      </c>
    </row>
    <row r="297" spans="1:8" x14ac:dyDescent="0.25">
      <c r="A297" t="str">
        <f>IF('Equipment Information'!A297="","", 'Equipment Information'!A297)</f>
        <v/>
      </c>
      <c r="B297" t="str">
        <f>IF('Equipment Information'!B297="","", 'Equipment Information'!B297)</f>
        <v/>
      </c>
      <c r="C297" t="str">
        <f>IF('Equipment Information'!C297="","", 'Equipment Information'!C297)</f>
        <v/>
      </c>
      <c r="H297" t="str">
        <f t="shared" si="4"/>
        <v/>
      </c>
    </row>
    <row r="298" spans="1:8" x14ac:dyDescent="0.25">
      <c r="A298" t="str">
        <f>IF('Equipment Information'!A298="","", 'Equipment Information'!A298)</f>
        <v/>
      </c>
      <c r="B298" t="str">
        <f>IF('Equipment Information'!B298="","", 'Equipment Information'!B298)</f>
        <v/>
      </c>
      <c r="C298" t="str">
        <f>IF('Equipment Information'!C298="","", 'Equipment Information'!C298)</f>
        <v/>
      </c>
      <c r="H298" t="str">
        <f t="shared" si="4"/>
        <v/>
      </c>
    </row>
    <row r="299" spans="1:8" x14ac:dyDescent="0.25">
      <c r="A299" t="str">
        <f>IF('Equipment Information'!A299="","", 'Equipment Information'!A299)</f>
        <v/>
      </c>
      <c r="B299" t="str">
        <f>IF('Equipment Information'!B299="","", 'Equipment Information'!B299)</f>
        <v/>
      </c>
      <c r="C299" t="str">
        <f>IF('Equipment Information'!C299="","", 'Equipment Information'!C299)</f>
        <v/>
      </c>
      <c r="H299" t="str">
        <f t="shared" si="4"/>
        <v/>
      </c>
    </row>
    <row r="300" spans="1:8" x14ac:dyDescent="0.25">
      <c r="A300" t="str">
        <f>IF('Equipment Information'!A300="","", 'Equipment Information'!A300)</f>
        <v/>
      </c>
      <c r="B300" t="str">
        <f>IF('Equipment Information'!B300="","", 'Equipment Information'!B300)</f>
        <v/>
      </c>
      <c r="C300" t="str">
        <f>IF('Equipment Information'!C300="","", 'Equipment Information'!C300)</f>
        <v/>
      </c>
      <c r="H300" t="str">
        <f t="shared" si="4"/>
        <v/>
      </c>
    </row>
    <row r="301" spans="1:8" x14ac:dyDescent="0.25">
      <c r="A301" t="str">
        <f>IF('Equipment Information'!A301="","", 'Equipment Information'!A301)</f>
        <v/>
      </c>
      <c r="B301" t="str">
        <f>IF('Equipment Information'!B301="","", 'Equipment Information'!B301)</f>
        <v/>
      </c>
      <c r="C301" t="str">
        <f>IF('Equipment Information'!C301="","", 'Equipment Information'!C301)</f>
        <v/>
      </c>
      <c r="H301" t="str">
        <f t="shared" si="4"/>
        <v/>
      </c>
    </row>
    <row r="302" spans="1:8" x14ac:dyDescent="0.25">
      <c r="A302" t="str">
        <f>IF('Equipment Information'!A302="","", 'Equipment Information'!A302)</f>
        <v/>
      </c>
      <c r="B302" t="str">
        <f>IF('Equipment Information'!B302="","", 'Equipment Information'!B302)</f>
        <v/>
      </c>
      <c r="C302" t="str">
        <f>IF('Equipment Information'!C302="","", 'Equipment Information'!C302)</f>
        <v/>
      </c>
      <c r="H302" t="str">
        <f t="shared" si="4"/>
        <v/>
      </c>
    </row>
    <row r="303" spans="1:8" x14ac:dyDescent="0.25">
      <c r="A303" t="str">
        <f>IF('Equipment Information'!A303="","", 'Equipment Information'!A303)</f>
        <v/>
      </c>
      <c r="B303" t="str">
        <f>IF('Equipment Information'!B303="","", 'Equipment Information'!B303)</f>
        <v/>
      </c>
      <c r="C303" t="str">
        <f>IF('Equipment Information'!C303="","", 'Equipment Information'!C303)</f>
        <v/>
      </c>
      <c r="H303" t="str">
        <f t="shared" si="4"/>
        <v/>
      </c>
    </row>
    <row r="304" spans="1:8" x14ac:dyDescent="0.25">
      <c r="A304" t="str">
        <f>IF('Equipment Information'!A304="","", 'Equipment Information'!A304)</f>
        <v/>
      </c>
      <c r="B304" t="str">
        <f>IF('Equipment Information'!B304="","", 'Equipment Information'!B304)</f>
        <v/>
      </c>
      <c r="C304" t="str">
        <f>IF('Equipment Information'!C304="","", 'Equipment Information'!C304)</f>
        <v/>
      </c>
      <c r="H304" t="str">
        <f t="shared" si="4"/>
        <v/>
      </c>
    </row>
    <row r="305" spans="1:8" x14ac:dyDescent="0.25">
      <c r="A305" t="str">
        <f>IF('Equipment Information'!A305="","", 'Equipment Information'!A305)</f>
        <v/>
      </c>
      <c r="B305" t="str">
        <f>IF('Equipment Information'!B305="","", 'Equipment Information'!B305)</f>
        <v/>
      </c>
      <c r="C305" t="str">
        <f>IF('Equipment Information'!C305="","", 'Equipment Information'!C305)</f>
        <v/>
      </c>
      <c r="H305" t="str">
        <f t="shared" si="4"/>
        <v/>
      </c>
    </row>
    <row r="306" spans="1:8" x14ac:dyDescent="0.25">
      <c r="A306" t="str">
        <f>IF('Equipment Information'!A306="","", 'Equipment Information'!A306)</f>
        <v/>
      </c>
      <c r="B306" t="str">
        <f>IF('Equipment Information'!B306="","", 'Equipment Information'!B306)</f>
        <v/>
      </c>
      <c r="C306" t="str">
        <f>IF('Equipment Information'!C306="","", 'Equipment Information'!C306)</f>
        <v/>
      </c>
      <c r="H306" t="str">
        <f t="shared" si="4"/>
        <v/>
      </c>
    </row>
    <row r="307" spans="1:8" x14ac:dyDescent="0.25">
      <c r="A307" t="str">
        <f>IF('Equipment Information'!A307="","", 'Equipment Information'!A307)</f>
        <v/>
      </c>
      <c r="B307" t="str">
        <f>IF('Equipment Information'!B307="","", 'Equipment Information'!B307)</f>
        <v/>
      </c>
      <c r="C307" t="str">
        <f>IF('Equipment Information'!C307="","", 'Equipment Information'!C307)</f>
        <v/>
      </c>
      <c r="H307" t="str">
        <f t="shared" si="4"/>
        <v/>
      </c>
    </row>
    <row r="308" spans="1:8" x14ac:dyDescent="0.25">
      <c r="A308" t="str">
        <f>IF('Equipment Information'!A308="","", 'Equipment Information'!A308)</f>
        <v/>
      </c>
      <c r="B308" t="str">
        <f>IF('Equipment Information'!B308="","", 'Equipment Information'!B308)</f>
        <v/>
      </c>
      <c r="C308" t="str">
        <f>IF('Equipment Information'!C308="","", 'Equipment Information'!C308)</f>
        <v/>
      </c>
      <c r="H308" t="str">
        <f t="shared" si="4"/>
        <v/>
      </c>
    </row>
    <row r="309" spans="1:8" x14ac:dyDescent="0.25">
      <c r="A309" t="str">
        <f>IF('Equipment Information'!A309="","", 'Equipment Information'!A309)</f>
        <v/>
      </c>
      <c r="B309" t="str">
        <f>IF('Equipment Information'!B309="","", 'Equipment Information'!B309)</f>
        <v/>
      </c>
      <c r="C309" t="str">
        <f>IF('Equipment Information'!C309="","", 'Equipment Information'!C309)</f>
        <v/>
      </c>
      <c r="H309" t="str">
        <f t="shared" si="4"/>
        <v/>
      </c>
    </row>
    <row r="310" spans="1:8" x14ac:dyDescent="0.25">
      <c r="A310" t="str">
        <f>IF('Equipment Information'!A310="","", 'Equipment Information'!A310)</f>
        <v/>
      </c>
      <c r="B310" t="str">
        <f>IF('Equipment Information'!B310="","", 'Equipment Information'!B310)</f>
        <v/>
      </c>
      <c r="C310" t="str">
        <f>IF('Equipment Information'!C310="","", 'Equipment Information'!C310)</f>
        <v/>
      </c>
      <c r="H310" t="str">
        <f t="shared" si="4"/>
        <v/>
      </c>
    </row>
    <row r="311" spans="1:8" x14ac:dyDescent="0.25">
      <c r="A311" t="str">
        <f>IF('Equipment Information'!A311="","", 'Equipment Information'!A311)</f>
        <v/>
      </c>
      <c r="B311" t="str">
        <f>IF('Equipment Information'!B311="","", 'Equipment Information'!B311)</f>
        <v/>
      </c>
      <c r="C311" t="str">
        <f>IF('Equipment Information'!C311="","", 'Equipment Information'!C311)</f>
        <v/>
      </c>
      <c r="H311" t="str">
        <f t="shared" si="4"/>
        <v/>
      </c>
    </row>
    <row r="312" spans="1:8" x14ac:dyDescent="0.25">
      <c r="A312" t="str">
        <f>IF('Equipment Information'!A312="","", 'Equipment Information'!A312)</f>
        <v/>
      </c>
      <c r="B312" t="str">
        <f>IF('Equipment Information'!B312="","", 'Equipment Information'!B312)</f>
        <v/>
      </c>
      <c r="C312" t="str">
        <f>IF('Equipment Information'!C312="","", 'Equipment Information'!C312)</f>
        <v/>
      </c>
      <c r="H312" t="str">
        <f t="shared" si="4"/>
        <v/>
      </c>
    </row>
    <row r="313" spans="1:8" x14ac:dyDescent="0.25">
      <c r="A313" t="str">
        <f>IF('Equipment Information'!A313="","", 'Equipment Information'!A313)</f>
        <v/>
      </c>
      <c r="B313" t="str">
        <f>IF('Equipment Information'!B313="","", 'Equipment Information'!B313)</f>
        <v/>
      </c>
      <c r="C313" t="str">
        <f>IF('Equipment Information'!C313="","", 'Equipment Information'!C313)</f>
        <v/>
      </c>
      <c r="H313" t="str">
        <f t="shared" si="4"/>
        <v/>
      </c>
    </row>
    <row r="314" spans="1:8" x14ac:dyDescent="0.25">
      <c r="A314" t="str">
        <f>IF('Equipment Information'!A314="","", 'Equipment Information'!A314)</f>
        <v/>
      </c>
      <c r="B314" t="str">
        <f>IF('Equipment Information'!B314="","", 'Equipment Information'!B314)</f>
        <v/>
      </c>
      <c r="C314" t="str">
        <f>IF('Equipment Information'!C314="","", 'Equipment Information'!C314)</f>
        <v/>
      </c>
      <c r="H314" t="str">
        <f t="shared" si="4"/>
        <v/>
      </c>
    </row>
    <row r="315" spans="1:8" x14ac:dyDescent="0.25">
      <c r="A315" t="str">
        <f>IF('Equipment Information'!A315="","", 'Equipment Information'!A315)</f>
        <v/>
      </c>
      <c r="B315" t="str">
        <f>IF('Equipment Information'!B315="","", 'Equipment Information'!B315)</f>
        <v/>
      </c>
      <c r="C315" t="str">
        <f>IF('Equipment Information'!C315="","", 'Equipment Information'!C315)</f>
        <v/>
      </c>
      <c r="H315" t="str">
        <f t="shared" si="4"/>
        <v/>
      </c>
    </row>
    <row r="316" spans="1:8" x14ac:dyDescent="0.25">
      <c r="A316" t="str">
        <f>IF('Equipment Information'!A316="","", 'Equipment Information'!A316)</f>
        <v/>
      </c>
      <c r="B316" t="str">
        <f>IF('Equipment Information'!B316="","", 'Equipment Information'!B316)</f>
        <v/>
      </c>
      <c r="C316" t="str">
        <f>IF('Equipment Information'!C316="","", 'Equipment Information'!C316)</f>
        <v/>
      </c>
      <c r="H316" t="str">
        <f t="shared" si="4"/>
        <v/>
      </c>
    </row>
    <row r="317" spans="1:8" x14ac:dyDescent="0.25">
      <c r="A317" t="str">
        <f>IF('Equipment Information'!A317="","", 'Equipment Information'!A317)</f>
        <v/>
      </c>
      <c r="B317" t="str">
        <f>IF('Equipment Information'!B317="","", 'Equipment Information'!B317)</f>
        <v/>
      </c>
      <c r="C317" t="str">
        <f>IF('Equipment Information'!C317="","", 'Equipment Information'!C317)</f>
        <v/>
      </c>
      <c r="H317" t="str">
        <f t="shared" si="4"/>
        <v/>
      </c>
    </row>
    <row r="318" spans="1:8" x14ac:dyDescent="0.25">
      <c r="A318" t="str">
        <f>IF('Equipment Information'!A318="","", 'Equipment Information'!A318)</f>
        <v/>
      </c>
      <c r="B318" t="str">
        <f>IF('Equipment Information'!B318="","", 'Equipment Information'!B318)</f>
        <v/>
      </c>
      <c r="C318" t="str">
        <f>IF('Equipment Information'!C318="","", 'Equipment Information'!C318)</f>
        <v/>
      </c>
      <c r="H318" t="str">
        <f t="shared" si="4"/>
        <v/>
      </c>
    </row>
    <row r="319" spans="1:8" x14ac:dyDescent="0.25">
      <c r="A319" t="str">
        <f>IF('Equipment Information'!A319="","", 'Equipment Information'!A319)</f>
        <v/>
      </c>
      <c r="B319" t="str">
        <f>IF('Equipment Information'!B319="","", 'Equipment Information'!B319)</f>
        <v/>
      </c>
      <c r="C319" t="str">
        <f>IF('Equipment Information'!C319="","", 'Equipment Information'!C319)</f>
        <v/>
      </c>
      <c r="H319" t="str">
        <f t="shared" si="4"/>
        <v/>
      </c>
    </row>
    <row r="320" spans="1:8" x14ac:dyDescent="0.25">
      <c r="A320" t="str">
        <f>IF('Equipment Information'!A320="","", 'Equipment Information'!A320)</f>
        <v/>
      </c>
      <c r="B320" t="str">
        <f>IF('Equipment Information'!B320="","", 'Equipment Information'!B320)</f>
        <v/>
      </c>
      <c r="C320" t="str">
        <f>IF('Equipment Information'!C320="","", 'Equipment Information'!C320)</f>
        <v/>
      </c>
      <c r="H320" t="str">
        <f t="shared" si="4"/>
        <v/>
      </c>
    </row>
    <row r="321" spans="1:8" x14ac:dyDescent="0.25">
      <c r="A321" t="str">
        <f>IF('Equipment Information'!A321="","", 'Equipment Information'!A321)</f>
        <v/>
      </c>
      <c r="B321" t="str">
        <f>IF('Equipment Information'!B321="","", 'Equipment Information'!B321)</f>
        <v/>
      </c>
      <c r="C321" t="str">
        <f>IF('Equipment Information'!C321="","", 'Equipment Information'!C321)</f>
        <v/>
      </c>
      <c r="H321" t="str">
        <f t="shared" si="4"/>
        <v/>
      </c>
    </row>
    <row r="322" spans="1:8" x14ac:dyDescent="0.25">
      <c r="A322" t="str">
        <f>IF('Equipment Information'!A322="","", 'Equipment Information'!A322)</f>
        <v/>
      </c>
      <c r="B322" t="str">
        <f>IF('Equipment Information'!B322="","", 'Equipment Information'!B322)</f>
        <v/>
      </c>
      <c r="C322" t="str">
        <f>IF('Equipment Information'!C322="","", 'Equipment Information'!C322)</f>
        <v/>
      </c>
      <c r="H322" t="str">
        <f t="shared" ref="H322:H385" si="5">IF(A322="","","N/A")</f>
        <v/>
      </c>
    </row>
    <row r="323" spans="1:8" x14ac:dyDescent="0.25">
      <c r="A323" t="str">
        <f>IF('Equipment Information'!A323="","", 'Equipment Information'!A323)</f>
        <v/>
      </c>
      <c r="B323" t="str">
        <f>IF('Equipment Information'!B323="","", 'Equipment Information'!B323)</f>
        <v/>
      </c>
      <c r="C323" t="str">
        <f>IF('Equipment Information'!C323="","", 'Equipment Information'!C323)</f>
        <v/>
      </c>
      <c r="H323" t="str">
        <f t="shared" si="5"/>
        <v/>
      </c>
    </row>
    <row r="324" spans="1:8" x14ac:dyDescent="0.25">
      <c r="A324" t="str">
        <f>IF('Equipment Information'!A324="","", 'Equipment Information'!A324)</f>
        <v/>
      </c>
      <c r="B324" t="str">
        <f>IF('Equipment Information'!B324="","", 'Equipment Information'!B324)</f>
        <v/>
      </c>
      <c r="C324" t="str">
        <f>IF('Equipment Information'!C324="","", 'Equipment Information'!C324)</f>
        <v/>
      </c>
      <c r="H324" t="str">
        <f t="shared" si="5"/>
        <v/>
      </c>
    </row>
    <row r="325" spans="1:8" x14ac:dyDescent="0.25">
      <c r="A325" t="str">
        <f>IF('Equipment Information'!A325="","", 'Equipment Information'!A325)</f>
        <v/>
      </c>
      <c r="B325" t="str">
        <f>IF('Equipment Information'!B325="","", 'Equipment Information'!B325)</f>
        <v/>
      </c>
      <c r="C325" t="str">
        <f>IF('Equipment Information'!C325="","", 'Equipment Information'!C325)</f>
        <v/>
      </c>
      <c r="H325" t="str">
        <f t="shared" si="5"/>
        <v/>
      </c>
    </row>
    <row r="326" spans="1:8" x14ac:dyDescent="0.25">
      <c r="A326" t="str">
        <f>IF('Equipment Information'!A326="","", 'Equipment Information'!A326)</f>
        <v/>
      </c>
      <c r="B326" t="str">
        <f>IF('Equipment Information'!B326="","", 'Equipment Information'!B326)</f>
        <v/>
      </c>
      <c r="C326" t="str">
        <f>IF('Equipment Information'!C326="","", 'Equipment Information'!C326)</f>
        <v/>
      </c>
      <c r="H326" t="str">
        <f t="shared" si="5"/>
        <v/>
      </c>
    </row>
    <row r="327" spans="1:8" x14ac:dyDescent="0.25">
      <c r="A327" t="str">
        <f>IF('Equipment Information'!A327="","", 'Equipment Information'!A327)</f>
        <v/>
      </c>
      <c r="B327" t="str">
        <f>IF('Equipment Information'!B327="","", 'Equipment Information'!B327)</f>
        <v/>
      </c>
      <c r="C327" t="str">
        <f>IF('Equipment Information'!C327="","", 'Equipment Information'!C327)</f>
        <v/>
      </c>
      <c r="H327" t="str">
        <f t="shared" si="5"/>
        <v/>
      </c>
    </row>
    <row r="328" spans="1:8" x14ac:dyDescent="0.25">
      <c r="A328" t="str">
        <f>IF('Equipment Information'!A328="","", 'Equipment Information'!A328)</f>
        <v/>
      </c>
      <c r="B328" t="str">
        <f>IF('Equipment Information'!B328="","", 'Equipment Information'!B328)</f>
        <v/>
      </c>
      <c r="C328" t="str">
        <f>IF('Equipment Information'!C328="","", 'Equipment Information'!C328)</f>
        <v/>
      </c>
      <c r="H328" t="str">
        <f t="shared" si="5"/>
        <v/>
      </c>
    </row>
    <row r="329" spans="1:8" x14ac:dyDescent="0.25">
      <c r="A329" t="str">
        <f>IF('Equipment Information'!A329="","", 'Equipment Information'!A329)</f>
        <v/>
      </c>
      <c r="B329" t="str">
        <f>IF('Equipment Information'!B329="","", 'Equipment Information'!B329)</f>
        <v/>
      </c>
      <c r="C329" t="str">
        <f>IF('Equipment Information'!C329="","", 'Equipment Information'!C329)</f>
        <v/>
      </c>
      <c r="H329" t="str">
        <f t="shared" si="5"/>
        <v/>
      </c>
    </row>
    <row r="330" spans="1:8" x14ac:dyDescent="0.25">
      <c r="A330" t="str">
        <f>IF('Equipment Information'!A330="","", 'Equipment Information'!A330)</f>
        <v/>
      </c>
      <c r="B330" t="str">
        <f>IF('Equipment Information'!B330="","", 'Equipment Information'!B330)</f>
        <v/>
      </c>
      <c r="C330" t="str">
        <f>IF('Equipment Information'!C330="","", 'Equipment Information'!C330)</f>
        <v/>
      </c>
      <c r="H330" t="str">
        <f t="shared" si="5"/>
        <v/>
      </c>
    </row>
    <row r="331" spans="1:8" x14ac:dyDescent="0.25">
      <c r="A331" t="str">
        <f>IF('Equipment Information'!A331="","", 'Equipment Information'!A331)</f>
        <v/>
      </c>
      <c r="B331" t="str">
        <f>IF('Equipment Information'!B331="","", 'Equipment Information'!B331)</f>
        <v/>
      </c>
      <c r="C331" t="str">
        <f>IF('Equipment Information'!C331="","", 'Equipment Information'!C331)</f>
        <v/>
      </c>
      <c r="H331" t="str">
        <f t="shared" si="5"/>
        <v/>
      </c>
    </row>
    <row r="332" spans="1:8" x14ac:dyDescent="0.25">
      <c r="A332" t="str">
        <f>IF('Equipment Information'!A332="","", 'Equipment Information'!A332)</f>
        <v/>
      </c>
      <c r="B332" t="str">
        <f>IF('Equipment Information'!B332="","", 'Equipment Information'!B332)</f>
        <v/>
      </c>
      <c r="C332" t="str">
        <f>IF('Equipment Information'!C332="","", 'Equipment Information'!C332)</f>
        <v/>
      </c>
      <c r="H332" t="str">
        <f t="shared" si="5"/>
        <v/>
      </c>
    </row>
    <row r="333" spans="1:8" x14ac:dyDescent="0.25">
      <c r="A333" t="str">
        <f>IF('Equipment Information'!A333="","", 'Equipment Information'!A333)</f>
        <v/>
      </c>
      <c r="B333" t="str">
        <f>IF('Equipment Information'!B333="","", 'Equipment Information'!B333)</f>
        <v/>
      </c>
      <c r="C333" t="str">
        <f>IF('Equipment Information'!C333="","", 'Equipment Information'!C333)</f>
        <v/>
      </c>
      <c r="H333" t="str">
        <f t="shared" si="5"/>
        <v/>
      </c>
    </row>
    <row r="334" spans="1:8" x14ac:dyDescent="0.25">
      <c r="A334" t="str">
        <f>IF('Equipment Information'!A334="","", 'Equipment Information'!A334)</f>
        <v/>
      </c>
      <c r="B334" t="str">
        <f>IF('Equipment Information'!B334="","", 'Equipment Information'!B334)</f>
        <v/>
      </c>
      <c r="C334" t="str">
        <f>IF('Equipment Information'!C334="","", 'Equipment Information'!C334)</f>
        <v/>
      </c>
      <c r="H334" t="str">
        <f t="shared" si="5"/>
        <v/>
      </c>
    </row>
    <row r="335" spans="1:8" x14ac:dyDescent="0.25">
      <c r="A335" t="str">
        <f>IF('Equipment Information'!A335="","", 'Equipment Information'!A335)</f>
        <v/>
      </c>
      <c r="B335" t="str">
        <f>IF('Equipment Information'!B335="","", 'Equipment Information'!B335)</f>
        <v/>
      </c>
      <c r="C335" t="str">
        <f>IF('Equipment Information'!C335="","", 'Equipment Information'!C335)</f>
        <v/>
      </c>
      <c r="H335" t="str">
        <f t="shared" si="5"/>
        <v/>
      </c>
    </row>
    <row r="336" spans="1:8" x14ac:dyDescent="0.25">
      <c r="A336" t="str">
        <f>IF('Equipment Information'!A336="","", 'Equipment Information'!A336)</f>
        <v/>
      </c>
      <c r="B336" t="str">
        <f>IF('Equipment Information'!B336="","", 'Equipment Information'!B336)</f>
        <v/>
      </c>
      <c r="C336" t="str">
        <f>IF('Equipment Information'!C336="","", 'Equipment Information'!C336)</f>
        <v/>
      </c>
      <c r="H336" t="str">
        <f t="shared" si="5"/>
        <v/>
      </c>
    </row>
    <row r="337" spans="1:8" x14ac:dyDescent="0.25">
      <c r="A337" t="str">
        <f>IF('Equipment Information'!A337="","", 'Equipment Information'!A337)</f>
        <v/>
      </c>
      <c r="B337" t="str">
        <f>IF('Equipment Information'!B337="","", 'Equipment Information'!B337)</f>
        <v/>
      </c>
      <c r="C337" t="str">
        <f>IF('Equipment Information'!C337="","", 'Equipment Information'!C337)</f>
        <v/>
      </c>
      <c r="H337" t="str">
        <f t="shared" si="5"/>
        <v/>
      </c>
    </row>
    <row r="338" spans="1:8" x14ac:dyDescent="0.25">
      <c r="A338" t="str">
        <f>IF('Equipment Information'!A338="","", 'Equipment Information'!A338)</f>
        <v/>
      </c>
      <c r="B338" t="str">
        <f>IF('Equipment Information'!B338="","", 'Equipment Information'!B338)</f>
        <v/>
      </c>
      <c r="C338" t="str">
        <f>IF('Equipment Information'!C338="","", 'Equipment Information'!C338)</f>
        <v/>
      </c>
      <c r="H338" t="str">
        <f t="shared" si="5"/>
        <v/>
      </c>
    </row>
    <row r="339" spans="1:8" x14ac:dyDescent="0.25">
      <c r="A339" t="str">
        <f>IF('Equipment Information'!A339="","", 'Equipment Information'!A339)</f>
        <v/>
      </c>
      <c r="B339" t="str">
        <f>IF('Equipment Information'!B339="","", 'Equipment Information'!B339)</f>
        <v/>
      </c>
      <c r="C339" t="str">
        <f>IF('Equipment Information'!C339="","", 'Equipment Information'!C339)</f>
        <v/>
      </c>
      <c r="H339" t="str">
        <f t="shared" si="5"/>
        <v/>
      </c>
    </row>
    <row r="340" spans="1:8" x14ac:dyDescent="0.25">
      <c r="A340" t="str">
        <f>IF('Equipment Information'!A340="","", 'Equipment Information'!A340)</f>
        <v/>
      </c>
      <c r="B340" t="str">
        <f>IF('Equipment Information'!B340="","", 'Equipment Information'!B340)</f>
        <v/>
      </c>
      <c r="C340" t="str">
        <f>IF('Equipment Information'!C340="","", 'Equipment Information'!C340)</f>
        <v/>
      </c>
      <c r="H340" t="str">
        <f t="shared" si="5"/>
        <v/>
      </c>
    </row>
    <row r="341" spans="1:8" x14ac:dyDescent="0.25">
      <c r="A341" t="str">
        <f>IF('Equipment Information'!A341="","", 'Equipment Information'!A341)</f>
        <v/>
      </c>
      <c r="B341" t="str">
        <f>IF('Equipment Information'!B341="","", 'Equipment Information'!B341)</f>
        <v/>
      </c>
      <c r="C341" t="str">
        <f>IF('Equipment Information'!C341="","", 'Equipment Information'!C341)</f>
        <v/>
      </c>
      <c r="H341" t="str">
        <f t="shared" si="5"/>
        <v/>
      </c>
    </row>
    <row r="342" spans="1:8" x14ac:dyDescent="0.25">
      <c r="A342" t="str">
        <f>IF('Equipment Information'!A342="","", 'Equipment Information'!A342)</f>
        <v/>
      </c>
      <c r="B342" t="str">
        <f>IF('Equipment Information'!B342="","", 'Equipment Information'!B342)</f>
        <v/>
      </c>
      <c r="C342" t="str">
        <f>IF('Equipment Information'!C342="","", 'Equipment Information'!C342)</f>
        <v/>
      </c>
      <c r="H342" t="str">
        <f t="shared" si="5"/>
        <v/>
      </c>
    </row>
    <row r="343" spans="1:8" x14ac:dyDescent="0.25">
      <c r="A343" t="str">
        <f>IF('Equipment Information'!A343="","", 'Equipment Information'!A343)</f>
        <v/>
      </c>
      <c r="B343" t="str">
        <f>IF('Equipment Information'!B343="","", 'Equipment Information'!B343)</f>
        <v/>
      </c>
      <c r="C343" t="str">
        <f>IF('Equipment Information'!C343="","", 'Equipment Information'!C343)</f>
        <v/>
      </c>
      <c r="H343" t="str">
        <f t="shared" si="5"/>
        <v/>
      </c>
    </row>
    <row r="344" spans="1:8" x14ac:dyDescent="0.25">
      <c r="A344" t="str">
        <f>IF('Equipment Information'!A344="","", 'Equipment Information'!A344)</f>
        <v/>
      </c>
      <c r="B344" t="str">
        <f>IF('Equipment Information'!B344="","", 'Equipment Information'!B344)</f>
        <v/>
      </c>
      <c r="C344" t="str">
        <f>IF('Equipment Information'!C344="","", 'Equipment Information'!C344)</f>
        <v/>
      </c>
      <c r="H344" t="str">
        <f t="shared" si="5"/>
        <v/>
      </c>
    </row>
    <row r="345" spans="1:8" x14ac:dyDescent="0.25">
      <c r="A345" t="str">
        <f>IF('Equipment Information'!A345="","", 'Equipment Information'!A345)</f>
        <v/>
      </c>
      <c r="B345" t="str">
        <f>IF('Equipment Information'!B345="","", 'Equipment Information'!B345)</f>
        <v/>
      </c>
      <c r="C345" t="str">
        <f>IF('Equipment Information'!C345="","", 'Equipment Information'!C345)</f>
        <v/>
      </c>
      <c r="H345" t="str">
        <f t="shared" si="5"/>
        <v/>
      </c>
    </row>
    <row r="346" spans="1:8" x14ac:dyDescent="0.25">
      <c r="A346" t="str">
        <f>IF('Equipment Information'!A346="","", 'Equipment Information'!A346)</f>
        <v/>
      </c>
      <c r="B346" t="str">
        <f>IF('Equipment Information'!B346="","", 'Equipment Information'!B346)</f>
        <v/>
      </c>
      <c r="C346" t="str">
        <f>IF('Equipment Information'!C346="","", 'Equipment Information'!C346)</f>
        <v/>
      </c>
      <c r="H346" t="str">
        <f t="shared" si="5"/>
        <v/>
      </c>
    </row>
    <row r="347" spans="1:8" x14ac:dyDescent="0.25">
      <c r="A347" t="str">
        <f>IF('Equipment Information'!A347="","", 'Equipment Information'!A347)</f>
        <v/>
      </c>
      <c r="B347" t="str">
        <f>IF('Equipment Information'!B347="","", 'Equipment Information'!B347)</f>
        <v/>
      </c>
      <c r="C347" t="str">
        <f>IF('Equipment Information'!C347="","", 'Equipment Information'!C347)</f>
        <v/>
      </c>
      <c r="H347" t="str">
        <f t="shared" si="5"/>
        <v/>
      </c>
    </row>
    <row r="348" spans="1:8" x14ac:dyDescent="0.25">
      <c r="A348" t="str">
        <f>IF('Equipment Information'!A348="","", 'Equipment Information'!A348)</f>
        <v/>
      </c>
      <c r="B348" t="str">
        <f>IF('Equipment Information'!B348="","", 'Equipment Information'!B348)</f>
        <v/>
      </c>
      <c r="C348" t="str">
        <f>IF('Equipment Information'!C348="","", 'Equipment Information'!C348)</f>
        <v/>
      </c>
      <c r="H348" t="str">
        <f t="shared" si="5"/>
        <v/>
      </c>
    </row>
    <row r="349" spans="1:8" x14ac:dyDescent="0.25">
      <c r="A349" t="str">
        <f>IF('Equipment Information'!A349="","", 'Equipment Information'!A349)</f>
        <v/>
      </c>
      <c r="B349" t="str">
        <f>IF('Equipment Information'!B349="","", 'Equipment Information'!B349)</f>
        <v/>
      </c>
      <c r="C349" t="str">
        <f>IF('Equipment Information'!C349="","", 'Equipment Information'!C349)</f>
        <v/>
      </c>
      <c r="H349" t="str">
        <f t="shared" si="5"/>
        <v/>
      </c>
    </row>
    <row r="350" spans="1:8" x14ac:dyDescent="0.25">
      <c r="A350" t="str">
        <f>IF('Equipment Information'!A350="","", 'Equipment Information'!A350)</f>
        <v/>
      </c>
      <c r="B350" t="str">
        <f>IF('Equipment Information'!B350="","", 'Equipment Information'!B350)</f>
        <v/>
      </c>
      <c r="C350" t="str">
        <f>IF('Equipment Information'!C350="","", 'Equipment Information'!C350)</f>
        <v/>
      </c>
      <c r="H350" t="str">
        <f t="shared" si="5"/>
        <v/>
      </c>
    </row>
    <row r="351" spans="1:8" x14ac:dyDescent="0.25">
      <c r="A351" t="str">
        <f>IF('Equipment Information'!A351="","", 'Equipment Information'!A351)</f>
        <v/>
      </c>
      <c r="B351" t="str">
        <f>IF('Equipment Information'!B351="","", 'Equipment Information'!B351)</f>
        <v/>
      </c>
      <c r="C351" t="str">
        <f>IF('Equipment Information'!C351="","", 'Equipment Information'!C351)</f>
        <v/>
      </c>
      <c r="H351" t="str">
        <f t="shared" si="5"/>
        <v/>
      </c>
    </row>
    <row r="352" spans="1:8" x14ac:dyDescent="0.25">
      <c r="A352" t="str">
        <f>IF('Equipment Information'!A352="","", 'Equipment Information'!A352)</f>
        <v/>
      </c>
      <c r="B352" t="str">
        <f>IF('Equipment Information'!B352="","", 'Equipment Information'!B352)</f>
        <v/>
      </c>
      <c r="C352" t="str">
        <f>IF('Equipment Information'!C352="","", 'Equipment Information'!C352)</f>
        <v/>
      </c>
      <c r="H352" t="str">
        <f t="shared" si="5"/>
        <v/>
      </c>
    </row>
    <row r="353" spans="1:8" x14ac:dyDescent="0.25">
      <c r="A353" t="str">
        <f>IF('Equipment Information'!A353="","", 'Equipment Information'!A353)</f>
        <v/>
      </c>
      <c r="B353" t="str">
        <f>IF('Equipment Information'!B353="","", 'Equipment Information'!B353)</f>
        <v/>
      </c>
      <c r="C353" t="str">
        <f>IF('Equipment Information'!C353="","", 'Equipment Information'!C353)</f>
        <v/>
      </c>
      <c r="H353" t="str">
        <f t="shared" si="5"/>
        <v/>
      </c>
    </row>
    <row r="354" spans="1:8" x14ac:dyDescent="0.25">
      <c r="A354" t="str">
        <f>IF('Equipment Information'!A354="","", 'Equipment Information'!A354)</f>
        <v/>
      </c>
      <c r="B354" t="str">
        <f>IF('Equipment Information'!B354="","", 'Equipment Information'!B354)</f>
        <v/>
      </c>
      <c r="C354" t="str">
        <f>IF('Equipment Information'!C354="","", 'Equipment Information'!C354)</f>
        <v/>
      </c>
      <c r="H354" t="str">
        <f t="shared" si="5"/>
        <v/>
      </c>
    </row>
    <row r="355" spans="1:8" x14ac:dyDescent="0.25">
      <c r="A355" t="str">
        <f>IF('Equipment Information'!A355="","", 'Equipment Information'!A355)</f>
        <v/>
      </c>
      <c r="B355" t="str">
        <f>IF('Equipment Information'!B355="","", 'Equipment Information'!B355)</f>
        <v/>
      </c>
      <c r="C355" t="str">
        <f>IF('Equipment Information'!C355="","", 'Equipment Information'!C355)</f>
        <v/>
      </c>
      <c r="H355" t="str">
        <f t="shared" si="5"/>
        <v/>
      </c>
    </row>
    <row r="356" spans="1:8" x14ac:dyDescent="0.25">
      <c r="A356" t="str">
        <f>IF('Equipment Information'!A356="","", 'Equipment Information'!A356)</f>
        <v/>
      </c>
      <c r="B356" t="str">
        <f>IF('Equipment Information'!B356="","", 'Equipment Information'!B356)</f>
        <v/>
      </c>
      <c r="C356" t="str">
        <f>IF('Equipment Information'!C356="","", 'Equipment Information'!C356)</f>
        <v/>
      </c>
      <c r="H356" t="str">
        <f t="shared" si="5"/>
        <v/>
      </c>
    </row>
    <row r="357" spans="1:8" x14ac:dyDescent="0.25">
      <c r="A357" t="str">
        <f>IF('Equipment Information'!A357="","", 'Equipment Information'!A357)</f>
        <v/>
      </c>
      <c r="B357" t="str">
        <f>IF('Equipment Information'!B357="","", 'Equipment Information'!B357)</f>
        <v/>
      </c>
      <c r="C357" t="str">
        <f>IF('Equipment Information'!C357="","", 'Equipment Information'!C357)</f>
        <v/>
      </c>
      <c r="H357" t="str">
        <f t="shared" si="5"/>
        <v/>
      </c>
    </row>
    <row r="358" spans="1:8" x14ac:dyDescent="0.25">
      <c r="A358" t="str">
        <f>IF('Equipment Information'!A358="","", 'Equipment Information'!A358)</f>
        <v/>
      </c>
      <c r="B358" t="str">
        <f>IF('Equipment Information'!B358="","", 'Equipment Information'!B358)</f>
        <v/>
      </c>
      <c r="C358" t="str">
        <f>IF('Equipment Information'!C358="","", 'Equipment Information'!C358)</f>
        <v/>
      </c>
      <c r="H358" t="str">
        <f t="shared" si="5"/>
        <v/>
      </c>
    </row>
    <row r="359" spans="1:8" x14ac:dyDescent="0.25">
      <c r="A359" t="str">
        <f>IF('Equipment Information'!A359="","", 'Equipment Information'!A359)</f>
        <v/>
      </c>
      <c r="B359" t="str">
        <f>IF('Equipment Information'!B359="","", 'Equipment Information'!B359)</f>
        <v/>
      </c>
      <c r="C359" t="str">
        <f>IF('Equipment Information'!C359="","", 'Equipment Information'!C359)</f>
        <v/>
      </c>
      <c r="H359" t="str">
        <f t="shared" si="5"/>
        <v/>
      </c>
    </row>
    <row r="360" spans="1:8" x14ac:dyDescent="0.25">
      <c r="A360" t="str">
        <f>IF('Equipment Information'!A360="","", 'Equipment Information'!A360)</f>
        <v/>
      </c>
      <c r="B360" t="str">
        <f>IF('Equipment Information'!B360="","", 'Equipment Information'!B360)</f>
        <v/>
      </c>
      <c r="C360" t="str">
        <f>IF('Equipment Information'!C360="","", 'Equipment Information'!C360)</f>
        <v/>
      </c>
      <c r="H360" t="str">
        <f t="shared" si="5"/>
        <v/>
      </c>
    </row>
    <row r="361" spans="1:8" x14ac:dyDescent="0.25">
      <c r="A361" t="str">
        <f>IF('Equipment Information'!A361="","", 'Equipment Information'!A361)</f>
        <v/>
      </c>
      <c r="B361" t="str">
        <f>IF('Equipment Information'!B361="","", 'Equipment Information'!B361)</f>
        <v/>
      </c>
      <c r="C361" t="str">
        <f>IF('Equipment Information'!C361="","", 'Equipment Information'!C361)</f>
        <v/>
      </c>
      <c r="H361" t="str">
        <f t="shared" si="5"/>
        <v/>
      </c>
    </row>
    <row r="362" spans="1:8" x14ac:dyDescent="0.25">
      <c r="A362" t="str">
        <f>IF('Equipment Information'!A362="","", 'Equipment Information'!A362)</f>
        <v/>
      </c>
      <c r="B362" t="str">
        <f>IF('Equipment Information'!B362="","", 'Equipment Information'!B362)</f>
        <v/>
      </c>
      <c r="C362" t="str">
        <f>IF('Equipment Information'!C362="","", 'Equipment Information'!C362)</f>
        <v/>
      </c>
      <c r="H362" t="str">
        <f t="shared" si="5"/>
        <v/>
      </c>
    </row>
    <row r="363" spans="1:8" x14ac:dyDescent="0.25">
      <c r="A363" t="str">
        <f>IF('Equipment Information'!A363="","", 'Equipment Information'!A363)</f>
        <v/>
      </c>
      <c r="B363" t="str">
        <f>IF('Equipment Information'!B363="","", 'Equipment Information'!B363)</f>
        <v/>
      </c>
      <c r="C363" t="str">
        <f>IF('Equipment Information'!C363="","", 'Equipment Information'!C363)</f>
        <v/>
      </c>
      <c r="H363" t="str">
        <f t="shared" si="5"/>
        <v/>
      </c>
    </row>
    <row r="364" spans="1:8" x14ac:dyDescent="0.25">
      <c r="A364" t="str">
        <f>IF('Equipment Information'!A364="","", 'Equipment Information'!A364)</f>
        <v/>
      </c>
      <c r="B364" t="str">
        <f>IF('Equipment Information'!B364="","", 'Equipment Information'!B364)</f>
        <v/>
      </c>
      <c r="C364" t="str">
        <f>IF('Equipment Information'!C364="","", 'Equipment Information'!C364)</f>
        <v/>
      </c>
      <c r="H364" t="str">
        <f t="shared" si="5"/>
        <v/>
      </c>
    </row>
    <row r="365" spans="1:8" x14ac:dyDescent="0.25">
      <c r="A365" t="str">
        <f>IF('Equipment Information'!A365="","", 'Equipment Information'!A365)</f>
        <v/>
      </c>
      <c r="B365" t="str">
        <f>IF('Equipment Information'!B365="","", 'Equipment Information'!B365)</f>
        <v/>
      </c>
      <c r="C365" t="str">
        <f>IF('Equipment Information'!C365="","", 'Equipment Information'!C365)</f>
        <v/>
      </c>
      <c r="H365" t="str">
        <f t="shared" si="5"/>
        <v/>
      </c>
    </row>
    <row r="366" spans="1:8" x14ac:dyDescent="0.25">
      <c r="A366" t="str">
        <f>IF('Equipment Information'!A366="","", 'Equipment Information'!A366)</f>
        <v/>
      </c>
      <c r="B366" t="str">
        <f>IF('Equipment Information'!B366="","", 'Equipment Information'!B366)</f>
        <v/>
      </c>
      <c r="C366" t="str">
        <f>IF('Equipment Information'!C366="","", 'Equipment Information'!C366)</f>
        <v/>
      </c>
      <c r="H366" t="str">
        <f t="shared" si="5"/>
        <v/>
      </c>
    </row>
    <row r="367" spans="1:8" x14ac:dyDescent="0.25">
      <c r="A367" t="str">
        <f>IF('Equipment Information'!A367="","", 'Equipment Information'!A367)</f>
        <v/>
      </c>
      <c r="B367" t="str">
        <f>IF('Equipment Information'!B367="","", 'Equipment Information'!B367)</f>
        <v/>
      </c>
      <c r="C367" t="str">
        <f>IF('Equipment Information'!C367="","", 'Equipment Information'!C367)</f>
        <v/>
      </c>
      <c r="H367" t="str">
        <f t="shared" si="5"/>
        <v/>
      </c>
    </row>
    <row r="368" spans="1:8" x14ac:dyDescent="0.25">
      <c r="A368" t="str">
        <f>IF('Equipment Information'!A368="","", 'Equipment Information'!A368)</f>
        <v/>
      </c>
      <c r="B368" t="str">
        <f>IF('Equipment Information'!B368="","", 'Equipment Information'!B368)</f>
        <v/>
      </c>
      <c r="C368" t="str">
        <f>IF('Equipment Information'!C368="","", 'Equipment Information'!C368)</f>
        <v/>
      </c>
      <c r="H368" t="str">
        <f t="shared" si="5"/>
        <v/>
      </c>
    </row>
    <row r="369" spans="1:8" x14ac:dyDescent="0.25">
      <c r="A369" t="str">
        <f>IF('Equipment Information'!A369="","", 'Equipment Information'!A369)</f>
        <v/>
      </c>
      <c r="B369" t="str">
        <f>IF('Equipment Information'!B369="","", 'Equipment Information'!B369)</f>
        <v/>
      </c>
      <c r="C369" t="str">
        <f>IF('Equipment Information'!C369="","", 'Equipment Information'!C369)</f>
        <v/>
      </c>
      <c r="H369" t="str">
        <f t="shared" si="5"/>
        <v/>
      </c>
    </row>
    <row r="370" spans="1:8" x14ac:dyDescent="0.25">
      <c r="A370" t="str">
        <f>IF('Equipment Information'!A370="","", 'Equipment Information'!A370)</f>
        <v/>
      </c>
      <c r="B370" t="str">
        <f>IF('Equipment Information'!B370="","", 'Equipment Information'!B370)</f>
        <v/>
      </c>
      <c r="C370" t="str">
        <f>IF('Equipment Information'!C370="","", 'Equipment Information'!C370)</f>
        <v/>
      </c>
      <c r="H370" t="str">
        <f t="shared" si="5"/>
        <v/>
      </c>
    </row>
    <row r="371" spans="1:8" x14ac:dyDescent="0.25">
      <c r="A371" t="str">
        <f>IF('Equipment Information'!A371="","", 'Equipment Information'!A371)</f>
        <v/>
      </c>
      <c r="B371" t="str">
        <f>IF('Equipment Information'!B371="","", 'Equipment Information'!B371)</f>
        <v/>
      </c>
      <c r="C371" t="str">
        <f>IF('Equipment Information'!C371="","", 'Equipment Information'!C371)</f>
        <v/>
      </c>
      <c r="H371" t="str">
        <f t="shared" si="5"/>
        <v/>
      </c>
    </row>
    <row r="372" spans="1:8" x14ac:dyDescent="0.25">
      <c r="A372" t="str">
        <f>IF('Equipment Information'!A372="","", 'Equipment Information'!A372)</f>
        <v/>
      </c>
      <c r="B372" t="str">
        <f>IF('Equipment Information'!B372="","", 'Equipment Information'!B372)</f>
        <v/>
      </c>
      <c r="C372" t="str">
        <f>IF('Equipment Information'!C372="","", 'Equipment Information'!C372)</f>
        <v/>
      </c>
      <c r="H372" t="str">
        <f t="shared" si="5"/>
        <v/>
      </c>
    </row>
    <row r="373" spans="1:8" x14ac:dyDescent="0.25">
      <c r="A373" t="str">
        <f>IF('Equipment Information'!A373="","", 'Equipment Information'!A373)</f>
        <v/>
      </c>
      <c r="B373" t="str">
        <f>IF('Equipment Information'!B373="","", 'Equipment Information'!B373)</f>
        <v/>
      </c>
      <c r="C373" t="str">
        <f>IF('Equipment Information'!C373="","", 'Equipment Information'!C373)</f>
        <v/>
      </c>
      <c r="H373" t="str">
        <f t="shared" si="5"/>
        <v/>
      </c>
    </row>
    <row r="374" spans="1:8" x14ac:dyDescent="0.25">
      <c r="A374" t="str">
        <f>IF('Equipment Information'!A374="","", 'Equipment Information'!A374)</f>
        <v/>
      </c>
      <c r="B374" t="str">
        <f>IF('Equipment Information'!B374="","", 'Equipment Information'!B374)</f>
        <v/>
      </c>
      <c r="C374" t="str">
        <f>IF('Equipment Information'!C374="","", 'Equipment Information'!C374)</f>
        <v/>
      </c>
      <c r="H374" t="str">
        <f t="shared" si="5"/>
        <v/>
      </c>
    </row>
    <row r="375" spans="1:8" x14ac:dyDescent="0.25">
      <c r="A375" t="str">
        <f>IF('Equipment Information'!A375="","", 'Equipment Information'!A375)</f>
        <v/>
      </c>
      <c r="B375" t="str">
        <f>IF('Equipment Information'!B375="","", 'Equipment Information'!B375)</f>
        <v/>
      </c>
      <c r="C375" t="str">
        <f>IF('Equipment Information'!C375="","", 'Equipment Information'!C375)</f>
        <v/>
      </c>
      <c r="H375" t="str">
        <f t="shared" si="5"/>
        <v/>
      </c>
    </row>
    <row r="376" spans="1:8" x14ac:dyDescent="0.25">
      <c r="A376" t="str">
        <f>IF('Equipment Information'!A376="","", 'Equipment Information'!A376)</f>
        <v/>
      </c>
      <c r="B376" t="str">
        <f>IF('Equipment Information'!B376="","", 'Equipment Information'!B376)</f>
        <v/>
      </c>
      <c r="C376" t="str">
        <f>IF('Equipment Information'!C376="","", 'Equipment Information'!C376)</f>
        <v/>
      </c>
      <c r="H376" t="str">
        <f t="shared" si="5"/>
        <v/>
      </c>
    </row>
    <row r="377" spans="1:8" x14ac:dyDescent="0.25">
      <c r="A377" t="str">
        <f>IF('Equipment Information'!A377="","", 'Equipment Information'!A377)</f>
        <v/>
      </c>
      <c r="B377" t="str">
        <f>IF('Equipment Information'!B377="","", 'Equipment Information'!B377)</f>
        <v/>
      </c>
      <c r="C377" t="str">
        <f>IF('Equipment Information'!C377="","", 'Equipment Information'!C377)</f>
        <v/>
      </c>
      <c r="H377" t="str">
        <f t="shared" si="5"/>
        <v/>
      </c>
    </row>
    <row r="378" spans="1:8" x14ac:dyDescent="0.25">
      <c r="A378" t="str">
        <f>IF('Equipment Information'!A378="","", 'Equipment Information'!A378)</f>
        <v/>
      </c>
      <c r="B378" t="str">
        <f>IF('Equipment Information'!B378="","", 'Equipment Information'!B378)</f>
        <v/>
      </c>
      <c r="C378" t="str">
        <f>IF('Equipment Information'!C378="","", 'Equipment Information'!C378)</f>
        <v/>
      </c>
      <c r="H378" t="str">
        <f t="shared" si="5"/>
        <v/>
      </c>
    </row>
    <row r="379" spans="1:8" x14ac:dyDescent="0.25">
      <c r="A379" t="str">
        <f>IF('Equipment Information'!A379="","", 'Equipment Information'!A379)</f>
        <v/>
      </c>
      <c r="B379" t="str">
        <f>IF('Equipment Information'!B379="","", 'Equipment Information'!B379)</f>
        <v/>
      </c>
      <c r="C379" t="str">
        <f>IF('Equipment Information'!C379="","", 'Equipment Information'!C379)</f>
        <v/>
      </c>
      <c r="H379" t="str">
        <f t="shared" si="5"/>
        <v/>
      </c>
    </row>
    <row r="380" spans="1:8" x14ac:dyDescent="0.25">
      <c r="A380" t="str">
        <f>IF('Equipment Information'!A380="","", 'Equipment Information'!A380)</f>
        <v/>
      </c>
      <c r="B380" t="str">
        <f>IF('Equipment Information'!B380="","", 'Equipment Information'!B380)</f>
        <v/>
      </c>
      <c r="C380" t="str">
        <f>IF('Equipment Information'!C380="","", 'Equipment Information'!C380)</f>
        <v/>
      </c>
      <c r="H380" t="str">
        <f t="shared" si="5"/>
        <v/>
      </c>
    </row>
    <row r="381" spans="1:8" x14ac:dyDescent="0.25">
      <c r="A381" t="str">
        <f>IF('Equipment Information'!A381="","", 'Equipment Information'!A381)</f>
        <v/>
      </c>
      <c r="B381" t="str">
        <f>IF('Equipment Information'!B381="","", 'Equipment Information'!B381)</f>
        <v/>
      </c>
      <c r="C381" t="str">
        <f>IF('Equipment Information'!C381="","", 'Equipment Information'!C381)</f>
        <v/>
      </c>
      <c r="H381" t="str">
        <f t="shared" si="5"/>
        <v/>
      </c>
    </row>
    <row r="382" spans="1:8" x14ac:dyDescent="0.25">
      <c r="A382" t="str">
        <f>IF('Equipment Information'!A382="","", 'Equipment Information'!A382)</f>
        <v/>
      </c>
      <c r="B382" t="str">
        <f>IF('Equipment Information'!B382="","", 'Equipment Information'!B382)</f>
        <v/>
      </c>
      <c r="C382" t="str">
        <f>IF('Equipment Information'!C382="","", 'Equipment Information'!C382)</f>
        <v/>
      </c>
      <c r="H382" t="str">
        <f t="shared" si="5"/>
        <v/>
      </c>
    </row>
    <row r="383" spans="1:8" x14ac:dyDescent="0.25">
      <c r="A383" t="str">
        <f>IF('Equipment Information'!A383="","", 'Equipment Information'!A383)</f>
        <v/>
      </c>
      <c r="B383" t="str">
        <f>IF('Equipment Information'!B383="","", 'Equipment Information'!B383)</f>
        <v/>
      </c>
      <c r="C383" t="str">
        <f>IF('Equipment Information'!C383="","", 'Equipment Information'!C383)</f>
        <v/>
      </c>
      <c r="H383" t="str">
        <f t="shared" si="5"/>
        <v/>
      </c>
    </row>
    <row r="384" spans="1:8" x14ac:dyDescent="0.25">
      <c r="A384" t="str">
        <f>IF('Equipment Information'!A384="","", 'Equipment Information'!A384)</f>
        <v/>
      </c>
      <c r="B384" t="str">
        <f>IF('Equipment Information'!B384="","", 'Equipment Information'!B384)</f>
        <v/>
      </c>
      <c r="C384" t="str">
        <f>IF('Equipment Information'!C384="","", 'Equipment Information'!C384)</f>
        <v/>
      </c>
      <c r="H384" t="str">
        <f t="shared" si="5"/>
        <v/>
      </c>
    </row>
    <row r="385" spans="1:8" x14ac:dyDescent="0.25">
      <c r="A385" t="str">
        <f>IF('Equipment Information'!A385="","", 'Equipment Information'!A385)</f>
        <v/>
      </c>
      <c r="B385" t="str">
        <f>IF('Equipment Information'!B385="","", 'Equipment Information'!B385)</f>
        <v/>
      </c>
      <c r="C385" t="str">
        <f>IF('Equipment Information'!C385="","", 'Equipment Information'!C385)</f>
        <v/>
      </c>
      <c r="H385" t="str">
        <f t="shared" si="5"/>
        <v/>
      </c>
    </row>
    <row r="386" spans="1:8" x14ac:dyDescent="0.25">
      <c r="A386" t="str">
        <f>IF('Equipment Information'!A386="","", 'Equipment Information'!A386)</f>
        <v/>
      </c>
      <c r="B386" t="str">
        <f>IF('Equipment Information'!B386="","", 'Equipment Information'!B386)</f>
        <v/>
      </c>
      <c r="C386" t="str">
        <f>IF('Equipment Information'!C386="","", 'Equipment Information'!C386)</f>
        <v/>
      </c>
      <c r="H386" t="str">
        <f t="shared" ref="H386:H449" si="6">IF(A386="","","N/A")</f>
        <v/>
      </c>
    </row>
    <row r="387" spans="1:8" x14ac:dyDescent="0.25">
      <c r="A387" t="str">
        <f>IF('Equipment Information'!A387="","", 'Equipment Information'!A387)</f>
        <v/>
      </c>
      <c r="B387" t="str">
        <f>IF('Equipment Information'!B387="","", 'Equipment Information'!B387)</f>
        <v/>
      </c>
      <c r="C387" t="str">
        <f>IF('Equipment Information'!C387="","", 'Equipment Information'!C387)</f>
        <v/>
      </c>
      <c r="H387" t="str">
        <f t="shared" si="6"/>
        <v/>
      </c>
    </row>
    <row r="388" spans="1:8" x14ac:dyDescent="0.25">
      <c r="A388" t="str">
        <f>IF('Equipment Information'!A388="","", 'Equipment Information'!A388)</f>
        <v/>
      </c>
      <c r="B388" t="str">
        <f>IF('Equipment Information'!B388="","", 'Equipment Information'!B388)</f>
        <v/>
      </c>
      <c r="C388" t="str">
        <f>IF('Equipment Information'!C388="","", 'Equipment Information'!C388)</f>
        <v/>
      </c>
      <c r="H388" t="str">
        <f t="shared" si="6"/>
        <v/>
      </c>
    </row>
    <row r="389" spans="1:8" x14ac:dyDescent="0.25">
      <c r="A389" t="str">
        <f>IF('Equipment Information'!A389="","", 'Equipment Information'!A389)</f>
        <v/>
      </c>
      <c r="B389" t="str">
        <f>IF('Equipment Information'!B389="","", 'Equipment Information'!B389)</f>
        <v/>
      </c>
      <c r="C389" t="str">
        <f>IF('Equipment Information'!C389="","", 'Equipment Information'!C389)</f>
        <v/>
      </c>
      <c r="H389" t="str">
        <f t="shared" si="6"/>
        <v/>
      </c>
    </row>
    <row r="390" spans="1:8" x14ac:dyDescent="0.25">
      <c r="A390" t="str">
        <f>IF('Equipment Information'!A390="","", 'Equipment Information'!A390)</f>
        <v/>
      </c>
      <c r="B390" t="str">
        <f>IF('Equipment Information'!B390="","", 'Equipment Information'!B390)</f>
        <v/>
      </c>
      <c r="C390" t="str">
        <f>IF('Equipment Information'!C390="","", 'Equipment Information'!C390)</f>
        <v/>
      </c>
      <c r="H390" t="str">
        <f t="shared" si="6"/>
        <v/>
      </c>
    </row>
    <row r="391" spans="1:8" x14ac:dyDescent="0.25">
      <c r="A391" t="str">
        <f>IF('Equipment Information'!A391="","", 'Equipment Information'!A391)</f>
        <v/>
      </c>
      <c r="B391" t="str">
        <f>IF('Equipment Information'!B391="","", 'Equipment Information'!B391)</f>
        <v/>
      </c>
      <c r="C391" t="str">
        <f>IF('Equipment Information'!C391="","", 'Equipment Information'!C391)</f>
        <v/>
      </c>
      <c r="H391" t="str">
        <f t="shared" si="6"/>
        <v/>
      </c>
    </row>
    <row r="392" spans="1:8" x14ac:dyDescent="0.25">
      <c r="A392" t="str">
        <f>IF('Equipment Information'!A392="","", 'Equipment Information'!A392)</f>
        <v/>
      </c>
      <c r="B392" t="str">
        <f>IF('Equipment Information'!B392="","", 'Equipment Information'!B392)</f>
        <v/>
      </c>
      <c r="C392" t="str">
        <f>IF('Equipment Information'!C392="","", 'Equipment Information'!C392)</f>
        <v/>
      </c>
      <c r="H392" t="str">
        <f t="shared" si="6"/>
        <v/>
      </c>
    </row>
    <row r="393" spans="1:8" x14ac:dyDescent="0.25">
      <c r="A393" t="str">
        <f>IF('Equipment Information'!A393="","", 'Equipment Information'!A393)</f>
        <v/>
      </c>
      <c r="B393" t="str">
        <f>IF('Equipment Information'!B393="","", 'Equipment Information'!B393)</f>
        <v/>
      </c>
      <c r="C393" t="str">
        <f>IF('Equipment Information'!C393="","", 'Equipment Information'!C393)</f>
        <v/>
      </c>
      <c r="H393" t="str">
        <f t="shared" si="6"/>
        <v/>
      </c>
    </row>
    <row r="394" spans="1:8" x14ac:dyDescent="0.25">
      <c r="A394" t="str">
        <f>IF('Equipment Information'!A394="","", 'Equipment Information'!A394)</f>
        <v/>
      </c>
      <c r="B394" t="str">
        <f>IF('Equipment Information'!B394="","", 'Equipment Information'!B394)</f>
        <v/>
      </c>
      <c r="C394" t="str">
        <f>IF('Equipment Information'!C394="","", 'Equipment Information'!C394)</f>
        <v/>
      </c>
      <c r="H394" t="str">
        <f t="shared" si="6"/>
        <v/>
      </c>
    </row>
    <row r="395" spans="1:8" x14ac:dyDescent="0.25">
      <c r="A395" t="str">
        <f>IF('Equipment Information'!A395="","", 'Equipment Information'!A395)</f>
        <v/>
      </c>
      <c r="B395" t="str">
        <f>IF('Equipment Information'!B395="","", 'Equipment Information'!B395)</f>
        <v/>
      </c>
      <c r="C395" t="str">
        <f>IF('Equipment Information'!C395="","", 'Equipment Information'!C395)</f>
        <v/>
      </c>
      <c r="H395" t="str">
        <f t="shared" si="6"/>
        <v/>
      </c>
    </row>
    <row r="396" spans="1:8" x14ac:dyDescent="0.25">
      <c r="A396" t="str">
        <f>IF('Equipment Information'!A396="","", 'Equipment Information'!A396)</f>
        <v/>
      </c>
      <c r="B396" t="str">
        <f>IF('Equipment Information'!B396="","", 'Equipment Information'!B396)</f>
        <v/>
      </c>
      <c r="C396" t="str">
        <f>IF('Equipment Information'!C396="","", 'Equipment Information'!C396)</f>
        <v/>
      </c>
      <c r="H396" t="str">
        <f t="shared" si="6"/>
        <v/>
      </c>
    </row>
    <row r="397" spans="1:8" x14ac:dyDescent="0.25">
      <c r="A397" t="str">
        <f>IF('Equipment Information'!A397="","", 'Equipment Information'!A397)</f>
        <v/>
      </c>
      <c r="B397" t="str">
        <f>IF('Equipment Information'!B397="","", 'Equipment Information'!B397)</f>
        <v/>
      </c>
      <c r="C397" t="str">
        <f>IF('Equipment Information'!C397="","", 'Equipment Information'!C397)</f>
        <v/>
      </c>
      <c r="H397" t="str">
        <f t="shared" si="6"/>
        <v/>
      </c>
    </row>
    <row r="398" spans="1:8" x14ac:dyDescent="0.25">
      <c r="A398" t="str">
        <f>IF('Equipment Information'!A398="","", 'Equipment Information'!A398)</f>
        <v/>
      </c>
      <c r="B398" t="str">
        <f>IF('Equipment Information'!B398="","", 'Equipment Information'!B398)</f>
        <v/>
      </c>
      <c r="C398" t="str">
        <f>IF('Equipment Information'!C398="","", 'Equipment Information'!C398)</f>
        <v/>
      </c>
      <c r="H398" t="str">
        <f t="shared" si="6"/>
        <v/>
      </c>
    </row>
    <row r="399" spans="1:8" x14ac:dyDescent="0.25">
      <c r="A399" t="str">
        <f>IF('Equipment Information'!A399="","", 'Equipment Information'!A399)</f>
        <v/>
      </c>
      <c r="B399" t="str">
        <f>IF('Equipment Information'!B399="","", 'Equipment Information'!B399)</f>
        <v/>
      </c>
      <c r="C399" t="str">
        <f>IF('Equipment Information'!C399="","", 'Equipment Information'!C399)</f>
        <v/>
      </c>
      <c r="H399" t="str">
        <f t="shared" si="6"/>
        <v/>
      </c>
    </row>
    <row r="400" spans="1:8" x14ac:dyDescent="0.25">
      <c r="A400" t="str">
        <f>IF('Equipment Information'!A400="","", 'Equipment Information'!A400)</f>
        <v/>
      </c>
      <c r="B400" t="str">
        <f>IF('Equipment Information'!B400="","", 'Equipment Information'!B400)</f>
        <v/>
      </c>
      <c r="C400" t="str">
        <f>IF('Equipment Information'!C400="","", 'Equipment Information'!C400)</f>
        <v/>
      </c>
      <c r="H400" t="str">
        <f t="shared" si="6"/>
        <v/>
      </c>
    </row>
    <row r="401" spans="1:8" x14ac:dyDescent="0.25">
      <c r="A401" t="str">
        <f>IF('Equipment Information'!A401="","", 'Equipment Information'!A401)</f>
        <v/>
      </c>
      <c r="B401" t="str">
        <f>IF('Equipment Information'!B401="","", 'Equipment Information'!B401)</f>
        <v/>
      </c>
      <c r="C401" t="str">
        <f>IF('Equipment Information'!C401="","", 'Equipment Information'!C401)</f>
        <v/>
      </c>
      <c r="H401" t="str">
        <f t="shared" si="6"/>
        <v/>
      </c>
    </row>
    <row r="402" spans="1:8" x14ac:dyDescent="0.25">
      <c r="A402" t="str">
        <f>IF('Equipment Information'!A402="","", 'Equipment Information'!A402)</f>
        <v/>
      </c>
      <c r="B402" t="str">
        <f>IF('Equipment Information'!B402="","", 'Equipment Information'!B402)</f>
        <v/>
      </c>
      <c r="C402" t="str">
        <f>IF('Equipment Information'!C402="","", 'Equipment Information'!C402)</f>
        <v/>
      </c>
      <c r="H402" t="str">
        <f t="shared" si="6"/>
        <v/>
      </c>
    </row>
    <row r="403" spans="1:8" x14ac:dyDescent="0.25">
      <c r="A403" t="str">
        <f>IF('Equipment Information'!A403="","", 'Equipment Information'!A403)</f>
        <v/>
      </c>
      <c r="B403" t="str">
        <f>IF('Equipment Information'!B403="","", 'Equipment Information'!B403)</f>
        <v/>
      </c>
      <c r="C403" t="str">
        <f>IF('Equipment Information'!C403="","", 'Equipment Information'!C403)</f>
        <v/>
      </c>
      <c r="H403" t="str">
        <f t="shared" si="6"/>
        <v/>
      </c>
    </row>
    <row r="404" spans="1:8" x14ac:dyDescent="0.25">
      <c r="A404" t="str">
        <f>IF('Equipment Information'!A404="","", 'Equipment Information'!A404)</f>
        <v/>
      </c>
      <c r="B404" t="str">
        <f>IF('Equipment Information'!B404="","", 'Equipment Information'!B404)</f>
        <v/>
      </c>
      <c r="C404" t="str">
        <f>IF('Equipment Information'!C404="","", 'Equipment Information'!C404)</f>
        <v/>
      </c>
      <c r="H404" t="str">
        <f t="shared" si="6"/>
        <v/>
      </c>
    </row>
    <row r="405" spans="1:8" x14ac:dyDescent="0.25">
      <c r="A405" t="str">
        <f>IF('Equipment Information'!A405="","", 'Equipment Information'!A405)</f>
        <v/>
      </c>
      <c r="B405" t="str">
        <f>IF('Equipment Information'!B405="","", 'Equipment Information'!B405)</f>
        <v/>
      </c>
      <c r="C405" t="str">
        <f>IF('Equipment Information'!C405="","", 'Equipment Information'!C405)</f>
        <v/>
      </c>
      <c r="H405" t="str">
        <f t="shared" si="6"/>
        <v/>
      </c>
    </row>
    <row r="406" spans="1:8" x14ac:dyDescent="0.25">
      <c r="A406" t="str">
        <f>IF('Equipment Information'!A406="","", 'Equipment Information'!A406)</f>
        <v/>
      </c>
      <c r="B406" t="str">
        <f>IF('Equipment Information'!B406="","", 'Equipment Information'!B406)</f>
        <v/>
      </c>
      <c r="C406" t="str">
        <f>IF('Equipment Information'!C406="","", 'Equipment Information'!C406)</f>
        <v/>
      </c>
      <c r="H406" t="str">
        <f t="shared" si="6"/>
        <v/>
      </c>
    </row>
    <row r="407" spans="1:8" x14ac:dyDescent="0.25">
      <c r="A407" t="str">
        <f>IF('Equipment Information'!A407="","", 'Equipment Information'!A407)</f>
        <v/>
      </c>
      <c r="B407" t="str">
        <f>IF('Equipment Information'!B407="","", 'Equipment Information'!B407)</f>
        <v/>
      </c>
      <c r="C407" t="str">
        <f>IF('Equipment Information'!C407="","", 'Equipment Information'!C407)</f>
        <v/>
      </c>
      <c r="H407" t="str">
        <f t="shared" si="6"/>
        <v/>
      </c>
    </row>
    <row r="408" spans="1:8" x14ac:dyDescent="0.25">
      <c r="A408" t="str">
        <f>IF('Equipment Information'!A408="","", 'Equipment Information'!A408)</f>
        <v/>
      </c>
      <c r="B408" t="str">
        <f>IF('Equipment Information'!B408="","", 'Equipment Information'!B408)</f>
        <v/>
      </c>
      <c r="C408" t="str">
        <f>IF('Equipment Information'!C408="","", 'Equipment Information'!C408)</f>
        <v/>
      </c>
      <c r="H408" t="str">
        <f t="shared" si="6"/>
        <v/>
      </c>
    </row>
    <row r="409" spans="1:8" x14ac:dyDescent="0.25">
      <c r="A409" t="str">
        <f>IF('Equipment Information'!A409="","", 'Equipment Information'!A409)</f>
        <v/>
      </c>
      <c r="B409" t="str">
        <f>IF('Equipment Information'!B409="","", 'Equipment Information'!B409)</f>
        <v/>
      </c>
      <c r="C409" t="str">
        <f>IF('Equipment Information'!C409="","", 'Equipment Information'!C409)</f>
        <v/>
      </c>
      <c r="H409" t="str">
        <f t="shared" si="6"/>
        <v/>
      </c>
    </row>
    <row r="410" spans="1:8" x14ac:dyDescent="0.25">
      <c r="A410" t="str">
        <f>IF('Equipment Information'!A410="","", 'Equipment Information'!A410)</f>
        <v/>
      </c>
      <c r="B410" t="str">
        <f>IF('Equipment Information'!B410="","", 'Equipment Information'!B410)</f>
        <v/>
      </c>
      <c r="C410" t="str">
        <f>IF('Equipment Information'!C410="","", 'Equipment Information'!C410)</f>
        <v/>
      </c>
      <c r="H410" t="str">
        <f t="shared" si="6"/>
        <v/>
      </c>
    </row>
    <row r="411" spans="1:8" x14ac:dyDescent="0.25">
      <c r="A411" t="str">
        <f>IF('Equipment Information'!A411="","", 'Equipment Information'!A411)</f>
        <v/>
      </c>
      <c r="B411" t="str">
        <f>IF('Equipment Information'!B411="","", 'Equipment Information'!B411)</f>
        <v/>
      </c>
      <c r="C411" t="str">
        <f>IF('Equipment Information'!C411="","", 'Equipment Information'!C411)</f>
        <v/>
      </c>
      <c r="H411" t="str">
        <f t="shared" si="6"/>
        <v/>
      </c>
    </row>
    <row r="412" spans="1:8" x14ac:dyDescent="0.25">
      <c r="A412" t="str">
        <f>IF('Equipment Information'!A412="","", 'Equipment Information'!A412)</f>
        <v/>
      </c>
      <c r="B412" t="str">
        <f>IF('Equipment Information'!B412="","", 'Equipment Information'!B412)</f>
        <v/>
      </c>
      <c r="C412" t="str">
        <f>IF('Equipment Information'!C412="","", 'Equipment Information'!C412)</f>
        <v/>
      </c>
      <c r="H412" t="str">
        <f t="shared" si="6"/>
        <v/>
      </c>
    </row>
    <row r="413" spans="1:8" x14ac:dyDescent="0.25">
      <c r="A413" t="str">
        <f>IF('Equipment Information'!A413="","", 'Equipment Information'!A413)</f>
        <v/>
      </c>
      <c r="B413" t="str">
        <f>IF('Equipment Information'!B413="","", 'Equipment Information'!B413)</f>
        <v/>
      </c>
      <c r="C413" t="str">
        <f>IF('Equipment Information'!C413="","", 'Equipment Information'!C413)</f>
        <v/>
      </c>
      <c r="H413" t="str">
        <f t="shared" si="6"/>
        <v/>
      </c>
    </row>
    <row r="414" spans="1:8" x14ac:dyDescent="0.25">
      <c r="A414" t="str">
        <f>IF('Equipment Information'!A414="","", 'Equipment Information'!A414)</f>
        <v/>
      </c>
      <c r="B414" t="str">
        <f>IF('Equipment Information'!B414="","", 'Equipment Information'!B414)</f>
        <v/>
      </c>
      <c r="C414" t="str">
        <f>IF('Equipment Information'!C414="","", 'Equipment Information'!C414)</f>
        <v/>
      </c>
      <c r="H414" t="str">
        <f t="shared" si="6"/>
        <v/>
      </c>
    </row>
    <row r="415" spans="1:8" x14ac:dyDescent="0.25">
      <c r="A415" t="str">
        <f>IF('Equipment Information'!A415="","", 'Equipment Information'!A415)</f>
        <v/>
      </c>
      <c r="B415" t="str">
        <f>IF('Equipment Information'!B415="","", 'Equipment Information'!B415)</f>
        <v/>
      </c>
      <c r="C415" t="str">
        <f>IF('Equipment Information'!C415="","", 'Equipment Information'!C415)</f>
        <v/>
      </c>
      <c r="H415" t="str">
        <f t="shared" si="6"/>
        <v/>
      </c>
    </row>
    <row r="416" spans="1:8" x14ac:dyDescent="0.25">
      <c r="A416" t="str">
        <f>IF('Equipment Information'!A416="","", 'Equipment Information'!A416)</f>
        <v/>
      </c>
      <c r="B416" t="str">
        <f>IF('Equipment Information'!B416="","", 'Equipment Information'!B416)</f>
        <v/>
      </c>
      <c r="C416" t="str">
        <f>IF('Equipment Information'!C416="","", 'Equipment Information'!C416)</f>
        <v/>
      </c>
      <c r="H416" t="str">
        <f t="shared" si="6"/>
        <v/>
      </c>
    </row>
    <row r="417" spans="1:8" x14ac:dyDescent="0.25">
      <c r="A417" t="str">
        <f>IF('Equipment Information'!A417="","", 'Equipment Information'!A417)</f>
        <v/>
      </c>
      <c r="B417" t="str">
        <f>IF('Equipment Information'!B417="","", 'Equipment Information'!B417)</f>
        <v/>
      </c>
      <c r="C417" t="str">
        <f>IF('Equipment Information'!C417="","", 'Equipment Information'!C417)</f>
        <v/>
      </c>
      <c r="H417" t="str">
        <f t="shared" si="6"/>
        <v/>
      </c>
    </row>
    <row r="418" spans="1:8" x14ac:dyDescent="0.25">
      <c r="A418" t="str">
        <f>IF('Equipment Information'!A418="","", 'Equipment Information'!A418)</f>
        <v/>
      </c>
      <c r="B418" t="str">
        <f>IF('Equipment Information'!B418="","", 'Equipment Information'!B418)</f>
        <v/>
      </c>
      <c r="C418" t="str">
        <f>IF('Equipment Information'!C418="","", 'Equipment Information'!C418)</f>
        <v/>
      </c>
      <c r="H418" t="str">
        <f t="shared" si="6"/>
        <v/>
      </c>
    </row>
    <row r="419" spans="1:8" x14ac:dyDescent="0.25">
      <c r="A419" t="str">
        <f>IF('Equipment Information'!A419="","", 'Equipment Information'!A419)</f>
        <v/>
      </c>
      <c r="B419" t="str">
        <f>IF('Equipment Information'!B419="","", 'Equipment Information'!B419)</f>
        <v/>
      </c>
      <c r="C419" t="str">
        <f>IF('Equipment Information'!C419="","", 'Equipment Information'!C419)</f>
        <v/>
      </c>
      <c r="H419" t="str">
        <f t="shared" si="6"/>
        <v/>
      </c>
    </row>
    <row r="420" spans="1:8" x14ac:dyDescent="0.25">
      <c r="A420" t="str">
        <f>IF('Equipment Information'!A420="","", 'Equipment Information'!A420)</f>
        <v/>
      </c>
      <c r="B420" t="str">
        <f>IF('Equipment Information'!B420="","", 'Equipment Information'!B420)</f>
        <v/>
      </c>
      <c r="C420" t="str">
        <f>IF('Equipment Information'!C420="","", 'Equipment Information'!C420)</f>
        <v/>
      </c>
      <c r="H420" t="str">
        <f t="shared" si="6"/>
        <v/>
      </c>
    </row>
    <row r="421" spans="1:8" x14ac:dyDescent="0.25">
      <c r="A421" t="str">
        <f>IF('Equipment Information'!A421="","", 'Equipment Information'!A421)</f>
        <v/>
      </c>
      <c r="B421" t="str">
        <f>IF('Equipment Information'!B421="","", 'Equipment Information'!B421)</f>
        <v/>
      </c>
      <c r="C421" t="str">
        <f>IF('Equipment Information'!C421="","", 'Equipment Information'!C421)</f>
        <v/>
      </c>
      <c r="H421" t="str">
        <f t="shared" si="6"/>
        <v/>
      </c>
    </row>
    <row r="422" spans="1:8" x14ac:dyDescent="0.25">
      <c r="A422" t="str">
        <f>IF('Equipment Information'!A422="","", 'Equipment Information'!A422)</f>
        <v/>
      </c>
      <c r="B422" t="str">
        <f>IF('Equipment Information'!B422="","", 'Equipment Information'!B422)</f>
        <v/>
      </c>
      <c r="C422" t="str">
        <f>IF('Equipment Information'!C422="","", 'Equipment Information'!C422)</f>
        <v/>
      </c>
      <c r="H422" t="str">
        <f t="shared" si="6"/>
        <v/>
      </c>
    </row>
    <row r="423" spans="1:8" x14ac:dyDescent="0.25">
      <c r="A423" t="str">
        <f>IF('Equipment Information'!A423="","", 'Equipment Information'!A423)</f>
        <v/>
      </c>
      <c r="B423" t="str">
        <f>IF('Equipment Information'!B423="","", 'Equipment Information'!B423)</f>
        <v/>
      </c>
      <c r="C423" t="str">
        <f>IF('Equipment Information'!C423="","", 'Equipment Information'!C423)</f>
        <v/>
      </c>
      <c r="H423" t="str">
        <f t="shared" si="6"/>
        <v/>
      </c>
    </row>
    <row r="424" spans="1:8" x14ac:dyDescent="0.25">
      <c r="A424" t="str">
        <f>IF('Equipment Information'!A424="","", 'Equipment Information'!A424)</f>
        <v/>
      </c>
      <c r="B424" t="str">
        <f>IF('Equipment Information'!B424="","", 'Equipment Information'!B424)</f>
        <v/>
      </c>
      <c r="C424" t="str">
        <f>IF('Equipment Information'!C424="","", 'Equipment Information'!C424)</f>
        <v/>
      </c>
      <c r="H424" t="str">
        <f t="shared" si="6"/>
        <v/>
      </c>
    </row>
    <row r="425" spans="1:8" x14ac:dyDescent="0.25">
      <c r="A425" t="str">
        <f>IF('Equipment Information'!A425="","", 'Equipment Information'!A425)</f>
        <v/>
      </c>
      <c r="B425" t="str">
        <f>IF('Equipment Information'!B425="","", 'Equipment Information'!B425)</f>
        <v/>
      </c>
      <c r="C425" t="str">
        <f>IF('Equipment Information'!C425="","", 'Equipment Information'!C425)</f>
        <v/>
      </c>
      <c r="H425" t="str">
        <f t="shared" si="6"/>
        <v/>
      </c>
    </row>
    <row r="426" spans="1:8" x14ac:dyDescent="0.25">
      <c r="A426" t="str">
        <f>IF('Equipment Information'!A426="","", 'Equipment Information'!A426)</f>
        <v/>
      </c>
      <c r="B426" t="str">
        <f>IF('Equipment Information'!B426="","", 'Equipment Information'!B426)</f>
        <v/>
      </c>
      <c r="C426" t="str">
        <f>IF('Equipment Information'!C426="","", 'Equipment Information'!C426)</f>
        <v/>
      </c>
      <c r="H426" t="str">
        <f t="shared" si="6"/>
        <v/>
      </c>
    </row>
    <row r="427" spans="1:8" x14ac:dyDescent="0.25">
      <c r="A427" t="str">
        <f>IF('Equipment Information'!A427="","", 'Equipment Information'!A427)</f>
        <v/>
      </c>
      <c r="B427" t="str">
        <f>IF('Equipment Information'!B427="","", 'Equipment Information'!B427)</f>
        <v/>
      </c>
      <c r="C427" t="str">
        <f>IF('Equipment Information'!C427="","", 'Equipment Information'!C427)</f>
        <v/>
      </c>
      <c r="H427" t="str">
        <f t="shared" si="6"/>
        <v/>
      </c>
    </row>
    <row r="428" spans="1:8" x14ac:dyDescent="0.25">
      <c r="A428" t="str">
        <f>IF('Equipment Information'!A428="","", 'Equipment Information'!A428)</f>
        <v/>
      </c>
      <c r="B428" t="str">
        <f>IF('Equipment Information'!B428="","", 'Equipment Information'!B428)</f>
        <v/>
      </c>
      <c r="C428" t="str">
        <f>IF('Equipment Information'!C428="","", 'Equipment Information'!C428)</f>
        <v/>
      </c>
      <c r="H428" t="str">
        <f t="shared" si="6"/>
        <v/>
      </c>
    </row>
    <row r="429" spans="1:8" x14ac:dyDescent="0.25">
      <c r="A429" t="str">
        <f>IF('Equipment Information'!A429="","", 'Equipment Information'!A429)</f>
        <v/>
      </c>
      <c r="B429" t="str">
        <f>IF('Equipment Information'!B429="","", 'Equipment Information'!B429)</f>
        <v/>
      </c>
      <c r="C429" t="str">
        <f>IF('Equipment Information'!C429="","", 'Equipment Information'!C429)</f>
        <v/>
      </c>
      <c r="H429" t="str">
        <f t="shared" si="6"/>
        <v/>
      </c>
    </row>
    <row r="430" spans="1:8" x14ac:dyDescent="0.25">
      <c r="A430" t="str">
        <f>IF('Equipment Information'!A430="","", 'Equipment Information'!A430)</f>
        <v/>
      </c>
      <c r="B430" t="str">
        <f>IF('Equipment Information'!B430="","", 'Equipment Information'!B430)</f>
        <v/>
      </c>
      <c r="C430" t="str">
        <f>IF('Equipment Information'!C430="","", 'Equipment Information'!C430)</f>
        <v/>
      </c>
      <c r="H430" t="str">
        <f t="shared" si="6"/>
        <v/>
      </c>
    </row>
    <row r="431" spans="1:8" x14ac:dyDescent="0.25">
      <c r="A431" t="str">
        <f>IF('Equipment Information'!A431="","", 'Equipment Information'!A431)</f>
        <v/>
      </c>
      <c r="B431" t="str">
        <f>IF('Equipment Information'!B431="","", 'Equipment Information'!B431)</f>
        <v/>
      </c>
      <c r="C431" t="str">
        <f>IF('Equipment Information'!C431="","", 'Equipment Information'!C431)</f>
        <v/>
      </c>
      <c r="H431" t="str">
        <f t="shared" si="6"/>
        <v/>
      </c>
    </row>
    <row r="432" spans="1:8" x14ac:dyDescent="0.25">
      <c r="A432" t="str">
        <f>IF('Equipment Information'!A432="","", 'Equipment Information'!A432)</f>
        <v/>
      </c>
      <c r="B432" t="str">
        <f>IF('Equipment Information'!B432="","", 'Equipment Information'!B432)</f>
        <v/>
      </c>
      <c r="C432" t="str">
        <f>IF('Equipment Information'!C432="","", 'Equipment Information'!C432)</f>
        <v/>
      </c>
      <c r="H432" t="str">
        <f t="shared" si="6"/>
        <v/>
      </c>
    </row>
    <row r="433" spans="1:8" x14ac:dyDescent="0.25">
      <c r="A433" t="str">
        <f>IF('Equipment Information'!A433="","", 'Equipment Information'!A433)</f>
        <v/>
      </c>
      <c r="B433" t="str">
        <f>IF('Equipment Information'!B433="","", 'Equipment Information'!B433)</f>
        <v/>
      </c>
      <c r="C433" t="str">
        <f>IF('Equipment Information'!C433="","", 'Equipment Information'!C433)</f>
        <v/>
      </c>
      <c r="H433" t="str">
        <f t="shared" si="6"/>
        <v/>
      </c>
    </row>
    <row r="434" spans="1:8" x14ac:dyDescent="0.25">
      <c r="A434" t="str">
        <f>IF('Equipment Information'!A434="","", 'Equipment Information'!A434)</f>
        <v/>
      </c>
      <c r="B434" t="str">
        <f>IF('Equipment Information'!B434="","", 'Equipment Information'!B434)</f>
        <v/>
      </c>
      <c r="C434" t="str">
        <f>IF('Equipment Information'!C434="","", 'Equipment Information'!C434)</f>
        <v/>
      </c>
      <c r="H434" t="str">
        <f t="shared" si="6"/>
        <v/>
      </c>
    </row>
    <row r="435" spans="1:8" x14ac:dyDescent="0.25">
      <c r="A435" t="str">
        <f>IF('Equipment Information'!A435="","", 'Equipment Information'!A435)</f>
        <v/>
      </c>
      <c r="B435" t="str">
        <f>IF('Equipment Information'!B435="","", 'Equipment Information'!B435)</f>
        <v/>
      </c>
      <c r="C435" t="str">
        <f>IF('Equipment Information'!C435="","", 'Equipment Information'!C435)</f>
        <v/>
      </c>
      <c r="H435" t="str">
        <f t="shared" si="6"/>
        <v/>
      </c>
    </row>
    <row r="436" spans="1:8" x14ac:dyDescent="0.25">
      <c r="A436" t="str">
        <f>IF('Equipment Information'!A436="","", 'Equipment Information'!A436)</f>
        <v/>
      </c>
      <c r="B436" t="str">
        <f>IF('Equipment Information'!B436="","", 'Equipment Information'!B436)</f>
        <v/>
      </c>
      <c r="C436" t="str">
        <f>IF('Equipment Information'!C436="","", 'Equipment Information'!C436)</f>
        <v/>
      </c>
      <c r="H436" t="str">
        <f t="shared" si="6"/>
        <v/>
      </c>
    </row>
    <row r="437" spans="1:8" x14ac:dyDescent="0.25">
      <c r="A437" t="str">
        <f>IF('Equipment Information'!A437="","", 'Equipment Information'!A437)</f>
        <v/>
      </c>
      <c r="B437" t="str">
        <f>IF('Equipment Information'!B437="","", 'Equipment Information'!B437)</f>
        <v/>
      </c>
      <c r="C437" t="str">
        <f>IF('Equipment Information'!C437="","", 'Equipment Information'!C437)</f>
        <v/>
      </c>
      <c r="H437" t="str">
        <f t="shared" si="6"/>
        <v/>
      </c>
    </row>
    <row r="438" spans="1:8" x14ac:dyDescent="0.25">
      <c r="A438" t="str">
        <f>IF('Equipment Information'!A438="","", 'Equipment Information'!A438)</f>
        <v/>
      </c>
      <c r="B438" t="str">
        <f>IF('Equipment Information'!B438="","", 'Equipment Information'!B438)</f>
        <v/>
      </c>
      <c r="C438" t="str">
        <f>IF('Equipment Information'!C438="","", 'Equipment Information'!C438)</f>
        <v/>
      </c>
      <c r="H438" t="str">
        <f t="shared" si="6"/>
        <v/>
      </c>
    </row>
    <row r="439" spans="1:8" x14ac:dyDescent="0.25">
      <c r="A439" t="str">
        <f>IF('Equipment Information'!A439="","", 'Equipment Information'!A439)</f>
        <v/>
      </c>
      <c r="B439" t="str">
        <f>IF('Equipment Information'!B439="","", 'Equipment Information'!B439)</f>
        <v/>
      </c>
      <c r="C439" t="str">
        <f>IF('Equipment Information'!C439="","", 'Equipment Information'!C439)</f>
        <v/>
      </c>
      <c r="H439" t="str">
        <f t="shared" si="6"/>
        <v/>
      </c>
    </row>
    <row r="440" spans="1:8" x14ac:dyDescent="0.25">
      <c r="A440" t="str">
        <f>IF('Equipment Information'!A440="","", 'Equipment Information'!A440)</f>
        <v/>
      </c>
      <c r="B440" t="str">
        <f>IF('Equipment Information'!B440="","", 'Equipment Information'!B440)</f>
        <v/>
      </c>
      <c r="C440" t="str">
        <f>IF('Equipment Information'!C440="","", 'Equipment Information'!C440)</f>
        <v/>
      </c>
      <c r="H440" t="str">
        <f t="shared" si="6"/>
        <v/>
      </c>
    </row>
    <row r="441" spans="1:8" x14ac:dyDescent="0.25">
      <c r="A441" t="str">
        <f>IF('Equipment Information'!A441="","", 'Equipment Information'!A441)</f>
        <v/>
      </c>
      <c r="B441" t="str">
        <f>IF('Equipment Information'!B441="","", 'Equipment Information'!B441)</f>
        <v/>
      </c>
      <c r="C441" t="str">
        <f>IF('Equipment Information'!C441="","", 'Equipment Information'!C441)</f>
        <v/>
      </c>
      <c r="H441" t="str">
        <f t="shared" si="6"/>
        <v/>
      </c>
    </row>
    <row r="442" spans="1:8" x14ac:dyDescent="0.25">
      <c r="A442" t="str">
        <f>IF('Equipment Information'!A442="","", 'Equipment Information'!A442)</f>
        <v/>
      </c>
      <c r="B442" t="str">
        <f>IF('Equipment Information'!B442="","", 'Equipment Information'!B442)</f>
        <v/>
      </c>
      <c r="C442" t="str">
        <f>IF('Equipment Information'!C442="","", 'Equipment Information'!C442)</f>
        <v/>
      </c>
      <c r="H442" t="str">
        <f t="shared" si="6"/>
        <v/>
      </c>
    </row>
    <row r="443" spans="1:8" x14ac:dyDescent="0.25">
      <c r="A443" t="str">
        <f>IF('Equipment Information'!A443="","", 'Equipment Information'!A443)</f>
        <v/>
      </c>
      <c r="B443" t="str">
        <f>IF('Equipment Information'!B443="","", 'Equipment Information'!B443)</f>
        <v/>
      </c>
      <c r="C443" t="str">
        <f>IF('Equipment Information'!C443="","", 'Equipment Information'!C443)</f>
        <v/>
      </c>
      <c r="H443" t="str">
        <f t="shared" si="6"/>
        <v/>
      </c>
    </row>
    <row r="444" spans="1:8" x14ac:dyDescent="0.25">
      <c r="A444" t="str">
        <f>IF('Equipment Information'!A444="","", 'Equipment Information'!A444)</f>
        <v/>
      </c>
      <c r="B444" t="str">
        <f>IF('Equipment Information'!B444="","", 'Equipment Information'!B444)</f>
        <v/>
      </c>
      <c r="C444" t="str">
        <f>IF('Equipment Information'!C444="","", 'Equipment Information'!C444)</f>
        <v/>
      </c>
      <c r="H444" t="str">
        <f t="shared" si="6"/>
        <v/>
      </c>
    </row>
    <row r="445" spans="1:8" x14ac:dyDescent="0.25">
      <c r="A445" t="str">
        <f>IF('Equipment Information'!A445="","", 'Equipment Information'!A445)</f>
        <v/>
      </c>
      <c r="B445" t="str">
        <f>IF('Equipment Information'!B445="","", 'Equipment Information'!B445)</f>
        <v/>
      </c>
      <c r="C445" t="str">
        <f>IF('Equipment Information'!C445="","", 'Equipment Information'!C445)</f>
        <v/>
      </c>
      <c r="H445" t="str">
        <f t="shared" si="6"/>
        <v/>
      </c>
    </row>
    <row r="446" spans="1:8" x14ac:dyDescent="0.25">
      <c r="A446" t="str">
        <f>IF('Equipment Information'!A446="","", 'Equipment Information'!A446)</f>
        <v/>
      </c>
      <c r="B446" t="str">
        <f>IF('Equipment Information'!B446="","", 'Equipment Information'!B446)</f>
        <v/>
      </c>
      <c r="C446" t="str">
        <f>IF('Equipment Information'!C446="","", 'Equipment Information'!C446)</f>
        <v/>
      </c>
      <c r="H446" t="str">
        <f t="shared" si="6"/>
        <v/>
      </c>
    </row>
    <row r="447" spans="1:8" x14ac:dyDescent="0.25">
      <c r="A447" t="str">
        <f>IF('Equipment Information'!A447="","", 'Equipment Information'!A447)</f>
        <v/>
      </c>
      <c r="B447" t="str">
        <f>IF('Equipment Information'!B447="","", 'Equipment Information'!B447)</f>
        <v/>
      </c>
      <c r="C447" t="str">
        <f>IF('Equipment Information'!C447="","", 'Equipment Information'!C447)</f>
        <v/>
      </c>
      <c r="H447" t="str">
        <f t="shared" si="6"/>
        <v/>
      </c>
    </row>
    <row r="448" spans="1:8" x14ac:dyDescent="0.25">
      <c r="A448" t="str">
        <f>IF('Equipment Information'!A448="","", 'Equipment Information'!A448)</f>
        <v/>
      </c>
      <c r="B448" t="str">
        <f>IF('Equipment Information'!B448="","", 'Equipment Information'!B448)</f>
        <v/>
      </c>
      <c r="C448" t="str">
        <f>IF('Equipment Information'!C448="","", 'Equipment Information'!C448)</f>
        <v/>
      </c>
      <c r="H448" t="str">
        <f t="shared" si="6"/>
        <v/>
      </c>
    </row>
    <row r="449" spans="1:8" x14ac:dyDescent="0.25">
      <c r="A449" t="str">
        <f>IF('Equipment Information'!A449="","", 'Equipment Information'!A449)</f>
        <v/>
      </c>
      <c r="B449" t="str">
        <f>IF('Equipment Information'!B449="","", 'Equipment Information'!B449)</f>
        <v/>
      </c>
      <c r="C449" t="str">
        <f>IF('Equipment Information'!C449="","", 'Equipment Information'!C449)</f>
        <v/>
      </c>
      <c r="H449" t="str">
        <f t="shared" si="6"/>
        <v/>
      </c>
    </row>
    <row r="450" spans="1:8" x14ac:dyDescent="0.25">
      <c r="A450" t="str">
        <f>IF('Equipment Information'!A450="","", 'Equipment Information'!A450)</f>
        <v/>
      </c>
      <c r="B450" t="str">
        <f>IF('Equipment Information'!B450="","", 'Equipment Information'!B450)</f>
        <v/>
      </c>
      <c r="C450" t="str">
        <f>IF('Equipment Information'!C450="","", 'Equipment Information'!C450)</f>
        <v/>
      </c>
      <c r="H450" t="str">
        <f t="shared" ref="H450:H499" si="7">IF(A450="","","N/A")</f>
        <v/>
      </c>
    </row>
    <row r="451" spans="1:8" x14ac:dyDescent="0.25">
      <c r="A451" t="str">
        <f>IF('Equipment Information'!A451="","", 'Equipment Information'!A451)</f>
        <v/>
      </c>
      <c r="B451" t="str">
        <f>IF('Equipment Information'!B451="","", 'Equipment Information'!B451)</f>
        <v/>
      </c>
      <c r="C451" t="str">
        <f>IF('Equipment Information'!C451="","", 'Equipment Information'!C451)</f>
        <v/>
      </c>
      <c r="H451" t="str">
        <f t="shared" si="7"/>
        <v/>
      </c>
    </row>
    <row r="452" spans="1:8" x14ac:dyDescent="0.25">
      <c r="A452" t="str">
        <f>IF('Equipment Information'!A452="","", 'Equipment Information'!A452)</f>
        <v/>
      </c>
      <c r="B452" t="str">
        <f>IF('Equipment Information'!B452="","", 'Equipment Information'!B452)</f>
        <v/>
      </c>
      <c r="C452" t="str">
        <f>IF('Equipment Information'!C452="","", 'Equipment Information'!C452)</f>
        <v/>
      </c>
      <c r="H452" t="str">
        <f t="shared" si="7"/>
        <v/>
      </c>
    </row>
    <row r="453" spans="1:8" x14ac:dyDescent="0.25">
      <c r="A453" t="str">
        <f>IF('Equipment Information'!A453="","", 'Equipment Information'!A453)</f>
        <v/>
      </c>
      <c r="B453" t="str">
        <f>IF('Equipment Information'!B453="","", 'Equipment Information'!B453)</f>
        <v/>
      </c>
      <c r="C453" t="str">
        <f>IF('Equipment Information'!C453="","", 'Equipment Information'!C453)</f>
        <v/>
      </c>
      <c r="H453" t="str">
        <f t="shared" si="7"/>
        <v/>
      </c>
    </row>
    <row r="454" spans="1:8" x14ac:dyDescent="0.25">
      <c r="A454" t="str">
        <f>IF('Equipment Information'!A454="","", 'Equipment Information'!A454)</f>
        <v/>
      </c>
      <c r="B454" t="str">
        <f>IF('Equipment Information'!B454="","", 'Equipment Information'!B454)</f>
        <v/>
      </c>
      <c r="C454" t="str">
        <f>IF('Equipment Information'!C454="","", 'Equipment Information'!C454)</f>
        <v/>
      </c>
      <c r="H454" t="str">
        <f t="shared" si="7"/>
        <v/>
      </c>
    </row>
    <row r="455" spans="1:8" x14ac:dyDescent="0.25">
      <c r="A455" t="str">
        <f>IF('Equipment Information'!A455="","", 'Equipment Information'!A455)</f>
        <v/>
      </c>
      <c r="B455" t="str">
        <f>IF('Equipment Information'!B455="","", 'Equipment Information'!B455)</f>
        <v/>
      </c>
      <c r="C455" t="str">
        <f>IF('Equipment Information'!C455="","", 'Equipment Information'!C455)</f>
        <v/>
      </c>
      <c r="H455" t="str">
        <f t="shared" si="7"/>
        <v/>
      </c>
    </row>
    <row r="456" spans="1:8" x14ac:dyDescent="0.25">
      <c r="A456" t="str">
        <f>IF('Equipment Information'!A456="","", 'Equipment Information'!A456)</f>
        <v/>
      </c>
      <c r="B456" t="str">
        <f>IF('Equipment Information'!B456="","", 'Equipment Information'!B456)</f>
        <v/>
      </c>
      <c r="C456" t="str">
        <f>IF('Equipment Information'!C456="","", 'Equipment Information'!C456)</f>
        <v/>
      </c>
      <c r="H456" t="str">
        <f t="shared" si="7"/>
        <v/>
      </c>
    </row>
    <row r="457" spans="1:8" x14ac:dyDescent="0.25">
      <c r="A457" t="str">
        <f>IF('Equipment Information'!A457="","", 'Equipment Information'!A457)</f>
        <v/>
      </c>
      <c r="B457" t="str">
        <f>IF('Equipment Information'!B457="","", 'Equipment Information'!B457)</f>
        <v/>
      </c>
      <c r="C457" t="str">
        <f>IF('Equipment Information'!C457="","", 'Equipment Information'!C457)</f>
        <v/>
      </c>
      <c r="H457" t="str">
        <f t="shared" si="7"/>
        <v/>
      </c>
    </row>
    <row r="458" spans="1:8" x14ac:dyDescent="0.25">
      <c r="A458" t="str">
        <f>IF('Equipment Information'!A458="","", 'Equipment Information'!A458)</f>
        <v/>
      </c>
      <c r="B458" t="str">
        <f>IF('Equipment Information'!B458="","", 'Equipment Information'!B458)</f>
        <v/>
      </c>
      <c r="C458" t="str">
        <f>IF('Equipment Information'!C458="","", 'Equipment Information'!C458)</f>
        <v/>
      </c>
      <c r="H458" t="str">
        <f t="shared" si="7"/>
        <v/>
      </c>
    </row>
    <row r="459" spans="1:8" x14ac:dyDescent="0.25">
      <c r="A459" t="str">
        <f>IF('Equipment Information'!A459="","", 'Equipment Information'!A459)</f>
        <v/>
      </c>
      <c r="B459" t="str">
        <f>IF('Equipment Information'!B459="","", 'Equipment Information'!B459)</f>
        <v/>
      </c>
      <c r="C459" t="str">
        <f>IF('Equipment Information'!C459="","", 'Equipment Information'!C459)</f>
        <v/>
      </c>
      <c r="H459" t="str">
        <f t="shared" si="7"/>
        <v/>
      </c>
    </row>
    <row r="460" spans="1:8" x14ac:dyDescent="0.25">
      <c r="A460" t="str">
        <f>IF('Equipment Information'!A460="","", 'Equipment Information'!A460)</f>
        <v/>
      </c>
      <c r="B460" t="str">
        <f>IF('Equipment Information'!B460="","", 'Equipment Information'!B460)</f>
        <v/>
      </c>
      <c r="C460" t="str">
        <f>IF('Equipment Information'!C460="","", 'Equipment Information'!C460)</f>
        <v/>
      </c>
      <c r="H460" t="str">
        <f t="shared" si="7"/>
        <v/>
      </c>
    </row>
    <row r="461" spans="1:8" x14ac:dyDescent="0.25">
      <c r="A461" t="str">
        <f>IF('Equipment Information'!A461="","", 'Equipment Information'!A461)</f>
        <v/>
      </c>
      <c r="B461" t="str">
        <f>IF('Equipment Information'!B461="","", 'Equipment Information'!B461)</f>
        <v/>
      </c>
      <c r="C461" t="str">
        <f>IF('Equipment Information'!C461="","", 'Equipment Information'!C461)</f>
        <v/>
      </c>
      <c r="H461" t="str">
        <f t="shared" si="7"/>
        <v/>
      </c>
    </row>
    <row r="462" spans="1:8" x14ac:dyDescent="0.25">
      <c r="A462" t="str">
        <f>IF('Equipment Information'!A462="","", 'Equipment Information'!A462)</f>
        <v/>
      </c>
      <c r="B462" t="str">
        <f>IF('Equipment Information'!B462="","", 'Equipment Information'!B462)</f>
        <v/>
      </c>
      <c r="C462" t="str">
        <f>IF('Equipment Information'!C462="","", 'Equipment Information'!C462)</f>
        <v/>
      </c>
      <c r="H462" t="str">
        <f t="shared" si="7"/>
        <v/>
      </c>
    </row>
    <row r="463" spans="1:8" x14ac:dyDescent="0.25">
      <c r="A463" t="str">
        <f>IF('Equipment Information'!A463="","", 'Equipment Information'!A463)</f>
        <v/>
      </c>
      <c r="B463" t="str">
        <f>IF('Equipment Information'!B463="","", 'Equipment Information'!B463)</f>
        <v/>
      </c>
      <c r="C463" t="str">
        <f>IF('Equipment Information'!C463="","", 'Equipment Information'!C463)</f>
        <v/>
      </c>
      <c r="H463" t="str">
        <f t="shared" si="7"/>
        <v/>
      </c>
    </row>
    <row r="464" spans="1:8" x14ac:dyDescent="0.25">
      <c r="A464" t="str">
        <f>IF('Equipment Information'!A464="","", 'Equipment Information'!A464)</f>
        <v/>
      </c>
      <c r="B464" t="str">
        <f>IF('Equipment Information'!B464="","", 'Equipment Information'!B464)</f>
        <v/>
      </c>
      <c r="C464" t="str">
        <f>IF('Equipment Information'!C464="","", 'Equipment Information'!C464)</f>
        <v/>
      </c>
      <c r="H464" t="str">
        <f t="shared" si="7"/>
        <v/>
      </c>
    </row>
    <row r="465" spans="1:8" x14ac:dyDescent="0.25">
      <c r="A465" t="str">
        <f>IF('Equipment Information'!A465="","", 'Equipment Information'!A465)</f>
        <v/>
      </c>
      <c r="B465" t="str">
        <f>IF('Equipment Information'!B465="","", 'Equipment Information'!B465)</f>
        <v/>
      </c>
      <c r="C465" t="str">
        <f>IF('Equipment Information'!C465="","", 'Equipment Information'!C465)</f>
        <v/>
      </c>
      <c r="H465" t="str">
        <f t="shared" si="7"/>
        <v/>
      </c>
    </row>
    <row r="466" spans="1:8" x14ac:dyDescent="0.25">
      <c r="A466" t="str">
        <f>IF('Equipment Information'!A466="","", 'Equipment Information'!A466)</f>
        <v/>
      </c>
      <c r="B466" t="str">
        <f>IF('Equipment Information'!B466="","", 'Equipment Information'!B466)</f>
        <v/>
      </c>
      <c r="C466" t="str">
        <f>IF('Equipment Information'!C466="","", 'Equipment Information'!C466)</f>
        <v/>
      </c>
      <c r="H466" t="str">
        <f t="shared" si="7"/>
        <v/>
      </c>
    </row>
    <row r="467" spans="1:8" x14ac:dyDescent="0.25">
      <c r="A467" t="str">
        <f>IF('Equipment Information'!A467="","", 'Equipment Information'!A467)</f>
        <v/>
      </c>
      <c r="B467" t="str">
        <f>IF('Equipment Information'!B467="","", 'Equipment Information'!B467)</f>
        <v/>
      </c>
      <c r="C467" t="str">
        <f>IF('Equipment Information'!C467="","", 'Equipment Information'!C467)</f>
        <v/>
      </c>
      <c r="H467" t="str">
        <f t="shared" si="7"/>
        <v/>
      </c>
    </row>
    <row r="468" spans="1:8" x14ac:dyDescent="0.25">
      <c r="A468" t="str">
        <f>IF('Equipment Information'!A468="","", 'Equipment Information'!A468)</f>
        <v/>
      </c>
      <c r="B468" t="str">
        <f>IF('Equipment Information'!B468="","", 'Equipment Information'!B468)</f>
        <v/>
      </c>
      <c r="C468" t="str">
        <f>IF('Equipment Information'!C468="","", 'Equipment Information'!C468)</f>
        <v/>
      </c>
      <c r="H468" t="str">
        <f t="shared" si="7"/>
        <v/>
      </c>
    </row>
    <row r="469" spans="1:8" x14ac:dyDescent="0.25">
      <c r="A469" t="str">
        <f>IF('Equipment Information'!A469="","", 'Equipment Information'!A469)</f>
        <v/>
      </c>
      <c r="B469" t="str">
        <f>IF('Equipment Information'!B469="","", 'Equipment Information'!B469)</f>
        <v/>
      </c>
      <c r="C469" t="str">
        <f>IF('Equipment Information'!C469="","", 'Equipment Information'!C469)</f>
        <v/>
      </c>
      <c r="H469" t="str">
        <f t="shared" si="7"/>
        <v/>
      </c>
    </row>
    <row r="470" spans="1:8" x14ac:dyDescent="0.25">
      <c r="A470" t="str">
        <f>IF('Equipment Information'!A470="","", 'Equipment Information'!A470)</f>
        <v/>
      </c>
      <c r="B470" t="str">
        <f>IF('Equipment Information'!B470="","", 'Equipment Information'!B470)</f>
        <v/>
      </c>
      <c r="C470" t="str">
        <f>IF('Equipment Information'!C470="","", 'Equipment Information'!C470)</f>
        <v/>
      </c>
      <c r="H470" t="str">
        <f t="shared" si="7"/>
        <v/>
      </c>
    </row>
    <row r="471" spans="1:8" x14ac:dyDescent="0.25">
      <c r="A471" t="str">
        <f>IF('Equipment Information'!A471="","", 'Equipment Information'!A471)</f>
        <v/>
      </c>
      <c r="B471" t="str">
        <f>IF('Equipment Information'!B471="","", 'Equipment Information'!B471)</f>
        <v/>
      </c>
      <c r="C471" t="str">
        <f>IF('Equipment Information'!C471="","", 'Equipment Information'!C471)</f>
        <v/>
      </c>
      <c r="H471" t="str">
        <f t="shared" si="7"/>
        <v/>
      </c>
    </row>
    <row r="472" spans="1:8" x14ac:dyDescent="0.25">
      <c r="A472" t="str">
        <f>IF('Equipment Information'!A472="","", 'Equipment Information'!A472)</f>
        <v/>
      </c>
      <c r="B472" t="str">
        <f>IF('Equipment Information'!B472="","", 'Equipment Information'!B472)</f>
        <v/>
      </c>
      <c r="C472" t="str">
        <f>IF('Equipment Information'!C472="","", 'Equipment Information'!C472)</f>
        <v/>
      </c>
      <c r="H472" t="str">
        <f t="shared" si="7"/>
        <v/>
      </c>
    </row>
    <row r="473" spans="1:8" x14ac:dyDescent="0.25">
      <c r="A473" t="str">
        <f>IF('Equipment Information'!A473="","", 'Equipment Information'!A473)</f>
        <v/>
      </c>
      <c r="B473" t="str">
        <f>IF('Equipment Information'!B473="","", 'Equipment Information'!B473)</f>
        <v/>
      </c>
      <c r="C473" t="str">
        <f>IF('Equipment Information'!C473="","", 'Equipment Information'!C473)</f>
        <v/>
      </c>
      <c r="H473" t="str">
        <f t="shared" si="7"/>
        <v/>
      </c>
    </row>
    <row r="474" spans="1:8" x14ac:dyDescent="0.25">
      <c r="A474" t="str">
        <f>IF('Equipment Information'!A474="","", 'Equipment Information'!A474)</f>
        <v/>
      </c>
      <c r="B474" t="str">
        <f>IF('Equipment Information'!B474="","", 'Equipment Information'!B474)</f>
        <v/>
      </c>
      <c r="C474" t="str">
        <f>IF('Equipment Information'!C474="","", 'Equipment Information'!C474)</f>
        <v/>
      </c>
      <c r="H474" t="str">
        <f t="shared" si="7"/>
        <v/>
      </c>
    </row>
    <row r="475" spans="1:8" x14ac:dyDescent="0.25">
      <c r="A475" t="str">
        <f>IF('Equipment Information'!A475="","", 'Equipment Information'!A475)</f>
        <v/>
      </c>
      <c r="B475" t="str">
        <f>IF('Equipment Information'!B475="","", 'Equipment Information'!B475)</f>
        <v/>
      </c>
      <c r="C475" t="str">
        <f>IF('Equipment Information'!C475="","", 'Equipment Information'!C475)</f>
        <v/>
      </c>
      <c r="H475" t="str">
        <f t="shared" si="7"/>
        <v/>
      </c>
    </row>
    <row r="476" spans="1:8" x14ac:dyDescent="0.25">
      <c r="A476" t="str">
        <f>IF('Equipment Information'!A476="","", 'Equipment Information'!A476)</f>
        <v/>
      </c>
      <c r="B476" t="str">
        <f>IF('Equipment Information'!B476="","", 'Equipment Information'!B476)</f>
        <v/>
      </c>
      <c r="C476" t="str">
        <f>IF('Equipment Information'!C476="","", 'Equipment Information'!C476)</f>
        <v/>
      </c>
      <c r="H476" t="str">
        <f t="shared" si="7"/>
        <v/>
      </c>
    </row>
    <row r="477" spans="1:8" x14ac:dyDescent="0.25">
      <c r="A477" t="str">
        <f>IF('Equipment Information'!A477="","", 'Equipment Information'!A477)</f>
        <v/>
      </c>
      <c r="B477" t="str">
        <f>IF('Equipment Information'!B477="","", 'Equipment Information'!B477)</f>
        <v/>
      </c>
      <c r="C477" t="str">
        <f>IF('Equipment Information'!C477="","", 'Equipment Information'!C477)</f>
        <v/>
      </c>
      <c r="H477" t="str">
        <f t="shared" si="7"/>
        <v/>
      </c>
    </row>
    <row r="478" spans="1:8" x14ac:dyDescent="0.25">
      <c r="A478" t="str">
        <f>IF('Equipment Information'!A478="","", 'Equipment Information'!A478)</f>
        <v/>
      </c>
      <c r="B478" t="str">
        <f>IF('Equipment Information'!B478="","", 'Equipment Information'!B478)</f>
        <v/>
      </c>
      <c r="C478" t="str">
        <f>IF('Equipment Information'!C478="","", 'Equipment Information'!C478)</f>
        <v/>
      </c>
      <c r="H478" t="str">
        <f t="shared" si="7"/>
        <v/>
      </c>
    </row>
    <row r="479" spans="1:8" x14ac:dyDescent="0.25">
      <c r="A479" t="str">
        <f>IF('Equipment Information'!A479="","", 'Equipment Information'!A479)</f>
        <v/>
      </c>
      <c r="B479" t="str">
        <f>IF('Equipment Information'!B479="","", 'Equipment Information'!B479)</f>
        <v/>
      </c>
      <c r="C479" t="str">
        <f>IF('Equipment Information'!C479="","", 'Equipment Information'!C479)</f>
        <v/>
      </c>
      <c r="H479" t="str">
        <f t="shared" si="7"/>
        <v/>
      </c>
    </row>
    <row r="480" spans="1:8" x14ac:dyDescent="0.25">
      <c r="A480" t="str">
        <f>IF('Equipment Information'!A480="","", 'Equipment Information'!A480)</f>
        <v/>
      </c>
      <c r="B480" t="str">
        <f>IF('Equipment Information'!B480="","", 'Equipment Information'!B480)</f>
        <v/>
      </c>
      <c r="C480" t="str">
        <f>IF('Equipment Information'!C480="","", 'Equipment Information'!C480)</f>
        <v/>
      </c>
      <c r="H480" t="str">
        <f t="shared" si="7"/>
        <v/>
      </c>
    </row>
    <row r="481" spans="1:8" x14ac:dyDescent="0.25">
      <c r="A481" t="str">
        <f>IF('Equipment Information'!A481="","", 'Equipment Information'!A481)</f>
        <v/>
      </c>
      <c r="B481" t="str">
        <f>IF('Equipment Information'!B481="","", 'Equipment Information'!B481)</f>
        <v/>
      </c>
      <c r="C481" t="str">
        <f>IF('Equipment Information'!C481="","", 'Equipment Information'!C481)</f>
        <v/>
      </c>
      <c r="H481" t="str">
        <f t="shared" si="7"/>
        <v/>
      </c>
    </row>
    <row r="482" spans="1:8" x14ac:dyDescent="0.25">
      <c r="A482" t="str">
        <f>IF('Equipment Information'!A482="","", 'Equipment Information'!A482)</f>
        <v/>
      </c>
      <c r="B482" t="str">
        <f>IF('Equipment Information'!B482="","", 'Equipment Information'!B482)</f>
        <v/>
      </c>
      <c r="C482" t="str">
        <f>IF('Equipment Information'!C482="","", 'Equipment Information'!C482)</f>
        <v/>
      </c>
      <c r="H482" t="str">
        <f t="shared" si="7"/>
        <v/>
      </c>
    </row>
    <row r="483" spans="1:8" x14ac:dyDescent="0.25">
      <c r="A483" t="str">
        <f>IF('Equipment Information'!A483="","", 'Equipment Information'!A483)</f>
        <v/>
      </c>
      <c r="B483" t="str">
        <f>IF('Equipment Information'!B483="","", 'Equipment Information'!B483)</f>
        <v/>
      </c>
      <c r="C483" t="str">
        <f>IF('Equipment Information'!C483="","", 'Equipment Information'!C483)</f>
        <v/>
      </c>
      <c r="H483" t="str">
        <f t="shared" si="7"/>
        <v/>
      </c>
    </row>
    <row r="484" spans="1:8" x14ac:dyDescent="0.25">
      <c r="A484" t="str">
        <f>IF('Equipment Information'!A484="","", 'Equipment Information'!A484)</f>
        <v/>
      </c>
      <c r="B484" t="str">
        <f>IF('Equipment Information'!B484="","", 'Equipment Information'!B484)</f>
        <v/>
      </c>
      <c r="C484" t="str">
        <f>IF('Equipment Information'!C484="","", 'Equipment Information'!C484)</f>
        <v/>
      </c>
      <c r="H484" t="str">
        <f t="shared" si="7"/>
        <v/>
      </c>
    </row>
    <row r="485" spans="1:8" x14ac:dyDescent="0.25">
      <c r="A485" t="str">
        <f>IF('Equipment Information'!A485="","", 'Equipment Information'!A485)</f>
        <v/>
      </c>
      <c r="B485" t="str">
        <f>IF('Equipment Information'!B485="","", 'Equipment Information'!B485)</f>
        <v/>
      </c>
      <c r="C485" t="str">
        <f>IF('Equipment Information'!C485="","", 'Equipment Information'!C485)</f>
        <v/>
      </c>
      <c r="H485" t="str">
        <f t="shared" si="7"/>
        <v/>
      </c>
    </row>
    <row r="486" spans="1:8" x14ac:dyDescent="0.25">
      <c r="A486" t="str">
        <f>IF('Equipment Information'!A486="","", 'Equipment Information'!A486)</f>
        <v/>
      </c>
      <c r="B486" t="str">
        <f>IF('Equipment Information'!B486="","", 'Equipment Information'!B486)</f>
        <v/>
      </c>
      <c r="C486" t="str">
        <f>IF('Equipment Information'!C486="","", 'Equipment Information'!C486)</f>
        <v/>
      </c>
      <c r="H486" t="str">
        <f t="shared" si="7"/>
        <v/>
      </c>
    </row>
    <row r="487" spans="1:8" x14ac:dyDescent="0.25">
      <c r="A487" t="str">
        <f>IF('Equipment Information'!A487="","", 'Equipment Information'!A487)</f>
        <v/>
      </c>
      <c r="B487" t="str">
        <f>IF('Equipment Information'!B487="","", 'Equipment Information'!B487)</f>
        <v/>
      </c>
      <c r="C487" t="str">
        <f>IF('Equipment Information'!C487="","", 'Equipment Information'!C487)</f>
        <v/>
      </c>
      <c r="H487" t="str">
        <f t="shared" si="7"/>
        <v/>
      </c>
    </row>
    <row r="488" spans="1:8" x14ac:dyDescent="0.25">
      <c r="A488" t="str">
        <f>IF('Equipment Information'!A488="","", 'Equipment Information'!A488)</f>
        <v/>
      </c>
      <c r="B488" t="str">
        <f>IF('Equipment Information'!B488="","", 'Equipment Information'!B488)</f>
        <v/>
      </c>
      <c r="C488" t="str">
        <f>IF('Equipment Information'!C488="","", 'Equipment Information'!C488)</f>
        <v/>
      </c>
      <c r="H488" t="str">
        <f t="shared" si="7"/>
        <v/>
      </c>
    </row>
    <row r="489" spans="1:8" x14ac:dyDescent="0.25">
      <c r="A489" t="str">
        <f>IF('Equipment Information'!A489="","", 'Equipment Information'!A489)</f>
        <v/>
      </c>
      <c r="B489" t="str">
        <f>IF('Equipment Information'!B489="","", 'Equipment Information'!B489)</f>
        <v/>
      </c>
      <c r="C489" t="str">
        <f>IF('Equipment Information'!C489="","", 'Equipment Information'!C489)</f>
        <v/>
      </c>
      <c r="H489" t="str">
        <f t="shared" si="7"/>
        <v/>
      </c>
    </row>
    <row r="490" spans="1:8" x14ac:dyDescent="0.25">
      <c r="A490" t="str">
        <f>IF('Equipment Information'!A490="","", 'Equipment Information'!A490)</f>
        <v/>
      </c>
      <c r="B490" t="str">
        <f>IF('Equipment Information'!B490="","", 'Equipment Information'!B490)</f>
        <v/>
      </c>
      <c r="C490" t="str">
        <f>IF('Equipment Information'!C490="","", 'Equipment Information'!C490)</f>
        <v/>
      </c>
      <c r="H490" t="str">
        <f t="shared" si="7"/>
        <v/>
      </c>
    </row>
    <row r="491" spans="1:8" x14ac:dyDescent="0.25">
      <c r="A491" t="str">
        <f>IF('Equipment Information'!A491="","", 'Equipment Information'!A491)</f>
        <v/>
      </c>
      <c r="B491" t="str">
        <f>IF('Equipment Information'!B491="","", 'Equipment Information'!B491)</f>
        <v/>
      </c>
      <c r="C491" t="str">
        <f>IF('Equipment Information'!C491="","", 'Equipment Information'!C491)</f>
        <v/>
      </c>
      <c r="H491" t="str">
        <f t="shared" si="7"/>
        <v/>
      </c>
    </row>
    <row r="492" spans="1:8" x14ac:dyDescent="0.25">
      <c r="A492" t="str">
        <f>IF('Equipment Information'!A492="","", 'Equipment Information'!A492)</f>
        <v/>
      </c>
      <c r="B492" t="str">
        <f>IF('Equipment Information'!B492="","", 'Equipment Information'!B492)</f>
        <v/>
      </c>
      <c r="C492" t="str">
        <f>IF('Equipment Information'!C492="","", 'Equipment Information'!C492)</f>
        <v/>
      </c>
      <c r="H492" t="str">
        <f t="shared" si="7"/>
        <v/>
      </c>
    </row>
    <row r="493" spans="1:8" x14ac:dyDescent="0.25">
      <c r="A493" t="str">
        <f>IF('Equipment Information'!A493="","", 'Equipment Information'!A493)</f>
        <v/>
      </c>
      <c r="B493" t="str">
        <f>IF('Equipment Information'!B493="","", 'Equipment Information'!B493)</f>
        <v/>
      </c>
      <c r="C493" t="str">
        <f>IF('Equipment Information'!C493="","", 'Equipment Information'!C493)</f>
        <v/>
      </c>
      <c r="H493" t="str">
        <f t="shared" si="7"/>
        <v/>
      </c>
    </row>
    <row r="494" spans="1:8" x14ac:dyDescent="0.25">
      <c r="A494" t="str">
        <f>IF('Equipment Information'!A494="","", 'Equipment Information'!A494)</f>
        <v/>
      </c>
      <c r="B494" t="str">
        <f>IF('Equipment Information'!B494="","", 'Equipment Information'!B494)</f>
        <v/>
      </c>
      <c r="C494" t="str">
        <f>IF('Equipment Information'!C494="","", 'Equipment Information'!C494)</f>
        <v/>
      </c>
      <c r="H494" t="str">
        <f t="shared" si="7"/>
        <v/>
      </c>
    </row>
    <row r="495" spans="1:8" x14ac:dyDescent="0.25">
      <c r="A495" t="str">
        <f>IF('Equipment Information'!A495="","", 'Equipment Information'!A495)</f>
        <v/>
      </c>
      <c r="B495" t="str">
        <f>IF('Equipment Information'!B495="","", 'Equipment Information'!B495)</f>
        <v/>
      </c>
      <c r="C495" t="str">
        <f>IF('Equipment Information'!C495="","", 'Equipment Information'!C495)</f>
        <v/>
      </c>
      <c r="H495" t="str">
        <f t="shared" si="7"/>
        <v/>
      </c>
    </row>
    <row r="496" spans="1:8" x14ac:dyDescent="0.25">
      <c r="A496" t="str">
        <f>IF('Equipment Information'!A496="","", 'Equipment Information'!A496)</f>
        <v/>
      </c>
      <c r="B496" t="str">
        <f>IF('Equipment Information'!B496="","", 'Equipment Information'!B496)</f>
        <v/>
      </c>
      <c r="C496" t="str">
        <f>IF('Equipment Information'!C496="","", 'Equipment Information'!C496)</f>
        <v/>
      </c>
      <c r="H496" t="str">
        <f t="shared" si="7"/>
        <v/>
      </c>
    </row>
    <row r="497" spans="1:8" x14ac:dyDescent="0.25">
      <c r="A497" t="str">
        <f>IF('Equipment Information'!A497="","", 'Equipment Information'!A497)</f>
        <v/>
      </c>
      <c r="B497" t="str">
        <f>IF('Equipment Information'!B497="","", 'Equipment Information'!B497)</f>
        <v/>
      </c>
      <c r="C497" t="str">
        <f>IF('Equipment Information'!C497="","", 'Equipment Information'!C497)</f>
        <v/>
      </c>
      <c r="H497" t="str">
        <f t="shared" si="7"/>
        <v/>
      </c>
    </row>
    <row r="498" spans="1:8" x14ac:dyDescent="0.25">
      <c r="A498" t="str">
        <f>IF('Equipment Information'!A498="","", 'Equipment Information'!A498)</f>
        <v/>
      </c>
      <c r="B498" t="str">
        <f>IF('Equipment Information'!B498="","", 'Equipment Information'!B498)</f>
        <v/>
      </c>
      <c r="C498" t="str">
        <f>IF('Equipment Information'!C498="","", 'Equipment Information'!C498)</f>
        <v/>
      </c>
      <c r="H498" t="str">
        <f t="shared" si="7"/>
        <v/>
      </c>
    </row>
    <row r="499" spans="1:8" x14ac:dyDescent="0.25">
      <c r="A499" t="str">
        <f>IF('Equipment Information'!A499="","", 'Equipment Information'!A499)</f>
        <v/>
      </c>
      <c r="B499" t="str">
        <f>IF('Equipment Information'!B499="","", 'Equipment Information'!B499)</f>
        <v/>
      </c>
      <c r="C499" t="str">
        <f>IF('Equipment Information'!C499="","", 'Equipment Information'!C499)</f>
        <v/>
      </c>
      <c r="H499" t="str">
        <f t="shared" si="7"/>
        <v/>
      </c>
    </row>
  </sheetData>
  <dataValidations count="1">
    <dataValidation type="list" allowBlank="1" sqref="H2:H500" xr:uid="{00000000-0002-0000-0800-000000000000}">
      <formula1>List_PF</formula1>
    </dataValidation>
  </dataValidations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49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9" width="20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442</v>
      </c>
      <c r="E1" s="1" t="s">
        <v>665</v>
      </c>
      <c r="F1" s="1" t="s">
        <v>666</v>
      </c>
      <c r="G1" s="1" t="s">
        <v>667</v>
      </c>
      <c r="H1" s="1" t="s">
        <v>21</v>
      </c>
      <c r="I1" s="1" t="s">
        <v>18</v>
      </c>
    </row>
    <row r="2" spans="1:9" x14ac:dyDescent="0.25">
      <c r="A2" t="str">
        <f>IF('Equipment Information'!A2="","", 'Equipment Information'!A2)</f>
        <v>20260648</v>
      </c>
      <c r="B2" t="str">
        <f>IF('Equipment Information'!B2="","", 'Equipment Information'!B2)</f>
        <v>Main Building Disconnect (Sec 1 of 3)</v>
      </c>
      <c r="C2" t="str">
        <f>IF('Equipment Information'!C2="","", 'Equipment Information'!C2)</f>
        <v>Electrical Room #2</v>
      </c>
      <c r="H2" t="str">
        <f t="shared" ref="H2:H65" si="0">IF(A2="","","N/A")</f>
        <v>N/A</v>
      </c>
    </row>
    <row r="3" spans="1:9" x14ac:dyDescent="0.25">
      <c r="A3" t="str">
        <f>IF('Equipment Information'!A3="","", 'Equipment Information'!A3)</f>
        <v>20260649</v>
      </c>
      <c r="B3" t="str">
        <f>IF('Equipment Information'!B3="","", 'Equipment Information'!B3)</f>
        <v>Main Building Disconnect (Sec 2 of 3)</v>
      </c>
      <c r="C3" t="str">
        <f>IF('Equipment Information'!C3="","", 'Equipment Information'!C3)</f>
        <v>Electrical Room #2</v>
      </c>
      <c r="H3" t="str">
        <f t="shared" si="0"/>
        <v>N/A</v>
      </c>
    </row>
    <row r="4" spans="1:9" x14ac:dyDescent="0.25">
      <c r="A4" t="str">
        <f>IF('Equipment Information'!A4="","", 'Equipment Information'!A4)</f>
        <v>20260650</v>
      </c>
      <c r="B4" t="str">
        <f>IF('Equipment Information'!B4="","", 'Equipment Information'!B4)</f>
        <v>Main Building Disconnect (Sec 3 of 3)</v>
      </c>
      <c r="C4" t="str">
        <f>IF('Equipment Information'!C4="","", 'Equipment Information'!C4)</f>
        <v>Electrical Room #2</v>
      </c>
      <c r="H4" t="str">
        <f t="shared" si="0"/>
        <v>N/A</v>
      </c>
    </row>
    <row r="5" spans="1:9" x14ac:dyDescent="0.25">
      <c r="A5" t="str">
        <f>IF('Equipment Information'!A5="","", 'Equipment Information'!A5)</f>
        <v>20260651</v>
      </c>
      <c r="B5" t="str">
        <f>IF('Equipment Information'!B5="","", 'Equipment Information'!B5)</f>
        <v>Power Cond. #1 Disconnect</v>
      </c>
      <c r="C5" t="str">
        <f>IF('Equipment Information'!C5="","", 'Equipment Information'!C5)</f>
        <v>Electrical Room #2</v>
      </c>
      <c r="H5" t="str">
        <f t="shared" si="0"/>
        <v>N/A</v>
      </c>
    </row>
    <row r="6" spans="1:9" x14ac:dyDescent="0.25">
      <c r="A6" t="str">
        <f>IF('Equipment Information'!A6="","", 'Equipment Information'!A6)</f>
        <v>20260652</v>
      </c>
      <c r="B6" t="str">
        <f>IF('Equipment Information'!B6="","", 'Equipment Information'!B6)</f>
        <v>Power Cond. #2 Disconnect</v>
      </c>
      <c r="C6" t="str">
        <f>IF('Equipment Information'!C6="","", 'Equipment Information'!C6)</f>
        <v>Electrical Room #2</v>
      </c>
      <c r="H6" t="str">
        <f t="shared" si="0"/>
        <v>N/A</v>
      </c>
    </row>
    <row r="7" spans="1:9" x14ac:dyDescent="0.25">
      <c r="A7" t="str">
        <f>IF('Equipment Information'!A7="","", 'Equipment Information'!A7)</f>
        <v>20260653</v>
      </c>
      <c r="B7" t="str">
        <f>IF('Equipment Information'!B7="","", 'Equipment Information'!B7)</f>
        <v>LP #1</v>
      </c>
      <c r="C7" t="str">
        <f>IF('Equipment Information'!C7="","", 'Equipment Information'!C7)</f>
        <v>Electrical Room #2</v>
      </c>
      <c r="H7" t="str">
        <f t="shared" si="0"/>
        <v>N/A</v>
      </c>
    </row>
    <row r="8" spans="1:9" x14ac:dyDescent="0.25">
      <c r="A8" t="str">
        <f>IF('Equipment Information'!A8="","", 'Equipment Information'!A8)</f>
        <v>20260654</v>
      </c>
      <c r="B8" t="str">
        <f>IF('Equipment Information'!B8="","", 'Equipment Information'!B8)</f>
        <v>P-1</v>
      </c>
      <c r="C8" t="str">
        <f>IF('Equipment Information'!C8="","", 'Equipment Information'!C8)</f>
        <v>Electrical Room #2</v>
      </c>
      <c r="H8" t="str">
        <f t="shared" si="0"/>
        <v>N/A</v>
      </c>
    </row>
    <row r="9" spans="1:9" x14ac:dyDescent="0.25">
      <c r="A9" t="str">
        <f>IF('Equipment Information'!A9="","", 'Equipment Information'!A9)</f>
        <v>20260655</v>
      </c>
      <c r="B9" t="str">
        <f>IF('Equipment Information'!B9="","", 'Equipment Information'!B9)</f>
        <v>P-2</v>
      </c>
      <c r="C9" t="str">
        <f>IF('Equipment Information'!C9="","", 'Equipment Information'!C9)</f>
        <v>Electrical Room #2</v>
      </c>
      <c r="H9" t="str">
        <f t="shared" si="0"/>
        <v>N/A</v>
      </c>
    </row>
    <row r="10" spans="1:9" x14ac:dyDescent="0.25">
      <c r="A10" t="str">
        <f>IF('Equipment Information'!A10="","", 'Equipment Information'!A10)</f>
        <v>20260656</v>
      </c>
      <c r="B10" t="str">
        <f>IF('Equipment Information'!B10="","", 'Equipment Information'!B10)</f>
        <v>DP #4</v>
      </c>
      <c r="C10" t="str">
        <f>IF('Equipment Information'!C10="","", 'Equipment Information'!C10)</f>
        <v>Electrical Room #2</v>
      </c>
      <c r="H10" t="str">
        <f t="shared" si="0"/>
        <v>N/A</v>
      </c>
    </row>
    <row r="11" spans="1:9" x14ac:dyDescent="0.25">
      <c r="A11" t="str">
        <f>IF('Equipment Information'!A11="","", 'Equipment Information'!A11)</f>
        <v>20260657</v>
      </c>
      <c r="B11" t="str">
        <f>IF('Equipment Information'!B11="","", 'Equipment Information'!B11)</f>
        <v>DP #5</v>
      </c>
      <c r="C11" t="str">
        <f>IF('Equipment Information'!C11="","", 'Equipment Information'!C11)</f>
        <v>Electrical Room #2</v>
      </c>
      <c r="H11" t="str">
        <f t="shared" si="0"/>
        <v>N/A</v>
      </c>
    </row>
    <row r="12" spans="1:9" x14ac:dyDescent="0.25">
      <c r="A12" t="str">
        <f>IF('Equipment Information'!A12="","", 'Equipment Information'!A12)</f>
        <v>20260658</v>
      </c>
      <c r="B12" t="str">
        <f>IF('Equipment Information'!B12="","", 'Equipment Information'!B12)</f>
        <v>DP #6</v>
      </c>
      <c r="C12" t="str">
        <f>IF('Equipment Information'!C12="","", 'Equipment Information'!C12)</f>
        <v>Electrical Room #2</v>
      </c>
      <c r="H12" t="str">
        <f t="shared" si="0"/>
        <v>N/A</v>
      </c>
    </row>
    <row r="13" spans="1:9" x14ac:dyDescent="0.25">
      <c r="A13" t="str">
        <f>IF('Equipment Information'!A13="","", 'Equipment Information'!A13)</f>
        <v>20260659</v>
      </c>
      <c r="B13" t="str">
        <f>IF('Equipment Information'!B13="","", 'Equipment Information'!B13)</f>
        <v>PDP</v>
      </c>
      <c r="C13" t="str">
        <f>IF('Equipment Information'!C13="","", 'Equipment Information'!C13)</f>
        <v>Electrical Room #2</v>
      </c>
      <c r="H13" t="str">
        <f t="shared" si="0"/>
        <v>N/A</v>
      </c>
    </row>
    <row r="14" spans="1:9" x14ac:dyDescent="0.25">
      <c r="A14" t="str">
        <f>IF('Equipment Information'!A14="","", 'Equipment Information'!A14)</f>
        <v>20260660</v>
      </c>
      <c r="B14" t="str">
        <f>IF('Equipment Information'!B14="","", 'Equipment Information'!B14)</f>
        <v>T-2</v>
      </c>
      <c r="C14" t="str">
        <f>IF('Equipment Information'!C14="","", 'Equipment Information'!C14)</f>
        <v>Electrical Room #2</v>
      </c>
      <c r="H14" t="str">
        <f t="shared" si="0"/>
        <v>N/A</v>
      </c>
    </row>
    <row r="15" spans="1:9" x14ac:dyDescent="0.25">
      <c r="A15" t="str">
        <f>IF('Equipment Information'!A15="","", 'Equipment Information'!A15)</f>
        <v>20260661</v>
      </c>
      <c r="B15" t="str">
        <f>IF('Equipment Information'!B15="","", 'Equipment Information'!B15)</f>
        <v>OH XFMR</v>
      </c>
      <c r="C15" t="str">
        <f>IF('Equipment Information'!C15="","", 'Equipment Information'!C15)</f>
        <v>Electrical Room #2</v>
      </c>
      <c r="H15" t="str">
        <f t="shared" si="0"/>
        <v>N/A</v>
      </c>
    </row>
    <row r="16" spans="1:9" x14ac:dyDescent="0.25">
      <c r="A16" t="str">
        <f>IF('Equipment Information'!A16="","", 'Equipment Information'!A16)</f>
        <v>20260662</v>
      </c>
      <c r="B16" t="str">
        <f>IF('Equipment Information'!B16="","", 'Equipment Information'!B16)</f>
        <v>DP7 Freezer</v>
      </c>
      <c r="C16" t="str">
        <f>IF('Equipment Information'!C16="","", 'Equipment Information'!C16)</f>
        <v>Electrical Room #3</v>
      </c>
      <c r="H16" t="str">
        <f t="shared" si="0"/>
        <v>N/A</v>
      </c>
    </row>
    <row r="17" spans="1:8" x14ac:dyDescent="0.25">
      <c r="A17" t="str">
        <f>IF('Equipment Information'!A17="","", 'Equipment Information'!A17)</f>
        <v>20260663</v>
      </c>
      <c r="B17" t="str">
        <f>IF('Equipment Information'!B17="","", 'Equipment Information'!B17)</f>
        <v>(N/A 75 KVA XFMR)</v>
      </c>
      <c r="C17" t="str">
        <f>IF('Equipment Information'!C17="","", 'Equipment Information'!C17)</f>
        <v>Electrical Room #3</v>
      </c>
      <c r="H17" t="str">
        <f t="shared" si="0"/>
        <v>N/A</v>
      </c>
    </row>
    <row r="18" spans="1:8" x14ac:dyDescent="0.25">
      <c r="A18" t="str">
        <f>IF('Equipment Information'!A18="","", 'Equipment Information'!A18)</f>
        <v>20260664</v>
      </c>
      <c r="B18" t="str">
        <f>IF('Equipment Information'!B18="","", 'Equipment Information'!B18)</f>
        <v>(N/A PNL)</v>
      </c>
      <c r="C18" t="str">
        <f>IF('Equipment Information'!C18="","", 'Equipment Information'!C18)</f>
        <v>Electrical Room #3</v>
      </c>
      <c r="H18" t="str">
        <f t="shared" si="0"/>
        <v>N/A</v>
      </c>
    </row>
    <row r="19" spans="1:8" x14ac:dyDescent="0.25">
      <c r="A19" t="str">
        <f>IF('Equipment Information'!A19="","", 'Equipment Information'!A19)</f>
        <v>20260665</v>
      </c>
      <c r="B19" t="str">
        <f>IF('Equipment Information'!B19="","", 'Equipment Information'!B19)</f>
        <v>USES</v>
      </c>
      <c r="C19" t="str">
        <f>IF('Equipment Information'!C19="","", 'Equipment Information'!C19)</f>
        <v>Electrical Room #3</v>
      </c>
      <c r="H19" t="str">
        <f t="shared" si="0"/>
        <v>N/A</v>
      </c>
    </row>
    <row r="20" spans="1:8" x14ac:dyDescent="0.25">
      <c r="A20" t="str">
        <f>IF('Equipment Information'!A20="","", 'Equipment Information'!A20)</f>
        <v>20260666</v>
      </c>
      <c r="B20" t="str">
        <f>IF('Equipment Information'!B20="","", 'Equipment Information'!B20)</f>
        <v>Fan (P3-4/6/8)</v>
      </c>
      <c r="C20" t="str">
        <f>IF('Equipment Information'!C20="","", 'Equipment Information'!C20)</f>
        <v>Electrical Room #3</v>
      </c>
      <c r="H20" t="str">
        <f t="shared" si="0"/>
        <v>N/A</v>
      </c>
    </row>
    <row r="21" spans="1:8" x14ac:dyDescent="0.25">
      <c r="A21" t="str">
        <f>IF('Equipment Information'!A21="","", 'Equipment Information'!A21)</f>
        <v>20260667</v>
      </c>
      <c r="B21" t="str">
        <f>IF('Equipment Information'!B21="","", 'Equipment Information'!B21)</f>
        <v>Fan (P3-4/6/8)</v>
      </c>
      <c r="C21" t="str">
        <f>IF('Equipment Information'!C21="","", 'Equipment Information'!C21)</f>
        <v>Electrical Room #3</v>
      </c>
      <c r="H21" t="str">
        <f t="shared" si="0"/>
        <v>N/A</v>
      </c>
    </row>
    <row r="22" spans="1:8" x14ac:dyDescent="0.25">
      <c r="A22" t="str">
        <f>IF('Equipment Information'!A22="","", 'Equipment Information'!A22)</f>
        <v>20260668</v>
      </c>
      <c r="B22" t="str">
        <f>IF('Equipment Information'!B22="","", 'Equipment Information'!B22)</f>
        <v>P3</v>
      </c>
      <c r="C22" t="str">
        <f>IF('Equipment Information'!C22="","", 'Equipment Information'!C22)</f>
        <v>Electrical Room #3</v>
      </c>
      <c r="H22" t="str">
        <f t="shared" si="0"/>
        <v>N/A</v>
      </c>
    </row>
    <row r="23" spans="1:8" x14ac:dyDescent="0.25">
      <c r="A23" t="str">
        <f>IF('Equipment Information'!A23="","", 'Equipment Information'!A23)</f>
        <v>20260669</v>
      </c>
      <c r="B23" t="str">
        <f>IF('Equipment Information'!B23="","", 'Equipment Information'!B23)</f>
        <v>DP7</v>
      </c>
      <c r="C23" t="str">
        <f>IF('Equipment Information'!C23="","", 'Equipment Information'!C23)</f>
        <v>Electrical Room #3</v>
      </c>
      <c r="H23" t="str">
        <f t="shared" si="0"/>
        <v>N/A</v>
      </c>
    </row>
    <row r="24" spans="1:8" x14ac:dyDescent="0.25">
      <c r="A24" t="str">
        <f>IF('Equipment Information'!A24="","", 'Equipment Information'!A24)</f>
        <v>20260670</v>
      </c>
      <c r="B24" t="str">
        <f>IF('Equipment Information'!B24="","", 'Equipment Information'!B24)</f>
        <v>CP-DP7 [Sec. 1]</v>
      </c>
      <c r="C24" t="str">
        <f>IF('Equipment Information'!C24="","", 'Equipment Information'!C24)</f>
        <v>Electrical Room #3</v>
      </c>
      <c r="H24" t="str">
        <f t="shared" si="0"/>
        <v>N/A</v>
      </c>
    </row>
    <row r="25" spans="1:8" x14ac:dyDescent="0.25">
      <c r="A25" t="str">
        <f>IF('Equipment Information'!A25="","", 'Equipment Information'!A25)</f>
        <v>20260671</v>
      </c>
      <c r="B25" t="str">
        <f>IF('Equipment Information'!B25="","", 'Equipment Information'!B25)</f>
        <v>CP-DP7 [Sec. 2]</v>
      </c>
      <c r="C25" t="str">
        <f>IF('Equipment Information'!C25="","", 'Equipment Information'!C25)</f>
        <v>Electrical Room #3</v>
      </c>
      <c r="H25" t="str">
        <f t="shared" si="0"/>
        <v>N/A</v>
      </c>
    </row>
    <row r="26" spans="1:8" x14ac:dyDescent="0.25">
      <c r="A26" t="str">
        <f>IF('Equipment Information'!A26="","", 'Equipment Information'!A26)</f>
        <v>20260672</v>
      </c>
      <c r="B26" t="str">
        <f>IF('Equipment Information'!B26="","", 'Equipment Information'!B26)</f>
        <v>CP-DP7 [Sec. 3]</v>
      </c>
      <c r="C26" t="str">
        <f>IF('Equipment Information'!C26="","", 'Equipment Information'!C26)</f>
        <v>Electrical Room #3</v>
      </c>
      <c r="H26" t="str">
        <f t="shared" si="0"/>
        <v>N/A</v>
      </c>
    </row>
    <row r="27" spans="1:8" x14ac:dyDescent="0.25">
      <c r="A27" t="str">
        <f>IF('Equipment Information'!A27="","", 'Equipment Information'!A27)</f>
        <v>20260673</v>
      </c>
      <c r="B27" t="str">
        <f>IF('Equipment Information'!B27="","", 'Equipment Information'!B27)</f>
        <v>OH XFMR</v>
      </c>
      <c r="C27" t="str">
        <f>IF('Equipment Information'!C27="","", 'Equipment Information'!C27)</f>
        <v>Electrical Room #3</v>
      </c>
      <c r="H27" t="str">
        <f t="shared" si="0"/>
        <v>N/A</v>
      </c>
    </row>
    <row r="28" spans="1:8" x14ac:dyDescent="0.25">
      <c r="A28" t="str">
        <f>IF('Equipment Information'!A28="","", 'Equipment Information'!A28)</f>
        <v>20260674</v>
      </c>
      <c r="B28" t="str">
        <f>IF('Equipment Information'!B28="","", 'Equipment Information'!B28)</f>
        <v>MDP-2 [Sec. 1]</v>
      </c>
      <c r="C28" t="str">
        <f>IF('Equipment Information'!C28="","", 'Equipment Information'!C28)</f>
        <v>Electrical Room #1</v>
      </c>
      <c r="H28" t="str">
        <f t="shared" si="0"/>
        <v>N/A</v>
      </c>
    </row>
    <row r="29" spans="1:8" x14ac:dyDescent="0.25">
      <c r="A29" t="str">
        <f>IF('Equipment Information'!A29="","", 'Equipment Information'!A29)</f>
        <v>20260675</v>
      </c>
      <c r="B29" t="str">
        <f>IF('Equipment Information'!B29="","", 'Equipment Information'!B29)</f>
        <v>MDP-2 [Sec. 2]</v>
      </c>
      <c r="C29" t="str">
        <f>IF('Equipment Information'!C29="","", 'Equipment Information'!C29)</f>
        <v>Electrical Room #1</v>
      </c>
      <c r="H29" t="str">
        <f t="shared" si="0"/>
        <v>N/A</v>
      </c>
    </row>
    <row r="30" spans="1:8" x14ac:dyDescent="0.25">
      <c r="A30" t="str">
        <f>IF('Equipment Information'!A30="","", 'Equipment Information'!A30)</f>
        <v>20260676</v>
      </c>
      <c r="B30" t="str">
        <f>IF('Equipment Information'!B30="","", 'Equipment Information'!B30)</f>
        <v>Vacuum Exhaust</v>
      </c>
      <c r="C30" t="str">
        <f>IF('Equipment Information'!C30="","", 'Equipment Information'!C30)</f>
        <v>Electrical Room #1</v>
      </c>
      <c r="H30" t="str">
        <f t="shared" si="0"/>
        <v>N/A</v>
      </c>
    </row>
    <row r="31" spans="1:8" x14ac:dyDescent="0.25">
      <c r="A31" t="str">
        <f>IF('Equipment Information'!A31="","", 'Equipment Information'!A31)</f>
        <v>20260677</v>
      </c>
      <c r="B31" t="str">
        <f>IF('Equipment Information'!B31="","", 'Equipment Information'!B31)</f>
        <v>Air Knife</v>
      </c>
      <c r="C31" t="str">
        <f>IF('Equipment Information'!C31="","", 'Equipment Information'!C31)</f>
        <v>Electrical Room #1</v>
      </c>
      <c r="H31" t="str">
        <f t="shared" si="0"/>
        <v>N/A</v>
      </c>
    </row>
    <row r="32" spans="1:8" x14ac:dyDescent="0.25">
      <c r="A32" t="str">
        <f>IF('Equipment Information'!A32="","", 'Equipment Information'!A32)</f>
        <v>20260678</v>
      </c>
      <c r="B32" t="str">
        <f>IF('Equipment Information'!B32="","", 'Equipment Information'!B32)</f>
        <v>CP-Dryer #2</v>
      </c>
      <c r="C32" t="str">
        <f>IF('Equipment Information'!C32="","", 'Equipment Information'!C32)</f>
        <v>Electrical Room #4</v>
      </c>
      <c r="H32" t="str">
        <f t="shared" si="0"/>
        <v>N/A</v>
      </c>
    </row>
    <row r="33" spans="1:8" x14ac:dyDescent="0.25">
      <c r="A33" t="str">
        <f>IF('Equipment Information'!A33="","", 'Equipment Information'!A33)</f>
        <v>20260679</v>
      </c>
      <c r="B33" t="str">
        <f>IF('Equipment Information'!B33="","", 'Equipment Information'!B33)</f>
        <v>CP-Silo Alley</v>
      </c>
      <c r="C33" t="str">
        <f>IF('Equipment Information'!C33="","", 'Equipment Information'!C33)</f>
        <v>Electrical Room #4</v>
      </c>
      <c r="H33" t="str">
        <f t="shared" si="0"/>
        <v>N/A</v>
      </c>
    </row>
    <row r="34" spans="1:8" x14ac:dyDescent="0.25">
      <c r="A34" t="str">
        <f>IF('Equipment Information'!A34="","", 'Equipment Information'!A34)</f>
        <v>20260680</v>
      </c>
      <c r="B34" t="str">
        <f>IF('Equipment Information'!B34="","", 'Equipment Information'!B34)</f>
        <v>Machine Control</v>
      </c>
      <c r="C34" t="str">
        <f>IF('Equipment Information'!C34="","", 'Equipment Information'!C34)</f>
        <v>Electrical Room #4</v>
      </c>
      <c r="H34" t="str">
        <f t="shared" si="0"/>
        <v>N/A</v>
      </c>
    </row>
    <row r="35" spans="1:8" x14ac:dyDescent="0.25">
      <c r="A35" t="str">
        <f>IF('Equipment Information'!A35="","", 'Equipment Information'!A35)</f>
        <v>20260681</v>
      </c>
      <c r="B35" t="str">
        <f>IF('Equipment Information'!B35="","", 'Equipment Information'!B35)</f>
        <v>CP-Dryer #1 [Sec. 1]</v>
      </c>
      <c r="C35" t="str">
        <f>IF('Equipment Information'!C35="","", 'Equipment Information'!C35)</f>
        <v>Electrical Room #4</v>
      </c>
      <c r="H35" t="str">
        <f t="shared" si="0"/>
        <v>N/A</v>
      </c>
    </row>
    <row r="36" spans="1:8" x14ac:dyDescent="0.25">
      <c r="A36" t="str">
        <f>IF('Equipment Information'!A36="","", 'Equipment Information'!A36)</f>
        <v>20260682</v>
      </c>
      <c r="B36" t="str">
        <f>IF('Equipment Information'!B36="","", 'Equipment Information'!B36)</f>
        <v>CP-Dryer #1 [Sec. 2]</v>
      </c>
      <c r="C36" t="str">
        <f>IF('Equipment Information'!C36="","", 'Equipment Information'!C36)</f>
        <v>Electrical Room #4</v>
      </c>
      <c r="H36" t="str">
        <f t="shared" si="0"/>
        <v>N/A</v>
      </c>
    </row>
    <row r="37" spans="1:8" x14ac:dyDescent="0.25">
      <c r="A37" t="str">
        <f>IF('Equipment Information'!A37="","", 'Equipment Information'!A37)</f>
        <v>20260683</v>
      </c>
      <c r="B37" t="str">
        <f>IF('Equipment Information'!B37="","", 'Equipment Information'!B37)</f>
        <v>CP-Packout [Sec. 1]</v>
      </c>
      <c r="C37" t="str">
        <f>IF('Equipment Information'!C37="","", 'Equipment Information'!C37)</f>
        <v>Electrical Room #4</v>
      </c>
      <c r="H37" t="str">
        <f t="shared" si="0"/>
        <v>N/A</v>
      </c>
    </row>
    <row r="38" spans="1:8" x14ac:dyDescent="0.25">
      <c r="A38" t="str">
        <f>IF('Equipment Information'!A38="","", 'Equipment Information'!A38)</f>
        <v>20260684</v>
      </c>
      <c r="B38" t="str">
        <f>IF('Equipment Information'!B38="","", 'Equipment Information'!B38)</f>
        <v>CP-Packout [Sec. 2]</v>
      </c>
      <c r="C38" t="str">
        <f>IF('Equipment Information'!C38="","", 'Equipment Information'!C38)</f>
        <v>Electrical Room #4</v>
      </c>
      <c r="H38" t="str">
        <f t="shared" si="0"/>
        <v>N/A</v>
      </c>
    </row>
    <row r="39" spans="1:8" x14ac:dyDescent="0.25">
      <c r="A39" t="str">
        <f>IF('Equipment Information'!A39="","", 'Equipment Information'!A39)</f>
        <v>20260685</v>
      </c>
      <c r="B39" t="str">
        <f>IF('Equipment Information'!B39="","", 'Equipment Information'!B39)</f>
        <v>CP-Packout [Sec. 3]</v>
      </c>
      <c r="C39" t="str">
        <f>IF('Equipment Information'!C39="","", 'Equipment Information'!C39)</f>
        <v>Electrical Room #4</v>
      </c>
      <c r="H39" t="str">
        <f t="shared" si="0"/>
        <v>N/A</v>
      </c>
    </row>
    <row r="40" spans="1:8" x14ac:dyDescent="0.25">
      <c r="A40" t="str">
        <f>IF('Equipment Information'!A40="","", 'Equipment Information'!A40)</f>
        <v>20260686</v>
      </c>
      <c r="B40" t="str">
        <f>IF('Equipment Information'!B40="","", 'Equipment Information'!B40)</f>
        <v>CP-5110</v>
      </c>
      <c r="C40" t="str">
        <f>IF('Equipment Information'!C40="","", 'Equipment Information'!C40)</f>
        <v>Electrical Room #4</v>
      </c>
      <c r="H40" t="str">
        <f t="shared" si="0"/>
        <v>N/A</v>
      </c>
    </row>
    <row r="41" spans="1:8" x14ac:dyDescent="0.25">
      <c r="A41" t="str">
        <f>IF('Equipment Information'!A41="","", 'Equipment Information'!A41)</f>
        <v>20260687</v>
      </c>
      <c r="B41" t="str">
        <f>IF('Equipment Information'!B41="","", 'Equipment Information'!B41)</f>
        <v>CP-5120</v>
      </c>
      <c r="C41" t="str">
        <f>IF('Equipment Information'!C41="","", 'Equipment Information'!C41)</f>
        <v>Electrical Room #4</v>
      </c>
      <c r="H41" t="str">
        <f t="shared" si="0"/>
        <v>N/A</v>
      </c>
    </row>
    <row r="42" spans="1:8" x14ac:dyDescent="0.25">
      <c r="A42" t="str">
        <f>IF('Equipment Information'!A42="","", 'Equipment Information'!A42)</f>
        <v>20260688</v>
      </c>
      <c r="B42" t="str">
        <f>IF('Equipment Information'!B42="","", 'Equipment Information'!B42)</f>
        <v>RF-7101</v>
      </c>
      <c r="C42" t="str">
        <f>IF('Equipment Information'!C42="","", 'Equipment Information'!C42)</f>
        <v>Electrical Room #4</v>
      </c>
      <c r="H42" t="str">
        <f t="shared" si="0"/>
        <v>N/A</v>
      </c>
    </row>
    <row r="43" spans="1:8" x14ac:dyDescent="0.25">
      <c r="A43" t="str">
        <f>IF('Equipment Information'!A43="","", 'Equipment Information'!A43)</f>
        <v>20260689</v>
      </c>
      <c r="B43" t="str">
        <f>IF('Equipment Information'!B43="","", 'Equipment Information'!B43)</f>
        <v>RF-7102</v>
      </c>
      <c r="C43" t="str">
        <f>IF('Equipment Information'!C43="","", 'Equipment Information'!C43)</f>
        <v>Electrical Room #4</v>
      </c>
      <c r="H43" t="str">
        <f t="shared" si="0"/>
        <v>N/A</v>
      </c>
    </row>
    <row r="44" spans="1:8" x14ac:dyDescent="0.25">
      <c r="A44" t="str">
        <f>IF('Equipment Information'!A44="","", 'Equipment Information'!A44)</f>
        <v>20260690</v>
      </c>
      <c r="B44" t="str">
        <f>IF('Equipment Information'!B44="","", 'Equipment Information'!B44)</f>
        <v>RF-7103</v>
      </c>
      <c r="C44" t="str">
        <f>IF('Equipment Information'!C44="","", 'Equipment Information'!C44)</f>
        <v>Electrical Room #4</v>
      </c>
      <c r="H44" t="str">
        <f t="shared" si="0"/>
        <v>N/A</v>
      </c>
    </row>
    <row r="45" spans="1:8" x14ac:dyDescent="0.25">
      <c r="A45" t="str">
        <f>IF('Equipment Information'!A45="","", 'Equipment Information'!A45)</f>
        <v>20260691</v>
      </c>
      <c r="B45" t="str">
        <f>IF('Equipment Information'!B45="","", 'Equipment Information'!B45)</f>
        <v>RF-7104</v>
      </c>
      <c r="C45" t="str">
        <f>IF('Equipment Information'!C45="","", 'Equipment Information'!C45)</f>
        <v>Electrical Room #4</v>
      </c>
      <c r="H45" t="str">
        <f t="shared" si="0"/>
        <v>N/A</v>
      </c>
    </row>
    <row r="46" spans="1:8" x14ac:dyDescent="0.25">
      <c r="A46" t="str">
        <f>IF('Equipment Information'!A46="","", 'Equipment Information'!A46)</f>
        <v>20260692</v>
      </c>
      <c r="B46" t="str">
        <f>IF('Equipment Information'!B46="","", 'Equipment Information'!B46)</f>
        <v>DP-10</v>
      </c>
      <c r="C46" t="str">
        <f>IF('Equipment Information'!C46="","", 'Equipment Information'!C46)</f>
        <v>Electrical Room #4</v>
      </c>
      <c r="H46" t="str">
        <f t="shared" si="0"/>
        <v>N/A</v>
      </c>
    </row>
    <row r="47" spans="1:8" x14ac:dyDescent="0.25">
      <c r="A47" t="str">
        <f>IF('Equipment Information'!A47="","", 'Equipment Information'!A47)</f>
        <v>20260693</v>
      </c>
      <c r="B47" t="str">
        <f>IF('Equipment Information'!B47="","", 'Equipment Information'!B47)</f>
        <v>Cooling Towers</v>
      </c>
      <c r="C47" t="str">
        <f>IF('Equipment Information'!C47="","", 'Equipment Information'!C47)</f>
        <v>Electrical Room #4</v>
      </c>
      <c r="H47" t="str">
        <f t="shared" si="0"/>
        <v>N/A</v>
      </c>
    </row>
    <row r="48" spans="1:8" x14ac:dyDescent="0.25">
      <c r="A48" t="str">
        <f>IF('Equipment Information'!A48="","", 'Equipment Information'!A48)</f>
        <v>20260694</v>
      </c>
      <c r="B48" t="str">
        <f>IF('Equipment Information'!B48="","", 'Equipment Information'!B48)</f>
        <v>PP FF-2</v>
      </c>
      <c r="C48" t="str">
        <f>IF('Equipment Information'!C48="","", 'Equipment Information'!C48)</f>
        <v>Electrical Room #4</v>
      </c>
      <c r="H48" t="str">
        <f t="shared" si="0"/>
        <v>N/A</v>
      </c>
    </row>
    <row r="49" spans="1:8" x14ac:dyDescent="0.25">
      <c r="A49" t="str">
        <f>IF('Equipment Information'!A49="","", 'Equipment Information'!A49)</f>
        <v>20260695</v>
      </c>
      <c r="B49" t="str">
        <f>IF('Equipment Information'!B49="","", 'Equipment Information'!B49)</f>
        <v>LP FF-1</v>
      </c>
      <c r="C49" t="str">
        <f>IF('Equipment Information'!C49="","", 'Equipment Information'!C49)</f>
        <v>Electrical Room #4</v>
      </c>
      <c r="H49" t="str">
        <f t="shared" si="0"/>
        <v>N/A</v>
      </c>
    </row>
    <row r="50" spans="1:8" x14ac:dyDescent="0.25">
      <c r="A50" t="str">
        <f>IF('Equipment Information'!A50="","", 'Equipment Information'!A50)</f>
        <v>20260696</v>
      </c>
      <c r="B50" t="str">
        <f>IF('Equipment Information'!B50="","", 'Equipment Information'!B50)</f>
        <v>PP FF-1</v>
      </c>
      <c r="C50" t="str">
        <f>IF('Equipment Information'!C50="","", 'Equipment Information'!C50)</f>
        <v>Electrical Room #4</v>
      </c>
      <c r="H50" t="str">
        <f t="shared" si="0"/>
        <v>N/A</v>
      </c>
    </row>
    <row r="51" spans="1:8" x14ac:dyDescent="0.25">
      <c r="A51" t="str">
        <f>IF('Equipment Information'!A51="","", 'Equipment Information'!A51)</f>
        <v>20260697</v>
      </c>
      <c r="B51" t="str">
        <f>IF('Equipment Information'!B51="","", 'Equipment Information'!B51)</f>
        <v>PP FF-1A</v>
      </c>
      <c r="C51" t="str">
        <f>IF('Equipment Information'!C51="","", 'Equipment Information'!C51)</f>
        <v>Electrical Room #4</v>
      </c>
      <c r="H51" t="str">
        <f t="shared" si="0"/>
        <v>N/A</v>
      </c>
    </row>
    <row r="52" spans="1:8" x14ac:dyDescent="0.25">
      <c r="A52" t="str">
        <f>IF('Equipment Information'!A52="","", 'Equipment Information'!A52)</f>
        <v>20260698</v>
      </c>
      <c r="B52" t="str">
        <f>IF('Equipment Information'!B52="","", 'Equipment Information'!B52)</f>
        <v>CP-5110 &amp; CP-5120</v>
      </c>
      <c r="C52" t="str">
        <f>IF('Equipment Information'!C52="","", 'Equipment Information'!C52)</f>
        <v>Electrical Room #4</v>
      </c>
      <c r="H52" t="str">
        <f t="shared" si="0"/>
        <v>N/A</v>
      </c>
    </row>
    <row r="53" spans="1:8" x14ac:dyDescent="0.25">
      <c r="A53" t="str">
        <f>IF('Equipment Information'!A53="","", 'Equipment Information'!A53)</f>
        <v>20260699</v>
      </c>
      <c r="B53" t="str">
        <f>IF('Equipment Information'!B53="","", 'Equipment Information'!B53)</f>
        <v/>
      </c>
      <c r="C53" t="str">
        <f>IF('Equipment Information'!C53="","", 'Equipment Information'!C53)</f>
        <v>Electrical Room #4 Mezzanine</v>
      </c>
      <c r="H53" t="str">
        <f t="shared" si="0"/>
        <v>N/A</v>
      </c>
    </row>
    <row r="54" spans="1:8" x14ac:dyDescent="0.25">
      <c r="A54" t="str">
        <f>IF('Equipment Information'!A54="","", 'Equipment Information'!A54)</f>
        <v>20260700</v>
      </c>
      <c r="B54" t="str">
        <f>IF('Equipment Information'!B54="","", 'Equipment Information'!B54)</f>
        <v/>
      </c>
      <c r="C54" t="str">
        <f>IF('Equipment Information'!C54="","", 'Equipment Information'!C54)</f>
        <v>Electrical Room #4 Mezzanine</v>
      </c>
      <c r="H54" t="str">
        <f t="shared" si="0"/>
        <v>N/A</v>
      </c>
    </row>
    <row r="55" spans="1:8" x14ac:dyDescent="0.25">
      <c r="A55" t="str">
        <f>IF('Equipment Information'!A55="","", 'Equipment Information'!A55)</f>
        <v>20260701</v>
      </c>
      <c r="B55" t="str">
        <f>IF('Equipment Information'!B55="","", 'Equipment Information'!B55)</f>
        <v/>
      </c>
      <c r="C55" t="str">
        <f>IF('Equipment Information'!C55="","", 'Equipment Information'!C55)</f>
        <v>Electrical Room #4 Mezzanine</v>
      </c>
      <c r="H55" t="str">
        <f t="shared" si="0"/>
        <v>N/A</v>
      </c>
    </row>
    <row r="56" spans="1:8" x14ac:dyDescent="0.25">
      <c r="A56" t="str">
        <f>IF('Equipment Information'!A56="","", 'Equipment Information'!A56)</f>
        <v>20260702</v>
      </c>
      <c r="B56" t="str">
        <f>IF('Equipment Information'!B56="","", 'Equipment Information'!B56)</f>
        <v/>
      </c>
      <c r="C56" t="str">
        <f>IF('Equipment Information'!C56="","", 'Equipment Information'!C56)</f>
        <v>Electrical Room #4 Mezzanine</v>
      </c>
      <c r="H56" t="str">
        <f t="shared" si="0"/>
        <v>N/A</v>
      </c>
    </row>
    <row r="57" spans="1:8" x14ac:dyDescent="0.25">
      <c r="A57" t="str">
        <f>IF('Equipment Information'!A57="","", 'Equipment Information'!A57)</f>
        <v>20260703</v>
      </c>
      <c r="B57" t="str">
        <f>IF('Equipment Information'!B57="","", 'Equipment Information'!B57)</f>
        <v/>
      </c>
      <c r="C57" t="str">
        <f>IF('Equipment Information'!C57="","", 'Equipment Information'!C57)</f>
        <v>Electrical Room #4 Mezzanine</v>
      </c>
      <c r="H57" t="str">
        <f t="shared" si="0"/>
        <v>N/A</v>
      </c>
    </row>
    <row r="58" spans="1:8" x14ac:dyDescent="0.25">
      <c r="A58" t="str">
        <f>IF('Equipment Information'!A58="","", 'Equipment Information'!A58)</f>
        <v>20260704</v>
      </c>
      <c r="B58" t="str">
        <f>IF('Equipment Information'!B58="","", 'Equipment Information'!B58)</f>
        <v/>
      </c>
      <c r="C58" t="str">
        <f>IF('Equipment Information'!C58="","", 'Equipment Information'!C58)</f>
        <v>Electrical Room #4 Mezzanine</v>
      </c>
      <c r="H58" t="str">
        <f t="shared" si="0"/>
        <v>N/A</v>
      </c>
    </row>
    <row r="59" spans="1:8" x14ac:dyDescent="0.25">
      <c r="A59" t="str">
        <f>IF('Equipment Information'!A59="","", 'Equipment Information'!A59)</f>
        <v>20260705</v>
      </c>
      <c r="B59" t="str">
        <f>IF('Equipment Information'!B59="","", 'Equipment Information'!B59)</f>
        <v>15 kVa Transformer</v>
      </c>
      <c r="C59" t="str">
        <f>IF('Equipment Information'!C59="","", 'Equipment Information'!C59)</f>
        <v>Packaging</v>
      </c>
      <c r="H59" t="str">
        <f t="shared" si="0"/>
        <v>N/A</v>
      </c>
    </row>
    <row r="60" spans="1:8" x14ac:dyDescent="0.25">
      <c r="A60" t="str">
        <f>IF('Equipment Information'!A60="","", 'Equipment Information'!A60)</f>
        <v>20260706</v>
      </c>
      <c r="B60" t="str">
        <f>IF('Equipment Information'!B60="","", 'Equipment Information'!B60)</f>
        <v>Color Sorter Transformer</v>
      </c>
      <c r="C60" t="str">
        <f>IF('Equipment Information'!C60="","", 'Equipment Information'!C60)</f>
        <v>Packaging</v>
      </c>
      <c r="H60" t="str">
        <f t="shared" si="0"/>
        <v>N/A</v>
      </c>
    </row>
    <row r="61" spans="1:8" x14ac:dyDescent="0.25">
      <c r="A61" t="str">
        <f>IF('Equipment Information'!A61="","", 'Equipment Information'!A61)</f>
        <v>20260707</v>
      </c>
      <c r="B61" t="str">
        <f>IF('Equipment Information'!B61="","", 'Equipment Information'!B61)</f>
        <v>LP3 Sub-Panel</v>
      </c>
      <c r="C61" t="str">
        <f>IF('Equipment Information'!C61="","", 'Equipment Information'!C61)</f>
        <v>Packaging</v>
      </c>
      <c r="H61" t="str">
        <f t="shared" si="0"/>
        <v>N/A</v>
      </c>
    </row>
    <row r="62" spans="1:8" x14ac:dyDescent="0.25">
      <c r="A62" t="str">
        <f>IF('Equipment Information'!A62="","", 'Equipment Information'!A62)</f>
        <v>20260708</v>
      </c>
      <c r="B62" t="str">
        <f>IF('Equipment Information'!B62="","", 'Equipment Information'!B62)</f>
        <v>LP3</v>
      </c>
      <c r="C62" t="str">
        <f>IF('Equipment Information'!C62="","", 'Equipment Information'!C62)</f>
        <v>Packaging</v>
      </c>
      <c r="H62" t="str">
        <f t="shared" si="0"/>
        <v>N/A</v>
      </c>
    </row>
    <row r="63" spans="1:8" x14ac:dyDescent="0.25">
      <c r="A63" t="str">
        <f>IF('Equipment Information'!A63="","", 'Equipment Information'!A63)</f>
        <v>20260709</v>
      </c>
      <c r="B63" t="str">
        <f>IF('Equipment Information'!B63="","", 'Equipment Information'!B63)</f>
        <v>Color Sorter Supply</v>
      </c>
      <c r="C63" t="str">
        <f>IF('Equipment Information'!C63="","", 'Equipment Information'!C63)</f>
        <v>Packaging</v>
      </c>
      <c r="H63" t="str">
        <f t="shared" si="0"/>
        <v>N/A</v>
      </c>
    </row>
    <row r="64" spans="1:8" x14ac:dyDescent="0.25">
      <c r="A64" t="str">
        <f>IF('Equipment Information'!A64="","", 'Equipment Information'!A64)</f>
        <v>20260710</v>
      </c>
      <c r="B64" t="str">
        <f>IF('Equipment Information'!B64="","", 'Equipment Information'!B64)</f>
        <v>HP3</v>
      </c>
      <c r="C64" t="str">
        <f>IF('Equipment Information'!C64="","", 'Equipment Information'!C64)</f>
        <v>Packaging</v>
      </c>
      <c r="H64" t="str">
        <f t="shared" si="0"/>
        <v>N/A</v>
      </c>
    </row>
    <row r="65" spans="1:8" x14ac:dyDescent="0.25">
      <c r="A65" t="str">
        <f>IF('Equipment Information'!A65="","", 'Equipment Information'!A65)</f>
        <v>20260711</v>
      </c>
      <c r="B65" t="str">
        <f>IF('Equipment Information'!B65="","", 'Equipment Information'!B65)</f>
        <v>HP3-1</v>
      </c>
      <c r="C65" t="str">
        <f>IF('Equipment Information'!C65="","", 'Equipment Information'!C65)</f>
        <v>Packaging</v>
      </c>
      <c r="H65" t="str">
        <f t="shared" si="0"/>
        <v>N/A</v>
      </c>
    </row>
    <row r="66" spans="1:8" x14ac:dyDescent="0.25">
      <c r="A66" t="str">
        <f>IF('Equipment Information'!A66="","", 'Equipment Information'!A66)</f>
        <v>20260712</v>
      </c>
      <c r="B66" t="str">
        <f>IF('Equipment Information'!B66="","", 'Equipment Information'!B66)</f>
        <v>SW 2</v>
      </c>
      <c r="C66" t="str">
        <f>IF('Equipment Information'!C66="","", 'Equipment Information'!C66)</f>
        <v>Packaging</v>
      </c>
      <c r="H66" t="str">
        <f t="shared" ref="H66:H129" si="1">IF(A66="","","N/A")</f>
        <v>N/A</v>
      </c>
    </row>
    <row r="67" spans="1:8" x14ac:dyDescent="0.25">
      <c r="A67" t="str">
        <f>IF('Equipment Information'!A67="","", 'Equipment Information'!A67)</f>
        <v>20260713</v>
      </c>
      <c r="B67" t="str">
        <f>IF('Equipment Information'!B67="","", 'Equipment Information'!B67)</f>
        <v/>
      </c>
      <c r="C67" t="str">
        <f>IF('Equipment Information'!C67="","", 'Equipment Information'!C67)</f>
        <v>Packaging</v>
      </c>
      <c r="H67" t="str">
        <f t="shared" si="1"/>
        <v>N/A</v>
      </c>
    </row>
    <row r="68" spans="1:8" x14ac:dyDescent="0.25">
      <c r="A68" t="str">
        <f>IF('Equipment Information'!A68="","", 'Equipment Information'!A68)</f>
        <v>20260714</v>
      </c>
      <c r="B68" t="str">
        <f>IF('Equipment Information'!B68="","", 'Equipment Information'!B68)</f>
        <v>LP-1</v>
      </c>
      <c r="C68" t="str">
        <f>IF('Equipment Information'!C68="","", 'Equipment Information'!C68)</f>
        <v>Receiving Station</v>
      </c>
      <c r="H68" t="str">
        <f t="shared" si="1"/>
        <v>N/A</v>
      </c>
    </row>
    <row r="69" spans="1:8" x14ac:dyDescent="0.25">
      <c r="A69" t="str">
        <f>IF('Equipment Information'!A69="","", 'Equipment Information'!A69)</f>
        <v>20260715</v>
      </c>
      <c r="B69" t="str">
        <f>IF('Equipment Information'!B69="","", 'Equipment Information'!B69)</f>
        <v>Photo-Eye Ctl'd Contactor</v>
      </c>
      <c r="C69" t="str">
        <f>IF('Equipment Information'!C69="","", 'Equipment Information'!C69)</f>
        <v>Receiving Station</v>
      </c>
      <c r="H69" t="str">
        <f t="shared" si="1"/>
        <v>N/A</v>
      </c>
    </row>
    <row r="70" spans="1:8" x14ac:dyDescent="0.25">
      <c r="A70" t="str">
        <f>IF('Equipment Information'!A70="","", 'Equipment Information'!A70)</f>
        <v>20260716</v>
      </c>
      <c r="B70" t="str">
        <f>IF('Equipment Information'!B70="","", 'Equipment Information'!B70)</f>
        <v>LP1A</v>
      </c>
      <c r="C70" t="str">
        <f>IF('Equipment Information'!C70="","", 'Equipment Information'!C70)</f>
        <v>Receiving Station</v>
      </c>
      <c r="H70" t="str">
        <f t="shared" si="1"/>
        <v>N/A</v>
      </c>
    </row>
    <row r="71" spans="1:8" x14ac:dyDescent="0.25">
      <c r="A71" t="str">
        <f>IF('Equipment Information'!A71="","", 'Equipment Information'!A71)</f>
        <v>20260717</v>
      </c>
      <c r="B71" t="str">
        <f>IF('Equipment Information'!B71="","", 'Equipment Information'!B71)</f>
        <v>Pool Pump #1 Main Disconnect</v>
      </c>
      <c r="C71" t="str">
        <f>IF('Equipment Information'!C71="","", 'Equipment Information'!C71)</f>
        <v>Receiving Station</v>
      </c>
      <c r="H71" t="str">
        <f t="shared" si="1"/>
        <v>N/A</v>
      </c>
    </row>
    <row r="72" spans="1:8" x14ac:dyDescent="0.25">
      <c r="A72" t="str">
        <f>IF('Equipment Information'!A72="","", 'Equipment Information'!A72)</f>
        <v>20260718</v>
      </c>
      <c r="B72" t="str">
        <f>IF('Equipment Information'!B72="","", 'Equipment Information'!B72)</f>
        <v>Pool Pump #2 Main Disconnect</v>
      </c>
      <c r="C72" t="str">
        <f>IF('Equipment Information'!C72="","", 'Equipment Information'!C72)</f>
        <v>Receiving Station</v>
      </c>
      <c r="H72" t="str">
        <f t="shared" si="1"/>
        <v>N/A</v>
      </c>
    </row>
    <row r="73" spans="1:8" x14ac:dyDescent="0.25">
      <c r="A73" t="str">
        <f>IF('Equipment Information'!A73="","", 'Equipment Information'!A73)</f>
        <v>20260719</v>
      </c>
      <c r="B73" t="str">
        <f>IF('Equipment Information'!B73="","", 'Equipment Information'!B73)</f>
        <v>Pool Pump #1 VFD</v>
      </c>
      <c r="C73" t="str">
        <f>IF('Equipment Information'!C73="","", 'Equipment Information'!C73)</f>
        <v>Receiving Station</v>
      </c>
      <c r="H73" t="str">
        <f t="shared" si="1"/>
        <v>N/A</v>
      </c>
    </row>
    <row r="74" spans="1:8" x14ac:dyDescent="0.25">
      <c r="A74" t="str">
        <f>IF('Equipment Information'!A74="","", 'Equipment Information'!A74)</f>
        <v>20260720</v>
      </c>
      <c r="B74" t="str">
        <f>IF('Equipment Information'!B74="","", 'Equipment Information'!B74)</f>
        <v>Pool Pump #2 VFD</v>
      </c>
      <c r="C74" t="str">
        <f>IF('Equipment Information'!C74="","", 'Equipment Information'!C74)</f>
        <v>Receiving Station</v>
      </c>
      <c r="H74" t="str">
        <f t="shared" si="1"/>
        <v>N/A</v>
      </c>
    </row>
    <row r="75" spans="1:8" x14ac:dyDescent="0.25">
      <c r="A75" t="str">
        <f>IF('Equipment Information'!A75="","", 'Equipment Information'!A75)</f>
        <v>20260721</v>
      </c>
      <c r="B75" t="str">
        <f>IF('Equipment Information'!B75="","", 'Equipment Information'!B75)</f>
        <v>45 kVA Transformer</v>
      </c>
      <c r="C75" t="str">
        <f>IF('Equipment Information'!C75="","", 'Equipment Information'!C75)</f>
        <v>Receiving Station</v>
      </c>
      <c r="H75" t="str">
        <f t="shared" si="1"/>
        <v>N/A</v>
      </c>
    </row>
    <row r="76" spans="1:8" x14ac:dyDescent="0.25">
      <c r="A76" t="str">
        <f>IF('Equipment Information'!A76="","", 'Equipment Information'!A76)</f>
        <v>20260722</v>
      </c>
      <c r="B76" t="str">
        <f>IF('Equipment Information'!B76="","", 'Equipment Information'!B76)</f>
        <v>45 kVA Transformer Disconnect</v>
      </c>
      <c r="C76" t="str">
        <f>IF('Equipment Information'!C76="","", 'Equipment Information'!C76)</f>
        <v>Receiving Station</v>
      </c>
      <c r="H76" t="str">
        <f t="shared" si="1"/>
        <v>N/A</v>
      </c>
    </row>
    <row r="77" spans="1:8" x14ac:dyDescent="0.25">
      <c r="A77" t="str">
        <f>IF('Equipment Information'!A77="","", 'Equipment Information'!A77)</f>
        <v>20260723</v>
      </c>
      <c r="B77" t="str">
        <f>IF('Equipment Information'!B77="","", 'Equipment Information'!B77)</f>
        <v>Bay 25 480V Outlet Disconnect</v>
      </c>
      <c r="C77" t="str">
        <f>IF('Equipment Information'!C77="","", 'Equipment Information'!C77)</f>
        <v>Receiving Station</v>
      </c>
      <c r="H77" t="str">
        <f t="shared" si="1"/>
        <v>N/A</v>
      </c>
    </row>
    <row r="78" spans="1:8" x14ac:dyDescent="0.25">
      <c r="A78" t="str">
        <f>IF('Equipment Information'!A78="","", 'Equipment Information'!A78)</f>
        <v>20260724</v>
      </c>
      <c r="B78" t="str">
        <f>IF('Equipment Information'!B78="","", 'Equipment Information'!B78)</f>
        <v>Compressor Disconnect</v>
      </c>
      <c r="C78" t="str">
        <f>IF('Equipment Information'!C78="","", 'Equipment Information'!C78)</f>
        <v>Receiving Station</v>
      </c>
      <c r="H78" t="str">
        <f t="shared" si="1"/>
        <v>N/A</v>
      </c>
    </row>
    <row r="79" spans="1:8" x14ac:dyDescent="0.25">
      <c r="A79" t="str">
        <f>IF('Equipment Information'!A79="","", 'Equipment Information'!A79)</f>
        <v>20260725</v>
      </c>
      <c r="B79" t="str">
        <f>IF('Equipment Information'!B79="","", 'Equipment Information'!B79)</f>
        <v>PP1 Transformer Disconnect</v>
      </c>
      <c r="C79" t="str">
        <f>IF('Equipment Information'!C79="","", 'Equipment Information'!C79)</f>
        <v>Receiving Station</v>
      </c>
      <c r="H79" t="str">
        <f t="shared" si="1"/>
        <v>N/A</v>
      </c>
    </row>
    <row r="80" spans="1:8" x14ac:dyDescent="0.25">
      <c r="A80" t="str">
        <f>IF('Equipment Information'!A80="","", 'Equipment Information'!A80)</f>
        <v>20260726</v>
      </c>
      <c r="B80" t="str">
        <f>IF('Equipment Information'!B80="","", 'Equipment Information'!B80)</f>
        <v>PP1 Welding Recept. Disconnect</v>
      </c>
      <c r="C80" t="str">
        <f>IF('Equipment Information'!C80="","", 'Equipment Information'!C80)</f>
        <v>Receiving Station</v>
      </c>
      <c r="H80" t="str">
        <f t="shared" si="1"/>
        <v>N/A</v>
      </c>
    </row>
    <row r="81" spans="1:8" x14ac:dyDescent="0.25">
      <c r="A81" t="str">
        <f>IF('Equipment Information'!A81="","", 'Equipment Information'!A81)</f>
        <v>20260727</v>
      </c>
      <c r="B81" t="str">
        <f>IF('Equipment Information'!B81="","", 'Equipment Information'!B81)</f>
        <v>PP-1</v>
      </c>
      <c r="C81" t="str">
        <f>IF('Equipment Information'!C81="","", 'Equipment Information'!C81)</f>
        <v>Receiving Station</v>
      </c>
      <c r="H81" t="str">
        <f t="shared" si="1"/>
        <v>N/A</v>
      </c>
    </row>
    <row r="82" spans="1:8" x14ac:dyDescent="0.25">
      <c r="A82" t="str">
        <f>IF('Equipment Information'!A82="","", 'Equipment Information'!A82)</f>
        <v>20260728</v>
      </c>
      <c r="B82" t="str">
        <f>IF('Equipment Information'!B82="","", 'Equipment Information'!B82)</f>
        <v>OH XFMR</v>
      </c>
      <c r="C82" t="str">
        <f>IF('Equipment Information'!C82="","", 'Equipment Information'!C82)</f>
        <v>Receiving Station</v>
      </c>
      <c r="H82" t="str">
        <f t="shared" si="1"/>
        <v>N/A</v>
      </c>
    </row>
    <row r="83" spans="1:8" x14ac:dyDescent="0.25">
      <c r="A83" t="str">
        <f>IF('Equipment Information'!A83="","", 'Equipment Information'!A83)</f>
        <v>20260729</v>
      </c>
      <c r="B83" t="str">
        <f>IF('Equipment Information'!B83="","", 'Equipment Information'!B83)</f>
        <v>LP-2</v>
      </c>
      <c r="C83" t="str">
        <f>IF('Equipment Information'!C83="","", 'Equipment Information'!C83)</f>
        <v>Receiving Station</v>
      </c>
      <c r="H83" t="str">
        <f t="shared" si="1"/>
        <v>N/A</v>
      </c>
    </row>
    <row r="84" spans="1:8" x14ac:dyDescent="0.25">
      <c r="A84" t="str">
        <f>IF('Equipment Information'!A84="","", 'Equipment Information'!A84)</f>
        <v>20260730</v>
      </c>
      <c r="B84" t="str">
        <f>IF('Equipment Information'!B84="","", 'Equipment Information'!B84)</f>
        <v>Weld Gutter Disconnect</v>
      </c>
      <c r="C84" t="str">
        <f>IF('Equipment Information'!C84="","", 'Equipment Information'!C84)</f>
        <v>Receiving Station</v>
      </c>
      <c r="H84" t="str">
        <f t="shared" si="1"/>
        <v>N/A</v>
      </c>
    </row>
    <row r="85" spans="1:8" x14ac:dyDescent="0.25">
      <c r="A85" t="str">
        <f>IF('Equipment Information'!A85="","", 'Equipment Information'!A85)</f>
        <v>20260731</v>
      </c>
      <c r="B85" t="str">
        <f>IF('Equipment Information'!B85="","", 'Equipment Information'!B85)</f>
        <v>OH XFMR</v>
      </c>
      <c r="C85" t="str">
        <f>IF('Equipment Information'!C85="","", 'Equipment Information'!C85)</f>
        <v>Receiving Station</v>
      </c>
      <c r="H85" t="str">
        <f t="shared" si="1"/>
        <v>N/A</v>
      </c>
    </row>
    <row r="86" spans="1:8" x14ac:dyDescent="0.25">
      <c r="A86" t="str">
        <f>IF('Equipment Information'!A86="","", 'Equipment Information'!A86)</f>
        <v>20260732</v>
      </c>
      <c r="B86" t="str">
        <f>IF('Equipment Information'!B86="","", 'Equipment Information'!B86)</f>
        <v>Lighting XFMR Disconnect</v>
      </c>
      <c r="C86" t="str">
        <f>IF('Equipment Information'!C86="","", 'Equipment Information'!C86)</f>
        <v>Receiving Station</v>
      </c>
      <c r="H86" t="str">
        <f t="shared" si="1"/>
        <v>N/A</v>
      </c>
    </row>
    <row r="87" spans="1:8" x14ac:dyDescent="0.25">
      <c r="A87" t="str">
        <f>IF('Equipment Information'!A87="","", 'Equipment Information'!A87)</f>
        <v>20260733</v>
      </c>
      <c r="B87" t="str">
        <f>IF('Equipment Information'!B87="","", 'Equipment Information'!B87)</f>
        <v>Pool Pump #6/7 Disconnect</v>
      </c>
      <c r="C87" t="str">
        <f>IF('Equipment Information'!C87="","", 'Equipment Information'!C87)</f>
        <v>Receiving Station</v>
      </c>
      <c r="H87" t="str">
        <f t="shared" si="1"/>
        <v>N/A</v>
      </c>
    </row>
    <row r="88" spans="1:8" x14ac:dyDescent="0.25">
      <c r="A88" t="str">
        <f>IF('Equipment Information'!A88="","", 'Equipment Information'!A88)</f>
        <v>20260734</v>
      </c>
      <c r="B88" t="str">
        <f>IF('Equipment Information'!B88="","", 'Equipment Information'!B88)</f>
        <v>Trash Conveyor Disconnect</v>
      </c>
      <c r="C88" t="str">
        <f>IF('Equipment Information'!C88="","", 'Equipment Information'!C88)</f>
        <v>Receiving Station</v>
      </c>
      <c r="H88" t="str">
        <f t="shared" si="1"/>
        <v>N/A</v>
      </c>
    </row>
    <row r="89" spans="1:8" x14ac:dyDescent="0.25">
      <c r="A89" t="str">
        <f>IF('Equipment Information'!A89="","", 'Equipment Information'!A89)</f>
        <v>20260735</v>
      </c>
      <c r="B89" t="str">
        <f>IF('Equipment Information'!B89="","", 'Equipment Information'!B89)</f>
        <v>Dewatering Table Disconnect</v>
      </c>
      <c r="C89" t="str">
        <f>IF('Equipment Information'!C89="","", 'Equipment Information'!C89)</f>
        <v>Receiving Station</v>
      </c>
      <c r="H89" t="str">
        <f t="shared" si="1"/>
        <v>N/A</v>
      </c>
    </row>
    <row r="90" spans="1:8" x14ac:dyDescent="0.25">
      <c r="A90" t="str">
        <f>IF('Equipment Information'!A90="","", 'Equipment Information'!A90)</f>
        <v>20260736</v>
      </c>
      <c r="B90" t="str">
        <f>IF('Equipment Information'!B90="","", 'Equipment Information'!B90)</f>
        <v>Recycling Pump Disconnect</v>
      </c>
      <c r="C90" t="str">
        <f>IF('Equipment Information'!C90="","", 'Equipment Information'!C90)</f>
        <v>Receiving Station</v>
      </c>
      <c r="H90" t="str">
        <f t="shared" si="1"/>
        <v>N/A</v>
      </c>
    </row>
    <row r="91" spans="1:8" x14ac:dyDescent="0.25">
      <c r="A91" t="str">
        <f>IF('Equipment Information'!A91="","", 'Equipment Information'!A91)</f>
        <v>20260737</v>
      </c>
      <c r="B91" t="str">
        <f>IF('Equipment Information'!B91="","", 'Equipment Information'!B91)</f>
        <v>Trash Conveyor Starter</v>
      </c>
      <c r="C91" t="str">
        <f>IF('Equipment Information'!C91="","", 'Equipment Information'!C91)</f>
        <v>Receiving Station</v>
      </c>
      <c r="H91" t="str">
        <f t="shared" si="1"/>
        <v>N/A</v>
      </c>
    </row>
    <row r="92" spans="1:8" x14ac:dyDescent="0.25">
      <c r="A92" t="str">
        <f>IF('Equipment Information'!A92="","", 'Equipment Information'!A92)</f>
        <v>20260738</v>
      </c>
      <c r="B92" t="str">
        <f>IF('Equipment Information'!B92="","", 'Equipment Information'!B92)</f>
        <v>Dewatering Table Starter</v>
      </c>
      <c r="C92" t="str">
        <f>IF('Equipment Information'!C92="","", 'Equipment Information'!C92)</f>
        <v>Receiving Station</v>
      </c>
      <c r="H92" t="str">
        <f t="shared" si="1"/>
        <v>N/A</v>
      </c>
    </row>
    <row r="93" spans="1:8" x14ac:dyDescent="0.25">
      <c r="A93" t="str">
        <f>IF('Equipment Information'!A93="","", 'Equipment Information'!A93)</f>
        <v>20260739</v>
      </c>
      <c r="B93" t="str">
        <f>IF('Equipment Information'!B93="","", 'Equipment Information'!B93)</f>
        <v>CIP System #2</v>
      </c>
      <c r="C93" t="str">
        <f>IF('Equipment Information'!C93="","", 'Equipment Information'!C93)</f>
        <v>Production Area</v>
      </c>
      <c r="H93" t="str">
        <f t="shared" si="1"/>
        <v>N/A</v>
      </c>
    </row>
    <row r="94" spans="1:8" x14ac:dyDescent="0.25">
      <c r="A94" t="str">
        <f>IF('Equipment Information'!A94="","", 'Equipment Information'!A94)</f>
        <v>20260740</v>
      </c>
      <c r="B94" t="str">
        <f>IF('Equipment Information'!B94="","", 'Equipment Information'!B94)</f>
        <v>BD1</v>
      </c>
      <c r="C94" t="str">
        <f>IF('Equipment Information'!C94="","", 'Equipment Information'!C94)</f>
        <v>Production Area</v>
      </c>
      <c r="H94" t="str">
        <f t="shared" si="1"/>
        <v>N/A</v>
      </c>
    </row>
    <row r="95" spans="1:8" x14ac:dyDescent="0.25">
      <c r="A95" t="str">
        <f>IF('Equipment Information'!A95="","", 'Equipment Information'!A95)</f>
        <v>20260741</v>
      </c>
      <c r="B95" t="str">
        <f>IF('Equipment Information'!B95="","", 'Equipment Information'!B95)</f>
        <v>SLS-19</v>
      </c>
      <c r="C95" t="str">
        <f>IF('Equipment Information'!C95="","", 'Equipment Information'!C95)</f>
        <v>Production Area</v>
      </c>
      <c r="H95" t="str">
        <f t="shared" si="1"/>
        <v>N/A</v>
      </c>
    </row>
    <row r="96" spans="1:8" x14ac:dyDescent="0.25">
      <c r="A96" t="str">
        <f>IF('Equipment Information'!A96="","", 'Equipment Information'!A96)</f>
        <v>20260742</v>
      </c>
      <c r="B96" t="str">
        <f>IF('Equipment Information'!B96="","", 'Equipment Information'!B96)</f>
        <v>SPX</v>
      </c>
      <c r="C96" t="str">
        <f>IF('Equipment Information'!C96="","", 'Equipment Information'!C96)</f>
        <v>Production Area</v>
      </c>
      <c r="H96" t="str">
        <f t="shared" si="1"/>
        <v>N/A</v>
      </c>
    </row>
    <row r="97" spans="1:8" x14ac:dyDescent="0.25">
      <c r="A97" t="str">
        <f>IF('Equipment Information'!A97="","", 'Equipment Information'!A97)</f>
        <v>20260743</v>
      </c>
      <c r="B97" t="str">
        <f>IF('Equipment Information'!B97="","", 'Equipment Information'!B97)</f>
        <v>MCC #4 [Sec.1]</v>
      </c>
      <c r="C97" t="str">
        <f>IF('Equipment Information'!C97="","", 'Equipment Information'!C97)</f>
        <v>Production Area</v>
      </c>
      <c r="H97" t="str">
        <f t="shared" si="1"/>
        <v>N/A</v>
      </c>
    </row>
    <row r="98" spans="1:8" x14ac:dyDescent="0.25">
      <c r="A98" t="str">
        <f>IF('Equipment Information'!A98="","", 'Equipment Information'!A98)</f>
        <v>20260744</v>
      </c>
      <c r="B98" t="str">
        <f>IF('Equipment Information'!B98="","", 'Equipment Information'!B98)</f>
        <v>MCC #4 [Sec.2]</v>
      </c>
      <c r="C98" t="str">
        <f>IF('Equipment Information'!C98="","", 'Equipment Information'!C98)</f>
        <v>Production Area</v>
      </c>
      <c r="H98" t="str">
        <f t="shared" si="1"/>
        <v>N/A</v>
      </c>
    </row>
    <row r="99" spans="1:8" x14ac:dyDescent="0.25">
      <c r="A99" t="str">
        <f>IF('Equipment Information'!A99="","", 'Equipment Information'!A99)</f>
        <v>20260745</v>
      </c>
      <c r="B99" t="str">
        <f>IF('Equipment Information'!B99="","", 'Equipment Information'!B99)</f>
        <v>MCC #4 [Sec.3]</v>
      </c>
      <c r="C99" t="str">
        <f>IF('Equipment Information'!C99="","", 'Equipment Information'!C99)</f>
        <v>Production Area</v>
      </c>
      <c r="H99" t="str">
        <f t="shared" si="1"/>
        <v>N/A</v>
      </c>
    </row>
    <row r="100" spans="1:8" x14ac:dyDescent="0.25">
      <c r="A100" t="str">
        <f>IF('Equipment Information'!A100="","", 'Equipment Information'!A100)</f>
        <v>20260746</v>
      </c>
      <c r="B100" t="str">
        <f>IF('Equipment Information'!B100="","", 'Equipment Information'!B100)</f>
        <v>CP-Evap. #1 Disconnect</v>
      </c>
      <c r="C100" t="str">
        <f>IF('Equipment Information'!C100="","", 'Equipment Information'!C100)</f>
        <v>Production Area</v>
      </c>
      <c r="H100" t="str">
        <f t="shared" si="1"/>
        <v>N/A</v>
      </c>
    </row>
    <row r="101" spans="1:8" x14ac:dyDescent="0.25">
      <c r="A101" t="str">
        <f>IF('Equipment Information'!A101="","", 'Equipment Information'!A101)</f>
        <v>20260747</v>
      </c>
      <c r="B101" t="str">
        <f>IF('Equipment Information'!B101="","", 'Equipment Information'!B101)</f>
        <v>Evaporator #1 [Sec. 1]</v>
      </c>
      <c r="C101" t="str">
        <f>IF('Equipment Information'!C101="","", 'Equipment Information'!C101)</f>
        <v>Production Area</v>
      </c>
      <c r="H101" t="str">
        <f t="shared" si="1"/>
        <v>N/A</v>
      </c>
    </row>
    <row r="102" spans="1:8" x14ac:dyDescent="0.25">
      <c r="A102" t="str">
        <f>IF('Equipment Information'!A102="","", 'Equipment Information'!A102)</f>
        <v>20260748</v>
      </c>
      <c r="B102" t="str">
        <f>IF('Equipment Information'!B102="","", 'Equipment Information'!B102)</f>
        <v>Evaporator #1 [Sec. 2]</v>
      </c>
      <c r="C102" t="str">
        <f>IF('Equipment Information'!C102="","", 'Equipment Information'!C102)</f>
        <v>Production Area</v>
      </c>
      <c r="H102" t="str">
        <f t="shared" si="1"/>
        <v>N/A</v>
      </c>
    </row>
    <row r="103" spans="1:8" x14ac:dyDescent="0.25">
      <c r="A103" t="str">
        <f>IF('Equipment Information'!A103="","", 'Equipment Information'!A103)</f>
        <v>20260749</v>
      </c>
      <c r="B103" t="str">
        <f>IF('Equipment Information'!B103="","", 'Equipment Information'!B103)</f>
        <v xml:space="preserve">Pig Systems </v>
      </c>
      <c r="C103" t="str">
        <f>IF('Equipment Information'!C103="","", 'Equipment Information'!C103)</f>
        <v>Production Area</v>
      </c>
      <c r="H103" t="str">
        <f t="shared" si="1"/>
        <v>N/A</v>
      </c>
    </row>
    <row r="104" spans="1:8" x14ac:dyDescent="0.25">
      <c r="A104" t="str">
        <f>IF('Equipment Information'!A104="","", 'Equipment Information'!A104)</f>
        <v>20260750</v>
      </c>
      <c r="B104" t="str">
        <f>IF('Equipment Information'!B104="","", 'Equipment Information'!B104)</f>
        <v>CP-Silo Alley</v>
      </c>
      <c r="C104" t="str">
        <f>IF('Equipment Information'!C104="","", 'Equipment Information'!C104)</f>
        <v>Production Area</v>
      </c>
      <c r="H104" t="str">
        <f t="shared" si="1"/>
        <v>N/A</v>
      </c>
    </row>
    <row r="105" spans="1:8" x14ac:dyDescent="0.25">
      <c r="A105" t="str">
        <f>IF('Equipment Information'!A105="","", 'Equipment Information'!A105)</f>
        <v>20260751</v>
      </c>
      <c r="B105" t="str">
        <f>IF('Equipment Information'!B105="","", 'Equipment Information'!B105)</f>
        <v>RO-1</v>
      </c>
      <c r="C105" t="str">
        <f>IF('Equipment Information'!C105="","", 'Equipment Information'!C105)</f>
        <v>Production Area</v>
      </c>
      <c r="H105" t="str">
        <f t="shared" si="1"/>
        <v>N/A</v>
      </c>
    </row>
    <row r="106" spans="1:8" x14ac:dyDescent="0.25">
      <c r="A106" t="str">
        <f>IF('Equipment Information'!A106="","", 'Equipment Information'!A106)</f>
        <v>20260752</v>
      </c>
      <c r="B106" t="str">
        <f>IF('Equipment Information'!B106="","", 'Equipment Information'!B106)</f>
        <v>KOCH Sytems Controller</v>
      </c>
      <c r="C106" t="str">
        <f>IF('Equipment Information'!C106="","", 'Equipment Information'!C106)</f>
        <v>Production Area</v>
      </c>
      <c r="H106" t="str">
        <f t="shared" si="1"/>
        <v>N/A</v>
      </c>
    </row>
    <row r="107" spans="1:8" x14ac:dyDescent="0.25">
      <c r="A107" t="str">
        <f>IF('Equipment Information'!A107="","", 'Equipment Information'!A107)</f>
        <v>20260753</v>
      </c>
      <c r="B107" t="str">
        <f>IF('Equipment Information'!B107="","", 'Equipment Information'!B107)</f>
        <v>KOCH Sytems Controls</v>
      </c>
      <c r="C107" t="str">
        <f>IF('Equipment Information'!C107="","", 'Equipment Information'!C107)</f>
        <v>Production Area</v>
      </c>
      <c r="H107" t="str">
        <f t="shared" si="1"/>
        <v>N/A</v>
      </c>
    </row>
    <row r="108" spans="1:8" x14ac:dyDescent="0.25">
      <c r="A108" t="str">
        <f>IF('Equipment Information'!A108="","", 'Equipment Information'!A108)</f>
        <v>20260754</v>
      </c>
      <c r="B108" t="str">
        <f>IF('Equipment Information'!B108="","", 'Equipment Information'!B108)</f>
        <v>Evaporator #3</v>
      </c>
      <c r="C108" t="str">
        <f>IF('Equipment Information'!C108="","", 'Equipment Information'!C108)</f>
        <v>Production Area</v>
      </c>
      <c r="H108" t="str">
        <f t="shared" si="1"/>
        <v>N/A</v>
      </c>
    </row>
    <row r="109" spans="1:8" x14ac:dyDescent="0.25">
      <c r="A109" t="str">
        <f>IF('Equipment Information'!A109="","", 'Equipment Information'!A109)</f>
        <v>20260755</v>
      </c>
      <c r="B109" t="str">
        <f>IF('Equipment Information'!B109="","", 'Equipment Information'!B109)</f>
        <v>CP-Evap. #3 Disconnect</v>
      </c>
      <c r="C109" t="str">
        <f>IF('Equipment Information'!C109="","", 'Equipment Information'!C109)</f>
        <v>Production Area</v>
      </c>
      <c r="H109" t="str">
        <f t="shared" si="1"/>
        <v>N/A</v>
      </c>
    </row>
    <row r="110" spans="1:8" x14ac:dyDescent="0.25">
      <c r="A110" t="str">
        <f>IF('Equipment Information'!A110="","", 'Equipment Information'!A110)</f>
        <v>20260756</v>
      </c>
      <c r="B110" t="str">
        <f>IF('Equipment Information'!B110="","", 'Equipment Information'!B110)</f>
        <v>CP-DTS Sub Line #1 [Sec. 1]</v>
      </c>
      <c r="C110" t="str">
        <f>IF('Equipment Information'!C110="","", 'Equipment Information'!C110)</f>
        <v>Production Area</v>
      </c>
      <c r="H110" t="str">
        <f t="shared" si="1"/>
        <v>N/A</v>
      </c>
    </row>
    <row r="111" spans="1:8" x14ac:dyDescent="0.25">
      <c r="A111" t="str">
        <f>IF('Equipment Information'!A111="","", 'Equipment Information'!A111)</f>
        <v>20260757</v>
      </c>
      <c r="B111" t="str">
        <f>IF('Equipment Information'!B111="","", 'Equipment Information'!B111)</f>
        <v>CP-DTS Sub Line #1 [Sec. 2]</v>
      </c>
      <c r="C111" t="str">
        <f>IF('Equipment Information'!C111="","", 'Equipment Information'!C111)</f>
        <v>Production Area</v>
      </c>
      <c r="H111" t="str">
        <f t="shared" si="1"/>
        <v>N/A</v>
      </c>
    </row>
    <row r="112" spans="1:8" x14ac:dyDescent="0.25">
      <c r="A112" t="str">
        <f>IF('Equipment Information'!A112="","", 'Equipment Information'!A112)</f>
        <v>20260758</v>
      </c>
      <c r="B112" t="str">
        <f>IF('Equipment Information'!B112="","", 'Equipment Information'!B112)</f>
        <v>CP-DTS Sub Line #1 [Sec. 3]</v>
      </c>
      <c r="C112" t="str">
        <f>IF('Equipment Information'!C112="","", 'Equipment Information'!C112)</f>
        <v>Production Area</v>
      </c>
      <c r="H112" t="str">
        <f t="shared" si="1"/>
        <v>N/A</v>
      </c>
    </row>
    <row r="113" spans="1:8" x14ac:dyDescent="0.25">
      <c r="A113" t="str">
        <f>IF('Equipment Information'!A113="","", 'Equipment Information'!A113)</f>
        <v>20260759</v>
      </c>
      <c r="B113" t="str">
        <f>IF('Equipment Information'!B113="","", 'Equipment Information'!B113)</f>
        <v>DP-1</v>
      </c>
      <c r="C113" t="str">
        <f>IF('Equipment Information'!C113="","", 'Equipment Information'!C113)</f>
        <v>Production Area</v>
      </c>
      <c r="H113" t="str">
        <f t="shared" si="1"/>
        <v>N/A</v>
      </c>
    </row>
    <row r="114" spans="1:8" x14ac:dyDescent="0.25">
      <c r="A114" t="str">
        <f>IF('Equipment Information'!A114="","", 'Equipment Information'!A114)</f>
        <v>20260760</v>
      </c>
      <c r="B114" t="str">
        <f>IF('Equipment Information'!B114="","", 'Equipment Information'!B114)</f>
        <v>P-1</v>
      </c>
      <c r="C114" t="str">
        <f>IF('Equipment Information'!C114="","", 'Equipment Information'!C114)</f>
        <v>Production Area</v>
      </c>
      <c r="H114" t="str">
        <f t="shared" si="1"/>
        <v>N/A</v>
      </c>
    </row>
    <row r="115" spans="1:8" x14ac:dyDescent="0.25">
      <c r="A115" t="str">
        <f>IF('Equipment Information'!A115="","", 'Equipment Information'!A115)</f>
        <v>20260761</v>
      </c>
      <c r="B115" t="str">
        <f>IF('Equipment Information'!B115="","", 'Equipment Information'!B115)</f>
        <v>FS-Slice Line</v>
      </c>
      <c r="C115" t="str">
        <f>IF('Equipment Information'!C115="","", 'Equipment Information'!C115)</f>
        <v>Production Area</v>
      </c>
      <c r="H115" t="str">
        <f t="shared" si="1"/>
        <v>N/A</v>
      </c>
    </row>
    <row r="116" spans="1:8" x14ac:dyDescent="0.25">
      <c r="A116" t="str">
        <f>IF('Equipment Information'!A116="","", 'Equipment Information'!A116)</f>
        <v>20260762</v>
      </c>
      <c r="B116" t="str">
        <f>IF('Equipment Information'!B116="","", 'Equipment Information'!B116)</f>
        <v>OH XFMR</v>
      </c>
      <c r="C116" t="str">
        <f>IF('Equipment Information'!C116="","", 'Equipment Information'!C116)</f>
        <v>Production Area</v>
      </c>
      <c r="H116" t="str">
        <f t="shared" si="1"/>
        <v>N/A</v>
      </c>
    </row>
    <row r="117" spans="1:8" x14ac:dyDescent="0.25">
      <c r="A117" t="str">
        <f>IF('Equipment Information'!A117="","", 'Equipment Information'!A117)</f>
        <v>20260763</v>
      </c>
      <c r="B117" t="str">
        <f>IF('Equipment Information'!B117="","", 'Equipment Information'!B117)</f>
        <v>CP-1 [Sec. 1]</v>
      </c>
      <c r="C117" t="str">
        <f>IF('Equipment Information'!C117="","", 'Equipment Information'!C117)</f>
        <v>Production Area</v>
      </c>
      <c r="H117" t="str">
        <f t="shared" si="1"/>
        <v>N/A</v>
      </c>
    </row>
    <row r="118" spans="1:8" x14ac:dyDescent="0.25">
      <c r="A118" t="str">
        <f>IF('Equipment Information'!A118="","", 'Equipment Information'!A118)</f>
        <v>20260764</v>
      </c>
      <c r="B118" t="str">
        <f>IF('Equipment Information'!B118="","", 'Equipment Information'!B118)</f>
        <v>CP-1 [Sec. 2]</v>
      </c>
      <c r="C118" t="str">
        <f>IF('Equipment Information'!C118="","", 'Equipment Information'!C118)</f>
        <v>Production Area</v>
      </c>
      <c r="H118" t="str">
        <f t="shared" si="1"/>
        <v>N/A</v>
      </c>
    </row>
    <row r="119" spans="1:8" x14ac:dyDescent="0.25">
      <c r="A119" t="str">
        <f>IF('Equipment Information'!A119="","", 'Equipment Information'!A119)</f>
        <v>20260765</v>
      </c>
      <c r="B119" t="str">
        <f>IF('Equipment Information'!B119="","", 'Equipment Information'!B119)</f>
        <v>CP-1 [Sec. 3]</v>
      </c>
      <c r="C119" t="str">
        <f>IF('Equipment Information'!C119="","", 'Equipment Information'!C119)</f>
        <v>Production Area</v>
      </c>
      <c r="H119" t="str">
        <f t="shared" si="1"/>
        <v>N/A</v>
      </c>
    </row>
    <row r="120" spans="1:8" x14ac:dyDescent="0.25">
      <c r="A120" t="str">
        <f>IF('Equipment Information'!A120="","", 'Equipment Information'!A120)</f>
        <v>20260766</v>
      </c>
      <c r="B120" t="str">
        <f>IF('Equipment Information'!B120="","", 'Equipment Information'!B120)</f>
        <v>CP-DTS Sub Line #2 [Sec. 1]</v>
      </c>
      <c r="C120" t="str">
        <f>IF('Equipment Information'!C120="","", 'Equipment Information'!C120)</f>
        <v>Production Area</v>
      </c>
      <c r="H120" t="str">
        <f t="shared" si="1"/>
        <v>N/A</v>
      </c>
    </row>
    <row r="121" spans="1:8" x14ac:dyDescent="0.25">
      <c r="A121" t="str">
        <f>IF('Equipment Information'!A121="","", 'Equipment Information'!A121)</f>
        <v>20260767</v>
      </c>
      <c r="B121" t="str">
        <f>IF('Equipment Information'!B121="","", 'Equipment Information'!B121)</f>
        <v>CP-DTS Sub Line #2 [Sec. 2]</v>
      </c>
      <c r="C121" t="str">
        <f>IF('Equipment Information'!C121="","", 'Equipment Information'!C121)</f>
        <v>Production Area</v>
      </c>
      <c r="H121" t="str">
        <f t="shared" si="1"/>
        <v>N/A</v>
      </c>
    </row>
    <row r="122" spans="1:8" x14ac:dyDescent="0.25">
      <c r="A122" t="str">
        <f>IF('Equipment Information'!A122="","", 'Equipment Information'!A122)</f>
        <v>20260768</v>
      </c>
      <c r="B122" t="str">
        <f>IF('Equipment Information'!B122="","", 'Equipment Information'!B122)</f>
        <v>CP-DTS Sub Line #2 [Sec.3]</v>
      </c>
      <c r="C122" t="str">
        <f>IF('Equipment Information'!C122="","", 'Equipment Information'!C122)</f>
        <v>Production Area</v>
      </c>
      <c r="H122" t="str">
        <f t="shared" si="1"/>
        <v>N/A</v>
      </c>
    </row>
    <row r="123" spans="1:8" x14ac:dyDescent="0.25">
      <c r="A123" t="str">
        <f>IF('Equipment Information'!A123="","", 'Equipment Information'!A123)</f>
        <v>20260769</v>
      </c>
      <c r="B123" t="str">
        <f>IF('Equipment Information'!B123="","", 'Equipment Information'!B123)</f>
        <v>DP-2</v>
      </c>
      <c r="C123" t="str">
        <f>IF('Equipment Information'!C123="","", 'Equipment Information'!C123)</f>
        <v>Production Area</v>
      </c>
      <c r="H123" t="str">
        <f t="shared" si="1"/>
        <v>N/A</v>
      </c>
    </row>
    <row r="124" spans="1:8" x14ac:dyDescent="0.25">
      <c r="A124" t="str">
        <f>IF('Equipment Information'!A124="","", 'Equipment Information'!A124)</f>
        <v>20260770</v>
      </c>
      <c r="B124" t="str">
        <f>IF('Equipment Information'!B124="","", 'Equipment Information'!B124)</f>
        <v>Exhasut Fan Cabinet</v>
      </c>
      <c r="C124" t="str">
        <f>IF('Equipment Information'!C124="","", 'Equipment Information'!C124)</f>
        <v>Production Area</v>
      </c>
      <c r="H124" t="str">
        <f t="shared" si="1"/>
        <v>N/A</v>
      </c>
    </row>
    <row r="125" spans="1:8" x14ac:dyDescent="0.25">
      <c r="A125" t="str">
        <f>IF('Equipment Information'!A125="","", 'Equipment Information'!A125)</f>
        <v>20260771</v>
      </c>
      <c r="B125" t="str">
        <f>IF('Equipment Information'!B125="","", 'Equipment Information'!B125)</f>
        <v>Processing Controls</v>
      </c>
      <c r="C125" t="str">
        <f>IF('Equipment Information'!C125="","", 'Equipment Information'!C125)</f>
        <v>Production Area</v>
      </c>
      <c r="H125" t="str">
        <f t="shared" si="1"/>
        <v>N/A</v>
      </c>
    </row>
    <row r="126" spans="1:8" x14ac:dyDescent="0.25">
      <c r="A126" t="str">
        <f>IF('Equipment Information'!A126="","", 'Equipment Information'!A126)</f>
        <v>20260772</v>
      </c>
      <c r="B126" t="str">
        <f>IF('Equipment Information'!B126="","", 'Equipment Information'!B126)</f>
        <v>Welding Receptacle</v>
      </c>
      <c r="C126" t="str">
        <f>IF('Equipment Information'!C126="","", 'Equipment Information'!C126)</f>
        <v>Production Area</v>
      </c>
      <c r="H126" t="str">
        <f t="shared" si="1"/>
        <v>N/A</v>
      </c>
    </row>
    <row r="127" spans="1:8" x14ac:dyDescent="0.25">
      <c r="A127" t="str">
        <f>IF('Equipment Information'!A127="","", 'Equipment Information'!A127)</f>
        <v>20260773</v>
      </c>
      <c r="B127" t="str">
        <f>IF('Equipment Information'!B127="","", 'Equipment Information'!B127)</f>
        <v>Drum Oiler #2</v>
      </c>
      <c r="C127" t="str">
        <f>IF('Equipment Information'!C127="","", 'Equipment Information'!C127)</f>
        <v>Production Area</v>
      </c>
      <c r="H127" t="str">
        <f t="shared" si="1"/>
        <v>N/A</v>
      </c>
    </row>
    <row r="128" spans="1:8" x14ac:dyDescent="0.25">
      <c r="A128" t="str">
        <f>IF('Equipment Information'!A128="","", 'Equipment Information'!A128)</f>
        <v>20260774</v>
      </c>
      <c r="B128" t="str">
        <f>IF('Equipment Information'!B128="","", 'Equipment Information'!B128)</f>
        <v>Zone A/B/C Controls</v>
      </c>
      <c r="C128" t="str">
        <f>IF('Equipment Information'!C128="","", 'Equipment Information'!C128)</f>
        <v>Processing Area</v>
      </c>
      <c r="H128" t="str">
        <f t="shared" si="1"/>
        <v>N/A</v>
      </c>
    </row>
    <row r="129" spans="1:8" x14ac:dyDescent="0.25">
      <c r="A129" t="str">
        <f>IF('Equipment Information'!A129="","", 'Equipment Information'!A129)</f>
        <v>20260775</v>
      </c>
      <c r="B129" t="str">
        <f>IF('Equipment Information'!B129="","", 'Equipment Information'!B129)</f>
        <v>Baler Disconnect</v>
      </c>
      <c r="C129" t="str">
        <f>IF('Equipment Information'!C129="","", 'Equipment Information'!C129)</f>
        <v>Packaging</v>
      </c>
      <c r="H129" t="str">
        <f t="shared" si="1"/>
        <v>N/A</v>
      </c>
    </row>
    <row r="130" spans="1:8" x14ac:dyDescent="0.25">
      <c r="A130" t="str">
        <f>IF('Equipment Information'!A130="","", 'Equipment Information'!A130)</f>
        <v>20260776</v>
      </c>
      <c r="B130" t="str">
        <f>IF('Equipment Information'!B130="","", 'Equipment Information'!B130)</f>
        <v>Baler Controller</v>
      </c>
      <c r="C130" t="str">
        <f>IF('Equipment Information'!C130="","", 'Equipment Information'!C130)</f>
        <v>Packaging</v>
      </c>
      <c r="H130" t="str">
        <f t="shared" ref="H130:H193" si="2">IF(A130="","","N/A")</f>
        <v>N/A</v>
      </c>
    </row>
    <row r="131" spans="1:8" x14ac:dyDescent="0.25">
      <c r="A131" t="str">
        <f>IF('Equipment Information'!A131="","", 'Equipment Information'!A131)</f>
        <v>20260777</v>
      </c>
      <c r="B131" t="str">
        <f>IF('Equipment Information'!B131="","", 'Equipment Information'!B131)</f>
        <v>Three-Phase Outlet Disconnect</v>
      </c>
      <c r="C131" t="str">
        <f>IF('Equipment Information'!C131="","", 'Equipment Information'!C131)</f>
        <v>Warehouse</v>
      </c>
      <c r="H131" t="str">
        <f t="shared" si="2"/>
        <v>N/A</v>
      </c>
    </row>
    <row r="132" spans="1:8" x14ac:dyDescent="0.25">
      <c r="A132" t="str">
        <f>IF('Equipment Information'!A132="","", 'Equipment Information'!A132)</f>
        <v>20260778</v>
      </c>
      <c r="B132" t="str">
        <f>IF('Equipment Information'!B132="","", 'Equipment Information'!B132)</f>
        <v>New Addition Panel</v>
      </c>
      <c r="C132" t="str">
        <f>IF('Equipment Information'!C132="","", 'Equipment Information'!C132)</f>
        <v>Warehouse</v>
      </c>
      <c r="H132" t="str">
        <f t="shared" si="2"/>
        <v>N/A</v>
      </c>
    </row>
    <row r="133" spans="1:8" x14ac:dyDescent="0.25">
      <c r="A133" t="str">
        <f>IF('Equipment Information'!A133="","", 'Equipment Information'!A133)</f>
        <v>20260779</v>
      </c>
      <c r="B133" t="str">
        <f>IF('Equipment Information'!B133="","", 'Equipment Information'!B133)</f>
        <v>AGT - R&amp;D</v>
      </c>
      <c r="C133" t="str">
        <f>IF('Equipment Information'!C133="","", 'Equipment Information'!C133)</f>
        <v>Boiler Room</v>
      </c>
      <c r="H133" t="str">
        <f t="shared" si="2"/>
        <v>N/A</v>
      </c>
    </row>
    <row r="134" spans="1:8" x14ac:dyDescent="0.25">
      <c r="A134" t="str">
        <f>IF('Equipment Information'!A134="","", 'Equipment Information'!A134)</f>
        <v>20260780</v>
      </c>
      <c r="B134" t="str">
        <f>IF('Equipment Information'!B134="","", 'Equipment Information'!B134)</f>
        <v>VS - R&amp;D</v>
      </c>
      <c r="C134" t="str">
        <f>IF('Equipment Information'!C134="","", 'Equipment Information'!C134)</f>
        <v>Boiler Room</v>
      </c>
      <c r="H134" t="str">
        <f t="shared" si="2"/>
        <v>N/A</v>
      </c>
    </row>
    <row r="135" spans="1:8" x14ac:dyDescent="0.25">
      <c r="A135" t="str">
        <f>IF('Equipment Information'!A135="","", 'Equipment Information'!A135)</f>
        <v>20260781</v>
      </c>
      <c r="B135" t="str">
        <f>IF('Equipment Information'!B135="","", 'Equipment Information'!B135)</f>
        <v>RED PP-1</v>
      </c>
      <c r="C135" t="str">
        <f>IF('Equipment Information'!C135="","", 'Equipment Information'!C135)</f>
        <v>Boiler Room</v>
      </c>
      <c r="H135" t="str">
        <f t="shared" si="2"/>
        <v>N/A</v>
      </c>
    </row>
    <row r="136" spans="1:8" x14ac:dyDescent="0.25">
      <c r="A136" t="str">
        <f>IF('Equipment Information'!A136="","", 'Equipment Information'!A136)</f>
        <v>20260782</v>
      </c>
      <c r="B136" t="str">
        <f>IF('Equipment Information'!B136="","", 'Equipment Information'!B136)</f>
        <v>RED PP-2</v>
      </c>
      <c r="C136" t="str">
        <f>IF('Equipment Information'!C136="","", 'Equipment Information'!C136)</f>
        <v>Boiler Room</v>
      </c>
      <c r="H136" t="str">
        <f t="shared" si="2"/>
        <v>N/A</v>
      </c>
    </row>
    <row r="137" spans="1:8" x14ac:dyDescent="0.25">
      <c r="A137" t="str">
        <f>IF('Equipment Information'!A137="","", 'Equipment Information'!A137)</f>
        <v>20260783</v>
      </c>
      <c r="B137" t="str">
        <f>IF('Equipment Information'!B137="","", 'Equipment Information'!B137)</f>
        <v>CP-Boiler #1 Disconnect</v>
      </c>
      <c r="C137" t="str">
        <f>IF('Equipment Information'!C137="","", 'Equipment Information'!C137)</f>
        <v>Boiler Room</v>
      </c>
      <c r="H137" t="str">
        <f t="shared" si="2"/>
        <v>N/A</v>
      </c>
    </row>
    <row r="138" spans="1:8" x14ac:dyDescent="0.25">
      <c r="A138" t="str">
        <f>IF('Equipment Information'!A138="","", 'Equipment Information'!A138)</f>
        <v>20260784</v>
      </c>
      <c r="B138" t="str">
        <f>IF('Equipment Information'!B138="","", 'Equipment Information'!B138)</f>
        <v>CP-Boiler #1</v>
      </c>
      <c r="C138" t="str">
        <f>IF('Equipment Information'!C138="","", 'Equipment Information'!C138)</f>
        <v>Boiler Room</v>
      </c>
      <c r="H138" t="str">
        <f t="shared" si="2"/>
        <v>N/A</v>
      </c>
    </row>
    <row r="139" spans="1:8" x14ac:dyDescent="0.25">
      <c r="A139" t="str">
        <f>IF('Equipment Information'!A139="","", 'Equipment Information'!A139)</f>
        <v>20260785</v>
      </c>
      <c r="B139" t="str">
        <f>IF('Equipment Information'!B139="","", 'Equipment Information'!B139)</f>
        <v>-</v>
      </c>
      <c r="C139" t="str">
        <f>IF('Equipment Information'!C139="","", 'Equipment Information'!C139)</f>
        <v>Boiler Room</v>
      </c>
      <c r="H139" t="str">
        <f t="shared" si="2"/>
        <v>N/A</v>
      </c>
    </row>
    <row r="140" spans="1:8" x14ac:dyDescent="0.25">
      <c r="A140" t="str">
        <f>IF('Equipment Information'!A140="","", 'Equipment Information'!A140)</f>
        <v>20260786</v>
      </c>
      <c r="B140" t="str">
        <f>IF('Equipment Information'!B140="","", 'Equipment Information'!B140)</f>
        <v>-</v>
      </c>
      <c r="C140" t="str">
        <f>IF('Equipment Information'!C140="","", 'Equipment Information'!C140)</f>
        <v>Boiler Room</v>
      </c>
      <c r="H140" t="str">
        <f t="shared" si="2"/>
        <v>N/A</v>
      </c>
    </row>
    <row r="141" spans="1:8" x14ac:dyDescent="0.25">
      <c r="A141" t="str">
        <f>IF('Equipment Information'!A141="","", 'Equipment Information'!A141)</f>
        <v>20260787</v>
      </c>
      <c r="B141" t="str">
        <f>IF('Equipment Information'!B141="","", 'Equipment Information'!B141)</f>
        <v>-</v>
      </c>
      <c r="C141" t="str">
        <f>IF('Equipment Information'!C141="","", 'Equipment Information'!C141)</f>
        <v>Boiler Mechanical Room</v>
      </c>
      <c r="H141" t="str">
        <f t="shared" si="2"/>
        <v>N/A</v>
      </c>
    </row>
    <row r="142" spans="1:8" x14ac:dyDescent="0.25">
      <c r="A142" t="str">
        <f>IF('Equipment Information'!A142="","", 'Equipment Information'!A142)</f>
        <v>20260788</v>
      </c>
      <c r="B142" t="str">
        <f>IF('Equipment Information'!B142="","", 'Equipment Information'!B142)</f>
        <v>-</v>
      </c>
      <c r="C142" t="str">
        <f>IF('Equipment Information'!C142="","", 'Equipment Information'!C142)</f>
        <v>Boiler Mechanical Room</v>
      </c>
      <c r="H142" t="str">
        <f t="shared" si="2"/>
        <v>N/A</v>
      </c>
    </row>
    <row r="143" spans="1:8" x14ac:dyDescent="0.25">
      <c r="A143" t="str">
        <f>IF('Equipment Information'!A143="","", 'Equipment Information'!A143)</f>
        <v>20260789</v>
      </c>
      <c r="B143" t="str">
        <f>IF('Equipment Information'!B143="","", 'Equipment Information'!B143)</f>
        <v/>
      </c>
      <c r="C143" t="str">
        <f>IF('Equipment Information'!C143="","", 'Equipment Information'!C143)</f>
        <v>Boiler Mechanical Room</v>
      </c>
      <c r="H143" t="str">
        <f t="shared" si="2"/>
        <v>N/A</v>
      </c>
    </row>
    <row r="144" spans="1:8" x14ac:dyDescent="0.25">
      <c r="A144" t="str">
        <f>IF('Equipment Information'!A144="","", 'Equipment Information'!A144)</f>
        <v>20260790</v>
      </c>
      <c r="B144" t="str">
        <f>IF('Equipment Information'!B144="","", 'Equipment Information'!B144)</f>
        <v/>
      </c>
      <c r="C144" t="str">
        <f>IF('Equipment Information'!C144="","", 'Equipment Information'!C144)</f>
        <v>Boiler Mechanical Room</v>
      </c>
      <c r="H144" t="str">
        <f t="shared" si="2"/>
        <v>N/A</v>
      </c>
    </row>
    <row r="145" spans="1:8" x14ac:dyDescent="0.25">
      <c r="A145" t="str">
        <f>IF('Equipment Information'!A145="","", 'Equipment Information'!A145)</f>
        <v>20260791</v>
      </c>
      <c r="B145" t="str">
        <f>IF('Equipment Information'!B145="","", 'Equipment Information'!B145)</f>
        <v>100 HP Compressor Disconnect</v>
      </c>
      <c r="C145" t="str">
        <f>IF('Equipment Information'!C145="","", 'Equipment Information'!C145)</f>
        <v>Compressor Room</v>
      </c>
      <c r="H145" t="str">
        <f t="shared" si="2"/>
        <v>N/A</v>
      </c>
    </row>
    <row r="146" spans="1:8" x14ac:dyDescent="0.25">
      <c r="A146" t="str">
        <f>IF('Equipment Information'!A146="","", 'Equipment Information'!A146)</f>
        <v>20260792</v>
      </c>
      <c r="B146" t="str">
        <f>IF('Equipment Information'!B146="","", 'Equipment Information'!B146)</f>
        <v>100 HP Compressor</v>
      </c>
      <c r="C146" t="str">
        <f>IF('Equipment Information'!C146="","", 'Equipment Information'!C146)</f>
        <v>Compressor Room</v>
      </c>
      <c r="H146" t="str">
        <f t="shared" si="2"/>
        <v>N/A</v>
      </c>
    </row>
    <row r="147" spans="1:8" x14ac:dyDescent="0.25">
      <c r="A147" t="str">
        <f>IF('Equipment Information'!A147="","", 'Equipment Information'!A147)</f>
        <v>20260793</v>
      </c>
      <c r="B147" t="str">
        <f>IF('Equipment Information'!B147="","", 'Equipment Information'!B147)</f>
        <v>150 HP Compressor</v>
      </c>
      <c r="C147" t="str">
        <f>IF('Equipment Information'!C147="","", 'Equipment Information'!C147)</f>
        <v>Compressor Room</v>
      </c>
      <c r="H147" t="str">
        <f t="shared" si="2"/>
        <v>N/A</v>
      </c>
    </row>
    <row r="148" spans="1:8" x14ac:dyDescent="0.25">
      <c r="A148" t="str">
        <f>IF('Equipment Information'!A148="","", 'Equipment Information'!A148)</f>
        <v>20260794</v>
      </c>
      <c r="B148" t="str">
        <f>IF('Equipment Information'!B148="","", 'Equipment Information'!B148)</f>
        <v>Exhasut Fan Cabinet</v>
      </c>
      <c r="C148" t="str">
        <f>IF('Equipment Information'!C148="","", 'Equipment Information'!C148)</f>
        <v>Compressor Room</v>
      </c>
      <c r="H148" t="str">
        <f t="shared" si="2"/>
        <v>N/A</v>
      </c>
    </row>
    <row r="149" spans="1:8" x14ac:dyDescent="0.25">
      <c r="A149" t="str">
        <f>IF('Equipment Information'!A149="","", 'Equipment Information'!A149)</f>
        <v>20260795</v>
      </c>
      <c r="B149" t="str">
        <f>IF('Equipment Information'!B149="","", 'Equipment Information'!B149)</f>
        <v>Air Dryer Disconnect</v>
      </c>
      <c r="C149" t="str">
        <f>IF('Equipment Information'!C149="","", 'Equipment Information'!C149)</f>
        <v>Compressor Room</v>
      </c>
      <c r="H149" t="str">
        <f t="shared" si="2"/>
        <v>N/A</v>
      </c>
    </row>
    <row r="150" spans="1:8" x14ac:dyDescent="0.25">
      <c r="A150" t="str">
        <f>IF('Equipment Information'!A150="","", 'Equipment Information'!A150)</f>
        <v>20260796</v>
      </c>
      <c r="B150" t="str">
        <f>IF('Equipment Information'!B150="","", 'Equipment Information'!B150)</f>
        <v>Air Dryer</v>
      </c>
      <c r="C150" t="str">
        <f>IF('Equipment Information'!C150="","", 'Equipment Information'!C150)</f>
        <v>Compressor Room</v>
      </c>
      <c r="H150" t="str">
        <f t="shared" si="2"/>
        <v>N/A</v>
      </c>
    </row>
    <row r="151" spans="1:8" x14ac:dyDescent="0.25">
      <c r="A151" t="str">
        <f>IF('Equipment Information'!A151="","", 'Equipment Information'!A151)</f>
        <v>20260797</v>
      </c>
      <c r="B151" t="str">
        <f>IF('Equipment Information'!B151="","", 'Equipment Information'!B151)</f>
        <v>150 HP Compressor Disconnect</v>
      </c>
      <c r="C151" t="str">
        <f>IF('Equipment Information'!C151="","", 'Equipment Information'!C151)</f>
        <v>Maintenance Area</v>
      </c>
      <c r="H151" t="str">
        <f t="shared" si="2"/>
        <v>N/A</v>
      </c>
    </row>
    <row r="152" spans="1:8" x14ac:dyDescent="0.25">
      <c r="A152" t="str">
        <f>IF('Equipment Information'!A152="","", 'Equipment Information'!A152)</f>
        <v>20260798</v>
      </c>
      <c r="B152" t="str">
        <f>IF('Equipment Information'!B152="","", 'Equipment Information'!B152)</f>
        <v>Maintenance PP-1</v>
      </c>
      <c r="C152" t="str">
        <f>IF('Equipment Information'!C152="","", 'Equipment Information'!C152)</f>
        <v>Maintenance Area</v>
      </c>
      <c r="H152" t="str">
        <f t="shared" si="2"/>
        <v>N/A</v>
      </c>
    </row>
    <row r="153" spans="1:8" x14ac:dyDescent="0.25">
      <c r="A153" t="str">
        <f>IF('Equipment Information'!A153="","", 'Equipment Information'!A153)</f>
        <v>20260799</v>
      </c>
      <c r="B153" t="str">
        <f>IF('Equipment Information'!B153="","", 'Equipment Information'!B153)</f>
        <v/>
      </c>
      <c r="C153" t="str">
        <f>IF('Equipment Information'!C153="","", 'Equipment Information'!C153)</f>
        <v>Maintenance Area</v>
      </c>
      <c r="H153" t="str">
        <f t="shared" si="2"/>
        <v>N/A</v>
      </c>
    </row>
    <row r="154" spans="1:8" x14ac:dyDescent="0.25">
      <c r="A154" t="str">
        <f>IF('Equipment Information'!A154="","", 'Equipment Information'!A154)</f>
        <v>20260800</v>
      </c>
      <c r="B154" t="str">
        <f>IF('Equipment Information'!B154="","", 'Equipment Information'!B154)</f>
        <v/>
      </c>
      <c r="C154" t="str">
        <f>IF('Equipment Information'!C154="","", 'Equipment Information'!C154)</f>
        <v>Maintenance Area</v>
      </c>
      <c r="H154" t="str">
        <f t="shared" si="2"/>
        <v>N/A</v>
      </c>
    </row>
    <row r="155" spans="1:8" x14ac:dyDescent="0.25">
      <c r="A155" t="str">
        <f>IF('Equipment Information'!A155="","", 'Equipment Information'!A155)</f>
        <v>20260801</v>
      </c>
      <c r="B155" t="str">
        <f>IF('Equipment Information'!B155="","", 'Equipment Information'!B155)</f>
        <v/>
      </c>
      <c r="C155" t="str">
        <f>IF('Equipment Information'!C155="","", 'Equipment Information'!C155)</f>
        <v>Maintenance Area</v>
      </c>
      <c r="H155" t="str">
        <f t="shared" si="2"/>
        <v>N/A</v>
      </c>
    </row>
    <row r="156" spans="1:8" x14ac:dyDescent="0.25">
      <c r="A156" t="str">
        <f>IF('Equipment Information'!A156="","", 'Equipment Information'!A156)</f>
        <v>20260802</v>
      </c>
      <c r="B156" t="str">
        <f>IF('Equipment Information'!B156="","", 'Equipment Information'!B156)</f>
        <v/>
      </c>
      <c r="C156" t="str">
        <f>IF('Equipment Information'!C156="","", 'Equipment Information'!C156)</f>
        <v>Outside of Maintenance Area</v>
      </c>
      <c r="H156" t="str">
        <f t="shared" si="2"/>
        <v>N/A</v>
      </c>
    </row>
    <row r="157" spans="1:8" x14ac:dyDescent="0.25">
      <c r="A157" t="str">
        <f>IF('Equipment Information'!A157="","", 'Equipment Information'!A157)</f>
        <v>20260803</v>
      </c>
      <c r="B157" t="str">
        <f>IF('Equipment Information'!B157="","", 'Equipment Information'!B157)</f>
        <v/>
      </c>
      <c r="C157" t="str">
        <f>IF('Equipment Information'!C157="","", 'Equipment Information'!C157)</f>
        <v>Outside of Maintenance Area</v>
      </c>
      <c r="H157" t="str">
        <f t="shared" si="2"/>
        <v>N/A</v>
      </c>
    </row>
    <row r="158" spans="1:8" x14ac:dyDescent="0.25">
      <c r="A158" t="str">
        <f>IF('Equipment Information'!A158="","", 'Equipment Information'!A158)</f>
        <v>20260804</v>
      </c>
      <c r="B158" t="str">
        <f>IF('Equipment Information'!B158="","", 'Equipment Information'!B158)</f>
        <v>ATS #1</v>
      </c>
      <c r="C158" t="str">
        <f>IF('Equipment Information'!C158="","", 'Equipment Information'!C158)</f>
        <v>Basement</v>
      </c>
      <c r="H158" t="str">
        <f t="shared" si="2"/>
        <v>N/A</v>
      </c>
    </row>
    <row r="159" spans="1:8" x14ac:dyDescent="0.25">
      <c r="A159" t="str">
        <f>IF('Equipment Information'!A159="","", 'Equipment Information'!A159)</f>
        <v>20260805</v>
      </c>
      <c r="B159" t="str">
        <f>IF('Equipment Information'!B159="","", 'Equipment Information'!B159)</f>
        <v>Panel #3 Main Disconnect</v>
      </c>
      <c r="C159" t="str">
        <f>IF('Equipment Information'!C159="","", 'Equipment Information'!C159)</f>
        <v>Basement</v>
      </c>
      <c r="H159" t="str">
        <f t="shared" si="2"/>
        <v>N/A</v>
      </c>
    </row>
    <row r="160" spans="1:8" x14ac:dyDescent="0.25">
      <c r="A160" t="str">
        <f>IF('Equipment Information'!A160="","", 'Equipment Information'!A160)</f>
        <v>20260806</v>
      </c>
      <c r="B160" t="str">
        <f>IF('Equipment Information'!B160="","", 'Equipment Information'!B160)</f>
        <v>Transformer #2 Disconnect</v>
      </c>
      <c r="C160" t="str">
        <f>IF('Equipment Information'!C160="","", 'Equipment Information'!C160)</f>
        <v>Basement</v>
      </c>
      <c r="H160" t="str">
        <f t="shared" si="2"/>
        <v>N/A</v>
      </c>
    </row>
    <row r="161" spans="1:8" x14ac:dyDescent="0.25">
      <c r="A161" t="str">
        <f>IF('Equipment Information'!A161="","", 'Equipment Information'!A161)</f>
        <v>20260807</v>
      </c>
      <c r="B161" t="str">
        <f>IF('Equipment Information'!B161="","", 'Equipment Information'!B161)</f>
        <v>LP-1 Main Disconnect</v>
      </c>
      <c r="C161" t="str">
        <f>IF('Equipment Information'!C161="","", 'Equipment Information'!C161)</f>
        <v>Basement</v>
      </c>
      <c r="H161" t="str">
        <f t="shared" si="2"/>
        <v>N/A</v>
      </c>
    </row>
    <row r="162" spans="1:8" x14ac:dyDescent="0.25">
      <c r="A162" t="str">
        <f>IF('Equipment Information'!A162="","", 'Equipment Information'!A162)</f>
        <v>20260808</v>
      </c>
      <c r="B162" t="str">
        <f>IF('Equipment Information'!B162="","", 'Equipment Information'!B162)</f>
        <v>Panel #1</v>
      </c>
      <c r="C162" t="str">
        <f>IF('Equipment Information'!C162="","", 'Equipment Information'!C162)</f>
        <v>Basement</v>
      </c>
      <c r="H162" t="str">
        <f t="shared" si="2"/>
        <v>N/A</v>
      </c>
    </row>
    <row r="163" spans="1:8" x14ac:dyDescent="0.25">
      <c r="A163" t="str">
        <f>IF('Equipment Information'!A163="","", 'Equipment Information'!A163)</f>
        <v>20260809</v>
      </c>
      <c r="B163" t="str">
        <f>IF('Equipment Information'!B163="","", 'Equipment Information'!B163)</f>
        <v>Panel #4</v>
      </c>
      <c r="C163" t="str">
        <f>IF('Equipment Information'!C163="","", 'Equipment Information'!C163)</f>
        <v>Basement</v>
      </c>
      <c r="H163" t="str">
        <f t="shared" si="2"/>
        <v>N/A</v>
      </c>
    </row>
    <row r="164" spans="1:8" x14ac:dyDescent="0.25">
      <c r="A164" t="str">
        <f>IF('Equipment Information'!A164="","", 'Equipment Information'!A164)</f>
        <v>20260810</v>
      </c>
      <c r="B164" t="str">
        <f>IF('Equipment Information'!B164="","", 'Equipment Information'!B164)</f>
        <v>Panel #2</v>
      </c>
      <c r="C164" t="str">
        <f>IF('Equipment Information'!C164="","", 'Equipment Information'!C164)</f>
        <v>Basement</v>
      </c>
      <c r="H164" t="str">
        <f t="shared" si="2"/>
        <v>N/A</v>
      </c>
    </row>
    <row r="165" spans="1:8" x14ac:dyDescent="0.25">
      <c r="A165" t="str">
        <f>IF('Equipment Information'!A165="","", 'Equipment Information'!A165)</f>
        <v>20260811</v>
      </c>
      <c r="B165" t="str">
        <f>IF('Equipment Information'!B165="","", 'Equipment Information'!B165)</f>
        <v>Transformer #1</v>
      </c>
      <c r="C165" t="str">
        <f>IF('Equipment Information'!C165="","", 'Equipment Information'!C165)</f>
        <v>Basement</v>
      </c>
      <c r="H165" t="str">
        <f t="shared" si="2"/>
        <v>N/A</v>
      </c>
    </row>
    <row r="166" spans="1:8" x14ac:dyDescent="0.25">
      <c r="A166" t="str">
        <f>IF('Equipment Information'!A166="","", 'Equipment Information'!A166)</f>
        <v>20260812</v>
      </c>
      <c r="B166" t="str">
        <f>IF('Equipment Information'!B166="","", 'Equipment Information'!B166)</f>
        <v>Transformer #2</v>
      </c>
      <c r="C166" t="str">
        <f>IF('Equipment Information'!C166="","", 'Equipment Information'!C166)</f>
        <v>Basement</v>
      </c>
      <c r="H166" t="str">
        <f t="shared" si="2"/>
        <v>N/A</v>
      </c>
    </row>
    <row r="167" spans="1:8" x14ac:dyDescent="0.25">
      <c r="A167" t="str">
        <f>IF('Equipment Information'!A167="","", 'Equipment Information'!A167)</f>
        <v>20260813</v>
      </c>
      <c r="B167" t="str">
        <f>IF('Equipment Information'!B167="","", 'Equipment Information'!B167)</f>
        <v>Panel #3</v>
      </c>
      <c r="C167" t="str">
        <f>IF('Equipment Information'!C167="","", 'Equipment Information'!C167)</f>
        <v>Basement</v>
      </c>
      <c r="H167" t="str">
        <f t="shared" si="2"/>
        <v>N/A</v>
      </c>
    </row>
    <row r="168" spans="1:8" x14ac:dyDescent="0.25">
      <c r="A168" t="str">
        <f>IF('Equipment Information'!A168="","", 'Equipment Information'!A168)</f>
        <v>20260814</v>
      </c>
      <c r="B168" t="str">
        <f>IF('Equipment Information'!B168="","", 'Equipment Information'!B168)</f>
        <v/>
      </c>
      <c r="C168" t="str">
        <f>IF('Equipment Information'!C168="","", 'Equipment Information'!C168)</f>
        <v>Hallway</v>
      </c>
      <c r="H168" t="str">
        <f t="shared" si="2"/>
        <v>N/A</v>
      </c>
    </row>
    <row r="169" spans="1:8" x14ac:dyDescent="0.25">
      <c r="A169" t="str">
        <f>IF('Equipment Information'!A169="","", 'Equipment Information'!A169)</f>
        <v/>
      </c>
      <c r="B169" t="str">
        <f>IF('Equipment Information'!B169="","", 'Equipment Information'!B169)</f>
        <v/>
      </c>
      <c r="C169" t="str">
        <f>IF('Equipment Information'!C169="","", 'Equipment Information'!C169)</f>
        <v/>
      </c>
      <c r="H169" t="str">
        <f t="shared" si="2"/>
        <v/>
      </c>
    </row>
    <row r="170" spans="1:8" x14ac:dyDescent="0.25">
      <c r="A170" t="str">
        <f>IF('Equipment Information'!A170="","", 'Equipment Information'!A170)</f>
        <v/>
      </c>
      <c r="B170" t="str">
        <f>IF('Equipment Information'!B170="","", 'Equipment Information'!B170)</f>
        <v/>
      </c>
      <c r="C170" t="str">
        <f>IF('Equipment Information'!C170="","", 'Equipment Information'!C170)</f>
        <v/>
      </c>
      <c r="H170" t="str">
        <f t="shared" si="2"/>
        <v/>
      </c>
    </row>
    <row r="171" spans="1:8" x14ac:dyDescent="0.25">
      <c r="A171" t="str">
        <f>IF('Equipment Information'!A171="","", 'Equipment Information'!A171)</f>
        <v/>
      </c>
      <c r="B171" t="str">
        <f>IF('Equipment Information'!B171="","", 'Equipment Information'!B171)</f>
        <v/>
      </c>
      <c r="C171" t="str">
        <f>IF('Equipment Information'!C171="","", 'Equipment Information'!C171)</f>
        <v/>
      </c>
      <c r="H171" t="str">
        <f t="shared" si="2"/>
        <v/>
      </c>
    </row>
    <row r="172" spans="1:8" x14ac:dyDescent="0.25">
      <c r="A172" t="str">
        <f>IF('Equipment Information'!A172="","", 'Equipment Information'!A172)</f>
        <v/>
      </c>
      <c r="B172" t="str">
        <f>IF('Equipment Information'!B172="","", 'Equipment Information'!B172)</f>
        <v/>
      </c>
      <c r="C172" t="str">
        <f>IF('Equipment Information'!C172="","", 'Equipment Information'!C172)</f>
        <v/>
      </c>
      <c r="H172" t="str">
        <f t="shared" si="2"/>
        <v/>
      </c>
    </row>
    <row r="173" spans="1:8" x14ac:dyDescent="0.25">
      <c r="A173" t="str">
        <f>IF('Equipment Information'!A173="","", 'Equipment Information'!A173)</f>
        <v/>
      </c>
      <c r="B173" t="str">
        <f>IF('Equipment Information'!B173="","", 'Equipment Information'!B173)</f>
        <v/>
      </c>
      <c r="C173" t="str">
        <f>IF('Equipment Information'!C173="","", 'Equipment Information'!C173)</f>
        <v/>
      </c>
      <c r="H173" t="str">
        <f t="shared" si="2"/>
        <v/>
      </c>
    </row>
    <row r="174" spans="1:8" x14ac:dyDescent="0.25">
      <c r="A174" t="str">
        <f>IF('Equipment Information'!A174="","", 'Equipment Information'!A174)</f>
        <v/>
      </c>
      <c r="B174" t="str">
        <f>IF('Equipment Information'!B174="","", 'Equipment Information'!B174)</f>
        <v/>
      </c>
      <c r="C174" t="str">
        <f>IF('Equipment Information'!C174="","", 'Equipment Information'!C174)</f>
        <v/>
      </c>
      <c r="H174" t="str">
        <f t="shared" si="2"/>
        <v/>
      </c>
    </row>
    <row r="175" spans="1:8" x14ac:dyDescent="0.25">
      <c r="A175" t="str">
        <f>IF('Equipment Information'!A175="","", 'Equipment Information'!A175)</f>
        <v/>
      </c>
      <c r="B175" t="str">
        <f>IF('Equipment Information'!B175="","", 'Equipment Information'!B175)</f>
        <v/>
      </c>
      <c r="C175" t="str">
        <f>IF('Equipment Information'!C175="","", 'Equipment Information'!C175)</f>
        <v/>
      </c>
      <c r="H175" t="str">
        <f t="shared" si="2"/>
        <v/>
      </c>
    </row>
    <row r="176" spans="1:8" x14ac:dyDescent="0.25">
      <c r="A176" t="str">
        <f>IF('Equipment Information'!A176="","", 'Equipment Information'!A176)</f>
        <v/>
      </c>
      <c r="B176" t="str">
        <f>IF('Equipment Information'!B176="","", 'Equipment Information'!B176)</f>
        <v/>
      </c>
      <c r="C176" t="str">
        <f>IF('Equipment Information'!C176="","", 'Equipment Information'!C176)</f>
        <v/>
      </c>
      <c r="H176" t="str">
        <f t="shared" si="2"/>
        <v/>
      </c>
    </row>
    <row r="177" spans="1:8" x14ac:dyDescent="0.25">
      <c r="A177" t="str">
        <f>IF('Equipment Information'!A177="","", 'Equipment Information'!A177)</f>
        <v/>
      </c>
      <c r="B177" t="str">
        <f>IF('Equipment Information'!B177="","", 'Equipment Information'!B177)</f>
        <v/>
      </c>
      <c r="C177" t="str">
        <f>IF('Equipment Information'!C177="","", 'Equipment Information'!C177)</f>
        <v/>
      </c>
      <c r="H177" t="str">
        <f t="shared" si="2"/>
        <v/>
      </c>
    </row>
    <row r="178" spans="1:8" x14ac:dyDescent="0.25">
      <c r="A178" t="str">
        <f>IF('Equipment Information'!A178="","", 'Equipment Information'!A178)</f>
        <v/>
      </c>
      <c r="B178" t="str">
        <f>IF('Equipment Information'!B178="","", 'Equipment Information'!B178)</f>
        <v/>
      </c>
      <c r="C178" t="str">
        <f>IF('Equipment Information'!C178="","", 'Equipment Information'!C178)</f>
        <v/>
      </c>
      <c r="H178" t="str">
        <f t="shared" si="2"/>
        <v/>
      </c>
    </row>
    <row r="179" spans="1:8" x14ac:dyDescent="0.25">
      <c r="A179" t="str">
        <f>IF('Equipment Information'!A179="","", 'Equipment Information'!A179)</f>
        <v/>
      </c>
      <c r="B179" t="str">
        <f>IF('Equipment Information'!B179="","", 'Equipment Information'!B179)</f>
        <v/>
      </c>
      <c r="C179" t="str">
        <f>IF('Equipment Information'!C179="","", 'Equipment Information'!C179)</f>
        <v/>
      </c>
      <c r="H179" t="str">
        <f t="shared" si="2"/>
        <v/>
      </c>
    </row>
    <row r="180" spans="1:8" x14ac:dyDescent="0.25">
      <c r="A180" t="str">
        <f>IF('Equipment Information'!A180="","", 'Equipment Information'!A180)</f>
        <v/>
      </c>
      <c r="B180" t="str">
        <f>IF('Equipment Information'!B180="","", 'Equipment Information'!B180)</f>
        <v/>
      </c>
      <c r="C180" t="str">
        <f>IF('Equipment Information'!C180="","", 'Equipment Information'!C180)</f>
        <v/>
      </c>
      <c r="H180" t="str">
        <f t="shared" si="2"/>
        <v/>
      </c>
    </row>
    <row r="181" spans="1:8" x14ac:dyDescent="0.25">
      <c r="A181" t="str">
        <f>IF('Equipment Information'!A181="","", 'Equipment Information'!A181)</f>
        <v/>
      </c>
      <c r="B181" t="str">
        <f>IF('Equipment Information'!B181="","", 'Equipment Information'!B181)</f>
        <v/>
      </c>
      <c r="C181" t="str">
        <f>IF('Equipment Information'!C181="","", 'Equipment Information'!C181)</f>
        <v/>
      </c>
      <c r="H181" t="str">
        <f t="shared" si="2"/>
        <v/>
      </c>
    </row>
    <row r="182" spans="1:8" x14ac:dyDescent="0.25">
      <c r="A182" t="str">
        <f>IF('Equipment Information'!A182="","", 'Equipment Information'!A182)</f>
        <v/>
      </c>
      <c r="B182" t="str">
        <f>IF('Equipment Information'!B182="","", 'Equipment Information'!B182)</f>
        <v/>
      </c>
      <c r="C182" t="str">
        <f>IF('Equipment Information'!C182="","", 'Equipment Information'!C182)</f>
        <v/>
      </c>
      <c r="H182" t="str">
        <f t="shared" si="2"/>
        <v/>
      </c>
    </row>
    <row r="183" spans="1:8" x14ac:dyDescent="0.25">
      <c r="A183" t="str">
        <f>IF('Equipment Information'!A183="","", 'Equipment Information'!A183)</f>
        <v/>
      </c>
      <c r="B183" t="str">
        <f>IF('Equipment Information'!B183="","", 'Equipment Information'!B183)</f>
        <v/>
      </c>
      <c r="C183" t="str">
        <f>IF('Equipment Information'!C183="","", 'Equipment Information'!C183)</f>
        <v/>
      </c>
      <c r="H183" t="str">
        <f t="shared" si="2"/>
        <v/>
      </c>
    </row>
    <row r="184" spans="1:8" x14ac:dyDescent="0.25">
      <c r="A184" t="str">
        <f>IF('Equipment Information'!A184="","", 'Equipment Information'!A184)</f>
        <v/>
      </c>
      <c r="B184" t="str">
        <f>IF('Equipment Information'!B184="","", 'Equipment Information'!B184)</f>
        <v/>
      </c>
      <c r="C184" t="str">
        <f>IF('Equipment Information'!C184="","", 'Equipment Information'!C184)</f>
        <v/>
      </c>
      <c r="H184" t="str">
        <f t="shared" si="2"/>
        <v/>
      </c>
    </row>
    <row r="185" spans="1:8" x14ac:dyDescent="0.25">
      <c r="A185" t="str">
        <f>IF('Equipment Information'!A185="","", 'Equipment Information'!A185)</f>
        <v/>
      </c>
      <c r="B185" t="str">
        <f>IF('Equipment Information'!B185="","", 'Equipment Information'!B185)</f>
        <v/>
      </c>
      <c r="C185" t="str">
        <f>IF('Equipment Information'!C185="","", 'Equipment Information'!C185)</f>
        <v/>
      </c>
      <c r="H185" t="str">
        <f t="shared" si="2"/>
        <v/>
      </c>
    </row>
    <row r="186" spans="1:8" x14ac:dyDescent="0.25">
      <c r="A186" t="str">
        <f>IF('Equipment Information'!A186="","", 'Equipment Information'!A186)</f>
        <v/>
      </c>
      <c r="B186" t="str">
        <f>IF('Equipment Information'!B186="","", 'Equipment Information'!B186)</f>
        <v/>
      </c>
      <c r="C186" t="str">
        <f>IF('Equipment Information'!C186="","", 'Equipment Information'!C186)</f>
        <v/>
      </c>
      <c r="H186" t="str">
        <f t="shared" si="2"/>
        <v/>
      </c>
    </row>
    <row r="187" spans="1:8" x14ac:dyDescent="0.25">
      <c r="A187" t="str">
        <f>IF('Equipment Information'!A187="","", 'Equipment Information'!A187)</f>
        <v/>
      </c>
      <c r="B187" t="str">
        <f>IF('Equipment Information'!B187="","", 'Equipment Information'!B187)</f>
        <v/>
      </c>
      <c r="C187" t="str">
        <f>IF('Equipment Information'!C187="","", 'Equipment Information'!C187)</f>
        <v/>
      </c>
      <c r="H187" t="str">
        <f t="shared" si="2"/>
        <v/>
      </c>
    </row>
    <row r="188" spans="1:8" x14ac:dyDescent="0.25">
      <c r="A188" t="str">
        <f>IF('Equipment Information'!A188="","", 'Equipment Information'!A188)</f>
        <v/>
      </c>
      <c r="B188" t="str">
        <f>IF('Equipment Information'!B188="","", 'Equipment Information'!B188)</f>
        <v/>
      </c>
      <c r="C188" t="str">
        <f>IF('Equipment Information'!C188="","", 'Equipment Information'!C188)</f>
        <v/>
      </c>
      <c r="H188" t="str">
        <f t="shared" si="2"/>
        <v/>
      </c>
    </row>
    <row r="189" spans="1:8" x14ac:dyDescent="0.25">
      <c r="A189" t="str">
        <f>IF('Equipment Information'!A189="","", 'Equipment Information'!A189)</f>
        <v/>
      </c>
      <c r="B189" t="str">
        <f>IF('Equipment Information'!B189="","", 'Equipment Information'!B189)</f>
        <v/>
      </c>
      <c r="C189" t="str">
        <f>IF('Equipment Information'!C189="","", 'Equipment Information'!C189)</f>
        <v/>
      </c>
      <c r="H189" t="str">
        <f t="shared" si="2"/>
        <v/>
      </c>
    </row>
    <row r="190" spans="1:8" x14ac:dyDescent="0.25">
      <c r="A190" t="str">
        <f>IF('Equipment Information'!A190="","", 'Equipment Information'!A190)</f>
        <v/>
      </c>
      <c r="B190" t="str">
        <f>IF('Equipment Information'!B190="","", 'Equipment Information'!B190)</f>
        <v/>
      </c>
      <c r="C190" t="str">
        <f>IF('Equipment Information'!C190="","", 'Equipment Information'!C190)</f>
        <v/>
      </c>
      <c r="H190" t="str">
        <f t="shared" si="2"/>
        <v/>
      </c>
    </row>
    <row r="191" spans="1:8" x14ac:dyDescent="0.25">
      <c r="A191" t="str">
        <f>IF('Equipment Information'!A191="","", 'Equipment Information'!A191)</f>
        <v/>
      </c>
      <c r="B191" t="str">
        <f>IF('Equipment Information'!B191="","", 'Equipment Information'!B191)</f>
        <v/>
      </c>
      <c r="C191" t="str">
        <f>IF('Equipment Information'!C191="","", 'Equipment Information'!C191)</f>
        <v/>
      </c>
      <c r="H191" t="str">
        <f t="shared" si="2"/>
        <v/>
      </c>
    </row>
    <row r="192" spans="1:8" x14ac:dyDescent="0.25">
      <c r="A192" t="str">
        <f>IF('Equipment Information'!A192="","", 'Equipment Information'!A192)</f>
        <v/>
      </c>
      <c r="B192" t="str">
        <f>IF('Equipment Information'!B192="","", 'Equipment Information'!B192)</f>
        <v/>
      </c>
      <c r="C192" t="str">
        <f>IF('Equipment Information'!C192="","", 'Equipment Information'!C192)</f>
        <v/>
      </c>
      <c r="H192" t="str">
        <f t="shared" si="2"/>
        <v/>
      </c>
    </row>
    <row r="193" spans="1:8" x14ac:dyDescent="0.25">
      <c r="A193" t="str">
        <f>IF('Equipment Information'!A193="","", 'Equipment Information'!A193)</f>
        <v/>
      </c>
      <c r="B193" t="str">
        <f>IF('Equipment Information'!B193="","", 'Equipment Information'!B193)</f>
        <v/>
      </c>
      <c r="C193" t="str">
        <f>IF('Equipment Information'!C193="","", 'Equipment Information'!C193)</f>
        <v/>
      </c>
      <c r="H193" t="str">
        <f t="shared" si="2"/>
        <v/>
      </c>
    </row>
    <row r="194" spans="1:8" x14ac:dyDescent="0.25">
      <c r="A194" t="str">
        <f>IF('Equipment Information'!A194="","", 'Equipment Information'!A194)</f>
        <v/>
      </c>
      <c r="B194" t="str">
        <f>IF('Equipment Information'!B194="","", 'Equipment Information'!B194)</f>
        <v/>
      </c>
      <c r="C194" t="str">
        <f>IF('Equipment Information'!C194="","", 'Equipment Information'!C194)</f>
        <v/>
      </c>
      <c r="H194" t="str">
        <f t="shared" ref="H194:H257" si="3">IF(A194="","","N/A")</f>
        <v/>
      </c>
    </row>
    <row r="195" spans="1:8" x14ac:dyDescent="0.25">
      <c r="A195" t="str">
        <f>IF('Equipment Information'!A195="","", 'Equipment Information'!A195)</f>
        <v/>
      </c>
      <c r="B195" t="str">
        <f>IF('Equipment Information'!B195="","", 'Equipment Information'!B195)</f>
        <v/>
      </c>
      <c r="C195" t="str">
        <f>IF('Equipment Information'!C195="","", 'Equipment Information'!C195)</f>
        <v/>
      </c>
      <c r="H195" t="str">
        <f t="shared" si="3"/>
        <v/>
      </c>
    </row>
    <row r="196" spans="1:8" x14ac:dyDescent="0.25">
      <c r="A196" t="str">
        <f>IF('Equipment Information'!A196="","", 'Equipment Information'!A196)</f>
        <v/>
      </c>
      <c r="B196" t="str">
        <f>IF('Equipment Information'!B196="","", 'Equipment Information'!B196)</f>
        <v/>
      </c>
      <c r="C196" t="str">
        <f>IF('Equipment Information'!C196="","", 'Equipment Information'!C196)</f>
        <v/>
      </c>
      <c r="H196" t="str">
        <f t="shared" si="3"/>
        <v/>
      </c>
    </row>
    <row r="197" spans="1:8" x14ac:dyDescent="0.25">
      <c r="A197" t="str">
        <f>IF('Equipment Information'!A197="","", 'Equipment Information'!A197)</f>
        <v/>
      </c>
      <c r="B197" t="str">
        <f>IF('Equipment Information'!B197="","", 'Equipment Information'!B197)</f>
        <v/>
      </c>
      <c r="C197" t="str">
        <f>IF('Equipment Information'!C197="","", 'Equipment Information'!C197)</f>
        <v/>
      </c>
      <c r="H197" t="str">
        <f t="shared" si="3"/>
        <v/>
      </c>
    </row>
    <row r="198" spans="1:8" x14ac:dyDescent="0.25">
      <c r="A198" t="str">
        <f>IF('Equipment Information'!A198="","", 'Equipment Information'!A198)</f>
        <v/>
      </c>
      <c r="B198" t="str">
        <f>IF('Equipment Information'!B198="","", 'Equipment Information'!B198)</f>
        <v/>
      </c>
      <c r="C198" t="str">
        <f>IF('Equipment Information'!C198="","", 'Equipment Information'!C198)</f>
        <v/>
      </c>
      <c r="H198" t="str">
        <f t="shared" si="3"/>
        <v/>
      </c>
    </row>
    <row r="199" spans="1:8" x14ac:dyDescent="0.25">
      <c r="A199" t="str">
        <f>IF('Equipment Information'!A199="","", 'Equipment Information'!A199)</f>
        <v/>
      </c>
      <c r="B199" t="str">
        <f>IF('Equipment Information'!B199="","", 'Equipment Information'!B199)</f>
        <v/>
      </c>
      <c r="C199" t="str">
        <f>IF('Equipment Information'!C199="","", 'Equipment Information'!C199)</f>
        <v/>
      </c>
      <c r="H199" t="str">
        <f t="shared" si="3"/>
        <v/>
      </c>
    </row>
    <row r="200" spans="1:8" x14ac:dyDescent="0.25">
      <c r="A200" t="str">
        <f>IF('Equipment Information'!A200="","", 'Equipment Information'!A200)</f>
        <v/>
      </c>
      <c r="B200" t="str">
        <f>IF('Equipment Information'!B200="","", 'Equipment Information'!B200)</f>
        <v/>
      </c>
      <c r="C200" t="str">
        <f>IF('Equipment Information'!C200="","", 'Equipment Information'!C200)</f>
        <v/>
      </c>
      <c r="H200" t="str">
        <f t="shared" si="3"/>
        <v/>
      </c>
    </row>
    <row r="201" spans="1:8" x14ac:dyDescent="0.25">
      <c r="A201" t="str">
        <f>IF('Equipment Information'!A201="","", 'Equipment Information'!A201)</f>
        <v/>
      </c>
      <c r="B201" t="str">
        <f>IF('Equipment Information'!B201="","", 'Equipment Information'!B201)</f>
        <v/>
      </c>
      <c r="C201" t="str">
        <f>IF('Equipment Information'!C201="","", 'Equipment Information'!C201)</f>
        <v/>
      </c>
      <c r="H201" t="str">
        <f t="shared" si="3"/>
        <v/>
      </c>
    </row>
    <row r="202" spans="1:8" x14ac:dyDescent="0.25">
      <c r="A202" t="str">
        <f>IF('Equipment Information'!A202="","", 'Equipment Information'!A202)</f>
        <v/>
      </c>
      <c r="B202" t="str">
        <f>IF('Equipment Information'!B202="","", 'Equipment Information'!B202)</f>
        <v/>
      </c>
      <c r="C202" t="str">
        <f>IF('Equipment Information'!C202="","", 'Equipment Information'!C202)</f>
        <v/>
      </c>
      <c r="H202" t="str">
        <f t="shared" si="3"/>
        <v/>
      </c>
    </row>
    <row r="203" spans="1:8" x14ac:dyDescent="0.25">
      <c r="A203" t="str">
        <f>IF('Equipment Information'!A203="","", 'Equipment Information'!A203)</f>
        <v/>
      </c>
      <c r="B203" t="str">
        <f>IF('Equipment Information'!B203="","", 'Equipment Information'!B203)</f>
        <v/>
      </c>
      <c r="C203" t="str">
        <f>IF('Equipment Information'!C203="","", 'Equipment Information'!C203)</f>
        <v/>
      </c>
      <c r="H203" t="str">
        <f t="shared" si="3"/>
        <v/>
      </c>
    </row>
    <row r="204" spans="1:8" x14ac:dyDescent="0.25">
      <c r="A204" t="str">
        <f>IF('Equipment Information'!A204="","", 'Equipment Information'!A204)</f>
        <v/>
      </c>
      <c r="B204" t="str">
        <f>IF('Equipment Information'!B204="","", 'Equipment Information'!B204)</f>
        <v/>
      </c>
      <c r="C204" t="str">
        <f>IF('Equipment Information'!C204="","", 'Equipment Information'!C204)</f>
        <v/>
      </c>
      <c r="H204" t="str">
        <f t="shared" si="3"/>
        <v/>
      </c>
    </row>
    <row r="205" spans="1:8" x14ac:dyDescent="0.25">
      <c r="A205" t="str">
        <f>IF('Equipment Information'!A205="","", 'Equipment Information'!A205)</f>
        <v/>
      </c>
      <c r="B205" t="str">
        <f>IF('Equipment Information'!B205="","", 'Equipment Information'!B205)</f>
        <v/>
      </c>
      <c r="C205" t="str">
        <f>IF('Equipment Information'!C205="","", 'Equipment Information'!C205)</f>
        <v/>
      </c>
      <c r="H205" t="str">
        <f t="shared" si="3"/>
        <v/>
      </c>
    </row>
    <row r="206" spans="1:8" x14ac:dyDescent="0.25">
      <c r="A206" t="str">
        <f>IF('Equipment Information'!A206="","", 'Equipment Information'!A206)</f>
        <v/>
      </c>
      <c r="B206" t="str">
        <f>IF('Equipment Information'!B206="","", 'Equipment Information'!B206)</f>
        <v/>
      </c>
      <c r="C206" t="str">
        <f>IF('Equipment Information'!C206="","", 'Equipment Information'!C206)</f>
        <v/>
      </c>
      <c r="H206" t="str">
        <f t="shared" si="3"/>
        <v/>
      </c>
    </row>
    <row r="207" spans="1:8" x14ac:dyDescent="0.25">
      <c r="A207" t="str">
        <f>IF('Equipment Information'!A207="","", 'Equipment Information'!A207)</f>
        <v/>
      </c>
      <c r="B207" t="str">
        <f>IF('Equipment Information'!B207="","", 'Equipment Information'!B207)</f>
        <v/>
      </c>
      <c r="C207" t="str">
        <f>IF('Equipment Information'!C207="","", 'Equipment Information'!C207)</f>
        <v/>
      </c>
      <c r="H207" t="str">
        <f t="shared" si="3"/>
        <v/>
      </c>
    </row>
    <row r="208" spans="1:8" x14ac:dyDescent="0.25">
      <c r="A208" t="str">
        <f>IF('Equipment Information'!A208="","", 'Equipment Information'!A208)</f>
        <v/>
      </c>
      <c r="B208" t="str">
        <f>IF('Equipment Information'!B208="","", 'Equipment Information'!B208)</f>
        <v/>
      </c>
      <c r="C208" t="str">
        <f>IF('Equipment Information'!C208="","", 'Equipment Information'!C208)</f>
        <v/>
      </c>
      <c r="H208" t="str">
        <f t="shared" si="3"/>
        <v/>
      </c>
    </row>
    <row r="209" spans="1:8" x14ac:dyDescent="0.25">
      <c r="A209" t="str">
        <f>IF('Equipment Information'!A209="","", 'Equipment Information'!A209)</f>
        <v/>
      </c>
      <c r="B209" t="str">
        <f>IF('Equipment Information'!B209="","", 'Equipment Information'!B209)</f>
        <v/>
      </c>
      <c r="C209" t="str">
        <f>IF('Equipment Information'!C209="","", 'Equipment Information'!C209)</f>
        <v/>
      </c>
      <c r="H209" t="str">
        <f t="shared" si="3"/>
        <v/>
      </c>
    </row>
    <row r="210" spans="1:8" x14ac:dyDescent="0.25">
      <c r="A210" t="str">
        <f>IF('Equipment Information'!A210="","", 'Equipment Information'!A210)</f>
        <v/>
      </c>
      <c r="B210" t="str">
        <f>IF('Equipment Information'!B210="","", 'Equipment Information'!B210)</f>
        <v/>
      </c>
      <c r="C210" t="str">
        <f>IF('Equipment Information'!C210="","", 'Equipment Information'!C210)</f>
        <v/>
      </c>
      <c r="H210" t="str">
        <f t="shared" si="3"/>
        <v/>
      </c>
    </row>
    <row r="211" spans="1:8" x14ac:dyDescent="0.25">
      <c r="A211" t="str">
        <f>IF('Equipment Information'!A211="","", 'Equipment Information'!A211)</f>
        <v/>
      </c>
      <c r="B211" t="str">
        <f>IF('Equipment Information'!B211="","", 'Equipment Information'!B211)</f>
        <v/>
      </c>
      <c r="C211" t="str">
        <f>IF('Equipment Information'!C211="","", 'Equipment Information'!C211)</f>
        <v/>
      </c>
      <c r="H211" t="str">
        <f t="shared" si="3"/>
        <v/>
      </c>
    </row>
    <row r="212" spans="1:8" x14ac:dyDescent="0.25">
      <c r="A212" t="str">
        <f>IF('Equipment Information'!A212="","", 'Equipment Information'!A212)</f>
        <v/>
      </c>
      <c r="B212" t="str">
        <f>IF('Equipment Information'!B212="","", 'Equipment Information'!B212)</f>
        <v/>
      </c>
      <c r="C212" t="str">
        <f>IF('Equipment Information'!C212="","", 'Equipment Information'!C212)</f>
        <v/>
      </c>
      <c r="H212" t="str">
        <f t="shared" si="3"/>
        <v/>
      </c>
    </row>
    <row r="213" spans="1:8" x14ac:dyDescent="0.25">
      <c r="A213" t="str">
        <f>IF('Equipment Information'!A213="","", 'Equipment Information'!A213)</f>
        <v/>
      </c>
      <c r="B213" t="str">
        <f>IF('Equipment Information'!B213="","", 'Equipment Information'!B213)</f>
        <v/>
      </c>
      <c r="C213" t="str">
        <f>IF('Equipment Information'!C213="","", 'Equipment Information'!C213)</f>
        <v/>
      </c>
      <c r="H213" t="str">
        <f t="shared" si="3"/>
        <v/>
      </c>
    </row>
    <row r="214" spans="1:8" x14ac:dyDescent="0.25">
      <c r="A214" t="str">
        <f>IF('Equipment Information'!A214="","", 'Equipment Information'!A214)</f>
        <v/>
      </c>
      <c r="B214" t="str">
        <f>IF('Equipment Information'!B214="","", 'Equipment Information'!B214)</f>
        <v/>
      </c>
      <c r="C214" t="str">
        <f>IF('Equipment Information'!C214="","", 'Equipment Information'!C214)</f>
        <v/>
      </c>
      <c r="H214" t="str">
        <f t="shared" si="3"/>
        <v/>
      </c>
    </row>
    <row r="215" spans="1:8" x14ac:dyDescent="0.25">
      <c r="A215" t="str">
        <f>IF('Equipment Information'!A215="","", 'Equipment Information'!A215)</f>
        <v/>
      </c>
      <c r="B215" t="str">
        <f>IF('Equipment Information'!B215="","", 'Equipment Information'!B215)</f>
        <v/>
      </c>
      <c r="C215" t="str">
        <f>IF('Equipment Information'!C215="","", 'Equipment Information'!C215)</f>
        <v/>
      </c>
      <c r="H215" t="str">
        <f t="shared" si="3"/>
        <v/>
      </c>
    </row>
    <row r="216" spans="1:8" x14ac:dyDescent="0.25">
      <c r="A216" t="str">
        <f>IF('Equipment Information'!A216="","", 'Equipment Information'!A216)</f>
        <v/>
      </c>
      <c r="B216" t="str">
        <f>IF('Equipment Information'!B216="","", 'Equipment Information'!B216)</f>
        <v/>
      </c>
      <c r="C216" t="str">
        <f>IF('Equipment Information'!C216="","", 'Equipment Information'!C216)</f>
        <v/>
      </c>
      <c r="H216" t="str">
        <f t="shared" si="3"/>
        <v/>
      </c>
    </row>
    <row r="217" spans="1:8" x14ac:dyDescent="0.25">
      <c r="A217" t="str">
        <f>IF('Equipment Information'!A217="","", 'Equipment Information'!A217)</f>
        <v/>
      </c>
      <c r="B217" t="str">
        <f>IF('Equipment Information'!B217="","", 'Equipment Information'!B217)</f>
        <v/>
      </c>
      <c r="C217" t="str">
        <f>IF('Equipment Information'!C217="","", 'Equipment Information'!C217)</f>
        <v/>
      </c>
      <c r="H217" t="str">
        <f t="shared" si="3"/>
        <v/>
      </c>
    </row>
    <row r="218" spans="1:8" x14ac:dyDescent="0.25">
      <c r="A218" t="str">
        <f>IF('Equipment Information'!A218="","", 'Equipment Information'!A218)</f>
        <v/>
      </c>
      <c r="B218" t="str">
        <f>IF('Equipment Information'!B218="","", 'Equipment Information'!B218)</f>
        <v/>
      </c>
      <c r="C218" t="str">
        <f>IF('Equipment Information'!C218="","", 'Equipment Information'!C218)</f>
        <v/>
      </c>
      <c r="H218" t="str">
        <f t="shared" si="3"/>
        <v/>
      </c>
    </row>
    <row r="219" spans="1:8" x14ac:dyDescent="0.25">
      <c r="A219" t="str">
        <f>IF('Equipment Information'!A219="","", 'Equipment Information'!A219)</f>
        <v/>
      </c>
      <c r="B219" t="str">
        <f>IF('Equipment Information'!B219="","", 'Equipment Information'!B219)</f>
        <v/>
      </c>
      <c r="C219" t="str">
        <f>IF('Equipment Information'!C219="","", 'Equipment Information'!C219)</f>
        <v/>
      </c>
      <c r="H219" t="str">
        <f t="shared" si="3"/>
        <v/>
      </c>
    </row>
    <row r="220" spans="1:8" x14ac:dyDescent="0.25">
      <c r="A220" t="str">
        <f>IF('Equipment Information'!A220="","", 'Equipment Information'!A220)</f>
        <v/>
      </c>
      <c r="B220" t="str">
        <f>IF('Equipment Information'!B220="","", 'Equipment Information'!B220)</f>
        <v/>
      </c>
      <c r="C220" t="str">
        <f>IF('Equipment Information'!C220="","", 'Equipment Information'!C220)</f>
        <v/>
      </c>
      <c r="H220" t="str">
        <f t="shared" si="3"/>
        <v/>
      </c>
    </row>
    <row r="221" spans="1:8" x14ac:dyDescent="0.25">
      <c r="A221" t="str">
        <f>IF('Equipment Information'!A221="","", 'Equipment Information'!A221)</f>
        <v/>
      </c>
      <c r="B221" t="str">
        <f>IF('Equipment Information'!B221="","", 'Equipment Information'!B221)</f>
        <v/>
      </c>
      <c r="C221" t="str">
        <f>IF('Equipment Information'!C221="","", 'Equipment Information'!C221)</f>
        <v/>
      </c>
      <c r="H221" t="str">
        <f t="shared" si="3"/>
        <v/>
      </c>
    </row>
    <row r="222" spans="1:8" x14ac:dyDescent="0.25">
      <c r="A222" t="str">
        <f>IF('Equipment Information'!A222="","", 'Equipment Information'!A222)</f>
        <v/>
      </c>
      <c r="B222" t="str">
        <f>IF('Equipment Information'!B222="","", 'Equipment Information'!B222)</f>
        <v/>
      </c>
      <c r="C222" t="str">
        <f>IF('Equipment Information'!C222="","", 'Equipment Information'!C222)</f>
        <v/>
      </c>
      <c r="H222" t="str">
        <f t="shared" si="3"/>
        <v/>
      </c>
    </row>
    <row r="223" spans="1:8" x14ac:dyDescent="0.25">
      <c r="A223" t="str">
        <f>IF('Equipment Information'!A223="","", 'Equipment Information'!A223)</f>
        <v/>
      </c>
      <c r="B223" t="str">
        <f>IF('Equipment Information'!B223="","", 'Equipment Information'!B223)</f>
        <v/>
      </c>
      <c r="C223" t="str">
        <f>IF('Equipment Information'!C223="","", 'Equipment Information'!C223)</f>
        <v/>
      </c>
      <c r="H223" t="str">
        <f t="shared" si="3"/>
        <v/>
      </c>
    </row>
    <row r="224" spans="1:8" x14ac:dyDescent="0.25">
      <c r="A224" t="str">
        <f>IF('Equipment Information'!A224="","", 'Equipment Information'!A224)</f>
        <v/>
      </c>
      <c r="B224" t="str">
        <f>IF('Equipment Information'!B224="","", 'Equipment Information'!B224)</f>
        <v/>
      </c>
      <c r="C224" t="str">
        <f>IF('Equipment Information'!C224="","", 'Equipment Information'!C224)</f>
        <v/>
      </c>
      <c r="H224" t="str">
        <f t="shared" si="3"/>
        <v/>
      </c>
    </row>
    <row r="225" spans="1:8" x14ac:dyDescent="0.25">
      <c r="A225" t="str">
        <f>IF('Equipment Information'!A225="","", 'Equipment Information'!A225)</f>
        <v/>
      </c>
      <c r="B225" t="str">
        <f>IF('Equipment Information'!B225="","", 'Equipment Information'!B225)</f>
        <v/>
      </c>
      <c r="C225" t="str">
        <f>IF('Equipment Information'!C225="","", 'Equipment Information'!C225)</f>
        <v/>
      </c>
      <c r="H225" t="str">
        <f t="shared" si="3"/>
        <v/>
      </c>
    </row>
    <row r="226" spans="1:8" x14ac:dyDescent="0.25">
      <c r="A226" t="str">
        <f>IF('Equipment Information'!A226="","", 'Equipment Information'!A226)</f>
        <v/>
      </c>
      <c r="B226" t="str">
        <f>IF('Equipment Information'!B226="","", 'Equipment Information'!B226)</f>
        <v/>
      </c>
      <c r="C226" t="str">
        <f>IF('Equipment Information'!C226="","", 'Equipment Information'!C226)</f>
        <v/>
      </c>
      <c r="H226" t="str">
        <f t="shared" si="3"/>
        <v/>
      </c>
    </row>
    <row r="227" spans="1:8" x14ac:dyDescent="0.25">
      <c r="A227" t="str">
        <f>IF('Equipment Information'!A227="","", 'Equipment Information'!A227)</f>
        <v/>
      </c>
      <c r="B227" t="str">
        <f>IF('Equipment Information'!B227="","", 'Equipment Information'!B227)</f>
        <v/>
      </c>
      <c r="C227" t="str">
        <f>IF('Equipment Information'!C227="","", 'Equipment Information'!C227)</f>
        <v/>
      </c>
      <c r="H227" t="str">
        <f t="shared" si="3"/>
        <v/>
      </c>
    </row>
    <row r="228" spans="1:8" x14ac:dyDescent="0.25">
      <c r="A228" t="str">
        <f>IF('Equipment Information'!A228="","", 'Equipment Information'!A228)</f>
        <v/>
      </c>
      <c r="B228" t="str">
        <f>IF('Equipment Information'!B228="","", 'Equipment Information'!B228)</f>
        <v/>
      </c>
      <c r="C228" t="str">
        <f>IF('Equipment Information'!C228="","", 'Equipment Information'!C228)</f>
        <v/>
      </c>
      <c r="H228" t="str">
        <f t="shared" si="3"/>
        <v/>
      </c>
    </row>
    <row r="229" spans="1:8" x14ac:dyDescent="0.25">
      <c r="A229" t="str">
        <f>IF('Equipment Information'!A229="","", 'Equipment Information'!A229)</f>
        <v/>
      </c>
      <c r="B229" t="str">
        <f>IF('Equipment Information'!B229="","", 'Equipment Information'!B229)</f>
        <v/>
      </c>
      <c r="C229" t="str">
        <f>IF('Equipment Information'!C229="","", 'Equipment Information'!C229)</f>
        <v/>
      </c>
      <c r="H229" t="str">
        <f t="shared" si="3"/>
        <v/>
      </c>
    </row>
    <row r="230" spans="1:8" x14ac:dyDescent="0.25">
      <c r="A230" t="str">
        <f>IF('Equipment Information'!A230="","", 'Equipment Information'!A230)</f>
        <v/>
      </c>
      <c r="B230" t="str">
        <f>IF('Equipment Information'!B230="","", 'Equipment Information'!B230)</f>
        <v/>
      </c>
      <c r="C230" t="str">
        <f>IF('Equipment Information'!C230="","", 'Equipment Information'!C230)</f>
        <v/>
      </c>
      <c r="H230" t="str">
        <f t="shared" si="3"/>
        <v/>
      </c>
    </row>
    <row r="231" spans="1:8" x14ac:dyDescent="0.25">
      <c r="A231" t="str">
        <f>IF('Equipment Information'!A231="","", 'Equipment Information'!A231)</f>
        <v/>
      </c>
      <c r="B231" t="str">
        <f>IF('Equipment Information'!B231="","", 'Equipment Information'!B231)</f>
        <v/>
      </c>
      <c r="C231" t="str">
        <f>IF('Equipment Information'!C231="","", 'Equipment Information'!C231)</f>
        <v/>
      </c>
      <c r="H231" t="str">
        <f t="shared" si="3"/>
        <v/>
      </c>
    </row>
    <row r="232" spans="1:8" x14ac:dyDescent="0.25">
      <c r="A232" t="str">
        <f>IF('Equipment Information'!A232="","", 'Equipment Information'!A232)</f>
        <v/>
      </c>
      <c r="B232" t="str">
        <f>IF('Equipment Information'!B232="","", 'Equipment Information'!B232)</f>
        <v/>
      </c>
      <c r="C232" t="str">
        <f>IF('Equipment Information'!C232="","", 'Equipment Information'!C232)</f>
        <v/>
      </c>
      <c r="H232" t="str">
        <f t="shared" si="3"/>
        <v/>
      </c>
    </row>
    <row r="233" spans="1:8" x14ac:dyDescent="0.25">
      <c r="A233" t="str">
        <f>IF('Equipment Information'!A233="","", 'Equipment Information'!A233)</f>
        <v/>
      </c>
      <c r="B233" t="str">
        <f>IF('Equipment Information'!B233="","", 'Equipment Information'!B233)</f>
        <v/>
      </c>
      <c r="C233" t="str">
        <f>IF('Equipment Information'!C233="","", 'Equipment Information'!C233)</f>
        <v/>
      </c>
      <c r="H233" t="str">
        <f t="shared" si="3"/>
        <v/>
      </c>
    </row>
    <row r="234" spans="1:8" x14ac:dyDescent="0.25">
      <c r="A234" t="str">
        <f>IF('Equipment Information'!A234="","", 'Equipment Information'!A234)</f>
        <v/>
      </c>
      <c r="B234" t="str">
        <f>IF('Equipment Information'!B234="","", 'Equipment Information'!B234)</f>
        <v/>
      </c>
      <c r="C234" t="str">
        <f>IF('Equipment Information'!C234="","", 'Equipment Information'!C234)</f>
        <v/>
      </c>
      <c r="H234" t="str">
        <f t="shared" si="3"/>
        <v/>
      </c>
    </row>
    <row r="235" spans="1:8" x14ac:dyDescent="0.25">
      <c r="A235" t="str">
        <f>IF('Equipment Information'!A235="","", 'Equipment Information'!A235)</f>
        <v/>
      </c>
      <c r="B235" t="str">
        <f>IF('Equipment Information'!B235="","", 'Equipment Information'!B235)</f>
        <v/>
      </c>
      <c r="C235" t="str">
        <f>IF('Equipment Information'!C235="","", 'Equipment Information'!C235)</f>
        <v/>
      </c>
      <c r="H235" t="str">
        <f t="shared" si="3"/>
        <v/>
      </c>
    </row>
    <row r="236" spans="1:8" x14ac:dyDescent="0.25">
      <c r="A236" t="str">
        <f>IF('Equipment Information'!A236="","", 'Equipment Information'!A236)</f>
        <v/>
      </c>
      <c r="B236" t="str">
        <f>IF('Equipment Information'!B236="","", 'Equipment Information'!B236)</f>
        <v/>
      </c>
      <c r="C236" t="str">
        <f>IF('Equipment Information'!C236="","", 'Equipment Information'!C236)</f>
        <v/>
      </c>
      <c r="H236" t="str">
        <f t="shared" si="3"/>
        <v/>
      </c>
    </row>
    <row r="237" spans="1:8" x14ac:dyDescent="0.25">
      <c r="A237" t="str">
        <f>IF('Equipment Information'!A237="","", 'Equipment Information'!A237)</f>
        <v/>
      </c>
      <c r="B237" t="str">
        <f>IF('Equipment Information'!B237="","", 'Equipment Information'!B237)</f>
        <v/>
      </c>
      <c r="C237" t="str">
        <f>IF('Equipment Information'!C237="","", 'Equipment Information'!C237)</f>
        <v/>
      </c>
      <c r="H237" t="str">
        <f t="shared" si="3"/>
        <v/>
      </c>
    </row>
    <row r="238" spans="1:8" x14ac:dyDescent="0.25">
      <c r="A238" t="str">
        <f>IF('Equipment Information'!A238="","", 'Equipment Information'!A238)</f>
        <v/>
      </c>
      <c r="B238" t="str">
        <f>IF('Equipment Information'!B238="","", 'Equipment Information'!B238)</f>
        <v/>
      </c>
      <c r="C238" t="str">
        <f>IF('Equipment Information'!C238="","", 'Equipment Information'!C238)</f>
        <v/>
      </c>
      <c r="H238" t="str">
        <f t="shared" si="3"/>
        <v/>
      </c>
    </row>
    <row r="239" spans="1:8" x14ac:dyDescent="0.25">
      <c r="A239" t="str">
        <f>IF('Equipment Information'!A239="","", 'Equipment Information'!A239)</f>
        <v/>
      </c>
      <c r="B239" t="str">
        <f>IF('Equipment Information'!B239="","", 'Equipment Information'!B239)</f>
        <v/>
      </c>
      <c r="C239" t="str">
        <f>IF('Equipment Information'!C239="","", 'Equipment Information'!C239)</f>
        <v/>
      </c>
      <c r="H239" t="str">
        <f t="shared" si="3"/>
        <v/>
      </c>
    </row>
    <row r="240" spans="1:8" x14ac:dyDescent="0.25">
      <c r="A240" t="str">
        <f>IF('Equipment Information'!A240="","", 'Equipment Information'!A240)</f>
        <v/>
      </c>
      <c r="B240" t="str">
        <f>IF('Equipment Information'!B240="","", 'Equipment Information'!B240)</f>
        <v/>
      </c>
      <c r="C240" t="str">
        <f>IF('Equipment Information'!C240="","", 'Equipment Information'!C240)</f>
        <v/>
      </c>
      <c r="H240" t="str">
        <f t="shared" si="3"/>
        <v/>
      </c>
    </row>
    <row r="241" spans="1:8" x14ac:dyDescent="0.25">
      <c r="A241" t="str">
        <f>IF('Equipment Information'!A241="","", 'Equipment Information'!A241)</f>
        <v/>
      </c>
      <c r="B241" t="str">
        <f>IF('Equipment Information'!B241="","", 'Equipment Information'!B241)</f>
        <v/>
      </c>
      <c r="C241" t="str">
        <f>IF('Equipment Information'!C241="","", 'Equipment Information'!C241)</f>
        <v/>
      </c>
      <c r="H241" t="str">
        <f t="shared" si="3"/>
        <v/>
      </c>
    </row>
    <row r="242" spans="1:8" x14ac:dyDescent="0.25">
      <c r="A242" t="str">
        <f>IF('Equipment Information'!A242="","", 'Equipment Information'!A242)</f>
        <v/>
      </c>
      <c r="B242" t="str">
        <f>IF('Equipment Information'!B242="","", 'Equipment Information'!B242)</f>
        <v/>
      </c>
      <c r="C242" t="str">
        <f>IF('Equipment Information'!C242="","", 'Equipment Information'!C242)</f>
        <v/>
      </c>
      <c r="H242" t="str">
        <f t="shared" si="3"/>
        <v/>
      </c>
    </row>
    <row r="243" spans="1:8" x14ac:dyDescent="0.25">
      <c r="A243" t="str">
        <f>IF('Equipment Information'!A243="","", 'Equipment Information'!A243)</f>
        <v/>
      </c>
      <c r="B243" t="str">
        <f>IF('Equipment Information'!B243="","", 'Equipment Information'!B243)</f>
        <v/>
      </c>
      <c r="C243" t="str">
        <f>IF('Equipment Information'!C243="","", 'Equipment Information'!C243)</f>
        <v/>
      </c>
      <c r="H243" t="str">
        <f t="shared" si="3"/>
        <v/>
      </c>
    </row>
    <row r="244" spans="1:8" x14ac:dyDescent="0.25">
      <c r="A244" t="str">
        <f>IF('Equipment Information'!A244="","", 'Equipment Information'!A244)</f>
        <v/>
      </c>
      <c r="B244" t="str">
        <f>IF('Equipment Information'!B244="","", 'Equipment Information'!B244)</f>
        <v/>
      </c>
      <c r="C244" t="str">
        <f>IF('Equipment Information'!C244="","", 'Equipment Information'!C244)</f>
        <v/>
      </c>
      <c r="H244" t="str">
        <f t="shared" si="3"/>
        <v/>
      </c>
    </row>
    <row r="245" spans="1:8" x14ac:dyDescent="0.25">
      <c r="A245" t="str">
        <f>IF('Equipment Information'!A245="","", 'Equipment Information'!A245)</f>
        <v/>
      </c>
      <c r="B245" t="str">
        <f>IF('Equipment Information'!B245="","", 'Equipment Information'!B245)</f>
        <v/>
      </c>
      <c r="C245" t="str">
        <f>IF('Equipment Information'!C245="","", 'Equipment Information'!C245)</f>
        <v/>
      </c>
      <c r="H245" t="str">
        <f t="shared" si="3"/>
        <v/>
      </c>
    </row>
    <row r="246" spans="1:8" x14ac:dyDescent="0.25">
      <c r="A246" t="str">
        <f>IF('Equipment Information'!A246="","", 'Equipment Information'!A246)</f>
        <v/>
      </c>
      <c r="B246" t="str">
        <f>IF('Equipment Information'!B246="","", 'Equipment Information'!B246)</f>
        <v/>
      </c>
      <c r="C246" t="str">
        <f>IF('Equipment Information'!C246="","", 'Equipment Information'!C246)</f>
        <v/>
      </c>
      <c r="H246" t="str">
        <f t="shared" si="3"/>
        <v/>
      </c>
    </row>
    <row r="247" spans="1:8" x14ac:dyDescent="0.25">
      <c r="A247" t="str">
        <f>IF('Equipment Information'!A247="","", 'Equipment Information'!A247)</f>
        <v/>
      </c>
      <c r="B247" t="str">
        <f>IF('Equipment Information'!B247="","", 'Equipment Information'!B247)</f>
        <v/>
      </c>
      <c r="C247" t="str">
        <f>IF('Equipment Information'!C247="","", 'Equipment Information'!C247)</f>
        <v/>
      </c>
      <c r="H247" t="str">
        <f t="shared" si="3"/>
        <v/>
      </c>
    </row>
    <row r="248" spans="1:8" x14ac:dyDescent="0.25">
      <c r="A248" t="str">
        <f>IF('Equipment Information'!A248="","", 'Equipment Information'!A248)</f>
        <v/>
      </c>
      <c r="B248" t="str">
        <f>IF('Equipment Information'!B248="","", 'Equipment Information'!B248)</f>
        <v/>
      </c>
      <c r="C248" t="str">
        <f>IF('Equipment Information'!C248="","", 'Equipment Information'!C248)</f>
        <v/>
      </c>
      <c r="H248" t="str">
        <f t="shared" si="3"/>
        <v/>
      </c>
    </row>
    <row r="249" spans="1:8" x14ac:dyDescent="0.25">
      <c r="A249" t="str">
        <f>IF('Equipment Information'!A249="","", 'Equipment Information'!A249)</f>
        <v/>
      </c>
      <c r="B249" t="str">
        <f>IF('Equipment Information'!B249="","", 'Equipment Information'!B249)</f>
        <v/>
      </c>
      <c r="C249" t="str">
        <f>IF('Equipment Information'!C249="","", 'Equipment Information'!C249)</f>
        <v/>
      </c>
      <c r="H249" t="str">
        <f t="shared" si="3"/>
        <v/>
      </c>
    </row>
    <row r="250" spans="1:8" x14ac:dyDescent="0.25">
      <c r="A250" t="str">
        <f>IF('Equipment Information'!A250="","", 'Equipment Information'!A250)</f>
        <v/>
      </c>
      <c r="B250" t="str">
        <f>IF('Equipment Information'!B250="","", 'Equipment Information'!B250)</f>
        <v/>
      </c>
      <c r="C250" t="str">
        <f>IF('Equipment Information'!C250="","", 'Equipment Information'!C250)</f>
        <v/>
      </c>
      <c r="H250" t="str">
        <f t="shared" si="3"/>
        <v/>
      </c>
    </row>
    <row r="251" spans="1:8" x14ac:dyDescent="0.25">
      <c r="A251" t="str">
        <f>IF('Equipment Information'!A251="","", 'Equipment Information'!A251)</f>
        <v/>
      </c>
      <c r="B251" t="str">
        <f>IF('Equipment Information'!B251="","", 'Equipment Information'!B251)</f>
        <v/>
      </c>
      <c r="C251" t="str">
        <f>IF('Equipment Information'!C251="","", 'Equipment Information'!C251)</f>
        <v/>
      </c>
      <c r="H251" t="str">
        <f t="shared" si="3"/>
        <v/>
      </c>
    </row>
    <row r="252" spans="1:8" x14ac:dyDescent="0.25">
      <c r="A252" t="str">
        <f>IF('Equipment Information'!A252="","", 'Equipment Information'!A252)</f>
        <v/>
      </c>
      <c r="B252" t="str">
        <f>IF('Equipment Information'!B252="","", 'Equipment Information'!B252)</f>
        <v/>
      </c>
      <c r="C252" t="str">
        <f>IF('Equipment Information'!C252="","", 'Equipment Information'!C252)</f>
        <v/>
      </c>
      <c r="H252" t="str">
        <f t="shared" si="3"/>
        <v/>
      </c>
    </row>
    <row r="253" spans="1:8" x14ac:dyDescent="0.25">
      <c r="A253" t="str">
        <f>IF('Equipment Information'!A253="","", 'Equipment Information'!A253)</f>
        <v/>
      </c>
      <c r="B253" t="str">
        <f>IF('Equipment Information'!B253="","", 'Equipment Information'!B253)</f>
        <v/>
      </c>
      <c r="C253" t="str">
        <f>IF('Equipment Information'!C253="","", 'Equipment Information'!C253)</f>
        <v/>
      </c>
      <c r="H253" t="str">
        <f t="shared" si="3"/>
        <v/>
      </c>
    </row>
    <row r="254" spans="1:8" x14ac:dyDescent="0.25">
      <c r="A254" t="str">
        <f>IF('Equipment Information'!A254="","", 'Equipment Information'!A254)</f>
        <v/>
      </c>
      <c r="B254" t="str">
        <f>IF('Equipment Information'!B254="","", 'Equipment Information'!B254)</f>
        <v/>
      </c>
      <c r="C254" t="str">
        <f>IF('Equipment Information'!C254="","", 'Equipment Information'!C254)</f>
        <v/>
      </c>
      <c r="H254" t="str">
        <f t="shared" si="3"/>
        <v/>
      </c>
    </row>
    <row r="255" spans="1:8" x14ac:dyDescent="0.25">
      <c r="A255" t="str">
        <f>IF('Equipment Information'!A255="","", 'Equipment Information'!A255)</f>
        <v/>
      </c>
      <c r="B255" t="str">
        <f>IF('Equipment Information'!B255="","", 'Equipment Information'!B255)</f>
        <v/>
      </c>
      <c r="C255" t="str">
        <f>IF('Equipment Information'!C255="","", 'Equipment Information'!C255)</f>
        <v/>
      </c>
      <c r="H255" t="str">
        <f t="shared" si="3"/>
        <v/>
      </c>
    </row>
    <row r="256" spans="1:8" x14ac:dyDescent="0.25">
      <c r="A256" t="str">
        <f>IF('Equipment Information'!A256="","", 'Equipment Information'!A256)</f>
        <v/>
      </c>
      <c r="B256" t="str">
        <f>IF('Equipment Information'!B256="","", 'Equipment Information'!B256)</f>
        <v/>
      </c>
      <c r="C256" t="str">
        <f>IF('Equipment Information'!C256="","", 'Equipment Information'!C256)</f>
        <v/>
      </c>
      <c r="H256" t="str">
        <f t="shared" si="3"/>
        <v/>
      </c>
    </row>
    <row r="257" spans="1:8" x14ac:dyDescent="0.25">
      <c r="A257" t="str">
        <f>IF('Equipment Information'!A257="","", 'Equipment Information'!A257)</f>
        <v/>
      </c>
      <c r="B257" t="str">
        <f>IF('Equipment Information'!B257="","", 'Equipment Information'!B257)</f>
        <v/>
      </c>
      <c r="C257" t="str">
        <f>IF('Equipment Information'!C257="","", 'Equipment Information'!C257)</f>
        <v/>
      </c>
      <c r="H257" t="str">
        <f t="shared" si="3"/>
        <v/>
      </c>
    </row>
    <row r="258" spans="1:8" x14ac:dyDescent="0.25">
      <c r="A258" t="str">
        <f>IF('Equipment Information'!A258="","", 'Equipment Information'!A258)</f>
        <v/>
      </c>
      <c r="B258" t="str">
        <f>IF('Equipment Information'!B258="","", 'Equipment Information'!B258)</f>
        <v/>
      </c>
      <c r="C258" t="str">
        <f>IF('Equipment Information'!C258="","", 'Equipment Information'!C258)</f>
        <v/>
      </c>
      <c r="H258" t="str">
        <f t="shared" ref="H258:H321" si="4">IF(A258="","","N/A")</f>
        <v/>
      </c>
    </row>
    <row r="259" spans="1:8" x14ac:dyDescent="0.25">
      <c r="A259" t="str">
        <f>IF('Equipment Information'!A259="","", 'Equipment Information'!A259)</f>
        <v/>
      </c>
      <c r="B259" t="str">
        <f>IF('Equipment Information'!B259="","", 'Equipment Information'!B259)</f>
        <v/>
      </c>
      <c r="C259" t="str">
        <f>IF('Equipment Information'!C259="","", 'Equipment Information'!C259)</f>
        <v/>
      </c>
      <c r="H259" t="str">
        <f t="shared" si="4"/>
        <v/>
      </c>
    </row>
    <row r="260" spans="1:8" x14ac:dyDescent="0.25">
      <c r="A260" t="str">
        <f>IF('Equipment Information'!A260="","", 'Equipment Information'!A260)</f>
        <v/>
      </c>
      <c r="B260" t="str">
        <f>IF('Equipment Information'!B260="","", 'Equipment Information'!B260)</f>
        <v/>
      </c>
      <c r="C260" t="str">
        <f>IF('Equipment Information'!C260="","", 'Equipment Information'!C260)</f>
        <v/>
      </c>
      <c r="H260" t="str">
        <f t="shared" si="4"/>
        <v/>
      </c>
    </row>
    <row r="261" spans="1:8" x14ac:dyDescent="0.25">
      <c r="A261" t="str">
        <f>IF('Equipment Information'!A261="","", 'Equipment Information'!A261)</f>
        <v/>
      </c>
      <c r="B261" t="str">
        <f>IF('Equipment Information'!B261="","", 'Equipment Information'!B261)</f>
        <v/>
      </c>
      <c r="C261" t="str">
        <f>IF('Equipment Information'!C261="","", 'Equipment Information'!C261)</f>
        <v/>
      </c>
      <c r="H261" t="str">
        <f t="shared" si="4"/>
        <v/>
      </c>
    </row>
    <row r="262" spans="1:8" x14ac:dyDescent="0.25">
      <c r="A262" t="str">
        <f>IF('Equipment Information'!A262="","", 'Equipment Information'!A262)</f>
        <v/>
      </c>
      <c r="B262" t="str">
        <f>IF('Equipment Information'!B262="","", 'Equipment Information'!B262)</f>
        <v/>
      </c>
      <c r="C262" t="str">
        <f>IF('Equipment Information'!C262="","", 'Equipment Information'!C262)</f>
        <v/>
      </c>
      <c r="H262" t="str">
        <f t="shared" si="4"/>
        <v/>
      </c>
    </row>
    <row r="263" spans="1:8" x14ac:dyDescent="0.25">
      <c r="A263" t="str">
        <f>IF('Equipment Information'!A263="","", 'Equipment Information'!A263)</f>
        <v/>
      </c>
      <c r="B263" t="str">
        <f>IF('Equipment Information'!B263="","", 'Equipment Information'!B263)</f>
        <v/>
      </c>
      <c r="C263" t="str">
        <f>IF('Equipment Information'!C263="","", 'Equipment Information'!C263)</f>
        <v/>
      </c>
      <c r="H263" t="str">
        <f t="shared" si="4"/>
        <v/>
      </c>
    </row>
    <row r="264" spans="1:8" x14ac:dyDescent="0.25">
      <c r="A264" t="str">
        <f>IF('Equipment Information'!A264="","", 'Equipment Information'!A264)</f>
        <v/>
      </c>
      <c r="B264" t="str">
        <f>IF('Equipment Information'!B264="","", 'Equipment Information'!B264)</f>
        <v/>
      </c>
      <c r="C264" t="str">
        <f>IF('Equipment Information'!C264="","", 'Equipment Information'!C264)</f>
        <v/>
      </c>
      <c r="H264" t="str">
        <f t="shared" si="4"/>
        <v/>
      </c>
    </row>
    <row r="265" spans="1:8" x14ac:dyDescent="0.25">
      <c r="A265" t="str">
        <f>IF('Equipment Information'!A265="","", 'Equipment Information'!A265)</f>
        <v/>
      </c>
      <c r="B265" t="str">
        <f>IF('Equipment Information'!B265="","", 'Equipment Information'!B265)</f>
        <v/>
      </c>
      <c r="C265" t="str">
        <f>IF('Equipment Information'!C265="","", 'Equipment Information'!C265)</f>
        <v/>
      </c>
      <c r="H265" t="str">
        <f t="shared" si="4"/>
        <v/>
      </c>
    </row>
    <row r="266" spans="1:8" x14ac:dyDescent="0.25">
      <c r="A266" t="str">
        <f>IF('Equipment Information'!A266="","", 'Equipment Information'!A266)</f>
        <v/>
      </c>
      <c r="B266" t="str">
        <f>IF('Equipment Information'!B266="","", 'Equipment Information'!B266)</f>
        <v/>
      </c>
      <c r="C266" t="str">
        <f>IF('Equipment Information'!C266="","", 'Equipment Information'!C266)</f>
        <v/>
      </c>
      <c r="H266" t="str">
        <f t="shared" si="4"/>
        <v/>
      </c>
    </row>
    <row r="267" spans="1:8" x14ac:dyDescent="0.25">
      <c r="A267" t="str">
        <f>IF('Equipment Information'!A267="","", 'Equipment Information'!A267)</f>
        <v/>
      </c>
      <c r="B267" t="str">
        <f>IF('Equipment Information'!B267="","", 'Equipment Information'!B267)</f>
        <v/>
      </c>
      <c r="C267" t="str">
        <f>IF('Equipment Information'!C267="","", 'Equipment Information'!C267)</f>
        <v/>
      </c>
      <c r="H267" t="str">
        <f t="shared" si="4"/>
        <v/>
      </c>
    </row>
    <row r="268" spans="1:8" x14ac:dyDescent="0.25">
      <c r="A268" t="str">
        <f>IF('Equipment Information'!A268="","", 'Equipment Information'!A268)</f>
        <v/>
      </c>
      <c r="B268" t="str">
        <f>IF('Equipment Information'!B268="","", 'Equipment Information'!B268)</f>
        <v/>
      </c>
      <c r="C268" t="str">
        <f>IF('Equipment Information'!C268="","", 'Equipment Information'!C268)</f>
        <v/>
      </c>
      <c r="H268" t="str">
        <f t="shared" si="4"/>
        <v/>
      </c>
    </row>
    <row r="269" spans="1:8" x14ac:dyDescent="0.25">
      <c r="A269" t="str">
        <f>IF('Equipment Information'!A269="","", 'Equipment Information'!A269)</f>
        <v/>
      </c>
      <c r="B269" t="str">
        <f>IF('Equipment Information'!B269="","", 'Equipment Information'!B269)</f>
        <v/>
      </c>
      <c r="C269" t="str">
        <f>IF('Equipment Information'!C269="","", 'Equipment Information'!C269)</f>
        <v/>
      </c>
      <c r="H269" t="str">
        <f t="shared" si="4"/>
        <v/>
      </c>
    </row>
    <row r="270" spans="1:8" x14ac:dyDescent="0.25">
      <c r="A270" t="str">
        <f>IF('Equipment Information'!A270="","", 'Equipment Information'!A270)</f>
        <v/>
      </c>
      <c r="B270" t="str">
        <f>IF('Equipment Information'!B270="","", 'Equipment Information'!B270)</f>
        <v/>
      </c>
      <c r="C270" t="str">
        <f>IF('Equipment Information'!C270="","", 'Equipment Information'!C270)</f>
        <v/>
      </c>
      <c r="H270" t="str">
        <f t="shared" si="4"/>
        <v/>
      </c>
    </row>
    <row r="271" spans="1:8" x14ac:dyDescent="0.25">
      <c r="A271" t="str">
        <f>IF('Equipment Information'!A271="","", 'Equipment Information'!A271)</f>
        <v/>
      </c>
      <c r="B271" t="str">
        <f>IF('Equipment Information'!B271="","", 'Equipment Information'!B271)</f>
        <v/>
      </c>
      <c r="C271" t="str">
        <f>IF('Equipment Information'!C271="","", 'Equipment Information'!C271)</f>
        <v/>
      </c>
      <c r="H271" t="str">
        <f t="shared" si="4"/>
        <v/>
      </c>
    </row>
    <row r="272" spans="1:8" x14ac:dyDescent="0.25">
      <c r="A272" t="str">
        <f>IF('Equipment Information'!A272="","", 'Equipment Information'!A272)</f>
        <v/>
      </c>
      <c r="B272" t="str">
        <f>IF('Equipment Information'!B272="","", 'Equipment Information'!B272)</f>
        <v/>
      </c>
      <c r="C272" t="str">
        <f>IF('Equipment Information'!C272="","", 'Equipment Information'!C272)</f>
        <v/>
      </c>
      <c r="H272" t="str">
        <f t="shared" si="4"/>
        <v/>
      </c>
    </row>
    <row r="273" spans="1:8" x14ac:dyDescent="0.25">
      <c r="A273" t="str">
        <f>IF('Equipment Information'!A273="","", 'Equipment Information'!A273)</f>
        <v/>
      </c>
      <c r="B273" t="str">
        <f>IF('Equipment Information'!B273="","", 'Equipment Information'!B273)</f>
        <v/>
      </c>
      <c r="C273" t="str">
        <f>IF('Equipment Information'!C273="","", 'Equipment Information'!C273)</f>
        <v/>
      </c>
      <c r="H273" t="str">
        <f t="shared" si="4"/>
        <v/>
      </c>
    </row>
    <row r="274" spans="1:8" x14ac:dyDescent="0.25">
      <c r="A274" t="str">
        <f>IF('Equipment Information'!A274="","", 'Equipment Information'!A274)</f>
        <v/>
      </c>
      <c r="B274" t="str">
        <f>IF('Equipment Information'!B274="","", 'Equipment Information'!B274)</f>
        <v/>
      </c>
      <c r="C274" t="str">
        <f>IF('Equipment Information'!C274="","", 'Equipment Information'!C274)</f>
        <v/>
      </c>
      <c r="H274" t="str">
        <f t="shared" si="4"/>
        <v/>
      </c>
    </row>
    <row r="275" spans="1:8" x14ac:dyDescent="0.25">
      <c r="A275" t="str">
        <f>IF('Equipment Information'!A275="","", 'Equipment Information'!A275)</f>
        <v/>
      </c>
      <c r="B275" t="str">
        <f>IF('Equipment Information'!B275="","", 'Equipment Information'!B275)</f>
        <v/>
      </c>
      <c r="C275" t="str">
        <f>IF('Equipment Information'!C275="","", 'Equipment Information'!C275)</f>
        <v/>
      </c>
      <c r="H275" t="str">
        <f t="shared" si="4"/>
        <v/>
      </c>
    </row>
    <row r="276" spans="1:8" x14ac:dyDescent="0.25">
      <c r="A276" t="str">
        <f>IF('Equipment Information'!A276="","", 'Equipment Information'!A276)</f>
        <v/>
      </c>
      <c r="B276" t="str">
        <f>IF('Equipment Information'!B276="","", 'Equipment Information'!B276)</f>
        <v/>
      </c>
      <c r="C276" t="str">
        <f>IF('Equipment Information'!C276="","", 'Equipment Information'!C276)</f>
        <v/>
      </c>
      <c r="H276" t="str">
        <f t="shared" si="4"/>
        <v/>
      </c>
    </row>
    <row r="277" spans="1:8" x14ac:dyDescent="0.25">
      <c r="A277" t="str">
        <f>IF('Equipment Information'!A277="","", 'Equipment Information'!A277)</f>
        <v/>
      </c>
      <c r="B277" t="str">
        <f>IF('Equipment Information'!B277="","", 'Equipment Information'!B277)</f>
        <v/>
      </c>
      <c r="C277" t="str">
        <f>IF('Equipment Information'!C277="","", 'Equipment Information'!C277)</f>
        <v/>
      </c>
      <c r="H277" t="str">
        <f t="shared" si="4"/>
        <v/>
      </c>
    </row>
    <row r="278" spans="1:8" x14ac:dyDescent="0.25">
      <c r="A278" t="str">
        <f>IF('Equipment Information'!A278="","", 'Equipment Information'!A278)</f>
        <v/>
      </c>
      <c r="B278" t="str">
        <f>IF('Equipment Information'!B278="","", 'Equipment Information'!B278)</f>
        <v/>
      </c>
      <c r="C278" t="str">
        <f>IF('Equipment Information'!C278="","", 'Equipment Information'!C278)</f>
        <v/>
      </c>
      <c r="H278" t="str">
        <f t="shared" si="4"/>
        <v/>
      </c>
    </row>
    <row r="279" spans="1:8" x14ac:dyDescent="0.25">
      <c r="A279" t="str">
        <f>IF('Equipment Information'!A279="","", 'Equipment Information'!A279)</f>
        <v/>
      </c>
      <c r="B279" t="str">
        <f>IF('Equipment Information'!B279="","", 'Equipment Information'!B279)</f>
        <v/>
      </c>
      <c r="C279" t="str">
        <f>IF('Equipment Information'!C279="","", 'Equipment Information'!C279)</f>
        <v/>
      </c>
      <c r="H279" t="str">
        <f t="shared" si="4"/>
        <v/>
      </c>
    </row>
    <row r="280" spans="1:8" x14ac:dyDescent="0.25">
      <c r="A280" t="str">
        <f>IF('Equipment Information'!A280="","", 'Equipment Information'!A280)</f>
        <v/>
      </c>
      <c r="B280" t="str">
        <f>IF('Equipment Information'!B280="","", 'Equipment Information'!B280)</f>
        <v/>
      </c>
      <c r="C280" t="str">
        <f>IF('Equipment Information'!C280="","", 'Equipment Information'!C280)</f>
        <v/>
      </c>
      <c r="H280" t="str">
        <f t="shared" si="4"/>
        <v/>
      </c>
    </row>
    <row r="281" spans="1:8" x14ac:dyDescent="0.25">
      <c r="A281" t="str">
        <f>IF('Equipment Information'!A281="","", 'Equipment Information'!A281)</f>
        <v/>
      </c>
      <c r="B281" t="str">
        <f>IF('Equipment Information'!B281="","", 'Equipment Information'!B281)</f>
        <v/>
      </c>
      <c r="C281" t="str">
        <f>IF('Equipment Information'!C281="","", 'Equipment Information'!C281)</f>
        <v/>
      </c>
      <c r="H281" t="str">
        <f t="shared" si="4"/>
        <v/>
      </c>
    </row>
    <row r="282" spans="1:8" x14ac:dyDescent="0.25">
      <c r="A282" t="str">
        <f>IF('Equipment Information'!A282="","", 'Equipment Information'!A282)</f>
        <v/>
      </c>
      <c r="B282" t="str">
        <f>IF('Equipment Information'!B282="","", 'Equipment Information'!B282)</f>
        <v/>
      </c>
      <c r="C282" t="str">
        <f>IF('Equipment Information'!C282="","", 'Equipment Information'!C282)</f>
        <v/>
      </c>
      <c r="H282" t="str">
        <f t="shared" si="4"/>
        <v/>
      </c>
    </row>
    <row r="283" spans="1:8" x14ac:dyDescent="0.25">
      <c r="A283" t="str">
        <f>IF('Equipment Information'!A283="","", 'Equipment Information'!A283)</f>
        <v/>
      </c>
      <c r="B283" t="str">
        <f>IF('Equipment Information'!B283="","", 'Equipment Information'!B283)</f>
        <v/>
      </c>
      <c r="C283" t="str">
        <f>IF('Equipment Information'!C283="","", 'Equipment Information'!C283)</f>
        <v/>
      </c>
      <c r="H283" t="str">
        <f t="shared" si="4"/>
        <v/>
      </c>
    </row>
    <row r="284" spans="1:8" x14ac:dyDescent="0.25">
      <c r="A284" t="str">
        <f>IF('Equipment Information'!A284="","", 'Equipment Information'!A284)</f>
        <v/>
      </c>
      <c r="B284" t="str">
        <f>IF('Equipment Information'!B284="","", 'Equipment Information'!B284)</f>
        <v/>
      </c>
      <c r="C284" t="str">
        <f>IF('Equipment Information'!C284="","", 'Equipment Information'!C284)</f>
        <v/>
      </c>
      <c r="H284" t="str">
        <f t="shared" si="4"/>
        <v/>
      </c>
    </row>
    <row r="285" spans="1:8" x14ac:dyDescent="0.25">
      <c r="A285" t="str">
        <f>IF('Equipment Information'!A285="","", 'Equipment Information'!A285)</f>
        <v/>
      </c>
      <c r="B285" t="str">
        <f>IF('Equipment Information'!B285="","", 'Equipment Information'!B285)</f>
        <v/>
      </c>
      <c r="C285" t="str">
        <f>IF('Equipment Information'!C285="","", 'Equipment Information'!C285)</f>
        <v/>
      </c>
      <c r="H285" t="str">
        <f t="shared" si="4"/>
        <v/>
      </c>
    </row>
    <row r="286" spans="1:8" x14ac:dyDescent="0.25">
      <c r="A286" t="str">
        <f>IF('Equipment Information'!A286="","", 'Equipment Information'!A286)</f>
        <v/>
      </c>
      <c r="B286" t="str">
        <f>IF('Equipment Information'!B286="","", 'Equipment Information'!B286)</f>
        <v/>
      </c>
      <c r="C286" t="str">
        <f>IF('Equipment Information'!C286="","", 'Equipment Information'!C286)</f>
        <v/>
      </c>
      <c r="H286" t="str">
        <f t="shared" si="4"/>
        <v/>
      </c>
    </row>
    <row r="287" spans="1:8" x14ac:dyDescent="0.25">
      <c r="A287" t="str">
        <f>IF('Equipment Information'!A287="","", 'Equipment Information'!A287)</f>
        <v/>
      </c>
      <c r="B287" t="str">
        <f>IF('Equipment Information'!B287="","", 'Equipment Information'!B287)</f>
        <v/>
      </c>
      <c r="C287" t="str">
        <f>IF('Equipment Information'!C287="","", 'Equipment Information'!C287)</f>
        <v/>
      </c>
      <c r="H287" t="str">
        <f t="shared" si="4"/>
        <v/>
      </c>
    </row>
    <row r="288" spans="1:8" x14ac:dyDescent="0.25">
      <c r="A288" t="str">
        <f>IF('Equipment Information'!A288="","", 'Equipment Information'!A288)</f>
        <v/>
      </c>
      <c r="B288" t="str">
        <f>IF('Equipment Information'!B288="","", 'Equipment Information'!B288)</f>
        <v/>
      </c>
      <c r="C288" t="str">
        <f>IF('Equipment Information'!C288="","", 'Equipment Information'!C288)</f>
        <v/>
      </c>
      <c r="H288" t="str">
        <f t="shared" si="4"/>
        <v/>
      </c>
    </row>
    <row r="289" spans="1:8" x14ac:dyDescent="0.25">
      <c r="A289" t="str">
        <f>IF('Equipment Information'!A289="","", 'Equipment Information'!A289)</f>
        <v/>
      </c>
      <c r="B289" t="str">
        <f>IF('Equipment Information'!B289="","", 'Equipment Information'!B289)</f>
        <v/>
      </c>
      <c r="C289" t="str">
        <f>IF('Equipment Information'!C289="","", 'Equipment Information'!C289)</f>
        <v/>
      </c>
      <c r="H289" t="str">
        <f t="shared" si="4"/>
        <v/>
      </c>
    </row>
    <row r="290" spans="1:8" x14ac:dyDescent="0.25">
      <c r="A290" t="str">
        <f>IF('Equipment Information'!A290="","", 'Equipment Information'!A290)</f>
        <v/>
      </c>
      <c r="B290" t="str">
        <f>IF('Equipment Information'!B290="","", 'Equipment Information'!B290)</f>
        <v/>
      </c>
      <c r="C290" t="str">
        <f>IF('Equipment Information'!C290="","", 'Equipment Information'!C290)</f>
        <v/>
      </c>
      <c r="H290" t="str">
        <f t="shared" si="4"/>
        <v/>
      </c>
    </row>
    <row r="291" spans="1:8" x14ac:dyDescent="0.25">
      <c r="A291" t="str">
        <f>IF('Equipment Information'!A291="","", 'Equipment Information'!A291)</f>
        <v/>
      </c>
      <c r="B291" t="str">
        <f>IF('Equipment Information'!B291="","", 'Equipment Information'!B291)</f>
        <v/>
      </c>
      <c r="C291" t="str">
        <f>IF('Equipment Information'!C291="","", 'Equipment Information'!C291)</f>
        <v/>
      </c>
      <c r="H291" t="str">
        <f t="shared" si="4"/>
        <v/>
      </c>
    </row>
    <row r="292" spans="1:8" x14ac:dyDescent="0.25">
      <c r="A292" t="str">
        <f>IF('Equipment Information'!A292="","", 'Equipment Information'!A292)</f>
        <v/>
      </c>
      <c r="B292" t="str">
        <f>IF('Equipment Information'!B292="","", 'Equipment Information'!B292)</f>
        <v/>
      </c>
      <c r="C292" t="str">
        <f>IF('Equipment Information'!C292="","", 'Equipment Information'!C292)</f>
        <v/>
      </c>
      <c r="H292" t="str">
        <f t="shared" si="4"/>
        <v/>
      </c>
    </row>
    <row r="293" spans="1:8" x14ac:dyDescent="0.25">
      <c r="A293" t="str">
        <f>IF('Equipment Information'!A293="","", 'Equipment Information'!A293)</f>
        <v/>
      </c>
      <c r="B293" t="str">
        <f>IF('Equipment Information'!B293="","", 'Equipment Information'!B293)</f>
        <v/>
      </c>
      <c r="C293" t="str">
        <f>IF('Equipment Information'!C293="","", 'Equipment Information'!C293)</f>
        <v/>
      </c>
      <c r="H293" t="str">
        <f t="shared" si="4"/>
        <v/>
      </c>
    </row>
    <row r="294" spans="1:8" x14ac:dyDescent="0.25">
      <c r="A294" t="str">
        <f>IF('Equipment Information'!A294="","", 'Equipment Information'!A294)</f>
        <v/>
      </c>
      <c r="B294" t="str">
        <f>IF('Equipment Information'!B294="","", 'Equipment Information'!B294)</f>
        <v/>
      </c>
      <c r="C294" t="str">
        <f>IF('Equipment Information'!C294="","", 'Equipment Information'!C294)</f>
        <v/>
      </c>
      <c r="H294" t="str">
        <f t="shared" si="4"/>
        <v/>
      </c>
    </row>
    <row r="295" spans="1:8" x14ac:dyDescent="0.25">
      <c r="A295" t="str">
        <f>IF('Equipment Information'!A295="","", 'Equipment Information'!A295)</f>
        <v/>
      </c>
      <c r="B295" t="str">
        <f>IF('Equipment Information'!B295="","", 'Equipment Information'!B295)</f>
        <v/>
      </c>
      <c r="C295" t="str">
        <f>IF('Equipment Information'!C295="","", 'Equipment Information'!C295)</f>
        <v/>
      </c>
      <c r="H295" t="str">
        <f t="shared" si="4"/>
        <v/>
      </c>
    </row>
    <row r="296" spans="1:8" x14ac:dyDescent="0.25">
      <c r="A296" t="str">
        <f>IF('Equipment Information'!A296="","", 'Equipment Information'!A296)</f>
        <v/>
      </c>
      <c r="B296" t="str">
        <f>IF('Equipment Information'!B296="","", 'Equipment Information'!B296)</f>
        <v/>
      </c>
      <c r="C296" t="str">
        <f>IF('Equipment Information'!C296="","", 'Equipment Information'!C296)</f>
        <v/>
      </c>
      <c r="H296" t="str">
        <f t="shared" si="4"/>
        <v/>
      </c>
    </row>
    <row r="297" spans="1:8" x14ac:dyDescent="0.25">
      <c r="A297" t="str">
        <f>IF('Equipment Information'!A297="","", 'Equipment Information'!A297)</f>
        <v/>
      </c>
      <c r="B297" t="str">
        <f>IF('Equipment Information'!B297="","", 'Equipment Information'!B297)</f>
        <v/>
      </c>
      <c r="C297" t="str">
        <f>IF('Equipment Information'!C297="","", 'Equipment Information'!C297)</f>
        <v/>
      </c>
      <c r="H297" t="str">
        <f t="shared" si="4"/>
        <v/>
      </c>
    </row>
    <row r="298" spans="1:8" x14ac:dyDescent="0.25">
      <c r="A298" t="str">
        <f>IF('Equipment Information'!A298="","", 'Equipment Information'!A298)</f>
        <v/>
      </c>
      <c r="B298" t="str">
        <f>IF('Equipment Information'!B298="","", 'Equipment Information'!B298)</f>
        <v/>
      </c>
      <c r="C298" t="str">
        <f>IF('Equipment Information'!C298="","", 'Equipment Information'!C298)</f>
        <v/>
      </c>
      <c r="H298" t="str">
        <f t="shared" si="4"/>
        <v/>
      </c>
    </row>
    <row r="299" spans="1:8" x14ac:dyDescent="0.25">
      <c r="A299" t="str">
        <f>IF('Equipment Information'!A299="","", 'Equipment Information'!A299)</f>
        <v/>
      </c>
      <c r="B299" t="str">
        <f>IF('Equipment Information'!B299="","", 'Equipment Information'!B299)</f>
        <v/>
      </c>
      <c r="C299" t="str">
        <f>IF('Equipment Information'!C299="","", 'Equipment Information'!C299)</f>
        <v/>
      </c>
      <c r="H299" t="str">
        <f t="shared" si="4"/>
        <v/>
      </c>
    </row>
    <row r="300" spans="1:8" x14ac:dyDescent="0.25">
      <c r="A300" t="str">
        <f>IF('Equipment Information'!A300="","", 'Equipment Information'!A300)</f>
        <v/>
      </c>
      <c r="B300" t="str">
        <f>IF('Equipment Information'!B300="","", 'Equipment Information'!B300)</f>
        <v/>
      </c>
      <c r="C300" t="str">
        <f>IF('Equipment Information'!C300="","", 'Equipment Information'!C300)</f>
        <v/>
      </c>
      <c r="H300" t="str">
        <f t="shared" si="4"/>
        <v/>
      </c>
    </row>
    <row r="301" spans="1:8" x14ac:dyDescent="0.25">
      <c r="A301" t="str">
        <f>IF('Equipment Information'!A301="","", 'Equipment Information'!A301)</f>
        <v/>
      </c>
      <c r="B301" t="str">
        <f>IF('Equipment Information'!B301="","", 'Equipment Information'!B301)</f>
        <v/>
      </c>
      <c r="C301" t="str">
        <f>IF('Equipment Information'!C301="","", 'Equipment Information'!C301)</f>
        <v/>
      </c>
      <c r="H301" t="str">
        <f t="shared" si="4"/>
        <v/>
      </c>
    </row>
    <row r="302" spans="1:8" x14ac:dyDescent="0.25">
      <c r="A302" t="str">
        <f>IF('Equipment Information'!A302="","", 'Equipment Information'!A302)</f>
        <v/>
      </c>
      <c r="B302" t="str">
        <f>IF('Equipment Information'!B302="","", 'Equipment Information'!B302)</f>
        <v/>
      </c>
      <c r="C302" t="str">
        <f>IF('Equipment Information'!C302="","", 'Equipment Information'!C302)</f>
        <v/>
      </c>
      <c r="H302" t="str">
        <f t="shared" si="4"/>
        <v/>
      </c>
    </row>
    <row r="303" spans="1:8" x14ac:dyDescent="0.25">
      <c r="A303" t="str">
        <f>IF('Equipment Information'!A303="","", 'Equipment Information'!A303)</f>
        <v/>
      </c>
      <c r="B303" t="str">
        <f>IF('Equipment Information'!B303="","", 'Equipment Information'!B303)</f>
        <v/>
      </c>
      <c r="C303" t="str">
        <f>IF('Equipment Information'!C303="","", 'Equipment Information'!C303)</f>
        <v/>
      </c>
      <c r="H303" t="str">
        <f t="shared" si="4"/>
        <v/>
      </c>
    </row>
    <row r="304" spans="1:8" x14ac:dyDescent="0.25">
      <c r="A304" t="str">
        <f>IF('Equipment Information'!A304="","", 'Equipment Information'!A304)</f>
        <v/>
      </c>
      <c r="B304" t="str">
        <f>IF('Equipment Information'!B304="","", 'Equipment Information'!B304)</f>
        <v/>
      </c>
      <c r="C304" t="str">
        <f>IF('Equipment Information'!C304="","", 'Equipment Information'!C304)</f>
        <v/>
      </c>
      <c r="H304" t="str">
        <f t="shared" si="4"/>
        <v/>
      </c>
    </row>
    <row r="305" spans="1:8" x14ac:dyDescent="0.25">
      <c r="A305" t="str">
        <f>IF('Equipment Information'!A305="","", 'Equipment Information'!A305)</f>
        <v/>
      </c>
      <c r="B305" t="str">
        <f>IF('Equipment Information'!B305="","", 'Equipment Information'!B305)</f>
        <v/>
      </c>
      <c r="C305" t="str">
        <f>IF('Equipment Information'!C305="","", 'Equipment Information'!C305)</f>
        <v/>
      </c>
      <c r="H305" t="str">
        <f t="shared" si="4"/>
        <v/>
      </c>
    </row>
    <row r="306" spans="1:8" x14ac:dyDescent="0.25">
      <c r="A306" t="str">
        <f>IF('Equipment Information'!A306="","", 'Equipment Information'!A306)</f>
        <v/>
      </c>
      <c r="B306" t="str">
        <f>IF('Equipment Information'!B306="","", 'Equipment Information'!B306)</f>
        <v/>
      </c>
      <c r="C306" t="str">
        <f>IF('Equipment Information'!C306="","", 'Equipment Information'!C306)</f>
        <v/>
      </c>
      <c r="H306" t="str">
        <f t="shared" si="4"/>
        <v/>
      </c>
    </row>
    <row r="307" spans="1:8" x14ac:dyDescent="0.25">
      <c r="A307" t="str">
        <f>IF('Equipment Information'!A307="","", 'Equipment Information'!A307)</f>
        <v/>
      </c>
      <c r="B307" t="str">
        <f>IF('Equipment Information'!B307="","", 'Equipment Information'!B307)</f>
        <v/>
      </c>
      <c r="C307" t="str">
        <f>IF('Equipment Information'!C307="","", 'Equipment Information'!C307)</f>
        <v/>
      </c>
      <c r="H307" t="str">
        <f t="shared" si="4"/>
        <v/>
      </c>
    </row>
    <row r="308" spans="1:8" x14ac:dyDescent="0.25">
      <c r="A308" t="str">
        <f>IF('Equipment Information'!A308="","", 'Equipment Information'!A308)</f>
        <v/>
      </c>
      <c r="B308" t="str">
        <f>IF('Equipment Information'!B308="","", 'Equipment Information'!B308)</f>
        <v/>
      </c>
      <c r="C308" t="str">
        <f>IF('Equipment Information'!C308="","", 'Equipment Information'!C308)</f>
        <v/>
      </c>
      <c r="H308" t="str">
        <f t="shared" si="4"/>
        <v/>
      </c>
    </row>
    <row r="309" spans="1:8" x14ac:dyDescent="0.25">
      <c r="A309" t="str">
        <f>IF('Equipment Information'!A309="","", 'Equipment Information'!A309)</f>
        <v/>
      </c>
      <c r="B309" t="str">
        <f>IF('Equipment Information'!B309="","", 'Equipment Information'!B309)</f>
        <v/>
      </c>
      <c r="C309" t="str">
        <f>IF('Equipment Information'!C309="","", 'Equipment Information'!C309)</f>
        <v/>
      </c>
      <c r="H309" t="str">
        <f t="shared" si="4"/>
        <v/>
      </c>
    </row>
    <row r="310" spans="1:8" x14ac:dyDescent="0.25">
      <c r="A310" t="str">
        <f>IF('Equipment Information'!A310="","", 'Equipment Information'!A310)</f>
        <v/>
      </c>
      <c r="B310" t="str">
        <f>IF('Equipment Information'!B310="","", 'Equipment Information'!B310)</f>
        <v/>
      </c>
      <c r="C310" t="str">
        <f>IF('Equipment Information'!C310="","", 'Equipment Information'!C310)</f>
        <v/>
      </c>
      <c r="H310" t="str">
        <f t="shared" si="4"/>
        <v/>
      </c>
    </row>
    <row r="311" spans="1:8" x14ac:dyDescent="0.25">
      <c r="A311" t="str">
        <f>IF('Equipment Information'!A311="","", 'Equipment Information'!A311)</f>
        <v/>
      </c>
      <c r="B311" t="str">
        <f>IF('Equipment Information'!B311="","", 'Equipment Information'!B311)</f>
        <v/>
      </c>
      <c r="C311" t="str">
        <f>IF('Equipment Information'!C311="","", 'Equipment Information'!C311)</f>
        <v/>
      </c>
      <c r="H311" t="str">
        <f t="shared" si="4"/>
        <v/>
      </c>
    </row>
    <row r="312" spans="1:8" x14ac:dyDescent="0.25">
      <c r="A312" t="str">
        <f>IF('Equipment Information'!A312="","", 'Equipment Information'!A312)</f>
        <v/>
      </c>
      <c r="B312" t="str">
        <f>IF('Equipment Information'!B312="","", 'Equipment Information'!B312)</f>
        <v/>
      </c>
      <c r="C312" t="str">
        <f>IF('Equipment Information'!C312="","", 'Equipment Information'!C312)</f>
        <v/>
      </c>
      <c r="H312" t="str">
        <f t="shared" si="4"/>
        <v/>
      </c>
    </row>
    <row r="313" spans="1:8" x14ac:dyDescent="0.25">
      <c r="A313" t="str">
        <f>IF('Equipment Information'!A313="","", 'Equipment Information'!A313)</f>
        <v/>
      </c>
      <c r="B313" t="str">
        <f>IF('Equipment Information'!B313="","", 'Equipment Information'!B313)</f>
        <v/>
      </c>
      <c r="C313" t="str">
        <f>IF('Equipment Information'!C313="","", 'Equipment Information'!C313)</f>
        <v/>
      </c>
      <c r="H313" t="str">
        <f t="shared" si="4"/>
        <v/>
      </c>
    </row>
    <row r="314" spans="1:8" x14ac:dyDescent="0.25">
      <c r="A314" t="str">
        <f>IF('Equipment Information'!A314="","", 'Equipment Information'!A314)</f>
        <v/>
      </c>
      <c r="B314" t="str">
        <f>IF('Equipment Information'!B314="","", 'Equipment Information'!B314)</f>
        <v/>
      </c>
      <c r="C314" t="str">
        <f>IF('Equipment Information'!C314="","", 'Equipment Information'!C314)</f>
        <v/>
      </c>
      <c r="H314" t="str">
        <f t="shared" si="4"/>
        <v/>
      </c>
    </row>
    <row r="315" spans="1:8" x14ac:dyDescent="0.25">
      <c r="A315" t="str">
        <f>IF('Equipment Information'!A315="","", 'Equipment Information'!A315)</f>
        <v/>
      </c>
      <c r="B315" t="str">
        <f>IF('Equipment Information'!B315="","", 'Equipment Information'!B315)</f>
        <v/>
      </c>
      <c r="C315" t="str">
        <f>IF('Equipment Information'!C315="","", 'Equipment Information'!C315)</f>
        <v/>
      </c>
      <c r="H315" t="str">
        <f t="shared" si="4"/>
        <v/>
      </c>
    </row>
    <row r="316" spans="1:8" x14ac:dyDescent="0.25">
      <c r="A316" t="str">
        <f>IF('Equipment Information'!A316="","", 'Equipment Information'!A316)</f>
        <v/>
      </c>
      <c r="B316" t="str">
        <f>IF('Equipment Information'!B316="","", 'Equipment Information'!B316)</f>
        <v/>
      </c>
      <c r="C316" t="str">
        <f>IF('Equipment Information'!C316="","", 'Equipment Information'!C316)</f>
        <v/>
      </c>
      <c r="H316" t="str">
        <f t="shared" si="4"/>
        <v/>
      </c>
    </row>
    <row r="317" spans="1:8" x14ac:dyDescent="0.25">
      <c r="A317" t="str">
        <f>IF('Equipment Information'!A317="","", 'Equipment Information'!A317)</f>
        <v/>
      </c>
      <c r="B317" t="str">
        <f>IF('Equipment Information'!B317="","", 'Equipment Information'!B317)</f>
        <v/>
      </c>
      <c r="C317" t="str">
        <f>IF('Equipment Information'!C317="","", 'Equipment Information'!C317)</f>
        <v/>
      </c>
      <c r="H317" t="str">
        <f t="shared" si="4"/>
        <v/>
      </c>
    </row>
    <row r="318" spans="1:8" x14ac:dyDescent="0.25">
      <c r="A318" t="str">
        <f>IF('Equipment Information'!A318="","", 'Equipment Information'!A318)</f>
        <v/>
      </c>
      <c r="B318" t="str">
        <f>IF('Equipment Information'!B318="","", 'Equipment Information'!B318)</f>
        <v/>
      </c>
      <c r="C318" t="str">
        <f>IF('Equipment Information'!C318="","", 'Equipment Information'!C318)</f>
        <v/>
      </c>
      <c r="H318" t="str">
        <f t="shared" si="4"/>
        <v/>
      </c>
    </row>
    <row r="319" spans="1:8" x14ac:dyDescent="0.25">
      <c r="A319" t="str">
        <f>IF('Equipment Information'!A319="","", 'Equipment Information'!A319)</f>
        <v/>
      </c>
      <c r="B319" t="str">
        <f>IF('Equipment Information'!B319="","", 'Equipment Information'!B319)</f>
        <v/>
      </c>
      <c r="C319" t="str">
        <f>IF('Equipment Information'!C319="","", 'Equipment Information'!C319)</f>
        <v/>
      </c>
      <c r="H319" t="str">
        <f t="shared" si="4"/>
        <v/>
      </c>
    </row>
    <row r="320" spans="1:8" x14ac:dyDescent="0.25">
      <c r="A320" t="str">
        <f>IF('Equipment Information'!A320="","", 'Equipment Information'!A320)</f>
        <v/>
      </c>
      <c r="B320" t="str">
        <f>IF('Equipment Information'!B320="","", 'Equipment Information'!B320)</f>
        <v/>
      </c>
      <c r="C320" t="str">
        <f>IF('Equipment Information'!C320="","", 'Equipment Information'!C320)</f>
        <v/>
      </c>
      <c r="H320" t="str">
        <f t="shared" si="4"/>
        <v/>
      </c>
    </row>
    <row r="321" spans="1:8" x14ac:dyDescent="0.25">
      <c r="A321" t="str">
        <f>IF('Equipment Information'!A321="","", 'Equipment Information'!A321)</f>
        <v/>
      </c>
      <c r="B321" t="str">
        <f>IF('Equipment Information'!B321="","", 'Equipment Information'!B321)</f>
        <v/>
      </c>
      <c r="C321" t="str">
        <f>IF('Equipment Information'!C321="","", 'Equipment Information'!C321)</f>
        <v/>
      </c>
      <c r="H321" t="str">
        <f t="shared" si="4"/>
        <v/>
      </c>
    </row>
    <row r="322" spans="1:8" x14ac:dyDescent="0.25">
      <c r="A322" t="str">
        <f>IF('Equipment Information'!A322="","", 'Equipment Information'!A322)</f>
        <v/>
      </c>
      <c r="B322" t="str">
        <f>IF('Equipment Information'!B322="","", 'Equipment Information'!B322)</f>
        <v/>
      </c>
      <c r="C322" t="str">
        <f>IF('Equipment Information'!C322="","", 'Equipment Information'!C322)</f>
        <v/>
      </c>
      <c r="H322" t="str">
        <f t="shared" ref="H322:H385" si="5">IF(A322="","","N/A")</f>
        <v/>
      </c>
    </row>
    <row r="323" spans="1:8" x14ac:dyDescent="0.25">
      <c r="A323" t="str">
        <f>IF('Equipment Information'!A323="","", 'Equipment Information'!A323)</f>
        <v/>
      </c>
      <c r="B323" t="str">
        <f>IF('Equipment Information'!B323="","", 'Equipment Information'!B323)</f>
        <v/>
      </c>
      <c r="C323" t="str">
        <f>IF('Equipment Information'!C323="","", 'Equipment Information'!C323)</f>
        <v/>
      </c>
      <c r="H323" t="str">
        <f t="shared" si="5"/>
        <v/>
      </c>
    </row>
    <row r="324" spans="1:8" x14ac:dyDescent="0.25">
      <c r="A324" t="str">
        <f>IF('Equipment Information'!A324="","", 'Equipment Information'!A324)</f>
        <v/>
      </c>
      <c r="B324" t="str">
        <f>IF('Equipment Information'!B324="","", 'Equipment Information'!B324)</f>
        <v/>
      </c>
      <c r="C324" t="str">
        <f>IF('Equipment Information'!C324="","", 'Equipment Information'!C324)</f>
        <v/>
      </c>
      <c r="H324" t="str">
        <f t="shared" si="5"/>
        <v/>
      </c>
    </row>
    <row r="325" spans="1:8" x14ac:dyDescent="0.25">
      <c r="A325" t="str">
        <f>IF('Equipment Information'!A325="","", 'Equipment Information'!A325)</f>
        <v/>
      </c>
      <c r="B325" t="str">
        <f>IF('Equipment Information'!B325="","", 'Equipment Information'!B325)</f>
        <v/>
      </c>
      <c r="C325" t="str">
        <f>IF('Equipment Information'!C325="","", 'Equipment Information'!C325)</f>
        <v/>
      </c>
      <c r="H325" t="str">
        <f t="shared" si="5"/>
        <v/>
      </c>
    </row>
    <row r="326" spans="1:8" x14ac:dyDescent="0.25">
      <c r="A326" t="str">
        <f>IF('Equipment Information'!A326="","", 'Equipment Information'!A326)</f>
        <v/>
      </c>
      <c r="B326" t="str">
        <f>IF('Equipment Information'!B326="","", 'Equipment Information'!B326)</f>
        <v/>
      </c>
      <c r="C326" t="str">
        <f>IF('Equipment Information'!C326="","", 'Equipment Information'!C326)</f>
        <v/>
      </c>
      <c r="H326" t="str">
        <f t="shared" si="5"/>
        <v/>
      </c>
    </row>
    <row r="327" spans="1:8" x14ac:dyDescent="0.25">
      <c r="A327" t="str">
        <f>IF('Equipment Information'!A327="","", 'Equipment Information'!A327)</f>
        <v/>
      </c>
      <c r="B327" t="str">
        <f>IF('Equipment Information'!B327="","", 'Equipment Information'!B327)</f>
        <v/>
      </c>
      <c r="C327" t="str">
        <f>IF('Equipment Information'!C327="","", 'Equipment Information'!C327)</f>
        <v/>
      </c>
      <c r="H327" t="str">
        <f t="shared" si="5"/>
        <v/>
      </c>
    </row>
    <row r="328" spans="1:8" x14ac:dyDescent="0.25">
      <c r="A328" t="str">
        <f>IF('Equipment Information'!A328="","", 'Equipment Information'!A328)</f>
        <v/>
      </c>
      <c r="B328" t="str">
        <f>IF('Equipment Information'!B328="","", 'Equipment Information'!B328)</f>
        <v/>
      </c>
      <c r="C328" t="str">
        <f>IF('Equipment Information'!C328="","", 'Equipment Information'!C328)</f>
        <v/>
      </c>
      <c r="H328" t="str">
        <f t="shared" si="5"/>
        <v/>
      </c>
    </row>
    <row r="329" spans="1:8" x14ac:dyDescent="0.25">
      <c r="A329" t="str">
        <f>IF('Equipment Information'!A329="","", 'Equipment Information'!A329)</f>
        <v/>
      </c>
      <c r="B329" t="str">
        <f>IF('Equipment Information'!B329="","", 'Equipment Information'!B329)</f>
        <v/>
      </c>
      <c r="C329" t="str">
        <f>IF('Equipment Information'!C329="","", 'Equipment Information'!C329)</f>
        <v/>
      </c>
      <c r="H329" t="str">
        <f t="shared" si="5"/>
        <v/>
      </c>
    </row>
    <row r="330" spans="1:8" x14ac:dyDescent="0.25">
      <c r="A330" t="str">
        <f>IF('Equipment Information'!A330="","", 'Equipment Information'!A330)</f>
        <v/>
      </c>
      <c r="B330" t="str">
        <f>IF('Equipment Information'!B330="","", 'Equipment Information'!B330)</f>
        <v/>
      </c>
      <c r="C330" t="str">
        <f>IF('Equipment Information'!C330="","", 'Equipment Information'!C330)</f>
        <v/>
      </c>
      <c r="H330" t="str">
        <f t="shared" si="5"/>
        <v/>
      </c>
    </row>
    <row r="331" spans="1:8" x14ac:dyDescent="0.25">
      <c r="A331" t="str">
        <f>IF('Equipment Information'!A331="","", 'Equipment Information'!A331)</f>
        <v/>
      </c>
      <c r="B331" t="str">
        <f>IF('Equipment Information'!B331="","", 'Equipment Information'!B331)</f>
        <v/>
      </c>
      <c r="C331" t="str">
        <f>IF('Equipment Information'!C331="","", 'Equipment Information'!C331)</f>
        <v/>
      </c>
      <c r="H331" t="str">
        <f t="shared" si="5"/>
        <v/>
      </c>
    </row>
    <row r="332" spans="1:8" x14ac:dyDescent="0.25">
      <c r="A332" t="str">
        <f>IF('Equipment Information'!A332="","", 'Equipment Information'!A332)</f>
        <v/>
      </c>
      <c r="B332" t="str">
        <f>IF('Equipment Information'!B332="","", 'Equipment Information'!B332)</f>
        <v/>
      </c>
      <c r="C332" t="str">
        <f>IF('Equipment Information'!C332="","", 'Equipment Information'!C332)</f>
        <v/>
      </c>
      <c r="H332" t="str">
        <f t="shared" si="5"/>
        <v/>
      </c>
    </row>
    <row r="333" spans="1:8" x14ac:dyDescent="0.25">
      <c r="A333" t="str">
        <f>IF('Equipment Information'!A333="","", 'Equipment Information'!A333)</f>
        <v/>
      </c>
      <c r="B333" t="str">
        <f>IF('Equipment Information'!B333="","", 'Equipment Information'!B333)</f>
        <v/>
      </c>
      <c r="C333" t="str">
        <f>IF('Equipment Information'!C333="","", 'Equipment Information'!C333)</f>
        <v/>
      </c>
      <c r="H333" t="str">
        <f t="shared" si="5"/>
        <v/>
      </c>
    </row>
    <row r="334" spans="1:8" x14ac:dyDescent="0.25">
      <c r="A334" t="str">
        <f>IF('Equipment Information'!A334="","", 'Equipment Information'!A334)</f>
        <v/>
      </c>
      <c r="B334" t="str">
        <f>IF('Equipment Information'!B334="","", 'Equipment Information'!B334)</f>
        <v/>
      </c>
      <c r="C334" t="str">
        <f>IF('Equipment Information'!C334="","", 'Equipment Information'!C334)</f>
        <v/>
      </c>
      <c r="H334" t="str">
        <f t="shared" si="5"/>
        <v/>
      </c>
    </row>
    <row r="335" spans="1:8" x14ac:dyDescent="0.25">
      <c r="A335" t="str">
        <f>IF('Equipment Information'!A335="","", 'Equipment Information'!A335)</f>
        <v/>
      </c>
      <c r="B335" t="str">
        <f>IF('Equipment Information'!B335="","", 'Equipment Information'!B335)</f>
        <v/>
      </c>
      <c r="C335" t="str">
        <f>IF('Equipment Information'!C335="","", 'Equipment Information'!C335)</f>
        <v/>
      </c>
      <c r="H335" t="str">
        <f t="shared" si="5"/>
        <v/>
      </c>
    </row>
    <row r="336" spans="1:8" x14ac:dyDescent="0.25">
      <c r="A336" t="str">
        <f>IF('Equipment Information'!A336="","", 'Equipment Information'!A336)</f>
        <v/>
      </c>
      <c r="B336" t="str">
        <f>IF('Equipment Information'!B336="","", 'Equipment Information'!B336)</f>
        <v/>
      </c>
      <c r="C336" t="str">
        <f>IF('Equipment Information'!C336="","", 'Equipment Information'!C336)</f>
        <v/>
      </c>
      <c r="H336" t="str">
        <f t="shared" si="5"/>
        <v/>
      </c>
    </row>
    <row r="337" spans="1:8" x14ac:dyDescent="0.25">
      <c r="A337" t="str">
        <f>IF('Equipment Information'!A337="","", 'Equipment Information'!A337)</f>
        <v/>
      </c>
      <c r="B337" t="str">
        <f>IF('Equipment Information'!B337="","", 'Equipment Information'!B337)</f>
        <v/>
      </c>
      <c r="C337" t="str">
        <f>IF('Equipment Information'!C337="","", 'Equipment Information'!C337)</f>
        <v/>
      </c>
      <c r="H337" t="str">
        <f t="shared" si="5"/>
        <v/>
      </c>
    </row>
    <row r="338" spans="1:8" x14ac:dyDescent="0.25">
      <c r="A338" t="str">
        <f>IF('Equipment Information'!A338="","", 'Equipment Information'!A338)</f>
        <v/>
      </c>
      <c r="B338" t="str">
        <f>IF('Equipment Information'!B338="","", 'Equipment Information'!B338)</f>
        <v/>
      </c>
      <c r="C338" t="str">
        <f>IF('Equipment Information'!C338="","", 'Equipment Information'!C338)</f>
        <v/>
      </c>
      <c r="H338" t="str">
        <f t="shared" si="5"/>
        <v/>
      </c>
    </row>
    <row r="339" spans="1:8" x14ac:dyDescent="0.25">
      <c r="A339" t="str">
        <f>IF('Equipment Information'!A339="","", 'Equipment Information'!A339)</f>
        <v/>
      </c>
      <c r="B339" t="str">
        <f>IF('Equipment Information'!B339="","", 'Equipment Information'!B339)</f>
        <v/>
      </c>
      <c r="C339" t="str">
        <f>IF('Equipment Information'!C339="","", 'Equipment Information'!C339)</f>
        <v/>
      </c>
      <c r="H339" t="str">
        <f t="shared" si="5"/>
        <v/>
      </c>
    </row>
    <row r="340" spans="1:8" x14ac:dyDescent="0.25">
      <c r="A340" t="str">
        <f>IF('Equipment Information'!A340="","", 'Equipment Information'!A340)</f>
        <v/>
      </c>
      <c r="B340" t="str">
        <f>IF('Equipment Information'!B340="","", 'Equipment Information'!B340)</f>
        <v/>
      </c>
      <c r="C340" t="str">
        <f>IF('Equipment Information'!C340="","", 'Equipment Information'!C340)</f>
        <v/>
      </c>
      <c r="H340" t="str">
        <f t="shared" si="5"/>
        <v/>
      </c>
    </row>
    <row r="341" spans="1:8" x14ac:dyDescent="0.25">
      <c r="A341" t="str">
        <f>IF('Equipment Information'!A341="","", 'Equipment Information'!A341)</f>
        <v/>
      </c>
      <c r="B341" t="str">
        <f>IF('Equipment Information'!B341="","", 'Equipment Information'!B341)</f>
        <v/>
      </c>
      <c r="C341" t="str">
        <f>IF('Equipment Information'!C341="","", 'Equipment Information'!C341)</f>
        <v/>
      </c>
      <c r="H341" t="str">
        <f t="shared" si="5"/>
        <v/>
      </c>
    </row>
    <row r="342" spans="1:8" x14ac:dyDescent="0.25">
      <c r="A342" t="str">
        <f>IF('Equipment Information'!A342="","", 'Equipment Information'!A342)</f>
        <v/>
      </c>
      <c r="B342" t="str">
        <f>IF('Equipment Information'!B342="","", 'Equipment Information'!B342)</f>
        <v/>
      </c>
      <c r="C342" t="str">
        <f>IF('Equipment Information'!C342="","", 'Equipment Information'!C342)</f>
        <v/>
      </c>
      <c r="H342" t="str">
        <f t="shared" si="5"/>
        <v/>
      </c>
    </row>
    <row r="343" spans="1:8" x14ac:dyDescent="0.25">
      <c r="A343" t="str">
        <f>IF('Equipment Information'!A343="","", 'Equipment Information'!A343)</f>
        <v/>
      </c>
      <c r="B343" t="str">
        <f>IF('Equipment Information'!B343="","", 'Equipment Information'!B343)</f>
        <v/>
      </c>
      <c r="C343" t="str">
        <f>IF('Equipment Information'!C343="","", 'Equipment Information'!C343)</f>
        <v/>
      </c>
      <c r="H343" t="str">
        <f t="shared" si="5"/>
        <v/>
      </c>
    </row>
    <row r="344" spans="1:8" x14ac:dyDescent="0.25">
      <c r="A344" t="str">
        <f>IF('Equipment Information'!A344="","", 'Equipment Information'!A344)</f>
        <v/>
      </c>
      <c r="B344" t="str">
        <f>IF('Equipment Information'!B344="","", 'Equipment Information'!B344)</f>
        <v/>
      </c>
      <c r="C344" t="str">
        <f>IF('Equipment Information'!C344="","", 'Equipment Information'!C344)</f>
        <v/>
      </c>
      <c r="H344" t="str">
        <f t="shared" si="5"/>
        <v/>
      </c>
    </row>
    <row r="345" spans="1:8" x14ac:dyDescent="0.25">
      <c r="A345" t="str">
        <f>IF('Equipment Information'!A345="","", 'Equipment Information'!A345)</f>
        <v/>
      </c>
      <c r="B345" t="str">
        <f>IF('Equipment Information'!B345="","", 'Equipment Information'!B345)</f>
        <v/>
      </c>
      <c r="C345" t="str">
        <f>IF('Equipment Information'!C345="","", 'Equipment Information'!C345)</f>
        <v/>
      </c>
      <c r="H345" t="str">
        <f t="shared" si="5"/>
        <v/>
      </c>
    </row>
    <row r="346" spans="1:8" x14ac:dyDescent="0.25">
      <c r="A346" t="str">
        <f>IF('Equipment Information'!A346="","", 'Equipment Information'!A346)</f>
        <v/>
      </c>
      <c r="B346" t="str">
        <f>IF('Equipment Information'!B346="","", 'Equipment Information'!B346)</f>
        <v/>
      </c>
      <c r="C346" t="str">
        <f>IF('Equipment Information'!C346="","", 'Equipment Information'!C346)</f>
        <v/>
      </c>
      <c r="H346" t="str">
        <f t="shared" si="5"/>
        <v/>
      </c>
    </row>
    <row r="347" spans="1:8" x14ac:dyDescent="0.25">
      <c r="A347" t="str">
        <f>IF('Equipment Information'!A347="","", 'Equipment Information'!A347)</f>
        <v/>
      </c>
      <c r="B347" t="str">
        <f>IF('Equipment Information'!B347="","", 'Equipment Information'!B347)</f>
        <v/>
      </c>
      <c r="C347" t="str">
        <f>IF('Equipment Information'!C347="","", 'Equipment Information'!C347)</f>
        <v/>
      </c>
      <c r="H347" t="str">
        <f t="shared" si="5"/>
        <v/>
      </c>
    </row>
    <row r="348" spans="1:8" x14ac:dyDescent="0.25">
      <c r="A348" t="str">
        <f>IF('Equipment Information'!A348="","", 'Equipment Information'!A348)</f>
        <v/>
      </c>
      <c r="B348" t="str">
        <f>IF('Equipment Information'!B348="","", 'Equipment Information'!B348)</f>
        <v/>
      </c>
      <c r="C348" t="str">
        <f>IF('Equipment Information'!C348="","", 'Equipment Information'!C348)</f>
        <v/>
      </c>
      <c r="H348" t="str">
        <f t="shared" si="5"/>
        <v/>
      </c>
    </row>
    <row r="349" spans="1:8" x14ac:dyDescent="0.25">
      <c r="A349" t="str">
        <f>IF('Equipment Information'!A349="","", 'Equipment Information'!A349)</f>
        <v/>
      </c>
      <c r="B349" t="str">
        <f>IF('Equipment Information'!B349="","", 'Equipment Information'!B349)</f>
        <v/>
      </c>
      <c r="C349" t="str">
        <f>IF('Equipment Information'!C349="","", 'Equipment Information'!C349)</f>
        <v/>
      </c>
      <c r="H349" t="str">
        <f t="shared" si="5"/>
        <v/>
      </c>
    </row>
    <row r="350" spans="1:8" x14ac:dyDescent="0.25">
      <c r="A350" t="str">
        <f>IF('Equipment Information'!A350="","", 'Equipment Information'!A350)</f>
        <v/>
      </c>
      <c r="B350" t="str">
        <f>IF('Equipment Information'!B350="","", 'Equipment Information'!B350)</f>
        <v/>
      </c>
      <c r="C350" t="str">
        <f>IF('Equipment Information'!C350="","", 'Equipment Information'!C350)</f>
        <v/>
      </c>
      <c r="H350" t="str">
        <f t="shared" si="5"/>
        <v/>
      </c>
    </row>
    <row r="351" spans="1:8" x14ac:dyDescent="0.25">
      <c r="A351" t="str">
        <f>IF('Equipment Information'!A351="","", 'Equipment Information'!A351)</f>
        <v/>
      </c>
      <c r="B351" t="str">
        <f>IF('Equipment Information'!B351="","", 'Equipment Information'!B351)</f>
        <v/>
      </c>
      <c r="C351" t="str">
        <f>IF('Equipment Information'!C351="","", 'Equipment Information'!C351)</f>
        <v/>
      </c>
      <c r="H351" t="str">
        <f t="shared" si="5"/>
        <v/>
      </c>
    </row>
    <row r="352" spans="1:8" x14ac:dyDescent="0.25">
      <c r="A352" t="str">
        <f>IF('Equipment Information'!A352="","", 'Equipment Information'!A352)</f>
        <v/>
      </c>
      <c r="B352" t="str">
        <f>IF('Equipment Information'!B352="","", 'Equipment Information'!B352)</f>
        <v/>
      </c>
      <c r="C352" t="str">
        <f>IF('Equipment Information'!C352="","", 'Equipment Information'!C352)</f>
        <v/>
      </c>
      <c r="H352" t="str">
        <f t="shared" si="5"/>
        <v/>
      </c>
    </row>
    <row r="353" spans="1:8" x14ac:dyDescent="0.25">
      <c r="A353" t="str">
        <f>IF('Equipment Information'!A353="","", 'Equipment Information'!A353)</f>
        <v/>
      </c>
      <c r="B353" t="str">
        <f>IF('Equipment Information'!B353="","", 'Equipment Information'!B353)</f>
        <v/>
      </c>
      <c r="C353" t="str">
        <f>IF('Equipment Information'!C353="","", 'Equipment Information'!C353)</f>
        <v/>
      </c>
      <c r="H353" t="str">
        <f t="shared" si="5"/>
        <v/>
      </c>
    </row>
    <row r="354" spans="1:8" x14ac:dyDescent="0.25">
      <c r="A354" t="str">
        <f>IF('Equipment Information'!A354="","", 'Equipment Information'!A354)</f>
        <v/>
      </c>
      <c r="B354" t="str">
        <f>IF('Equipment Information'!B354="","", 'Equipment Information'!B354)</f>
        <v/>
      </c>
      <c r="C354" t="str">
        <f>IF('Equipment Information'!C354="","", 'Equipment Information'!C354)</f>
        <v/>
      </c>
      <c r="H354" t="str">
        <f t="shared" si="5"/>
        <v/>
      </c>
    </row>
    <row r="355" spans="1:8" x14ac:dyDescent="0.25">
      <c r="A355" t="str">
        <f>IF('Equipment Information'!A355="","", 'Equipment Information'!A355)</f>
        <v/>
      </c>
      <c r="B355" t="str">
        <f>IF('Equipment Information'!B355="","", 'Equipment Information'!B355)</f>
        <v/>
      </c>
      <c r="C355" t="str">
        <f>IF('Equipment Information'!C355="","", 'Equipment Information'!C355)</f>
        <v/>
      </c>
      <c r="H355" t="str">
        <f t="shared" si="5"/>
        <v/>
      </c>
    </row>
    <row r="356" spans="1:8" x14ac:dyDescent="0.25">
      <c r="A356" t="str">
        <f>IF('Equipment Information'!A356="","", 'Equipment Information'!A356)</f>
        <v/>
      </c>
      <c r="B356" t="str">
        <f>IF('Equipment Information'!B356="","", 'Equipment Information'!B356)</f>
        <v/>
      </c>
      <c r="C356" t="str">
        <f>IF('Equipment Information'!C356="","", 'Equipment Information'!C356)</f>
        <v/>
      </c>
      <c r="H356" t="str">
        <f t="shared" si="5"/>
        <v/>
      </c>
    </row>
    <row r="357" spans="1:8" x14ac:dyDescent="0.25">
      <c r="A357" t="str">
        <f>IF('Equipment Information'!A357="","", 'Equipment Information'!A357)</f>
        <v/>
      </c>
      <c r="B357" t="str">
        <f>IF('Equipment Information'!B357="","", 'Equipment Information'!B357)</f>
        <v/>
      </c>
      <c r="C357" t="str">
        <f>IF('Equipment Information'!C357="","", 'Equipment Information'!C357)</f>
        <v/>
      </c>
      <c r="H357" t="str">
        <f t="shared" si="5"/>
        <v/>
      </c>
    </row>
    <row r="358" spans="1:8" x14ac:dyDescent="0.25">
      <c r="A358" t="str">
        <f>IF('Equipment Information'!A358="","", 'Equipment Information'!A358)</f>
        <v/>
      </c>
      <c r="B358" t="str">
        <f>IF('Equipment Information'!B358="","", 'Equipment Information'!B358)</f>
        <v/>
      </c>
      <c r="C358" t="str">
        <f>IF('Equipment Information'!C358="","", 'Equipment Information'!C358)</f>
        <v/>
      </c>
      <c r="H358" t="str">
        <f t="shared" si="5"/>
        <v/>
      </c>
    </row>
    <row r="359" spans="1:8" x14ac:dyDescent="0.25">
      <c r="A359" t="str">
        <f>IF('Equipment Information'!A359="","", 'Equipment Information'!A359)</f>
        <v/>
      </c>
      <c r="B359" t="str">
        <f>IF('Equipment Information'!B359="","", 'Equipment Information'!B359)</f>
        <v/>
      </c>
      <c r="C359" t="str">
        <f>IF('Equipment Information'!C359="","", 'Equipment Information'!C359)</f>
        <v/>
      </c>
      <c r="H359" t="str">
        <f t="shared" si="5"/>
        <v/>
      </c>
    </row>
    <row r="360" spans="1:8" x14ac:dyDescent="0.25">
      <c r="A360" t="str">
        <f>IF('Equipment Information'!A360="","", 'Equipment Information'!A360)</f>
        <v/>
      </c>
      <c r="B360" t="str">
        <f>IF('Equipment Information'!B360="","", 'Equipment Information'!B360)</f>
        <v/>
      </c>
      <c r="C360" t="str">
        <f>IF('Equipment Information'!C360="","", 'Equipment Information'!C360)</f>
        <v/>
      </c>
      <c r="H360" t="str">
        <f t="shared" si="5"/>
        <v/>
      </c>
    </row>
    <row r="361" spans="1:8" x14ac:dyDescent="0.25">
      <c r="A361" t="str">
        <f>IF('Equipment Information'!A361="","", 'Equipment Information'!A361)</f>
        <v/>
      </c>
      <c r="B361" t="str">
        <f>IF('Equipment Information'!B361="","", 'Equipment Information'!B361)</f>
        <v/>
      </c>
      <c r="C361" t="str">
        <f>IF('Equipment Information'!C361="","", 'Equipment Information'!C361)</f>
        <v/>
      </c>
      <c r="H361" t="str">
        <f t="shared" si="5"/>
        <v/>
      </c>
    </row>
    <row r="362" spans="1:8" x14ac:dyDescent="0.25">
      <c r="A362" t="str">
        <f>IF('Equipment Information'!A362="","", 'Equipment Information'!A362)</f>
        <v/>
      </c>
      <c r="B362" t="str">
        <f>IF('Equipment Information'!B362="","", 'Equipment Information'!B362)</f>
        <v/>
      </c>
      <c r="C362" t="str">
        <f>IF('Equipment Information'!C362="","", 'Equipment Information'!C362)</f>
        <v/>
      </c>
      <c r="H362" t="str">
        <f t="shared" si="5"/>
        <v/>
      </c>
    </row>
    <row r="363" spans="1:8" x14ac:dyDescent="0.25">
      <c r="A363" t="str">
        <f>IF('Equipment Information'!A363="","", 'Equipment Information'!A363)</f>
        <v/>
      </c>
      <c r="B363" t="str">
        <f>IF('Equipment Information'!B363="","", 'Equipment Information'!B363)</f>
        <v/>
      </c>
      <c r="C363" t="str">
        <f>IF('Equipment Information'!C363="","", 'Equipment Information'!C363)</f>
        <v/>
      </c>
      <c r="H363" t="str">
        <f t="shared" si="5"/>
        <v/>
      </c>
    </row>
    <row r="364" spans="1:8" x14ac:dyDescent="0.25">
      <c r="A364" t="str">
        <f>IF('Equipment Information'!A364="","", 'Equipment Information'!A364)</f>
        <v/>
      </c>
      <c r="B364" t="str">
        <f>IF('Equipment Information'!B364="","", 'Equipment Information'!B364)</f>
        <v/>
      </c>
      <c r="C364" t="str">
        <f>IF('Equipment Information'!C364="","", 'Equipment Information'!C364)</f>
        <v/>
      </c>
      <c r="H364" t="str">
        <f t="shared" si="5"/>
        <v/>
      </c>
    </row>
    <row r="365" spans="1:8" x14ac:dyDescent="0.25">
      <c r="A365" t="str">
        <f>IF('Equipment Information'!A365="","", 'Equipment Information'!A365)</f>
        <v/>
      </c>
      <c r="B365" t="str">
        <f>IF('Equipment Information'!B365="","", 'Equipment Information'!B365)</f>
        <v/>
      </c>
      <c r="C365" t="str">
        <f>IF('Equipment Information'!C365="","", 'Equipment Information'!C365)</f>
        <v/>
      </c>
      <c r="H365" t="str">
        <f t="shared" si="5"/>
        <v/>
      </c>
    </row>
    <row r="366" spans="1:8" x14ac:dyDescent="0.25">
      <c r="A366" t="str">
        <f>IF('Equipment Information'!A366="","", 'Equipment Information'!A366)</f>
        <v/>
      </c>
      <c r="B366" t="str">
        <f>IF('Equipment Information'!B366="","", 'Equipment Information'!B366)</f>
        <v/>
      </c>
      <c r="C366" t="str">
        <f>IF('Equipment Information'!C366="","", 'Equipment Information'!C366)</f>
        <v/>
      </c>
      <c r="H366" t="str">
        <f t="shared" si="5"/>
        <v/>
      </c>
    </row>
    <row r="367" spans="1:8" x14ac:dyDescent="0.25">
      <c r="A367" t="str">
        <f>IF('Equipment Information'!A367="","", 'Equipment Information'!A367)</f>
        <v/>
      </c>
      <c r="B367" t="str">
        <f>IF('Equipment Information'!B367="","", 'Equipment Information'!B367)</f>
        <v/>
      </c>
      <c r="C367" t="str">
        <f>IF('Equipment Information'!C367="","", 'Equipment Information'!C367)</f>
        <v/>
      </c>
      <c r="H367" t="str">
        <f t="shared" si="5"/>
        <v/>
      </c>
    </row>
    <row r="368" spans="1:8" x14ac:dyDescent="0.25">
      <c r="A368" t="str">
        <f>IF('Equipment Information'!A368="","", 'Equipment Information'!A368)</f>
        <v/>
      </c>
      <c r="B368" t="str">
        <f>IF('Equipment Information'!B368="","", 'Equipment Information'!B368)</f>
        <v/>
      </c>
      <c r="C368" t="str">
        <f>IF('Equipment Information'!C368="","", 'Equipment Information'!C368)</f>
        <v/>
      </c>
      <c r="H368" t="str">
        <f t="shared" si="5"/>
        <v/>
      </c>
    </row>
    <row r="369" spans="1:8" x14ac:dyDescent="0.25">
      <c r="A369" t="str">
        <f>IF('Equipment Information'!A369="","", 'Equipment Information'!A369)</f>
        <v/>
      </c>
      <c r="B369" t="str">
        <f>IF('Equipment Information'!B369="","", 'Equipment Information'!B369)</f>
        <v/>
      </c>
      <c r="C369" t="str">
        <f>IF('Equipment Information'!C369="","", 'Equipment Information'!C369)</f>
        <v/>
      </c>
      <c r="H369" t="str">
        <f t="shared" si="5"/>
        <v/>
      </c>
    </row>
    <row r="370" spans="1:8" x14ac:dyDescent="0.25">
      <c r="A370" t="str">
        <f>IF('Equipment Information'!A370="","", 'Equipment Information'!A370)</f>
        <v/>
      </c>
      <c r="B370" t="str">
        <f>IF('Equipment Information'!B370="","", 'Equipment Information'!B370)</f>
        <v/>
      </c>
      <c r="C370" t="str">
        <f>IF('Equipment Information'!C370="","", 'Equipment Information'!C370)</f>
        <v/>
      </c>
      <c r="H370" t="str">
        <f t="shared" si="5"/>
        <v/>
      </c>
    </row>
    <row r="371" spans="1:8" x14ac:dyDescent="0.25">
      <c r="A371" t="str">
        <f>IF('Equipment Information'!A371="","", 'Equipment Information'!A371)</f>
        <v/>
      </c>
      <c r="B371" t="str">
        <f>IF('Equipment Information'!B371="","", 'Equipment Information'!B371)</f>
        <v/>
      </c>
      <c r="C371" t="str">
        <f>IF('Equipment Information'!C371="","", 'Equipment Information'!C371)</f>
        <v/>
      </c>
      <c r="H371" t="str">
        <f t="shared" si="5"/>
        <v/>
      </c>
    </row>
    <row r="372" spans="1:8" x14ac:dyDescent="0.25">
      <c r="A372" t="str">
        <f>IF('Equipment Information'!A372="","", 'Equipment Information'!A372)</f>
        <v/>
      </c>
      <c r="B372" t="str">
        <f>IF('Equipment Information'!B372="","", 'Equipment Information'!B372)</f>
        <v/>
      </c>
      <c r="C372" t="str">
        <f>IF('Equipment Information'!C372="","", 'Equipment Information'!C372)</f>
        <v/>
      </c>
      <c r="H372" t="str">
        <f t="shared" si="5"/>
        <v/>
      </c>
    </row>
    <row r="373" spans="1:8" x14ac:dyDescent="0.25">
      <c r="A373" t="str">
        <f>IF('Equipment Information'!A373="","", 'Equipment Information'!A373)</f>
        <v/>
      </c>
      <c r="B373" t="str">
        <f>IF('Equipment Information'!B373="","", 'Equipment Information'!B373)</f>
        <v/>
      </c>
      <c r="C373" t="str">
        <f>IF('Equipment Information'!C373="","", 'Equipment Information'!C373)</f>
        <v/>
      </c>
      <c r="H373" t="str">
        <f t="shared" si="5"/>
        <v/>
      </c>
    </row>
    <row r="374" spans="1:8" x14ac:dyDescent="0.25">
      <c r="A374" t="str">
        <f>IF('Equipment Information'!A374="","", 'Equipment Information'!A374)</f>
        <v/>
      </c>
      <c r="B374" t="str">
        <f>IF('Equipment Information'!B374="","", 'Equipment Information'!B374)</f>
        <v/>
      </c>
      <c r="C374" t="str">
        <f>IF('Equipment Information'!C374="","", 'Equipment Information'!C374)</f>
        <v/>
      </c>
      <c r="H374" t="str">
        <f t="shared" si="5"/>
        <v/>
      </c>
    </row>
    <row r="375" spans="1:8" x14ac:dyDescent="0.25">
      <c r="A375" t="str">
        <f>IF('Equipment Information'!A375="","", 'Equipment Information'!A375)</f>
        <v/>
      </c>
      <c r="B375" t="str">
        <f>IF('Equipment Information'!B375="","", 'Equipment Information'!B375)</f>
        <v/>
      </c>
      <c r="C375" t="str">
        <f>IF('Equipment Information'!C375="","", 'Equipment Information'!C375)</f>
        <v/>
      </c>
      <c r="H375" t="str">
        <f t="shared" si="5"/>
        <v/>
      </c>
    </row>
    <row r="376" spans="1:8" x14ac:dyDescent="0.25">
      <c r="A376" t="str">
        <f>IF('Equipment Information'!A376="","", 'Equipment Information'!A376)</f>
        <v/>
      </c>
      <c r="B376" t="str">
        <f>IF('Equipment Information'!B376="","", 'Equipment Information'!B376)</f>
        <v/>
      </c>
      <c r="C376" t="str">
        <f>IF('Equipment Information'!C376="","", 'Equipment Information'!C376)</f>
        <v/>
      </c>
      <c r="H376" t="str">
        <f t="shared" si="5"/>
        <v/>
      </c>
    </row>
    <row r="377" spans="1:8" x14ac:dyDescent="0.25">
      <c r="A377" t="str">
        <f>IF('Equipment Information'!A377="","", 'Equipment Information'!A377)</f>
        <v/>
      </c>
      <c r="B377" t="str">
        <f>IF('Equipment Information'!B377="","", 'Equipment Information'!B377)</f>
        <v/>
      </c>
      <c r="C377" t="str">
        <f>IF('Equipment Information'!C377="","", 'Equipment Information'!C377)</f>
        <v/>
      </c>
      <c r="H377" t="str">
        <f t="shared" si="5"/>
        <v/>
      </c>
    </row>
    <row r="378" spans="1:8" x14ac:dyDescent="0.25">
      <c r="A378" t="str">
        <f>IF('Equipment Information'!A378="","", 'Equipment Information'!A378)</f>
        <v/>
      </c>
      <c r="B378" t="str">
        <f>IF('Equipment Information'!B378="","", 'Equipment Information'!B378)</f>
        <v/>
      </c>
      <c r="C378" t="str">
        <f>IF('Equipment Information'!C378="","", 'Equipment Information'!C378)</f>
        <v/>
      </c>
      <c r="H378" t="str">
        <f t="shared" si="5"/>
        <v/>
      </c>
    </row>
    <row r="379" spans="1:8" x14ac:dyDescent="0.25">
      <c r="A379" t="str">
        <f>IF('Equipment Information'!A379="","", 'Equipment Information'!A379)</f>
        <v/>
      </c>
      <c r="B379" t="str">
        <f>IF('Equipment Information'!B379="","", 'Equipment Information'!B379)</f>
        <v/>
      </c>
      <c r="C379" t="str">
        <f>IF('Equipment Information'!C379="","", 'Equipment Information'!C379)</f>
        <v/>
      </c>
      <c r="H379" t="str">
        <f t="shared" si="5"/>
        <v/>
      </c>
    </row>
    <row r="380" spans="1:8" x14ac:dyDescent="0.25">
      <c r="A380" t="str">
        <f>IF('Equipment Information'!A380="","", 'Equipment Information'!A380)</f>
        <v/>
      </c>
      <c r="B380" t="str">
        <f>IF('Equipment Information'!B380="","", 'Equipment Information'!B380)</f>
        <v/>
      </c>
      <c r="C380" t="str">
        <f>IF('Equipment Information'!C380="","", 'Equipment Information'!C380)</f>
        <v/>
      </c>
      <c r="H380" t="str">
        <f t="shared" si="5"/>
        <v/>
      </c>
    </row>
    <row r="381" spans="1:8" x14ac:dyDescent="0.25">
      <c r="A381" t="str">
        <f>IF('Equipment Information'!A381="","", 'Equipment Information'!A381)</f>
        <v/>
      </c>
      <c r="B381" t="str">
        <f>IF('Equipment Information'!B381="","", 'Equipment Information'!B381)</f>
        <v/>
      </c>
      <c r="C381" t="str">
        <f>IF('Equipment Information'!C381="","", 'Equipment Information'!C381)</f>
        <v/>
      </c>
      <c r="H381" t="str">
        <f t="shared" si="5"/>
        <v/>
      </c>
    </row>
    <row r="382" spans="1:8" x14ac:dyDescent="0.25">
      <c r="A382" t="str">
        <f>IF('Equipment Information'!A382="","", 'Equipment Information'!A382)</f>
        <v/>
      </c>
      <c r="B382" t="str">
        <f>IF('Equipment Information'!B382="","", 'Equipment Information'!B382)</f>
        <v/>
      </c>
      <c r="C382" t="str">
        <f>IF('Equipment Information'!C382="","", 'Equipment Information'!C382)</f>
        <v/>
      </c>
      <c r="H382" t="str">
        <f t="shared" si="5"/>
        <v/>
      </c>
    </row>
    <row r="383" spans="1:8" x14ac:dyDescent="0.25">
      <c r="A383" t="str">
        <f>IF('Equipment Information'!A383="","", 'Equipment Information'!A383)</f>
        <v/>
      </c>
      <c r="B383" t="str">
        <f>IF('Equipment Information'!B383="","", 'Equipment Information'!B383)</f>
        <v/>
      </c>
      <c r="C383" t="str">
        <f>IF('Equipment Information'!C383="","", 'Equipment Information'!C383)</f>
        <v/>
      </c>
      <c r="H383" t="str">
        <f t="shared" si="5"/>
        <v/>
      </c>
    </row>
    <row r="384" spans="1:8" x14ac:dyDescent="0.25">
      <c r="A384" t="str">
        <f>IF('Equipment Information'!A384="","", 'Equipment Information'!A384)</f>
        <v/>
      </c>
      <c r="B384" t="str">
        <f>IF('Equipment Information'!B384="","", 'Equipment Information'!B384)</f>
        <v/>
      </c>
      <c r="C384" t="str">
        <f>IF('Equipment Information'!C384="","", 'Equipment Information'!C384)</f>
        <v/>
      </c>
      <c r="H384" t="str">
        <f t="shared" si="5"/>
        <v/>
      </c>
    </row>
    <row r="385" spans="1:8" x14ac:dyDescent="0.25">
      <c r="A385" t="str">
        <f>IF('Equipment Information'!A385="","", 'Equipment Information'!A385)</f>
        <v/>
      </c>
      <c r="B385" t="str">
        <f>IF('Equipment Information'!B385="","", 'Equipment Information'!B385)</f>
        <v/>
      </c>
      <c r="C385" t="str">
        <f>IF('Equipment Information'!C385="","", 'Equipment Information'!C385)</f>
        <v/>
      </c>
      <c r="H385" t="str">
        <f t="shared" si="5"/>
        <v/>
      </c>
    </row>
    <row r="386" spans="1:8" x14ac:dyDescent="0.25">
      <c r="A386" t="str">
        <f>IF('Equipment Information'!A386="","", 'Equipment Information'!A386)</f>
        <v/>
      </c>
      <c r="B386" t="str">
        <f>IF('Equipment Information'!B386="","", 'Equipment Information'!B386)</f>
        <v/>
      </c>
      <c r="C386" t="str">
        <f>IF('Equipment Information'!C386="","", 'Equipment Information'!C386)</f>
        <v/>
      </c>
      <c r="H386" t="str">
        <f t="shared" ref="H386:H449" si="6">IF(A386="","","N/A")</f>
        <v/>
      </c>
    </row>
    <row r="387" spans="1:8" x14ac:dyDescent="0.25">
      <c r="A387" t="str">
        <f>IF('Equipment Information'!A387="","", 'Equipment Information'!A387)</f>
        <v/>
      </c>
      <c r="B387" t="str">
        <f>IF('Equipment Information'!B387="","", 'Equipment Information'!B387)</f>
        <v/>
      </c>
      <c r="C387" t="str">
        <f>IF('Equipment Information'!C387="","", 'Equipment Information'!C387)</f>
        <v/>
      </c>
      <c r="H387" t="str">
        <f t="shared" si="6"/>
        <v/>
      </c>
    </row>
    <row r="388" spans="1:8" x14ac:dyDescent="0.25">
      <c r="A388" t="str">
        <f>IF('Equipment Information'!A388="","", 'Equipment Information'!A388)</f>
        <v/>
      </c>
      <c r="B388" t="str">
        <f>IF('Equipment Information'!B388="","", 'Equipment Information'!B388)</f>
        <v/>
      </c>
      <c r="C388" t="str">
        <f>IF('Equipment Information'!C388="","", 'Equipment Information'!C388)</f>
        <v/>
      </c>
      <c r="H388" t="str">
        <f t="shared" si="6"/>
        <v/>
      </c>
    </row>
    <row r="389" spans="1:8" x14ac:dyDescent="0.25">
      <c r="A389" t="str">
        <f>IF('Equipment Information'!A389="","", 'Equipment Information'!A389)</f>
        <v/>
      </c>
      <c r="B389" t="str">
        <f>IF('Equipment Information'!B389="","", 'Equipment Information'!B389)</f>
        <v/>
      </c>
      <c r="C389" t="str">
        <f>IF('Equipment Information'!C389="","", 'Equipment Information'!C389)</f>
        <v/>
      </c>
      <c r="H389" t="str">
        <f t="shared" si="6"/>
        <v/>
      </c>
    </row>
    <row r="390" spans="1:8" x14ac:dyDescent="0.25">
      <c r="A390" t="str">
        <f>IF('Equipment Information'!A390="","", 'Equipment Information'!A390)</f>
        <v/>
      </c>
      <c r="B390" t="str">
        <f>IF('Equipment Information'!B390="","", 'Equipment Information'!B390)</f>
        <v/>
      </c>
      <c r="C390" t="str">
        <f>IF('Equipment Information'!C390="","", 'Equipment Information'!C390)</f>
        <v/>
      </c>
      <c r="H390" t="str">
        <f t="shared" si="6"/>
        <v/>
      </c>
    </row>
    <row r="391" spans="1:8" x14ac:dyDescent="0.25">
      <c r="A391" t="str">
        <f>IF('Equipment Information'!A391="","", 'Equipment Information'!A391)</f>
        <v/>
      </c>
      <c r="B391" t="str">
        <f>IF('Equipment Information'!B391="","", 'Equipment Information'!B391)</f>
        <v/>
      </c>
      <c r="C391" t="str">
        <f>IF('Equipment Information'!C391="","", 'Equipment Information'!C391)</f>
        <v/>
      </c>
      <c r="H391" t="str">
        <f t="shared" si="6"/>
        <v/>
      </c>
    </row>
    <row r="392" spans="1:8" x14ac:dyDescent="0.25">
      <c r="A392" t="str">
        <f>IF('Equipment Information'!A392="","", 'Equipment Information'!A392)</f>
        <v/>
      </c>
      <c r="B392" t="str">
        <f>IF('Equipment Information'!B392="","", 'Equipment Information'!B392)</f>
        <v/>
      </c>
      <c r="C392" t="str">
        <f>IF('Equipment Information'!C392="","", 'Equipment Information'!C392)</f>
        <v/>
      </c>
      <c r="H392" t="str">
        <f t="shared" si="6"/>
        <v/>
      </c>
    </row>
    <row r="393" spans="1:8" x14ac:dyDescent="0.25">
      <c r="A393" t="str">
        <f>IF('Equipment Information'!A393="","", 'Equipment Information'!A393)</f>
        <v/>
      </c>
      <c r="B393" t="str">
        <f>IF('Equipment Information'!B393="","", 'Equipment Information'!B393)</f>
        <v/>
      </c>
      <c r="C393" t="str">
        <f>IF('Equipment Information'!C393="","", 'Equipment Information'!C393)</f>
        <v/>
      </c>
      <c r="H393" t="str">
        <f t="shared" si="6"/>
        <v/>
      </c>
    </row>
    <row r="394" spans="1:8" x14ac:dyDescent="0.25">
      <c r="A394" t="str">
        <f>IF('Equipment Information'!A394="","", 'Equipment Information'!A394)</f>
        <v/>
      </c>
      <c r="B394" t="str">
        <f>IF('Equipment Information'!B394="","", 'Equipment Information'!B394)</f>
        <v/>
      </c>
      <c r="C394" t="str">
        <f>IF('Equipment Information'!C394="","", 'Equipment Information'!C394)</f>
        <v/>
      </c>
      <c r="H394" t="str">
        <f t="shared" si="6"/>
        <v/>
      </c>
    </row>
    <row r="395" spans="1:8" x14ac:dyDescent="0.25">
      <c r="A395" t="str">
        <f>IF('Equipment Information'!A395="","", 'Equipment Information'!A395)</f>
        <v/>
      </c>
      <c r="B395" t="str">
        <f>IF('Equipment Information'!B395="","", 'Equipment Information'!B395)</f>
        <v/>
      </c>
      <c r="C395" t="str">
        <f>IF('Equipment Information'!C395="","", 'Equipment Information'!C395)</f>
        <v/>
      </c>
      <c r="H395" t="str">
        <f t="shared" si="6"/>
        <v/>
      </c>
    </row>
    <row r="396" spans="1:8" x14ac:dyDescent="0.25">
      <c r="A396" t="str">
        <f>IF('Equipment Information'!A396="","", 'Equipment Information'!A396)</f>
        <v/>
      </c>
      <c r="B396" t="str">
        <f>IF('Equipment Information'!B396="","", 'Equipment Information'!B396)</f>
        <v/>
      </c>
      <c r="C396" t="str">
        <f>IF('Equipment Information'!C396="","", 'Equipment Information'!C396)</f>
        <v/>
      </c>
      <c r="H396" t="str">
        <f t="shared" si="6"/>
        <v/>
      </c>
    </row>
    <row r="397" spans="1:8" x14ac:dyDescent="0.25">
      <c r="A397" t="str">
        <f>IF('Equipment Information'!A397="","", 'Equipment Information'!A397)</f>
        <v/>
      </c>
      <c r="B397" t="str">
        <f>IF('Equipment Information'!B397="","", 'Equipment Information'!B397)</f>
        <v/>
      </c>
      <c r="C397" t="str">
        <f>IF('Equipment Information'!C397="","", 'Equipment Information'!C397)</f>
        <v/>
      </c>
      <c r="H397" t="str">
        <f t="shared" si="6"/>
        <v/>
      </c>
    </row>
    <row r="398" spans="1:8" x14ac:dyDescent="0.25">
      <c r="A398" t="str">
        <f>IF('Equipment Information'!A398="","", 'Equipment Information'!A398)</f>
        <v/>
      </c>
      <c r="B398" t="str">
        <f>IF('Equipment Information'!B398="","", 'Equipment Information'!B398)</f>
        <v/>
      </c>
      <c r="C398" t="str">
        <f>IF('Equipment Information'!C398="","", 'Equipment Information'!C398)</f>
        <v/>
      </c>
      <c r="H398" t="str">
        <f t="shared" si="6"/>
        <v/>
      </c>
    </row>
    <row r="399" spans="1:8" x14ac:dyDescent="0.25">
      <c r="A399" t="str">
        <f>IF('Equipment Information'!A399="","", 'Equipment Information'!A399)</f>
        <v/>
      </c>
      <c r="B399" t="str">
        <f>IF('Equipment Information'!B399="","", 'Equipment Information'!B399)</f>
        <v/>
      </c>
      <c r="C399" t="str">
        <f>IF('Equipment Information'!C399="","", 'Equipment Information'!C399)</f>
        <v/>
      </c>
      <c r="H399" t="str">
        <f t="shared" si="6"/>
        <v/>
      </c>
    </row>
    <row r="400" spans="1:8" x14ac:dyDescent="0.25">
      <c r="A400" t="str">
        <f>IF('Equipment Information'!A400="","", 'Equipment Information'!A400)</f>
        <v/>
      </c>
      <c r="B400" t="str">
        <f>IF('Equipment Information'!B400="","", 'Equipment Information'!B400)</f>
        <v/>
      </c>
      <c r="C400" t="str">
        <f>IF('Equipment Information'!C400="","", 'Equipment Information'!C400)</f>
        <v/>
      </c>
      <c r="H400" t="str">
        <f t="shared" si="6"/>
        <v/>
      </c>
    </row>
    <row r="401" spans="1:8" x14ac:dyDescent="0.25">
      <c r="A401" t="str">
        <f>IF('Equipment Information'!A401="","", 'Equipment Information'!A401)</f>
        <v/>
      </c>
      <c r="B401" t="str">
        <f>IF('Equipment Information'!B401="","", 'Equipment Information'!B401)</f>
        <v/>
      </c>
      <c r="C401" t="str">
        <f>IF('Equipment Information'!C401="","", 'Equipment Information'!C401)</f>
        <v/>
      </c>
      <c r="H401" t="str">
        <f t="shared" si="6"/>
        <v/>
      </c>
    </row>
    <row r="402" spans="1:8" x14ac:dyDescent="0.25">
      <c r="A402" t="str">
        <f>IF('Equipment Information'!A402="","", 'Equipment Information'!A402)</f>
        <v/>
      </c>
      <c r="B402" t="str">
        <f>IF('Equipment Information'!B402="","", 'Equipment Information'!B402)</f>
        <v/>
      </c>
      <c r="C402" t="str">
        <f>IF('Equipment Information'!C402="","", 'Equipment Information'!C402)</f>
        <v/>
      </c>
      <c r="H402" t="str">
        <f t="shared" si="6"/>
        <v/>
      </c>
    </row>
    <row r="403" spans="1:8" x14ac:dyDescent="0.25">
      <c r="A403" t="str">
        <f>IF('Equipment Information'!A403="","", 'Equipment Information'!A403)</f>
        <v/>
      </c>
      <c r="B403" t="str">
        <f>IF('Equipment Information'!B403="","", 'Equipment Information'!B403)</f>
        <v/>
      </c>
      <c r="C403" t="str">
        <f>IF('Equipment Information'!C403="","", 'Equipment Information'!C403)</f>
        <v/>
      </c>
      <c r="H403" t="str">
        <f t="shared" si="6"/>
        <v/>
      </c>
    </row>
    <row r="404" spans="1:8" x14ac:dyDescent="0.25">
      <c r="A404" t="str">
        <f>IF('Equipment Information'!A404="","", 'Equipment Information'!A404)</f>
        <v/>
      </c>
      <c r="B404" t="str">
        <f>IF('Equipment Information'!B404="","", 'Equipment Information'!B404)</f>
        <v/>
      </c>
      <c r="C404" t="str">
        <f>IF('Equipment Information'!C404="","", 'Equipment Information'!C404)</f>
        <v/>
      </c>
      <c r="H404" t="str">
        <f t="shared" si="6"/>
        <v/>
      </c>
    </row>
    <row r="405" spans="1:8" x14ac:dyDescent="0.25">
      <c r="A405" t="str">
        <f>IF('Equipment Information'!A405="","", 'Equipment Information'!A405)</f>
        <v/>
      </c>
      <c r="B405" t="str">
        <f>IF('Equipment Information'!B405="","", 'Equipment Information'!B405)</f>
        <v/>
      </c>
      <c r="C405" t="str">
        <f>IF('Equipment Information'!C405="","", 'Equipment Information'!C405)</f>
        <v/>
      </c>
      <c r="H405" t="str">
        <f t="shared" si="6"/>
        <v/>
      </c>
    </row>
    <row r="406" spans="1:8" x14ac:dyDescent="0.25">
      <c r="A406" t="str">
        <f>IF('Equipment Information'!A406="","", 'Equipment Information'!A406)</f>
        <v/>
      </c>
      <c r="B406" t="str">
        <f>IF('Equipment Information'!B406="","", 'Equipment Information'!B406)</f>
        <v/>
      </c>
      <c r="C406" t="str">
        <f>IF('Equipment Information'!C406="","", 'Equipment Information'!C406)</f>
        <v/>
      </c>
      <c r="H406" t="str">
        <f t="shared" si="6"/>
        <v/>
      </c>
    </row>
    <row r="407" spans="1:8" x14ac:dyDescent="0.25">
      <c r="A407" t="str">
        <f>IF('Equipment Information'!A407="","", 'Equipment Information'!A407)</f>
        <v/>
      </c>
      <c r="B407" t="str">
        <f>IF('Equipment Information'!B407="","", 'Equipment Information'!B407)</f>
        <v/>
      </c>
      <c r="C407" t="str">
        <f>IF('Equipment Information'!C407="","", 'Equipment Information'!C407)</f>
        <v/>
      </c>
      <c r="H407" t="str">
        <f t="shared" si="6"/>
        <v/>
      </c>
    </row>
    <row r="408" spans="1:8" x14ac:dyDescent="0.25">
      <c r="A408" t="str">
        <f>IF('Equipment Information'!A408="","", 'Equipment Information'!A408)</f>
        <v/>
      </c>
      <c r="B408" t="str">
        <f>IF('Equipment Information'!B408="","", 'Equipment Information'!B408)</f>
        <v/>
      </c>
      <c r="C408" t="str">
        <f>IF('Equipment Information'!C408="","", 'Equipment Information'!C408)</f>
        <v/>
      </c>
      <c r="H408" t="str">
        <f t="shared" si="6"/>
        <v/>
      </c>
    </row>
    <row r="409" spans="1:8" x14ac:dyDescent="0.25">
      <c r="A409" t="str">
        <f>IF('Equipment Information'!A409="","", 'Equipment Information'!A409)</f>
        <v/>
      </c>
      <c r="B409" t="str">
        <f>IF('Equipment Information'!B409="","", 'Equipment Information'!B409)</f>
        <v/>
      </c>
      <c r="C409" t="str">
        <f>IF('Equipment Information'!C409="","", 'Equipment Information'!C409)</f>
        <v/>
      </c>
      <c r="H409" t="str">
        <f t="shared" si="6"/>
        <v/>
      </c>
    </row>
    <row r="410" spans="1:8" x14ac:dyDescent="0.25">
      <c r="A410" t="str">
        <f>IF('Equipment Information'!A410="","", 'Equipment Information'!A410)</f>
        <v/>
      </c>
      <c r="B410" t="str">
        <f>IF('Equipment Information'!B410="","", 'Equipment Information'!B410)</f>
        <v/>
      </c>
      <c r="C410" t="str">
        <f>IF('Equipment Information'!C410="","", 'Equipment Information'!C410)</f>
        <v/>
      </c>
      <c r="H410" t="str">
        <f t="shared" si="6"/>
        <v/>
      </c>
    </row>
    <row r="411" spans="1:8" x14ac:dyDescent="0.25">
      <c r="A411" t="str">
        <f>IF('Equipment Information'!A411="","", 'Equipment Information'!A411)</f>
        <v/>
      </c>
      <c r="B411" t="str">
        <f>IF('Equipment Information'!B411="","", 'Equipment Information'!B411)</f>
        <v/>
      </c>
      <c r="C411" t="str">
        <f>IF('Equipment Information'!C411="","", 'Equipment Information'!C411)</f>
        <v/>
      </c>
      <c r="H411" t="str">
        <f t="shared" si="6"/>
        <v/>
      </c>
    </row>
    <row r="412" spans="1:8" x14ac:dyDescent="0.25">
      <c r="A412" t="str">
        <f>IF('Equipment Information'!A412="","", 'Equipment Information'!A412)</f>
        <v/>
      </c>
      <c r="B412" t="str">
        <f>IF('Equipment Information'!B412="","", 'Equipment Information'!B412)</f>
        <v/>
      </c>
      <c r="C412" t="str">
        <f>IF('Equipment Information'!C412="","", 'Equipment Information'!C412)</f>
        <v/>
      </c>
      <c r="H412" t="str">
        <f t="shared" si="6"/>
        <v/>
      </c>
    </row>
    <row r="413" spans="1:8" x14ac:dyDescent="0.25">
      <c r="A413" t="str">
        <f>IF('Equipment Information'!A413="","", 'Equipment Information'!A413)</f>
        <v/>
      </c>
      <c r="B413" t="str">
        <f>IF('Equipment Information'!B413="","", 'Equipment Information'!B413)</f>
        <v/>
      </c>
      <c r="C413" t="str">
        <f>IF('Equipment Information'!C413="","", 'Equipment Information'!C413)</f>
        <v/>
      </c>
      <c r="H413" t="str">
        <f t="shared" si="6"/>
        <v/>
      </c>
    </row>
    <row r="414" spans="1:8" x14ac:dyDescent="0.25">
      <c r="A414" t="str">
        <f>IF('Equipment Information'!A414="","", 'Equipment Information'!A414)</f>
        <v/>
      </c>
      <c r="B414" t="str">
        <f>IF('Equipment Information'!B414="","", 'Equipment Information'!B414)</f>
        <v/>
      </c>
      <c r="C414" t="str">
        <f>IF('Equipment Information'!C414="","", 'Equipment Information'!C414)</f>
        <v/>
      </c>
      <c r="H414" t="str">
        <f t="shared" si="6"/>
        <v/>
      </c>
    </row>
    <row r="415" spans="1:8" x14ac:dyDescent="0.25">
      <c r="A415" t="str">
        <f>IF('Equipment Information'!A415="","", 'Equipment Information'!A415)</f>
        <v/>
      </c>
      <c r="B415" t="str">
        <f>IF('Equipment Information'!B415="","", 'Equipment Information'!B415)</f>
        <v/>
      </c>
      <c r="C415" t="str">
        <f>IF('Equipment Information'!C415="","", 'Equipment Information'!C415)</f>
        <v/>
      </c>
      <c r="H415" t="str">
        <f t="shared" si="6"/>
        <v/>
      </c>
    </row>
    <row r="416" spans="1:8" x14ac:dyDescent="0.25">
      <c r="A416" t="str">
        <f>IF('Equipment Information'!A416="","", 'Equipment Information'!A416)</f>
        <v/>
      </c>
      <c r="B416" t="str">
        <f>IF('Equipment Information'!B416="","", 'Equipment Information'!B416)</f>
        <v/>
      </c>
      <c r="C416" t="str">
        <f>IF('Equipment Information'!C416="","", 'Equipment Information'!C416)</f>
        <v/>
      </c>
      <c r="H416" t="str">
        <f t="shared" si="6"/>
        <v/>
      </c>
    </row>
    <row r="417" spans="1:8" x14ac:dyDescent="0.25">
      <c r="A417" t="str">
        <f>IF('Equipment Information'!A417="","", 'Equipment Information'!A417)</f>
        <v/>
      </c>
      <c r="B417" t="str">
        <f>IF('Equipment Information'!B417="","", 'Equipment Information'!B417)</f>
        <v/>
      </c>
      <c r="C417" t="str">
        <f>IF('Equipment Information'!C417="","", 'Equipment Information'!C417)</f>
        <v/>
      </c>
      <c r="H417" t="str">
        <f t="shared" si="6"/>
        <v/>
      </c>
    </row>
    <row r="418" spans="1:8" x14ac:dyDescent="0.25">
      <c r="A418" t="str">
        <f>IF('Equipment Information'!A418="","", 'Equipment Information'!A418)</f>
        <v/>
      </c>
      <c r="B418" t="str">
        <f>IF('Equipment Information'!B418="","", 'Equipment Information'!B418)</f>
        <v/>
      </c>
      <c r="C418" t="str">
        <f>IF('Equipment Information'!C418="","", 'Equipment Information'!C418)</f>
        <v/>
      </c>
      <c r="H418" t="str">
        <f t="shared" si="6"/>
        <v/>
      </c>
    </row>
    <row r="419" spans="1:8" x14ac:dyDescent="0.25">
      <c r="A419" t="str">
        <f>IF('Equipment Information'!A419="","", 'Equipment Information'!A419)</f>
        <v/>
      </c>
      <c r="B419" t="str">
        <f>IF('Equipment Information'!B419="","", 'Equipment Information'!B419)</f>
        <v/>
      </c>
      <c r="C419" t="str">
        <f>IF('Equipment Information'!C419="","", 'Equipment Information'!C419)</f>
        <v/>
      </c>
      <c r="H419" t="str">
        <f t="shared" si="6"/>
        <v/>
      </c>
    </row>
    <row r="420" spans="1:8" x14ac:dyDescent="0.25">
      <c r="A420" t="str">
        <f>IF('Equipment Information'!A420="","", 'Equipment Information'!A420)</f>
        <v/>
      </c>
      <c r="B420" t="str">
        <f>IF('Equipment Information'!B420="","", 'Equipment Information'!B420)</f>
        <v/>
      </c>
      <c r="C420" t="str">
        <f>IF('Equipment Information'!C420="","", 'Equipment Information'!C420)</f>
        <v/>
      </c>
      <c r="H420" t="str">
        <f t="shared" si="6"/>
        <v/>
      </c>
    </row>
    <row r="421" spans="1:8" x14ac:dyDescent="0.25">
      <c r="A421" t="str">
        <f>IF('Equipment Information'!A421="","", 'Equipment Information'!A421)</f>
        <v/>
      </c>
      <c r="B421" t="str">
        <f>IF('Equipment Information'!B421="","", 'Equipment Information'!B421)</f>
        <v/>
      </c>
      <c r="C421" t="str">
        <f>IF('Equipment Information'!C421="","", 'Equipment Information'!C421)</f>
        <v/>
      </c>
      <c r="H421" t="str">
        <f t="shared" si="6"/>
        <v/>
      </c>
    </row>
    <row r="422" spans="1:8" x14ac:dyDescent="0.25">
      <c r="A422" t="str">
        <f>IF('Equipment Information'!A422="","", 'Equipment Information'!A422)</f>
        <v/>
      </c>
      <c r="B422" t="str">
        <f>IF('Equipment Information'!B422="","", 'Equipment Information'!B422)</f>
        <v/>
      </c>
      <c r="C422" t="str">
        <f>IF('Equipment Information'!C422="","", 'Equipment Information'!C422)</f>
        <v/>
      </c>
      <c r="H422" t="str">
        <f t="shared" si="6"/>
        <v/>
      </c>
    </row>
    <row r="423" spans="1:8" x14ac:dyDescent="0.25">
      <c r="A423" t="str">
        <f>IF('Equipment Information'!A423="","", 'Equipment Information'!A423)</f>
        <v/>
      </c>
      <c r="B423" t="str">
        <f>IF('Equipment Information'!B423="","", 'Equipment Information'!B423)</f>
        <v/>
      </c>
      <c r="C423" t="str">
        <f>IF('Equipment Information'!C423="","", 'Equipment Information'!C423)</f>
        <v/>
      </c>
      <c r="H423" t="str">
        <f t="shared" si="6"/>
        <v/>
      </c>
    </row>
    <row r="424" spans="1:8" x14ac:dyDescent="0.25">
      <c r="A424" t="str">
        <f>IF('Equipment Information'!A424="","", 'Equipment Information'!A424)</f>
        <v/>
      </c>
      <c r="B424" t="str">
        <f>IF('Equipment Information'!B424="","", 'Equipment Information'!B424)</f>
        <v/>
      </c>
      <c r="C424" t="str">
        <f>IF('Equipment Information'!C424="","", 'Equipment Information'!C424)</f>
        <v/>
      </c>
      <c r="H424" t="str">
        <f t="shared" si="6"/>
        <v/>
      </c>
    </row>
    <row r="425" spans="1:8" x14ac:dyDescent="0.25">
      <c r="A425" t="str">
        <f>IF('Equipment Information'!A425="","", 'Equipment Information'!A425)</f>
        <v/>
      </c>
      <c r="B425" t="str">
        <f>IF('Equipment Information'!B425="","", 'Equipment Information'!B425)</f>
        <v/>
      </c>
      <c r="C425" t="str">
        <f>IF('Equipment Information'!C425="","", 'Equipment Information'!C425)</f>
        <v/>
      </c>
      <c r="H425" t="str">
        <f t="shared" si="6"/>
        <v/>
      </c>
    </row>
    <row r="426" spans="1:8" x14ac:dyDescent="0.25">
      <c r="A426" t="str">
        <f>IF('Equipment Information'!A426="","", 'Equipment Information'!A426)</f>
        <v/>
      </c>
      <c r="B426" t="str">
        <f>IF('Equipment Information'!B426="","", 'Equipment Information'!B426)</f>
        <v/>
      </c>
      <c r="C426" t="str">
        <f>IF('Equipment Information'!C426="","", 'Equipment Information'!C426)</f>
        <v/>
      </c>
      <c r="H426" t="str">
        <f t="shared" si="6"/>
        <v/>
      </c>
    </row>
    <row r="427" spans="1:8" x14ac:dyDescent="0.25">
      <c r="A427" t="str">
        <f>IF('Equipment Information'!A427="","", 'Equipment Information'!A427)</f>
        <v/>
      </c>
      <c r="B427" t="str">
        <f>IF('Equipment Information'!B427="","", 'Equipment Information'!B427)</f>
        <v/>
      </c>
      <c r="C427" t="str">
        <f>IF('Equipment Information'!C427="","", 'Equipment Information'!C427)</f>
        <v/>
      </c>
      <c r="H427" t="str">
        <f t="shared" si="6"/>
        <v/>
      </c>
    </row>
    <row r="428" spans="1:8" x14ac:dyDescent="0.25">
      <c r="A428" t="str">
        <f>IF('Equipment Information'!A428="","", 'Equipment Information'!A428)</f>
        <v/>
      </c>
      <c r="B428" t="str">
        <f>IF('Equipment Information'!B428="","", 'Equipment Information'!B428)</f>
        <v/>
      </c>
      <c r="C428" t="str">
        <f>IF('Equipment Information'!C428="","", 'Equipment Information'!C428)</f>
        <v/>
      </c>
      <c r="H428" t="str">
        <f t="shared" si="6"/>
        <v/>
      </c>
    </row>
    <row r="429" spans="1:8" x14ac:dyDescent="0.25">
      <c r="A429" t="str">
        <f>IF('Equipment Information'!A429="","", 'Equipment Information'!A429)</f>
        <v/>
      </c>
      <c r="B429" t="str">
        <f>IF('Equipment Information'!B429="","", 'Equipment Information'!B429)</f>
        <v/>
      </c>
      <c r="C429" t="str">
        <f>IF('Equipment Information'!C429="","", 'Equipment Information'!C429)</f>
        <v/>
      </c>
      <c r="H429" t="str">
        <f t="shared" si="6"/>
        <v/>
      </c>
    </row>
    <row r="430" spans="1:8" x14ac:dyDescent="0.25">
      <c r="A430" t="str">
        <f>IF('Equipment Information'!A430="","", 'Equipment Information'!A430)</f>
        <v/>
      </c>
      <c r="B430" t="str">
        <f>IF('Equipment Information'!B430="","", 'Equipment Information'!B430)</f>
        <v/>
      </c>
      <c r="C430" t="str">
        <f>IF('Equipment Information'!C430="","", 'Equipment Information'!C430)</f>
        <v/>
      </c>
      <c r="H430" t="str">
        <f t="shared" si="6"/>
        <v/>
      </c>
    </row>
    <row r="431" spans="1:8" x14ac:dyDescent="0.25">
      <c r="A431" t="str">
        <f>IF('Equipment Information'!A431="","", 'Equipment Information'!A431)</f>
        <v/>
      </c>
      <c r="B431" t="str">
        <f>IF('Equipment Information'!B431="","", 'Equipment Information'!B431)</f>
        <v/>
      </c>
      <c r="C431" t="str">
        <f>IF('Equipment Information'!C431="","", 'Equipment Information'!C431)</f>
        <v/>
      </c>
      <c r="H431" t="str">
        <f t="shared" si="6"/>
        <v/>
      </c>
    </row>
    <row r="432" spans="1:8" x14ac:dyDescent="0.25">
      <c r="A432" t="str">
        <f>IF('Equipment Information'!A432="","", 'Equipment Information'!A432)</f>
        <v/>
      </c>
      <c r="B432" t="str">
        <f>IF('Equipment Information'!B432="","", 'Equipment Information'!B432)</f>
        <v/>
      </c>
      <c r="C432" t="str">
        <f>IF('Equipment Information'!C432="","", 'Equipment Information'!C432)</f>
        <v/>
      </c>
      <c r="H432" t="str">
        <f t="shared" si="6"/>
        <v/>
      </c>
    </row>
    <row r="433" spans="1:8" x14ac:dyDescent="0.25">
      <c r="A433" t="str">
        <f>IF('Equipment Information'!A433="","", 'Equipment Information'!A433)</f>
        <v/>
      </c>
      <c r="B433" t="str">
        <f>IF('Equipment Information'!B433="","", 'Equipment Information'!B433)</f>
        <v/>
      </c>
      <c r="C433" t="str">
        <f>IF('Equipment Information'!C433="","", 'Equipment Information'!C433)</f>
        <v/>
      </c>
      <c r="H433" t="str">
        <f t="shared" si="6"/>
        <v/>
      </c>
    </row>
    <row r="434" spans="1:8" x14ac:dyDescent="0.25">
      <c r="A434" t="str">
        <f>IF('Equipment Information'!A434="","", 'Equipment Information'!A434)</f>
        <v/>
      </c>
      <c r="B434" t="str">
        <f>IF('Equipment Information'!B434="","", 'Equipment Information'!B434)</f>
        <v/>
      </c>
      <c r="C434" t="str">
        <f>IF('Equipment Information'!C434="","", 'Equipment Information'!C434)</f>
        <v/>
      </c>
      <c r="H434" t="str">
        <f t="shared" si="6"/>
        <v/>
      </c>
    </row>
    <row r="435" spans="1:8" x14ac:dyDescent="0.25">
      <c r="A435" t="str">
        <f>IF('Equipment Information'!A435="","", 'Equipment Information'!A435)</f>
        <v/>
      </c>
      <c r="B435" t="str">
        <f>IF('Equipment Information'!B435="","", 'Equipment Information'!B435)</f>
        <v/>
      </c>
      <c r="C435" t="str">
        <f>IF('Equipment Information'!C435="","", 'Equipment Information'!C435)</f>
        <v/>
      </c>
      <c r="H435" t="str">
        <f t="shared" si="6"/>
        <v/>
      </c>
    </row>
    <row r="436" spans="1:8" x14ac:dyDescent="0.25">
      <c r="A436" t="str">
        <f>IF('Equipment Information'!A436="","", 'Equipment Information'!A436)</f>
        <v/>
      </c>
      <c r="B436" t="str">
        <f>IF('Equipment Information'!B436="","", 'Equipment Information'!B436)</f>
        <v/>
      </c>
      <c r="C436" t="str">
        <f>IF('Equipment Information'!C436="","", 'Equipment Information'!C436)</f>
        <v/>
      </c>
      <c r="H436" t="str">
        <f t="shared" si="6"/>
        <v/>
      </c>
    </row>
    <row r="437" spans="1:8" x14ac:dyDescent="0.25">
      <c r="A437" t="str">
        <f>IF('Equipment Information'!A437="","", 'Equipment Information'!A437)</f>
        <v/>
      </c>
      <c r="B437" t="str">
        <f>IF('Equipment Information'!B437="","", 'Equipment Information'!B437)</f>
        <v/>
      </c>
      <c r="C437" t="str">
        <f>IF('Equipment Information'!C437="","", 'Equipment Information'!C437)</f>
        <v/>
      </c>
      <c r="H437" t="str">
        <f t="shared" si="6"/>
        <v/>
      </c>
    </row>
    <row r="438" spans="1:8" x14ac:dyDescent="0.25">
      <c r="A438" t="str">
        <f>IF('Equipment Information'!A438="","", 'Equipment Information'!A438)</f>
        <v/>
      </c>
      <c r="B438" t="str">
        <f>IF('Equipment Information'!B438="","", 'Equipment Information'!B438)</f>
        <v/>
      </c>
      <c r="C438" t="str">
        <f>IF('Equipment Information'!C438="","", 'Equipment Information'!C438)</f>
        <v/>
      </c>
      <c r="H438" t="str">
        <f t="shared" si="6"/>
        <v/>
      </c>
    </row>
    <row r="439" spans="1:8" x14ac:dyDescent="0.25">
      <c r="A439" t="str">
        <f>IF('Equipment Information'!A439="","", 'Equipment Information'!A439)</f>
        <v/>
      </c>
      <c r="B439" t="str">
        <f>IF('Equipment Information'!B439="","", 'Equipment Information'!B439)</f>
        <v/>
      </c>
      <c r="C439" t="str">
        <f>IF('Equipment Information'!C439="","", 'Equipment Information'!C439)</f>
        <v/>
      </c>
      <c r="H439" t="str">
        <f t="shared" si="6"/>
        <v/>
      </c>
    </row>
    <row r="440" spans="1:8" x14ac:dyDescent="0.25">
      <c r="A440" t="str">
        <f>IF('Equipment Information'!A440="","", 'Equipment Information'!A440)</f>
        <v/>
      </c>
      <c r="B440" t="str">
        <f>IF('Equipment Information'!B440="","", 'Equipment Information'!B440)</f>
        <v/>
      </c>
      <c r="C440" t="str">
        <f>IF('Equipment Information'!C440="","", 'Equipment Information'!C440)</f>
        <v/>
      </c>
      <c r="H440" t="str">
        <f t="shared" si="6"/>
        <v/>
      </c>
    </row>
    <row r="441" spans="1:8" x14ac:dyDescent="0.25">
      <c r="A441" t="str">
        <f>IF('Equipment Information'!A441="","", 'Equipment Information'!A441)</f>
        <v/>
      </c>
      <c r="B441" t="str">
        <f>IF('Equipment Information'!B441="","", 'Equipment Information'!B441)</f>
        <v/>
      </c>
      <c r="C441" t="str">
        <f>IF('Equipment Information'!C441="","", 'Equipment Information'!C441)</f>
        <v/>
      </c>
      <c r="H441" t="str">
        <f t="shared" si="6"/>
        <v/>
      </c>
    </row>
    <row r="442" spans="1:8" x14ac:dyDescent="0.25">
      <c r="A442" t="str">
        <f>IF('Equipment Information'!A442="","", 'Equipment Information'!A442)</f>
        <v/>
      </c>
      <c r="B442" t="str">
        <f>IF('Equipment Information'!B442="","", 'Equipment Information'!B442)</f>
        <v/>
      </c>
      <c r="C442" t="str">
        <f>IF('Equipment Information'!C442="","", 'Equipment Information'!C442)</f>
        <v/>
      </c>
      <c r="H442" t="str">
        <f t="shared" si="6"/>
        <v/>
      </c>
    </row>
    <row r="443" spans="1:8" x14ac:dyDescent="0.25">
      <c r="A443" t="str">
        <f>IF('Equipment Information'!A443="","", 'Equipment Information'!A443)</f>
        <v/>
      </c>
      <c r="B443" t="str">
        <f>IF('Equipment Information'!B443="","", 'Equipment Information'!B443)</f>
        <v/>
      </c>
      <c r="C443" t="str">
        <f>IF('Equipment Information'!C443="","", 'Equipment Information'!C443)</f>
        <v/>
      </c>
      <c r="H443" t="str">
        <f t="shared" si="6"/>
        <v/>
      </c>
    </row>
    <row r="444" spans="1:8" x14ac:dyDescent="0.25">
      <c r="A444" t="str">
        <f>IF('Equipment Information'!A444="","", 'Equipment Information'!A444)</f>
        <v/>
      </c>
      <c r="B444" t="str">
        <f>IF('Equipment Information'!B444="","", 'Equipment Information'!B444)</f>
        <v/>
      </c>
      <c r="C444" t="str">
        <f>IF('Equipment Information'!C444="","", 'Equipment Information'!C444)</f>
        <v/>
      </c>
      <c r="H444" t="str">
        <f t="shared" si="6"/>
        <v/>
      </c>
    </row>
    <row r="445" spans="1:8" x14ac:dyDescent="0.25">
      <c r="A445" t="str">
        <f>IF('Equipment Information'!A445="","", 'Equipment Information'!A445)</f>
        <v/>
      </c>
      <c r="B445" t="str">
        <f>IF('Equipment Information'!B445="","", 'Equipment Information'!B445)</f>
        <v/>
      </c>
      <c r="C445" t="str">
        <f>IF('Equipment Information'!C445="","", 'Equipment Information'!C445)</f>
        <v/>
      </c>
      <c r="H445" t="str">
        <f t="shared" si="6"/>
        <v/>
      </c>
    </row>
    <row r="446" spans="1:8" x14ac:dyDescent="0.25">
      <c r="A446" t="str">
        <f>IF('Equipment Information'!A446="","", 'Equipment Information'!A446)</f>
        <v/>
      </c>
      <c r="B446" t="str">
        <f>IF('Equipment Information'!B446="","", 'Equipment Information'!B446)</f>
        <v/>
      </c>
      <c r="C446" t="str">
        <f>IF('Equipment Information'!C446="","", 'Equipment Information'!C446)</f>
        <v/>
      </c>
      <c r="H446" t="str">
        <f t="shared" si="6"/>
        <v/>
      </c>
    </row>
    <row r="447" spans="1:8" x14ac:dyDescent="0.25">
      <c r="A447" t="str">
        <f>IF('Equipment Information'!A447="","", 'Equipment Information'!A447)</f>
        <v/>
      </c>
      <c r="B447" t="str">
        <f>IF('Equipment Information'!B447="","", 'Equipment Information'!B447)</f>
        <v/>
      </c>
      <c r="C447" t="str">
        <f>IF('Equipment Information'!C447="","", 'Equipment Information'!C447)</f>
        <v/>
      </c>
      <c r="H447" t="str">
        <f t="shared" si="6"/>
        <v/>
      </c>
    </row>
    <row r="448" spans="1:8" x14ac:dyDescent="0.25">
      <c r="A448" t="str">
        <f>IF('Equipment Information'!A448="","", 'Equipment Information'!A448)</f>
        <v/>
      </c>
      <c r="B448" t="str">
        <f>IF('Equipment Information'!B448="","", 'Equipment Information'!B448)</f>
        <v/>
      </c>
      <c r="C448" t="str">
        <f>IF('Equipment Information'!C448="","", 'Equipment Information'!C448)</f>
        <v/>
      </c>
      <c r="H448" t="str">
        <f t="shared" si="6"/>
        <v/>
      </c>
    </row>
    <row r="449" spans="1:8" x14ac:dyDescent="0.25">
      <c r="A449" t="str">
        <f>IF('Equipment Information'!A449="","", 'Equipment Information'!A449)</f>
        <v/>
      </c>
      <c r="B449" t="str">
        <f>IF('Equipment Information'!B449="","", 'Equipment Information'!B449)</f>
        <v/>
      </c>
      <c r="C449" t="str">
        <f>IF('Equipment Information'!C449="","", 'Equipment Information'!C449)</f>
        <v/>
      </c>
      <c r="H449" t="str">
        <f t="shared" si="6"/>
        <v/>
      </c>
    </row>
    <row r="450" spans="1:8" x14ac:dyDescent="0.25">
      <c r="A450" t="str">
        <f>IF('Equipment Information'!A450="","", 'Equipment Information'!A450)</f>
        <v/>
      </c>
      <c r="B450" t="str">
        <f>IF('Equipment Information'!B450="","", 'Equipment Information'!B450)</f>
        <v/>
      </c>
      <c r="C450" t="str">
        <f>IF('Equipment Information'!C450="","", 'Equipment Information'!C450)</f>
        <v/>
      </c>
      <c r="H450" t="str">
        <f t="shared" ref="H450:H499" si="7">IF(A450="","","N/A")</f>
        <v/>
      </c>
    </row>
    <row r="451" spans="1:8" x14ac:dyDescent="0.25">
      <c r="A451" t="str">
        <f>IF('Equipment Information'!A451="","", 'Equipment Information'!A451)</f>
        <v/>
      </c>
      <c r="B451" t="str">
        <f>IF('Equipment Information'!B451="","", 'Equipment Information'!B451)</f>
        <v/>
      </c>
      <c r="C451" t="str">
        <f>IF('Equipment Information'!C451="","", 'Equipment Information'!C451)</f>
        <v/>
      </c>
      <c r="H451" t="str">
        <f t="shared" si="7"/>
        <v/>
      </c>
    </row>
    <row r="452" spans="1:8" x14ac:dyDescent="0.25">
      <c r="A452" t="str">
        <f>IF('Equipment Information'!A452="","", 'Equipment Information'!A452)</f>
        <v/>
      </c>
      <c r="B452" t="str">
        <f>IF('Equipment Information'!B452="","", 'Equipment Information'!B452)</f>
        <v/>
      </c>
      <c r="C452" t="str">
        <f>IF('Equipment Information'!C452="","", 'Equipment Information'!C452)</f>
        <v/>
      </c>
      <c r="H452" t="str">
        <f t="shared" si="7"/>
        <v/>
      </c>
    </row>
    <row r="453" spans="1:8" x14ac:dyDescent="0.25">
      <c r="A453" t="str">
        <f>IF('Equipment Information'!A453="","", 'Equipment Information'!A453)</f>
        <v/>
      </c>
      <c r="B453" t="str">
        <f>IF('Equipment Information'!B453="","", 'Equipment Information'!B453)</f>
        <v/>
      </c>
      <c r="C453" t="str">
        <f>IF('Equipment Information'!C453="","", 'Equipment Information'!C453)</f>
        <v/>
      </c>
      <c r="H453" t="str">
        <f t="shared" si="7"/>
        <v/>
      </c>
    </row>
    <row r="454" spans="1:8" x14ac:dyDescent="0.25">
      <c r="A454" t="str">
        <f>IF('Equipment Information'!A454="","", 'Equipment Information'!A454)</f>
        <v/>
      </c>
      <c r="B454" t="str">
        <f>IF('Equipment Information'!B454="","", 'Equipment Information'!B454)</f>
        <v/>
      </c>
      <c r="C454" t="str">
        <f>IF('Equipment Information'!C454="","", 'Equipment Information'!C454)</f>
        <v/>
      </c>
      <c r="H454" t="str">
        <f t="shared" si="7"/>
        <v/>
      </c>
    </row>
    <row r="455" spans="1:8" x14ac:dyDescent="0.25">
      <c r="A455" t="str">
        <f>IF('Equipment Information'!A455="","", 'Equipment Information'!A455)</f>
        <v/>
      </c>
      <c r="B455" t="str">
        <f>IF('Equipment Information'!B455="","", 'Equipment Information'!B455)</f>
        <v/>
      </c>
      <c r="C455" t="str">
        <f>IF('Equipment Information'!C455="","", 'Equipment Information'!C455)</f>
        <v/>
      </c>
      <c r="H455" t="str">
        <f t="shared" si="7"/>
        <v/>
      </c>
    </row>
    <row r="456" spans="1:8" x14ac:dyDescent="0.25">
      <c r="A456" t="str">
        <f>IF('Equipment Information'!A456="","", 'Equipment Information'!A456)</f>
        <v/>
      </c>
      <c r="B456" t="str">
        <f>IF('Equipment Information'!B456="","", 'Equipment Information'!B456)</f>
        <v/>
      </c>
      <c r="C456" t="str">
        <f>IF('Equipment Information'!C456="","", 'Equipment Information'!C456)</f>
        <v/>
      </c>
      <c r="H456" t="str">
        <f t="shared" si="7"/>
        <v/>
      </c>
    </row>
    <row r="457" spans="1:8" x14ac:dyDescent="0.25">
      <c r="A457" t="str">
        <f>IF('Equipment Information'!A457="","", 'Equipment Information'!A457)</f>
        <v/>
      </c>
      <c r="B457" t="str">
        <f>IF('Equipment Information'!B457="","", 'Equipment Information'!B457)</f>
        <v/>
      </c>
      <c r="C457" t="str">
        <f>IF('Equipment Information'!C457="","", 'Equipment Information'!C457)</f>
        <v/>
      </c>
      <c r="H457" t="str">
        <f t="shared" si="7"/>
        <v/>
      </c>
    </row>
    <row r="458" spans="1:8" x14ac:dyDescent="0.25">
      <c r="A458" t="str">
        <f>IF('Equipment Information'!A458="","", 'Equipment Information'!A458)</f>
        <v/>
      </c>
      <c r="B458" t="str">
        <f>IF('Equipment Information'!B458="","", 'Equipment Information'!B458)</f>
        <v/>
      </c>
      <c r="C458" t="str">
        <f>IF('Equipment Information'!C458="","", 'Equipment Information'!C458)</f>
        <v/>
      </c>
      <c r="H458" t="str">
        <f t="shared" si="7"/>
        <v/>
      </c>
    </row>
    <row r="459" spans="1:8" x14ac:dyDescent="0.25">
      <c r="A459" t="str">
        <f>IF('Equipment Information'!A459="","", 'Equipment Information'!A459)</f>
        <v/>
      </c>
      <c r="B459" t="str">
        <f>IF('Equipment Information'!B459="","", 'Equipment Information'!B459)</f>
        <v/>
      </c>
      <c r="C459" t="str">
        <f>IF('Equipment Information'!C459="","", 'Equipment Information'!C459)</f>
        <v/>
      </c>
      <c r="H459" t="str">
        <f t="shared" si="7"/>
        <v/>
      </c>
    </row>
    <row r="460" spans="1:8" x14ac:dyDescent="0.25">
      <c r="A460" t="str">
        <f>IF('Equipment Information'!A460="","", 'Equipment Information'!A460)</f>
        <v/>
      </c>
      <c r="B460" t="str">
        <f>IF('Equipment Information'!B460="","", 'Equipment Information'!B460)</f>
        <v/>
      </c>
      <c r="C460" t="str">
        <f>IF('Equipment Information'!C460="","", 'Equipment Information'!C460)</f>
        <v/>
      </c>
      <c r="H460" t="str">
        <f t="shared" si="7"/>
        <v/>
      </c>
    </row>
    <row r="461" spans="1:8" x14ac:dyDescent="0.25">
      <c r="A461" t="str">
        <f>IF('Equipment Information'!A461="","", 'Equipment Information'!A461)</f>
        <v/>
      </c>
      <c r="B461" t="str">
        <f>IF('Equipment Information'!B461="","", 'Equipment Information'!B461)</f>
        <v/>
      </c>
      <c r="C461" t="str">
        <f>IF('Equipment Information'!C461="","", 'Equipment Information'!C461)</f>
        <v/>
      </c>
      <c r="H461" t="str">
        <f t="shared" si="7"/>
        <v/>
      </c>
    </row>
    <row r="462" spans="1:8" x14ac:dyDescent="0.25">
      <c r="A462" t="str">
        <f>IF('Equipment Information'!A462="","", 'Equipment Information'!A462)</f>
        <v/>
      </c>
      <c r="B462" t="str">
        <f>IF('Equipment Information'!B462="","", 'Equipment Information'!B462)</f>
        <v/>
      </c>
      <c r="C462" t="str">
        <f>IF('Equipment Information'!C462="","", 'Equipment Information'!C462)</f>
        <v/>
      </c>
      <c r="H462" t="str">
        <f t="shared" si="7"/>
        <v/>
      </c>
    </row>
    <row r="463" spans="1:8" x14ac:dyDescent="0.25">
      <c r="A463" t="str">
        <f>IF('Equipment Information'!A463="","", 'Equipment Information'!A463)</f>
        <v/>
      </c>
      <c r="B463" t="str">
        <f>IF('Equipment Information'!B463="","", 'Equipment Information'!B463)</f>
        <v/>
      </c>
      <c r="C463" t="str">
        <f>IF('Equipment Information'!C463="","", 'Equipment Information'!C463)</f>
        <v/>
      </c>
      <c r="H463" t="str">
        <f t="shared" si="7"/>
        <v/>
      </c>
    </row>
    <row r="464" spans="1:8" x14ac:dyDescent="0.25">
      <c r="A464" t="str">
        <f>IF('Equipment Information'!A464="","", 'Equipment Information'!A464)</f>
        <v/>
      </c>
      <c r="B464" t="str">
        <f>IF('Equipment Information'!B464="","", 'Equipment Information'!B464)</f>
        <v/>
      </c>
      <c r="C464" t="str">
        <f>IF('Equipment Information'!C464="","", 'Equipment Information'!C464)</f>
        <v/>
      </c>
      <c r="H464" t="str">
        <f t="shared" si="7"/>
        <v/>
      </c>
    </row>
    <row r="465" spans="1:8" x14ac:dyDescent="0.25">
      <c r="A465" t="str">
        <f>IF('Equipment Information'!A465="","", 'Equipment Information'!A465)</f>
        <v/>
      </c>
      <c r="B465" t="str">
        <f>IF('Equipment Information'!B465="","", 'Equipment Information'!B465)</f>
        <v/>
      </c>
      <c r="C465" t="str">
        <f>IF('Equipment Information'!C465="","", 'Equipment Information'!C465)</f>
        <v/>
      </c>
      <c r="H465" t="str">
        <f t="shared" si="7"/>
        <v/>
      </c>
    </row>
    <row r="466" spans="1:8" x14ac:dyDescent="0.25">
      <c r="A466" t="str">
        <f>IF('Equipment Information'!A466="","", 'Equipment Information'!A466)</f>
        <v/>
      </c>
      <c r="B466" t="str">
        <f>IF('Equipment Information'!B466="","", 'Equipment Information'!B466)</f>
        <v/>
      </c>
      <c r="C466" t="str">
        <f>IF('Equipment Information'!C466="","", 'Equipment Information'!C466)</f>
        <v/>
      </c>
      <c r="H466" t="str">
        <f t="shared" si="7"/>
        <v/>
      </c>
    </row>
    <row r="467" spans="1:8" x14ac:dyDescent="0.25">
      <c r="A467" t="str">
        <f>IF('Equipment Information'!A467="","", 'Equipment Information'!A467)</f>
        <v/>
      </c>
      <c r="B467" t="str">
        <f>IF('Equipment Information'!B467="","", 'Equipment Information'!B467)</f>
        <v/>
      </c>
      <c r="C467" t="str">
        <f>IF('Equipment Information'!C467="","", 'Equipment Information'!C467)</f>
        <v/>
      </c>
      <c r="H467" t="str">
        <f t="shared" si="7"/>
        <v/>
      </c>
    </row>
    <row r="468" spans="1:8" x14ac:dyDescent="0.25">
      <c r="A468" t="str">
        <f>IF('Equipment Information'!A468="","", 'Equipment Information'!A468)</f>
        <v/>
      </c>
      <c r="B468" t="str">
        <f>IF('Equipment Information'!B468="","", 'Equipment Information'!B468)</f>
        <v/>
      </c>
      <c r="C468" t="str">
        <f>IF('Equipment Information'!C468="","", 'Equipment Information'!C468)</f>
        <v/>
      </c>
      <c r="H468" t="str">
        <f t="shared" si="7"/>
        <v/>
      </c>
    </row>
    <row r="469" spans="1:8" x14ac:dyDescent="0.25">
      <c r="A469" t="str">
        <f>IF('Equipment Information'!A469="","", 'Equipment Information'!A469)</f>
        <v/>
      </c>
      <c r="B469" t="str">
        <f>IF('Equipment Information'!B469="","", 'Equipment Information'!B469)</f>
        <v/>
      </c>
      <c r="C469" t="str">
        <f>IF('Equipment Information'!C469="","", 'Equipment Information'!C469)</f>
        <v/>
      </c>
      <c r="H469" t="str">
        <f t="shared" si="7"/>
        <v/>
      </c>
    </row>
    <row r="470" spans="1:8" x14ac:dyDescent="0.25">
      <c r="A470" t="str">
        <f>IF('Equipment Information'!A470="","", 'Equipment Information'!A470)</f>
        <v/>
      </c>
      <c r="B470" t="str">
        <f>IF('Equipment Information'!B470="","", 'Equipment Information'!B470)</f>
        <v/>
      </c>
      <c r="C470" t="str">
        <f>IF('Equipment Information'!C470="","", 'Equipment Information'!C470)</f>
        <v/>
      </c>
      <c r="H470" t="str">
        <f t="shared" si="7"/>
        <v/>
      </c>
    </row>
    <row r="471" spans="1:8" x14ac:dyDescent="0.25">
      <c r="A471" t="str">
        <f>IF('Equipment Information'!A471="","", 'Equipment Information'!A471)</f>
        <v/>
      </c>
      <c r="B471" t="str">
        <f>IF('Equipment Information'!B471="","", 'Equipment Information'!B471)</f>
        <v/>
      </c>
      <c r="C471" t="str">
        <f>IF('Equipment Information'!C471="","", 'Equipment Information'!C471)</f>
        <v/>
      </c>
      <c r="H471" t="str">
        <f t="shared" si="7"/>
        <v/>
      </c>
    </row>
    <row r="472" spans="1:8" x14ac:dyDescent="0.25">
      <c r="A472" t="str">
        <f>IF('Equipment Information'!A472="","", 'Equipment Information'!A472)</f>
        <v/>
      </c>
      <c r="B472" t="str">
        <f>IF('Equipment Information'!B472="","", 'Equipment Information'!B472)</f>
        <v/>
      </c>
      <c r="C472" t="str">
        <f>IF('Equipment Information'!C472="","", 'Equipment Information'!C472)</f>
        <v/>
      </c>
      <c r="H472" t="str">
        <f t="shared" si="7"/>
        <v/>
      </c>
    </row>
    <row r="473" spans="1:8" x14ac:dyDescent="0.25">
      <c r="A473" t="str">
        <f>IF('Equipment Information'!A473="","", 'Equipment Information'!A473)</f>
        <v/>
      </c>
      <c r="B473" t="str">
        <f>IF('Equipment Information'!B473="","", 'Equipment Information'!B473)</f>
        <v/>
      </c>
      <c r="C473" t="str">
        <f>IF('Equipment Information'!C473="","", 'Equipment Information'!C473)</f>
        <v/>
      </c>
      <c r="H473" t="str">
        <f t="shared" si="7"/>
        <v/>
      </c>
    </row>
    <row r="474" spans="1:8" x14ac:dyDescent="0.25">
      <c r="A474" t="str">
        <f>IF('Equipment Information'!A474="","", 'Equipment Information'!A474)</f>
        <v/>
      </c>
      <c r="B474" t="str">
        <f>IF('Equipment Information'!B474="","", 'Equipment Information'!B474)</f>
        <v/>
      </c>
      <c r="C474" t="str">
        <f>IF('Equipment Information'!C474="","", 'Equipment Information'!C474)</f>
        <v/>
      </c>
      <c r="H474" t="str">
        <f t="shared" si="7"/>
        <v/>
      </c>
    </row>
    <row r="475" spans="1:8" x14ac:dyDescent="0.25">
      <c r="A475" t="str">
        <f>IF('Equipment Information'!A475="","", 'Equipment Information'!A475)</f>
        <v/>
      </c>
      <c r="B475" t="str">
        <f>IF('Equipment Information'!B475="","", 'Equipment Information'!B475)</f>
        <v/>
      </c>
      <c r="C475" t="str">
        <f>IF('Equipment Information'!C475="","", 'Equipment Information'!C475)</f>
        <v/>
      </c>
      <c r="H475" t="str">
        <f t="shared" si="7"/>
        <v/>
      </c>
    </row>
    <row r="476" spans="1:8" x14ac:dyDescent="0.25">
      <c r="A476" t="str">
        <f>IF('Equipment Information'!A476="","", 'Equipment Information'!A476)</f>
        <v/>
      </c>
      <c r="B476" t="str">
        <f>IF('Equipment Information'!B476="","", 'Equipment Information'!B476)</f>
        <v/>
      </c>
      <c r="C476" t="str">
        <f>IF('Equipment Information'!C476="","", 'Equipment Information'!C476)</f>
        <v/>
      </c>
      <c r="H476" t="str">
        <f t="shared" si="7"/>
        <v/>
      </c>
    </row>
    <row r="477" spans="1:8" x14ac:dyDescent="0.25">
      <c r="A477" t="str">
        <f>IF('Equipment Information'!A477="","", 'Equipment Information'!A477)</f>
        <v/>
      </c>
      <c r="B477" t="str">
        <f>IF('Equipment Information'!B477="","", 'Equipment Information'!B477)</f>
        <v/>
      </c>
      <c r="C477" t="str">
        <f>IF('Equipment Information'!C477="","", 'Equipment Information'!C477)</f>
        <v/>
      </c>
      <c r="H477" t="str">
        <f t="shared" si="7"/>
        <v/>
      </c>
    </row>
    <row r="478" spans="1:8" x14ac:dyDescent="0.25">
      <c r="A478" t="str">
        <f>IF('Equipment Information'!A478="","", 'Equipment Information'!A478)</f>
        <v/>
      </c>
      <c r="B478" t="str">
        <f>IF('Equipment Information'!B478="","", 'Equipment Information'!B478)</f>
        <v/>
      </c>
      <c r="C478" t="str">
        <f>IF('Equipment Information'!C478="","", 'Equipment Information'!C478)</f>
        <v/>
      </c>
      <c r="H478" t="str">
        <f t="shared" si="7"/>
        <v/>
      </c>
    </row>
    <row r="479" spans="1:8" x14ac:dyDescent="0.25">
      <c r="A479" t="str">
        <f>IF('Equipment Information'!A479="","", 'Equipment Information'!A479)</f>
        <v/>
      </c>
      <c r="B479" t="str">
        <f>IF('Equipment Information'!B479="","", 'Equipment Information'!B479)</f>
        <v/>
      </c>
      <c r="C479" t="str">
        <f>IF('Equipment Information'!C479="","", 'Equipment Information'!C479)</f>
        <v/>
      </c>
      <c r="H479" t="str">
        <f t="shared" si="7"/>
        <v/>
      </c>
    </row>
    <row r="480" spans="1:8" x14ac:dyDescent="0.25">
      <c r="A480" t="str">
        <f>IF('Equipment Information'!A480="","", 'Equipment Information'!A480)</f>
        <v/>
      </c>
      <c r="B480" t="str">
        <f>IF('Equipment Information'!B480="","", 'Equipment Information'!B480)</f>
        <v/>
      </c>
      <c r="C480" t="str">
        <f>IF('Equipment Information'!C480="","", 'Equipment Information'!C480)</f>
        <v/>
      </c>
      <c r="H480" t="str">
        <f t="shared" si="7"/>
        <v/>
      </c>
    </row>
    <row r="481" spans="1:8" x14ac:dyDescent="0.25">
      <c r="A481" t="str">
        <f>IF('Equipment Information'!A481="","", 'Equipment Information'!A481)</f>
        <v/>
      </c>
      <c r="B481" t="str">
        <f>IF('Equipment Information'!B481="","", 'Equipment Information'!B481)</f>
        <v/>
      </c>
      <c r="C481" t="str">
        <f>IF('Equipment Information'!C481="","", 'Equipment Information'!C481)</f>
        <v/>
      </c>
      <c r="H481" t="str">
        <f t="shared" si="7"/>
        <v/>
      </c>
    </row>
    <row r="482" spans="1:8" x14ac:dyDescent="0.25">
      <c r="A482" t="str">
        <f>IF('Equipment Information'!A482="","", 'Equipment Information'!A482)</f>
        <v/>
      </c>
      <c r="B482" t="str">
        <f>IF('Equipment Information'!B482="","", 'Equipment Information'!B482)</f>
        <v/>
      </c>
      <c r="C482" t="str">
        <f>IF('Equipment Information'!C482="","", 'Equipment Information'!C482)</f>
        <v/>
      </c>
      <c r="H482" t="str">
        <f t="shared" si="7"/>
        <v/>
      </c>
    </row>
    <row r="483" spans="1:8" x14ac:dyDescent="0.25">
      <c r="A483" t="str">
        <f>IF('Equipment Information'!A483="","", 'Equipment Information'!A483)</f>
        <v/>
      </c>
      <c r="B483" t="str">
        <f>IF('Equipment Information'!B483="","", 'Equipment Information'!B483)</f>
        <v/>
      </c>
      <c r="C483" t="str">
        <f>IF('Equipment Information'!C483="","", 'Equipment Information'!C483)</f>
        <v/>
      </c>
      <c r="H483" t="str">
        <f t="shared" si="7"/>
        <v/>
      </c>
    </row>
    <row r="484" spans="1:8" x14ac:dyDescent="0.25">
      <c r="A484" t="str">
        <f>IF('Equipment Information'!A484="","", 'Equipment Information'!A484)</f>
        <v/>
      </c>
      <c r="B484" t="str">
        <f>IF('Equipment Information'!B484="","", 'Equipment Information'!B484)</f>
        <v/>
      </c>
      <c r="C484" t="str">
        <f>IF('Equipment Information'!C484="","", 'Equipment Information'!C484)</f>
        <v/>
      </c>
      <c r="H484" t="str">
        <f t="shared" si="7"/>
        <v/>
      </c>
    </row>
    <row r="485" spans="1:8" x14ac:dyDescent="0.25">
      <c r="A485" t="str">
        <f>IF('Equipment Information'!A485="","", 'Equipment Information'!A485)</f>
        <v/>
      </c>
      <c r="B485" t="str">
        <f>IF('Equipment Information'!B485="","", 'Equipment Information'!B485)</f>
        <v/>
      </c>
      <c r="C485" t="str">
        <f>IF('Equipment Information'!C485="","", 'Equipment Information'!C485)</f>
        <v/>
      </c>
      <c r="H485" t="str">
        <f t="shared" si="7"/>
        <v/>
      </c>
    </row>
    <row r="486" spans="1:8" x14ac:dyDescent="0.25">
      <c r="A486" t="str">
        <f>IF('Equipment Information'!A486="","", 'Equipment Information'!A486)</f>
        <v/>
      </c>
      <c r="B486" t="str">
        <f>IF('Equipment Information'!B486="","", 'Equipment Information'!B486)</f>
        <v/>
      </c>
      <c r="C486" t="str">
        <f>IF('Equipment Information'!C486="","", 'Equipment Information'!C486)</f>
        <v/>
      </c>
      <c r="H486" t="str">
        <f t="shared" si="7"/>
        <v/>
      </c>
    </row>
    <row r="487" spans="1:8" x14ac:dyDescent="0.25">
      <c r="A487" t="str">
        <f>IF('Equipment Information'!A487="","", 'Equipment Information'!A487)</f>
        <v/>
      </c>
      <c r="B487" t="str">
        <f>IF('Equipment Information'!B487="","", 'Equipment Information'!B487)</f>
        <v/>
      </c>
      <c r="C487" t="str">
        <f>IF('Equipment Information'!C487="","", 'Equipment Information'!C487)</f>
        <v/>
      </c>
      <c r="H487" t="str">
        <f t="shared" si="7"/>
        <v/>
      </c>
    </row>
    <row r="488" spans="1:8" x14ac:dyDescent="0.25">
      <c r="A488" t="str">
        <f>IF('Equipment Information'!A488="","", 'Equipment Information'!A488)</f>
        <v/>
      </c>
      <c r="B488" t="str">
        <f>IF('Equipment Information'!B488="","", 'Equipment Information'!B488)</f>
        <v/>
      </c>
      <c r="C488" t="str">
        <f>IF('Equipment Information'!C488="","", 'Equipment Information'!C488)</f>
        <v/>
      </c>
      <c r="H488" t="str">
        <f t="shared" si="7"/>
        <v/>
      </c>
    </row>
    <row r="489" spans="1:8" x14ac:dyDescent="0.25">
      <c r="A489" t="str">
        <f>IF('Equipment Information'!A489="","", 'Equipment Information'!A489)</f>
        <v/>
      </c>
      <c r="B489" t="str">
        <f>IF('Equipment Information'!B489="","", 'Equipment Information'!B489)</f>
        <v/>
      </c>
      <c r="C489" t="str">
        <f>IF('Equipment Information'!C489="","", 'Equipment Information'!C489)</f>
        <v/>
      </c>
      <c r="H489" t="str">
        <f t="shared" si="7"/>
        <v/>
      </c>
    </row>
    <row r="490" spans="1:8" x14ac:dyDescent="0.25">
      <c r="A490" t="str">
        <f>IF('Equipment Information'!A490="","", 'Equipment Information'!A490)</f>
        <v/>
      </c>
      <c r="B490" t="str">
        <f>IF('Equipment Information'!B490="","", 'Equipment Information'!B490)</f>
        <v/>
      </c>
      <c r="C490" t="str">
        <f>IF('Equipment Information'!C490="","", 'Equipment Information'!C490)</f>
        <v/>
      </c>
      <c r="H490" t="str">
        <f t="shared" si="7"/>
        <v/>
      </c>
    </row>
    <row r="491" spans="1:8" x14ac:dyDescent="0.25">
      <c r="A491" t="str">
        <f>IF('Equipment Information'!A491="","", 'Equipment Information'!A491)</f>
        <v/>
      </c>
      <c r="B491" t="str">
        <f>IF('Equipment Information'!B491="","", 'Equipment Information'!B491)</f>
        <v/>
      </c>
      <c r="C491" t="str">
        <f>IF('Equipment Information'!C491="","", 'Equipment Information'!C491)</f>
        <v/>
      </c>
      <c r="H491" t="str">
        <f t="shared" si="7"/>
        <v/>
      </c>
    </row>
    <row r="492" spans="1:8" x14ac:dyDescent="0.25">
      <c r="A492" t="str">
        <f>IF('Equipment Information'!A492="","", 'Equipment Information'!A492)</f>
        <v/>
      </c>
      <c r="B492" t="str">
        <f>IF('Equipment Information'!B492="","", 'Equipment Information'!B492)</f>
        <v/>
      </c>
      <c r="C492" t="str">
        <f>IF('Equipment Information'!C492="","", 'Equipment Information'!C492)</f>
        <v/>
      </c>
      <c r="H492" t="str">
        <f t="shared" si="7"/>
        <v/>
      </c>
    </row>
    <row r="493" spans="1:8" x14ac:dyDescent="0.25">
      <c r="A493" t="str">
        <f>IF('Equipment Information'!A493="","", 'Equipment Information'!A493)</f>
        <v/>
      </c>
      <c r="B493" t="str">
        <f>IF('Equipment Information'!B493="","", 'Equipment Information'!B493)</f>
        <v/>
      </c>
      <c r="C493" t="str">
        <f>IF('Equipment Information'!C493="","", 'Equipment Information'!C493)</f>
        <v/>
      </c>
      <c r="H493" t="str">
        <f t="shared" si="7"/>
        <v/>
      </c>
    </row>
    <row r="494" spans="1:8" x14ac:dyDescent="0.25">
      <c r="A494" t="str">
        <f>IF('Equipment Information'!A494="","", 'Equipment Information'!A494)</f>
        <v/>
      </c>
      <c r="B494" t="str">
        <f>IF('Equipment Information'!B494="","", 'Equipment Information'!B494)</f>
        <v/>
      </c>
      <c r="C494" t="str">
        <f>IF('Equipment Information'!C494="","", 'Equipment Information'!C494)</f>
        <v/>
      </c>
      <c r="H494" t="str">
        <f t="shared" si="7"/>
        <v/>
      </c>
    </row>
    <row r="495" spans="1:8" x14ac:dyDescent="0.25">
      <c r="A495" t="str">
        <f>IF('Equipment Information'!A495="","", 'Equipment Information'!A495)</f>
        <v/>
      </c>
      <c r="B495" t="str">
        <f>IF('Equipment Information'!B495="","", 'Equipment Information'!B495)</f>
        <v/>
      </c>
      <c r="C495" t="str">
        <f>IF('Equipment Information'!C495="","", 'Equipment Information'!C495)</f>
        <v/>
      </c>
      <c r="H495" t="str">
        <f t="shared" si="7"/>
        <v/>
      </c>
    </row>
    <row r="496" spans="1:8" x14ac:dyDescent="0.25">
      <c r="A496" t="str">
        <f>IF('Equipment Information'!A496="","", 'Equipment Information'!A496)</f>
        <v/>
      </c>
      <c r="B496" t="str">
        <f>IF('Equipment Information'!B496="","", 'Equipment Information'!B496)</f>
        <v/>
      </c>
      <c r="C496" t="str">
        <f>IF('Equipment Information'!C496="","", 'Equipment Information'!C496)</f>
        <v/>
      </c>
      <c r="H496" t="str">
        <f t="shared" si="7"/>
        <v/>
      </c>
    </row>
    <row r="497" spans="1:8" x14ac:dyDescent="0.25">
      <c r="A497" t="str">
        <f>IF('Equipment Information'!A497="","", 'Equipment Information'!A497)</f>
        <v/>
      </c>
      <c r="B497" t="str">
        <f>IF('Equipment Information'!B497="","", 'Equipment Information'!B497)</f>
        <v/>
      </c>
      <c r="C497" t="str">
        <f>IF('Equipment Information'!C497="","", 'Equipment Information'!C497)</f>
        <v/>
      </c>
      <c r="H497" t="str">
        <f t="shared" si="7"/>
        <v/>
      </c>
    </row>
    <row r="498" spans="1:8" x14ac:dyDescent="0.25">
      <c r="A498" t="str">
        <f>IF('Equipment Information'!A498="","", 'Equipment Information'!A498)</f>
        <v/>
      </c>
      <c r="B498" t="str">
        <f>IF('Equipment Information'!B498="","", 'Equipment Information'!B498)</f>
        <v/>
      </c>
      <c r="C498" t="str">
        <f>IF('Equipment Information'!C498="","", 'Equipment Information'!C498)</f>
        <v/>
      </c>
      <c r="H498" t="str">
        <f t="shared" si="7"/>
        <v/>
      </c>
    </row>
    <row r="499" spans="1:8" x14ac:dyDescent="0.25">
      <c r="A499" t="str">
        <f>IF('Equipment Information'!A499="","", 'Equipment Information'!A499)</f>
        <v/>
      </c>
      <c r="B499" t="str">
        <f>IF('Equipment Information'!B499="","", 'Equipment Information'!B499)</f>
        <v/>
      </c>
      <c r="C499" t="str">
        <f>IF('Equipment Information'!C499="","", 'Equipment Information'!C499)</f>
        <v/>
      </c>
      <c r="H499" t="str">
        <f t="shared" si="7"/>
        <v/>
      </c>
    </row>
  </sheetData>
  <dataValidations count="1">
    <dataValidation type="list" allowBlank="1" sqref="H2:H500" xr:uid="{00000000-0002-0000-0900-000000000000}">
      <formula1>List_PF</formula1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11</vt:i4>
      </vt:variant>
    </vt:vector>
  </HeadingPairs>
  <TitlesOfParts>
    <vt:vector size="21" baseType="lpstr">
      <vt:lpstr>Equipment Information</vt:lpstr>
      <vt:lpstr>Master Dashboard</vt:lpstr>
      <vt:lpstr>Code Violations</vt:lpstr>
      <vt:lpstr>Infrared</vt:lpstr>
      <vt:lpstr>Ultrasonic</vt:lpstr>
      <vt:lpstr>Energized Data</vt:lpstr>
      <vt:lpstr>Hidden_Data</vt:lpstr>
      <vt:lpstr>Insulation</vt:lpstr>
      <vt:lpstr>DLRO</vt:lpstr>
      <vt:lpstr>Torque</vt:lpstr>
      <vt:lpstr>List_Comp</vt:lpstr>
      <vt:lpstr>List_Crit</vt:lpstr>
      <vt:lpstr>List_Equip</vt:lpstr>
      <vt:lpstr>List_IR_Phase</vt:lpstr>
      <vt:lpstr>List_Maint</vt:lpstr>
      <vt:lpstr>List_NEC</vt:lpstr>
      <vt:lpstr>List_PF</vt:lpstr>
      <vt:lpstr>List_Phase</vt:lpstr>
      <vt:lpstr>List_US_Mode</vt:lpstr>
      <vt:lpstr>List_Wire</vt:lpstr>
      <vt:lpstr>List_YN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Joshua Mcginnis</cp:lastModifiedBy>
  <dcterms:created xsi:type="dcterms:W3CDTF">2026-05-18T11:26:16Z</dcterms:created>
  <dcterms:modified xsi:type="dcterms:W3CDTF">2026-05-27T15:03:10Z</dcterms:modified>
</cp:coreProperties>
</file>